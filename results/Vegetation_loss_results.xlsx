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it works" sheetId="1" state="visible" r:id="rId1"/>
    <sheet xmlns:r="http://schemas.openxmlformats.org/officeDocument/2006/relationships" name="Accuracy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Data" sheetId="4" state="visible" r:id="rId4"/>
    <sheet xmlns:r="http://schemas.openxmlformats.org/officeDocument/2006/relationships" name="Regression" sheetId="5" state="visible" r:id="rId5"/>
    <sheet xmlns:r="http://schemas.openxmlformats.org/officeDocument/2006/relationships" name="Matching" sheetId="6" state="visible" r:id="rId6"/>
    <sheet xmlns:r="http://schemas.openxmlformats.org/officeDocument/2006/relationships" name="Matched pairs" sheetId="7" state="visible" r:id="rId7"/>
    <sheet xmlns:r="http://schemas.openxmlformats.org/officeDocument/2006/relationships" name="DiD results" sheetId="8" state="visible" r:id="rId8"/>
    <sheet xmlns:r="http://schemas.openxmlformats.org/officeDocument/2006/relationships" name="Event study" sheetId="9" state="visible" r:id="rId9"/>
    <sheet xmlns:r="http://schemas.openxmlformats.org/officeDocument/2006/relationships" name="Fragmentation" sheetId="10" state="visible" r:id="rId10"/>
    <sheet xmlns:r="http://schemas.openxmlformats.org/officeDocument/2006/relationships" name="Hotspo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;-0.0"/>
    <numFmt numFmtId="166" formatCode="0.0000"/>
    <numFmt numFmtId="167" formatCode="0.000"/>
    <numFmt numFmtId="168" formatCode="0.0"/>
  </numFmts>
  <fonts count="8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sz val="14"/>
    </font>
    <font>
      <name val="Arial"/>
      <color rgb="000000FF"/>
    </font>
    <font>
      <name val="Arial"/>
      <b val="1"/>
      <color rgb="00FFFFFF"/>
    </font>
    <font>
      <name val="Arial"/>
      <i val="1"/>
    </font>
    <font>
      <name val="Arial"/>
      <b val="1"/>
      <sz val="13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00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3" fontId="4" fillId="3" borderId="0" pivotButton="0" quotePrefix="0" xfId="0"/>
    <xf numFmtId="0" fontId="1" fillId="0" borderId="0" pivotButton="0" quotePrefix="0" xfId="0"/>
    <xf numFmtId="0" fontId="5" fillId="2" borderId="0" applyAlignment="1" pivotButton="0" quotePrefix="0" xfId="0">
      <alignment horizontal="center"/>
    </xf>
    <xf numFmtId="164" fontId="0" fillId="0" borderId="0" pivotButton="0" quotePrefix="0" xfId="0"/>
    <xf numFmtId="0" fontId="5" fillId="2" borderId="0" applyAlignment="1" pivotButton="0" quotePrefix="0" xfId="0">
      <alignment horizontal="center" wrapText="1"/>
    </xf>
    <xf numFmtId="165" fontId="1" fillId="0" borderId="0" pivotButton="0" quotePrefix="0" xfId="0"/>
    <xf numFmtId="0" fontId="6" fillId="0" borderId="0" pivotButton="0" quotePrefix="0" xfId="0"/>
    <xf numFmtId="3" fontId="0" fillId="0" borderId="0" pivotButton="0" quotePrefix="0" xfId="0"/>
    <xf numFmtId="3" fontId="1" fillId="0" borderId="0" pivotButton="0" quotePrefix="0" xfId="0"/>
    <xf numFmtId="0" fontId="4" fillId="0" borderId="0" pivotButton="0" quotePrefix="0" xfId="0"/>
    <xf numFmtId="3" fontId="4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164" fontId="2" fillId="0" borderId="0" pivotButton="0" quotePrefix="0" xfId="0"/>
    <xf numFmtId="0" fontId="7" fillId="0" borderId="0" pivotButton="0" quotePrefix="0" xfId="0"/>
    <xf numFmtId="0" fontId="5" fillId="2" borderId="0" pivotButton="0" quotePrefix="0" xfId="0"/>
    <xf numFmtId="166" fontId="4" fillId="0" borderId="0" pivotButton="0" quotePrefix="0" xfId="0"/>
    <xf numFmtId="166" fontId="1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3" fontId="2" fillId="0" borderId="0" pivotButton="0" quotePrefix="0" xfId="0"/>
    <xf numFmtId="168" fontId="2" fillId="0" borderId="0" pivotButton="0" quotePrefix="0" xfId="0"/>
    <xf numFmtId="2" fontId="2" fillId="0" borderId="0" pivotButton="0" quotePrefix="0" xfId="0"/>
    <xf numFmtId="2" fontId="2" fillId="4" borderId="0" pivotButton="0" quotePrefix="0" xfId="0"/>
    <xf numFmtId="2" fontId="2" fillId="5" borderId="0" pivotButton="0" quotePrefix="0" xfId="0"/>
    <xf numFmtId="0" fontId="6" fillId="0" borderId="0" applyAlignment="1" pivotButton="0" quotePrefix="0" xfId="0">
      <alignment wrapText="1"/>
    </xf>
    <xf numFmtId="167" fontId="2" fillId="0" borderId="0" pivotButton="0" quotePrefix="0" xfId="0"/>
    <xf numFmtId="168" fontId="1" fillId="0" borderId="0" pivotButton="0" quotePrefix="0" xfId="0"/>
    <xf numFmtId="167" fontId="1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 (Footprint): % of 2020 vegetation lost</a:t>
            </a:r>
          </a:p>
        </rich>
      </tx>
    </title>
    <plotArea>
      <lineChart>
        <grouping val="standard"/>
        <ser>
          <idx val="0"/>
          <order val="0"/>
          <tx>
            <v>Section 1</v>
          </tx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'Summary'!$C$6:$I$6</f>
            </numRef>
          </cat>
          <val>
            <numRef>
              <f>'Summary'!$C$7:$I$7</f>
            </numRef>
          </val>
        </ser>
        <ser>
          <idx val="1"/>
          <order val="1"/>
          <tx>
            <v>Control</v>
          </tx>
          <spPr>
            <a:ln xmlns:a="http://schemas.openxmlformats.org/drawingml/2006/main">
              <a:solidFill>
                <a:srgbClr val="2F5597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'Summary'!$C$6:$I$6</f>
            </numRef>
          </cat>
          <val>
            <numRef>
              <f>'Summary'!$C$8:$I$8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Dry season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lost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B1 (0–500 m): % of 2020 vegetation lost</a:t>
            </a:r>
          </a:p>
        </rich>
      </tx>
    </title>
    <plotArea>
      <lineChart>
        <grouping val="standard"/>
        <ser>
          <idx val="0"/>
          <order val="0"/>
          <tx>
            <v>Section 1</v>
          </tx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'Summary'!$C$6:$I$6</f>
            </numRef>
          </cat>
          <val>
            <numRef>
              <f>'Summary'!$C$9:$I$9</f>
            </numRef>
          </val>
        </ser>
        <ser>
          <idx val="1"/>
          <order val="1"/>
          <tx>
            <v>Control</v>
          </tx>
          <spPr>
            <a:ln xmlns:a="http://schemas.openxmlformats.org/drawingml/2006/main">
              <a:solidFill>
                <a:srgbClr val="2F5597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'Summary'!$C$6:$I$6</f>
            </numRef>
          </cat>
          <val>
            <numRef>
              <f>'Summary'!$C$10:$I$10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Dry season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lost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B2 (500 m–1 km): % of 2020 vegetation lost</a:t>
            </a:r>
          </a:p>
        </rich>
      </tx>
    </title>
    <plotArea>
      <lineChart>
        <grouping val="standard"/>
        <ser>
          <idx val="0"/>
          <order val="0"/>
          <tx>
            <v>Section 1</v>
          </tx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'Summary'!$C$6:$I$6</f>
            </numRef>
          </cat>
          <val>
            <numRef>
              <f>'Summary'!$C$11:$I$11</f>
            </numRef>
          </val>
        </ser>
        <ser>
          <idx val="1"/>
          <order val="1"/>
          <tx>
            <v>Control</v>
          </tx>
          <spPr>
            <a:ln xmlns:a="http://schemas.openxmlformats.org/drawingml/2006/main">
              <a:solidFill>
                <a:srgbClr val="2F5597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'Summary'!$C$6:$I$6</f>
            </numRef>
          </cat>
          <val>
            <numRef>
              <f>'Summary'!$C$12:$I$12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Dry season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lost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B3 (1–5 km): % of 2020 vegetation lost</a:t>
            </a:r>
          </a:p>
        </rich>
      </tx>
    </title>
    <plotArea>
      <lineChart>
        <grouping val="standard"/>
        <ser>
          <idx val="0"/>
          <order val="0"/>
          <tx>
            <v>Section 1</v>
          </tx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'Summary'!$C$6:$I$6</f>
            </numRef>
          </cat>
          <val>
            <numRef>
              <f>'Summary'!$C$13:$I$13</f>
            </numRef>
          </val>
        </ser>
        <ser>
          <idx val="1"/>
          <order val="1"/>
          <tx>
            <v>Control</v>
          </tx>
          <spPr>
            <a:ln xmlns:a="http://schemas.openxmlformats.org/drawingml/2006/main">
              <a:solidFill>
                <a:srgbClr val="2F5597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'Summary'!$C$6:$I$6</f>
            </numRef>
          </cat>
          <val>
            <numRef>
              <f>'Summary'!$C$14:$I$14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Dry season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lost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Event study, matched sample (pp vs DS2024)</a:t>
            </a:r>
          </a:p>
        </rich>
      </tx>
    </title>
    <plotArea>
      <scatterChart>
        <ser>
          <idx val="0"/>
          <order val="0"/>
          <tx>
            <strRef>
              <f>'Event study'!B4</f>
            </strRef>
          </tx>
          <spPr>
            <a:ln xmlns:a="http://schemas.openxmlformats.org/drawingml/2006/main">
              <a:solidFill>
                <a:srgbClr val="7F7F7F"/>
              </a:solidFill>
              <a:prstDash val="solid"/>
            </a:ln>
          </spPr>
          <marker>
            <symbol val="circle"/>
            <spPr>
              <a:solidFill xmlns:a="http://schemas.openxmlformats.org/drawingml/2006/main">
                <a:srgbClr val="7F7F7F"/>
              </a:solidFill>
              <a:ln xmlns:a="http://schemas.openxmlformats.org/drawingml/2006/main">
                <a:prstDash val="solid"/>
              </a:ln>
            </spPr>
          </marker>
          <xVal>
            <numRef>
              <f>'Event study'!$A$5:$A$10</f>
            </numRef>
          </xVal>
          <yVal>
            <numRef>
              <f>'Event study'!$B$5:$B$10</f>
            </numRef>
          </yVal>
          <smooth val="0"/>
        </ser>
        <ser>
          <idx val="1"/>
          <order val="1"/>
          <tx>
            <strRef>
              <f>'Event study'!C4</f>
            </strRef>
          </tx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circle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marker>
          <xVal>
            <numRef>
              <f>'Event study'!$A$5:$A$10</f>
            </numRef>
          </xVal>
          <yVal>
            <numRef>
              <f>'Event study'!$C$5:$C$10</f>
            </numRef>
          </yVal>
          <smooth val="0"/>
        </ser>
        <ser>
          <idx val="2"/>
          <order val="2"/>
          <tx>
            <strRef>
              <f>'Event study'!D4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circle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marker>
          <xVal>
            <numRef>
              <f>'Event study'!$A$5:$A$10</f>
            </numRef>
          </xVal>
          <yVal>
            <numRef>
              <f>'Event study'!$D$5:$D$10</f>
            </numRef>
          </yVal>
          <smooth val="0"/>
        </ser>
        <ser>
          <idx val="3"/>
          <order val="3"/>
          <tx>
            <strRef>
              <f>'Event study'!E4</f>
            </strRef>
          </tx>
          <spPr>
            <a:ln xmlns:a="http://schemas.openxmlformats.org/drawingml/2006/main">
              <a:solidFill>
                <a:srgbClr val="2F5597"/>
              </a:solidFill>
              <a:prstDash val="solid"/>
            </a:ln>
          </spPr>
          <marker>
            <symbol val="circle"/>
            <spPr>
              <a:solidFill xmlns:a="http://schemas.openxmlformats.org/drawingml/2006/main">
                <a:srgbClr val="2F5597"/>
              </a:solidFill>
              <a:ln xmlns:a="http://schemas.openxmlformats.org/drawingml/2006/main">
                <a:prstDash val="solid"/>
              </a:ln>
            </spPr>
          </marker>
          <xVal>
            <numRef>
              <f>'Event study'!$A$5:$A$10</f>
            </numRef>
          </xVal>
          <yVal>
            <numRef>
              <f>'Event study'!$E$5:$E$10</f>
            </numRef>
          </yVal>
          <smooth val="0"/>
        </ser>
        <axId val="10"/>
        <axId val="20"/>
      </scatterChart>
      <valAx>
        <axId val="10"/>
        <scaling>
          <orientation val="minMax"/>
          <max val="2027"/>
          <min val="202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Dry season</a:t>
                </a:r>
              </a:p>
            </rich>
          </tx>
        </title>
        <numFmt formatCode="0" sourceLinked="0"/>
        <majorTickMark val="none"/>
        <minorTickMark val="none"/>
        <crossAx val="20"/>
        <crosses val="min"/>
        <majorUnit val="1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Section 1 − control (pp)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Claude</author>
  </authors>
  <commentList>
    <comment ref="G1" authorId="0" shapeId="0">
      <text>
        <t>All a_ columns are areas in m² measured in Earth Engine at 10 m resolution.</t>
      </text>
    </comment>
    <comment ref="V1" authorId="0" shapeId="0">
      <text>
        <t>= a_veglost ÷ a_veg2020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2</row>
      <rowOff>0</rowOff>
    </from>
    <ext cx="50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19</row>
      <rowOff>0</rowOff>
    </from>
    <ext cx="504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36</row>
      <rowOff>0</rowOff>
    </from>
    <ext cx="504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53</row>
      <rowOff>0</rowOff>
    </from>
    <ext cx="504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12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How the vegetation-loss results are calculated</t>
        </is>
      </c>
    </row>
    <row r="2">
      <c r="A2" s="2" t="inlineStr"/>
    </row>
    <row r="3">
      <c r="A3" s="2" t="inlineStr">
        <is>
          <t>1. Earth Engine produced one land-cover map per dry season (DS2020 … DS2026) and measured, for every unit (segment × zone) and year, the area of each class in m². These are the raw columns in the Data sheet (blue text).</t>
        </is>
      </c>
    </row>
    <row r="4">
      <c r="A4" s="2" t="inlineStr">
        <is>
          <t>2. a_veg2020 = area that was vegetation in DS2020.  a_veglost = area that was vegetation in DS2020 but is NOT vegetation in that year.</t>
        </is>
      </c>
    </row>
    <row r="5">
      <c r="A5" s="2" t="inlineStr">
        <is>
          <t>3. Percentage of 2020 vegetation lost (Data column V):   % lost = a_veglost ÷ a_veg2020.   It is 0 in 2020 by definition.</t>
        </is>
      </c>
    </row>
    <row r="6">
      <c r="A6" s="2" t="inlineStr">
        <is>
          <t>4. Units with less than 1 ha of vegetation in 2020 are left out (Summary!D3), because a tiny denominator gives unstable percentages. Data column U flags which units are included.</t>
        </is>
      </c>
    </row>
    <row r="7">
      <c r="A7" s="2" t="inlineStr">
        <is>
          <t>5. Summary sheet, group results: all included units in a group are pooled, i.e. total ha lost ÷ total 2020 vegetation ha (SUMIFS). This weights big units more than small ones.</t>
        </is>
      </c>
    </row>
    <row r="8">
      <c r="A8" s="2" t="inlineStr">
        <is>
          <t>6. Simple difference-in-differences (Summary sheet): change in % lost from DS2024 (last year before construction) to the average of DS2025–DS2026, for Section 1 minus the same change for the controls.</t>
        </is>
      </c>
    </row>
    <row r="9">
      <c r="A9" s="2" t="inlineStr">
        <is>
          <t>7. Regression sheet: the formal event-study and pooled difference-in-differences with unit and year fixed effects and standard errors clustered by 1 km segment. These were run in Python (statsmodels) on the same data; they are values, not live formulas.</t>
        </is>
      </c>
    </row>
    <row r="10">
      <c r="A10" s="2" t="inlineStr"/>
    </row>
    <row r="11">
      <c r="A11" s="2" t="inlineStr">
        <is>
          <t>Zones: F = construction footprint · B1 = 0–500 m · B2 = 500 m–1 km · B3 = 1–5 km from the footprint edge.</t>
        </is>
      </c>
    </row>
    <row r="12">
      <c r="A12" s="2" t="inlineStr">
        <is>
          <t>Groups: Section 1 = treated segments T01–T47 · Control = west (CW) and east (CE) control segments.</t>
        </is>
      </c>
    </row>
    <row r="13">
      <c r="A13" s="2" t="inlineStr">
        <is>
          <t>Colour code: blue text = raw data from Earth Engine · black = formulas · yellow cell = setting you can change.</t>
        </is>
      </c>
    </row>
    <row r="14">
      <c r="A14" s="2" t="inlineStr">
        <is>
          <t>Source data: segment_zone_panel_DS2020_2026.csv exported from Earth Engine (panel_table asset), 628 units × 7 years = 4,396 rows.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8" customWidth="1" min="3" max="3"/>
    <col width="13" customWidth="1" min="4" max="4"/>
    <col width="8" customWidth="1" min="5" max="5"/>
    <col width="15" customWidth="1" min="6" max="6"/>
    <col width="19" customWidth="1" min="7" max="7"/>
    <col width="11" customWidth="1" min="8" max="8"/>
  </cols>
  <sheetData>
    <row r="1">
      <c r="A1" s="18" t="inlineStr">
        <is>
          <t>Accuracy assessment (300 stratified random points; Olofsson et al., 2014)</t>
        </is>
      </c>
    </row>
    <row r="2">
      <c r="A2" s="10" t="inlineStr">
        <is>
          <t>Accuracies and areas are area-weighted estimates; ± = 95% confidence interval. Reference labels from Esri Wayback (2020) and Wayback/PlanetScope (2025–26).</t>
        </is>
      </c>
    </row>
    <row r="4">
      <c r="A4" s="5" t="inlineStr">
        <is>
          <t>DS2020 map — overall accuracy 83.0% ± 4.9</t>
        </is>
      </c>
    </row>
    <row r="5">
      <c r="A5" s="22" t="inlineStr">
        <is>
          <t>Class</t>
        </is>
      </c>
      <c r="B5" s="22" t="inlineStr">
        <is>
          <t>User's (%)</t>
        </is>
      </c>
      <c r="C5" s="22" t="inlineStr">
        <is>
          <t>± CI</t>
        </is>
      </c>
      <c r="D5" s="22" t="inlineStr">
        <is>
          <t>Producer's (%)</t>
        </is>
      </c>
      <c r="E5" s="22" t="inlineStr">
        <is>
          <t>± CI</t>
        </is>
      </c>
      <c r="F5" s="22" t="inlineStr">
        <is>
          <t>Mapped area (ha)</t>
        </is>
      </c>
      <c r="G5" s="22" t="inlineStr">
        <is>
          <t>Error-adjusted area (ha)</t>
        </is>
      </c>
      <c r="H5" s="22" t="inlineStr">
        <is>
          <t>± CI (ha)</t>
        </is>
      </c>
    </row>
    <row r="6">
      <c r="A6" s="23" t="inlineStr">
        <is>
          <t>Vegetation</t>
        </is>
      </c>
      <c r="B6" s="24" t="n">
        <v>87.71387583918543</v>
      </c>
      <c r="C6" s="24" t="n">
        <v>5.64367593000751</v>
      </c>
      <c r="D6" s="24" t="n">
        <v>83.58859459494511</v>
      </c>
      <c r="E6" s="24" t="n">
        <v>5.12730011269733</v>
      </c>
      <c r="F6" s="23" t="n">
        <v>52689.20188192598</v>
      </c>
      <c r="G6" s="23" t="n">
        <v>55289.53004093831</v>
      </c>
      <c r="H6" s="23" t="n">
        <v>4472.514124396159</v>
      </c>
    </row>
    <row r="7">
      <c r="A7" s="23" t="inlineStr">
        <is>
          <t>Non-vegetation</t>
        </is>
      </c>
      <c r="B7" s="24" t="n">
        <v>76.61248268514727</v>
      </c>
      <c r="C7" s="24" t="n">
        <v>8.61088455701741</v>
      </c>
      <c r="D7" s="24" t="n">
        <v>82.11615019369663</v>
      </c>
      <c r="E7" s="24" t="n">
        <v>6.94484984849784</v>
      </c>
      <c r="F7" s="23" t="n">
        <v>38797.57222373277</v>
      </c>
      <c r="G7" s="23" t="n">
        <v>36197.24406472044</v>
      </c>
      <c r="H7" s="23" t="n">
        <v>4472.514124396159</v>
      </c>
    </row>
    <row r="8">
      <c r="A8" s="10" t="inlineStr">
        <is>
          <t>Sample counts (rows = map, columns = reference)</t>
        </is>
      </c>
    </row>
    <row r="9">
      <c r="A9" s="22" t="inlineStr">
        <is>
          <t>map \ reference</t>
        </is>
      </c>
      <c r="B9" s="22" t="inlineStr">
        <is>
          <t>Vegetation</t>
        </is>
      </c>
      <c r="C9" s="22" t="inlineStr">
        <is>
          <t>Non-vegetation</t>
        </is>
      </c>
    </row>
    <row r="10">
      <c r="A10" s="15" t="inlineStr">
        <is>
          <t>Vegetation</t>
        </is>
      </c>
      <c r="B10" s="15" t="n">
        <v>149</v>
      </c>
      <c r="C10" s="15" t="n">
        <v>31</v>
      </c>
    </row>
    <row r="11">
      <c r="A11" s="15" t="inlineStr">
        <is>
          <t>Non-vegetation</t>
        </is>
      </c>
      <c r="B11" s="15" t="n">
        <v>41</v>
      </c>
      <c r="C11" s="15" t="n">
        <v>79</v>
      </c>
    </row>
    <row r="13">
      <c r="A13" s="5" t="inlineStr">
        <is>
          <t>DS2026 map — overall accuracy 83.2% ± 4.2</t>
        </is>
      </c>
    </row>
    <row r="14">
      <c r="A14" s="22" t="inlineStr">
        <is>
          <t>Class</t>
        </is>
      </c>
      <c r="B14" s="22" t="inlineStr">
        <is>
          <t>User's (%)</t>
        </is>
      </c>
      <c r="C14" s="22" t="inlineStr">
        <is>
          <t>± CI</t>
        </is>
      </c>
      <c r="D14" s="22" t="inlineStr">
        <is>
          <t>Producer's (%)</t>
        </is>
      </c>
      <c r="E14" s="22" t="inlineStr">
        <is>
          <t>± CI</t>
        </is>
      </c>
      <c r="F14" s="22" t="inlineStr">
        <is>
          <t>Mapped area (ha)</t>
        </is>
      </c>
      <c r="G14" s="22" t="inlineStr">
        <is>
          <t>Error-adjusted area (ha)</t>
        </is>
      </c>
      <c r="H14" s="22" t="inlineStr">
        <is>
          <t>± CI (ha)</t>
        </is>
      </c>
    </row>
    <row r="15">
      <c r="A15" s="23" t="inlineStr">
        <is>
          <t>Vegetation</t>
        </is>
      </c>
      <c r="B15" s="24" t="n">
        <v>88.8624676079898</v>
      </c>
      <c r="C15" s="24" t="n">
        <v>5.45465636236466</v>
      </c>
      <c r="D15" s="24" t="n">
        <v>80.55547396201301</v>
      </c>
      <c r="E15" s="24" t="n">
        <v>4.578844660819581</v>
      </c>
      <c r="F15" s="23" t="n">
        <v>47289.01832317811</v>
      </c>
      <c r="G15" s="23" t="n">
        <v>52165.52832820104</v>
      </c>
      <c r="H15" s="23" t="n">
        <v>3880.455809219071</v>
      </c>
    </row>
    <row r="16">
      <c r="A16" s="23" t="inlineStr">
        <is>
          <t>Non-vegetation</t>
        </is>
      </c>
      <c r="B16" s="24" t="n">
        <v>77.05010229806464</v>
      </c>
      <c r="C16" s="24" t="n">
        <v>6.559217520274791</v>
      </c>
      <c r="D16" s="24" t="n">
        <v>86.60563868343409</v>
      </c>
      <c r="E16" s="24" t="n">
        <v>5.76647228556928</v>
      </c>
      <c r="F16" s="23" t="n">
        <v>44197.75578248063</v>
      </c>
      <c r="G16" s="23" t="n">
        <v>39321.24577745771</v>
      </c>
      <c r="H16" s="23" t="n">
        <v>3880.455809219071</v>
      </c>
    </row>
    <row r="17">
      <c r="A17" s="10" t="inlineStr">
        <is>
          <t>Sample counts (rows = map, columns = reference)</t>
        </is>
      </c>
    </row>
    <row r="18">
      <c r="A18" s="22" t="inlineStr">
        <is>
          <t>map \ reference</t>
        </is>
      </c>
      <c r="B18" s="22" t="inlineStr">
        <is>
          <t>Vegetation</t>
        </is>
      </c>
      <c r="C18" s="22" t="inlineStr">
        <is>
          <t>Non-vegetation</t>
        </is>
      </c>
    </row>
    <row r="19">
      <c r="A19" s="15" t="inlineStr">
        <is>
          <t>Vegetation</t>
        </is>
      </c>
      <c r="B19" s="15" t="n">
        <v>98</v>
      </c>
      <c r="C19" s="15" t="n">
        <v>32</v>
      </c>
    </row>
    <row r="20">
      <c r="A20" s="15" t="inlineStr">
        <is>
          <t>Non-vegetation</t>
        </is>
      </c>
      <c r="B20" s="15" t="n">
        <v>70</v>
      </c>
      <c r="C20" s="15" t="n">
        <v>100</v>
      </c>
    </row>
    <row r="22">
      <c r="A22" s="5" t="inlineStr">
        <is>
          <t>Change 2020-2026 — overall accuracy 73.8% ± 5.2</t>
        </is>
      </c>
    </row>
    <row r="23">
      <c r="A23" s="22" t="inlineStr">
        <is>
          <t>Class</t>
        </is>
      </c>
      <c r="B23" s="22" t="inlineStr">
        <is>
          <t>User's (%)</t>
        </is>
      </c>
      <c r="C23" s="22" t="inlineStr">
        <is>
          <t>± CI</t>
        </is>
      </c>
      <c r="D23" s="22" t="inlineStr">
        <is>
          <t>Producer's (%)</t>
        </is>
      </c>
      <c r="E23" s="22" t="inlineStr">
        <is>
          <t>± CI</t>
        </is>
      </c>
      <c r="F23" s="22" t="inlineStr">
        <is>
          <t>Mapped area (ha)</t>
        </is>
      </c>
      <c r="G23" s="22" t="inlineStr">
        <is>
          <t>Error-adjusted area (ha)</t>
        </is>
      </c>
      <c r="H23" s="22" t="inlineStr">
        <is>
          <t>± CI (ha)</t>
        </is>
      </c>
    </row>
    <row r="24">
      <c r="A24" s="23" t="inlineStr">
        <is>
          <t>Stable vegetation</t>
        </is>
      </c>
      <c r="B24" s="24" t="n">
        <v>86.25</v>
      </c>
      <c r="C24" s="24" t="n">
        <v>7.5940495526165</v>
      </c>
      <c r="D24" s="24" t="n">
        <v>78.33771587552221</v>
      </c>
      <c r="E24" s="24" t="n">
        <v>4.86654208565694</v>
      </c>
      <c r="F24" s="23" t="n">
        <v>43423.50515605623</v>
      </c>
      <c r="G24" s="23" t="n">
        <v>47809.37608215505</v>
      </c>
      <c r="H24" s="23" t="n">
        <v>4343.251356395369</v>
      </c>
    </row>
    <row r="25">
      <c r="A25" s="23" t="inlineStr">
        <is>
          <t>Vegetation lost</t>
        </is>
      </c>
      <c r="B25" s="24" t="n">
        <v>25</v>
      </c>
      <c r="C25" s="24" t="n">
        <v>8.52980514182919</v>
      </c>
      <c r="D25" s="24" t="n">
        <v>30.96760032255052</v>
      </c>
      <c r="E25" s="24" t="n">
        <v>14.26860840593807</v>
      </c>
      <c r="F25" s="23" t="n">
        <v>9265.696725869762</v>
      </c>
      <c r="G25" s="23" t="n">
        <v>7480.153958783259</v>
      </c>
      <c r="H25" s="23" t="n">
        <v>3065.832597807283</v>
      </c>
    </row>
    <row r="26">
      <c r="A26" s="23" t="inlineStr">
        <is>
          <t>Vegetation gained</t>
        </is>
      </c>
      <c r="B26" s="24" t="n">
        <v>8</v>
      </c>
      <c r="C26" s="24" t="n">
        <v>7.596209581100299</v>
      </c>
      <c r="D26" s="24" t="n">
        <v>7.098949621204</v>
      </c>
      <c r="E26" s="24" t="n">
        <v>7.533102049846121</v>
      </c>
      <c r="F26" s="23" t="n">
        <v>3865.513167121892</v>
      </c>
      <c r="G26" s="23" t="n">
        <v>4356.152246045985</v>
      </c>
      <c r="H26" s="23" t="n">
        <v>2586.186454048758</v>
      </c>
    </row>
    <row r="27">
      <c r="A27" s="23" t="inlineStr">
        <is>
          <t>Stable non-vegetation</t>
        </is>
      </c>
      <c r="B27" s="24" t="n">
        <v>78.57142857142857</v>
      </c>
      <c r="C27" s="24" t="n">
        <v>9.68189704731374</v>
      </c>
      <c r="D27" s="24" t="n">
        <v>86.19873334273393</v>
      </c>
      <c r="E27" s="24" t="n">
        <v>5.60051566111909</v>
      </c>
      <c r="F27" s="23" t="n">
        <v>34932.05905661087</v>
      </c>
      <c r="G27" s="23" t="n">
        <v>31841.09181867445</v>
      </c>
      <c r="H27" s="23" t="n">
        <v>3927.485662801379</v>
      </c>
    </row>
    <row r="28">
      <c r="A28" s="10" t="inlineStr">
        <is>
          <t>Sample counts (rows = map, columns = reference)</t>
        </is>
      </c>
    </row>
    <row r="29">
      <c r="A29" s="22" t="inlineStr">
        <is>
          <t>map \ reference</t>
        </is>
      </c>
      <c r="B29" s="22" t="inlineStr">
        <is>
          <t>Stable vegetation</t>
        </is>
      </c>
      <c r="C29" s="22" t="inlineStr">
        <is>
          <t>Vegetation lost</t>
        </is>
      </c>
      <c r="D29" s="22" t="inlineStr">
        <is>
          <t>Vegetation gained</t>
        </is>
      </c>
      <c r="E29" s="22" t="inlineStr">
        <is>
          <t>Stable non-vegetation</t>
        </is>
      </c>
    </row>
    <row r="30">
      <c r="A30" s="15" t="inlineStr">
        <is>
          <t>Stable vegetation</t>
        </is>
      </c>
      <c r="B30" s="15" t="n">
        <v>69</v>
      </c>
      <c r="C30" s="15" t="n">
        <v>3</v>
      </c>
      <c r="D30" s="15" t="n">
        <v>5</v>
      </c>
      <c r="E30" s="15" t="n">
        <v>3</v>
      </c>
    </row>
    <row r="31">
      <c r="A31" s="15" t="inlineStr">
        <is>
          <t>Vegetation lost</t>
        </is>
      </c>
      <c r="B31" s="15" t="n">
        <v>52</v>
      </c>
      <c r="C31" s="15" t="n">
        <v>25</v>
      </c>
      <c r="D31" s="15" t="n">
        <v>9</v>
      </c>
      <c r="E31" s="15" t="n">
        <v>14</v>
      </c>
    </row>
    <row r="32">
      <c r="A32" s="15" t="inlineStr">
        <is>
          <t>Vegetation gained</t>
        </is>
      </c>
      <c r="B32" s="15" t="n">
        <v>20</v>
      </c>
      <c r="C32" s="15" t="n">
        <v>7</v>
      </c>
      <c r="D32" s="15" t="n">
        <v>4</v>
      </c>
      <c r="E32" s="15" t="n">
        <v>19</v>
      </c>
    </row>
    <row r="33">
      <c r="A33" s="15" t="inlineStr">
        <is>
          <t>Stable non-vegetation</t>
        </is>
      </c>
      <c r="B33" s="15" t="n">
        <v>8</v>
      </c>
      <c r="C33" s="15" t="n">
        <v>6</v>
      </c>
      <c r="D33" s="15" t="n">
        <v>1</v>
      </c>
      <c r="E33" s="15" t="n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3" t="inlineStr">
        <is>
          <t>Vegetation loss since DS2020 — Section 1 vs controls</t>
        </is>
      </c>
    </row>
    <row r="3">
      <c r="A3" t="inlineStr">
        <is>
          <t>Minimum 2020 vegetation per unit (m²)</t>
        </is>
      </c>
      <c r="D3" s="4" t="n">
        <v>10000</v>
      </c>
      <c r="E3" t="inlineStr">
        <is>
          <t>← units below this are excluded (1 ha = 10,000 m²)</t>
        </is>
      </c>
    </row>
    <row r="5">
      <c r="A5" s="5" t="inlineStr">
        <is>
          <t>% of 2020 vegetation lost</t>
        </is>
      </c>
    </row>
    <row r="6">
      <c r="A6" s="6" t="inlineStr">
        <is>
          <t>Zone</t>
        </is>
      </c>
      <c r="B6" s="6" t="inlineStr">
        <is>
          <t>Group</t>
        </is>
      </c>
      <c r="C6" s="6" t="inlineStr">
        <is>
          <t>2020</t>
        </is>
      </c>
      <c r="D6" s="6" t="inlineStr">
        <is>
          <t>2021</t>
        </is>
      </c>
      <c r="E6" s="6" t="inlineStr">
        <is>
          <t>2022</t>
        </is>
      </c>
      <c r="F6" s="6" t="inlineStr">
        <is>
          <t>2023</t>
        </is>
      </c>
      <c r="G6" s="6" t="inlineStr">
        <is>
          <t>2024</t>
        </is>
      </c>
      <c r="H6" s="6" t="inlineStr">
        <is>
          <t>2025</t>
        </is>
      </c>
      <c r="I6" s="6" t="inlineStr">
        <is>
          <t>2026</t>
        </is>
      </c>
    </row>
    <row r="7">
      <c r="A7" t="inlineStr">
        <is>
          <t>F</t>
        </is>
      </c>
      <c r="B7" t="inlineStr">
        <is>
          <t>Section 1</t>
        </is>
      </c>
      <c r="C7" s="7">
        <f>IFERROR(SUMIFS(Data!$P:$P,Data!$C:$C,$A7,Data!$R:$R,$B7,Data!$F:$F,2020,Data!$U:$U,1)/SUMIFS(Data!$N:$N,Data!$C:$C,$A7,Data!$R:$R,$B7,Data!$F:$F,2020,Data!$U:$U,1),"")</f>
        <v/>
      </c>
      <c r="D7" s="7">
        <f>IFERROR(SUMIFS(Data!$P:$P,Data!$C:$C,$A7,Data!$R:$R,$B7,Data!$F:$F,2021,Data!$U:$U,1)/SUMIFS(Data!$N:$N,Data!$C:$C,$A7,Data!$R:$R,$B7,Data!$F:$F,2021,Data!$U:$U,1),"")</f>
        <v/>
      </c>
      <c r="E7" s="7">
        <f>IFERROR(SUMIFS(Data!$P:$P,Data!$C:$C,$A7,Data!$R:$R,$B7,Data!$F:$F,2022,Data!$U:$U,1)/SUMIFS(Data!$N:$N,Data!$C:$C,$A7,Data!$R:$R,$B7,Data!$F:$F,2022,Data!$U:$U,1),"")</f>
        <v/>
      </c>
      <c r="F7" s="7">
        <f>IFERROR(SUMIFS(Data!$P:$P,Data!$C:$C,$A7,Data!$R:$R,$B7,Data!$F:$F,2023,Data!$U:$U,1)/SUMIFS(Data!$N:$N,Data!$C:$C,$A7,Data!$R:$R,$B7,Data!$F:$F,2023,Data!$U:$U,1),"")</f>
        <v/>
      </c>
      <c r="G7" s="7">
        <f>IFERROR(SUMIFS(Data!$P:$P,Data!$C:$C,$A7,Data!$R:$R,$B7,Data!$F:$F,2024,Data!$U:$U,1)/SUMIFS(Data!$N:$N,Data!$C:$C,$A7,Data!$R:$R,$B7,Data!$F:$F,2024,Data!$U:$U,1),"")</f>
        <v/>
      </c>
      <c r="H7" s="7">
        <f>IFERROR(SUMIFS(Data!$P:$P,Data!$C:$C,$A7,Data!$R:$R,$B7,Data!$F:$F,2025,Data!$U:$U,1)/SUMIFS(Data!$N:$N,Data!$C:$C,$A7,Data!$R:$R,$B7,Data!$F:$F,2025,Data!$U:$U,1),"")</f>
        <v/>
      </c>
      <c r="I7" s="7">
        <f>IFERROR(SUMIFS(Data!$P:$P,Data!$C:$C,$A7,Data!$R:$R,$B7,Data!$F:$F,2026,Data!$U:$U,1)/SUMIFS(Data!$N:$N,Data!$C:$C,$A7,Data!$R:$R,$B7,Data!$F:$F,2026,Data!$U:$U,1),"")</f>
        <v/>
      </c>
    </row>
    <row r="8">
      <c r="A8" t="inlineStr">
        <is>
          <t>F</t>
        </is>
      </c>
      <c r="B8" t="inlineStr">
        <is>
          <t>Control</t>
        </is>
      </c>
      <c r="C8" s="7">
        <f>IFERROR(SUMIFS(Data!$P:$P,Data!$C:$C,$A8,Data!$R:$R,$B8,Data!$F:$F,2020,Data!$U:$U,1)/SUMIFS(Data!$N:$N,Data!$C:$C,$A8,Data!$R:$R,$B8,Data!$F:$F,2020,Data!$U:$U,1),"")</f>
        <v/>
      </c>
      <c r="D8" s="7">
        <f>IFERROR(SUMIFS(Data!$P:$P,Data!$C:$C,$A8,Data!$R:$R,$B8,Data!$F:$F,2021,Data!$U:$U,1)/SUMIFS(Data!$N:$N,Data!$C:$C,$A8,Data!$R:$R,$B8,Data!$F:$F,2021,Data!$U:$U,1),"")</f>
        <v/>
      </c>
      <c r="E8" s="7">
        <f>IFERROR(SUMIFS(Data!$P:$P,Data!$C:$C,$A8,Data!$R:$R,$B8,Data!$F:$F,2022,Data!$U:$U,1)/SUMIFS(Data!$N:$N,Data!$C:$C,$A8,Data!$R:$R,$B8,Data!$F:$F,2022,Data!$U:$U,1),"")</f>
        <v/>
      </c>
      <c r="F8" s="7">
        <f>IFERROR(SUMIFS(Data!$P:$P,Data!$C:$C,$A8,Data!$R:$R,$B8,Data!$F:$F,2023,Data!$U:$U,1)/SUMIFS(Data!$N:$N,Data!$C:$C,$A8,Data!$R:$R,$B8,Data!$F:$F,2023,Data!$U:$U,1),"")</f>
        <v/>
      </c>
      <c r="G8" s="7">
        <f>IFERROR(SUMIFS(Data!$P:$P,Data!$C:$C,$A8,Data!$R:$R,$B8,Data!$F:$F,2024,Data!$U:$U,1)/SUMIFS(Data!$N:$N,Data!$C:$C,$A8,Data!$R:$R,$B8,Data!$F:$F,2024,Data!$U:$U,1),"")</f>
        <v/>
      </c>
      <c r="H8" s="7">
        <f>IFERROR(SUMIFS(Data!$P:$P,Data!$C:$C,$A8,Data!$R:$R,$B8,Data!$F:$F,2025,Data!$U:$U,1)/SUMIFS(Data!$N:$N,Data!$C:$C,$A8,Data!$R:$R,$B8,Data!$F:$F,2025,Data!$U:$U,1),"")</f>
        <v/>
      </c>
      <c r="I8" s="7">
        <f>IFERROR(SUMIFS(Data!$P:$P,Data!$C:$C,$A8,Data!$R:$R,$B8,Data!$F:$F,2026,Data!$U:$U,1)/SUMIFS(Data!$N:$N,Data!$C:$C,$A8,Data!$R:$R,$B8,Data!$F:$F,2026,Data!$U:$U,1),"")</f>
        <v/>
      </c>
    </row>
    <row r="9">
      <c r="A9" t="inlineStr">
        <is>
          <t>B1</t>
        </is>
      </c>
      <c r="B9" t="inlineStr">
        <is>
          <t>Section 1</t>
        </is>
      </c>
      <c r="C9" s="7">
        <f>IFERROR(SUMIFS(Data!$P:$P,Data!$C:$C,$A9,Data!$R:$R,$B9,Data!$F:$F,2020,Data!$U:$U,1)/SUMIFS(Data!$N:$N,Data!$C:$C,$A9,Data!$R:$R,$B9,Data!$F:$F,2020,Data!$U:$U,1),"")</f>
        <v/>
      </c>
      <c r="D9" s="7">
        <f>IFERROR(SUMIFS(Data!$P:$P,Data!$C:$C,$A9,Data!$R:$R,$B9,Data!$F:$F,2021,Data!$U:$U,1)/SUMIFS(Data!$N:$N,Data!$C:$C,$A9,Data!$R:$R,$B9,Data!$F:$F,2021,Data!$U:$U,1),"")</f>
        <v/>
      </c>
      <c r="E9" s="7">
        <f>IFERROR(SUMIFS(Data!$P:$P,Data!$C:$C,$A9,Data!$R:$R,$B9,Data!$F:$F,2022,Data!$U:$U,1)/SUMIFS(Data!$N:$N,Data!$C:$C,$A9,Data!$R:$R,$B9,Data!$F:$F,2022,Data!$U:$U,1),"")</f>
        <v/>
      </c>
      <c r="F9" s="7">
        <f>IFERROR(SUMIFS(Data!$P:$P,Data!$C:$C,$A9,Data!$R:$R,$B9,Data!$F:$F,2023,Data!$U:$U,1)/SUMIFS(Data!$N:$N,Data!$C:$C,$A9,Data!$R:$R,$B9,Data!$F:$F,2023,Data!$U:$U,1),"")</f>
        <v/>
      </c>
      <c r="G9" s="7">
        <f>IFERROR(SUMIFS(Data!$P:$P,Data!$C:$C,$A9,Data!$R:$R,$B9,Data!$F:$F,2024,Data!$U:$U,1)/SUMIFS(Data!$N:$N,Data!$C:$C,$A9,Data!$R:$R,$B9,Data!$F:$F,2024,Data!$U:$U,1),"")</f>
        <v/>
      </c>
      <c r="H9" s="7">
        <f>IFERROR(SUMIFS(Data!$P:$P,Data!$C:$C,$A9,Data!$R:$R,$B9,Data!$F:$F,2025,Data!$U:$U,1)/SUMIFS(Data!$N:$N,Data!$C:$C,$A9,Data!$R:$R,$B9,Data!$F:$F,2025,Data!$U:$U,1),"")</f>
        <v/>
      </c>
      <c r="I9" s="7">
        <f>IFERROR(SUMIFS(Data!$P:$P,Data!$C:$C,$A9,Data!$R:$R,$B9,Data!$F:$F,2026,Data!$U:$U,1)/SUMIFS(Data!$N:$N,Data!$C:$C,$A9,Data!$R:$R,$B9,Data!$F:$F,2026,Data!$U:$U,1),"")</f>
        <v/>
      </c>
    </row>
    <row r="10">
      <c r="A10" t="inlineStr">
        <is>
          <t>B1</t>
        </is>
      </c>
      <c r="B10" t="inlineStr">
        <is>
          <t>Control</t>
        </is>
      </c>
      <c r="C10" s="7">
        <f>IFERROR(SUMIFS(Data!$P:$P,Data!$C:$C,$A10,Data!$R:$R,$B10,Data!$F:$F,2020,Data!$U:$U,1)/SUMIFS(Data!$N:$N,Data!$C:$C,$A10,Data!$R:$R,$B10,Data!$F:$F,2020,Data!$U:$U,1),"")</f>
        <v/>
      </c>
      <c r="D10" s="7">
        <f>IFERROR(SUMIFS(Data!$P:$P,Data!$C:$C,$A10,Data!$R:$R,$B10,Data!$F:$F,2021,Data!$U:$U,1)/SUMIFS(Data!$N:$N,Data!$C:$C,$A10,Data!$R:$R,$B10,Data!$F:$F,2021,Data!$U:$U,1),"")</f>
        <v/>
      </c>
      <c r="E10" s="7">
        <f>IFERROR(SUMIFS(Data!$P:$P,Data!$C:$C,$A10,Data!$R:$R,$B10,Data!$F:$F,2022,Data!$U:$U,1)/SUMIFS(Data!$N:$N,Data!$C:$C,$A10,Data!$R:$R,$B10,Data!$F:$F,2022,Data!$U:$U,1),"")</f>
        <v/>
      </c>
      <c r="F10" s="7">
        <f>IFERROR(SUMIFS(Data!$P:$P,Data!$C:$C,$A10,Data!$R:$R,$B10,Data!$F:$F,2023,Data!$U:$U,1)/SUMIFS(Data!$N:$N,Data!$C:$C,$A10,Data!$R:$R,$B10,Data!$F:$F,2023,Data!$U:$U,1),"")</f>
        <v/>
      </c>
      <c r="G10" s="7">
        <f>IFERROR(SUMIFS(Data!$P:$P,Data!$C:$C,$A10,Data!$R:$R,$B10,Data!$F:$F,2024,Data!$U:$U,1)/SUMIFS(Data!$N:$N,Data!$C:$C,$A10,Data!$R:$R,$B10,Data!$F:$F,2024,Data!$U:$U,1),"")</f>
        <v/>
      </c>
      <c r="H10" s="7">
        <f>IFERROR(SUMIFS(Data!$P:$P,Data!$C:$C,$A10,Data!$R:$R,$B10,Data!$F:$F,2025,Data!$U:$U,1)/SUMIFS(Data!$N:$N,Data!$C:$C,$A10,Data!$R:$R,$B10,Data!$F:$F,2025,Data!$U:$U,1),"")</f>
        <v/>
      </c>
      <c r="I10" s="7">
        <f>IFERROR(SUMIFS(Data!$P:$P,Data!$C:$C,$A10,Data!$R:$R,$B10,Data!$F:$F,2026,Data!$U:$U,1)/SUMIFS(Data!$N:$N,Data!$C:$C,$A10,Data!$R:$R,$B10,Data!$F:$F,2026,Data!$U:$U,1),"")</f>
        <v/>
      </c>
    </row>
    <row r="11">
      <c r="A11" t="inlineStr">
        <is>
          <t>B2</t>
        </is>
      </c>
      <c r="B11" t="inlineStr">
        <is>
          <t>Section 1</t>
        </is>
      </c>
      <c r="C11" s="7">
        <f>IFERROR(SUMIFS(Data!$P:$P,Data!$C:$C,$A11,Data!$R:$R,$B11,Data!$F:$F,2020,Data!$U:$U,1)/SUMIFS(Data!$N:$N,Data!$C:$C,$A11,Data!$R:$R,$B11,Data!$F:$F,2020,Data!$U:$U,1),"")</f>
        <v/>
      </c>
      <c r="D11" s="7">
        <f>IFERROR(SUMIFS(Data!$P:$P,Data!$C:$C,$A11,Data!$R:$R,$B11,Data!$F:$F,2021,Data!$U:$U,1)/SUMIFS(Data!$N:$N,Data!$C:$C,$A11,Data!$R:$R,$B11,Data!$F:$F,2021,Data!$U:$U,1),"")</f>
        <v/>
      </c>
      <c r="E11" s="7">
        <f>IFERROR(SUMIFS(Data!$P:$P,Data!$C:$C,$A11,Data!$R:$R,$B11,Data!$F:$F,2022,Data!$U:$U,1)/SUMIFS(Data!$N:$N,Data!$C:$C,$A11,Data!$R:$R,$B11,Data!$F:$F,2022,Data!$U:$U,1),"")</f>
        <v/>
      </c>
      <c r="F11" s="7">
        <f>IFERROR(SUMIFS(Data!$P:$P,Data!$C:$C,$A11,Data!$R:$R,$B11,Data!$F:$F,2023,Data!$U:$U,1)/SUMIFS(Data!$N:$N,Data!$C:$C,$A11,Data!$R:$R,$B11,Data!$F:$F,2023,Data!$U:$U,1),"")</f>
        <v/>
      </c>
      <c r="G11" s="7">
        <f>IFERROR(SUMIFS(Data!$P:$P,Data!$C:$C,$A11,Data!$R:$R,$B11,Data!$F:$F,2024,Data!$U:$U,1)/SUMIFS(Data!$N:$N,Data!$C:$C,$A11,Data!$R:$R,$B11,Data!$F:$F,2024,Data!$U:$U,1),"")</f>
        <v/>
      </c>
      <c r="H11" s="7">
        <f>IFERROR(SUMIFS(Data!$P:$P,Data!$C:$C,$A11,Data!$R:$R,$B11,Data!$F:$F,2025,Data!$U:$U,1)/SUMIFS(Data!$N:$N,Data!$C:$C,$A11,Data!$R:$R,$B11,Data!$F:$F,2025,Data!$U:$U,1),"")</f>
        <v/>
      </c>
      <c r="I11" s="7">
        <f>IFERROR(SUMIFS(Data!$P:$P,Data!$C:$C,$A11,Data!$R:$R,$B11,Data!$F:$F,2026,Data!$U:$U,1)/SUMIFS(Data!$N:$N,Data!$C:$C,$A11,Data!$R:$R,$B11,Data!$F:$F,2026,Data!$U:$U,1),"")</f>
        <v/>
      </c>
    </row>
    <row r="12">
      <c r="A12" t="inlineStr">
        <is>
          <t>B2</t>
        </is>
      </c>
      <c r="B12" t="inlineStr">
        <is>
          <t>Control</t>
        </is>
      </c>
      <c r="C12" s="7">
        <f>IFERROR(SUMIFS(Data!$P:$P,Data!$C:$C,$A12,Data!$R:$R,$B12,Data!$F:$F,2020,Data!$U:$U,1)/SUMIFS(Data!$N:$N,Data!$C:$C,$A12,Data!$R:$R,$B12,Data!$F:$F,2020,Data!$U:$U,1),"")</f>
        <v/>
      </c>
      <c r="D12" s="7">
        <f>IFERROR(SUMIFS(Data!$P:$P,Data!$C:$C,$A12,Data!$R:$R,$B12,Data!$F:$F,2021,Data!$U:$U,1)/SUMIFS(Data!$N:$N,Data!$C:$C,$A12,Data!$R:$R,$B12,Data!$F:$F,2021,Data!$U:$U,1),"")</f>
        <v/>
      </c>
      <c r="E12" s="7">
        <f>IFERROR(SUMIFS(Data!$P:$P,Data!$C:$C,$A12,Data!$R:$R,$B12,Data!$F:$F,2022,Data!$U:$U,1)/SUMIFS(Data!$N:$N,Data!$C:$C,$A12,Data!$R:$R,$B12,Data!$F:$F,2022,Data!$U:$U,1),"")</f>
        <v/>
      </c>
      <c r="F12" s="7">
        <f>IFERROR(SUMIFS(Data!$P:$P,Data!$C:$C,$A12,Data!$R:$R,$B12,Data!$F:$F,2023,Data!$U:$U,1)/SUMIFS(Data!$N:$N,Data!$C:$C,$A12,Data!$R:$R,$B12,Data!$F:$F,2023,Data!$U:$U,1),"")</f>
        <v/>
      </c>
      <c r="G12" s="7">
        <f>IFERROR(SUMIFS(Data!$P:$P,Data!$C:$C,$A12,Data!$R:$R,$B12,Data!$F:$F,2024,Data!$U:$U,1)/SUMIFS(Data!$N:$N,Data!$C:$C,$A12,Data!$R:$R,$B12,Data!$F:$F,2024,Data!$U:$U,1),"")</f>
        <v/>
      </c>
      <c r="H12" s="7">
        <f>IFERROR(SUMIFS(Data!$P:$P,Data!$C:$C,$A12,Data!$R:$R,$B12,Data!$F:$F,2025,Data!$U:$U,1)/SUMIFS(Data!$N:$N,Data!$C:$C,$A12,Data!$R:$R,$B12,Data!$F:$F,2025,Data!$U:$U,1),"")</f>
        <v/>
      </c>
      <c r="I12" s="7">
        <f>IFERROR(SUMIFS(Data!$P:$P,Data!$C:$C,$A12,Data!$R:$R,$B12,Data!$F:$F,2026,Data!$U:$U,1)/SUMIFS(Data!$N:$N,Data!$C:$C,$A12,Data!$R:$R,$B12,Data!$F:$F,2026,Data!$U:$U,1),"")</f>
        <v/>
      </c>
    </row>
    <row r="13">
      <c r="A13" t="inlineStr">
        <is>
          <t>B3</t>
        </is>
      </c>
      <c r="B13" t="inlineStr">
        <is>
          <t>Section 1</t>
        </is>
      </c>
      <c r="C13" s="7">
        <f>IFERROR(SUMIFS(Data!$P:$P,Data!$C:$C,$A13,Data!$R:$R,$B13,Data!$F:$F,2020,Data!$U:$U,1)/SUMIFS(Data!$N:$N,Data!$C:$C,$A13,Data!$R:$R,$B13,Data!$F:$F,2020,Data!$U:$U,1),"")</f>
        <v/>
      </c>
      <c r="D13" s="7">
        <f>IFERROR(SUMIFS(Data!$P:$P,Data!$C:$C,$A13,Data!$R:$R,$B13,Data!$F:$F,2021,Data!$U:$U,1)/SUMIFS(Data!$N:$N,Data!$C:$C,$A13,Data!$R:$R,$B13,Data!$F:$F,2021,Data!$U:$U,1),"")</f>
        <v/>
      </c>
      <c r="E13" s="7">
        <f>IFERROR(SUMIFS(Data!$P:$P,Data!$C:$C,$A13,Data!$R:$R,$B13,Data!$F:$F,2022,Data!$U:$U,1)/SUMIFS(Data!$N:$N,Data!$C:$C,$A13,Data!$R:$R,$B13,Data!$F:$F,2022,Data!$U:$U,1),"")</f>
        <v/>
      </c>
      <c r="F13" s="7">
        <f>IFERROR(SUMIFS(Data!$P:$P,Data!$C:$C,$A13,Data!$R:$R,$B13,Data!$F:$F,2023,Data!$U:$U,1)/SUMIFS(Data!$N:$N,Data!$C:$C,$A13,Data!$R:$R,$B13,Data!$F:$F,2023,Data!$U:$U,1),"")</f>
        <v/>
      </c>
      <c r="G13" s="7">
        <f>IFERROR(SUMIFS(Data!$P:$P,Data!$C:$C,$A13,Data!$R:$R,$B13,Data!$F:$F,2024,Data!$U:$U,1)/SUMIFS(Data!$N:$N,Data!$C:$C,$A13,Data!$R:$R,$B13,Data!$F:$F,2024,Data!$U:$U,1),"")</f>
        <v/>
      </c>
      <c r="H13" s="7">
        <f>IFERROR(SUMIFS(Data!$P:$P,Data!$C:$C,$A13,Data!$R:$R,$B13,Data!$F:$F,2025,Data!$U:$U,1)/SUMIFS(Data!$N:$N,Data!$C:$C,$A13,Data!$R:$R,$B13,Data!$F:$F,2025,Data!$U:$U,1),"")</f>
        <v/>
      </c>
      <c r="I13" s="7">
        <f>IFERROR(SUMIFS(Data!$P:$P,Data!$C:$C,$A13,Data!$R:$R,$B13,Data!$F:$F,2026,Data!$U:$U,1)/SUMIFS(Data!$N:$N,Data!$C:$C,$A13,Data!$R:$R,$B13,Data!$F:$F,2026,Data!$U:$U,1),"")</f>
        <v/>
      </c>
    </row>
    <row r="14">
      <c r="A14" t="inlineStr">
        <is>
          <t>B3</t>
        </is>
      </c>
      <c r="B14" t="inlineStr">
        <is>
          <t>Control</t>
        </is>
      </c>
      <c r="C14" s="7">
        <f>IFERROR(SUMIFS(Data!$P:$P,Data!$C:$C,$A14,Data!$R:$R,$B14,Data!$F:$F,2020,Data!$U:$U,1)/SUMIFS(Data!$N:$N,Data!$C:$C,$A14,Data!$R:$R,$B14,Data!$F:$F,2020,Data!$U:$U,1),"")</f>
        <v/>
      </c>
      <c r="D14" s="7">
        <f>IFERROR(SUMIFS(Data!$P:$P,Data!$C:$C,$A14,Data!$R:$R,$B14,Data!$F:$F,2021,Data!$U:$U,1)/SUMIFS(Data!$N:$N,Data!$C:$C,$A14,Data!$R:$R,$B14,Data!$F:$F,2021,Data!$U:$U,1),"")</f>
        <v/>
      </c>
      <c r="E14" s="7">
        <f>IFERROR(SUMIFS(Data!$P:$P,Data!$C:$C,$A14,Data!$R:$R,$B14,Data!$F:$F,2022,Data!$U:$U,1)/SUMIFS(Data!$N:$N,Data!$C:$C,$A14,Data!$R:$R,$B14,Data!$F:$F,2022,Data!$U:$U,1),"")</f>
        <v/>
      </c>
      <c r="F14" s="7">
        <f>IFERROR(SUMIFS(Data!$P:$P,Data!$C:$C,$A14,Data!$R:$R,$B14,Data!$F:$F,2023,Data!$U:$U,1)/SUMIFS(Data!$N:$N,Data!$C:$C,$A14,Data!$R:$R,$B14,Data!$F:$F,2023,Data!$U:$U,1),"")</f>
        <v/>
      </c>
      <c r="G14" s="7">
        <f>IFERROR(SUMIFS(Data!$P:$P,Data!$C:$C,$A14,Data!$R:$R,$B14,Data!$F:$F,2024,Data!$U:$U,1)/SUMIFS(Data!$N:$N,Data!$C:$C,$A14,Data!$R:$R,$B14,Data!$F:$F,2024,Data!$U:$U,1),"")</f>
        <v/>
      </c>
      <c r="H14" s="7">
        <f>IFERROR(SUMIFS(Data!$P:$P,Data!$C:$C,$A14,Data!$R:$R,$B14,Data!$F:$F,2025,Data!$U:$U,1)/SUMIFS(Data!$N:$N,Data!$C:$C,$A14,Data!$R:$R,$B14,Data!$F:$F,2025,Data!$U:$U,1),"")</f>
        <v/>
      </c>
      <c r="I14" s="7">
        <f>IFERROR(SUMIFS(Data!$P:$P,Data!$C:$C,$A14,Data!$R:$R,$B14,Data!$F:$F,2026,Data!$U:$U,1)/SUMIFS(Data!$N:$N,Data!$C:$C,$A14,Data!$R:$R,$B14,Data!$F:$F,2026,Data!$U:$U,1),"")</f>
        <v/>
      </c>
    </row>
    <row r="16">
      <c r="A16" s="5" t="inlineStr">
        <is>
          <t>Simple difference-in-differences (percentage points)</t>
        </is>
      </c>
    </row>
    <row r="17">
      <c r="A17" s="8" t="inlineStr">
        <is>
          <t>Zone</t>
        </is>
      </c>
      <c r="B17" s="8" t="inlineStr">
        <is>
          <t>Distance</t>
        </is>
      </c>
      <c r="C17" s="8" t="inlineStr">
        <is>
          <t>S1: 2024</t>
        </is>
      </c>
      <c r="D17" s="8" t="inlineStr">
        <is>
          <t>S1: avg 2025–26</t>
        </is>
      </c>
      <c r="E17" s="8" t="inlineStr">
        <is>
          <t>S1 change</t>
        </is>
      </c>
      <c r="F17" s="8" t="inlineStr">
        <is>
          <t>Ctrl: 2024</t>
        </is>
      </c>
      <c r="G17" s="8" t="inlineStr">
        <is>
          <t>Ctrl: avg 2025–26</t>
        </is>
      </c>
      <c r="H17" s="8" t="inlineStr">
        <is>
          <t>Ctrl change</t>
        </is>
      </c>
      <c r="I17" s="8" t="inlineStr">
        <is>
          <t>DiD (S1 − Ctrl)</t>
        </is>
      </c>
    </row>
    <row r="18">
      <c r="A18" t="inlineStr">
        <is>
          <t>F</t>
        </is>
      </c>
      <c r="B18" t="inlineStr">
        <is>
          <t>Footprint</t>
        </is>
      </c>
      <c r="C18" s="7">
        <f>G7</f>
        <v/>
      </c>
      <c r="D18" s="7">
        <f>AVERAGE(H7:I7)</f>
        <v/>
      </c>
      <c r="E18" s="7">
        <f>D18-C18</f>
        <v/>
      </c>
      <c r="F18" s="7">
        <f>G8</f>
        <v/>
      </c>
      <c r="G18" s="7">
        <f>AVERAGE(H8:I8)</f>
        <v/>
      </c>
      <c r="H18" s="7">
        <f>G18-F18</f>
        <v/>
      </c>
      <c r="I18" s="9">
        <f>(E18-H18)*100</f>
        <v/>
      </c>
    </row>
    <row r="19">
      <c r="A19" t="inlineStr">
        <is>
          <t>B1</t>
        </is>
      </c>
      <c r="B19" t="inlineStr">
        <is>
          <t>0–500 m</t>
        </is>
      </c>
      <c r="C19" s="7">
        <f>G9</f>
        <v/>
      </c>
      <c r="D19" s="7">
        <f>AVERAGE(H9:I9)</f>
        <v/>
      </c>
      <c r="E19" s="7">
        <f>D19-C19</f>
        <v/>
      </c>
      <c r="F19" s="7">
        <f>G10</f>
        <v/>
      </c>
      <c r="G19" s="7">
        <f>AVERAGE(H10:I10)</f>
        <v/>
      </c>
      <c r="H19" s="7">
        <f>G19-F19</f>
        <v/>
      </c>
      <c r="I19" s="9">
        <f>(E19-H19)*100</f>
        <v/>
      </c>
    </row>
    <row r="20">
      <c r="A20" t="inlineStr">
        <is>
          <t>B2</t>
        </is>
      </c>
      <c r="B20" t="inlineStr">
        <is>
          <t>500 m–1 km</t>
        </is>
      </c>
      <c r="C20" s="7">
        <f>G11</f>
        <v/>
      </c>
      <c r="D20" s="7">
        <f>AVERAGE(H11:I11)</f>
        <v/>
      </c>
      <c r="E20" s="7">
        <f>D20-C20</f>
        <v/>
      </c>
      <c r="F20" s="7">
        <f>G12</f>
        <v/>
      </c>
      <c r="G20" s="7">
        <f>AVERAGE(H12:I12)</f>
        <v/>
      </c>
      <c r="H20" s="7">
        <f>G20-F20</f>
        <v/>
      </c>
      <c r="I20" s="9">
        <f>(E20-H20)*100</f>
        <v/>
      </c>
    </row>
    <row r="21">
      <c r="A21" t="inlineStr">
        <is>
          <t>B3</t>
        </is>
      </c>
      <c r="B21" t="inlineStr">
        <is>
          <t>1–5 km</t>
        </is>
      </c>
      <c r="C21" s="7">
        <f>G13</f>
        <v/>
      </c>
      <c r="D21" s="7">
        <f>AVERAGE(H13:I13)</f>
        <v/>
      </c>
      <c r="E21" s="7">
        <f>D21-C21</f>
        <v/>
      </c>
      <c r="F21" s="7">
        <f>G14</f>
        <v/>
      </c>
      <c r="G21" s="7">
        <f>AVERAGE(H14:I14)</f>
        <v/>
      </c>
      <c r="H21" s="7">
        <f>G21-F21</f>
        <v/>
      </c>
      <c r="I21" s="9">
        <f>(E21-H21)*100</f>
        <v/>
      </c>
    </row>
    <row r="22">
      <c r="A22" s="10" t="inlineStr">
        <is>
          <t>DiD in percentage points: e.g. 10.0 means Section 1 lost 10 percentage points more of its 2020 vegetation than the controls after construction began, relative to 2024.</t>
        </is>
      </c>
    </row>
    <row r="24">
      <c r="A24" s="5" t="inlineStr">
        <is>
          <t>Hectares of 2020 vegetation lost by DS2026 (included units)</t>
        </is>
      </c>
    </row>
    <row r="25">
      <c r="A25" s="8" t="inlineStr">
        <is>
          <t>Zone</t>
        </is>
      </c>
      <c r="B25" s="8" t="inlineStr">
        <is>
          <t>Distance</t>
        </is>
      </c>
      <c r="C25" s="8" t="inlineStr">
        <is>
          <t>Section 1 (ha)</t>
        </is>
      </c>
      <c r="D25" s="8" t="inlineStr">
        <is>
          <t>Control (ha)</t>
        </is>
      </c>
      <c r="E25" s="8" t="inlineStr">
        <is>
          <t>S1 2020 vegetation (ha)</t>
        </is>
      </c>
      <c r="F25" s="8" t="inlineStr">
        <is>
          <t>Control 2020 vegetation (ha)</t>
        </is>
      </c>
    </row>
    <row r="26">
      <c r="A26" t="inlineStr">
        <is>
          <t>F</t>
        </is>
      </c>
      <c r="B26" t="inlineStr">
        <is>
          <t>Footprint</t>
        </is>
      </c>
      <c r="C26" s="11">
        <f>SUMIFS(Data!$T:$T,Data!$C:$C,$A26,Data!$R:$R,"Section 1",Data!$F:$F,2026,Data!$U:$U,1)</f>
        <v/>
      </c>
      <c r="D26" s="11">
        <f>SUMIFS(Data!$T:$T,Data!$C:$C,$A26,Data!$R:$R,"Control",Data!$F:$F,2026,Data!$U:$U,1)</f>
        <v/>
      </c>
      <c r="E26" s="11">
        <f>SUMIFS(Data!$S:$S,Data!$C:$C,$A26,Data!$R:$R,"Section 1",Data!$F:$F,2026,Data!$U:$U,1)</f>
        <v/>
      </c>
      <c r="F26" s="11">
        <f>SUMIFS(Data!$S:$S,Data!$C:$C,$A26,Data!$R:$R,"Control",Data!$F:$F,2026,Data!$U:$U,1)</f>
        <v/>
      </c>
    </row>
    <row r="27">
      <c r="A27" t="inlineStr">
        <is>
          <t>B1</t>
        </is>
      </c>
      <c r="B27" t="inlineStr">
        <is>
          <t>0–500 m</t>
        </is>
      </c>
      <c r="C27" s="11">
        <f>SUMIFS(Data!$T:$T,Data!$C:$C,$A27,Data!$R:$R,"Section 1",Data!$F:$F,2026,Data!$U:$U,1)</f>
        <v/>
      </c>
      <c r="D27" s="11">
        <f>SUMIFS(Data!$T:$T,Data!$C:$C,$A27,Data!$R:$R,"Control",Data!$F:$F,2026,Data!$U:$U,1)</f>
        <v/>
      </c>
      <c r="E27" s="11">
        <f>SUMIFS(Data!$S:$S,Data!$C:$C,$A27,Data!$R:$R,"Section 1",Data!$F:$F,2026,Data!$U:$U,1)</f>
        <v/>
      </c>
      <c r="F27" s="11">
        <f>SUMIFS(Data!$S:$S,Data!$C:$C,$A27,Data!$R:$R,"Control",Data!$F:$F,2026,Data!$U:$U,1)</f>
        <v/>
      </c>
    </row>
    <row r="28">
      <c r="A28" t="inlineStr">
        <is>
          <t>B2</t>
        </is>
      </c>
      <c r="B28" t="inlineStr">
        <is>
          <t>500 m–1 km</t>
        </is>
      </c>
      <c r="C28" s="11">
        <f>SUMIFS(Data!$T:$T,Data!$C:$C,$A28,Data!$R:$R,"Section 1",Data!$F:$F,2026,Data!$U:$U,1)</f>
        <v/>
      </c>
      <c r="D28" s="11">
        <f>SUMIFS(Data!$T:$T,Data!$C:$C,$A28,Data!$R:$R,"Control",Data!$F:$F,2026,Data!$U:$U,1)</f>
        <v/>
      </c>
      <c r="E28" s="11">
        <f>SUMIFS(Data!$S:$S,Data!$C:$C,$A28,Data!$R:$R,"Section 1",Data!$F:$F,2026,Data!$U:$U,1)</f>
        <v/>
      </c>
      <c r="F28" s="11">
        <f>SUMIFS(Data!$S:$S,Data!$C:$C,$A28,Data!$R:$R,"Control",Data!$F:$F,2026,Data!$U:$U,1)</f>
        <v/>
      </c>
    </row>
    <row r="29">
      <c r="A29" t="inlineStr">
        <is>
          <t>B3</t>
        </is>
      </c>
      <c r="B29" t="inlineStr">
        <is>
          <t>1–5 km</t>
        </is>
      </c>
      <c r="C29" s="11">
        <f>SUMIFS(Data!$T:$T,Data!$C:$C,$A29,Data!$R:$R,"Section 1",Data!$F:$F,2026,Data!$U:$U,1)</f>
        <v/>
      </c>
      <c r="D29" s="11">
        <f>SUMIFS(Data!$T:$T,Data!$C:$C,$A29,Data!$R:$R,"Control",Data!$F:$F,2026,Data!$U:$U,1)</f>
        <v/>
      </c>
      <c r="E29" s="11">
        <f>SUMIFS(Data!$S:$S,Data!$C:$C,$A29,Data!$R:$R,"Section 1",Data!$F:$F,2026,Data!$U:$U,1)</f>
        <v/>
      </c>
      <c r="F29" s="11">
        <f>SUMIFS(Data!$S:$S,Data!$C:$C,$A29,Data!$R:$R,"Control",Data!$F:$F,2026,Data!$U:$U,1)</f>
        <v/>
      </c>
    </row>
    <row r="30">
      <c r="B30" s="5" t="inlineStr">
        <is>
          <t>Total</t>
        </is>
      </c>
      <c r="C30" s="12">
        <f>SUM(C26:C29)</f>
        <v/>
      </c>
      <c r="D30" s="12">
        <f>SUM(D26:D29)</f>
        <v/>
      </c>
      <c r="E30" s="12">
        <f>SUM(E26:E29)</f>
        <v/>
      </c>
      <c r="F30" s="12">
        <f>SUM(F26:F29)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8" customWidth="1" min="4" max="4"/>
    <col width="6" customWidth="1" min="5" max="5"/>
    <col width="6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0" customWidth="1" min="18" max="18"/>
    <col width="11" customWidth="1" min="19" max="19"/>
    <col width="11" customWidth="1" min="20" max="20"/>
    <col width="8" customWidth="1" min="21" max="21"/>
    <col width="11" customWidth="1" min="22" max="22"/>
    <col width="11" customWidth="1" min="23" max="23"/>
  </cols>
  <sheetData>
    <row r="1">
      <c r="A1" s="8" t="inlineStr">
        <is>
          <t>unit_id</t>
        </is>
      </c>
      <c r="B1" s="8" t="inlineStr">
        <is>
          <t>seg_id</t>
        </is>
      </c>
      <c r="C1" s="8" t="inlineStr">
        <is>
          <t>zone</t>
        </is>
      </c>
      <c r="D1" s="8" t="inlineStr">
        <is>
          <t>treated</t>
        </is>
      </c>
      <c r="E1" s="8" t="inlineStr">
        <is>
          <t>side</t>
        </is>
      </c>
      <c r="F1" s="8" t="inlineStr">
        <is>
          <t>year</t>
        </is>
      </c>
      <c r="G1" s="8" t="inlineStr">
        <is>
          <t>a_total</t>
        </is>
      </c>
      <c r="H1" s="8" t="inlineStr">
        <is>
          <t>a_veg</t>
        </is>
      </c>
      <c r="I1" s="8" t="inlineStr">
        <is>
          <t>a_sand</t>
        </is>
      </c>
      <c r="J1" s="8" t="inlineStr">
        <is>
          <t>a_beach</t>
        </is>
      </c>
      <c r="K1" s="8" t="inlineStr">
        <is>
          <t>a_built</t>
        </is>
      </c>
      <c r="L1" s="8" t="inlineStr">
        <is>
          <t>a_water</t>
        </is>
      </c>
      <c r="M1" s="8" t="inlineStr">
        <is>
          <t>a_flagged</t>
        </is>
      </c>
      <c r="N1" s="8" t="inlineStr">
        <is>
          <t>a_veg2020</t>
        </is>
      </c>
      <c r="O1" s="8" t="inlineStr">
        <is>
          <t>a_land2020</t>
        </is>
      </c>
      <c r="P1" s="8" t="inlineStr">
        <is>
          <t>a_veglost</t>
        </is>
      </c>
      <c r="Q1" s="8" t="inlineStr">
        <is>
          <t>elev_x_area</t>
        </is>
      </c>
      <c r="R1" s="8" t="inlineStr">
        <is>
          <t>group</t>
        </is>
      </c>
      <c r="S1" s="8" t="inlineStr">
        <is>
          <t>veg2020_ha</t>
        </is>
      </c>
      <c r="T1" s="8" t="inlineStr">
        <is>
          <t>veglost_ha</t>
        </is>
      </c>
      <c r="U1" s="8" t="inlineStr">
        <is>
          <t>include</t>
        </is>
      </c>
      <c r="V1" s="8" t="inlineStr">
        <is>
          <t>pct_veg_lost</t>
        </is>
      </c>
      <c r="W1" s="8" t="inlineStr">
        <is>
          <t>veg_share_of_land</t>
        </is>
      </c>
    </row>
    <row r="2">
      <c r="A2" s="13" t="inlineStr">
        <is>
          <t>T01_B1</t>
        </is>
      </c>
      <c r="B2" s="13" t="inlineStr">
        <is>
          <t>T01</t>
        </is>
      </c>
      <c r="C2" s="13" t="inlineStr">
        <is>
          <t>B1</t>
        </is>
      </c>
      <c r="D2" s="13" t="n">
        <v>1</v>
      </c>
      <c r="E2" s="13" t="inlineStr">
        <is>
          <t>S1</t>
        </is>
      </c>
      <c r="F2" s="13" t="n">
        <v>2020</v>
      </c>
      <c r="G2" s="14" t="n">
        <v>1457208.632128786</v>
      </c>
      <c r="H2" s="14" t="n">
        <v>76414.62495186001</v>
      </c>
      <c r="I2" s="14" t="n">
        <v>550263.2138517193</v>
      </c>
      <c r="J2" s="14" t="n">
        <v>0</v>
      </c>
      <c r="K2" s="14" t="n">
        <v>663648.0233941771</v>
      </c>
      <c r="L2" s="14" t="n">
        <v>166882.7699310303</v>
      </c>
      <c r="M2" s="14" t="n">
        <v>0</v>
      </c>
      <c r="N2" s="14" t="n">
        <v>76414.62495186001</v>
      </c>
      <c r="O2" s="14" t="n">
        <v>1290325.862197756</v>
      </c>
      <c r="P2" s="14" t="n">
        <v>0</v>
      </c>
      <c r="Q2" s="14" t="n">
        <v>4702868.724894807</v>
      </c>
      <c r="R2" s="15">
        <f>IF(D2=1,"Section 1","Control")</f>
        <v/>
      </c>
      <c r="S2" s="16">
        <f>N2/10000</f>
        <v/>
      </c>
      <c r="T2" s="16">
        <f>P2/10000</f>
        <v/>
      </c>
      <c r="U2" s="15">
        <f>IF(N2&gt;=Summary!$D$3,1,0)</f>
        <v/>
      </c>
      <c r="V2" s="17">
        <f>IF(N2&gt;0,P2/N2,"")</f>
        <v/>
      </c>
      <c r="W2" s="17">
        <f>IF(O2&gt;0,H2/O2,"")</f>
        <v/>
      </c>
    </row>
    <row r="3">
      <c r="A3" s="13" t="inlineStr">
        <is>
          <t>T01_B1</t>
        </is>
      </c>
      <c r="B3" s="13" t="inlineStr">
        <is>
          <t>T01</t>
        </is>
      </c>
      <c r="C3" s="13" t="inlineStr">
        <is>
          <t>B1</t>
        </is>
      </c>
      <c r="D3" s="13" t="n">
        <v>1</v>
      </c>
      <c r="E3" s="13" t="inlineStr">
        <is>
          <t>S1</t>
        </is>
      </c>
      <c r="F3" s="13" t="n">
        <v>2021</v>
      </c>
      <c r="G3" s="14" t="n">
        <v>1457208.632128786</v>
      </c>
      <c r="H3" s="14" t="n">
        <v>75804.48683767879</v>
      </c>
      <c r="I3" s="14" t="n">
        <v>564437.2555893543</v>
      </c>
      <c r="J3" s="14" t="n">
        <v>0</v>
      </c>
      <c r="K3" s="14" t="n">
        <v>696139.4949802773</v>
      </c>
      <c r="L3" s="14" t="n">
        <v>120827.3947214762</v>
      </c>
      <c r="M3" s="14" t="n">
        <v>0</v>
      </c>
      <c r="N3" s="14" t="n">
        <v>76414.62495186001</v>
      </c>
      <c r="O3" s="14" t="n">
        <v>1290325.862197756</v>
      </c>
      <c r="P3" s="14" t="n">
        <v>5108.443377625708</v>
      </c>
      <c r="Q3" s="14" t="n">
        <v>4702868.724894807</v>
      </c>
      <c r="R3" s="15">
        <f>IF(D3=1,"Section 1","Control")</f>
        <v/>
      </c>
      <c r="S3" s="16">
        <f>N3/10000</f>
        <v/>
      </c>
      <c r="T3" s="16">
        <f>P3/10000</f>
        <v/>
      </c>
      <c r="U3" s="15">
        <f>IF(N3&gt;=Summary!$D$3,1,0)</f>
        <v/>
      </c>
      <c r="V3" s="17">
        <f>IF(N3&gt;0,P3/N3,"")</f>
        <v/>
      </c>
      <c r="W3" s="17">
        <f>IF(O3&gt;0,H3/O3,"")</f>
        <v/>
      </c>
    </row>
    <row r="4">
      <c r="A4" s="13" t="inlineStr">
        <is>
          <t>T01_B1</t>
        </is>
      </c>
      <c r="B4" s="13" t="inlineStr">
        <is>
          <t>T01</t>
        </is>
      </c>
      <c r="C4" s="13" t="inlineStr">
        <is>
          <t>B1</t>
        </is>
      </c>
      <c r="D4" s="13" t="n">
        <v>1</v>
      </c>
      <c r="E4" s="13" t="inlineStr">
        <is>
          <t>S1</t>
        </is>
      </c>
      <c r="F4" s="13" t="n">
        <v>2022</v>
      </c>
      <c r="G4" s="14" t="n">
        <v>1457208.632128786</v>
      </c>
      <c r="H4" s="14" t="n">
        <v>68429.28433912688</v>
      </c>
      <c r="I4" s="14" t="n">
        <v>570346.7831796384</v>
      </c>
      <c r="J4" s="14" t="n">
        <v>0</v>
      </c>
      <c r="K4" s="14" t="n">
        <v>708819.4063191133</v>
      </c>
      <c r="L4" s="14" t="n">
        <v>109613.1582909079</v>
      </c>
      <c r="M4" s="14" t="n">
        <v>0</v>
      </c>
      <c r="N4" s="14" t="n">
        <v>76414.62495186001</v>
      </c>
      <c r="O4" s="14" t="n">
        <v>1290325.862197756</v>
      </c>
      <c r="P4" s="14" t="n">
        <v>13238.97500125661</v>
      </c>
      <c r="Q4" s="14" t="n">
        <v>4702868.724894807</v>
      </c>
      <c r="R4" s="15">
        <f>IF(D4=1,"Section 1","Control")</f>
        <v/>
      </c>
      <c r="S4" s="16">
        <f>N4/10000</f>
        <v/>
      </c>
      <c r="T4" s="16">
        <f>P4/10000</f>
        <v/>
      </c>
      <c r="U4" s="15">
        <f>IF(N4&gt;=Summary!$D$3,1,0)</f>
        <v/>
      </c>
      <c r="V4" s="17">
        <f>IF(N4&gt;0,P4/N4,"")</f>
        <v/>
      </c>
      <c r="W4" s="17">
        <f>IF(O4&gt;0,H4/O4,"")</f>
        <v/>
      </c>
    </row>
    <row r="5">
      <c r="A5" s="13" t="inlineStr">
        <is>
          <t>T01_B1</t>
        </is>
      </c>
      <c r="B5" s="13" t="inlineStr">
        <is>
          <t>T01</t>
        </is>
      </c>
      <c r="C5" s="13" t="inlineStr">
        <is>
          <t>B1</t>
        </is>
      </c>
      <c r="D5" s="13" t="n">
        <v>1</v>
      </c>
      <c r="E5" s="13" t="inlineStr">
        <is>
          <t>S1</t>
        </is>
      </c>
      <c r="F5" s="13" t="n">
        <v>2023</v>
      </c>
      <c r="G5" s="14" t="n">
        <v>1457208.632128786</v>
      </c>
      <c r="H5" s="14" t="n">
        <v>62189.58147597968</v>
      </c>
      <c r="I5" s="14" t="n">
        <v>546689.7770288206</v>
      </c>
      <c r="J5" s="14" t="n">
        <v>0</v>
      </c>
      <c r="K5" s="14" t="n">
        <v>676849.4739892698</v>
      </c>
      <c r="L5" s="14" t="n">
        <v>171479.7996347166</v>
      </c>
      <c r="M5" s="14" t="n">
        <v>0</v>
      </c>
      <c r="N5" s="14" t="n">
        <v>76414.62495186001</v>
      </c>
      <c r="O5" s="14" t="n">
        <v>1290325.862197756</v>
      </c>
      <c r="P5" s="14" t="n">
        <v>18359.04106810326</v>
      </c>
      <c r="Q5" s="14" t="n">
        <v>4702868.724894807</v>
      </c>
      <c r="R5" s="15">
        <f>IF(D5=1,"Section 1","Control")</f>
        <v/>
      </c>
      <c r="S5" s="16">
        <f>N5/10000</f>
        <v/>
      </c>
      <c r="T5" s="16">
        <f>P5/10000</f>
        <v/>
      </c>
      <c r="U5" s="15">
        <f>IF(N5&gt;=Summary!$D$3,1,0)</f>
        <v/>
      </c>
      <c r="V5" s="17">
        <f>IF(N5&gt;0,P5/N5,"")</f>
        <v/>
      </c>
      <c r="W5" s="17">
        <f>IF(O5&gt;0,H5/O5,"")</f>
        <v/>
      </c>
    </row>
    <row r="6">
      <c r="A6" s="13" t="inlineStr">
        <is>
          <t>T01_B1</t>
        </is>
      </c>
      <c r="B6" s="13" t="inlineStr">
        <is>
          <t>T01</t>
        </is>
      </c>
      <c r="C6" s="13" t="inlineStr">
        <is>
          <t>B1</t>
        </is>
      </c>
      <c r="D6" s="13" t="n">
        <v>1</v>
      </c>
      <c r="E6" s="13" t="inlineStr">
        <is>
          <t>S1</t>
        </is>
      </c>
      <c r="F6" s="13" t="n">
        <v>2024</v>
      </c>
      <c r="G6" s="14" t="n">
        <v>1457208.632128786</v>
      </c>
      <c r="H6" s="14" t="n">
        <v>54920.41489194983</v>
      </c>
      <c r="I6" s="14" t="n">
        <v>588217.7650570439</v>
      </c>
      <c r="J6" s="14" t="n">
        <v>0</v>
      </c>
      <c r="K6" s="14" t="n">
        <v>742665.5150109384</v>
      </c>
      <c r="L6" s="14" t="n">
        <v>71404.93716885436</v>
      </c>
      <c r="M6" s="14" t="n">
        <v>0</v>
      </c>
      <c r="N6" s="14" t="n">
        <v>76414.62495186001</v>
      </c>
      <c r="O6" s="14" t="n">
        <v>1290325.862197756</v>
      </c>
      <c r="P6" s="14" t="n">
        <v>26503.93181708841</v>
      </c>
      <c r="Q6" s="14" t="n">
        <v>4702868.724894807</v>
      </c>
      <c r="R6" s="15">
        <f>IF(D6=1,"Section 1","Control")</f>
        <v/>
      </c>
      <c r="S6" s="16">
        <f>N6/10000</f>
        <v/>
      </c>
      <c r="T6" s="16">
        <f>P6/10000</f>
        <v/>
      </c>
      <c r="U6" s="15">
        <f>IF(N6&gt;=Summary!$D$3,1,0)</f>
        <v/>
      </c>
      <c r="V6" s="17">
        <f>IF(N6&gt;0,P6/N6,"")</f>
        <v/>
      </c>
      <c r="W6" s="17">
        <f>IF(O6&gt;0,H6/O6,"")</f>
        <v/>
      </c>
    </row>
    <row r="7">
      <c r="A7" s="13" t="inlineStr">
        <is>
          <t>T01_B1</t>
        </is>
      </c>
      <c r="B7" s="13" t="inlineStr">
        <is>
          <t>T01</t>
        </is>
      </c>
      <c r="C7" s="13" t="inlineStr">
        <is>
          <t>B1</t>
        </is>
      </c>
      <c r="D7" s="13" t="n">
        <v>1</v>
      </c>
      <c r="E7" s="13" t="inlineStr">
        <is>
          <t>S1</t>
        </is>
      </c>
      <c r="F7" s="13" t="n">
        <v>2025</v>
      </c>
      <c r="G7" s="14" t="n">
        <v>1457208.632128786</v>
      </c>
      <c r="H7" s="14" t="n">
        <v>47684.19538331873</v>
      </c>
      <c r="I7" s="14" t="n">
        <v>534525.0318598129</v>
      </c>
      <c r="J7" s="14" t="n">
        <v>0</v>
      </c>
      <c r="K7" s="14" t="n">
        <v>783384.1963590434</v>
      </c>
      <c r="L7" s="14" t="n">
        <v>91615.20852661131</v>
      </c>
      <c r="M7" s="14" t="n">
        <v>0</v>
      </c>
      <c r="N7" s="14" t="n">
        <v>76414.62495186001</v>
      </c>
      <c r="O7" s="14" t="n">
        <v>1290325.862197756</v>
      </c>
      <c r="P7" s="14" t="n">
        <v>32123.42271716548</v>
      </c>
      <c r="Q7" s="14" t="n">
        <v>4702868.724894807</v>
      </c>
      <c r="R7" s="15">
        <f>IF(D7=1,"Section 1","Control")</f>
        <v/>
      </c>
      <c r="S7" s="16">
        <f>N7/10000</f>
        <v/>
      </c>
      <c r="T7" s="16">
        <f>P7/10000</f>
        <v/>
      </c>
      <c r="U7" s="15">
        <f>IF(N7&gt;=Summary!$D$3,1,0)</f>
        <v/>
      </c>
      <c r="V7" s="17">
        <f>IF(N7&gt;0,P7/N7,"")</f>
        <v/>
      </c>
      <c r="W7" s="17">
        <f>IF(O7&gt;0,H7/O7,"")</f>
        <v/>
      </c>
    </row>
    <row r="8">
      <c r="A8" s="13" t="inlineStr">
        <is>
          <t>T01_B1</t>
        </is>
      </c>
      <c r="B8" s="13" t="inlineStr">
        <is>
          <t>T01</t>
        </is>
      </c>
      <c r="C8" s="13" t="inlineStr">
        <is>
          <t>B1</t>
        </is>
      </c>
      <c r="D8" s="13" t="n">
        <v>1</v>
      </c>
      <c r="E8" s="13" t="inlineStr">
        <is>
          <t>S1</t>
        </is>
      </c>
      <c r="F8" s="13" t="n">
        <v>2026</v>
      </c>
      <c r="G8" s="14" t="n">
        <v>1457208.632128786</v>
      </c>
      <c r="H8" s="14" t="n">
        <v>41499.46647772696</v>
      </c>
      <c r="I8" s="14" t="n">
        <v>546350.9827766268</v>
      </c>
      <c r="J8" s="14" t="n">
        <v>0</v>
      </c>
      <c r="K8" s="14" t="n">
        <v>772313.1952645696</v>
      </c>
      <c r="L8" s="14" t="n">
        <v>97044.98760986328</v>
      </c>
      <c r="M8" s="14" t="n">
        <v>0</v>
      </c>
      <c r="N8" s="14" t="n">
        <v>76414.62495186001</v>
      </c>
      <c r="O8" s="14" t="n">
        <v>1290325.862197756</v>
      </c>
      <c r="P8" s="14" t="n">
        <v>40015.87773958094</v>
      </c>
      <c r="Q8" s="14" t="n">
        <v>4702868.724894807</v>
      </c>
      <c r="R8" s="15">
        <f>IF(D8=1,"Section 1","Control")</f>
        <v/>
      </c>
      <c r="S8" s="16">
        <f>N8/10000</f>
        <v/>
      </c>
      <c r="T8" s="16">
        <f>P8/10000</f>
        <v/>
      </c>
      <c r="U8" s="15">
        <f>IF(N8&gt;=Summary!$D$3,1,0)</f>
        <v/>
      </c>
      <c r="V8" s="17">
        <f>IF(N8&gt;0,P8/N8,"")</f>
        <v/>
      </c>
      <c r="W8" s="17">
        <f>IF(O8&gt;0,H8/O8,"")</f>
        <v/>
      </c>
    </row>
    <row r="9">
      <c r="A9" s="13" t="inlineStr">
        <is>
          <t>T01_B2</t>
        </is>
      </c>
      <c r="B9" s="13" t="inlineStr">
        <is>
          <t>T01</t>
        </is>
      </c>
      <c r="C9" s="13" t="inlineStr">
        <is>
          <t>B2</t>
        </is>
      </c>
      <c r="D9" s="13" t="n">
        <v>1</v>
      </c>
      <c r="E9" s="13" t="inlineStr">
        <is>
          <t>S1</t>
        </is>
      </c>
      <c r="F9" s="13" t="n">
        <v>2020</v>
      </c>
      <c r="G9" s="14" t="n">
        <v>2240562.528557781</v>
      </c>
      <c r="H9" s="14" t="n">
        <v>17372.26221382291</v>
      </c>
      <c r="I9" s="14" t="n">
        <v>880678.6516588099</v>
      </c>
      <c r="J9" s="14" t="n">
        <v>0</v>
      </c>
      <c r="K9" s="14" t="n">
        <v>1205712.438330467</v>
      </c>
      <c r="L9" s="14" t="n">
        <v>136799.1763546813</v>
      </c>
      <c r="M9" s="14" t="n">
        <v>0</v>
      </c>
      <c r="N9" s="14" t="n">
        <v>17372.26221382291</v>
      </c>
      <c r="O9" s="14" t="n">
        <v>2103763.3522031</v>
      </c>
      <c r="P9" s="14" t="n">
        <v>0</v>
      </c>
      <c r="Q9" s="14" t="n">
        <v>9372356.347320495</v>
      </c>
      <c r="R9" s="15">
        <f>IF(D9=1,"Section 1","Control")</f>
        <v/>
      </c>
      <c r="S9" s="16">
        <f>N9/10000</f>
        <v/>
      </c>
      <c r="T9" s="16">
        <f>P9/10000</f>
        <v/>
      </c>
      <c r="U9" s="15">
        <f>IF(N9&gt;=Summary!$D$3,1,0)</f>
        <v/>
      </c>
      <c r="V9" s="17">
        <f>IF(N9&gt;0,P9/N9,"")</f>
        <v/>
      </c>
      <c r="W9" s="17">
        <f>IF(O9&gt;0,H9/O9,"")</f>
        <v/>
      </c>
    </row>
    <row r="10">
      <c r="A10" s="13" t="inlineStr">
        <is>
          <t>T01_B2</t>
        </is>
      </c>
      <c r="B10" s="13" t="inlineStr">
        <is>
          <t>T01</t>
        </is>
      </c>
      <c r="C10" s="13" t="inlineStr">
        <is>
          <t>B2</t>
        </is>
      </c>
      <c r="D10" s="13" t="n">
        <v>1</v>
      </c>
      <c r="E10" s="13" t="inlineStr">
        <is>
          <t>S1</t>
        </is>
      </c>
      <c r="F10" s="13" t="n">
        <v>2021</v>
      </c>
      <c r="G10" s="14" t="n">
        <v>2240562.528557781</v>
      </c>
      <c r="H10" s="14" t="n">
        <v>17940.63034928266</v>
      </c>
      <c r="I10" s="14" t="n">
        <v>908794.0735857794</v>
      </c>
      <c r="J10" s="14" t="n">
        <v>0</v>
      </c>
      <c r="K10" s="14" t="n">
        <v>1169316.097369265</v>
      </c>
      <c r="L10" s="14" t="n">
        <v>144511.7272534539</v>
      </c>
      <c r="M10" s="14" t="n">
        <v>0</v>
      </c>
      <c r="N10" s="14" t="n">
        <v>17372.26221382291</v>
      </c>
      <c r="O10" s="14" t="n">
        <v>2103763.3522031</v>
      </c>
      <c r="P10" s="14" t="n">
        <v>4170.396055214078</v>
      </c>
      <c r="Q10" s="14" t="n">
        <v>9372356.347320495</v>
      </c>
      <c r="R10" s="15">
        <f>IF(D10=1,"Section 1","Control")</f>
        <v/>
      </c>
      <c r="S10" s="16">
        <f>N10/10000</f>
        <v/>
      </c>
      <c r="T10" s="16">
        <f>P10/10000</f>
        <v/>
      </c>
      <c r="U10" s="15">
        <f>IF(N10&gt;=Summary!$D$3,1,0)</f>
        <v/>
      </c>
      <c r="V10" s="17">
        <f>IF(N10&gt;0,P10/N10,"")</f>
        <v/>
      </c>
      <c r="W10" s="17">
        <f>IF(O10&gt;0,H10/O10,"")</f>
        <v/>
      </c>
    </row>
    <row r="11">
      <c r="A11" s="13" t="inlineStr">
        <is>
          <t>T01_B2</t>
        </is>
      </c>
      <c r="B11" s="13" t="inlineStr">
        <is>
          <t>T01</t>
        </is>
      </c>
      <c r="C11" s="13" t="inlineStr">
        <is>
          <t>B2</t>
        </is>
      </c>
      <c r="D11" s="13" t="n">
        <v>1</v>
      </c>
      <c r="E11" s="13" t="inlineStr">
        <is>
          <t>S1</t>
        </is>
      </c>
      <c r="F11" s="13" t="n">
        <v>2022</v>
      </c>
      <c r="G11" s="14" t="n">
        <v>2240562.528557781</v>
      </c>
      <c r="H11" s="14" t="n">
        <v>3652.770965576172</v>
      </c>
      <c r="I11" s="14" t="n">
        <v>913602.9596419092</v>
      </c>
      <c r="J11" s="14" t="n">
        <v>0</v>
      </c>
      <c r="K11" s="14" t="n">
        <v>1183459.53665969</v>
      </c>
      <c r="L11" s="14" t="n">
        <v>139847.2612906063</v>
      </c>
      <c r="M11" s="14" t="n">
        <v>0</v>
      </c>
      <c r="N11" s="14" t="n">
        <v>17372.26221382291</v>
      </c>
      <c r="O11" s="14" t="n">
        <v>2103763.3522031</v>
      </c>
      <c r="P11" s="14" t="n">
        <v>14706.7253943649</v>
      </c>
      <c r="Q11" s="14" t="n">
        <v>9372356.347320495</v>
      </c>
      <c r="R11" s="15">
        <f>IF(D11=1,"Section 1","Control")</f>
        <v/>
      </c>
      <c r="S11" s="16">
        <f>N11/10000</f>
        <v/>
      </c>
      <c r="T11" s="16">
        <f>P11/10000</f>
        <v/>
      </c>
      <c r="U11" s="15">
        <f>IF(N11&gt;=Summary!$D$3,1,0)</f>
        <v/>
      </c>
      <c r="V11" s="17">
        <f>IF(N11&gt;0,P11/N11,"")</f>
        <v/>
      </c>
      <c r="W11" s="17">
        <f>IF(O11&gt;0,H11/O11,"")</f>
        <v/>
      </c>
    </row>
    <row r="12">
      <c r="A12" s="13" t="inlineStr">
        <is>
          <t>T01_B2</t>
        </is>
      </c>
      <c r="B12" s="13" t="inlineStr">
        <is>
          <t>T01</t>
        </is>
      </c>
      <c r="C12" s="13" t="inlineStr">
        <is>
          <t>B2</t>
        </is>
      </c>
      <c r="D12" s="13" t="n">
        <v>1</v>
      </c>
      <c r="E12" s="13" t="inlineStr">
        <is>
          <t>S1</t>
        </is>
      </c>
      <c r="F12" s="13" t="n">
        <v>2023</v>
      </c>
      <c r="G12" s="14" t="n">
        <v>2240562.528557781</v>
      </c>
      <c r="H12" s="14" t="n">
        <v>4859.926925838695</v>
      </c>
      <c r="I12" s="14" t="n">
        <v>923464.902674716</v>
      </c>
      <c r="J12" s="14" t="n">
        <v>0</v>
      </c>
      <c r="K12" s="14" t="n">
        <v>1167664.026894513</v>
      </c>
      <c r="L12" s="14" t="n">
        <v>144573.6720627131</v>
      </c>
      <c r="M12" s="14" t="n">
        <v>0</v>
      </c>
      <c r="N12" s="14" t="n">
        <v>17372.26221382291</v>
      </c>
      <c r="O12" s="14" t="n">
        <v>2103763.3522031</v>
      </c>
      <c r="P12" s="14" t="n">
        <v>13598.30133717855</v>
      </c>
      <c r="Q12" s="14" t="n">
        <v>9372356.347320495</v>
      </c>
      <c r="R12" s="15">
        <f>IF(D12=1,"Section 1","Control")</f>
        <v/>
      </c>
      <c r="S12" s="16">
        <f>N12/10000</f>
        <v/>
      </c>
      <c r="T12" s="16">
        <f>P12/10000</f>
        <v/>
      </c>
      <c r="U12" s="15">
        <f>IF(N12&gt;=Summary!$D$3,1,0)</f>
        <v/>
      </c>
      <c r="V12" s="17">
        <f>IF(N12&gt;0,P12/N12,"")</f>
        <v/>
      </c>
      <c r="W12" s="17">
        <f>IF(O12&gt;0,H12/O12,"")</f>
        <v/>
      </c>
    </row>
    <row r="13">
      <c r="A13" s="13" t="inlineStr">
        <is>
          <t>T01_B2</t>
        </is>
      </c>
      <c r="B13" s="13" t="inlineStr">
        <is>
          <t>T01</t>
        </is>
      </c>
      <c r="C13" s="13" t="inlineStr">
        <is>
          <t>B2</t>
        </is>
      </c>
      <c r="D13" s="13" t="n">
        <v>1</v>
      </c>
      <c r="E13" s="13" t="inlineStr">
        <is>
          <t>S1</t>
        </is>
      </c>
      <c r="F13" s="13" t="n">
        <v>2024</v>
      </c>
      <c r="G13" s="14" t="n">
        <v>2240562.528557781</v>
      </c>
      <c r="H13" s="14" t="n">
        <v>4369.006499047373</v>
      </c>
      <c r="I13" s="14" t="n">
        <v>994937.9785845588</v>
      </c>
      <c r="J13" s="14" t="n">
        <v>0</v>
      </c>
      <c r="K13" s="14" t="n">
        <v>1164552.88631891</v>
      </c>
      <c r="L13" s="14" t="n">
        <v>76702.65715526507</v>
      </c>
      <c r="M13" s="14" t="n">
        <v>0</v>
      </c>
      <c r="N13" s="14" t="n">
        <v>17372.26221382291</v>
      </c>
      <c r="O13" s="14" t="n">
        <v>2103763.3522031</v>
      </c>
      <c r="P13" s="14" t="n">
        <v>15595.23528206021</v>
      </c>
      <c r="Q13" s="14" t="n">
        <v>9372356.347320495</v>
      </c>
      <c r="R13" s="15">
        <f>IF(D13=1,"Section 1","Control")</f>
        <v/>
      </c>
      <c r="S13" s="16">
        <f>N13/10000</f>
        <v/>
      </c>
      <c r="T13" s="16">
        <f>P13/10000</f>
        <v/>
      </c>
      <c r="U13" s="15">
        <f>IF(N13&gt;=Summary!$D$3,1,0)</f>
        <v/>
      </c>
      <c r="V13" s="17">
        <f>IF(N13&gt;0,P13/N13,"")</f>
        <v/>
      </c>
      <c r="W13" s="17">
        <f>IF(O13&gt;0,H13/O13,"")</f>
        <v/>
      </c>
    </row>
    <row r="14">
      <c r="A14" s="13" t="inlineStr">
        <is>
          <t>T01_B2</t>
        </is>
      </c>
      <c r="B14" s="13" t="inlineStr">
        <is>
          <t>T01</t>
        </is>
      </c>
      <c r="C14" s="13" t="inlineStr">
        <is>
          <t>B2</t>
        </is>
      </c>
      <c r="D14" s="13" t="n">
        <v>1</v>
      </c>
      <c r="E14" s="13" t="inlineStr">
        <is>
          <t>S1</t>
        </is>
      </c>
      <c r="F14" s="13" t="n">
        <v>2025</v>
      </c>
      <c r="G14" s="14" t="n">
        <v>2240562.528557781</v>
      </c>
      <c r="H14" s="14" t="n">
        <v>7860.737490036908</v>
      </c>
      <c r="I14" s="14" t="n">
        <v>1048632.377065801</v>
      </c>
      <c r="J14" s="14" t="n">
        <v>0</v>
      </c>
      <c r="K14" s="14" t="n">
        <v>1184069.414001944</v>
      </c>
      <c r="L14" s="14" t="n">
        <v>0</v>
      </c>
      <c r="M14" s="14" t="n">
        <v>0</v>
      </c>
      <c r="N14" s="14" t="n">
        <v>17372.26221382291</v>
      </c>
      <c r="O14" s="14" t="n">
        <v>2103763.3522031</v>
      </c>
      <c r="P14" s="14" t="n">
        <v>15299.06014167935</v>
      </c>
      <c r="Q14" s="14" t="n">
        <v>9372356.347320495</v>
      </c>
      <c r="R14" s="15">
        <f>IF(D14=1,"Section 1","Control")</f>
        <v/>
      </c>
      <c r="S14" s="16">
        <f>N14/10000</f>
        <v/>
      </c>
      <c r="T14" s="16">
        <f>P14/10000</f>
        <v/>
      </c>
      <c r="U14" s="15">
        <f>IF(N14&gt;=Summary!$D$3,1,0)</f>
        <v/>
      </c>
      <c r="V14" s="17">
        <f>IF(N14&gt;0,P14/N14,"")</f>
        <v/>
      </c>
      <c r="W14" s="17">
        <f>IF(O14&gt;0,H14/O14,"")</f>
        <v/>
      </c>
    </row>
    <row r="15">
      <c r="A15" s="13" t="inlineStr">
        <is>
          <t>T01_B2</t>
        </is>
      </c>
      <c r="B15" s="13" t="inlineStr">
        <is>
          <t>T01</t>
        </is>
      </c>
      <c r="C15" s="13" t="inlineStr">
        <is>
          <t>B2</t>
        </is>
      </c>
      <c r="D15" s="13" t="n">
        <v>1</v>
      </c>
      <c r="E15" s="13" t="inlineStr">
        <is>
          <t>S1</t>
        </is>
      </c>
      <c r="F15" s="13" t="n">
        <v>2026</v>
      </c>
      <c r="G15" s="14" t="n">
        <v>2240562.528557781</v>
      </c>
      <c r="H15" s="14" t="n">
        <v>9607.188240889009</v>
      </c>
      <c r="I15" s="14" t="n">
        <v>1047155.989802402</v>
      </c>
      <c r="J15" s="14" t="n">
        <v>0</v>
      </c>
      <c r="K15" s="14" t="n">
        <v>1183799.35051449</v>
      </c>
      <c r="L15" s="14" t="n">
        <v>0</v>
      </c>
      <c r="M15" s="14" t="n">
        <v>0</v>
      </c>
      <c r="N15" s="14" t="n">
        <v>17372.26221382291</v>
      </c>
      <c r="O15" s="14" t="n">
        <v>2103763.3522031</v>
      </c>
      <c r="P15" s="14" t="n">
        <v>15496.50733101041</v>
      </c>
      <c r="Q15" s="14" t="n">
        <v>9372356.347320495</v>
      </c>
      <c r="R15" s="15">
        <f>IF(D15=1,"Section 1","Control")</f>
        <v/>
      </c>
      <c r="S15" s="16">
        <f>N15/10000</f>
        <v/>
      </c>
      <c r="T15" s="16">
        <f>P15/10000</f>
        <v/>
      </c>
      <c r="U15" s="15">
        <f>IF(N15&gt;=Summary!$D$3,1,0)</f>
        <v/>
      </c>
      <c r="V15" s="17">
        <f>IF(N15&gt;0,P15/N15,"")</f>
        <v/>
      </c>
      <c r="W15" s="17">
        <f>IF(O15&gt;0,H15/O15,"")</f>
        <v/>
      </c>
    </row>
    <row r="16">
      <c r="A16" s="13" t="inlineStr">
        <is>
          <t>T01_B3</t>
        </is>
      </c>
      <c r="B16" s="13" t="inlineStr">
        <is>
          <t>T01</t>
        </is>
      </c>
      <c r="C16" s="13" t="inlineStr">
        <is>
          <t>B3</t>
        </is>
      </c>
      <c r="D16" s="13" t="n">
        <v>1</v>
      </c>
      <c r="E16" s="13" t="inlineStr">
        <is>
          <t>S1</t>
        </is>
      </c>
      <c r="F16" s="13" t="n">
        <v>2020</v>
      </c>
      <c r="G16" s="14" t="n">
        <v>46191831.08449864</v>
      </c>
      <c r="H16" s="14" t="n">
        <v>2027589.770351724</v>
      </c>
      <c r="I16" s="14" t="n">
        <v>6144419.148577105</v>
      </c>
      <c r="J16" s="14" t="n">
        <v>0</v>
      </c>
      <c r="K16" s="14" t="n">
        <v>18506894.88151484</v>
      </c>
      <c r="L16" s="14" t="n">
        <v>19512927.28405495</v>
      </c>
      <c r="M16" s="14" t="n">
        <v>0</v>
      </c>
      <c r="N16" s="14" t="n">
        <v>2027589.770351724</v>
      </c>
      <c r="O16" s="14" t="n">
        <v>26678903.80044367</v>
      </c>
      <c r="P16" s="14" t="n">
        <v>0</v>
      </c>
      <c r="Q16" s="14" t="n">
        <v>145382032.2910273</v>
      </c>
      <c r="R16" s="15">
        <f>IF(D16=1,"Section 1","Control")</f>
        <v/>
      </c>
      <c r="S16" s="16">
        <f>N16/10000</f>
        <v/>
      </c>
      <c r="T16" s="16">
        <f>P16/10000</f>
        <v/>
      </c>
      <c r="U16" s="15">
        <f>IF(N16&gt;=Summary!$D$3,1,0)</f>
        <v/>
      </c>
      <c r="V16" s="17">
        <f>IF(N16&gt;0,P16/N16,"")</f>
        <v/>
      </c>
      <c r="W16" s="17">
        <f>IF(O16&gt;0,H16/O16,"")</f>
        <v/>
      </c>
    </row>
    <row r="17">
      <c r="A17" s="13" t="inlineStr">
        <is>
          <t>T01_B3</t>
        </is>
      </c>
      <c r="B17" s="13" t="inlineStr">
        <is>
          <t>T01</t>
        </is>
      </c>
      <c r="C17" s="13" t="inlineStr">
        <is>
          <t>B3</t>
        </is>
      </c>
      <c r="D17" s="13" t="n">
        <v>1</v>
      </c>
      <c r="E17" s="13" t="inlineStr">
        <is>
          <t>S1</t>
        </is>
      </c>
      <c r="F17" s="13" t="n">
        <v>2021</v>
      </c>
      <c r="G17" s="14" t="n">
        <v>46191831.08449864</v>
      </c>
      <c r="H17" s="14" t="n">
        <v>1919911.697525024</v>
      </c>
      <c r="I17" s="14" t="n">
        <v>6133536.101480642</v>
      </c>
      <c r="J17" s="14" t="n">
        <v>0</v>
      </c>
      <c r="K17" s="14" t="n">
        <v>18588717.41015125</v>
      </c>
      <c r="L17" s="14" t="n">
        <v>19549665.8753417</v>
      </c>
      <c r="M17" s="14" t="n">
        <v>0</v>
      </c>
      <c r="N17" s="14" t="n">
        <v>2027589.770351724</v>
      </c>
      <c r="O17" s="14" t="n">
        <v>26678903.80044368</v>
      </c>
      <c r="P17" s="14" t="n">
        <v>266323.8463863896</v>
      </c>
      <c r="Q17" s="14" t="n">
        <v>145382032.2910273</v>
      </c>
      <c r="R17" s="15">
        <f>IF(D17=1,"Section 1","Control")</f>
        <v/>
      </c>
      <c r="S17" s="16">
        <f>N17/10000</f>
        <v/>
      </c>
      <c r="T17" s="16">
        <f>P17/10000</f>
        <v/>
      </c>
      <c r="U17" s="15">
        <f>IF(N17&gt;=Summary!$D$3,1,0)</f>
        <v/>
      </c>
      <c r="V17" s="17">
        <f>IF(N17&gt;0,P17/N17,"")</f>
        <v/>
      </c>
      <c r="W17" s="17">
        <f>IF(O17&gt;0,H17/O17,"")</f>
        <v/>
      </c>
    </row>
    <row r="18">
      <c r="A18" s="13" t="inlineStr">
        <is>
          <t>T01_B3</t>
        </is>
      </c>
      <c r="B18" s="13" t="inlineStr">
        <is>
          <t>T01</t>
        </is>
      </c>
      <c r="C18" s="13" t="inlineStr">
        <is>
          <t>B3</t>
        </is>
      </c>
      <c r="D18" s="13" t="n">
        <v>1</v>
      </c>
      <c r="E18" s="13" t="inlineStr">
        <is>
          <t>S1</t>
        </is>
      </c>
      <c r="F18" s="13" t="n">
        <v>2022</v>
      </c>
      <c r="G18" s="14" t="n">
        <v>46191831.08449863</v>
      </c>
      <c r="H18" s="14" t="n">
        <v>1281474.761964955</v>
      </c>
      <c r="I18" s="14" t="n">
        <v>6375374.508174013</v>
      </c>
      <c r="J18" s="14" t="n">
        <v>0</v>
      </c>
      <c r="K18" s="14" t="n">
        <v>19771060.31401562</v>
      </c>
      <c r="L18" s="14" t="n">
        <v>18763921.50034404</v>
      </c>
      <c r="M18" s="14" t="n">
        <v>0</v>
      </c>
      <c r="N18" s="14" t="n">
        <v>2027589.770351724</v>
      </c>
      <c r="O18" s="14" t="n">
        <v>26678903.80044367</v>
      </c>
      <c r="P18" s="14" t="n">
        <v>794539.375340331</v>
      </c>
      <c r="Q18" s="14" t="n">
        <v>145382032.2910273</v>
      </c>
      <c r="R18" s="15">
        <f>IF(D18=1,"Section 1","Control")</f>
        <v/>
      </c>
      <c r="S18" s="16">
        <f>N18/10000</f>
        <v/>
      </c>
      <c r="T18" s="16">
        <f>P18/10000</f>
        <v/>
      </c>
      <c r="U18" s="15">
        <f>IF(N18&gt;=Summary!$D$3,1,0)</f>
        <v/>
      </c>
      <c r="V18" s="17">
        <f>IF(N18&gt;0,P18/N18,"")</f>
        <v/>
      </c>
      <c r="W18" s="17">
        <f>IF(O18&gt;0,H18/O18,"")</f>
        <v/>
      </c>
    </row>
    <row r="19">
      <c r="A19" s="13" t="inlineStr">
        <is>
          <t>T01_B3</t>
        </is>
      </c>
      <c r="B19" s="13" t="inlineStr">
        <is>
          <t>T01</t>
        </is>
      </c>
      <c r="C19" s="13" t="inlineStr">
        <is>
          <t>B3</t>
        </is>
      </c>
      <c r="D19" s="13" t="n">
        <v>1</v>
      </c>
      <c r="E19" s="13" t="inlineStr">
        <is>
          <t>S1</t>
        </is>
      </c>
      <c r="F19" s="13" t="n">
        <v>2023</v>
      </c>
      <c r="G19" s="14" t="n">
        <v>46191831.08449864</v>
      </c>
      <c r="H19" s="14" t="n">
        <v>1430781.139470359</v>
      </c>
      <c r="I19" s="14" t="n">
        <v>6017529.512381579</v>
      </c>
      <c r="J19" s="14" t="n">
        <v>0</v>
      </c>
      <c r="K19" s="14" t="n">
        <v>19058938.40243281</v>
      </c>
      <c r="L19" s="14" t="n">
        <v>19684582.03021386</v>
      </c>
      <c r="M19" s="14" t="n">
        <v>0</v>
      </c>
      <c r="N19" s="14" t="n">
        <v>2027589.770351724</v>
      </c>
      <c r="O19" s="14" t="n">
        <v>26678903.80044367</v>
      </c>
      <c r="P19" s="14" t="n">
        <v>782189.4858243157</v>
      </c>
      <c r="Q19" s="14" t="n">
        <v>145382032.2910273</v>
      </c>
      <c r="R19" s="15">
        <f>IF(D19=1,"Section 1","Control")</f>
        <v/>
      </c>
      <c r="S19" s="16">
        <f>N19/10000</f>
        <v/>
      </c>
      <c r="T19" s="16">
        <f>P19/10000</f>
        <v/>
      </c>
      <c r="U19" s="15">
        <f>IF(N19&gt;=Summary!$D$3,1,0)</f>
        <v/>
      </c>
      <c r="V19" s="17">
        <f>IF(N19&gt;0,P19/N19,"")</f>
        <v/>
      </c>
      <c r="W19" s="17">
        <f>IF(O19&gt;0,H19/O19,"")</f>
        <v/>
      </c>
    </row>
    <row r="20">
      <c r="A20" s="13" t="inlineStr">
        <is>
          <t>T01_B3</t>
        </is>
      </c>
      <c r="B20" s="13" t="inlineStr">
        <is>
          <t>T01</t>
        </is>
      </c>
      <c r="C20" s="13" t="inlineStr">
        <is>
          <t>B3</t>
        </is>
      </c>
      <c r="D20" s="13" t="n">
        <v>1</v>
      </c>
      <c r="E20" s="13" t="inlineStr">
        <is>
          <t>S1</t>
        </is>
      </c>
      <c r="F20" s="13" t="n">
        <v>2024</v>
      </c>
      <c r="G20" s="14" t="n">
        <v>46191831.08449864</v>
      </c>
      <c r="H20" s="14" t="n">
        <v>1590771.171385821</v>
      </c>
      <c r="I20" s="14" t="n">
        <v>5905524.673247513</v>
      </c>
      <c r="J20" s="14" t="n">
        <v>0</v>
      </c>
      <c r="K20" s="14" t="n">
        <v>19353954.22741813</v>
      </c>
      <c r="L20" s="14" t="n">
        <v>19341581.01244716</v>
      </c>
      <c r="M20" s="14" t="n">
        <v>0</v>
      </c>
      <c r="N20" s="14" t="n">
        <v>2027589.770351724</v>
      </c>
      <c r="O20" s="14" t="n">
        <v>26678903.80044367</v>
      </c>
      <c r="P20" s="14" t="n">
        <v>777593.8184391694</v>
      </c>
      <c r="Q20" s="14" t="n">
        <v>145382032.2910273</v>
      </c>
      <c r="R20" s="15">
        <f>IF(D20=1,"Section 1","Control")</f>
        <v/>
      </c>
      <c r="S20" s="16">
        <f>N20/10000</f>
        <v/>
      </c>
      <c r="T20" s="16">
        <f>P20/10000</f>
        <v/>
      </c>
      <c r="U20" s="15">
        <f>IF(N20&gt;=Summary!$D$3,1,0)</f>
        <v/>
      </c>
      <c r="V20" s="17">
        <f>IF(N20&gt;0,P20/N20,"")</f>
        <v/>
      </c>
      <c r="W20" s="17">
        <f>IF(O20&gt;0,H20/O20,"")</f>
        <v/>
      </c>
    </row>
    <row r="21">
      <c r="A21" s="13" t="inlineStr">
        <is>
          <t>T01_B3</t>
        </is>
      </c>
      <c r="B21" s="13" t="inlineStr">
        <is>
          <t>T01</t>
        </is>
      </c>
      <c r="C21" s="13" t="inlineStr">
        <is>
          <t>B3</t>
        </is>
      </c>
      <c r="D21" s="13" t="n">
        <v>1</v>
      </c>
      <c r="E21" s="13" t="inlineStr">
        <is>
          <t>S1</t>
        </is>
      </c>
      <c r="F21" s="13" t="n">
        <v>2025</v>
      </c>
      <c r="G21" s="14" t="n">
        <v>46191831.08449863</v>
      </c>
      <c r="H21" s="14" t="n">
        <v>1479613.066046292</v>
      </c>
      <c r="I21" s="14" t="n">
        <v>5956739.21640637</v>
      </c>
      <c r="J21" s="14" t="n">
        <v>0</v>
      </c>
      <c r="K21" s="14" t="n">
        <v>19055624.45187123</v>
      </c>
      <c r="L21" s="14" t="n">
        <v>19699854.35017473</v>
      </c>
      <c r="M21" s="14" t="n">
        <v>0</v>
      </c>
      <c r="N21" s="14" t="n">
        <v>2027589.770351724</v>
      </c>
      <c r="O21" s="14" t="n">
        <v>26678903.80044367</v>
      </c>
      <c r="P21" s="14" t="n">
        <v>841353.6475235884</v>
      </c>
      <c r="Q21" s="14" t="n">
        <v>145382032.2910273</v>
      </c>
      <c r="R21" s="15">
        <f>IF(D21=1,"Section 1","Control")</f>
        <v/>
      </c>
      <c r="S21" s="16">
        <f>N21/10000</f>
        <v/>
      </c>
      <c r="T21" s="16">
        <f>P21/10000</f>
        <v/>
      </c>
      <c r="U21" s="15">
        <f>IF(N21&gt;=Summary!$D$3,1,0)</f>
        <v/>
      </c>
      <c r="V21" s="17">
        <f>IF(N21&gt;0,P21/N21,"")</f>
        <v/>
      </c>
      <c r="W21" s="17">
        <f>IF(O21&gt;0,H21/O21,"")</f>
        <v/>
      </c>
    </row>
    <row r="22">
      <c r="A22" s="13" t="inlineStr">
        <is>
          <t>T01_B3</t>
        </is>
      </c>
      <c r="B22" s="13" t="inlineStr">
        <is>
          <t>T01</t>
        </is>
      </c>
      <c r="C22" s="13" t="inlineStr">
        <is>
          <t>B3</t>
        </is>
      </c>
      <c r="D22" s="13" t="n">
        <v>1</v>
      </c>
      <c r="E22" s="13" t="inlineStr">
        <is>
          <t>S1</t>
        </is>
      </c>
      <c r="F22" s="13" t="n">
        <v>2026</v>
      </c>
      <c r="G22" s="14" t="n">
        <v>46191831.08449863</v>
      </c>
      <c r="H22" s="14" t="n">
        <v>1704117.248238926</v>
      </c>
      <c r="I22" s="14" t="n">
        <v>5777019.592802458</v>
      </c>
      <c r="J22" s="14" t="n">
        <v>0</v>
      </c>
      <c r="K22" s="14" t="n">
        <v>19078589.53444105</v>
      </c>
      <c r="L22" s="14" t="n">
        <v>19632104.70901618</v>
      </c>
      <c r="M22" s="14" t="n">
        <v>0</v>
      </c>
      <c r="N22" s="14" t="n">
        <v>2027589.770351724</v>
      </c>
      <c r="O22" s="14" t="n">
        <v>26678903.80044367</v>
      </c>
      <c r="P22" s="14" t="n">
        <v>841887.3097265506</v>
      </c>
      <c r="Q22" s="14" t="n">
        <v>145382032.2910273</v>
      </c>
      <c r="R22" s="15">
        <f>IF(D22=1,"Section 1","Control")</f>
        <v/>
      </c>
      <c r="S22" s="16">
        <f>N22/10000</f>
        <v/>
      </c>
      <c r="T22" s="16">
        <f>P22/10000</f>
        <v/>
      </c>
      <c r="U22" s="15">
        <f>IF(N22&gt;=Summary!$D$3,1,0)</f>
        <v/>
      </c>
      <c r="V22" s="17">
        <f>IF(N22&gt;0,P22/N22,"")</f>
        <v/>
      </c>
      <c r="W22" s="17">
        <f>IF(O22&gt;0,H22/O22,"")</f>
        <v/>
      </c>
    </row>
    <row r="23">
      <c r="A23" s="13" t="inlineStr">
        <is>
          <t>T01_F</t>
        </is>
      </c>
      <c r="B23" s="13" t="inlineStr">
        <is>
          <t>T01</t>
        </is>
      </c>
      <c r="C23" s="13" t="inlineStr">
        <is>
          <t>F</t>
        </is>
      </c>
      <c r="D23" s="13" t="n">
        <v>1</v>
      </c>
      <c r="E23" s="13" t="inlineStr">
        <is>
          <t>S1</t>
        </is>
      </c>
      <c r="F23" s="13" t="n">
        <v>2020</v>
      </c>
      <c r="G23" s="14" t="n">
        <v>67982.29979421583</v>
      </c>
      <c r="H23" s="14" t="n">
        <v>4982.641491729139</v>
      </c>
      <c r="I23" s="14" t="n">
        <v>20392.83207083309</v>
      </c>
      <c r="J23" s="14" t="n">
        <v>0</v>
      </c>
      <c r="K23" s="14" t="n">
        <v>40361.34581954058</v>
      </c>
      <c r="L23" s="14" t="n">
        <v>2245.480412112965</v>
      </c>
      <c r="M23" s="14" t="n">
        <v>0</v>
      </c>
      <c r="N23" s="14" t="n">
        <v>4982.641491729139</v>
      </c>
      <c r="O23" s="14" t="n">
        <v>65736.81938210284</v>
      </c>
      <c r="P23" s="14" t="n">
        <v>0</v>
      </c>
      <c r="Q23" s="14" t="n">
        <v>346930.5738750384</v>
      </c>
      <c r="R23" s="15">
        <f>IF(D23=1,"Section 1","Control")</f>
        <v/>
      </c>
      <c r="S23" s="16">
        <f>N23/10000</f>
        <v/>
      </c>
      <c r="T23" s="16">
        <f>P23/10000</f>
        <v/>
      </c>
      <c r="U23" s="15">
        <f>IF(N23&gt;=Summary!$D$3,1,0)</f>
        <v/>
      </c>
      <c r="V23" s="17">
        <f>IF(N23&gt;0,P23/N23,"")</f>
        <v/>
      </c>
      <c r="W23" s="17">
        <f>IF(O23&gt;0,H23/O23,"")</f>
        <v/>
      </c>
    </row>
    <row r="24">
      <c r="A24" s="13" t="inlineStr">
        <is>
          <t>T01_F</t>
        </is>
      </c>
      <c r="B24" s="13" t="inlineStr">
        <is>
          <t>T01</t>
        </is>
      </c>
      <c r="C24" s="13" t="inlineStr">
        <is>
          <t>F</t>
        </is>
      </c>
      <c r="D24" s="13" t="n">
        <v>1</v>
      </c>
      <c r="E24" s="13" t="inlineStr">
        <is>
          <t>S1</t>
        </is>
      </c>
      <c r="F24" s="13" t="n">
        <v>2021</v>
      </c>
      <c r="G24" s="14" t="n">
        <v>67982.29979421583</v>
      </c>
      <c r="H24" s="14" t="n">
        <v>7493.707169446759</v>
      </c>
      <c r="I24" s="14" t="n">
        <v>20459.42189265232</v>
      </c>
      <c r="J24" s="14" t="n">
        <v>0</v>
      </c>
      <c r="K24" s="14" t="n">
        <v>39428.31142419553</v>
      </c>
      <c r="L24" s="14" t="n">
        <v>600.8593079211665</v>
      </c>
      <c r="M24" s="14" t="n">
        <v>0</v>
      </c>
      <c r="N24" s="14" t="n">
        <v>4982.641491729139</v>
      </c>
      <c r="O24" s="14" t="n">
        <v>65736.81938210284</v>
      </c>
      <c r="P24" s="14" t="n">
        <v>98.72370147705078</v>
      </c>
      <c r="Q24" s="14" t="n">
        <v>346930.5738750384</v>
      </c>
      <c r="R24" s="15">
        <f>IF(D24=1,"Section 1","Control")</f>
        <v/>
      </c>
      <c r="S24" s="16">
        <f>N24/10000</f>
        <v/>
      </c>
      <c r="T24" s="16">
        <f>P24/10000</f>
        <v/>
      </c>
      <c r="U24" s="15">
        <f>IF(N24&gt;=Summary!$D$3,1,0)</f>
        <v/>
      </c>
      <c r="V24" s="17">
        <f>IF(N24&gt;0,P24/N24,"")</f>
        <v/>
      </c>
      <c r="W24" s="17">
        <f>IF(O24&gt;0,H24/O24,"")</f>
        <v/>
      </c>
    </row>
    <row r="25">
      <c r="A25" s="13" t="inlineStr">
        <is>
          <t>T01_F</t>
        </is>
      </c>
      <c r="B25" s="13" t="inlineStr">
        <is>
          <t>T01</t>
        </is>
      </c>
      <c r="C25" s="13" t="inlineStr">
        <is>
          <t>F</t>
        </is>
      </c>
      <c r="D25" s="13" t="n">
        <v>1</v>
      </c>
      <c r="E25" s="13" t="inlineStr">
        <is>
          <t>S1</t>
        </is>
      </c>
      <c r="F25" s="13" t="n">
        <v>2022</v>
      </c>
      <c r="G25" s="14" t="n">
        <v>67982.29979421583</v>
      </c>
      <c r="H25" s="14" t="n">
        <v>7230.83103060255</v>
      </c>
      <c r="I25" s="14" t="n">
        <v>27919.83781199736</v>
      </c>
      <c r="J25" s="14" t="n">
        <v>0</v>
      </c>
      <c r="K25" s="14" t="n">
        <v>32831.63095161588</v>
      </c>
      <c r="L25" s="14" t="n">
        <v>0</v>
      </c>
      <c r="M25" s="14" t="n">
        <v>0</v>
      </c>
      <c r="N25" s="14" t="n">
        <v>4982.641491729139</v>
      </c>
      <c r="O25" s="14" t="n">
        <v>65736.81938210284</v>
      </c>
      <c r="P25" s="14" t="n">
        <v>98.72370147705078</v>
      </c>
      <c r="Q25" s="14" t="n">
        <v>346930.5738750384</v>
      </c>
      <c r="R25" s="15">
        <f>IF(D25=1,"Section 1","Control")</f>
        <v/>
      </c>
      <c r="S25" s="16">
        <f>N25/10000</f>
        <v/>
      </c>
      <c r="T25" s="16">
        <f>P25/10000</f>
        <v/>
      </c>
      <c r="U25" s="15">
        <f>IF(N25&gt;=Summary!$D$3,1,0)</f>
        <v/>
      </c>
      <c r="V25" s="17">
        <f>IF(N25&gt;0,P25/N25,"")</f>
        <v/>
      </c>
      <c r="W25" s="17">
        <f>IF(O25&gt;0,H25/O25,"")</f>
        <v/>
      </c>
    </row>
    <row r="26">
      <c r="A26" s="13" t="inlineStr">
        <is>
          <t>T01_F</t>
        </is>
      </c>
      <c r="B26" s="13" t="inlineStr">
        <is>
          <t>T01</t>
        </is>
      </c>
      <c r="C26" s="13" t="inlineStr">
        <is>
          <t>F</t>
        </is>
      </c>
      <c r="D26" s="13" t="n">
        <v>1</v>
      </c>
      <c r="E26" s="13" t="inlineStr">
        <is>
          <t>S1</t>
        </is>
      </c>
      <c r="F26" s="13" t="n">
        <v>2023</v>
      </c>
      <c r="G26" s="14" t="n">
        <v>67982.29979421583</v>
      </c>
      <c r="H26" s="14" t="n">
        <v>6376.000122309667</v>
      </c>
      <c r="I26" s="14" t="n">
        <v>22161.34214941286</v>
      </c>
      <c r="J26" s="14" t="n">
        <v>0</v>
      </c>
      <c r="K26" s="14" t="n">
        <v>37063.58692851347</v>
      </c>
      <c r="L26" s="14" t="n">
        <v>2381.370593979779</v>
      </c>
      <c r="M26" s="14" t="n">
        <v>0</v>
      </c>
      <c r="N26" s="14" t="n">
        <v>4982.641491729139</v>
      </c>
      <c r="O26" s="14" t="n">
        <v>65736.81938210284</v>
      </c>
      <c r="P26" s="14" t="n">
        <v>198.6088345695944</v>
      </c>
      <c r="Q26" s="14" t="n">
        <v>346930.5738750384</v>
      </c>
      <c r="R26" s="15">
        <f>IF(D26=1,"Section 1","Control")</f>
        <v/>
      </c>
      <c r="S26" s="16">
        <f>N26/10000</f>
        <v/>
      </c>
      <c r="T26" s="16">
        <f>P26/10000</f>
        <v/>
      </c>
      <c r="U26" s="15">
        <f>IF(N26&gt;=Summary!$D$3,1,0)</f>
        <v/>
      </c>
      <c r="V26" s="17">
        <f>IF(N26&gt;0,P26/N26,"")</f>
        <v/>
      </c>
      <c r="W26" s="17">
        <f>IF(O26&gt;0,H26/O26,"")</f>
        <v/>
      </c>
    </row>
    <row r="27">
      <c r="A27" s="13" t="inlineStr">
        <is>
          <t>T01_F</t>
        </is>
      </c>
      <c r="B27" s="13" t="inlineStr">
        <is>
          <t>T01</t>
        </is>
      </c>
      <c r="C27" s="13" t="inlineStr">
        <is>
          <t>F</t>
        </is>
      </c>
      <c r="D27" s="13" t="n">
        <v>1</v>
      </c>
      <c r="E27" s="13" t="inlineStr">
        <is>
          <t>S1</t>
        </is>
      </c>
      <c r="F27" s="13" t="n">
        <v>2024</v>
      </c>
      <c r="G27" s="14" t="n">
        <v>67982.29979421583</v>
      </c>
      <c r="H27" s="14" t="n">
        <v>0</v>
      </c>
      <c r="I27" s="14" t="n">
        <v>50334.75963547654</v>
      </c>
      <c r="J27" s="14" t="n">
        <v>0</v>
      </c>
      <c r="K27" s="14" t="n">
        <v>17647.54015873928</v>
      </c>
      <c r="L27" s="14" t="n">
        <v>0</v>
      </c>
      <c r="M27" s="14" t="n">
        <v>0</v>
      </c>
      <c r="N27" s="14" t="n">
        <v>4982.641491729139</v>
      </c>
      <c r="O27" s="14" t="n">
        <v>65736.81938210284</v>
      </c>
      <c r="P27" s="14" t="n">
        <v>4982.641491729139</v>
      </c>
      <c r="Q27" s="14" t="n">
        <v>346930.5738750384</v>
      </c>
      <c r="R27" s="15">
        <f>IF(D27=1,"Section 1","Control")</f>
        <v/>
      </c>
      <c r="S27" s="16">
        <f>N27/10000</f>
        <v/>
      </c>
      <c r="T27" s="16">
        <f>P27/10000</f>
        <v/>
      </c>
      <c r="U27" s="15">
        <f>IF(N27&gt;=Summary!$D$3,1,0)</f>
        <v/>
      </c>
      <c r="V27" s="17">
        <f>IF(N27&gt;0,P27/N27,"")</f>
        <v/>
      </c>
      <c r="W27" s="17">
        <f>IF(O27&gt;0,H27/O27,"")</f>
        <v/>
      </c>
    </row>
    <row r="28">
      <c r="A28" s="13" t="inlineStr">
        <is>
          <t>T01_F</t>
        </is>
      </c>
      <c r="B28" s="13" t="inlineStr">
        <is>
          <t>T01</t>
        </is>
      </c>
      <c r="C28" s="13" t="inlineStr">
        <is>
          <t>F</t>
        </is>
      </c>
      <c r="D28" s="13" t="n">
        <v>1</v>
      </c>
      <c r="E28" s="13" t="inlineStr">
        <is>
          <t>S1</t>
        </is>
      </c>
      <c r="F28" s="13" t="n">
        <v>2025</v>
      </c>
      <c r="G28" s="14" t="n">
        <v>67982.29979421583</v>
      </c>
      <c r="H28" s="14" t="n">
        <v>0</v>
      </c>
      <c r="I28" s="14" t="n">
        <v>45018.78006253709</v>
      </c>
      <c r="J28" s="14" t="n">
        <v>0</v>
      </c>
      <c r="K28" s="14" t="n">
        <v>22963.51973167869</v>
      </c>
      <c r="L28" s="14" t="n">
        <v>0</v>
      </c>
      <c r="M28" s="14" t="n">
        <v>0</v>
      </c>
      <c r="N28" s="14" t="n">
        <v>4982.641491729139</v>
      </c>
      <c r="O28" s="14" t="n">
        <v>65736.81938210284</v>
      </c>
      <c r="P28" s="14" t="n">
        <v>4982.641491729139</v>
      </c>
      <c r="Q28" s="14" t="n">
        <v>346930.5738750384</v>
      </c>
      <c r="R28" s="15">
        <f>IF(D28=1,"Section 1","Control")</f>
        <v/>
      </c>
      <c r="S28" s="16">
        <f>N28/10000</f>
        <v/>
      </c>
      <c r="T28" s="16">
        <f>P28/10000</f>
        <v/>
      </c>
      <c r="U28" s="15">
        <f>IF(N28&gt;=Summary!$D$3,1,0)</f>
        <v/>
      </c>
      <c r="V28" s="17">
        <f>IF(N28&gt;0,P28/N28,"")</f>
        <v/>
      </c>
      <c r="W28" s="17">
        <f>IF(O28&gt;0,H28/O28,"")</f>
        <v/>
      </c>
    </row>
    <row r="29">
      <c r="A29" s="13" t="inlineStr">
        <is>
          <t>T01_F</t>
        </is>
      </c>
      <c r="B29" s="13" t="inlineStr">
        <is>
          <t>T01</t>
        </is>
      </c>
      <c r="C29" s="13" t="inlineStr">
        <is>
          <t>F</t>
        </is>
      </c>
      <c r="D29" s="13" t="n">
        <v>1</v>
      </c>
      <c r="E29" s="13" t="inlineStr">
        <is>
          <t>S1</t>
        </is>
      </c>
      <c r="F29" s="13" t="n">
        <v>2026</v>
      </c>
      <c r="G29" s="14" t="n">
        <v>67982.29979421583</v>
      </c>
      <c r="H29" s="14" t="n">
        <v>0</v>
      </c>
      <c r="I29" s="14" t="n">
        <v>49876.76089295032</v>
      </c>
      <c r="J29" s="14" t="n">
        <v>0</v>
      </c>
      <c r="K29" s="14" t="n">
        <v>18105.53890126547</v>
      </c>
      <c r="L29" s="14" t="n">
        <v>0</v>
      </c>
      <c r="M29" s="14" t="n">
        <v>0</v>
      </c>
      <c r="N29" s="14" t="n">
        <v>4982.641491729139</v>
      </c>
      <c r="O29" s="14" t="n">
        <v>65736.81938210284</v>
      </c>
      <c r="P29" s="14" t="n">
        <v>4982.641491729139</v>
      </c>
      <c r="Q29" s="14" t="n">
        <v>346930.5738750384</v>
      </c>
      <c r="R29" s="15">
        <f>IF(D29=1,"Section 1","Control")</f>
        <v/>
      </c>
      <c r="S29" s="16">
        <f>N29/10000</f>
        <v/>
      </c>
      <c r="T29" s="16">
        <f>P29/10000</f>
        <v/>
      </c>
      <c r="U29" s="15">
        <f>IF(N29&gt;=Summary!$D$3,1,0)</f>
        <v/>
      </c>
      <c r="V29" s="17">
        <f>IF(N29&gt;0,P29/N29,"")</f>
        <v/>
      </c>
      <c r="W29" s="17">
        <f>IF(O29&gt;0,H29/O29,"")</f>
        <v/>
      </c>
    </row>
    <row r="30">
      <c r="A30" s="13" t="inlineStr">
        <is>
          <t>T02_B1</t>
        </is>
      </c>
      <c r="B30" s="13" t="inlineStr">
        <is>
          <t>T02</t>
        </is>
      </c>
      <c r="C30" s="13" t="inlineStr">
        <is>
          <t>B1</t>
        </is>
      </c>
      <c r="D30" s="13" t="n">
        <v>1</v>
      </c>
      <c r="E30" s="13" t="inlineStr">
        <is>
          <t>S1</t>
        </is>
      </c>
      <c r="F30" s="13" t="n">
        <v>2020</v>
      </c>
      <c r="G30" s="14" t="n">
        <v>1012845.467183401</v>
      </c>
      <c r="H30" s="14" t="n">
        <v>7276.481600832472</v>
      </c>
      <c r="I30" s="14" t="n">
        <v>52274.28587535783</v>
      </c>
      <c r="J30" s="14" t="n">
        <v>13005.21531401989</v>
      </c>
      <c r="K30" s="14" t="n">
        <v>486506.180637315</v>
      </c>
      <c r="L30" s="14" t="n">
        <v>453783.3037558762</v>
      </c>
      <c r="M30" s="14" t="n">
        <v>0</v>
      </c>
      <c r="N30" s="14" t="n">
        <v>7276.481600832472</v>
      </c>
      <c r="O30" s="14" t="n">
        <v>559062.1634275251</v>
      </c>
      <c r="P30" s="14" t="n">
        <v>0</v>
      </c>
      <c r="Q30" s="14" t="n">
        <v>3285646.199934686</v>
      </c>
      <c r="R30" s="15">
        <f>IF(D30=1,"Section 1","Control")</f>
        <v/>
      </c>
      <c r="S30" s="16">
        <f>N30/10000</f>
        <v/>
      </c>
      <c r="T30" s="16">
        <f>P30/10000</f>
        <v/>
      </c>
      <c r="U30" s="15">
        <f>IF(N30&gt;=Summary!$D$3,1,0)</f>
        <v/>
      </c>
      <c r="V30" s="17">
        <f>IF(N30&gt;0,P30/N30,"")</f>
        <v/>
      </c>
      <c r="W30" s="17">
        <f>IF(O30&gt;0,H30/O30,"")</f>
        <v/>
      </c>
    </row>
    <row r="31">
      <c r="A31" s="13" t="inlineStr">
        <is>
          <t>T02_B1</t>
        </is>
      </c>
      <c r="B31" s="13" t="inlineStr">
        <is>
          <t>T02</t>
        </is>
      </c>
      <c r="C31" s="13" t="inlineStr">
        <is>
          <t>B1</t>
        </is>
      </c>
      <c r="D31" s="13" t="n">
        <v>1</v>
      </c>
      <c r="E31" s="13" t="inlineStr">
        <is>
          <t>S1</t>
        </is>
      </c>
      <c r="F31" s="13" t="n">
        <v>2021</v>
      </c>
      <c r="G31" s="14" t="n">
        <v>1012845.467183401</v>
      </c>
      <c r="H31" s="14" t="n">
        <v>6782.864382814894</v>
      </c>
      <c r="I31" s="14" t="n">
        <v>61578.304052136</v>
      </c>
      <c r="J31" s="14" t="n">
        <v>11933.19111746993</v>
      </c>
      <c r="K31" s="14" t="n">
        <v>479991.2087969314</v>
      </c>
      <c r="L31" s="14" t="n">
        <v>452559.8988340491</v>
      </c>
      <c r="M31" s="14" t="n">
        <v>0</v>
      </c>
      <c r="N31" s="14" t="n">
        <v>7276.481600832472</v>
      </c>
      <c r="O31" s="14" t="n">
        <v>559062.1634275251</v>
      </c>
      <c r="P31" s="14" t="n">
        <v>1678.295845031739</v>
      </c>
      <c r="Q31" s="14" t="n">
        <v>3285646.199934686</v>
      </c>
      <c r="R31" s="15">
        <f>IF(D31=1,"Section 1","Control")</f>
        <v/>
      </c>
      <c r="S31" s="16">
        <f>N31/10000</f>
        <v/>
      </c>
      <c r="T31" s="16">
        <f>P31/10000</f>
        <v/>
      </c>
      <c r="U31" s="15">
        <f>IF(N31&gt;=Summary!$D$3,1,0)</f>
        <v/>
      </c>
      <c r="V31" s="17">
        <f>IF(N31&gt;0,P31/N31,"")</f>
        <v/>
      </c>
      <c r="W31" s="17">
        <f>IF(O31&gt;0,H31/O31,"")</f>
        <v/>
      </c>
    </row>
    <row r="32">
      <c r="A32" s="13" t="inlineStr">
        <is>
          <t>T02_B1</t>
        </is>
      </c>
      <c r="B32" s="13" t="inlineStr">
        <is>
          <t>T02</t>
        </is>
      </c>
      <c r="C32" s="13" t="inlineStr">
        <is>
          <t>B1</t>
        </is>
      </c>
      <c r="D32" s="13" t="n">
        <v>1</v>
      </c>
      <c r="E32" s="13" t="inlineStr">
        <is>
          <t>S1</t>
        </is>
      </c>
      <c r="F32" s="13" t="n">
        <v>2022</v>
      </c>
      <c r="G32" s="14" t="n">
        <v>1012845.467183401</v>
      </c>
      <c r="H32" s="14" t="n">
        <v>3313.616521917605</v>
      </c>
      <c r="I32" s="14" t="n">
        <v>59339.02574121811</v>
      </c>
      <c r="J32" s="14" t="n">
        <v>8588.971263930376</v>
      </c>
      <c r="K32" s="14" t="n">
        <v>514491.0641134227</v>
      </c>
      <c r="L32" s="14" t="n">
        <v>427112.7895429125</v>
      </c>
      <c r="M32" s="14" t="n">
        <v>0</v>
      </c>
      <c r="N32" s="14" t="n">
        <v>7276.481600832472</v>
      </c>
      <c r="O32" s="14" t="n">
        <v>559062.1634275251</v>
      </c>
      <c r="P32" s="14" t="n">
        <v>4061.588284481273</v>
      </c>
      <c r="Q32" s="14" t="n">
        <v>3285646.199934686</v>
      </c>
      <c r="R32" s="15">
        <f>IF(D32=1,"Section 1","Control")</f>
        <v/>
      </c>
      <c r="S32" s="16">
        <f>N32/10000</f>
        <v/>
      </c>
      <c r="T32" s="16">
        <f>P32/10000</f>
        <v/>
      </c>
      <c r="U32" s="15">
        <f>IF(N32&gt;=Summary!$D$3,1,0)</f>
        <v/>
      </c>
      <c r="V32" s="17">
        <f>IF(N32&gt;0,P32/N32,"")</f>
        <v/>
      </c>
      <c r="W32" s="17">
        <f>IF(O32&gt;0,H32/O32,"")</f>
        <v/>
      </c>
    </row>
    <row r="33">
      <c r="A33" s="13" t="inlineStr">
        <is>
          <t>T02_B1</t>
        </is>
      </c>
      <c r="B33" s="13" t="inlineStr">
        <is>
          <t>T02</t>
        </is>
      </c>
      <c r="C33" s="13" t="inlineStr">
        <is>
          <t>B1</t>
        </is>
      </c>
      <c r="D33" s="13" t="n">
        <v>1</v>
      </c>
      <c r="E33" s="13" t="inlineStr">
        <is>
          <t>S1</t>
        </is>
      </c>
      <c r="F33" s="13" t="n">
        <v>2023</v>
      </c>
      <c r="G33" s="14" t="n">
        <v>1012845.467183401</v>
      </c>
      <c r="H33" s="14" t="n">
        <v>2215.271548761106</v>
      </c>
      <c r="I33" s="14" t="n">
        <v>39426.69319161808</v>
      </c>
      <c r="J33" s="14" t="n">
        <v>3095.669063194125</v>
      </c>
      <c r="K33" s="14" t="n">
        <v>517205.3334658457</v>
      </c>
      <c r="L33" s="14" t="n">
        <v>450902.4999139824</v>
      </c>
      <c r="M33" s="14" t="n">
        <v>0</v>
      </c>
      <c r="N33" s="14" t="n">
        <v>7276.481600832472</v>
      </c>
      <c r="O33" s="14" t="n">
        <v>559062.1634275251</v>
      </c>
      <c r="P33" s="14" t="n">
        <v>5061.210052071366</v>
      </c>
      <c r="Q33" s="14" t="n">
        <v>3285646.199934686</v>
      </c>
      <c r="R33" s="15">
        <f>IF(D33=1,"Section 1","Control")</f>
        <v/>
      </c>
      <c r="S33" s="16">
        <f>N33/10000</f>
        <v/>
      </c>
      <c r="T33" s="16">
        <f>P33/10000</f>
        <v/>
      </c>
      <c r="U33" s="15">
        <f>IF(N33&gt;=Summary!$D$3,1,0)</f>
        <v/>
      </c>
      <c r="V33" s="17">
        <f>IF(N33&gt;0,P33/N33,"")</f>
        <v/>
      </c>
      <c r="W33" s="17">
        <f>IF(O33&gt;0,H33/O33,"")</f>
        <v/>
      </c>
    </row>
    <row r="34">
      <c r="A34" s="13" t="inlineStr">
        <is>
          <t>T02_B1</t>
        </is>
      </c>
      <c r="B34" s="13" t="inlineStr">
        <is>
          <t>T02</t>
        </is>
      </c>
      <c r="C34" s="13" t="inlineStr">
        <is>
          <t>B1</t>
        </is>
      </c>
      <c r="D34" s="13" t="n">
        <v>1</v>
      </c>
      <c r="E34" s="13" t="inlineStr">
        <is>
          <t>S1</t>
        </is>
      </c>
      <c r="F34" s="13" t="n">
        <v>2024</v>
      </c>
      <c r="G34" s="14" t="n">
        <v>1012845.467183401</v>
      </c>
      <c r="H34" s="14" t="n">
        <v>2215.271548761106</v>
      </c>
      <c r="I34" s="14" t="n">
        <v>288095.7556520649</v>
      </c>
      <c r="J34" s="14" t="n">
        <v>5055.820375719257</v>
      </c>
      <c r="K34" s="14" t="n">
        <v>511428.2839893418</v>
      </c>
      <c r="L34" s="14" t="n">
        <v>206050.3356175142</v>
      </c>
      <c r="M34" s="14" t="n">
        <v>0</v>
      </c>
      <c r="N34" s="14" t="n">
        <v>7276.481600832472</v>
      </c>
      <c r="O34" s="14" t="n">
        <v>559062.1634275251</v>
      </c>
      <c r="P34" s="14" t="n">
        <v>5061.210052071366</v>
      </c>
      <c r="Q34" s="14" t="n">
        <v>3285646.199934686</v>
      </c>
      <c r="R34" s="15">
        <f>IF(D34=1,"Section 1","Control")</f>
        <v/>
      </c>
      <c r="S34" s="16">
        <f>N34/10000</f>
        <v/>
      </c>
      <c r="T34" s="16">
        <f>P34/10000</f>
        <v/>
      </c>
      <c r="U34" s="15">
        <f>IF(N34&gt;=Summary!$D$3,1,0)</f>
        <v/>
      </c>
      <c r="V34" s="17">
        <f>IF(N34&gt;0,P34/N34,"")</f>
        <v/>
      </c>
      <c r="W34" s="17">
        <f>IF(O34&gt;0,H34/O34,"")</f>
        <v/>
      </c>
    </row>
    <row r="35">
      <c r="A35" s="13" t="inlineStr">
        <is>
          <t>T02_B1</t>
        </is>
      </c>
      <c r="B35" s="13" t="inlineStr">
        <is>
          <t>T02</t>
        </is>
      </c>
      <c r="C35" s="13" t="inlineStr">
        <is>
          <t>B1</t>
        </is>
      </c>
      <c r="D35" s="13" t="n">
        <v>1</v>
      </c>
      <c r="E35" s="13" t="inlineStr">
        <is>
          <t>S1</t>
        </is>
      </c>
      <c r="F35" s="13" t="n">
        <v>2025</v>
      </c>
      <c r="G35" s="14" t="n">
        <v>1012845.467183401</v>
      </c>
      <c r="H35" s="14" t="n">
        <v>2108.805898240033</v>
      </c>
      <c r="I35" s="14" t="n">
        <v>421032.9635887893</v>
      </c>
      <c r="J35" s="14" t="n">
        <v>12875.13185738956</v>
      </c>
      <c r="K35" s="14" t="n">
        <v>540799.558244982</v>
      </c>
      <c r="L35" s="14" t="n">
        <v>36029.00759400011</v>
      </c>
      <c r="M35" s="14" t="n">
        <v>0</v>
      </c>
      <c r="N35" s="14" t="n">
        <v>7276.481600832472</v>
      </c>
      <c r="O35" s="14" t="n">
        <v>559062.1634275251</v>
      </c>
      <c r="P35" s="14" t="n">
        <v>5463.84599830777</v>
      </c>
      <c r="Q35" s="14" t="n">
        <v>3285646.199934686</v>
      </c>
      <c r="R35" s="15">
        <f>IF(D35=1,"Section 1","Control")</f>
        <v/>
      </c>
      <c r="S35" s="16">
        <f>N35/10000</f>
        <v/>
      </c>
      <c r="T35" s="16">
        <f>P35/10000</f>
        <v/>
      </c>
      <c r="U35" s="15">
        <f>IF(N35&gt;=Summary!$D$3,1,0)</f>
        <v/>
      </c>
      <c r="V35" s="17">
        <f>IF(N35&gt;0,P35/N35,"")</f>
        <v/>
      </c>
      <c r="W35" s="17">
        <f>IF(O35&gt;0,H35/O35,"")</f>
        <v/>
      </c>
    </row>
    <row r="36">
      <c r="A36" s="13" t="inlineStr">
        <is>
          <t>T02_B1</t>
        </is>
      </c>
      <c r="B36" s="13" t="inlineStr">
        <is>
          <t>T02</t>
        </is>
      </c>
      <c r="C36" s="13" t="inlineStr">
        <is>
          <t>B1</t>
        </is>
      </c>
      <c r="D36" s="13" t="n">
        <v>1</v>
      </c>
      <c r="E36" s="13" t="inlineStr">
        <is>
          <t>S1</t>
        </is>
      </c>
      <c r="F36" s="13" t="n">
        <v>2026</v>
      </c>
      <c r="G36" s="14" t="n">
        <v>1012845.467183401</v>
      </c>
      <c r="H36" s="14" t="n">
        <v>2991.897006165748</v>
      </c>
      <c r="I36" s="14" t="n">
        <v>470387.6987407609</v>
      </c>
      <c r="J36" s="14" t="n">
        <v>13344.360482818</v>
      </c>
      <c r="K36" s="14" t="n">
        <v>525595.757826263</v>
      </c>
      <c r="L36" s="14" t="n">
        <v>525.7531273935356</v>
      </c>
      <c r="M36" s="14" t="n">
        <v>0</v>
      </c>
      <c r="N36" s="14" t="n">
        <v>7276.481600832472</v>
      </c>
      <c r="O36" s="14" t="n">
        <v>559062.1634275251</v>
      </c>
      <c r="P36" s="14" t="n">
        <v>6160.328971802955</v>
      </c>
      <c r="Q36" s="14" t="n">
        <v>3285646.199934686</v>
      </c>
      <c r="R36" s="15">
        <f>IF(D36=1,"Section 1","Control")</f>
        <v/>
      </c>
      <c r="S36" s="16">
        <f>N36/10000</f>
        <v/>
      </c>
      <c r="T36" s="16">
        <f>P36/10000</f>
        <v/>
      </c>
      <c r="U36" s="15">
        <f>IF(N36&gt;=Summary!$D$3,1,0)</f>
        <v/>
      </c>
      <c r="V36" s="17">
        <f>IF(N36&gt;0,P36/N36,"")</f>
        <v/>
      </c>
      <c r="W36" s="17">
        <f>IF(O36&gt;0,H36/O36,"")</f>
        <v/>
      </c>
    </row>
    <row r="37">
      <c r="A37" s="13" t="inlineStr">
        <is>
          <t>T02_B2</t>
        </is>
      </c>
      <c r="B37" s="13" t="inlineStr">
        <is>
          <t>T02</t>
        </is>
      </c>
      <c r="C37" s="13" t="inlineStr">
        <is>
          <t>B2</t>
        </is>
      </c>
      <c r="D37" s="13" t="n">
        <v>1</v>
      </c>
      <c r="E37" s="13" t="inlineStr">
        <is>
          <t>S1</t>
        </is>
      </c>
      <c r="F37" s="13" t="n">
        <v>2020</v>
      </c>
      <c r="G37" s="14" t="n">
        <v>996127.5078771251</v>
      </c>
      <c r="H37" s="14" t="n">
        <v>197.4440689086914</v>
      </c>
      <c r="I37" s="14" t="n">
        <v>2171.891334533691</v>
      </c>
      <c r="J37" s="14" t="n">
        <v>0</v>
      </c>
      <c r="K37" s="14" t="n">
        <v>528258.4131048162</v>
      </c>
      <c r="L37" s="14" t="n">
        <v>465499.7593688665</v>
      </c>
      <c r="M37" s="14" t="n">
        <v>0</v>
      </c>
      <c r="N37" s="14" t="n">
        <v>197.4440689086914</v>
      </c>
      <c r="O37" s="14" t="n">
        <v>530627.7485082586</v>
      </c>
      <c r="P37" s="14" t="n">
        <v>0</v>
      </c>
      <c r="Q37" s="14" t="n">
        <v>3400196.212406471</v>
      </c>
      <c r="R37" s="15">
        <f>IF(D37=1,"Section 1","Control")</f>
        <v/>
      </c>
      <c r="S37" s="16">
        <f>N37/10000</f>
        <v/>
      </c>
      <c r="T37" s="16">
        <f>P37/10000</f>
        <v/>
      </c>
      <c r="U37" s="15">
        <f>IF(N37&gt;=Summary!$D$3,1,0)</f>
        <v/>
      </c>
      <c r="V37" s="17">
        <f>IF(N37&gt;0,P37/N37,"")</f>
        <v/>
      </c>
      <c r="W37" s="17">
        <f>IF(O37&gt;0,H37/O37,"")</f>
        <v/>
      </c>
    </row>
    <row r="38">
      <c r="A38" s="13" t="inlineStr">
        <is>
          <t>T02_B2</t>
        </is>
      </c>
      <c r="B38" s="13" t="inlineStr">
        <is>
          <t>T02</t>
        </is>
      </c>
      <c r="C38" s="13" t="inlineStr">
        <is>
          <t>B2</t>
        </is>
      </c>
      <c r="D38" s="13" t="n">
        <v>1</v>
      </c>
      <c r="E38" s="13" t="inlineStr">
        <is>
          <t>S1</t>
        </is>
      </c>
      <c r="F38" s="13" t="n">
        <v>2021</v>
      </c>
      <c r="G38" s="14" t="n">
        <v>996127.5078771251</v>
      </c>
      <c r="H38" s="14" t="n">
        <v>98.72201538085938</v>
      </c>
      <c r="I38" s="14" t="n">
        <v>3652.726417541504</v>
      </c>
      <c r="J38" s="14" t="n">
        <v>0</v>
      </c>
      <c r="K38" s="14" t="n">
        <v>526876.3000753362</v>
      </c>
      <c r="L38" s="14" t="n">
        <v>465499.7593688665</v>
      </c>
      <c r="M38" s="14" t="n">
        <v>0</v>
      </c>
      <c r="N38" s="14" t="n">
        <v>197.4440689086914</v>
      </c>
      <c r="O38" s="14" t="n">
        <v>530627.7485082586</v>
      </c>
      <c r="P38" s="14" t="n">
        <v>98.72205352783205</v>
      </c>
      <c r="Q38" s="14" t="n">
        <v>3400196.212406471</v>
      </c>
      <c r="R38" s="15">
        <f>IF(D38=1,"Section 1","Control")</f>
        <v/>
      </c>
      <c r="S38" s="16">
        <f>N38/10000</f>
        <v/>
      </c>
      <c r="T38" s="16">
        <f>P38/10000</f>
        <v/>
      </c>
      <c r="U38" s="15">
        <f>IF(N38&gt;=Summary!$D$3,1,0)</f>
        <v/>
      </c>
      <c r="V38" s="17">
        <f>IF(N38&gt;0,P38/N38,"")</f>
        <v/>
      </c>
      <c r="W38" s="17">
        <f>IF(O38&gt;0,H38/O38,"")</f>
        <v/>
      </c>
    </row>
    <row r="39">
      <c r="A39" s="13" t="inlineStr">
        <is>
          <t>T02_B2</t>
        </is>
      </c>
      <c r="B39" s="13" t="inlineStr">
        <is>
          <t>T02</t>
        </is>
      </c>
      <c r="C39" s="13" t="inlineStr">
        <is>
          <t>B2</t>
        </is>
      </c>
      <c r="D39" s="13" t="n">
        <v>1</v>
      </c>
      <c r="E39" s="13" t="inlineStr">
        <is>
          <t>S1</t>
        </is>
      </c>
      <c r="F39" s="13" t="n">
        <v>2022</v>
      </c>
      <c r="G39" s="14" t="n">
        <v>996127.5078771251</v>
      </c>
      <c r="H39" s="14" t="n">
        <v>98.72201538085938</v>
      </c>
      <c r="I39" s="14" t="n">
        <v>6276.040565789914</v>
      </c>
      <c r="J39" s="14" t="n">
        <v>0</v>
      </c>
      <c r="K39" s="14" t="n">
        <v>525478.7305276307</v>
      </c>
      <c r="L39" s="14" t="n">
        <v>464274.0147683235</v>
      </c>
      <c r="M39" s="14" t="n">
        <v>0</v>
      </c>
      <c r="N39" s="14" t="n">
        <v>197.4440689086914</v>
      </c>
      <c r="O39" s="14" t="n">
        <v>530627.7485082586</v>
      </c>
      <c r="P39" s="14" t="n">
        <v>98.72205352783205</v>
      </c>
      <c r="Q39" s="14" t="n">
        <v>3400196.212406471</v>
      </c>
      <c r="R39" s="15">
        <f>IF(D39=1,"Section 1","Control")</f>
        <v/>
      </c>
      <c r="S39" s="16">
        <f>N39/10000</f>
        <v/>
      </c>
      <c r="T39" s="16">
        <f>P39/10000</f>
        <v/>
      </c>
      <c r="U39" s="15">
        <f>IF(N39&gt;=Summary!$D$3,1,0)</f>
        <v/>
      </c>
      <c r="V39" s="17">
        <f>IF(N39&gt;0,P39/N39,"")</f>
        <v/>
      </c>
      <c r="W39" s="17">
        <f>IF(O39&gt;0,H39/O39,"")</f>
        <v/>
      </c>
    </row>
    <row r="40">
      <c r="A40" s="13" t="inlineStr">
        <is>
          <t>T02_B2</t>
        </is>
      </c>
      <c r="B40" s="13" t="inlineStr">
        <is>
          <t>T02</t>
        </is>
      </c>
      <c r="C40" s="13" t="inlineStr">
        <is>
          <t>B2</t>
        </is>
      </c>
      <c r="D40" s="13" t="n">
        <v>1</v>
      </c>
      <c r="E40" s="13" t="inlineStr">
        <is>
          <t>S1</t>
        </is>
      </c>
      <c r="F40" s="13" t="n">
        <v>2023</v>
      </c>
      <c r="G40" s="14" t="n">
        <v>996127.5078771251</v>
      </c>
      <c r="H40" s="14" t="n">
        <v>0</v>
      </c>
      <c r="I40" s="14" t="n">
        <v>4995.35792388916</v>
      </c>
      <c r="J40" s="14" t="n">
        <v>0</v>
      </c>
      <c r="K40" s="14" t="n">
        <v>526740.0517687028</v>
      </c>
      <c r="L40" s="14" t="n">
        <v>464392.098184533</v>
      </c>
      <c r="M40" s="14" t="n">
        <v>0</v>
      </c>
      <c r="N40" s="14" t="n">
        <v>197.4440689086914</v>
      </c>
      <c r="O40" s="14" t="n">
        <v>530627.7485082586</v>
      </c>
      <c r="P40" s="14" t="n">
        <v>197.4440689086914</v>
      </c>
      <c r="Q40" s="14" t="n">
        <v>3400196.212406471</v>
      </c>
      <c r="R40" s="15">
        <f>IF(D40=1,"Section 1","Control")</f>
        <v/>
      </c>
      <c r="S40" s="16">
        <f>N40/10000</f>
        <v/>
      </c>
      <c r="T40" s="16">
        <f>P40/10000</f>
        <v/>
      </c>
      <c r="U40" s="15">
        <f>IF(N40&gt;=Summary!$D$3,1,0)</f>
        <v/>
      </c>
      <c r="V40" s="17">
        <f>IF(N40&gt;0,P40/N40,"")</f>
        <v/>
      </c>
      <c r="W40" s="17">
        <f>IF(O40&gt;0,H40/O40,"")</f>
        <v/>
      </c>
    </row>
    <row r="41">
      <c r="A41" s="13" t="inlineStr">
        <is>
          <t>T02_B2</t>
        </is>
      </c>
      <c r="B41" s="13" t="inlineStr">
        <is>
          <t>T02</t>
        </is>
      </c>
      <c r="C41" s="13" t="inlineStr">
        <is>
          <t>B2</t>
        </is>
      </c>
      <c r="D41" s="13" t="n">
        <v>1</v>
      </c>
      <c r="E41" s="13" t="inlineStr">
        <is>
          <t>S1</t>
        </is>
      </c>
      <c r="F41" s="13" t="n">
        <v>2024</v>
      </c>
      <c r="G41" s="14" t="n">
        <v>996127.5078771251</v>
      </c>
      <c r="H41" s="14" t="n">
        <v>0</v>
      </c>
      <c r="I41" s="14" t="n">
        <v>4420.834722391764</v>
      </c>
      <c r="J41" s="14" t="n">
        <v>0</v>
      </c>
      <c r="K41" s="14" t="n">
        <v>527467.8892374672</v>
      </c>
      <c r="L41" s="14" t="n">
        <v>464238.7839172661</v>
      </c>
      <c r="M41" s="14" t="n">
        <v>0</v>
      </c>
      <c r="N41" s="14" t="n">
        <v>197.4440689086914</v>
      </c>
      <c r="O41" s="14" t="n">
        <v>530627.7485082586</v>
      </c>
      <c r="P41" s="14" t="n">
        <v>197.4440689086914</v>
      </c>
      <c r="Q41" s="14" t="n">
        <v>3400196.212406471</v>
      </c>
      <c r="R41" s="15">
        <f>IF(D41=1,"Section 1","Control")</f>
        <v/>
      </c>
      <c r="S41" s="16">
        <f>N41/10000</f>
        <v/>
      </c>
      <c r="T41" s="16">
        <f>P41/10000</f>
        <v/>
      </c>
      <c r="U41" s="15">
        <f>IF(N41&gt;=Summary!$D$3,1,0)</f>
        <v/>
      </c>
      <c r="V41" s="17">
        <f>IF(N41&gt;0,P41/N41,"")</f>
        <v/>
      </c>
      <c r="W41" s="17">
        <f>IF(O41&gt;0,H41/O41,"")</f>
        <v/>
      </c>
    </row>
    <row r="42">
      <c r="A42" s="13" t="inlineStr">
        <is>
          <t>T02_B2</t>
        </is>
      </c>
      <c r="B42" s="13" t="inlineStr">
        <is>
          <t>T02</t>
        </is>
      </c>
      <c r="C42" s="13" t="inlineStr">
        <is>
          <t>B2</t>
        </is>
      </c>
      <c r="D42" s="13" t="n">
        <v>1</v>
      </c>
      <c r="E42" s="13" t="inlineStr">
        <is>
          <t>S1</t>
        </is>
      </c>
      <c r="F42" s="13" t="n">
        <v>2025</v>
      </c>
      <c r="G42" s="14" t="n">
        <v>996127.5078771248</v>
      </c>
      <c r="H42" s="14" t="n">
        <v>296.1669082641602</v>
      </c>
      <c r="I42" s="14" t="n">
        <v>303876.9250219007</v>
      </c>
      <c r="J42" s="14" t="n">
        <v>0</v>
      </c>
      <c r="K42" s="14" t="n">
        <v>526697.8810589656</v>
      </c>
      <c r="L42" s="14" t="n">
        <v>165256.5348879945</v>
      </c>
      <c r="M42" s="14" t="n">
        <v>0</v>
      </c>
      <c r="N42" s="14" t="n">
        <v>197.4440689086914</v>
      </c>
      <c r="O42" s="14" t="n">
        <v>530627.7485082586</v>
      </c>
      <c r="P42" s="14" t="n">
        <v>197.4440689086914</v>
      </c>
      <c r="Q42" s="14" t="n">
        <v>3400196.212406471</v>
      </c>
      <c r="R42" s="15">
        <f>IF(D42=1,"Section 1","Control")</f>
        <v/>
      </c>
      <c r="S42" s="16">
        <f>N42/10000</f>
        <v/>
      </c>
      <c r="T42" s="16">
        <f>P42/10000</f>
        <v/>
      </c>
      <c r="U42" s="15">
        <f>IF(N42&gt;=Summary!$D$3,1,0)</f>
        <v/>
      </c>
      <c r="V42" s="17">
        <f>IF(N42&gt;0,P42/N42,"")</f>
        <v/>
      </c>
      <c r="W42" s="17">
        <f>IF(O42&gt;0,H42/O42,"")</f>
        <v/>
      </c>
    </row>
    <row r="43">
      <c r="A43" s="13" t="inlineStr">
        <is>
          <t>T02_B2</t>
        </is>
      </c>
      <c r="B43" s="13" t="inlineStr">
        <is>
          <t>T02</t>
        </is>
      </c>
      <c r="C43" s="13" t="inlineStr">
        <is>
          <t>B2</t>
        </is>
      </c>
      <c r="D43" s="13" t="n">
        <v>1</v>
      </c>
      <c r="E43" s="13" t="inlineStr">
        <is>
          <t>S1</t>
        </is>
      </c>
      <c r="F43" s="13" t="n">
        <v>2026</v>
      </c>
      <c r="G43" s="14" t="n">
        <v>996127.5078771251</v>
      </c>
      <c r="H43" s="14" t="n">
        <v>197.4448013305664</v>
      </c>
      <c r="I43" s="14" t="n">
        <v>478488.5111573162</v>
      </c>
      <c r="J43" s="14" t="n">
        <v>0</v>
      </c>
      <c r="K43" s="14" t="n">
        <v>517441.5519184782</v>
      </c>
      <c r="L43" s="14" t="n">
        <v>0</v>
      </c>
      <c r="M43" s="14" t="n">
        <v>0</v>
      </c>
      <c r="N43" s="14" t="n">
        <v>197.4440689086914</v>
      </c>
      <c r="O43" s="14" t="n">
        <v>530627.7485082586</v>
      </c>
      <c r="P43" s="14" t="n">
        <v>197.4440689086914</v>
      </c>
      <c r="Q43" s="14" t="n">
        <v>3400196.212406471</v>
      </c>
      <c r="R43" s="15">
        <f>IF(D43=1,"Section 1","Control")</f>
        <v/>
      </c>
      <c r="S43" s="16">
        <f>N43/10000</f>
        <v/>
      </c>
      <c r="T43" s="16">
        <f>P43/10000</f>
        <v/>
      </c>
      <c r="U43" s="15">
        <f>IF(N43&gt;=Summary!$D$3,1,0)</f>
        <v/>
      </c>
      <c r="V43" s="17">
        <f>IF(N43&gt;0,P43/N43,"")</f>
        <v/>
      </c>
      <c r="W43" s="17">
        <f>IF(O43&gt;0,H43/O43,"")</f>
        <v/>
      </c>
    </row>
    <row r="44">
      <c r="A44" s="13" t="inlineStr">
        <is>
          <t>T02_B3</t>
        </is>
      </c>
      <c r="B44" s="13" t="inlineStr">
        <is>
          <t>T02</t>
        </is>
      </c>
      <c r="C44" s="13" t="inlineStr">
        <is>
          <t>B3</t>
        </is>
      </c>
      <c r="D44" s="13" t="n">
        <v>1</v>
      </c>
      <c r="E44" s="13" t="inlineStr">
        <is>
          <t>S1</t>
        </is>
      </c>
      <c r="F44" s="13" t="n">
        <v>2020</v>
      </c>
      <c r="G44" s="14" t="n">
        <v>5669190.348658603</v>
      </c>
      <c r="H44" s="14" t="n">
        <v>161368.8472708609</v>
      </c>
      <c r="I44" s="14" t="n">
        <v>137346.3383937462</v>
      </c>
      <c r="J44" s="14" t="n">
        <v>0</v>
      </c>
      <c r="K44" s="14" t="n">
        <v>2328040.683143795</v>
      </c>
      <c r="L44" s="14" t="n">
        <v>3042434.4798502</v>
      </c>
      <c r="M44" s="14" t="n">
        <v>0</v>
      </c>
      <c r="N44" s="14" t="n">
        <v>161368.8472708609</v>
      </c>
      <c r="O44" s="14" t="n">
        <v>2626755.868808402</v>
      </c>
      <c r="P44" s="14" t="n">
        <v>0</v>
      </c>
      <c r="Q44" s="14" t="n">
        <v>17671281.75468753</v>
      </c>
      <c r="R44" s="15">
        <f>IF(D44=1,"Section 1","Control")</f>
        <v/>
      </c>
      <c r="S44" s="16">
        <f>N44/10000</f>
        <v/>
      </c>
      <c r="T44" s="16">
        <f>P44/10000</f>
        <v/>
      </c>
      <c r="U44" s="15">
        <f>IF(N44&gt;=Summary!$D$3,1,0)</f>
        <v/>
      </c>
      <c r="V44" s="17">
        <f>IF(N44&gt;0,P44/N44,"")</f>
        <v/>
      </c>
      <c r="W44" s="17">
        <f>IF(O44&gt;0,H44/O44,"")</f>
        <v/>
      </c>
    </row>
    <row r="45">
      <c r="A45" s="13" t="inlineStr">
        <is>
          <t>T02_B3</t>
        </is>
      </c>
      <c r="B45" s="13" t="inlineStr">
        <is>
          <t>T02</t>
        </is>
      </c>
      <c r="C45" s="13" t="inlineStr">
        <is>
          <t>B3</t>
        </is>
      </c>
      <c r="D45" s="13" t="n">
        <v>1</v>
      </c>
      <c r="E45" s="13" t="inlineStr">
        <is>
          <t>S1</t>
        </is>
      </c>
      <c r="F45" s="13" t="n">
        <v>2021</v>
      </c>
      <c r="G45" s="14" t="n">
        <v>5669190.348658603</v>
      </c>
      <c r="H45" s="14" t="n">
        <v>91668.48511555992</v>
      </c>
      <c r="I45" s="14" t="n">
        <v>133993.781908342</v>
      </c>
      <c r="J45" s="14" t="n">
        <v>0</v>
      </c>
      <c r="K45" s="14" t="n">
        <v>2399447.269584776</v>
      </c>
      <c r="L45" s="14" t="n">
        <v>3044080.812049926</v>
      </c>
      <c r="M45" s="14" t="n">
        <v>0</v>
      </c>
      <c r="N45" s="14" t="n">
        <v>161368.8472708609</v>
      </c>
      <c r="O45" s="14" t="n">
        <v>2626755.868808402</v>
      </c>
      <c r="P45" s="14" t="n">
        <v>75559.04743589513</v>
      </c>
      <c r="Q45" s="14" t="n">
        <v>17671281.75468753</v>
      </c>
      <c r="R45" s="15">
        <f>IF(D45=1,"Section 1","Control")</f>
        <v/>
      </c>
      <c r="S45" s="16">
        <f>N45/10000</f>
        <v/>
      </c>
      <c r="T45" s="16">
        <f>P45/10000</f>
        <v/>
      </c>
      <c r="U45" s="15">
        <f>IF(N45&gt;=Summary!$D$3,1,0)</f>
        <v/>
      </c>
      <c r="V45" s="17">
        <f>IF(N45&gt;0,P45/N45,"")</f>
        <v/>
      </c>
      <c r="W45" s="17">
        <f>IF(O45&gt;0,H45/O45,"")</f>
        <v/>
      </c>
    </row>
    <row r="46">
      <c r="A46" s="13" t="inlineStr">
        <is>
          <t>T02_B3</t>
        </is>
      </c>
      <c r="B46" s="13" t="inlineStr">
        <is>
          <t>T02</t>
        </is>
      </c>
      <c r="C46" s="13" t="inlineStr">
        <is>
          <t>B3</t>
        </is>
      </c>
      <c r="D46" s="13" t="n">
        <v>1</v>
      </c>
      <c r="E46" s="13" t="inlineStr">
        <is>
          <t>S1</t>
        </is>
      </c>
      <c r="F46" s="13" t="n">
        <v>2022</v>
      </c>
      <c r="G46" s="14" t="n">
        <v>5669190.348658603</v>
      </c>
      <c r="H46" s="14" t="n">
        <v>21683.79926886465</v>
      </c>
      <c r="I46" s="14" t="n">
        <v>158475.5692757999</v>
      </c>
      <c r="J46" s="14" t="n">
        <v>0</v>
      </c>
      <c r="K46" s="14" t="n">
        <v>2489287.53420497</v>
      </c>
      <c r="L46" s="14" t="n">
        <v>2999743.445908969</v>
      </c>
      <c r="M46" s="14" t="n">
        <v>0</v>
      </c>
      <c r="N46" s="14" t="n">
        <v>161368.8472708609</v>
      </c>
      <c r="O46" s="14" t="n">
        <v>2626755.868808402</v>
      </c>
      <c r="P46" s="14" t="n">
        <v>140178.6263177311</v>
      </c>
      <c r="Q46" s="14" t="n">
        <v>17671281.75468753</v>
      </c>
      <c r="R46" s="15">
        <f>IF(D46=1,"Section 1","Control")</f>
        <v/>
      </c>
      <c r="S46" s="16">
        <f>N46/10000</f>
        <v/>
      </c>
      <c r="T46" s="16">
        <f>P46/10000</f>
        <v/>
      </c>
      <c r="U46" s="15">
        <f>IF(N46&gt;=Summary!$D$3,1,0)</f>
        <v/>
      </c>
      <c r="V46" s="17">
        <f>IF(N46&gt;0,P46/N46,"")</f>
        <v/>
      </c>
      <c r="W46" s="17">
        <f>IF(O46&gt;0,H46/O46,"")</f>
        <v/>
      </c>
    </row>
    <row r="47">
      <c r="A47" s="13" t="inlineStr">
        <is>
          <t>T02_B3</t>
        </is>
      </c>
      <c r="B47" s="13" t="inlineStr">
        <is>
          <t>T02</t>
        </is>
      </c>
      <c r="C47" s="13" t="inlineStr">
        <is>
          <t>B3</t>
        </is>
      </c>
      <c r="D47" s="13" t="n">
        <v>1</v>
      </c>
      <c r="E47" s="13" t="inlineStr">
        <is>
          <t>S1</t>
        </is>
      </c>
      <c r="F47" s="13" t="n">
        <v>2023</v>
      </c>
      <c r="G47" s="14" t="n">
        <v>5669190.348658603</v>
      </c>
      <c r="H47" s="14" t="n">
        <v>22982.82930860332</v>
      </c>
      <c r="I47" s="14" t="n">
        <v>180847.1201810651</v>
      </c>
      <c r="J47" s="14" t="n">
        <v>0</v>
      </c>
      <c r="K47" s="14" t="n">
        <v>2480867.842033117</v>
      </c>
      <c r="L47" s="14" t="n">
        <v>2984492.557135818</v>
      </c>
      <c r="M47" s="14" t="n">
        <v>0</v>
      </c>
      <c r="N47" s="14" t="n">
        <v>161368.8472708609</v>
      </c>
      <c r="O47" s="14" t="n">
        <v>2626755.868808402</v>
      </c>
      <c r="P47" s="14" t="n">
        <v>142926.94106559</v>
      </c>
      <c r="Q47" s="14" t="n">
        <v>17671281.75468753</v>
      </c>
      <c r="R47" s="15">
        <f>IF(D47=1,"Section 1","Control")</f>
        <v/>
      </c>
      <c r="S47" s="16">
        <f>N47/10000</f>
        <v/>
      </c>
      <c r="T47" s="16">
        <f>P47/10000</f>
        <v/>
      </c>
      <c r="U47" s="15">
        <f>IF(N47&gt;=Summary!$D$3,1,0)</f>
        <v/>
      </c>
      <c r="V47" s="17">
        <f>IF(N47&gt;0,P47/N47,"")</f>
        <v/>
      </c>
      <c r="W47" s="17">
        <f>IF(O47&gt;0,H47/O47,"")</f>
        <v/>
      </c>
    </row>
    <row r="48">
      <c r="A48" s="13" t="inlineStr">
        <is>
          <t>T02_B3</t>
        </is>
      </c>
      <c r="B48" s="13" t="inlineStr">
        <is>
          <t>T02</t>
        </is>
      </c>
      <c r="C48" s="13" t="inlineStr">
        <is>
          <t>B3</t>
        </is>
      </c>
      <c r="D48" s="13" t="n">
        <v>1</v>
      </c>
      <c r="E48" s="13" t="inlineStr">
        <is>
          <t>S1</t>
        </is>
      </c>
      <c r="F48" s="13" t="n">
        <v>2024</v>
      </c>
      <c r="G48" s="14" t="n">
        <v>5669190.348658603</v>
      </c>
      <c r="H48" s="14" t="n">
        <v>27064.97311446246</v>
      </c>
      <c r="I48" s="14" t="n">
        <v>240764.9459035537</v>
      </c>
      <c r="J48" s="14" t="n">
        <v>0</v>
      </c>
      <c r="K48" s="14" t="n">
        <v>2514571.569254528</v>
      </c>
      <c r="L48" s="14" t="n">
        <v>2886788.86038606</v>
      </c>
      <c r="M48" s="14" t="n">
        <v>0</v>
      </c>
      <c r="N48" s="14" t="n">
        <v>161368.8472708609</v>
      </c>
      <c r="O48" s="14" t="n">
        <v>2626755.868808402</v>
      </c>
      <c r="P48" s="14" t="n">
        <v>144676.7867887609</v>
      </c>
      <c r="Q48" s="14" t="n">
        <v>17671281.75468753</v>
      </c>
      <c r="R48" s="15">
        <f>IF(D48=1,"Section 1","Control")</f>
        <v/>
      </c>
      <c r="S48" s="16">
        <f>N48/10000</f>
        <v/>
      </c>
      <c r="T48" s="16">
        <f>P48/10000</f>
        <v/>
      </c>
      <c r="U48" s="15">
        <f>IF(N48&gt;=Summary!$D$3,1,0)</f>
        <v/>
      </c>
      <c r="V48" s="17">
        <f>IF(N48&gt;0,P48/N48,"")</f>
        <v/>
      </c>
      <c r="W48" s="17">
        <f>IF(O48&gt;0,H48/O48,"")</f>
        <v/>
      </c>
    </row>
    <row r="49">
      <c r="A49" s="13" t="inlineStr">
        <is>
          <t>T02_B3</t>
        </is>
      </c>
      <c r="B49" s="13" t="inlineStr">
        <is>
          <t>T02</t>
        </is>
      </c>
      <c r="C49" s="13" t="inlineStr">
        <is>
          <t>B3</t>
        </is>
      </c>
      <c r="D49" s="13" t="n">
        <v>1</v>
      </c>
      <c r="E49" s="13" t="inlineStr">
        <is>
          <t>S1</t>
        </is>
      </c>
      <c r="F49" s="13" t="n">
        <v>2025</v>
      </c>
      <c r="G49" s="14" t="n">
        <v>5669190.348658603</v>
      </c>
      <c r="H49" s="14" t="n">
        <v>32103.10271968468</v>
      </c>
      <c r="I49" s="14" t="n">
        <v>318356.7971849329</v>
      </c>
      <c r="J49" s="14" t="n">
        <v>0</v>
      </c>
      <c r="K49" s="14" t="n">
        <v>2496523.396847954</v>
      </c>
      <c r="L49" s="14" t="n">
        <v>2822207.051906032</v>
      </c>
      <c r="M49" s="14" t="n">
        <v>0</v>
      </c>
      <c r="N49" s="14" t="n">
        <v>161368.8472708609</v>
      </c>
      <c r="O49" s="14" t="n">
        <v>2626755.868808402</v>
      </c>
      <c r="P49" s="14" t="n">
        <v>145531.9616674087</v>
      </c>
      <c r="Q49" s="14" t="n">
        <v>17671281.75468753</v>
      </c>
      <c r="R49" s="15">
        <f>IF(D49=1,"Section 1","Control")</f>
        <v/>
      </c>
      <c r="S49" s="16">
        <f>N49/10000</f>
        <v/>
      </c>
      <c r="T49" s="16">
        <f>P49/10000</f>
        <v/>
      </c>
      <c r="U49" s="15">
        <f>IF(N49&gt;=Summary!$D$3,1,0)</f>
        <v/>
      </c>
      <c r="V49" s="17">
        <f>IF(N49&gt;0,P49/N49,"")</f>
        <v/>
      </c>
      <c r="W49" s="17">
        <f>IF(O49&gt;0,H49/O49,"")</f>
        <v/>
      </c>
    </row>
    <row r="50">
      <c r="A50" s="13" t="inlineStr">
        <is>
          <t>T02_B3</t>
        </is>
      </c>
      <c r="B50" s="13" t="inlineStr">
        <is>
          <t>T02</t>
        </is>
      </c>
      <c r="C50" s="13" t="inlineStr">
        <is>
          <t>B3</t>
        </is>
      </c>
      <c r="D50" s="13" t="n">
        <v>1</v>
      </c>
      <c r="E50" s="13" t="inlineStr">
        <is>
          <t>S1</t>
        </is>
      </c>
      <c r="F50" s="13" t="n">
        <v>2026</v>
      </c>
      <c r="G50" s="14" t="n">
        <v>5669190.348658603</v>
      </c>
      <c r="H50" s="14" t="n">
        <v>26740.49176910999</v>
      </c>
      <c r="I50" s="14" t="n">
        <v>314164.2540823544</v>
      </c>
      <c r="J50" s="14" t="n">
        <v>0</v>
      </c>
      <c r="K50" s="14" t="n">
        <v>2499798.36590627</v>
      </c>
      <c r="L50" s="14" t="n">
        <v>2828487.236900868</v>
      </c>
      <c r="M50" s="14" t="n">
        <v>0</v>
      </c>
      <c r="N50" s="14" t="n">
        <v>161368.8472708609</v>
      </c>
      <c r="O50" s="14" t="n">
        <v>2626755.868808402</v>
      </c>
      <c r="P50" s="14" t="n">
        <v>147999.9230931899</v>
      </c>
      <c r="Q50" s="14" t="n">
        <v>17671281.75468753</v>
      </c>
      <c r="R50" s="15">
        <f>IF(D50=1,"Section 1","Control")</f>
        <v/>
      </c>
      <c r="S50" s="16">
        <f>N50/10000</f>
        <v/>
      </c>
      <c r="T50" s="16">
        <f>P50/10000</f>
        <v/>
      </c>
      <c r="U50" s="15">
        <f>IF(N50&gt;=Summary!$D$3,1,0)</f>
        <v/>
      </c>
      <c r="V50" s="17">
        <f>IF(N50&gt;0,P50/N50,"")</f>
        <v/>
      </c>
      <c r="W50" s="17">
        <f>IF(O50&gt;0,H50/O50,"")</f>
        <v/>
      </c>
    </row>
    <row r="51">
      <c r="A51" s="13" t="inlineStr">
        <is>
          <t>T02_F</t>
        </is>
      </c>
      <c r="B51" s="13" t="inlineStr">
        <is>
          <t>T02</t>
        </is>
      </c>
      <c r="C51" s="13" t="inlineStr">
        <is>
          <t>F</t>
        </is>
      </c>
      <c r="D51" s="13" t="n">
        <v>1</v>
      </c>
      <c r="E51" s="13" t="inlineStr">
        <is>
          <t>S1</t>
        </is>
      </c>
      <c r="F51" s="13" t="n">
        <v>2020</v>
      </c>
      <c r="G51" s="14" t="n">
        <v>58210.59466433059</v>
      </c>
      <c r="H51" s="14" t="n">
        <v>0</v>
      </c>
      <c r="I51" s="14" t="n">
        <v>5154.925215837068</v>
      </c>
      <c r="J51" s="14" t="n">
        <v>14957.22731472838</v>
      </c>
      <c r="K51" s="14" t="n">
        <v>18807.05691665949</v>
      </c>
      <c r="L51" s="14" t="n">
        <v>19291.38521710564</v>
      </c>
      <c r="M51" s="14" t="n">
        <v>0</v>
      </c>
      <c r="N51" s="14" t="n">
        <v>0</v>
      </c>
      <c r="O51" s="14" t="n">
        <v>38919.20944722493</v>
      </c>
      <c r="P51" s="14" t="n">
        <v>0</v>
      </c>
      <c r="Q51" s="14" t="n">
        <v>209617.9214174457</v>
      </c>
      <c r="R51" s="15">
        <f>IF(D51=1,"Section 1","Control")</f>
        <v/>
      </c>
      <c r="S51" s="16">
        <f>N51/10000</f>
        <v/>
      </c>
      <c r="T51" s="16">
        <f>P51/10000</f>
        <v/>
      </c>
      <c r="U51" s="15">
        <f>IF(N51&gt;=Summary!$D$3,1,0)</f>
        <v/>
      </c>
      <c r="V51" s="17">
        <f>IF(N51&gt;0,P51/N51,"")</f>
        <v/>
      </c>
      <c r="W51" s="17">
        <f>IF(O51&gt;0,H51/O51,"")</f>
        <v/>
      </c>
    </row>
    <row r="52">
      <c r="A52" s="13" t="inlineStr">
        <is>
          <t>T02_F</t>
        </is>
      </c>
      <c r="B52" s="13" t="inlineStr">
        <is>
          <t>T02</t>
        </is>
      </c>
      <c r="C52" s="13" t="inlineStr">
        <is>
          <t>F</t>
        </is>
      </c>
      <c r="D52" s="13" t="n">
        <v>1</v>
      </c>
      <c r="E52" s="13" t="inlineStr">
        <is>
          <t>S1</t>
        </is>
      </c>
      <c r="F52" s="13" t="n">
        <v>2021</v>
      </c>
      <c r="G52" s="14" t="n">
        <v>58210.59466433059</v>
      </c>
      <c r="H52" s="14" t="n">
        <v>0</v>
      </c>
      <c r="I52" s="14" t="n">
        <v>4244.34400440291</v>
      </c>
      <c r="J52" s="14" t="n">
        <v>13981.60449126</v>
      </c>
      <c r="K52" s="14" t="n">
        <v>21004.14395348044</v>
      </c>
      <c r="L52" s="14" t="n">
        <v>18980.50221518722</v>
      </c>
      <c r="M52" s="14" t="n">
        <v>0</v>
      </c>
      <c r="N52" s="14" t="n">
        <v>0</v>
      </c>
      <c r="O52" s="14" t="n">
        <v>38919.20944722493</v>
      </c>
      <c r="P52" s="14" t="n">
        <v>0</v>
      </c>
      <c r="Q52" s="14" t="n">
        <v>209617.9214174457</v>
      </c>
      <c r="R52" s="15">
        <f>IF(D52=1,"Section 1","Control")</f>
        <v/>
      </c>
      <c r="S52" s="16">
        <f>N52/10000</f>
        <v/>
      </c>
      <c r="T52" s="16">
        <f>P52/10000</f>
        <v/>
      </c>
      <c r="U52" s="15">
        <f>IF(N52&gt;=Summary!$D$3,1,0)</f>
        <v/>
      </c>
      <c r="V52" s="17">
        <f>IF(N52&gt;0,P52/N52,"")</f>
        <v/>
      </c>
      <c r="W52" s="17">
        <f>IF(O52&gt;0,H52/O52,"")</f>
        <v/>
      </c>
    </row>
    <row r="53">
      <c r="A53" s="13" t="inlineStr">
        <is>
          <t>T02_F</t>
        </is>
      </c>
      <c r="B53" s="13" t="inlineStr">
        <is>
          <t>T02</t>
        </is>
      </c>
      <c r="C53" s="13" t="inlineStr">
        <is>
          <t>F</t>
        </is>
      </c>
      <c r="D53" s="13" t="n">
        <v>1</v>
      </c>
      <c r="E53" s="13" t="inlineStr">
        <is>
          <t>S1</t>
        </is>
      </c>
      <c r="F53" s="13" t="n">
        <v>2022</v>
      </c>
      <c r="G53" s="14" t="n">
        <v>58210.59466433059</v>
      </c>
      <c r="H53" s="14" t="n">
        <v>0</v>
      </c>
      <c r="I53" s="14" t="n">
        <v>3742.982995216519</v>
      </c>
      <c r="J53" s="14" t="n">
        <v>7158.05223897298</v>
      </c>
      <c r="K53" s="14" t="n">
        <v>46348.64841227814</v>
      </c>
      <c r="L53" s="14" t="n">
        <v>960.9110178629558</v>
      </c>
      <c r="M53" s="14" t="n">
        <v>0</v>
      </c>
      <c r="N53" s="14" t="n">
        <v>0</v>
      </c>
      <c r="O53" s="14" t="n">
        <v>38919.20944722493</v>
      </c>
      <c r="P53" s="14" t="n">
        <v>0</v>
      </c>
      <c r="Q53" s="14" t="n">
        <v>209617.9214174457</v>
      </c>
      <c r="R53" s="15">
        <f>IF(D53=1,"Section 1","Control")</f>
        <v/>
      </c>
      <c r="S53" s="16">
        <f>N53/10000</f>
        <v/>
      </c>
      <c r="T53" s="16">
        <f>P53/10000</f>
        <v/>
      </c>
      <c r="U53" s="15">
        <f>IF(N53&gt;=Summary!$D$3,1,0)</f>
        <v/>
      </c>
      <c r="V53" s="17">
        <f>IF(N53&gt;0,P53/N53,"")</f>
        <v/>
      </c>
      <c r="W53" s="17">
        <f>IF(O53&gt;0,H53/O53,"")</f>
        <v/>
      </c>
    </row>
    <row r="54">
      <c r="A54" s="13" t="inlineStr">
        <is>
          <t>T02_F</t>
        </is>
      </c>
      <c r="B54" s="13" t="inlineStr">
        <is>
          <t>T02</t>
        </is>
      </c>
      <c r="C54" s="13" t="inlineStr">
        <is>
          <t>F</t>
        </is>
      </c>
      <c r="D54" s="13" t="n">
        <v>1</v>
      </c>
      <c r="E54" s="13" t="inlineStr">
        <is>
          <t>S1</t>
        </is>
      </c>
      <c r="F54" s="13" t="n">
        <v>2023</v>
      </c>
      <c r="G54" s="14" t="n">
        <v>58210.59466433059</v>
      </c>
      <c r="H54" s="14" t="n">
        <v>0</v>
      </c>
      <c r="I54" s="14" t="n">
        <v>1949.696373434628</v>
      </c>
      <c r="J54" s="14" t="n">
        <v>2360.465654979033</v>
      </c>
      <c r="K54" s="14" t="n">
        <v>35348.50778066597</v>
      </c>
      <c r="L54" s="14" t="n">
        <v>18551.92485525093</v>
      </c>
      <c r="M54" s="14" t="n">
        <v>0</v>
      </c>
      <c r="N54" s="14" t="n">
        <v>0</v>
      </c>
      <c r="O54" s="14" t="n">
        <v>38919.20944722493</v>
      </c>
      <c r="P54" s="14" t="n">
        <v>0</v>
      </c>
      <c r="Q54" s="14" t="n">
        <v>209617.9214174457</v>
      </c>
      <c r="R54" s="15">
        <f>IF(D54=1,"Section 1","Control")</f>
        <v/>
      </c>
      <c r="S54" s="16">
        <f>N54/10000</f>
        <v/>
      </c>
      <c r="T54" s="16">
        <f>P54/10000</f>
        <v/>
      </c>
      <c r="U54" s="15">
        <f>IF(N54&gt;=Summary!$D$3,1,0)</f>
        <v/>
      </c>
      <c r="V54" s="17">
        <f>IF(N54&gt;0,P54/N54,"")</f>
        <v/>
      </c>
      <c r="W54" s="17">
        <f>IF(O54&gt;0,H54/O54,"")</f>
        <v/>
      </c>
    </row>
    <row r="55">
      <c r="A55" s="13" t="inlineStr">
        <is>
          <t>T02_F</t>
        </is>
      </c>
      <c r="B55" s="13" t="inlineStr">
        <is>
          <t>T02</t>
        </is>
      </c>
      <c r="C55" s="13" t="inlineStr">
        <is>
          <t>F</t>
        </is>
      </c>
      <c r="D55" s="13" t="n">
        <v>1</v>
      </c>
      <c r="E55" s="13" t="inlineStr">
        <is>
          <t>S1</t>
        </is>
      </c>
      <c r="F55" s="13" t="n">
        <v>2024</v>
      </c>
      <c r="G55" s="14" t="n">
        <v>58210.59466433059</v>
      </c>
      <c r="H55" s="14" t="n">
        <v>0</v>
      </c>
      <c r="I55" s="14" t="n">
        <v>29501.34923353007</v>
      </c>
      <c r="J55" s="14" t="n">
        <v>6051.959639306162</v>
      </c>
      <c r="K55" s="14" t="n">
        <v>22657.28579149433</v>
      </c>
      <c r="L55" s="14" t="n">
        <v>0</v>
      </c>
      <c r="M55" s="14" t="n">
        <v>0</v>
      </c>
      <c r="N55" s="14" t="n">
        <v>0</v>
      </c>
      <c r="O55" s="14" t="n">
        <v>38919.20944722493</v>
      </c>
      <c r="P55" s="14" t="n">
        <v>0</v>
      </c>
      <c r="Q55" s="14" t="n">
        <v>209617.9214174457</v>
      </c>
      <c r="R55" s="15">
        <f>IF(D55=1,"Section 1","Control")</f>
        <v/>
      </c>
      <c r="S55" s="16">
        <f>N55/10000</f>
        <v/>
      </c>
      <c r="T55" s="16">
        <f>P55/10000</f>
        <v/>
      </c>
      <c r="U55" s="15">
        <f>IF(N55&gt;=Summary!$D$3,1,0)</f>
        <v/>
      </c>
      <c r="V55" s="17">
        <f>IF(N55&gt;0,P55/N55,"")</f>
        <v/>
      </c>
      <c r="W55" s="17">
        <f>IF(O55&gt;0,H55/O55,"")</f>
        <v/>
      </c>
    </row>
    <row r="56">
      <c r="A56" s="13" t="inlineStr">
        <is>
          <t>T02_F</t>
        </is>
      </c>
      <c r="B56" s="13" t="inlineStr">
        <is>
          <t>T02</t>
        </is>
      </c>
      <c r="C56" s="13" t="inlineStr">
        <is>
          <t>F</t>
        </is>
      </c>
      <c r="D56" s="13" t="n">
        <v>1</v>
      </c>
      <c r="E56" s="13" t="inlineStr">
        <is>
          <t>S1</t>
        </is>
      </c>
      <c r="F56" s="13" t="n">
        <v>2025</v>
      </c>
      <c r="G56" s="14" t="n">
        <v>58210.59466433059</v>
      </c>
      <c r="H56" s="14" t="n">
        <v>0</v>
      </c>
      <c r="I56" s="14" t="n">
        <v>20952.65139405494</v>
      </c>
      <c r="J56" s="14" t="n">
        <v>6677.595843595616</v>
      </c>
      <c r="K56" s="14" t="n">
        <v>30580.34742668001</v>
      </c>
      <c r="L56" s="14" t="n">
        <v>0</v>
      </c>
      <c r="M56" s="14" t="n">
        <v>0</v>
      </c>
      <c r="N56" s="14" t="n">
        <v>0</v>
      </c>
      <c r="O56" s="14" t="n">
        <v>38919.20944722493</v>
      </c>
      <c r="P56" s="14" t="n">
        <v>0</v>
      </c>
      <c r="Q56" s="14" t="n">
        <v>209617.9214174457</v>
      </c>
      <c r="R56" s="15">
        <f>IF(D56=1,"Section 1","Control")</f>
        <v/>
      </c>
      <c r="S56" s="16">
        <f>N56/10000</f>
        <v/>
      </c>
      <c r="T56" s="16">
        <f>P56/10000</f>
        <v/>
      </c>
      <c r="U56" s="15">
        <f>IF(N56&gt;=Summary!$D$3,1,0)</f>
        <v/>
      </c>
      <c r="V56" s="17">
        <f>IF(N56&gt;0,P56/N56,"")</f>
        <v/>
      </c>
      <c r="W56" s="17">
        <f>IF(O56&gt;0,H56/O56,"")</f>
        <v/>
      </c>
    </row>
    <row r="57">
      <c r="A57" s="13" t="inlineStr">
        <is>
          <t>T02_F</t>
        </is>
      </c>
      <c r="B57" s="13" t="inlineStr">
        <is>
          <t>T02</t>
        </is>
      </c>
      <c r="C57" s="13" t="inlineStr">
        <is>
          <t>F</t>
        </is>
      </c>
      <c r="D57" s="13" t="n">
        <v>1</v>
      </c>
      <c r="E57" s="13" t="inlineStr">
        <is>
          <t>S1</t>
        </is>
      </c>
      <c r="F57" s="13" t="n">
        <v>2026</v>
      </c>
      <c r="G57" s="14" t="n">
        <v>58210.59466433059</v>
      </c>
      <c r="H57" s="14" t="n">
        <v>0</v>
      </c>
      <c r="I57" s="14" t="n">
        <v>9331.516776021321</v>
      </c>
      <c r="J57" s="14" t="n">
        <v>2250.514492977366</v>
      </c>
      <c r="K57" s="14" t="n">
        <v>46628.56339533188</v>
      </c>
      <c r="L57" s="14" t="n">
        <v>0</v>
      </c>
      <c r="M57" s="14" t="n">
        <v>0</v>
      </c>
      <c r="N57" s="14" t="n">
        <v>0</v>
      </c>
      <c r="O57" s="14" t="n">
        <v>38919.20944722493</v>
      </c>
      <c r="P57" s="14" t="n">
        <v>0</v>
      </c>
      <c r="Q57" s="14" t="n">
        <v>209617.9214174457</v>
      </c>
      <c r="R57" s="15">
        <f>IF(D57=1,"Section 1","Control")</f>
        <v/>
      </c>
      <c r="S57" s="16">
        <f>N57/10000</f>
        <v/>
      </c>
      <c r="T57" s="16">
        <f>P57/10000</f>
        <v/>
      </c>
      <c r="U57" s="15">
        <f>IF(N57&gt;=Summary!$D$3,1,0)</f>
        <v/>
      </c>
      <c r="V57" s="17">
        <f>IF(N57&gt;0,P57/N57,"")</f>
        <v/>
      </c>
      <c r="W57" s="17">
        <f>IF(O57&gt;0,H57/O57,"")</f>
        <v/>
      </c>
    </row>
    <row r="58">
      <c r="A58" s="13" t="inlineStr">
        <is>
          <t>T03_B1</t>
        </is>
      </c>
      <c r="B58" s="13" t="inlineStr">
        <is>
          <t>T03</t>
        </is>
      </c>
      <c r="C58" s="13" t="inlineStr">
        <is>
          <t>B1</t>
        </is>
      </c>
      <c r="D58" s="13" t="n">
        <v>1</v>
      </c>
      <c r="E58" s="13" t="inlineStr">
        <is>
          <t>S1</t>
        </is>
      </c>
      <c r="F58" s="13" t="n">
        <v>2020</v>
      </c>
      <c r="G58" s="14" t="n">
        <v>1064896.884399264</v>
      </c>
      <c r="H58" s="14" t="n">
        <v>0</v>
      </c>
      <c r="I58" s="14" t="n">
        <v>40926.99645759733</v>
      </c>
      <c r="J58" s="14" t="n">
        <v>98528.68766323908</v>
      </c>
      <c r="K58" s="14" t="n">
        <v>487146.7927539005</v>
      </c>
      <c r="L58" s="14" t="n">
        <v>438294.4075245277</v>
      </c>
      <c r="M58" s="14" t="n">
        <v>0</v>
      </c>
      <c r="N58" s="14" t="n">
        <v>0</v>
      </c>
      <c r="O58" s="14" t="n">
        <v>626602.4768747367</v>
      </c>
      <c r="P58" s="14" t="n">
        <v>0</v>
      </c>
      <c r="Q58" s="14" t="n">
        <v>3181464.940650911</v>
      </c>
      <c r="R58" s="15">
        <f>IF(D58=1,"Section 1","Control")</f>
        <v/>
      </c>
      <c r="S58" s="16">
        <f>N58/10000</f>
        <v/>
      </c>
      <c r="T58" s="16">
        <f>P58/10000</f>
        <v/>
      </c>
      <c r="U58" s="15">
        <f>IF(N58&gt;=Summary!$D$3,1,0)</f>
        <v/>
      </c>
      <c r="V58" s="17">
        <f>IF(N58&gt;0,P58/N58,"")</f>
        <v/>
      </c>
      <c r="W58" s="17">
        <f>IF(O58&gt;0,H58/O58,"")</f>
        <v/>
      </c>
    </row>
    <row r="59">
      <c r="A59" s="13" t="inlineStr">
        <is>
          <t>T03_B1</t>
        </is>
      </c>
      <c r="B59" s="13" t="inlineStr">
        <is>
          <t>T03</t>
        </is>
      </c>
      <c r="C59" s="13" t="inlineStr">
        <is>
          <t>B1</t>
        </is>
      </c>
      <c r="D59" s="13" t="n">
        <v>1</v>
      </c>
      <c r="E59" s="13" t="inlineStr">
        <is>
          <t>S1</t>
        </is>
      </c>
      <c r="F59" s="13" t="n">
        <v>2021</v>
      </c>
      <c r="G59" s="14" t="n">
        <v>1064896.884399264</v>
      </c>
      <c r="H59" s="14" t="n">
        <v>197.4466400146484</v>
      </c>
      <c r="I59" s="14" t="n">
        <v>51731.25606611663</v>
      </c>
      <c r="J59" s="14" t="n">
        <v>80145.16586946974</v>
      </c>
      <c r="K59" s="14" t="n">
        <v>497687.7766417263</v>
      </c>
      <c r="L59" s="14" t="n">
        <v>435135.2391819374</v>
      </c>
      <c r="M59" s="14" t="n">
        <v>0</v>
      </c>
      <c r="N59" s="14" t="n">
        <v>0</v>
      </c>
      <c r="O59" s="14" t="n">
        <v>626602.4768747367</v>
      </c>
      <c r="P59" s="14" t="n">
        <v>0</v>
      </c>
      <c r="Q59" s="14" t="n">
        <v>3181464.940650911</v>
      </c>
      <c r="R59" s="15">
        <f>IF(D59=1,"Section 1","Control")</f>
        <v/>
      </c>
      <c r="S59" s="16">
        <f>N59/10000</f>
        <v/>
      </c>
      <c r="T59" s="16">
        <f>P59/10000</f>
        <v/>
      </c>
      <c r="U59" s="15">
        <f>IF(N59&gt;=Summary!$D$3,1,0)</f>
        <v/>
      </c>
      <c r="V59" s="17">
        <f>IF(N59&gt;0,P59/N59,"")</f>
        <v/>
      </c>
      <c r="W59" s="17">
        <f>IF(O59&gt;0,H59/O59,"")</f>
        <v/>
      </c>
    </row>
    <row r="60">
      <c r="A60" s="13" t="inlineStr">
        <is>
          <t>T03_B1</t>
        </is>
      </c>
      <c r="B60" s="13" t="inlineStr">
        <is>
          <t>T03</t>
        </is>
      </c>
      <c r="C60" s="13" t="inlineStr">
        <is>
          <t>B1</t>
        </is>
      </c>
      <c r="D60" s="13" t="n">
        <v>1</v>
      </c>
      <c r="E60" s="13" t="inlineStr">
        <is>
          <t>S1</t>
        </is>
      </c>
      <c r="F60" s="13" t="n">
        <v>2022</v>
      </c>
      <c r="G60" s="14" t="n">
        <v>1064896.884399264</v>
      </c>
      <c r="H60" s="14" t="n">
        <v>197.4466247558593</v>
      </c>
      <c r="I60" s="14" t="n">
        <v>52065.77804424809</v>
      </c>
      <c r="J60" s="14" t="n">
        <v>71334.74603382187</v>
      </c>
      <c r="K60" s="14" t="n">
        <v>518218.0657810587</v>
      </c>
      <c r="L60" s="14" t="n">
        <v>423080.8479153801</v>
      </c>
      <c r="M60" s="14" t="n">
        <v>0</v>
      </c>
      <c r="N60" s="14" t="n">
        <v>0</v>
      </c>
      <c r="O60" s="14" t="n">
        <v>626602.4768747367</v>
      </c>
      <c r="P60" s="14" t="n">
        <v>0</v>
      </c>
      <c r="Q60" s="14" t="n">
        <v>3181464.940650911</v>
      </c>
      <c r="R60" s="15">
        <f>IF(D60=1,"Section 1","Control")</f>
        <v/>
      </c>
      <c r="S60" s="16">
        <f>N60/10000</f>
        <v/>
      </c>
      <c r="T60" s="16">
        <f>P60/10000</f>
        <v/>
      </c>
      <c r="U60" s="15">
        <f>IF(N60&gt;=Summary!$D$3,1,0)</f>
        <v/>
      </c>
      <c r="V60" s="17">
        <f>IF(N60&gt;0,P60/N60,"")</f>
        <v/>
      </c>
      <c r="W60" s="17">
        <f>IF(O60&gt;0,H60/O60,"")</f>
        <v/>
      </c>
    </row>
    <row r="61">
      <c r="A61" s="13" t="inlineStr">
        <is>
          <t>T03_B1</t>
        </is>
      </c>
      <c r="B61" s="13" t="inlineStr">
        <is>
          <t>T03</t>
        </is>
      </c>
      <c r="C61" s="13" t="inlineStr">
        <is>
          <t>B1</t>
        </is>
      </c>
      <c r="D61" s="13" t="n">
        <v>1</v>
      </c>
      <c r="E61" s="13" t="inlineStr">
        <is>
          <t>S1</t>
        </is>
      </c>
      <c r="F61" s="13" t="n">
        <v>2023</v>
      </c>
      <c r="G61" s="14" t="n">
        <v>1064896.884399265</v>
      </c>
      <c r="H61" s="14" t="n">
        <v>197.4466247558593</v>
      </c>
      <c r="I61" s="14" t="n">
        <v>47623.62457161697</v>
      </c>
      <c r="J61" s="14" t="n">
        <v>56451.45612574559</v>
      </c>
      <c r="K61" s="14" t="n">
        <v>535558.967123114</v>
      </c>
      <c r="L61" s="14" t="n">
        <v>425065.3899540321</v>
      </c>
      <c r="M61" s="14" t="n">
        <v>0</v>
      </c>
      <c r="N61" s="14" t="n">
        <v>0</v>
      </c>
      <c r="O61" s="14" t="n">
        <v>626602.4768747367</v>
      </c>
      <c r="P61" s="14" t="n">
        <v>0</v>
      </c>
      <c r="Q61" s="14" t="n">
        <v>3181464.940650911</v>
      </c>
      <c r="R61" s="15">
        <f>IF(D61=1,"Section 1","Control")</f>
        <v/>
      </c>
      <c r="S61" s="16">
        <f>N61/10000</f>
        <v/>
      </c>
      <c r="T61" s="16">
        <f>P61/10000</f>
        <v/>
      </c>
      <c r="U61" s="15">
        <f>IF(N61&gt;=Summary!$D$3,1,0)</f>
        <v/>
      </c>
      <c r="V61" s="17">
        <f>IF(N61&gt;0,P61/N61,"")</f>
        <v/>
      </c>
      <c r="W61" s="17">
        <f>IF(O61&gt;0,H61/O61,"")</f>
        <v/>
      </c>
    </row>
    <row r="62">
      <c r="A62" s="13" t="inlineStr">
        <is>
          <t>T03_B1</t>
        </is>
      </c>
      <c r="B62" s="13" t="inlineStr">
        <is>
          <t>T03</t>
        </is>
      </c>
      <c r="C62" s="13" t="inlineStr">
        <is>
          <t>B1</t>
        </is>
      </c>
      <c r="D62" s="13" t="n">
        <v>1</v>
      </c>
      <c r="E62" s="13" t="inlineStr">
        <is>
          <t>S1</t>
        </is>
      </c>
      <c r="F62" s="13" t="n">
        <v>2024</v>
      </c>
      <c r="G62" s="14" t="n">
        <v>1064896.884399265</v>
      </c>
      <c r="H62" s="14" t="n">
        <v>394.8932952880859</v>
      </c>
      <c r="I62" s="14" t="n">
        <v>49134.28996495265</v>
      </c>
      <c r="J62" s="14" t="n">
        <v>56932.30054096896</v>
      </c>
      <c r="K62" s="14" t="n">
        <v>540943.4942044728</v>
      </c>
      <c r="L62" s="14" t="n">
        <v>417491.9063935822</v>
      </c>
      <c r="M62" s="14" t="n">
        <v>0</v>
      </c>
      <c r="N62" s="14" t="n">
        <v>0</v>
      </c>
      <c r="O62" s="14" t="n">
        <v>626602.4768747368</v>
      </c>
      <c r="P62" s="14" t="n">
        <v>0</v>
      </c>
      <c r="Q62" s="14" t="n">
        <v>3181464.940650911</v>
      </c>
      <c r="R62" s="15">
        <f>IF(D62=1,"Section 1","Control")</f>
        <v/>
      </c>
      <c r="S62" s="16">
        <f>N62/10000</f>
        <v/>
      </c>
      <c r="T62" s="16">
        <f>P62/10000</f>
        <v/>
      </c>
      <c r="U62" s="15">
        <f>IF(N62&gt;=Summary!$D$3,1,0)</f>
        <v/>
      </c>
      <c r="V62" s="17">
        <f>IF(N62&gt;0,P62/N62,"")</f>
        <v/>
      </c>
      <c r="W62" s="17">
        <f>IF(O62&gt;0,H62/O62,"")</f>
        <v/>
      </c>
    </row>
    <row r="63">
      <c r="A63" s="13" t="inlineStr">
        <is>
          <t>T03_B1</t>
        </is>
      </c>
      <c r="B63" s="13" t="inlineStr">
        <is>
          <t>T03</t>
        </is>
      </c>
      <c r="C63" s="13" t="inlineStr">
        <is>
          <t>B1</t>
        </is>
      </c>
      <c r="D63" s="13" t="n">
        <v>1</v>
      </c>
      <c r="E63" s="13" t="inlineStr">
        <is>
          <t>S1</t>
        </is>
      </c>
      <c r="F63" s="13" t="n">
        <v>2025</v>
      </c>
      <c r="G63" s="14" t="n">
        <v>1064896.884399265</v>
      </c>
      <c r="H63" s="14" t="n">
        <v>0</v>
      </c>
      <c r="I63" s="14" t="n">
        <v>137202.3493105122</v>
      </c>
      <c r="J63" s="14" t="n">
        <v>54612.8684954475</v>
      </c>
      <c r="K63" s="14" t="n">
        <v>532380.0673878092</v>
      </c>
      <c r="L63" s="14" t="n">
        <v>340701.5992054958</v>
      </c>
      <c r="M63" s="14" t="n">
        <v>0</v>
      </c>
      <c r="N63" s="14" t="n">
        <v>0</v>
      </c>
      <c r="O63" s="14" t="n">
        <v>626602.4768747367</v>
      </c>
      <c r="P63" s="14" t="n">
        <v>0</v>
      </c>
      <c r="Q63" s="14" t="n">
        <v>3181464.940650911</v>
      </c>
      <c r="R63" s="15">
        <f>IF(D63=1,"Section 1","Control")</f>
        <v/>
      </c>
      <c r="S63" s="16">
        <f>N63/10000</f>
        <v/>
      </c>
      <c r="T63" s="16">
        <f>P63/10000</f>
        <v/>
      </c>
      <c r="U63" s="15">
        <f>IF(N63&gt;=Summary!$D$3,1,0)</f>
        <v/>
      </c>
      <c r="V63" s="17">
        <f>IF(N63&gt;0,P63/N63,"")</f>
        <v/>
      </c>
      <c r="W63" s="17">
        <f>IF(O63&gt;0,H63/O63,"")</f>
        <v/>
      </c>
    </row>
    <row r="64">
      <c r="A64" s="13" t="inlineStr">
        <is>
          <t>T03_B1</t>
        </is>
      </c>
      <c r="B64" s="13" t="inlineStr">
        <is>
          <t>T03</t>
        </is>
      </c>
      <c r="C64" s="13" t="inlineStr">
        <is>
          <t>B1</t>
        </is>
      </c>
      <c r="D64" s="13" t="n">
        <v>1</v>
      </c>
      <c r="E64" s="13" t="inlineStr">
        <is>
          <t>S1</t>
        </is>
      </c>
      <c r="F64" s="13" t="n">
        <v>2026</v>
      </c>
      <c r="G64" s="14" t="n">
        <v>1064896.884399264</v>
      </c>
      <c r="H64" s="14" t="n">
        <v>0</v>
      </c>
      <c r="I64" s="14" t="n">
        <v>447598.5285029094</v>
      </c>
      <c r="J64" s="14" t="n">
        <v>67733.46080100864</v>
      </c>
      <c r="K64" s="14" t="n">
        <v>502867.8972558416</v>
      </c>
      <c r="L64" s="14" t="n">
        <v>46696.99783950506</v>
      </c>
      <c r="M64" s="14" t="n">
        <v>0</v>
      </c>
      <c r="N64" s="14" t="n">
        <v>0</v>
      </c>
      <c r="O64" s="14" t="n">
        <v>626602.4768747368</v>
      </c>
      <c r="P64" s="14" t="n">
        <v>0</v>
      </c>
      <c r="Q64" s="14" t="n">
        <v>3181464.940650911</v>
      </c>
      <c r="R64" s="15">
        <f>IF(D64=1,"Section 1","Control")</f>
        <v/>
      </c>
      <c r="S64" s="16">
        <f>N64/10000</f>
        <v/>
      </c>
      <c r="T64" s="16">
        <f>P64/10000</f>
        <v/>
      </c>
      <c r="U64" s="15">
        <f>IF(N64&gt;=Summary!$D$3,1,0)</f>
        <v/>
      </c>
      <c r="V64" s="17">
        <f>IF(N64&gt;0,P64/N64,"")</f>
        <v/>
      </c>
      <c r="W64" s="17">
        <f>IF(O64&gt;0,H64/O64,"")</f>
        <v/>
      </c>
    </row>
    <row r="65">
      <c r="A65" s="13" t="inlineStr">
        <is>
          <t>T03_B2</t>
        </is>
      </c>
      <c r="B65" s="13" t="inlineStr">
        <is>
          <t>T03</t>
        </is>
      </c>
      <c r="C65" s="13" t="inlineStr">
        <is>
          <t>B2</t>
        </is>
      </c>
      <c r="D65" s="13" t="n">
        <v>1</v>
      </c>
      <c r="E65" s="13" t="inlineStr">
        <is>
          <t>S1</t>
        </is>
      </c>
      <c r="F65" s="13" t="n">
        <v>2020</v>
      </c>
      <c r="G65" s="14" t="n">
        <v>1066302.844777605</v>
      </c>
      <c r="H65" s="14" t="n">
        <v>197.4440155029297</v>
      </c>
      <c r="I65" s="14" t="n">
        <v>13808.29041281308</v>
      </c>
      <c r="J65" s="14" t="n">
        <v>0</v>
      </c>
      <c r="K65" s="14" t="n">
        <v>347702.3286653406</v>
      </c>
      <c r="L65" s="14" t="n">
        <v>704594.7816839481</v>
      </c>
      <c r="M65" s="14" t="n">
        <v>0</v>
      </c>
      <c r="N65" s="14" t="n">
        <v>197.4440155029297</v>
      </c>
      <c r="O65" s="14" t="n">
        <v>361708.0630936566</v>
      </c>
      <c r="P65" s="14" t="n">
        <v>0</v>
      </c>
      <c r="Q65" s="14" t="n">
        <v>1692669.589942483</v>
      </c>
      <c r="R65" s="15">
        <f>IF(D65=1,"Section 1","Control")</f>
        <v/>
      </c>
      <c r="S65" s="16">
        <f>N65/10000</f>
        <v/>
      </c>
      <c r="T65" s="16">
        <f>P65/10000</f>
        <v/>
      </c>
      <c r="U65" s="15">
        <f>IF(N65&gt;=Summary!$D$3,1,0)</f>
        <v/>
      </c>
      <c r="V65" s="17">
        <f>IF(N65&gt;0,P65/N65,"")</f>
        <v/>
      </c>
      <c r="W65" s="17">
        <f>IF(O65&gt;0,H65/O65,"")</f>
        <v/>
      </c>
    </row>
    <row r="66">
      <c r="A66" s="13" t="inlineStr">
        <is>
          <t>T03_B2</t>
        </is>
      </c>
      <c r="B66" s="13" t="inlineStr">
        <is>
          <t>T03</t>
        </is>
      </c>
      <c r="C66" s="13" t="inlineStr">
        <is>
          <t>B2</t>
        </is>
      </c>
      <c r="D66" s="13" t="n">
        <v>1</v>
      </c>
      <c r="E66" s="13" t="inlineStr">
        <is>
          <t>S1</t>
        </is>
      </c>
      <c r="F66" s="13" t="n">
        <v>2021</v>
      </c>
      <c r="G66" s="14" t="n">
        <v>1066302.844777605</v>
      </c>
      <c r="H66" s="14" t="n">
        <v>0</v>
      </c>
      <c r="I66" s="14" t="n">
        <v>13831.90846901688</v>
      </c>
      <c r="J66" s="14" t="n">
        <v>0</v>
      </c>
      <c r="K66" s="14" t="n">
        <v>347782.849339055</v>
      </c>
      <c r="L66" s="14" t="n">
        <v>704688.0869695328</v>
      </c>
      <c r="M66" s="14" t="n">
        <v>0</v>
      </c>
      <c r="N66" s="14" t="n">
        <v>197.4440155029297</v>
      </c>
      <c r="O66" s="14" t="n">
        <v>361708.0630936566</v>
      </c>
      <c r="P66" s="14" t="n">
        <v>197.4440155029297</v>
      </c>
      <c r="Q66" s="14" t="n">
        <v>1692669.589942483</v>
      </c>
      <c r="R66" s="15">
        <f>IF(D66=1,"Section 1","Control")</f>
        <v/>
      </c>
      <c r="S66" s="16">
        <f>N66/10000</f>
        <v/>
      </c>
      <c r="T66" s="16">
        <f>P66/10000</f>
        <v/>
      </c>
      <c r="U66" s="15">
        <f>IF(N66&gt;=Summary!$D$3,1,0)</f>
        <v/>
      </c>
      <c r="V66" s="17">
        <f>IF(N66&gt;0,P66/N66,"")</f>
        <v/>
      </c>
      <c r="W66" s="17">
        <f>IF(O66&gt;0,H66/O66,"")</f>
        <v/>
      </c>
    </row>
    <row r="67">
      <c r="A67" s="13" t="inlineStr">
        <is>
          <t>T03_B2</t>
        </is>
      </c>
      <c r="B67" s="13" t="inlineStr">
        <is>
          <t>T03</t>
        </is>
      </c>
      <c r="C67" s="13" t="inlineStr">
        <is>
          <t>B2</t>
        </is>
      </c>
      <c r="D67" s="13" t="n">
        <v>1</v>
      </c>
      <c r="E67" s="13" t="inlineStr">
        <is>
          <t>S1</t>
        </is>
      </c>
      <c r="F67" s="13" t="n">
        <v>2022</v>
      </c>
      <c r="G67" s="14" t="n">
        <v>1066302.844777605</v>
      </c>
      <c r="H67" s="14" t="n">
        <v>0</v>
      </c>
      <c r="I67" s="14" t="n">
        <v>14653.83082359164</v>
      </c>
      <c r="J67" s="14" t="n">
        <v>0</v>
      </c>
      <c r="K67" s="14" t="n">
        <v>347948.956231809</v>
      </c>
      <c r="L67" s="14" t="n">
        <v>703700.0577222039</v>
      </c>
      <c r="M67" s="14" t="n">
        <v>0</v>
      </c>
      <c r="N67" s="14" t="n">
        <v>197.4440155029297</v>
      </c>
      <c r="O67" s="14" t="n">
        <v>361708.0630936566</v>
      </c>
      <c r="P67" s="14" t="n">
        <v>197.4440155029297</v>
      </c>
      <c r="Q67" s="14" t="n">
        <v>1692669.589942483</v>
      </c>
      <c r="R67" s="15">
        <f>IF(D67=1,"Section 1","Control")</f>
        <v/>
      </c>
      <c r="S67" s="16">
        <f>N67/10000</f>
        <v/>
      </c>
      <c r="T67" s="16">
        <f>P67/10000</f>
        <v/>
      </c>
      <c r="U67" s="15">
        <f>IF(N67&gt;=Summary!$D$3,1,0)</f>
        <v/>
      </c>
      <c r="V67" s="17">
        <f>IF(N67&gt;0,P67/N67,"")</f>
        <v/>
      </c>
      <c r="W67" s="17">
        <f>IF(O67&gt;0,H67/O67,"")</f>
        <v/>
      </c>
    </row>
    <row r="68">
      <c r="A68" s="13" t="inlineStr">
        <is>
          <t>T03_B2</t>
        </is>
      </c>
      <c r="B68" s="13" t="inlineStr">
        <is>
          <t>T03</t>
        </is>
      </c>
      <c r="C68" s="13" t="inlineStr">
        <is>
          <t>B2</t>
        </is>
      </c>
      <c r="D68" s="13" t="n">
        <v>1</v>
      </c>
      <c r="E68" s="13" t="inlineStr">
        <is>
          <t>S1</t>
        </is>
      </c>
      <c r="F68" s="13" t="n">
        <v>2023</v>
      </c>
      <c r="G68" s="14" t="n">
        <v>1066302.844777605</v>
      </c>
      <c r="H68" s="14" t="n">
        <v>0</v>
      </c>
      <c r="I68" s="14" t="n">
        <v>11561.69637762332</v>
      </c>
      <c r="J68" s="14" t="n">
        <v>0</v>
      </c>
      <c r="K68" s="14" t="n">
        <v>350297.7458074233</v>
      </c>
      <c r="L68" s="14" t="n">
        <v>704443.4025925582</v>
      </c>
      <c r="M68" s="14" t="n">
        <v>0</v>
      </c>
      <c r="N68" s="14" t="n">
        <v>197.4440155029297</v>
      </c>
      <c r="O68" s="14" t="n">
        <v>361708.0630936566</v>
      </c>
      <c r="P68" s="14" t="n">
        <v>197.4440155029297</v>
      </c>
      <c r="Q68" s="14" t="n">
        <v>1692669.589942483</v>
      </c>
      <c r="R68" s="15">
        <f>IF(D68=1,"Section 1","Control")</f>
        <v/>
      </c>
      <c r="S68" s="16">
        <f>N68/10000</f>
        <v/>
      </c>
      <c r="T68" s="16">
        <f>P68/10000</f>
        <v/>
      </c>
      <c r="U68" s="15">
        <f>IF(N68&gt;=Summary!$D$3,1,0)</f>
        <v/>
      </c>
      <c r="V68" s="17">
        <f>IF(N68&gt;0,P68/N68,"")</f>
        <v/>
      </c>
      <c r="W68" s="17">
        <f>IF(O68&gt;0,H68/O68,"")</f>
        <v/>
      </c>
    </row>
    <row r="69">
      <c r="A69" s="13" t="inlineStr">
        <is>
          <t>T03_B2</t>
        </is>
      </c>
      <c r="B69" s="13" t="inlineStr">
        <is>
          <t>T03</t>
        </is>
      </c>
      <c r="C69" s="13" t="inlineStr">
        <is>
          <t>B2</t>
        </is>
      </c>
      <c r="D69" s="13" t="n">
        <v>1</v>
      </c>
      <c r="E69" s="13" t="inlineStr">
        <is>
          <t>S1</t>
        </is>
      </c>
      <c r="F69" s="13" t="n">
        <v>2024</v>
      </c>
      <c r="G69" s="14" t="n">
        <v>1066302.844777605</v>
      </c>
      <c r="H69" s="14" t="n">
        <v>0</v>
      </c>
      <c r="I69" s="14" t="n">
        <v>14307.713342345</v>
      </c>
      <c r="J69" s="14" t="n">
        <v>0</v>
      </c>
      <c r="K69" s="14" t="n">
        <v>349670.6486767338</v>
      </c>
      <c r="L69" s="14" t="n">
        <v>702324.4827585258</v>
      </c>
      <c r="M69" s="14" t="n">
        <v>0</v>
      </c>
      <c r="N69" s="14" t="n">
        <v>197.4440155029297</v>
      </c>
      <c r="O69" s="14" t="n">
        <v>361708.0630936566</v>
      </c>
      <c r="P69" s="14" t="n">
        <v>197.4440155029297</v>
      </c>
      <c r="Q69" s="14" t="n">
        <v>1692669.589942483</v>
      </c>
      <c r="R69" s="15">
        <f>IF(D69=1,"Section 1","Control")</f>
        <v/>
      </c>
      <c r="S69" s="16">
        <f>N69/10000</f>
        <v/>
      </c>
      <c r="T69" s="16">
        <f>P69/10000</f>
        <v/>
      </c>
      <c r="U69" s="15">
        <f>IF(N69&gt;=Summary!$D$3,1,0)</f>
        <v/>
      </c>
      <c r="V69" s="17">
        <f>IF(N69&gt;0,P69/N69,"")</f>
        <v/>
      </c>
      <c r="W69" s="17">
        <f>IF(O69&gt;0,H69/O69,"")</f>
        <v/>
      </c>
    </row>
    <row r="70">
      <c r="A70" s="13" t="inlineStr">
        <is>
          <t>T03_B2</t>
        </is>
      </c>
      <c r="B70" s="13" t="inlineStr">
        <is>
          <t>T03</t>
        </is>
      </c>
      <c r="C70" s="13" t="inlineStr">
        <is>
          <t>B2</t>
        </is>
      </c>
      <c r="D70" s="13" t="n">
        <v>1</v>
      </c>
      <c r="E70" s="13" t="inlineStr">
        <is>
          <t>S1</t>
        </is>
      </c>
      <c r="F70" s="13" t="n">
        <v>2025</v>
      </c>
      <c r="G70" s="14" t="n">
        <v>1066302.844777605</v>
      </c>
      <c r="H70" s="14" t="n">
        <v>0</v>
      </c>
      <c r="I70" s="14" t="n">
        <v>10972.45198786118</v>
      </c>
      <c r="J70" s="14" t="n">
        <v>0</v>
      </c>
      <c r="K70" s="14" t="n">
        <v>351947.8050581688</v>
      </c>
      <c r="L70" s="14" t="n">
        <v>703382.5877315747</v>
      </c>
      <c r="M70" s="14" t="n">
        <v>0</v>
      </c>
      <c r="N70" s="14" t="n">
        <v>197.4440155029297</v>
      </c>
      <c r="O70" s="14" t="n">
        <v>361708.0630936566</v>
      </c>
      <c r="P70" s="14" t="n">
        <v>197.4440155029297</v>
      </c>
      <c r="Q70" s="14" t="n">
        <v>1692669.589942483</v>
      </c>
      <c r="R70" s="15">
        <f>IF(D70=1,"Section 1","Control")</f>
        <v/>
      </c>
      <c r="S70" s="16">
        <f>N70/10000</f>
        <v/>
      </c>
      <c r="T70" s="16">
        <f>P70/10000</f>
        <v/>
      </c>
      <c r="U70" s="15">
        <f>IF(N70&gt;=Summary!$D$3,1,0)</f>
        <v/>
      </c>
      <c r="V70" s="17">
        <f>IF(N70&gt;0,P70/N70,"")</f>
        <v/>
      </c>
      <c r="W70" s="17">
        <f>IF(O70&gt;0,H70/O70,"")</f>
        <v/>
      </c>
    </row>
    <row r="71">
      <c r="A71" s="13" t="inlineStr">
        <is>
          <t>T03_B2</t>
        </is>
      </c>
      <c r="B71" s="13" t="inlineStr">
        <is>
          <t>T03</t>
        </is>
      </c>
      <c r="C71" s="13" t="inlineStr">
        <is>
          <t>B2</t>
        </is>
      </c>
      <c r="D71" s="13" t="n">
        <v>1</v>
      </c>
      <c r="E71" s="13" t="inlineStr">
        <is>
          <t>S1</t>
        </is>
      </c>
      <c r="F71" s="13" t="n">
        <v>2026</v>
      </c>
      <c r="G71" s="14" t="n">
        <v>1066302.844777605</v>
      </c>
      <c r="H71" s="14" t="n">
        <v>0</v>
      </c>
      <c r="I71" s="14" t="n">
        <v>539172.8657620001</v>
      </c>
      <c r="J71" s="14" t="n">
        <v>0</v>
      </c>
      <c r="K71" s="14" t="n">
        <v>352859.7465536977</v>
      </c>
      <c r="L71" s="14" t="n">
        <v>174270.2324619069</v>
      </c>
      <c r="M71" s="14" t="n">
        <v>0</v>
      </c>
      <c r="N71" s="14" t="n">
        <v>197.4440155029297</v>
      </c>
      <c r="O71" s="14" t="n">
        <v>361708.0630936566</v>
      </c>
      <c r="P71" s="14" t="n">
        <v>197.4440155029297</v>
      </c>
      <c r="Q71" s="14" t="n">
        <v>1692669.589942483</v>
      </c>
      <c r="R71" s="15">
        <f>IF(D71=1,"Section 1","Control")</f>
        <v/>
      </c>
      <c r="S71" s="16">
        <f>N71/10000</f>
        <v/>
      </c>
      <c r="T71" s="16">
        <f>P71/10000</f>
        <v/>
      </c>
      <c r="U71" s="15">
        <f>IF(N71&gt;=Summary!$D$3,1,0)</f>
        <v/>
      </c>
      <c r="V71" s="17">
        <f>IF(N71&gt;0,P71/N71,"")</f>
        <v/>
      </c>
      <c r="W71" s="17">
        <f>IF(O71&gt;0,H71/O71,"")</f>
        <v/>
      </c>
    </row>
    <row r="72">
      <c r="A72" s="13" t="inlineStr">
        <is>
          <t>T03_B3</t>
        </is>
      </c>
      <c r="B72" s="13" t="inlineStr">
        <is>
          <t>T03</t>
        </is>
      </c>
      <c r="C72" s="13" t="inlineStr">
        <is>
          <t>B3</t>
        </is>
      </c>
      <c r="D72" s="13" t="n">
        <v>1</v>
      </c>
      <c r="E72" s="13" t="inlineStr">
        <is>
          <t>S1</t>
        </is>
      </c>
      <c r="F72" s="13" t="n">
        <v>2020</v>
      </c>
      <c r="G72" s="14" t="n">
        <v>10352962.50749515</v>
      </c>
      <c r="H72" s="14" t="n">
        <v>92717.21941070558</v>
      </c>
      <c r="I72" s="14" t="n">
        <v>157600.0246989531</v>
      </c>
      <c r="J72" s="14" t="n">
        <v>0</v>
      </c>
      <c r="K72" s="14" t="n">
        <v>1185376.46593601</v>
      </c>
      <c r="L72" s="14" t="n">
        <v>8917268.797449479</v>
      </c>
      <c r="M72" s="14" t="n">
        <v>0</v>
      </c>
      <c r="N72" s="14" t="n">
        <v>92717.21941070558</v>
      </c>
      <c r="O72" s="14" t="n">
        <v>1435693.710045669</v>
      </c>
      <c r="P72" s="14" t="n">
        <v>0</v>
      </c>
      <c r="Q72" s="14" t="n">
        <v>8172873.291148855</v>
      </c>
      <c r="R72" s="15">
        <f>IF(D72=1,"Section 1","Control")</f>
        <v/>
      </c>
      <c r="S72" s="16">
        <f>N72/10000</f>
        <v/>
      </c>
      <c r="T72" s="16">
        <f>P72/10000</f>
        <v/>
      </c>
      <c r="U72" s="15">
        <f>IF(N72&gt;=Summary!$D$3,1,0)</f>
        <v/>
      </c>
      <c r="V72" s="17">
        <f>IF(N72&gt;0,P72/N72,"")</f>
        <v/>
      </c>
      <c r="W72" s="17">
        <f>IF(O72&gt;0,H72/O72,"")</f>
        <v/>
      </c>
    </row>
    <row r="73">
      <c r="A73" s="13" t="inlineStr">
        <is>
          <t>T03_B3</t>
        </is>
      </c>
      <c r="B73" s="13" t="inlineStr">
        <is>
          <t>T03</t>
        </is>
      </c>
      <c r="C73" s="13" t="inlineStr">
        <is>
          <t>B3</t>
        </is>
      </c>
      <c r="D73" s="13" t="n">
        <v>1</v>
      </c>
      <c r="E73" s="13" t="inlineStr">
        <is>
          <t>S1</t>
        </is>
      </c>
      <c r="F73" s="13" t="n">
        <v>2021</v>
      </c>
      <c r="G73" s="14" t="n">
        <v>10352962.50749515</v>
      </c>
      <c r="H73" s="14" t="n">
        <v>44460.97651543711</v>
      </c>
      <c r="I73" s="14" t="n">
        <v>156240.7735638787</v>
      </c>
      <c r="J73" s="14" t="n">
        <v>0</v>
      </c>
      <c r="K73" s="14" t="n">
        <v>1226059.308811262</v>
      </c>
      <c r="L73" s="14" t="n">
        <v>8926201.448604569</v>
      </c>
      <c r="M73" s="14" t="n">
        <v>0</v>
      </c>
      <c r="N73" s="14" t="n">
        <v>92717.21941070558</v>
      </c>
      <c r="O73" s="14" t="n">
        <v>1435693.710045668</v>
      </c>
      <c r="P73" s="14" t="n">
        <v>48912.42903948018</v>
      </c>
      <c r="Q73" s="14" t="n">
        <v>8172873.291148855</v>
      </c>
      <c r="R73" s="15">
        <f>IF(D73=1,"Section 1","Control")</f>
        <v/>
      </c>
      <c r="S73" s="16">
        <f>N73/10000</f>
        <v/>
      </c>
      <c r="T73" s="16">
        <f>P73/10000</f>
        <v/>
      </c>
      <c r="U73" s="15">
        <f>IF(N73&gt;=Summary!$D$3,1,0)</f>
        <v/>
      </c>
      <c r="V73" s="17">
        <f>IF(N73&gt;0,P73/N73,"")</f>
        <v/>
      </c>
      <c r="W73" s="17">
        <f>IF(O73&gt;0,H73/O73,"")</f>
        <v/>
      </c>
    </row>
    <row r="74">
      <c r="A74" s="13" t="inlineStr">
        <is>
          <t>T03_B3</t>
        </is>
      </c>
      <c r="B74" s="13" t="inlineStr">
        <is>
          <t>T03</t>
        </is>
      </c>
      <c r="C74" s="13" t="inlineStr">
        <is>
          <t>B3</t>
        </is>
      </c>
      <c r="D74" s="13" t="n">
        <v>1</v>
      </c>
      <c r="E74" s="13" t="inlineStr">
        <is>
          <t>S1</t>
        </is>
      </c>
      <c r="F74" s="13" t="n">
        <v>2022</v>
      </c>
      <c r="G74" s="14" t="n">
        <v>10352962.50749515</v>
      </c>
      <c r="H74" s="14" t="n">
        <v>15899.23814993466</v>
      </c>
      <c r="I74" s="14" t="n">
        <v>156673.8249987135</v>
      </c>
      <c r="J74" s="14" t="n">
        <v>0</v>
      </c>
      <c r="K74" s="14" t="n">
        <v>1279045.02352277</v>
      </c>
      <c r="L74" s="14" t="n">
        <v>8901344.420823729</v>
      </c>
      <c r="M74" s="14" t="n">
        <v>0</v>
      </c>
      <c r="N74" s="14" t="n">
        <v>92717.21941070558</v>
      </c>
      <c r="O74" s="14" t="n">
        <v>1435693.710045669</v>
      </c>
      <c r="P74" s="14" t="n">
        <v>77311.58860635197</v>
      </c>
      <c r="Q74" s="14" t="n">
        <v>8172873.291148854</v>
      </c>
      <c r="R74" s="15">
        <f>IF(D74=1,"Section 1","Control")</f>
        <v/>
      </c>
      <c r="S74" s="16">
        <f>N74/10000</f>
        <v/>
      </c>
      <c r="T74" s="16">
        <f>P74/10000</f>
        <v/>
      </c>
      <c r="U74" s="15">
        <f>IF(N74&gt;=Summary!$D$3,1,0)</f>
        <v/>
      </c>
      <c r="V74" s="17">
        <f>IF(N74&gt;0,P74/N74,"")</f>
        <v/>
      </c>
      <c r="W74" s="17">
        <f>IF(O74&gt;0,H74/O74,"")</f>
        <v/>
      </c>
    </row>
    <row r="75">
      <c r="A75" s="13" t="inlineStr">
        <is>
          <t>T03_B3</t>
        </is>
      </c>
      <c r="B75" s="13" t="inlineStr">
        <is>
          <t>T03</t>
        </is>
      </c>
      <c r="C75" s="13" t="inlineStr">
        <is>
          <t>B3</t>
        </is>
      </c>
      <c r="D75" s="13" t="n">
        <v>1</v>
      </c>
      <c r="E75" s="13" t="inlineStr">
        <is>
          <t>S1</t>
        </is>
      </c>
      <c r="F75" s="13" t="n">
        <v>2023</v>
      </c>
      <c r="G75" s="14" t="n">
        <v>10352962.50749515</v>
      </c>
      <c r="H75" s="14" t="n">
        <v>13248.12515091242</v>
      </c>
      <c r="I75" s="14" t="n">
        <v>155766.9371929094</v>
      </c>
      <c r="J75" s="14" t="n">
        <v>0</v>
      </c>
      <c r="K75" s="14" t="n">
        <v>1285004.851304896</v>
      </c>
      <c r="L75" s="14" t="n">
        <v>8898942.593846429</v>
      </c>
      <c r="M75" s="14" t="n">
        <v>0</v>
      </c>
      <c r="N75" s="14" t="n">
        <v>92717.21941070558</v>
      </c>
      <c r="O75" s="14" t="n">
        <v>1435693.710045668</v>
      </c>
      <c r="P75" s="14" t="n">
        <v>79469.09425979316</v>
      </c>
      <c r="Q75" s="14" t="n">
        <v>8172873.291148855</v>
      </c>
      <c r="R75" s="15">
        <f>IF(D75=1,"Section 1","Control")</f>
        <v/>
      </c>
      <c r="S75" s="16">
        <f>N75/10000</f>
        <v/>
      </c>
      <c r="T75" s="16">
        <f>P75/10000</f>
        <v/>
      </c>
      <c r="U75" s="15">
        <f>IF(N75&gt;=Summary!$D$3,1,0)</f>
        <v/>
      </c>
      <c r="V75" s="17">
        <f>IF(N75&gt;0,P75/N75,"")</f>
        <v/>
      </c>
      <c r="W75" s="17">
        <f>IF(O75&gt;0,H75/O75,"")</f>
        <v/>
      </c>
    </row>
    <row r="76">
      <c r="A76" s="13" t="inlineStr">
        <is>
          <t>T03_B3</t>
        </is>
      </c>
      <c r="B76" s="13" t="inlineStr">
        <is>
          <t>T03</t>
        </is>
      </c>
      <c r="C76" s="13" t="inlineStr">
        <is>
          <t>B3</t>
        </is>
      </c>
      <c r="D76" s="13" t="n">
        <v>1</v>
      </c>
      <c r="E76" s="13" t="inlineStr">
        <is>
          <t>S1</t>
        </is>
      </c>
      <c r="F76" s="13" t="n">
        <v>2024</v>
      </c>
      <c r="G76" s="14" t="n">
        <v>10352962.50749515</v>
      </c>
      <c r="H76" s="14" t="n">
        <v>13630.22657572428</v>
      </c>
      <c r="I76" s="14" t="n">
        <v>168514.38957714</v>
      </c>
      <c r="J76" s="14" t="n">
        <v>0</v>
      </c>
      <c r="K76" s="14" t="n">
        <v>1278647.515346901</v>
      </c>
      <c r="L76" s="14" t="n">
        <v>8892170.375995383</v>
      </c>
      <c r="M76" s="14" t="n">
        <v>0</v>
      </c>
      <c r="N76" s="14" t="n">
        <v>92717.21941070558</v>
      </c>
      <c r="O76" s="14" t="n">
        <v>1435693.710045668</v>
      </c>
      <c r="P76" s="14" t="n">
        <v>80469.06116383872</v>
      </c>
      <c r="Q76" s="14" t="n">
        <v>8172873.291148855</v>
      </c>
      <c r="R76" s="15">
        <f>IF(D76=1,"Section 1","Control")</f>
        <v/>
      </c>
      <c r="S76" s="16">
        <f>N76/10000</f>
        <v/>
      </c>
      <c r="T76" s="16">
        <f>P76/10000</f>
        <v/>
      </c>
      <c r="U76" s="15">
        <f>IF(N76&gt;=Summary!$D$3,1,0)</f>
        <v/>
      </c>
      <c r="V76" s="17">
        <f>IF(N76&gt;0,P76/N76,"")</f>
        <v/>
      </c>
      <c r="W76" s="17">
        <f>IF(O76&gt;0,H76/O76,"")</f>
        <v/>
      </c>
    </row>
    <row r="77">
      <c r="A77" s="13" t="inlineStr">
        <is>
          <t>T03_B3</t>
        </is>
      </c>
      <c r="B77" s="13" t="inlineStr">
        <is>
          <t>T03</t>
        </is>
      </c>
      <c r="C77" s="13" t="inlineStr">
        <is>
          <t>B3</t>
        </is>
      </c>
      <c r="D77" s="13" t="n">
        <v>1</v>
      </c>
      <c r="E77" s="13" t="inlineStr">
        <is>
          <t>S1</t>
        </is>
      </c>
      <c r="F77" s="13" t="n">
        <v>2025</v>
      </c>
      <c r="G77" s="14" t="n">
        <v>10352962.50749515</v>
      </c>
      <c r="H77" s="14" t="n">
        <v>16441.92344330432</v>
      </c>
      <c r="I77" s="14" t="n">
        <v>146681.8202781228</v>
      </c>
      <c r="J77" s="14" t="n">
        <v>0</v>
      </c>
      <c r="K77" s="14" t="n">
        <v>1285644.310049049</v>
      </c>
      <c r="L77" s="14" t="n">
        <v>8904194.453724671</v>
      </c>
      <c r="M77" s="14" t="n">
        <v>0</v>
      </c>
      <c r="N77" s="14" t="n">
        <v>92717.21941070558</v>
      </c>
      <c r="O77" s="14" t="n">
        <v>1435693.710045669</v>
      </c>
      <c r="P77" s="14" t="n">
        <v>80188.78817357084</v>
      </c>
      <c r="Q77" s="14" t="n">
        <v>8172873.291148855</v>
      </c>
      <c r="R77" s="15">
        <f>IF(D77=1,"Section 1","Control")</f>
        <v/>
      </c>
      <c r="S77" s="16">
        <f>N77/10000</f>
        <v/>
      </c>
      <c r="T77" s="16">
        <f>P77/10000</f>
        <v/>
      </c>
      <c r="U77" s="15">
        <f>IF(N77&gt;=Summary!$D$3,1,0)</f>
        <v/>
      </c>
      <c r="V77" s="17">
        <f>IF(N77&gt;0,P77/N77,"")</f>
        <v/>
      </c>
      <c r="W77" s="17">
        <f>IF(O77&gt;0,H77/O77,"")</f>
        <v/>
      </c>
    </row>
    <row r="78">
      <c r="A78" s="13" t="inlineStr">
        <is>
          <t>T03_B3</t>
        </is>
      </c>
      <c r="B78" s="13" t="inlineStr">
        <is>
          <t>T03</t>
        </is>
      </c>
      <c r="C78" s="13" t="inlineStr">
        <is>
          <t>B3</t>
        </is>
      </c>
      <c r="D78" s="13" t="n">
        <v>1</v>
      </c>
      <c r="E78" s="13" t="inlineStr">
        <is>
          <t>S1</t>
        </is>
      </c>
      <c r="F78" s="13" t="n">
        <v>2026</v>
      </c>
      <c r="G78" s="14" t="n">
        <v>10352962.50749515</v>
      </c>
      <c r="H78" s="14" t="n">
        <v>13551.60093641094</v>
      </c>
      <c r="I78" s="14" t="n">
        <v>254371.3791907218</v>
      </c>
      <c r="J78" s="14" t="n">
        <v>0</v>
      </c>
      <c r="K78" s="14" t="n">
        <v>1272231.705289504</v>
      </c>
      <c r="L78" s="14" t="n">
        <v>8812807.822078511</v>
      </c>
      <c r="M78" s="14" t="n">
        <v>0</v>
      </c>
      <c r="N78" s="14" t="n">
        <v>92717.21941070558</v>
      </c>
      <c r="O78" s="14" t="n">
        <v>1435693.710045668</v>
      </c>
      <c r="P78" s="14" t="n">
        <v>81186.43865574857</v>
      </c>
      <c r="Q78" s="14" t="n">
        <v>8172873.291148854</v>
      </c>
      <c r="R78" s="15">
        <f>IF(D78=1,"Section 1","Control")</f>
        <v/>
      </c>
      <c r="S78" s="16">
        <f>N78/10000</f>
        <v/>
      </c>
      <c r="T78" s="16">
        <f>P78/10000</f>
        <v/>
      </c>
      <c r="U78" s="15">
        <f>IF(N78&gt;=Summary!$D$3,1,0)</f>
        <v/>
      </c>
      <c r="V78" s="17">
        <f>IF(N78&gt;0,P78/N78,"")</f>
        <v/>
      </c>
      <c r="W78" s="17">
        <f>IF(O78&gt;0,H78/O78,"")</f>
        <v/>
      </c>
    </row>
    <row r="79">
      <c r="A79" s="13" t="inlineStr">
        <is>
          <t>T03_F</t>
        </is>
      </c>
      <c r="B79" s="13" t="inlineStr">
        <is>
          <t>T03</t>
        </is>
      </c>
      <c r="C79" s="13" t="inlineStr">
        <is>
          <t>F</t>
        </is>
      </c>
      <c r="D79" s="13" t="n">
        <v>1</v>
      </c>
      <c r="E79" s="13" t="inlineStr">
        <is>
          <t>S1</t>
        </is>
      </c>
      <c r="F79" s="13" t="n">
        <v>2020</v>
      </c>
      <c r="G79" s="14" t="n">
        <v>43337.35588208369</v>
      </c>
      <c r="H79" s="14" t="n">
        <v>0</v>
      </c>
      <c r="I79" s="14" t="n">
        <v>5008.966411007151</v>
      </c>
      <c r="J79" s="14" t="n">
        <v>17810.14721832276</v>
      </c>
      <c r="K79" s="14" t="n">
        <v>20518.24225275377</v>
      </c>
      <c r="L79" s="14" t="n">
        <v>0</v>
      </c>
      <c r="M79" s="14" t="n">
        <v>0</v>
      </c>
      <c r="N79" s="14" t="n">
        <v>0</v>
      </c>
      <c r="O79" s="14" t="n">
        <v>43337.35588208369</v>
      </c>
      <c r="P79" s="14" t="n">
        <v>0</v>
      </c>
      <c r="Q79" s="14" t="n">
        <v>231806.9809936524</v>
      </c>
      <c r="R79" s="15">
        <f>IF(D79=1,"Section 1","Control")</f>
        <v/>
      </c>
      <c r="S79" s="16">
        <f>N79/10000</f>
        <v/>
      </c>
      <c r="T79" s="16">
        <f>P79/10000</f>
        <v/>
      </c>
      <c r="U79" s="15">
        <f>IF(N79&gt;=Summary!$D$3,1,0)</f>
        <v/>
      </c>
      <c r="V79" s="17">
        <f>IF(N79&gt;0,P79/N79,"")</f>
        <v/>
      </c>
      <c r="W79" s="17">
        <f>IF(O79&gt;0,H79/O79,"")</f>
        <v/>
      </c>
    </row>
    <row r="80">
      <c r="A80" s="13" t="inlineStr">
        <is>
          <t>T03_F</t>
        </is>
      </c>
      <c r="B80" s="13" t="inlineStr">
        <is>
          <t>T03</t>
        </is>
      </c>
      <c r="C80" s="13" t="inlineStr">
        <is>
          <t>F</t>
        </is>
      </c>
      <c r="D80" s="13" t="n">
        <v>1</v>
      </c>
      <c r="E80" s="13" t="inlineStr">
        <is>
          <t>S1</t>
        </is>
      </c>
      <c r="F80" s="13" t="n">
        <v>2021</v>
      </c>
      <c r="G80" s="14" t="n">
        <v>43337.35588208369</v>
      </c>
      <c r="H80" s="14" t="n">
        <v>0</v>
      </c>
      <c r="I80" s="14" t="n">
        <v>5218.800175775265</v>
      </c>
      <c r="J80" s="14" t="n">
        <v>12812.79205169678</v>
      </c>
      <c r="K80" s="14" t="n">
        <v>25305.76365461164</v>
      </c>
      <c r="L80" s="14" t="n">
        <v>0</v>
      </c>
      <c r="M80" s="14" t="n">
        <v>0</v>
      </c>
      <c r="N80" s="14" t="n">
        <v>0</v>
      </c>
      <c r="O80" s="14" t="n">
        <v>43337.35588208369</v>
      </c>
      <c r="P80" s="14" t="n">
        <v>0</v>
      </c>
      <c r="Q80" s="14" t="n">
        <v>231806.9809936524</v>
      </c>
      <c r="R80" s="15">
        <f>IF(D80=1,"Section 1","Control")</f>
        <v/>
      </c>
      <c r="S80" s="16">
        <f>N80/10000</f>
        <v/>
      </c>
      <c r="T80" s="16">
        <f>P80/10000</f>
        <v/>
      </c>
      <c r="U80" s="15">
        <f>IF(N80&gt;=Summary!$D$3,1,0)</f>
        <v/>
      </c>
      <c r="V80" s="17">
        <f>IF(N80&gt;0,P80/N80,"")</f>
        <v/>
      </c>
      <c r="W80" s="17">
        <f>IF(O80&gt;0,H80/O80,"")</f>
        <v/>
      </c>
    </row>
    <row r="81">
      <c r="A81" s="13" t="inlineStr">
        <is>
          <t>T03_F</t>
        </is>
      </c>
      <c r="B81" s="13" t="inlineStr">
        <is>
          <t>T03</t>
        </is>
      </c>
      <c r="C81" s="13" t="inlineStr">
        <is>
          <t>F</t>
        </is>
      </c>
      <c r="D81" s="13" t="n">
        <v>1</v>
      </c>
      <c r="E81" s="13" t="inlineStr">
        <is>
          <t>S1</t>
        </is>
      </c>
      <c r="F81" s="13" t="n">
        <v>2022</v>
      </c>
      <c r="G81" s="14" t="n">
        <v>43337.35588208369</v>
      </c>
      <c r="H81" s="14" t="n">
        <v>0</v>
      </c>
      <c r="I81" s="14" t="n">
        <v>5248.221814952178</v>
      </c>
      <c r="J81" s="14" t="n">
        <v>8985.022105288039</v>
      </c>
      <c r="K81" s="14" t="n">
        <v>29104.11196184348</v>
      </c>
      <c r="L81" s="14" t="n">
        <v>0</v>
      </c>
      <c r="M81" s="14" t="n">
        <v>0</v>
      </c>
      <c r="N81" s="14" t="n">
        <v>0</v>
      </c>
      <c r="O81" s="14" t="n">
        <v>43337.35588208369</v>
      </c>
      <c r="P81" s="14" t="n">
        <v>0</v>
      </c>
      <c r="Q81" s="14" t="n">
        <v>231806.9809936524</v>
      </c>
      <c r="R81" s="15">
        <f>IF(D81=1,"Section 1","Control")</f>
        <v/>
      </c>
      <c r="S81" s="16">
        <f>N81/10000</f>
        <v/>
      </c>
      <c r="T81" s="16">
        <f>P81/10000</f>
        <v/>
      </c>
      <c r="U81" s="15">
        <f>IF(N81&gt;=Summary!$D$3,1,0)</f>
        <v/>
      </c>
      <c r="V81" s="17">
        <f>IF(N81&gt;0,P81/N81,"")</f>
        <v/>
      </c>
      <c r="W81" s="17">
        <f>IF(O81&gt;0,H81/O81,"")</f>
        <v/>
      </c>
    </row>
    <row r="82">
      <c r="A82" s="13" t="inlineStr">
        <is>
          <t>T03_F</t>
        </is>
      </c>
      <c r="B82" s="13" t="inlineStr">
        <is>
          <t>T03</t>
        </is>
      </c>
      <c r="C82" s="13" t="inlineStr">
        <is>
          <t>F</t>
        </is>
      </c>
      <c r="D82" s="13" t="n">
        <v>1</v>
      </c>
      <c r="E82" s="13" t="inlineStr">
        <is>
          <t>S1</t>
        </is>
      </c>
      <c r="F82" s="13" t="n">
        <v>2023</v>
      </c>
      <c r="G82" s="14" t="n">
        <v>43337.35588208369</v>
      </c>
      <c r="H82" s="14" t="n">
        <v>0</v>
      </c>
      <c r="I82" s="14" t="n">
        <v>1917.172827118518</v>
      </c>
      <c r="J82" s="14" t="n">
        <v>5701.974058024088</v>
      </c>
      <c r="K82" s="14" t="n">
        <v>35718.20899694109</v>
      </c>
      <c r="L82" s="14" t="n">
        <v>0</v>
      </c>
      <c r="M82" s="14" t="n">
        <v>0</v>
      </c>
      <c r="N82" s="14" t="n">
        <v>0</v>
      </c>
      <c r="O82" s="14" t="n">
        <v>43337.35588208369</v>
      </c>
      <c r="P82" s="14" t="n">
        <v>0</v>
      </c>
      <c r="Q82" s="14" t="n">
        <v>231806.9809936524</v>
      </c>
      <c r="R82" s="15">
        <f>IF(D82=1,"Section 1","Control")</f>
        <v/>
      </c>
      <c r="S82" s="16">
        <f>N82/10000</f>
        <v/>
      </c>
      <c r="T82" s="16">
        <f>P82/10000</f>
        <v/>
      </c>
      <c r="U82" s="15">
        <f>IF(N82&gt;=Summary!$D$3,1,0)</f>
        <v/>
      </c>
      <c r="V82" s="17">
        <f>IF(N82&gt;0,P82/N82,"")</f>
        <v/>
      </c>
      <c r="W82" s="17">
        <f>IF(O82&gt;0,H82/O82,"")</f>
        <v/>
      </c>
    </row>
    <row r="83">
      <c r="A83" s="13" t="inlineStr">
        <is>
          <t>T03_F</t>
        </is>
      </c>
      <c r="B83" s="13" t="inlineStr">
        <is>
          <t>T03</t>
        </is>
      </c>
      <c r="C83" s="13" t="inlineStr">
        <is>
          <t>F</t>
        </is>
      </c>
      <c r="D83" s="13" t="n">
        <v>1</v>
      </c>
      <c r="E83" s="13" t="inlineStr">
        <is>
          <t>S1</t>
        </is>
      </c>
      <c r="F83" s="13" t="n">
        <v>2024</v>
      </c>
      <c r="G83" s="14" t="n">
        <v>43337.3558820837</v>
      </c>
      <c r="H83" s="14" t="n">
        <v>0</v>
      </c>
      <c r="I83" s="14" t="n">
        <v>2901.698684931736</v>
      </c>
      <c r="J83" s="14" t="n">
        <v>5781.340957222733</v>
      </c>
      <c r="K83" s="14" t="n">
        <v>34654.31623992922</v>
      </c>
      <c r="L83" s="14" t="n">
        <v>0</v>
      </c>
      <c r="M83" s="14" t="n">
        <v>0</v>
      </c>
      <c r="N83" s="14" t="n">
        <v>0</v>
      </c>
      <c r="O83" s="14" t="n">
        <v>43337.3558820837</v>
      </c>
      <c r="P83" s="14" t="n">
        <v>0</v>
      </c>
      <c r="Q83" s="14" t="n">
        <v>231806.9809936524</v>
      </c>
      <c r="R83" s="15">
        <f>IF(D83=1,"Section 1","Control")</f>
        <v/>
      </c>
      <c r="S83" s="16">
        <f>N83/10000</f>
        <v/>
      </c>
      <c r="T83" s="16">
        <f>P83/10000</f>
        <v/>
      </c>
      <c r="U83" s="15">
        <f>IF(N83&gt;=Summary!$D$3,1,0)</f>
        <v/>
      </c>
      <c r="V83" s="17">
        <f>IF(N83&gt;0,P83/N83,"")</f>
        <v/>
      </c>
      <c r="W83" s="17">
        <f>IF(O83&gt;0,H83/O83,"")</f>
        <v/>
      </c>
    </row>
    <row r="84">
      <c r="A84" s="13" t="inlineStr">
        <is>
          <t>T03_F</t>
        </is>
      </c>
      <c r="B84" s="13" t="inlineStr">
        <is>
          <t>T03</t>
        </is>
      </c>
      <c r="C84" s="13" t="inlineStr">
        <is>
          <t>F</t>
        </is>
      </c>
      <c r="D84" s="13" t="n">
        <v>1</v>
      </c>
      <c r="E84" s="13" t="inlineStr">
        <is>
          <t>S1</t>
        </is>
      </c>
      <c r="F84" s="13" t="n">
        <v>2025</v>
      </c>
      <c r="G84" s="14" t="n">
        <v>43337.35588208369</v>
      </c>
      <c r="H84" s="14" t="n">
        <v>0</v>
      </c>
      <c r="I84" s="14" t="n">
        <v>2161.854920720119</v>
      </c>
      <c r="J84" s="14" t="n">
        <v>3813.833880136527</v>
      </c>
      <c r="K84" s="14" t="n">
        <v>37361.66708122705</v>
      </c>
      <c r="L84" s="14" t="n">
        <v>0</v>
      </c>
      <c r="M84" s="14" t="n">
        <v>0</v>
      </c>
      <c r="N84" s="14" t="n">
        <v>0</v>
      </c>
      <c r="O84" s="14" t="n">
        <v>43337.35588208369</v>
      </c>
      <c r="P84" s="14" t="n">
        <v>0</v>
      </c>
      <c r="Q84" s="14" t="n">
        <v>231806.9809936524</v>
      </c>
      <c r="R84" s="15">
        <f>IF(D84=1,"Section 1","Control")</f>
        <v/>
      </c>
      <c r="S84" s="16">
        <f>N84/10000</f>
        <v/>
      </c>
      <c r="T84" s="16">
        <f>P84/10000</f>
        <v/>
      </c>
      <c r="U84" s="15">
        <f>IF(N84&gt;=Summary!$D$3,1,0)</f>
        <v/>
      </c>
      <c r="V84" s="17">
        <f>IF(N84&gt;0,P84/N84,"")</f>
        <v/>
      </c>
      <c r="W84" s="17">
        <f>IF(O84&gt;0,H84/O84,"")</f>
        <v/>
      </c>
    </row>
    <row r="85">
      <c r="A85" s="13" t="inlineStr">
        <is>
          <t>T03_F</t>
        </is>
      </c>
      <c r="B85" s="13" t="inlineStr">
        <is>
          <t>T03</t>
        </is>
      </c>
      <c r="C85" s="13" t="inlineStr">
        <is>
          <t>F</t>
        </is>
      </c>
      <c r="D85" s="13" t="n">
        <v>1</v>
      </c>
      <c r="E85" s="13" t="inlineStr">
        <is>
          <t>S1</t>
        </is>
      </c>
      <c r="F85" s="13" t="n">
        <v>2026</v>
      </c>
      <c r="G85" s="14" t="n">
        <v>43337.3558820837</v>
      </c>
      <c r="H85" s="14" t="n">
        <v>0</v>
      </c>
      <c r="I85" s="14" t="n">
        <v>5401.14657278622</v>
      </c>
      <c r="J85" s="14" t="n">
        <v>1063.118650069891</v>
      </c>
      <c r="K85" s="14" t="n">
        <v>36873.09065922758</v>
      </c>
      <c r="L85" s="14" t="n">
        <v>0</v>
      </c>
      <c r="M85" s="14" t="n">
        <v>0</v>
      </c>
      <c r="N85" s="14" t="n">
        <v>0</v>
      </c>
      <c r="O85" s="14" t="n">
        <v>43337.3558820837</v>
      </c>
      <c r="P85" s="14" t="n">
        <v>0</v>
      </c>
      <c r="Q85" s="14" t="n">
        <v>231806.9809936524</v>
      </c>
      <c r="R85" s="15">
        <f>IF(D85=1,"Section 1","Control")</f>
        <v/>
      </c>
      <c r="S85" s="16">
        <f>N85/10000</f>
        <v/>
      </c>
      <c r="T85" s="16">
        <f>P85/10000</f>
        <v/>
      </c>
      <c r="U85" s="15">
        <f>IF(N85&gt;=Summary!$D$3,1,0)</f>
        <v/>
      </c>
      <c r="V85" s="17">
        <f>IF(N85&gt;0,P85/N85,"")</f>
        <v/>
      </c>
      <c r="W85" s="17">
        <f>IF(O85&gt;0,H85/O85,"")</f>
        <v/>
      </c>
    </row>
    <row r="86">
      <c r="A86" s="13" t="inlineStr">
        <is>
          <t>T04_B1</t>
        </is>
      </c>
      <c r="B86" s="13" t="inlineStr">
        <is>
          <t>T04</t>
        </is>
      </c>
      <c r="C86" s="13" t="inlineStr">
        <is>
          <t>B1</t>
        </is>
      </c>
      <c r="D86" s="13" t="n">
        <v>1</v>
      </c>
      <c r="E86" s="13" t="inlineStr">
        <is>
          <t>S1</t>
        </is>
      </c>
      <c r="F86" s="13" t="n">
        <v>2020</v>
      </c>
      <c r="G86" s="14" t="n">
        <v>1232369.166298092</v>
      </c>
      <c r="H86" s="14" t="n">
        <v>13112.64991446102</v>
      </c>
      <c r="I86" s="14" t="n">
        <v>44549.45193469478</v>
      </c>
      <c r="J86" s="14" t="n">
        <v>46169.35501008875</v>
      </c>
      <c r="K86" s="14" t="n">
        <v>733481.6388749068</v>
      </c>
      <c r="L86" s="14" t="n">
        <v>395056.070563941</v>
      </c>
      <c r="M86" s="14" t="n">
        <v>0</v>
      </c>
      <c r="N86" s="14" t="n">
        <v>13112.64991446102</v>
      </c>
      <c r="O86" s="14" t="n">
        <v>837313.0957341513</v>
      </c>
      <c r="P86" s="14" t="n">
        <v>0</v>
      </c>
      <c r="Q86" s="14" t="n">
        <v>4845527.679990312</v>
      </c>
      <c r="R86" s="15">
        <f>IF(D86=1,"Section 1","Control")</f>
        <v/>
      </c>
      <c r="S86" s="16">
        <f>N86/10000</f>
        <v/>
      </c>
      <c r="T86" s="16">
        <f>P86/10000</f>
        <v/>
      </c>
      <c r="U86" s="15">
        <f>IF(N86&gt;=Summary!$D$3,1,0)</f>
        <v/>
      </c>
      <c r="V86" s="17">
        <f>IF(N86&gt;0,P86/N86,"")</f>
        <v/>
      </c>
      <c r="W86" s="17">
        <f>IF(O86&gt;0,H86/O86,"")</f>
        <v/>
      </c>
    </row>
    <row r="87">
      <c r="A87" s="13" t="inlineStr">
        <is>
          <t>T04_B1</t>
        </is>
      </c>
      <c r="B87" s="13" t="inlineStr">
        <is>
          <t>T04</t>
        </is>
      </c>
      <c r="C87" s="13" t="inlineStr">
        <is>
          <t>B1</t>
        </is>
      </c>
      <c r="D87" s="13" t="n">
        <v>1</v>
      </c>
      <c r="E87" s="13" t="inlineStr">
        <is>
          <t>S1</t>
        </is>
      </c>
      <c r="F87" s="13" t="n">
        <v>2021</v>
      </c>
      <c r="G87" s="14" t="n">
        <v>1232369.166298092</v>
      </c>
      <c r="H87" s="14" t="n">
        <v>12665.88542468501</v>
      </c>
      <c r="I87" s="14" t="n">
        <v>45395.37138932172</v>
      </c>
      <c r="J87" s="14" t="n">
        <v>55673.92331803266</v>
      </c>
      <c r="K87" s="14" t="n">
        <v>719044.369370225</v>
      </c>
      <c r="L87" s="14" t="n">
        <v>399589.6167958279</v>
      </c>
      <c r="M87" s="14" t="n">
        <v>0</v>
      </c>
      <c r="N87" s="14" t="n">
        <v>13112.64991446102</v>
      </c>
      <c r="O87" s="14" t="n">
        <v>837313.0957341513</v>
      </c>
      <c r="P87" s="14" t="n">
        <v>644.2114960015989</v>
      </c>
      <c r="Q87" s="14" t="n">
        <v>4845527.679990312</v>
      </c>
      <c r="R87" s="15">
        <f>IF(D87=1,"Section 1","Control")</f>
        <v/>
      </c>
      <c r="S87" s="16">
        <f>N87/10000</f>
        <v/>
      </c>
      <c r="T87" s="16">
        <f>P87/10000</f>
        <v/>
      </c>
      <c r="U87" s="15">
        <f>IF(N87&gt;=Summary!$D$3,1,0)</f>
        <v/>
      </c>
      <c r="V87" s="17">
        <f>IF(N87&gt;0,P87/N87,"")</f>
        <v/>
      </c>
      <c r="W87" s="17">
        <f>IF(O87&gt;0,H87/O87,"")</f>
        <v/>
      </c>
    </row>
    <row r="88">
      <c r="A88" s="13" t="inlineStr">
        <is>
          <t>T04_B1</t>
        </is>
      </c>
      <c r="B88" s="13" t="inlineStr">
        <is>
          <t>T04</t>
        </is>
      </c>
      <c r="C88" s="13" t="inlineStr">
        <is>
          <t>B1</t>
        </is>
      </c>
      <c r="D88" s="13" t="n">
        <v>1</v>
      </c>
      <c r="E88" s="13" t="inlineStr">
        <is>
          <t>S1</t>
        </is>
      </c>
      <c r="F88" s="13" t="n">
        <v>2022</v>
      </c>
      <c r="G88" s="14" t="n">
        <v>1232369.166298092</v>
      </c>
      <c r="H88" s="14" t="n">
        <v>5627.174255371094</v>
      </c>
      <c r="I88" s="14" t="n">
        <v>33254.68784781064</v>
      </c>
      <c r="J88" s="14" t="n">
        <v>42132.53152905632</v>
      </c>
      <c r="K88" s="14" t="n">
        <v>771409.6354870965</v>
      </c>
      <c r="L88" s="14" t="n">
        <v>379945.1371787576</v>
      </c>
      <c r="M88" s="14" t="n">
        <v>0</v>
      </c>
      <c r="N88" s="14" t="n">
        <v>13112.64991446102</v>
      </c>
      <c r="O88" s="14" t="n">
        <v>837313.0957341513</v>
      </c>
      <c r="P88" s="14" t="n">
        <v>7485.475659089928</v>
      </c>
      <c r="Q88" s="14" t="n">
        <v>4845527.679990312</v>
      </c>
      <c r="R88" s="15">
        <f>IF(D88=1,"Section 1","Control")</f>
        <v/>
      </c>
      <c r="S88" s="16">
        <f>N88/10000</f>
        <v/>
      </c>
      <c r="T88" s="16">
        <f>P88/10000</f>
        <v/>
      </c>
      <c r="U88" s="15">
        <f>IF(N88&gt;=Summary!$D$3,1,0)</f>
        <v/>
      </c>
      <c r="V88" s="17">
        <f>IF(N88&gt;0,P88/N88,"")</f>
        <v/>
      </c>
      <c r="W88" s="17">
        <f>IF(O88&gt;0,H88/O88,"")</f>
        <v/>
      </c>
    </row>
    <row r="89">
      <c r="A89" s="13" t="inlineStr">
        <is>
          <t>T04_B1</t>
        </is>
      </c>
      <c r="B89" s="13" t="inlineStr">
        <is>
          <t>T04</t>
        </is>
      </c>
      <c r="C89" s="13" t="inlineStr">
        <is>
          <t>B1</t>
        </is>
      </c>
      <c r="D89" s="13" t="n">
        <v>1</v>
      </c>
      <c r="E89" s="13" t="inlineStr">
        <is>
          <t>S1</t>
        </is>
      </c>
      <c r="F89" s="13" t="n">
        <v>2023</v>
      </c>
      <c r="G89" s="14" t="n">
        <v>1232369.166298092</v>
      </c>
      <c r="H89" s="14" t="n">
        <v>394.8892822265625</v>
      </c>
      <c r="I89" s="14" t="n">
        <v>26427.2903344547</v>
      </c>
      <c r="J89" s="14" t="n">
        <v>41818.94253315644</v>
      </c>
      <c r="K89" s="14" t="n">
        <v>759750.0687575396</v>
      </c>
      <c r="L89" s="14" t="n">
        <v>403977.9753907148</v>
      </c>
      <c r="M89" s="14" t="n">
        <v>0</v>
      </c>
      <c r="N89" s="14" t="n">
        <v>13112.64991446102</v>
      </c>
      <c r="O89" s="14" t="n">
        <v>837313.0957341513</v>
      </c>
      <c r="P89" s="14" t="n">
        <v>12717.76063223446</v>
      </c>
      <c r="Q89" s="14" t="n">
        <v>4845527.679990312</v>
      </c>
      <c r="R89" s="15">
        <f>IF(D89=1,"Section 1","Control")</f>
        <v/>
      </c>
      <c r="S89" s="16">
        <f>N89/10000</f>
        <v/>
      </c>
      <c r="T89" s="16">
        <f>P89/10000</f>
        <v/>
      </c>
      <c r="U89" s="15">
        <f>IF(N89&gt;=Summary!$D$3,1,0)</f>
        <v/>
      </c>
      <c r="V89" s="17">
        <f>IF(N89&gt;0,P89/N89,"")</f>
        <v/>
      </c>
      <c r="W89" s="17">
        <f>IF(O89&gt;0,H89/O89,"")</f>
        <v/>
      </c>
    </row>
    <row r="90">
      <c r="A90" s="13" t="inlineStr">
        <is>
          <t>T04_B1</t>
        </is>
      </c>
      <c r="B90" s="13" t="inlineStr">
        <is>
          <t>T04</t>
        </is>
      </c>
      <c r="C90" s="13" t="inlineStr">
        <is>
          <t>B1</t>
        </is>
      </c>
      <c r="D90" s="13" t="n">
        <v>1</v>
      </c>
      <c r="E90" s="13" t="inlineStr">
        <is>
          <t>S1</t>
        </is>
      </c>
      <c r="F90" s="13" t="n">
        <v>2024</v>
      </c>
      <c r="G90" s="14" t="n">
        <v>1232369.166298092</v>
      </c>
      <c r="H90" s="14" t="n">
        <v>592.3388290405273</v>
      </c>
      <c r="I90" s="14" t="n">
        <v>26555.04354260015</v>
      </c>
      <c r="J90" s="14" t="n">
        <v>33628.36840724571</v>
      </c>
      <c r="K90" s="14" t="n">
        <v>767138.8558927648</v>
      </c>
      <c r="L90" s="14" t="n">
        <v>404454.5596264409</v>
      </c>
      <c r="M90" s="14" t="n">
        <v>0</v>
      </c>
      <c r="N90" s="14" t="n">
        <v>13112.64991446102</v>
      </c>
      <c r="O90" s="14" t="n">
        <v>837313.0957341513</v>
      </c>
      <c r="P90" s="14" t="n">
        <v>12915.20527334774</v>
      </c>
      <c r="Q90" s="14" t="n">
        <v>4845527.679990312</v>
      </c>
      <c r="R90" s="15">
        <f>IF(D90=1,"Section 1","Control")</f>
        <v/>
      </c>
      <c r="S90" s="16">
        <f>N90/10000</f>
        <v/>
      </c>
      <c r="T90" s="16">
        <f>P90/10000</f>
        <v/>
      </c>
      <c r="U90" s="15">
        <f>IF(N90&gt;=Summary!$D$3,1,0)</f>
        <v/>
      </c>
      <c r="V90" s="17">
        <f>IF(N90&gt;0,P90/N90,"")</f>
        <v/>
      </c>
      <c r="W90" s="17">
        <f>IF(O90&gt;0,H90/O90,"")</f>
        <v/>
      </c>
    </row>
    <row r="91">
      <c r="A91" s="13" t="inlineStr">
        <is>
          <t>T04_B1</t>
        </is>
      </c>
      <c r="B91" s="13" t="inlineStr">
        <is>
          <t>T04</t>
        </is>
      </c>
      <c r="C91" s="13" t="inlineStr">
        <is>
          <t>B1</t>
        </is>
      </c>
      <c r="D91" s="13" t="n">
        <v>1</v>
      </c>
      <c r="E91" s="13" t="inlineStr">
        <is>
          <t>S1</t>
        </is>
      </c>
      <c r="F91" s="13" t="n">
        <v>2025</v>
      </c>
      <c r="G91" s="14" t="n">
        <v>1232369.166298092</v>
      </c>
      <c r="H91" s="14" t="n">
        <v>0</v>
      </c>
      <c r="I91" s="14" t="n">
        <v>139709.5434276207</v>
      </c>
      <c r="J91" s="14" t="n">
        <v>29292.26643090341</v>
      </c>
      <c r="K91" s="14" t="n">
        <v>768273.9932725495</v>
      </c>
      <c r="L91" s="14" t="n">
        <v>295093.3631670185</v>
      </c>
      <c r="M91" s="14" t="n">
        <v>0</v>
      </c>
      <c r="N91" s="14" t="n">
        <v>13112.64991446102</v>
      </c>
      <c r="O91" s="14" t="n">
        <v>837313.0957341513</v>
      </c>
      <c r="P91" s="14" t="n">
        <v>13112.64991446102</v>
      </c>
      <c r="Q91" s="14" t="n">
        <v>4845527.679990312</v>
      </c>
      <c r="R91" s="15">
        <f>IF(D91=1,"Section 1","Control")</f>
        <v/>
      </c>
      <c r="S91" s="16">
        <f>N91/10000</f>
        <v/>
      </c>
      <c r="T91" s="16">
        <f>P91/10000</f>
        <v/>
      </c>
      <c r="U91" s="15">
        <f>IF(N91&gt;=Summary!$D$3,1,0)</f>
        <v/>
      </c>
      <c r="V91" s="17">
        <f>IF(N91&gt;0,P91/N91,"")</f>
        <v/>
      </c>
      <c r="W91" s="17">
        <f>IF(O91&gt;0,H91/O91,"")</f>
        <v/>
      </c>
    </row>
    <row r="92">
      <c r="A92" s="13" t="inlineStr">
        <is>
          <t>T04_B1</t>
        </is>
      </c>
      <c r="B92" s="13" t="inlineStr">
        <is>
          <t>T04</t>
        </is>
      </c>
      <c r="C92" s="13" t="inlineStr">
        <is>
          <t>B1</t>
        </is>
      </c>
      <c r="D92" s="13" t="n">
        <v>1</v>
      </c>
      <c r="E92" s="13" t="inlineStr">
        <is>
          <t>S1</t>
        </is>
      </c>
      <c r="F92" s="13" t="n">
        <v>2026</v>
      </c>
      <c r="G92" s="14" t="n">
        <v>1232369.166298092</v>
      </c>
      <c r="H92" s="14" t="n">
        <v>493.6163482666016</v>
      </c>
      <c r="I92" s="14" t="n">
        <v>188821.2006647447</v>
      </c>
      <c r="J92" s="14" t="n">
        <v>34845.56526438395</v>
      </c>
      <c r="K92" s="14" t="n">
        <v>723766.7698158415</v>
      </c>
      <c r="L92" s="14" t="n">
        <v>284442.0142048555</v>
      </c>
      <c r="M92" s="14" t="n">
        <v>0</v>
      </c>
      <c r="N92" s="14" t="n">
        <v>13112.64991446102</v>
      </c>
      <c r="O92" s="14" t="n">
        <v>837313.0957341513</v>
      </c>
      <c r="P92" s="14" t="n">
        <v>13112.64991446102</v>
      </c>
      <c r="Q92" s="14" t="n">
        <v>4845527.679990312</v>
      </c>
      <c r="R92" s="15">
        <f>IF(D92=1,"Section 1","Control")</f>
        <v/>
      </c>
      <c r="S92" s="16">
        <f>N92/10000</f>
        <v/>
      </c>
      <c r="T92" s="16">
        <f>P92/10000</f>
        <v/>
      </c>
      <c r="U92" s="15">
        <f>IF(N92&gt;=Summary!$D$3,1,0)</f>
        <v/>
      </c>
      <c r="V92" s="17">
        <f>IF(N92&gt;0,P92/N92,"")</f>
        <v/>
      </c>
      <c r="W92" s="17">
        <f>IF(O92&gt;0,H92/O92,"")</f>
        <v/>
      </c>
    </row>
    <row r="93">
      <c r="A93" s="13" t="inlineStr">
        <is>
          <t>T04_B2</t>
        </is>
      </c>
      <c r="B93" s="13" t="inlineStr">
        <is>
          <t>T04</t>
        </is>
      </c>
      <c r="C93" s="13" t="inlineStr">
        <is>
          <t>B2</t>
        </is>
      </c>
      <c r="D93" s="13" t="n">
        <v>1</v>
      </c>
      <c r="E93" s="13" t="inlineStr">
        <is>
          <t>S1</t>
        </is>
      </c>
      <c r="F93" s="13" t="n">
        <v>2020</v>
      </c>
      <c r="G93" s="14" t="n">
        <v>918340.1550635244</v>
      </c>
      <c r="H93" s="14" t="n">
        <v>3764.993988785089</v>
      </c>
      <c r="I93" s="14" t="n">
        <v>3776.605231610466</v>
      </c>
      <c r="J93" s="14" t="n">
        <v>0</v>
      </c>
      <c r="K93" s="14" t="n">
        <v>596402.1007476507</v>
      </c>
      <c r="L93" s="14" t="n">
        <v>314396.455095478</v>
      </c>
      <c r="M93" s="14" t="n">
        <v>0</v>
      </c>
      <c r="N93" s="14" t="n">
        <v>3764.993988785089</v>
      </c>
      <c r="O93" s="14" t="n">
        <v>603943.6999680464</v>
      </c>
      <c r="P93" s="14" t="n">
        <v>0</v>
      </c>
      <c r="Q93" s="14" t="n">
        <v>2816393.416600845</v>
      </c>
      <c r="R93" s="15">
        <f>IF(D93=1,"Section 1","Control")</f>
        <v/>
      </c>
      <c r="S93" s="16">
        <f>N93/10000</f>
        <v/>
      </c>
      <c r="T93" s="16">
        <f>P93/10000</f>
        <v/>
      </c>
      <c r="U93" s="15">
        <f>IF(N93&gt;=Summary!$D$3,1,0)</f>
        <v/>
      </c>
      <c r="V93" s="17">
        <f>IF(N93&gt;0,P93/N93,"")</f>
        <v/>
      </c>
      <c r="W93" s="17">
        <f>IF(O93&gt;0,H93/O93,"")</f>
        <v/>
      </c>
    </row>
    <row r="94">
      <c r="A94" s="13" t="inlineStr">
        <is>
          <t>T04_B2</t>
        </is>
      </c>
      <c r="B94" s="13" t="inlineStr">
        <is>
          <t>T04</t>
        </is>
      </c>
      <c r="C94" s="13" t="inlineStr">
        <is>
          <t>B2</t>
        </is>
      </c>
      <c r="D94" s="13" t="n">
        <v>1</v>
      </c>
      <c r="E94" s="13" t="inlineStr">
        <is>
          <t>S1</t>
        </is>
      </c>
      <c r="F94" s="13" t="n">
        <v>2021</v>
      </c>
      <c r="G94" s="14" t="n">
        <v>918340.1550635244</v>
      </c>
      <c r="H94" s="14" t="n">
        <v>2830.810710114124</v>
      </c>
      <c r="I94" s="14" t="n">
        <v>5269.050660974839</v>
      </c>
      <c r="J94" s="14" t="n">
        <v>0</v>
      </c>
      <c r="K94" s="14" t="n">
        <v>595843.8385969575</v>
      </c>
      <c r="L94" s="14" t="n">
        <v>314396.455095478</v>
      </c>
      <c r="M94" s="14" t="n">
        <v>0</v>
      </c>
      <c r="N94" s="14" t="n">
        <v>3764.993988785089</v>
      </c>
      <c r="O94" s="14" t="n">
        <v>603943.6999680464</v>
      </c>
      <c r="P94" s="14" t="n">
        <v>1526.516606918036</v>
      </c>
      <c r="Q94" s="14" t="n">
        <v>2816393.416600845</v>
      </c>
      <c r="R94" s="15">
        <f>IF(D94=1,"Section 1","Control")</f>
        <v/>
      </c>
      <c r="S94" s="16">
        <f>N94/10000</f>
        <v/>
      </c>
      <c r="T94" s="16">
        <f>P94/10000</f>
        <v/>
      </c>
      <c r="U94" s="15">
        <f>IF(N94&gt;=Summary!$D$3,1,0)</f>
        <v/>
      </c>
      <c r="V94" s="17">
        <f>IF(N94&gt;0,P94/N94,"")</f>
        <v/>
      </c>
      <c r="W94" s="17">
        <f>IF(O94&gt;0,H94/O94,"")</f>
        <v/>
      </c>
    </row>
    <row r="95">
      <c r="A95" s="13" t="inlineStr">
        <is>
          <t>T04_B2</t>
        </is>
      </c>
      <c r="B95" s="13" t="inlineStr">
        <is>
          <t>T04</t>
        </is>
      </c>
      <c r="C95" s="13" t="inlineStr">
        <is>
          <t>B2</t>
        </is>
      </c>
      <c r="D95" s="13" t="n">
        <v>1</v>
      </c>
      <c r="E95" s="13" t="inlineStr">
        <is>
          <t>S1</t>
        </is>
      </c>
      <c r="F95" s="13" t="n">
        <v>2022</v>
      </c>
      <c r="G95" s="14" t="n">
        <v>918340.1550635244</v>
      </c>
      <c r="H95" s="14" t="n">
        <v>1283.387481689453</v>
      </c>
      <c r="I95" s="14" t="n">
        <v>6438.996704670027</v>
      </c>
      <c r="J95" s="14" t="n">
        <v>0</v>
      </c>
      <c r="K95" s="14" t="n">
        <v>596221.315781687</v>
      </c>
      <c r="L95" s="14" t="n">
        <v>314396.455095478</v>
      </c>
      <c r="M95" s="14" t="n">
        <v>0</v>
      </c>
      <c r="N95" s="14" t="n">
        <v>3764.993988785089</v>
      </c>
      <c r="O95" s="14" t="n">
        <v>603943.6999680465</v>
      </c>
      <c r="P95" s="14" t="n">
        <v>3172.661736282648</v>
      </c>
      <c r="Q95" s="14" t="n">
        <v>2816393.416600845</v>
      </c>
      <c r="R95" s="15">
        <f>IF(D95=1,"Section 1","Control")</f>
        <v/>
      </c>
      <c r="S95" s="16">
        <f>N95/10000</f>
        <v/>
      </c>
      <c r="T95" s="16">
        <f>P95/10000</f>
        <v/>
      </c>
      <c r="U95" s="15">
        <f>IF(N95&gt;=Summary!$D$3,1,0)</f>
        <v/>
      </c>
      <c r="V95" s="17">
        <f>IF(N95&gt;0,P95/N95,"")</f>
        <v/>
      </c>
      <c r="W95" s="17">
        <f>IF(O95&gt;0,H95/O95,"")</f>
        <v/>
      </c>
    </row>
    <row r="96">
      <c r="A96" s="13" t="inlineStr">
        <is>
          <t>T04_B2</t>
        </is>
      </c>
      <c r="B96" s="13" t="inlineStr">
        <is>
          <t>T04</t>
        </is>
      </c>
      <c r="C96" s="13" t="inlineStr">
        <is>
          <t>B2</t>
        </is>
      </c>
      <c r="D96" s="13" t="n">
        <v>1</v>
      </c>
      <c r="E96" s="13" t="inlineStr">
        <is>
          <t>S1</t>
        </is>
      </c>
      <c r="F96" s="13" t="n">
        <v>2023</v>
      </c>
      <c r="G96" s="14" t="n">
        <v>918340.1550635244</v>
      </c>
      <c r="H96" s="14" t="n">
        <v>98.72210693359376</v>
      </c>
      <c r="I96" s="14" t="n">
        <v>2928.753655527153</v>
      </c>
      <c r="J96" s="14" t="n">
        <v>0</v>
      </c>
      <c r="K96" s="14" t="n">
        <v>600916.2242055855</v>
      </c>
      <c r="L96" s="14" t="n">
        <v>314396.455095478</v>
      </c>
      <c r="M96" s="14" t="n">
        <v>0</v>
      </c>
      <c r="N96" s="14" t="n">
        <v>3764.993988785089</v>
      </c>
      <c r="O96" s="14" t="n">
        <v>603943.6999680464</v>
      </c>
      <c r="P96" s="14" t="n">
        <v>3666.271881851496</v>
      </c>
      <c r="Q96" s="14" t="n">
        <v>2816393.416600845</v>
      </c>
      <c r="R96" s="15">
        <f>IF(D96=1,"Section 1","Control")</f>
        <v/>
      </c>
      <c r="S96" s="16">
        <f>N96/10000</f>
        <v/>
      </c>
      <c r="T96" s="16">
        <f>P96/10000</f>
        <v/>
      </c>
      <c r="U96" s="15">
        <f>IF(N96&gt;=Summary!$D$3,1,0)</f>
        <v/>
      </c>
      <c r="V96" s="17">
        <f>IF(N96&gt;0,P96/N96,"")</f>
        <v/>
      </c>
      <c r="W96" s="17">
        <f>IF(O96&gt;0,H96/O96,"")</f>
        <v/>
      </c>
    </row>
    <row r="97">
      <c r="A97" s="13" t="inlineStr">
        <is>
          <t>T04_B2</t>
        </is>
      </c>
      <c r="B97" s="13" t="inlineStr">
        <is>
          <t>T04</t>
        </is>
      </c>
      <c r="C97" s="13" t="inlineStr">
        <is>
          <t>B2</t>
        </is>
      </c>
      <c r="D97" s="13" t="n">
        <v>1</v>
      </c>
      <c r="E97" s="13" t="inlineStr">
        <is>
          <t>S1</t>
        </is>
      </c>
      <c r="F97" s="13" t="n">
        <v>2024</v>
      </c>
      <c r="G97" s="14" t="n">
        <v>918340.1550635244</v>
      </c>
      <c r="H97" s="14" t="n">
        <v>197.4442138671875</v>
      </c>
      <c r="I97" s="14" t="n">
        <v>5044.501348278569</v>
      </c>
      <c r="J97" s="14" t="n">
        <v>0</v>
      </c>
      <c r="K97" s="14" t="n">
        <v>598701.7544059006</v>
      </c>
      <c r="L97" s="14" t="n">
        <v>314396.455095478</v>
      </c>
      <c r="M97" s="14" t="n">
        <v>0</v>
      </c>
      <c r="N97" s="14" t="n">
        <v>3764.993988785089</v>
      </c>
      <c r="O97" s="14" t="n">
        <v>603943.6999680464</v>
      </c>
      <c r="P97" s="14" t="n">
        <v>3666.271881851496</v>
      </c>
      <c r="Q97" s="14" t="n">
        <v>2816393.416600845</v>
      </c>
      <c r="R97" s="15">
        <f>IF(D97=1,"Section 1","Control")</f>
        <v/>
      </c>
      <c r="S97" s="16">
        <f>N97/10000</f>
        <v/>
      </c>
      <c r="T97" s="16">
        <f>P97/10000</f>
        <v/>
      </c>
      <c r="U97" s="15">
        <f>IF(N97&gt;=Summary!$D$3,1,0)</f>
        <v/>
      </c>
      <c r="V97" s="17">
        <f>IF(N97&gt;0,P97/N97,"")</f>
        <v/>
      </c>
      <c r="W97" s="17">
        <f>IF(O97&gt;0,H97/O97,"")</f>
        <v/>
      </c>
    </row>
    <row r="98">
      <c r="A98" s="13" t="inlineStr">
        <is>
          <t>T04_B2</t>
        </is>
      </c>
      <c r="B98" s="13" t="inlineStr">
        <is>
          <t>T04</t>
        </is>
      </c>
      <c r="C98" s="13" t="inlineStr">
        <is>
          <t>B2</t>
        </is>
      </c>
      <c r="D98" s="13" t="n">
        <v>1</v>
      </c>
      <c r="E98" s="13" t="inlineStr">
        <is>
          <t>S1</t>
        </is>
      </c>
      <c r="F98" s="13" t="n">
        <v>2025</v>
      </c>
      <c r="G98" s="14" t="n">
        <v>918340.1550635244</v>
      </c>
      <c r="H98" s="14" t="n">
        <v>98.72213745117188</v>
      </c>
      <c r="I98" s="14" t="n">
        <v>3067.739529119754</v>
      </c>
      <c r="J98" s="14" t="n">
        <v>0</v>
      </c>
      <c r="K98" s="14" t="n">
        <v>600777.2383014755</v>
      </c>
      <c r="L98" s="14" t="n">
        <v>314396.455095478</v>
      </c>
      <c r="M98" s="14" t="n">
        <v>0</v>
      </c>
      <c r="N98" s="14" t="n">
        <v>3764.993988785089</v>
      </c>
      <c r="O98" s="14" t="n">
        <v>603943.6999680464</v>
      </c>
      <c r="P98" s="14" t="n">
        <v>3764.993988785089</v>
      </c>
      <c r="Q98" s="14" t="n">
        <v>2816393.416600845</v>
      </c>
      <c r="R98" s="15">
        <f>IF(D98=1,"Section 1","Control")</f>
        <v/>
      </c>
      <c r="S98" s="16">
        <f>N98/10000</f>
        <v/>
      </c>
      <c r="T98" s="16">
        <f>P98/10000</f>
        <v/>
      </c>
      <c r="U98" s="15">
        <f>IF(N98&gt;=Summary!$D$3,1,0)</f>
        <v/>
      </c>
      <c r="V98" s="17">
        <f>IF(N98&gt;0,P98/N98,"")</f>
        <v/>
      </c>
      <c r="W98" s="17">
        <f>IF(O98&gt;0,H98/O98,"")</f>
        <v/>
      </c>
    </row>
    <row r="99">
      <c r="A99" s="13" t="inlineStr">
        <is>
          <t>T04_B2</t>
        </is>
      </c>
      <c r="B99" s="13" t="inlineStr">
        <is>
          <t>T04</t>
        </is>
      </c>
      <c r="C99" s="13" t="inlineStr">
        <is>
          <t>B2</t>
        </is>
      </c>
      <c r="D99" s="13" t="n">
        <v>1</v>
      </c>
      <c r="E99" s="13" t="inlineStr">
        <is>
          <t>S1</t>
        </is>
      </c>
      <c r="F99" s="13" t="n">
        <v>2026</v>
      </c>
      <c r="G99" s="14" t="n">
        <v>918340.1550635244</v>
      </c>
      <c r="H99" s="14" t="n">
        <v>0</v>
      </c>
      <c r="I99" s="14" t="n">
        <v>18731.60440260943</v>
      </c>
      <c r="J99" s="14" t="n">
        <v>0</v>
      </c>
      <c r="K99" s="14" t="n">
        <v>585212.095565437</v>
      </c>
      <c r="L99" s="14" t="n">
        <v>314396.455095478</v>
      </c>
      <c r="M99" s="14" t="n">
        <v>0</v>
      </c>
      <c r="N99" s="14" t="n">
        <v>3764.993988785089</v>
      </c>
      <c r="O99" s="14" t="n">
        <v>603943.6999680464</v>
      </c>
      <c r="P99" s="14" t="n">
        <v>3764.993988785089</v>
      </c>
      <c r="Q99" s="14" t="n">
        <v>2816393.416600845</v>
      </c>
      <c r="R99" s="15">
        <f>IF(D99=1,"Section 1","Control")</f>
        <v/>
      </c>
      <c r="S99" s="16">
        <f>N99/10000</f>
        <v/>
      </c>
      <c r="T99" s="16">
        <f>P99/10000</f>
        <v/>
      </c>
      <c r="U99" s="15">
        <f>IF(N99&gt;=Summary!$D$3,1,0)</f>
        <v/>
      </c>
      <c r="V99" s="17">
        <f>IF(N99&gt;0,P99/N99,"")</f>
        <v/>
      </c>
      <c r="W99" s="17">
        <f>IF(O99&gt;0,H99/O99,"")</f>
        <v/>
      </c>
    </row>
    <row r="100">
      <c r="A100" s="13" t="inlineStr">
        <is>
          <t>T04_B3</t>
        </is>
      </c>
      <c r="B100" s="13" t="inlineStr">
        <is>
          <t>T04</t>
        </is>
      </c>
      <c r="C100" s="13" t="inlineStr">
        <is>
          <t>B3</t>
        </is>
      </c>
      <c r="D100" s="13" t="n">
        <v>1</v>
      </c>
      <c r="E100" s="13" t="inlineStr">
        <is>
          <t>S1</t>
        </is>
      </c>
      <c r="F100" s="13" t="n">
        <v>2020</v>
      </c>
      <c r="G100" s="14" t="n">
        <v>7907392.35774985</v>
      </c>
      <c r="H100" s="14" t="n">
        <v>315881.5162501317</v>
      </c>
      <c r="I100" s="14" t="n">
        <v>311322.0563049915</v>
      </c>
      <c r="J100" s="14" t="n">
        <v>0</v>
      </c>
      <c r="K100" s="14" t="n">
        <v>4684215.993674872</v>
      </c>
      <c r="L100" s="14" t="n">
        <v>2595972.791519853</v>
      </c>
      <c r="M100" s="14" t="n">
        <v>0</v>
      </c>
      <c r="N100" s="14" t="n">
        <v>315881.5162501317</v>
      </c>
      <c r="O100" s="14" t="n">
        <v>5311419.566229996</v>
      </c>
      <c r="P100" s="14" t="n">
        <v>0</v>
      </c>
      <c r="Q100" s="14" t="n">
        <v>23039296.92314675</v>
      </c>
      <c r="R100" s="15">
        <f>IF(D100=1,"Section 1","Control")</f>
        <v/>
      </c>
      <c r="S100" s="16">
        <f>N100/10000</f>
        <v/>
      </c>
      <c r="T100" s="16">
        <f>P100/10000</f>
        <v/>
      </c>
      <c r="U100" s="15">
        <f>IF(N100&gt;=Summary!$D$3,1,0)</f>
        <v/>
      </c>
      <c r="V100" s="17">
        <f>IF(N100&gt;0,P100/N100,"")</f>
        <v/>
      </c>
      <c r="W100" s="17">
        <f>IF(O100&gt;0,H100/O100,"")</f>
        <v/>
      </c>
    </row>
    <row r="101">
      <c r="A101" s="13" t="inlineStr">
        <is>
          <t>T04_B3</t>
        </is>
      </c>
      <c r="B101" s="13" t="inlineStr">
        <is>
          <t>T04</t>
        </is>
      </c>
      <c r="C101" s="13" t="inlineStr">
        <is>
          <t>B3</t>
        </is>
      </c>
      <c r="D101" s="13" t="n">
        <v>1</v>
      </c>
      <c r="E101" s="13" t="inlineStr">
        <is>
          <t>S1</t>
        </is>
      </c>
      <c r="F101" s="13" t="n">
        <v>2021</v>
      </c>
      <c r="G101" s="14" t="n">
        <v>7907392.35774985</v>
      </c>
      <c r="H101" s="14" t="n">
        <v>184202.9974765852</v>
      </c>
      <c r="I101" s="14" t="n">
        <v>221534.5771011652</v>
      </c>
      <c r="J101" s="14" t="n">
        <v>0</v>
      </c>
      <c r="K101" s="14" t="n">
        <v>4916441.776131216</v>
      </c>
      <c r="L101" s="14" t="n">
        <v>2585213.007040884</v>
      </c>
      <c r="M101" s="14" t="n">
        <v>0</v>
      </c>
      <c r="N101" s="14" t="n">
        <v>315881.5162501317</v>
      </c>
      <c r="O101" s="14" t="n">
        <v>5311419.566229995</v>
      </c>
      <c r="P101" s="14" t="n">
        <v>150237.1467261221</v>
      </c>
      <c r="Q101" s="14" t="n">
        <v>23039296.92314675</v>
      </c>
      <c r="R101" s="15">
        <f>IF(D101=1,"Section 1","Control")</f>
        <v/>
      </c>
      <c r="S101" s="16">
        <f>N101/10000</f>
        <v/>
      </c>
      <c r="T101" s="16">
        <f>P101/10000</f>
        <v/>
      </c>
      <c r="U101" s="15">
        <f>IF(N101&gt;=Summary!$D$3,1,0)</f>
        <v/>
      </c>
      <c r="V101" s="17">
        <f>IF(N101&gt;0,P101/N101,"")</f>
        <v/>
      </c>
      <c r="W101" s="17">
        <f>IF(O101&gt;0,H101/O101,"")</f>
        <v/>
      </c>
    </row>
    <row r="102">
      <c r="A102" s="13" t="inlineStr">
        <is>
          <t>T04_B3</t>
        </is>
      </c>
      <c r="B102" s="13" t="inlineStr">
        <is>
          <t>T04</t>
        </is>
      </c>
      <c r="C102" s="13" t="inlineStr">
        <is>
          <t>B3</t>
        </is>
      </c>
      <c r="D102" s="13" t="n">
        <v>1</v>
      </c>
      <c r="E102" s="13" t="inlineStr">
        <is>
          <t>S1</t>
        </is>
      </c>
      <c r="F102" s="13" t="n">
        <v>2022</v>
      </c>
      <c r="G102" s="14" t="n">
        <v>7907392.35774985</v>
      </c>
      <c r="H102" s="14" t="n">
        <v>69909.47167929856</v>
      </c>
      <c r="I102" s="14" t="n">
        <v>227559.3439471376</v>
      </c>
      <c r="J102" s="14" t="n">
        <v>0</v>
      </c>
      <c r="K102" s="14" t="n">
        <v>5127832.26699521</v>
      </c>
      <c r="L102" s="14" t="n">
        <v>2482091.275128204</v>
      </c>
      <c r="M102" s="14" t="n">
        <v>0</v>
      </c>
      <c r="N102" s="14" t="n">
        <v>315881.5162501317</v>
      </c>
      <c r="O102" s="14" t="n">
        <v>5311419.566229995</v>
      </c>
      <c r="P102" s="14" t="n">
        <v>248538.6896666583</v>
      </c>
      <c r="Q102" s="14" t="n">
        <v>23039296.92314675</v>
      </c>
      <c r="R102" s="15">
        <f>IF(D102=1,"Section 1","Control")</f>
        <v/>
      </c>
      <c r="S102" s="16">
        <f>N102/10000</f>
        <v/>
      </c>
      <c r="T102" s="16">
        <f>P102/10000</f>
        <v/>
      </c>
      <c r="U102" s="15">
        <f>IF(N102&gt;=Summary!$D$3,1,0)</f>
        <v/>
      </c>
      <c r="V102" s="17">
        <f>IF(N102&gt;0,P102/N102,"")</f>
        <v/>
      </c>
      <c r="W102" s="17">
        <f>IF(O102&gt;0,H102/O102,"")</f>
        <v/>
      </c>
    </row>
    <row r="103">
      <c r="A103" s="13" t="inlineStr">
        <is>
          <t>T04_B3</t>
        </is>
      </c>
      <c r="B103" s="13" t="inlineStr">
        <is>
          <t>T04</t>
        </is>
      </c>
      <c r="C103" s="13" t="inlineStr">
        <is>
          <t>B3</t>
        </is>
      </c>
      <c r="D103" s="13" t="n">
        <v>1</v>
      </c>
      <c r="E103" s="13" t="inlineStr">
        <is>
          <t>S1</t>
        </is>
      </c>
      <c r="F103" s="13" t="n">
        <v>2023</v>
      </c>
      <c r="G103" s="14" t="n">
        <v>7907392.35774985</v>
      </c>
      <c r="H103" s="14" t="n">
        <v>64229.49334190219</v>
      </c>
      <c r="I103" s="14" t="n">
        <v>165457.7867391848</v>
      </c>
      <c r="J103" s="14" t="n">
        <v>0</v>
      </c>
      <c r="K103" s="14" t="n">
        <v>5063798.353792648</v>
      </c>
      <c r="L103" s="14" t="n">
        <v>2613906.723876115</v>
      </c>
      <c r="M103" s="14" t="n">
        <v>0</v>
      </c>
      <c r="N103" s="14" t="n">
        <v>315881.5162501317</v>
      </c>
      <c r="O103" s="14" t="n">
        <v>5311419.566229996</v>
      </c>
      <c r="P103" s="14" t="n">
        <v>259154.4905443378</v>
      </c>
      <c r="Q103" s="14" t="n">
        <v>23039296.92314675</v>
      </c>
      <c r="R103" s="15">
        <f>IF(D103=1,"Section 1","Control")</f>
        <v/>
      </c>
      <c r="S103" s="16">
        <f>N103/10000</f>
        <v/>
      </c>
      <c r="T103" s="16">
        <f>P103/10000</f>
        <v/>
      </c>
      <c r="U103" s="15">
        <f>IF(N103&gt;=Summary!$D$3,1,0)</f>
        <v/>
      </c>
      <c r="V103" s="17">
        <f>IF(N103&gt;0,P103/N103,"")</f>
        <v/>
      </c>
      <c r="W103" s="17">
        <f>IF(O103&gt;0,H103/O103,"")</f>
        <v/>
      </c>
    </row>
    <row r="104">
      <c r="A104" s="13" t="inlineStr">
        <is>
          <t>T04_B3</t>
        </is>
      </c>
      <c r="B104" s="13" t="inlineStr">
        <is>
          <t>T04</t>
        </is>
      </c>
      <c r="C104" s="13" t="inlineStr">
        <is>
          <t>B3</t>
        </is>
      </c>
      <c r="D104" s="13" t="n">
        <v>1</v>
      </c>
      <c r="E104" s="13" t="inlineStr">
        <is>
          <t>S1</t>
        </is>
      </c>
      <c r="F104" s="13" t="n">
        <v>2024</v>
      </c>
      <c r="G104" s="14" t="n">
        <v>7907392.35774985</v>
      </c>
      <c r="H104" s="14" t="n">
        <v>87255.10802319096</v>
      </c>
      <c r="I104" s="14" t="n">
        <v>207734.1067062976</v>
      </c>
      <c r="J104" s="14" t="n">
        <v>0</v>
      </c>
      <c r="K104" s="14" t="n">
        <v>5056170.422054576</v>
      </c>
      <c r="L104" s="14" t="n">
        <v>2556232.720965785</v>
      </c>
      <c r="M104" s="14" t="n">
        <v>0</v>
      </c>
      <c r="N104" s="14" t="n">
        <v>315881.5162501317</v>
      </c>
      <c r="O104" s="14" t="n">
        <v>5311419.566229995</v>
      </c>
      <c r="P104" s="14" t="n">
        <v>257618.8230895697</v>
      </c>
      <c r="Q104" s="14" t="n">
        <v>23039296.92314675</v>
      </c>
      <c r="R104" s="15">
        <f>IF(D104=1,"Section 1","Control")</f>
        <v/>
      </c>
      <c r="S104" s="16">
        <f>N104/10000</f>
        <v/>
      </c>
      <c r="T104" s="16">
        <f>P104/10000</f>
        <v/>
      </c>
      <c r="U104" s="15">
        <f>IF(N104&gt;=Summary!$D$3,1,0)</f>
        <v/>
      </c>
      <c r="V104" s="17">
        <f>IF(N104&gt;0,P104/N104,"")</f>
        <v/>
      </c>
      <c r="W104" s="17">
        <f>IF(O104&gt;0,H104/O104,"")</f>
        <v/>
      </c>
    </row>
    <row r="105">
      <c r="A105" s="13" t="inlineStr">
        <is>
          <t>T04_B3</t>
        </is>
      </c>
      <c r="B105" s="13" t="inlineStr">
        <is>
          <t>T04</t>
        </is>
      </c>
      <c r="C105" s="13" t="inlineStr">
        <is>
          <t>B3</t>
        </is>
      </c>
      <c r="D105" s="13" t="n">
        <v>1</v>
      </c>
      <c r="E105" s="13" t="inlineStr">
        <is>
          <t>S1</t>
        </is>
      </c>
      <c r="F105" s="13" t="n">
        <v>2025</v>
      </c>
      <c r="G105" s="14" t="n">
        <v>7907392.35774985</v>
      </c>
      <c r="H105" s="14" t="n">
        <v>100025.3249438417</v>
      </c>
      <c r="I105" s="14" t="n">
        <v>166819.1193760591</v>
      </c>
      <c r="J105" s="14" t="n">
        <v>0</v>
      </c>
      <c r="K105" s="14" t="n">
        <v>5030897.007910036</v>
      </c>
      <c r="L105" s="14" t="n">
        <v>2609650.905519912</v>
      </c>
      <c r="M105" s="14" t="n">
        <v>0</v>
      </c>
      <c r="N105" s="14" t="n">
        <v>315881.5162501317</v>
      </c>
      <c r="O105" s="14" t="n">
        <v>5311419.566229995</v>
      </c>
      <c r="P105" s="14" t="n">
        <v>262525.7474884333</v>
      </c>
      <c r="Q105" s="14" t="n">
        <v>23039296.92314675</v>
      </c>
      <c r="R105" s="15">
        <f>IF(D105=1,"Section 1","Control")</f>
        <v/>
      </c>
      <c r="S105" s="16">
        <f>N105/10000</f>
        <v/>
      </c>
      <c r="T105" s="16">
        <f>P105/10000</f>
        <v/>
      </c>
      <c r="U105" s="15">
        <f>IF(N105&gt;=Summary!$D$3,1,0)</f>
        <v/>
      </c>
      <c r="V105" s="17">
        <f>IF(N105&gt;0,P105/N105,"")</f>
        <v/>
      </c>
      <c r="W105" s="17">
        <f>IF(O105&gt;0,H105/O105,"")</f>
        <v/>
      </c>
    </row>
    <row r="106">
      <c r="A106" s="13" t="inlineStr">
        <is>
          <t>T04_B3</t>
        </is>
      </c>
      <c r="B106" s="13" t="inlineStr">
        <is>
          <t>T04</t>
        </is>
      </c>
      <c r="C106" s="13" t="inlineStr">
        <is>
          <t>B3</t>
        </is>
      </c>
      <c r="D106" s="13" t="n">
        <v>1</v>
      </c>
      <c r="E106" s="13" t="inlineStr">
        <is>
          <t>S1</t>
        </is>
      </c>
      <c r="F106" s="13" t="n">
        <v>2026</v>
      </c>
      <c r="G106" s="14" t="n">
        <v>7907392.35774985</v>
      </c>
      <c r="H106" s="14" t="n">
        <v>109233.3875167248</v>
      </c>
      <c r="I106" s="14" t="n">
        <v>131596.6696466483</v>
      </c>
      <c r="J106" s="14" t="n">
        <v>0</v>
      </c>
      <c r="K106" s="14" t="n">
        <v>5056178.492196416</v>
      </c>
      <c r="L106" s="14" t="n">
        <v>2610383.80839006</v>
      </c>
      <c r="M106" s="14" t="n">
        <v>0</v>
      </c>
      <c r="N106" s="14" t="n">
        <v>315881.5162501317</v>
      </c>
      <c r="O106" s="14" t="n">
        <v>5311419.566229995</v>
      </c>
      <c r="P106" s="14" t="n">
        <v>267284.7032821357</v>
      </c>
      <c r="Q106" s="14" t="n">
        <v>23039296.92314675</v>
      </c>
      <c r="R106" s="15">
        <f>IF(D106=1,"Section 1","Control")</f>
        <v/>
      </c>
      <c r="S106" s="16">
        <f>N106/10000</f>
        <v/>
      </c>
      <c r="T106" s="16">
        <f>P106/10000</f>
        <v/>
      </c>
      <c r="U106" s="15">
        <f>IF(N106&gt;=Summary!$D$3,1,0)</f>
        <v/>
      </c>
      <c r="V106" s="17">
        <f>IF(N106&gt;0,P106/N106,"")</f>
        <v/>
      </c>
      <c r="W106" s="17">
        <f>IF(O106&gt;0,H106/O106,"")</f>
        <v/>
      </c>
    </row>
    <row r="107">
      <c r="A107" s="13" t="inlineStr">
        <is>
          <t>T04_F</t>
        </is>
      </c>
      <c r="B107" s="13" t="inlineStr">
        <is>
          <t>T04</t>
        </is>
      </c>
      <c r="C107" s="13" t="inlineStr">
        <is>
          <t>F</t>
        </is>
      </c>
      <c r="D107" s="13" t="n">
        <v>1</v>
      </c>
      <c r="E107" s="13" t="inlineStr">
        <is>
          <t>S1</t>
        </is>
      </c>
      <c r="F107" s="13" t="n">
        <v>2020</v>
      </c>
      <c r="G107" s="14" t="n">
        <v>35665.07498432235</v>
      </c>
      <c r="H107" s="14" t="n">
        <v>0</v>
      </c>
      <c r="I107" s="14" t="n">
        <v>2854.074803640328</v>
      </c>
      <c r="J107" s="14" t="n">
        <v>2300.843096355363</v>
      </c>
      <c r="K107" s="14" t="n">
        <v>24440.00425196629</v>
      </c>
      <c r="L107" s="14" t="n">
        <v>6070.15283236036</v>
      </c>
      <c r="M107" s="14" t="n">
        <v>0</v>
      </c>
      <c r="N107" s="14" t="n">
        <v>0</v>
      </c>
      <c r="O107" s="14" t="n">
        <v>29594.92215196202</v>
      </c>
      <c r="P107" s="14" t="n">
        <v>0</v>
      </c>
      <c r="Q107" s="14" t="n">
        <v>152855.0612806732</v>
      </c>
      <c r="R107" s="15">
        <f>IF(D107=1,"Section 1","Control")</f>
        <v/>
      </c>
      <c r="S107" s="16">
        <f>N107/10000</f>
        <v/>
      </c>
      <c r="T107" s="16">
        <f>P107/10000</f>
        <v/>
      </c>
      <c r="U107" s="15">
        <f>IF(N107&gt;=Summary!$D$3,1,0)</f>
        <v/>
      </c>
      <c r="V107" s="17">
        <f>IF(N107&gt;0,P107/N107,"")</f>
        <v/>
      </c>
      <c r="W107" s="17">
        <f>IF(O107&gt;0,H107/O107,"")</f>
        <v/>
      </c>
    </row>
    <row r="108">
      <c r="A108" s="13" t="inlineStr">
        <is>
          <t>T04_F</t>
        </is>
      </c>
      <c r="B108" s="13" t="inlineStr">
        <is>
          <t>T04</t>
        </is>
      </c>
      <c r="C108" s="13" t="inlineStr">
        <is>
          <t>F</t>
        </is>
      </c>
      <c r="D108" s="13" t="n">
        <v>1</v>
      </c>
      <c r="E108" s="13" t="inlineStr">
        <is>
          <t>S1</t>
        </is>
      </c>
      <c r="F108" s="13" t="n">
        <v>2021</v>
      </c>
      <c r="G108" s="14" t="n">
        <v>35665.07498432235</v>
      </c>
      <c r="H108" s="14" t="n">
        <v>0</v>
      </c>
      <c r="I108" s="14" t="n">
        <v>1052.278093943876</v>
      </c>
      <c r="J108" s="14" t="n">
        <v>2830.466765968473</v>
      </c>
      <c r="K108" s="14" t="n">
        <v>25037.37172438677</v>
      </c>
      <c r="L108" s="14" t="n">
        <v>6744.958400023216</v>
      </c>
      <c r="M108" s="14" t="n">
        <v>0</v>
      </c>
      <c r="N108" s="14" t="n">
        <v>0</v>
      </c>
      <c r="O108" s="14" t="n">
        <v>29594.92215196202</v>
      </c>
      <c r="P108" s="14" t="n">
        <v>0</v>
      </c>
      <c r="Q108" s="14" t="n">
        <v>152855.0612806732</v>
      </c>
      <c r="R108" s="15">
        <f>IF(D108=1,"Section 1","Control")</f>
        <v/>
      </c>
      <c r="S108" s="16">
        <f>N108/10000</f>
        <v/>
      </c>
      <c r="T108" s="16">
        <f>P108/10000</f>
        <v/>
      </c>
      <c r="U108" s="15">
        <f>IF(N108&gt;=Summary!$D$3,1,0)</f>
        <v/>
      </c>
      <c r="V108" s="17">
        <f>IF(N108&gt;0,P108/N108,"")</f>
        <v/>
      </c>
      <c r="W108" s="17">
        <f>IF(O108&gt;0,H108/O108,"")</f>
        <v/>
      </c>
    </row>
    <row r="109">
      <c r="A109" s="13" t="inlineStr">
        <is>
          <t>T04_F</t>
        </is>
      </c>
      <c r="B109" s="13" t="inlineStr">
        <is>
          <t>T04</t>
        </is>
      </c>
      <c r="C109" s="13" t="inlineStr">
        <is>
          <t>F</t>
        </is>
      </c>
      <c r="D109" s="13" t="n">
        <v>1</v>
      </c>
      <c r="E109" s="13" t="inlineStr">
        <is>
          <t>S1</t>
        </is>
      </c>
      <c r="F109" s="13" t="n">
        <v>2022</v>
      </c>
      <c r="G109" s="14" t="n">
        <v>35665.07498432235</v>
      </c>
      <c r="H109" s="14" t="n">
        <v>0</v>
      </c>
      <c r="I109" s="14" t="n">
        <v>439.0301355698529</v>
      </c>
      <c r="J109" s="14" t="n">
        <v>2355.431504432828</v>
      </c>
      <c r="K109" s="14" t="n">
        <v>27978.17620227293</v>
      </c>
      <c r="L109" s="14" t="n">
        <v>4892.43714204676</v>
      </c>
      <c r="M109" s="14" t="n">
        <v>0</v>
      </c>
      <c r="N109" s="14" t="n">
        <v>0</v>
      </c>
      <c r="O109" s="14" t="n">
        <v>29594.92215196202</v>
      </c>
      <c r="P109" s="14" t="n">
        <v>0</v>
      </c>
      <c r="Q109" s="14" t="n">
        <v>152855.0612806732</v>
      </c>
      <c r="R109" s="15">
        <f>IF(D109=1,"Section 1","Control")</f>
        <v/>
      </c>
      <c r="S109" s="16">
        <f>N109/10000</f>
        <v/>
      </c>
      <c r="T109" s="16">
        <f>P109/10000</f>
        <v/>
      </c>
      <c r="U109" s="15">
        <f>IF(N109&gt;=Summary!$D$3,1,0)</f>
        <v/>
      </c>
      <c r="V109" s="17">
        <f>IF(N109&gt;0,P109/N109,"")</f>
        <v/>
      </c>
      <c r="W109" s="17">
        <f>IF(O109&gt;0,H109/O109,"")</f>
        <v/>
      </c>
    </row>
    <row r="110">
      <c r="A110" s="13" t="inlineStr">
        <is>
          <t>T04_F</t>
        </is>
      </c>
      <c r="B110" s="13" t="inlineStr">
        <is>
          <t>T04</t>
        </is>
      </c>
      <c r="C110" s="13" t="inlineStr">
        <is>
          <t>F</t>
        </is>
      </c>
      <c r="D110" s="13" t="n">
        <v>1</v>
      </c>
      <c r="E110" s="13" t="inlineStr">
        <is>
          <t>S1</t>
        </is>
      </c>
      <c r="F110" s="13" t="n">
        <v>2023</v>
      </c>
      <c r="G110" s="14" t="n">
        <v>35665.07498432235</v>
      </c>
      <c r="H110" s="14" t="n">
        <v>0</v>
      </c>
      <c r="I110" s="14" t="n">
        <v>0</v>
      </c>
      <c r="J110" s="14" t="n">
        <v>3685.297943743541</v>
      </c>
      <c r="K110" s="14" t="n">
        <v>24783.01249919218</v>
      </c>
      <c r="L110" s="14" t="n">
        <v>7196.764541386623</v>
      </c>
      <c r="M110" s="14" t="n">
        <v>0</v>
      </c>
      <c r="N110" s="14" t="n">
        <v>0</v>
      </c>
      <c r="O110" s="14" t="n">
        <v>29594.92215196202</v>
      </c>
      <c r="P110" s="14" t="n">
        <v>0</v>
      </c>
      <c r="Q110" s="14" t="n">
        <v>152855.0612806732</v>
      </c>
      <c r="R110" s="15">
        <f>IF(D110=1,"Section 1","Control")</f>
        <v/>
      </c>
      <c r="S110" s="16">
        <f>N110/10000</f>
        <v/>
      </c>
      <c r="T110" s="16">
        <f>P110/10000</f>
        <v/>
      </c>
      <c r="U110" s="15">
        <f>IF(N110&gt;=Summary!$D$3,1,0)</f>
        <v/>
      </c>
      <c r="V110" s="17">
        <f>IF(N110&gt;0,P110/N110,"")</f>
        <v/>
      </c>
      <c r="W110" s="17">
        <f>IF(O110&gt;0,H110/O110,"")</f>
        <v/>
      </c>
    </row>
    <row r="111">
      <c r="A111" s="13" t="inlineStr">
        <is>
          <t>T04_F</t>
        </is>
      </c>
      <c r="B111" s="13" t="inlineStr">
        <is>
          <t>T04</t>
        </is>
      </c>
      <c r="C111" s="13" t="inlineStr">
        <is>
          <t>F</t>
        </is>
      </c>
      <c r="D111" s="13" t="n">
        <v>1</v>
      </c>
      <c r="E111" s="13" t="inlineStr">
        <is>
          <t>S1</t>
        </is>
      </c>
      <c r="F111" s="13" t="n">
        <v>2024</v>
      </c>
      <c r="G111" s="14" t="n">
        <v>35665.07498432235</v>
      </c>
      <c r="H111" s="14" t="n">
        <v>0</v>
      </c>
      <c r="I111" s="14" t="n">
        <v>2188.944456751208</v>
      </c>
      <c r="J111" s="14" t="n">
        <v>3200.583862454286</v>
      </c>
      <c r="K111" s="14" t="n">
        <v>23027.29092951756</v>
      </c>
      <c r="L111" s="14" t="n">
        <v>7248.255735599294</v>
      </c>
      <c r="M111" s="14" t="n">
        <v>0</v>
      </c>
      <c r="N111" s="14" t="n">
        <v>0</v>
      </c>
      <c r="O111" s="14" t="n">
        <v>29594.92215196202</v>
      </c>
      <c r="P111" s="14" t="n">
        <v>0</v>
      </c>
      <c r="Q111" s="14" t="n">
        <v>152855.0612806733</v>
      </c>
      <c r="R111" s="15">
        <f>IF(D111=1,"Section 1","Control")</f>
        <v/>
      </c>
      <c r="S111" s="16">
        <f>N111/10000</f>
        <v/>
      </c>
      <c r="T111" s="16">
        <f>P111/10000</f>
        <v/>
      </c>
      <c r="U111" s="15">
        <f>IF(N111&gt;=Summary!$D$3,1,0)</f>
        <v/>
      </c>
      <c r="V111" s="17">
        <f>IF(N111&gt;0,P111/N111,"")</f>
        <v/>
      </c>
      <c r="W111" s="17">
        <f>IF(O111&gt;0,H111/O111,"")</f>
        <v/>
      </c>
    </row>
    <row r="112">
      <c r="A112" s="13" t="inlineStr">
        <is>
          <t>T04_F</t>
        </is>
      </c>
      <c r="B112" s="13" t="inlineStr">
        <is>
          <t>T04</t>
        </is>
      </c>
      <c r="C112" s="13" t="inlineStr">
        <is>
          <t>F</t>
        </is>
      </c>
      <c r="D112" s="13" t="n">
        <v>1</v>
      </c>
      <c r="E112" s="13" t="inlineStr">
        <is>
          <t>S1</t>
        </is>
      </c>
      <c r="F112" s="13" t="n">
        <v>2025</v>
      </c>
      <c r="G112" s="14" t="n">
        <v>35665.07498432235</v>
      </c>
      <c r="H112" s="14" t="n">
        <v>0</v>
      </c>
      <c r="I112" s="14" t="n">
        <v>12883.22235538258</v>
      </c>
      <c r="J112" s="14" t="n">
        <v>1603.969870324228</v>
      </c>
      <c r="K112" s="14" t="n">
        <v>21177.88275861553</v>
      </c>
      <c r="L112" s="14" t="n">
        <v>0</v>
      </c>
      <c r="M112" s="14" t="n">
        <v>0</v>
      </c>
      <c r="N112" s="14" t="n">
        <v>0</v>
      </c>
      <c r="O112" s="14" t="n">
        <v>29594.92215196202</v>
      </c>
      <c r="P112" s="14" t="n">
        <v>0</v>
      </c>
      <c r="Q112" s="14" t="n">
        <v>152855.0612806732</v>
      </c>
      <c r="R112" s="15">
        <f>IF(D112=1,"Section 1","Control")</f>
        <v/>
      </c>
      <c r="S112" s="16">
        <f>N112/10000</f>
        <v/>
      </c>
      <c r="T112" s="16">
        <f>P112/10000</f>
        <v/>
      </c>
      <c r="U112" s="15">
        <f>IF(N112&gt;=Summary!$D$3,1,0)</f>
        <v/>
      </c>
      <c r="V112" s="17">
        <f>IF(N112&gt;0,P112/N112,"")</f>
        <v/>
      </c>
      <c r="W112" s="17">
        <f>IF(O112&gt;0,H112/O112,"")</f>
        <v/>
      </c>
    </row>
    <row r="113">
      <c r="A113" s="13" t="inlineStr">
        <is>
          <t>T04_F</t>
        </is>
      </c>
      <c r="B113" s="13" t="inlineStr">
        <is>
          <t>T04</t>
        </is>
      </c>
      <c r="C113" s="13" t="inlineStr">
        <is>
          <t>F</t>
        </is>
      </c>
      <c r="D113" s="13" t="n">
        <v>1</v>
      </c>
      <c r="E113" s="13" t="inlineStr">
        <is>
          <t>S1</t>
        </is>
      </c>
      <c r="F113" s="13" t="n">
        <v>2026</v>
      </c>
      <c r="G113" s="14" t="n">
        <v>35665.07498432235</v>
      </c>
      <c r="H113" s="14" t="n">
        <v>0</v>
      </c>
      <c r="I113" s="14" t="n">
        <v>7832.057951205381</v>
      </c>
      <c r="J113" s="14" t="n">
        <v>999.6259543026194</v>
      </c>
      <c r="K113" s="14" t="n">
        <v>26833.39107881436</v>
      </c>
      <c r="L113" s="14" t="n">
        <v>0</v>
      </c>
      <c r="M113" s="14" t="n">
        <v>0</v>
      </c>
      <c r="N113" s="14" t="n">
        <v>0</v>
      </c>
      <c r="O113" s="14" t="n">
        <v>29594.92215196202</v>
      </c>
      <c r="P113" s="14" t="n">
        <v>0</v>
      </c>
      <c r="Q113" s="14" t="n">
        <v>152855.0612806733</v>
      </c>
      <c r="R113" s="15">
        <f>IF(D113=1,"Section 1","Control")</f>
        <v/>
      </c>
      <c r="S113" s="16">
        <f>N113/10000</f>
        <v/>
      </c>
      <c r="T113" s="16">
        <f>P113/10000</f>
        <v/>
      </c>
      <c r="U113" s="15">
        <f>IF(N113&gt;=Summary!$D$3,1,0)</f>
        <v/>
      </c>
      <c r="V113" s="17">
        <f>IF(N113&gt;0,P113/N113,"")</f>
        <v/>
      </c>
      <c r="W113" s="17">
        <f>IF(O113&gt;0,H113/O113,"")</f>
        <v/>
      </c>
    </row>
    <row r="114">
      <c r="A114" s="13" t="inlineStr">
        <is>
          <t>T05_B1</t>
        </is>
      </c>
      <c r="B114" s="13" t="inlineStr">
        <is>
          <t>T05</t>
        </is>
      </c>
      <c r="C114" s="13" t="inlineStr">
        <is>
          <t>B1</t>
        </is>
      </c>
      <c r="D114" s="13" t="n">
        <v>1</v>
      </c>
      <c r="E114" s="13" t="inlineStr">
        <is>
          <t>S1</t>
        </is>
      </c>
      <c r="F114" s="13" t="n">
        <v>2020</v>
      </c>
      <c r="G114" s="14" t="n">
        <v>1286877.593150988</v>
      </c>
      <c r="H114" s="14" t="n">
        <v>345.3362866270776</v>
      </c>
      <c r="I114" s="14" t="n">
        <v>66695.66051952886</v>
      </c>
      <c r="J114" s="14" t="n">
        <v>22838.83833977194</v>
      </c>
      <c r="K114" s="14" t="n">
        <v>754852.9697144157</v>
      </c>
      <c r="L114" s="14" t="n">
        <v>442144.7882906445</v>
      </c>
      <c r="M114" s="14" t="n">
        <v>0</v>
      </c>
      <c r="N114" s="14" t="n">
        <v>345.3362866270776</v>
      </c>
      <c r="O114" s="14" t="n">
        <v>844732.8048603437</v>
      </c>
      <c r="P114" s="14" t="n">
        <v>0</v>
      </c>
      <c r="Q114" s="14" t="n">
        <v>5230842.414687303</v>
      </c>
      <c r="R114" s="15">
        <f>IF(D114=1,"Section 1","Control")</f>
        <v/>
      </c>
      <c r="S114" s="16">
        <f>N114/10000</f>
        <v/>
      </c>
      <c r="T114" s="16">
        <f>P114/10000</f>
        <v/>
      </c>
      <c r="U114" s="15">
        <f>IF(N114&gt;=Summary!$D$3,1,0)</f>
        <v/>
      </c>
      <c r="V114" s="17">
        <f>IF(N114&gt;0,P114/N114,"")</f>
        <v/>
      </c>
      <c r="W114" s="17">
        <f>IF(O114&gt;0,H114/O114,"")</f>
        <v/>
      </c>
    </row>
    <row r="115">
      <c r="A115" s="13" t="inlineStr">
        <is>
          <t>T05_B1</t>
        </is>
      </c>
      <c r="B115" s="13" t="inlineStr">
        <is>
          <t>T05</t>
        </is>
      </c>
      <c r="C115" s="13" t="inlineStr">
        <is>
          <t>B1</t>
        </is>
      </c>
      <c r="D115" s="13" t="n">
        <v>1</v>
      </c>
      <c r="E115" s="13" t="inlineStr">
        <is>
          <t>S1</t>
        </is>
      </c>
      <c r="F115" s="13" t="n">
        <v>2021</v>
      </c>
      <c r="G115" s="14" t="n">
        <v>1286877.593150988</v>
      </c>
      <c r="H115" s="14" t="n">
        <v>987.2254791259766</v>
      </c>
      <c r="I115" s="14" t="n">
        <v>63673.95143139409</v>
      </c>
      <c r="J115" s="14" t="n">
        <v>21625.12307146858</v>
      </c>
      <c r="K115" s="14" t="n">
        <v>752617.5430169503</v>
      </c>
      <c r="L115" s="14" t="n">
        <v>447973.7501520493</v>
      </c>
      <c r="M115" s="14" t="n">
        <v>0</v>
      </c>
      <c r="N115" s="14" t="n">
        <v>345.3362866270776</v>
      </c>
      <c r="O115" s="14" t="n">
        <v>844732.8048603437</v>
      </c>
      <c r="P115" s="14" t="n">
        <v>147.8911801207299</v>
      </c>
      <c r="Q115" s="14" t="n">
        <v>5230842.414687303</v>
      </c>
      <c r="R115" s="15">
        <f>IF(D115=1,"Section 1","Control")</f>
        <v/>
      </c>
      <c r="S115" s="16">
        <f>N115/10000</f>
        <v/>
      </c>
      <c r="T115" s="16">
        <f>P115/10000</f>
        <v/>
      </c>
      <c r="U115" s="15">
        <f>IF(N115&gt;=Summary!$D$3,1,0)</f>
        <v/>
      </c>
      <c r="V115" s="17">
        <f>IF(N115&gt;0,P115/N115,"")</f>
        <v/>
      </c>
      <c r="W115" s="17">
        <f>IF(O115&gt;0,H115/O115,"")</f>
        <v/>
      </c>
    </row>
    <row r="116">
      <c r="A116" s="13" t="inlineStr">
        <is>
          <t>T05_B1</t>
        </is>
      </c>
      <c r="B116" s="13" t="inlineStr">
        <is>
          <t>T05</t>
        </is>
      </c>
      <c r="C116" s="13" t="inlineStr">
        <is>
          <t>B1</t>
        </is>
      </c>
      <c r="D116" s="13" t="n">
        <v>1</v>
      </c>
      <c r="E116" s="13" t="inlineStr">
        <is>
          <t>S1</t>
        </is>
      </c>
      <c r="F116" s="13" t="n">
        <v>2022</v>
      </c>
      <c r="G116" s="14" t="n">
        <v>1286877.593150988</v>
      </c>
      <c r="H116" s="14" t="n">
        <v>197.4451065063477</v>
      </c>
      <c r="I116" s="14" t="n">
        <v>57163.23454401353</v>
      </c>
      <c r="J116" s="14" t="n">
        <v>19058.30924395393</v>
      </c>
      <c r="K116" s="14" t="n">
        <v>780608.2168060008</v>
      </c>
      <c r="L116" s="14" t="n">
        <v>429850.3874505136</v>
      </c>
      <c r="M116" s="14" t="n">
        <v>0</v>
      </c>
      <c r="N116" s="14" t="n">
        <v>345.3362866270776</v>
      </c>
      <c r="O116" s="14" t="n">
        <v>844732.8048603437</v>
      </c>
      <c r="P116" s="14" t="n">
        <v>147.8911801207299</v>
      </c>
      <c r="Q116" s="14" t="n">
        <v>5230842.414687303</v>
      </c>
      <c r="R116" s="15">
        <f>IF(D116=1,"Section 1","Control")</f>
        <v/>
      </c>
      <c r="S116" s="16">
        <f>N116/10000</f>
        <v/>
      </c>
      <c r="T116" s="16">
        <f>P116/10000</f>
        <v/>
      </c>
      <c r="U116" s="15">
        <f>IF(N116&gt;=Summary!$D$3,1,0)</f>
        <v/>
      </c>
      <c r="V116" s="17">
        <f>IF(N116&gt;0,P116/N116,"")</f>
        <v/>
      </c>
      <c r="W116" s="17">
        <f>IF(O116&gt;0,H116/O116,"")</f>
        <v/>
      </c>
    </row>
    <row r="117">
      <c r="A117" s="13" t="inlineStr">
        <is>
          <t>T05_B1</t>
        </is>
      </c>
      <c r="B117" s="13" t="inlineStr">
        <is>
          <t>T05</t>
        </is>
      </c>
      <c r="C117" s="13" t="inlineStr">
        <is>
          <t>B1</t>
        </is>
      </c>
      <c r="D117" s="13" t="n">
        <v>1</v>
      </c>
      <c r="E117" s="13" t="inlineStr">
        <is>
          <t>S1</t>
        </is>
      </c>
      <c r="F117" s="13" t="n">
        <v>2023</v>
      </c>
      <c r="G117" s="14" t="n">
        <v>1286877.593150988</v>
      </c>
      <c r="H117" s="14" t="n">
        <v>98.72249603271484</v>
      </c>
      <c r="I117" s="14" t="n">
        <v>53287.06771748861</v>
      </c>
      <c r="J117" s="14" t="n">
        <v>20934.05829790901</v>
      </c>
      <c r="K117" s="14" t="n">
        <v>771902.7253588513</v>
      </c>
      <c r="L117" s="14" t="n">
        <v>440655.0192807065</v>
      </c>
      <c r="M117" s="14" t="n">
        <v>0</v>
      </c>
      <c r="N117" s="14" t="n">
        <v>345.3362866270776</v>
      </c>
      <c r="O117" s="14" t="n">
        <v>844732.8048603437</v>
      </c>
      <c r="P117" s="14" t="n">
        <v>246.6137905943628</v>
      </c>
      <c r="Q117" s="14" t="n">
        <v>5230842.414687303</v>
      </c>
      <c r="R117" s="15">
        <f>IF(D117=1,"Section 1","Control")</f>
        <v/>
      </c>
      <c r="S117" s="16">
        <f>N117/10000</f>
        <v/>
      </c>
      <c r="T117" s="16">
        <f>P117/10000</f>
        <v/>
      </c>
      <c r="U117" s="15">
        <f>IF(N117&gt;=Summary!$D$3,1,0)</f>
        <v/>
      </c>
      <c r="V117" s="17">
        <f>IF(N117&gt;0,P117/N117,"")</f>
        <v/>
      </c>
      <c r="W117" s="17">
        <f>IF(O117&gt;0,H117/O117,"")</f>
        <v/>
      </c>
    </row>
    <row r="118">
      <c r="A118" s="13" t="inlineStr">
        <is>
          <t>T05_B1</t>
        </is>
      </c>
      <c r="B118" s="13" t="inlineStr">
        <is>
          <t>T05</t>
        </is>
      </c>
      <c r="C118" s="13" t="inlineStr">
        <is>
          <t>B1</t>
        </is>
      </c>
      <c r="D118" s="13" t="n">
        <v>1</v>
      </c>
      <c r="E118" s="13" t="inlineStr">
        <is>
          <t>S1</t>
        </is>
      </c>
      <c r="F118" s="13" t="n">
        <v>2024</v>
      </c>
      <c r="G118" s="14" t="n">
        <v>1286877.593150988</v>
      </c>
      <c r="H118" s="14" t="n">
        <v>98.72249603271484</v>
      </c>
      <c r="I118" s="14" t="n">
        <v>51849.54280542112</v>
      </c>
      <c r="J118" s="14" t="n">
        <v>21117.18123806224</v>
      </c>
      <c r="K118" s="14" t="n">
        <v>774427.770958725</v>
      </c>
      <c r="L118" s="14" t="n">
        <v>439384.3756527469</v>
      </c>
      <c r="M118" s="14" t="n">
        <v>0</v>
      </c>
      <c r="N118" s="14" t="n">
        <v>345.3362866270776</v>
      </c>
      <c r="O118" s="14" t="n">
        <v>844732.8048603437</v>
      </c>
      <c r="P118" s="14" t="n">
        <v>246.6137905943628</v>
      </c>
      <c r="Q118" s="14" t="n">
        <v>5230842.414687303</v>
      </c>
      <c r="R118" s="15">
        <f>IF(D118=1,"Section 1","Control")</f>
        <v/>
      </c>
      <c r="S118" s="16">
        <f>N118/10000</f>
        <v/>
      </c>
      <c r="T118" s="16">
        <f>P118/10000</f>
        <v/>
      </c>
      <c r="U118" s="15">
        <f>IF(N118&gt;=Summary!$D$3,1,0)</f>
        <v/>
      </c>
      <c r="V118" s="17">
        <f>IF(N118&gt;0,P118/N118,"")</f>
        <v/>
      </c>
      <c r="W118" s="17">
        <f>IF(O118&gt;0,H118/O118,"")</f>
        <v/>
      </c>
    </row>
    <row r="119">
      <c r="A119" s="13" t="inlineStr">
        <is>
          <t>T05_B1</t>
        </is>
      </c>
      <c r="B119" s="13" t="inlineStr">
        <is>
          <t>T05</t>
        </is>
      </c>
      <c r="C119" s="13" t="inlineStr">
        <is>
          <t>B1</t>
        </is>
      </c>
      <c r="D119" s="13" t="n">
        <v>1</v>
      </c>
      <c r="E119" s="13" t="inlineStr">
        <is>
          <t>S1</t>
        </is>
      </c>
      <c r="F119" s="13" t="n">
        <v>2025</v>
      </c>
      <c r="G119" s="14" t="n">
        <v>1286877.593150988</v>
      </c>
      <c r="H119" s="14" t="n">
        <v>0</v>
      </c>
      <c r="I119" s="14" t="n">
        <v>148762.6165054023</v>
      </c>
      <c r="J119" s="14" t="n">
        <v>8432.936260238348</v>
      </c>
      <c r="K119" s="14" t="n">
        <v>789621.9526149679</v>
      </c>
      <c r="L119" s="14" t="n">
        <v>340060.0877703797</v>
      </c>
      <c r="M119" s="14" t="n">
        <v>0</v>
      </c>
      <c r="N119" s="14" t="n">
        <v>345.3362866270776</v>
      </c>
      <c r="O119" s="14" t="n">
        <v>844732.8048603437</v>
      </c>
      <c r="P119" s="14" t="n">
        <v>345.3362866270776</v>
      </c>
      <c r="Q119" s="14" t="n">
        <v>5230842.414687302</v>
      </c>
      <c r="R119" s="15">
        <f>IF(D119=1,"Section 1","Control")</f>
        <v/>
      </c>
      <c r="S119" s="16">
        <f>N119/10000</f>
        <v/>
      </c>
      <c r="T119" s="16">
        <f>P119/10000</f>
        <v/>
      </c>
      <c r="U119" s="15">
        <f>IF(N119&gt;=Summary!$D$3,1,0)</f>
        <v/>
      </c>
      <c r="V119" s="17">
        <f>IF(N119&gt;0,P119/N119,"")</f>
        <v/>
      </c>
      <c r="W119" s="17">
        <f>IF(O119&gt;0,H119/O119,"")</f>
        <v/>
      </c>
    </row>
    <row r="120">
      <c r="A120" s="13" t="inlineStr">
        <is>
          <t>T05_B1</t>
        </is>
      </c>
      <c r="B120" s="13" t="inlineStr">
        <is>
          <t>T05</t>
        </is>
      </c>
      <c r="C120" s="13" t="inlineStr">
        <is>
          <t>B1</t>
        </is>
      </c>
      <c r="D120" s="13" t="n">
        <v>1</v>
      </c>
      <c r="E120" s="13" t="inlineStr">
        <is>
          <t>S1</t>
        </is>
      </c>
      <c r="F120" s="13" t="n">
        <v>2026</v>
      </c>
      <c r="G120" s="14" t="n">
        <v>1286877.593150988</v>
      </c>
      <c r="H120" s="14" t="n">
        <v>197.4450378417969</v>
      </c>
      <c r="I120" s="14" t="n">
        <v>169035.7672479966</v>
      </c>
      <c r="J120" s="14" t="n">
        <v>8785.635275448069</v>
      </c>
      <c r="K120" s="14" t="n">
        <v>769401.8491067928</v>
      </c>
      <c r="L120" s="14" t="n">
        <v>339456.8964829089</v>
      </c>
      <c r="M120" s="14" t="n">
        <v>0</v>
      </c>
      <c r="N120" s="14" t="n">
        <v>345.3362866270776</v>
      </c>
      <c r="O120" s="14" t="n">
        <v>844732.8048603437</v>
      </c>
      <c r="P120" s="14" t="n">
        <v>345.3362866270776</v>
      </c>
      <c r="Q120" s="14" t="n">
        <v>5230842.414687302</v>
      </c>
      <c r="R120" s="15">
        <f>IF(D120=1,"Section 1","Control")</f>
        <v/>
      </c>
      <c r="S120" s="16">
        <f>N120/10000</f>
        <v/>
      </c>
      <c r="T120" s="16">
        <f>P120/10000</f>
        <v/>
      </c>
      <c r="U120" s="15">
        <f>IF(N120&gt;=Summary!$D$3,1,0)</f>
        <v/>
      </c>
      <c r="V120" s="17">
        <f>IF(N120&gt;0,P120/N120,"")</f>
        <v/>
      </c>
      <c r="W120" s="17">
        <f>IF(O120&gt;0,H120/O120,"")</f>
        <v/>
      </c>
    </row>
    <row r="121">
      <c r="A121" s="13" t="inlineStr">
        <is>
          <t>T05_B2</t>
        </is>
      </c>
      <c r="B121" s="13" t="inlineStr">
        <is>
          <t>T05</t>
        </is>
      </c>
      <c r="C121" s="13" t="inlineStr">
        <is>
          <t>B2</t>
        </is>
      </c>
      <c r="D121" s="13" t="n">
        <v>1</v>
      </c>
      <c r="E121" s="13" t="inlineStr">
        <is>
          <t>S1</t>
        </is>
      </c>
      <c r="F121" s="13" t="n">
        <v>2020</v>
      </c>
      <c r="G121" s="14" t="n">
        <v>1014419.930856533</v>
      </c>
      <c r="H121" s="14" t="n">
        <v>9243.489386225679</v>
      </c>
      <c r="I121" s="14" t="n">
        <v>1909.788198732862</v>
      </c>
      <c r="J121" s="14" t="n">
        <v>0</v>
      </c>
      <c r="K121" s="14" t="n">
        <v>466767.7780051436</v>
      </c>
      <c r="L121" s="14" t="n">
        <v>536498.8752664307</v>
      </c>
      <c r="M121" s="14" t="n">
        <v>0</v>
      </c>
      <c r="N121" s="14" t="n">
        <v>9243.489386225679</v>
      </c>
      <c r="O121" s="14" t="n">
        <v>477921.0555901022</v>
      </c>
      <c r="P121" s="14" t="n">
        <v>0</v>
      </c>
      <c r="Q121" s="14" t="n">
        <v>2506813.549204449</v>
      </c>
      <c r="R121" s="15">
        <f>IF(D121=1,"Section 1","Control")</f>
        <v/>
      </c>
      <c r="S121" s="16">
        <f>N121/10000</f>
        <v/>
      </c>
      <c r="T121" s="16">
        <f>P121/10000</f>
        <v/>
      </c>
      <c r="U121" s="15">
        <f>IF(N121&gt;=Summary!$D$3,1,0)</f>
        <v/>
      </c>
      <c r="V121" s="17">
        <f>IF(N121&gt;0,P121/N121,"")</f>
        <v/>
      </c>
      <c r="W121" s="17">
        <f>IF(O121&gt;0,H121/O121,"")</f>
        <v/>
      </c>
    </row>
    <row r="122">
      <c r="A122" s="13" t="inlineStr">
        <is>
          <t>T05_B2</t>
        </is>
      </c>
      <c r="B122" s="13" t="inlineStr">
        <is>
          <t>T05</t>
        </is>
      </c>
      <c r="C122" s="13" t="inlineStr">
        <is>
          <t>B2</t>
        </is>
      </c>
      <c r="D122" s="13" t="n">
        <v>1</v>
      </c>
      <c r="E122" s="13" t="inlineStr">
        <is>
          <t>S1</t>
        </is>
      </c>
      <c r="F122" s="13" t="n">
        <v>2021</v>
      </c>
      <c r="G122" s="14" t="n">
        <v>1014419.930856533</v>
      </c>
      <c r="H122" s="14" t="n">
        <v>5590.769941950779</v>
      </c>
      <c r="I122" s="14" t="n">
        <v>2886.943631669587</v>
      </c>
      <c r="J122" s="14" t="n">
        <v>0</v>
      </c>
      <c r="K122" s="14" t="n">
        <v>469443.3420164818</v>
      </c>
      <c r="L122" s="14" t="n">
        <v>536498.8752664307</v>
      </c>
      <c r="M122" s="14" t="n">
        <v>0</v>
      </c>
      <c r="N122" s="14" t="n">
        <v>9243.489386225679</v>
      </c>
      <c r="O122" s="14" t="n">
        <v>477921.0555901022</v>
      </c>
      <c r="P122" s="14" t="n">
        <v>3652.719444274902</v>
      </c>
      <c r="Q122" s="14" t="n">
        <v>2506813.549204449</v>
      </c>
      <c r="R122" s="15">
        <f>IF(D122=1,"Section 1","Control")</f>
        <v/>
      </c>
      <c r="S122" s="16">
        <f>N122/10000</f>
        <v/>
      </c>
      <c r="T122" s="16">
        <f>P122/10000</f>
        <v/>
      </c>
      <c r="U122" s="15">
        <f>IF(N122&gt;=Summary!$D$3,1,0)</f>
        <v/>
      </c>
      <c r="V122" s="17">
        <f>IF(N122&gt;0,P122/N122,"")</f>
        <v/>
      </c>
      <c r="W122" s="17">
        <f>IF(O122&gt;0,H122/O122,"")</f>
        <v/>
      </c>
    </row>
    <row r="123">
      <c r="A123" s="13" t="inlineStr">
        <is>
          <t>T05_B2</t>
        </is>
      </c>
      <c r="B123" s="13" t="inlineStr">
        <is>
          <t>T05</t>
        </is>
      </c>
      <c r="C123" s="13" t="inlineStr">
        <is>
          <t>B2</t>
        </is>
      </c>
      <c r="D123" s="13" t="n">
        <v>1</v>
      </c>
      <c r="E123" s="13" t="inlineStr">
        <is>
          <t>S1</t>
        </is>
      </c>
      <c r="F123" s="13" t="n">
        <v>2022</v>
      </c>
      <c r="G123" s="14" t="n">
        <v>1014419.930856533</v>
      </c>
      <c r="H123" s="14" t="n">
        <v>4702.270643855076</v>
      </c>
      <c r="I123" s="14" t="n">
        <v>2987.209150516286</v>
      </c>
      <c r="J123" s="14" t="n">
        <v>0</v>
      </c>
      <c r="K123" s="14" t="n">
        <v>470231.5757957308</v>
      </c>
      <c r="L123" s="14" t="n">
        <v>536498.8752664307</v>
      </c>
      <c r="M123" s="14" t="n">
        <v>0</v>
      </c>
      <c r="N123" s="14" t="n">
        <v>9243.489386225679</v>
      </c>
      <c r="O123" s="14" t="n">
        <v>477921.0555901022</v>
      </c>
      <c r="P123" s="14" t="n">
        <v>4541.218742370605</v>
      </c>
      <c r="Q123" s="14" t="n">
        <v>2506813.549204448</v>
      </c>
      <c r="R123" s="15">
        <f>IF(D123=1,"Section 1","Control")</f>
        <v/>
      </c>
      <c r="S123" s="16">
        <f>N123/10000</f>
        <v/>
      </c>
      <c r="T123" s="16">
        <f>P123/10000</f>
        <v/>
      </c>
      <c r="U123" s="15">
        <f>IF(N123&gt;=Summary!$D$3,1,0)</f>
        <v/>
      </c>
      <c r="V123" s="17">
        <f>IF(N123&gt;0,P123/N123,"")</f>
        <v/>
      </c>
      <c r="W123" s="17">
        <f>IF(O123&gt;0,H123/O123,"")</f>
        <v/>
      </c>
    </row>
    <row r="124">
      <c r="A124" s="13" t="inlineStr">
        <is>
          <t>T05_B2</t>
        </is>
      </c>
      <c r="B124" s="13" t="inlineStr">
        <is>
          <t>T05</t>
        </is>
      </c>
      <c r="C124" s="13" t="inlineStr">
        <is>
          <t>B2</t>
        </is>
      </c>
      <c r="D124" s="13" t="n">
        <v>1</v>
      </c>
      <c r="E124" s="13" t="inlineStr">
        <is>
          <t>S1</t>
        </is>
      </c>
      <c r="F124" s="13" t="n">
        <v>2023</v>
      </c>
      <c r="G124" s="14" t="n">
        <v>1014419.930856533</v>
      </c>
      <c r="H124" s="14" t="n">
        <v>4504.826353693943</v>
      </c>
      <c r="I124" s="14" t="n">
        <v>2351.519295367073</v>
      </c>
      <c r="J124" s="14" t="n">
        <v>0</v>
      </c>
      <c r="K124" s="14" t="n">
        <v>471064.7099410411</v>
      </c>
      <c r="L124" s="14" t="n">
        <v>536498.8752664307</v>
      </c>
      <c r="M124" s="14" t="n">
        <v>0</v>
      </c>
      <c r="N124" s="14" t="n">
        <v>9243.489386225679</v>
      </c>
      <c r="O124" s="14" t="n">
        <v>477921.0555901022</v>
      </c>
      <c r="P124" s="14" t="n">
        <v>4738.663032531738</v>
      </c>
      <c r="Q124" s="14" t="n">
        <v>2506813.549204449</v>
      </c>
      <c r="R124" s="15">
        <f>IF(D124=1,"Section 1","Control")</f>
        <v/>
      </c>
      <c r="S124" s="16">
        <f>N124/10000</f>
        <v/>
      </c>
      <c r="T124" s="16">
        <f>P124/10000</f>
        <v/>
      </c>
      <c r="U124" s="15">
        <f>IF(N124&gt;=Summary!$D$3,1,0)</f>
        <v/>
      </c>
      <c r="V124" s="17">
        <f>IF(N124&gt;0,P124/N124,"")</f>
        <v/>
      </c>
      <c r="W124" s="17">
        <f>IF(O124&gt;0,H124/O124,"")</f>
        <v/>
      </c>
    </row>
    <row r="125">
      <c r="A125" s="13" t="inlineStr">
        <is>
          <t>T05_B2</t>
        </is>
      </c>
      <c r="B125" s="13" t="inlineStr">
        <is>
          <t>T05</t>
        </is>
      </c>
      <c r="C125" s="13" t="inlineStr">
        <is>
          <t>B2</t>
        </is>
      </c>
      <c r="D125" s="13" t="n">
        <v>1</v>
      </c>
      <c r="E125" s="13" t="inlineStr">
        <is>
          <t>S1</t>
        </is>
      </c>
      <c r="F125" s="13" t="n">
        <v>2024</v>
      </c>
      <c r="G125" s="14" t="n">
        <v>1014419.930856533</v>
      </c>
      <c r="H125" s="14" t="n">
        <v>4213.305689703249</v>
      </c>
      <c r="I125" s="14" t="n">
        <v>5391.3764875225</v>
      </c>
      <c r="J125" s="14" t="n">
        <v>0</v>
      </c>
      <c r="K125" s="14" t="n">
        <v>468316.3734128765</v>
      </c>
      <c r="L125" s="14" t="n">
        <v>536498.8752664307</v>
      </c>
      <c r="M125" s="14" t="n">
        <v>0</v>
      </c>
      <c r="N125" s="14" t="n">
        <v>9243.489386225679</v>
      </c>
      <c r="O125" s="14" t="n">
        <v>477921.0555901022</v>
      </c>
      <c r="P125" s="14" t="n">
        <v>5030.183696522432</v>
      </c>
      <c r="Q125" s="14" t="n">
        <v>2506813.549204448</v>
      </c>
      <c r="R125" s="15">
        <f>IF(D125=1,"Section 1","Control")</f>
        <v/>
      </c>
      <c r="S125" s="16">
        <f>N125/10000</f>
        <v/>
      </c>
      <c r="T125" s="16">
        <f>P125/10000</f>
        <v/>
      </c>
      <c r="U125" s="15">
        <f>IF(N125&gt;=Summary!$D$3,1,0)</f>
        <v/>
      </c>
      <c r="V125" s="17">
        <f>IF(N125&gt;0,P125/N125,"")</f>
        <v/>
      </c>
      <c r="W125" s="17">
        <f>IF(O125&gt;0,H125/O125,"")</f>
        <v/>
      </c>
    </row>
    <row r="126">
      <c r="A126" s="13" t="inlineStr">
        <is>
          <t>T05_B2</t>
        </is>
      </c>
      <c r="B126" s="13" t="inlineStr">
        <is>
          <t>T05</t>
        </is>
      </c>
      <c r="C126" s="13" t="inlineStr">
        <is>
          <t>B2</t>
        </is>
      </c>
      <c r="D126" s="13" t="n">
        <v>1</v>
      </c>
      <c r="E126" s="13" t="inlineStr">
        <is>
          <t>S1</t>
        </is>
      </c>
      <c r="F126" s="13" t="n">
        <v>2025</v>
      </c>
      <c r="G126" s="14" t="n">
        <v>1014419.930856533</v>
      </c>
      <c r="H126" s="14" t="n">
        <v>98.72152709960938</v>
      </c>
      <c r="I126" s="14" t="n">
        <v>1373.201948427687</v>
      </c>
      <c r="J126" s="14" t="n">
        <v>0</v>
      </c>
      <c r="K126" s="14" t="n">
        <v>476449.1321145749</v>
      </c>
      <c r="L126" s="14" t="n">
        <v>536498.8752664307</v>
      </c>
      <c r="M126" s="14" t="n">
        <v>0</v>
      </c>
      <c r="N126" s="14" t="n">
        <v>9243.489386225679</v>
      </c>
      <c r="O126" s="14" t="n">
        <v>477921.0555901022</v>
      </c>
      <c r="P126" s="14" t="n">
        <v>9243.489386225679</v>
      </c>
      <c r="Q126" s="14" t="n">
        <v>2506813.549204449</v>
      </c>
      <c r="R126" s="15">
        <f>IF(D126=1,"Section 1","Control")</f>
        <v/>
      </c>
      <c r="S126" s="16">
        <f>N126/10000</f>
        <v/>
      </c>
      <c r="T126" s="16">
        <f>P126/10000</f>
        <v/>
      </c>
      <c r="U126" s="15">
        <f>IF(N126&gt;=Summary!$D$3,1,0)</f>
        <v/>
      </c>
      <c r="V126" s="17">
        <f>IF(N126&gt;0,P126/N126,"")</f>
        <v/>
      </c>
      <c r="W126" s="17">
        <f>IF(O126&gt;0,H126/O126,"")</f>
        <v/>
      </c>
    </row>
    <row r="127">
      <c r="A127" s="13" t="inlineStr">
        <is>
          <t>T05_B2</t>
        </is>
      </c>
      <c r="B127" s="13" t="inlineStr">
        <is>
          <t>T05</t>
        </is>
      </c>
      <c r="C127" s="13" t="inlineStr">
        <is>
          <t>B2</t>
        </is>
      </c>
      <c r="D127" s="13" t="n">
        <v>1</v>
      </c>
      <c r="E127" s="13" t="inlineStr">
        <is>
          <t>S1</t>
        </is>
      </c>
      <c r="F127" s="13" t="n">
        <v>2026</v>
      </c>
      <c r="G127" s="14" t="n">
        <v>1014419.930856533</v>
      </c>
      <c r="H127" s="14" t="n">
        <v>0</v>
      </c>
      <c r="I127" s="14" t="n">
        <v>18282.39482185513</v>
      </c>
      <c r="J127" s="14" t="n">
        <v>0</v>
      </c>
      <c r="K127" s="14" t="n">
        <v>475645.6337769153</v>
      </c>
      <c r="L127" s="14" t="n">
        <v>520491.9022577624</v>
      </c>
      <c r="M127" s="14" t="n">
        <v>0</v>
      </c>
      <c r="N127" s="14" t="n">
        <v>9243.489386225679</v>
      </c>
      <c r="O127" s="14" t="n">
        <v>477921.0555901022</v>
      </c>
      <c r="P127" s="14" t="n">
        <v>9243.489386225679</v>
      </c>
      <c r="Q127" s="14" t="n">
        <v>2506813.549204448</v>
      </c>
      <c r="R127" s="15">
        <f>IF(D127=1,"Section 1","Control")</f>
        <v/>
      </c>
      <c r="S127" s="16">
        <f>N127/10000</f>
        <v/>
      </c>
      <c r="T127" s="16">
        <f>P127/10000</f>
        <v/>
      </c>
      <c r="U127" s="15">
        <f>IF(N127&gt;=Summary!$D$3,1,0)</f>
        <v/>
      </c>
      <c r="V127" s="17">
        <f>IF(N127&gt;0,P127/N127,"")</f>
        <v/>
      </c>
      <c r="W127" s="17">
        <f>IF(O127&gt;0,H127/O127,"")</f>
        <v/>
      </c>
    </row>
    <row r="128">
      <c r="A128" s="13" t="inlineStr">
        <is>
          <t>T05_B3</t>
        </is>
      </c>
      <c r="B128" s="13" t="inlineStr">
        <is>
          <t>T05</t>
        </is>
      </c>
      <c r="C128" s="13" t="inlineStr">
        <is>
          <t>B3</t>
        </is>
      </c>
      <c r="D128" s="13" t="n">
        <v>1</v>
      </c>
      <c r="E128" s="13" t="inlineStr">
        <is>
          <t>S1</t>
        </is>
      </c>
      <c r="F128" s="13" t="n">
        <v>2020</v>
      </c>
      <c r="G128" s="14" t="n">
        <v>7770253.501162422</v>
      </c>
      <c r="H128" s="14" t="n">
        <v>46171.481517328</v>
      </c>
      <c r="I128" s="14" t="n">
        <v>53371.27145098518</v>
      </c>
      <c r="J128" s="14" t="n">
        <v>0</v>
      </c>
      <c r="K128" s="14" t="n">
        <v>1645903.833739516</v>
      </c>
      <c r="L128" s="14" t="n">
        <v>6024806.914454591</v>
      </c>
      <c r="M128" s="14" t="n">
        <v>0</v>
      </c>
      <c r="N128" s="14" t="n">
        <v>46171.481517328</v>
      </c>
      <c r="O128" s="14" t="n">
        <v>1745446.586707829</v>
      </c>
      <c r="P128" s="14" t="n">
        <v>0</v>
      </c>
      <c r="Q128" s="14" t="n">
        <v>7790285.99646391</v>
      </c>
      <c r="R128" s="15">
        <f>IF(D128=1,"Section 1","Control")</f>
        <v/>
      </c>
      <c r="S128" s="16">
        <f>N128/10000</f>
        <v/>
      </c>
      <c r="T128" s="16">
        <f>P128/10000</f>
        <v/>
      </c>
      <c r="U128" s="15">
        <f>IF(N128&gt;=Summary!$D$3,1,0)</f>
        <v/>
      </c>
      <c r="V128" s="17">
        <f>IF(N128&gt;0,P128/N128,"")</f>
        <v/>
      </c>
      <c r="W128" s="17">
        <f>IF(O128&gt;0,H128/O128,"")</f>
        <v/>
      </c>
    </row>
    <row r="129">
      <c r="A129" s="13" t="inlineStr">
        <is>
          <t>T05_B3</t>
        </is>
      </c>
      <c r="B129" s="13" t="inlineStr">
        <is>
          <t>T05</t>
        </is>
      </c>
      <c r="C129" s="13" t="inlineStr">
        <is>
          <t>B3</t>
        </is>
      </c>
      <c r="D129" s="13" t="n">
        <v>1</v>
      </c>
      <c r="E129" s="13" t="inlineStr">
        <is>
          <t>S1</t>
        </is>
      </c>
      <c r="F129" s="13" t="n">
        <v>2021</v>
      </c>
      <c r="G129" s="14" t="n">
        <v>7770253.501162421</v>
      </c>
      <c r="H129" s="14" t="n">
        <v>26733.33798190847</v>
      </c>
      <c r="I129" s="14" t="n">
        <v>41524.65933281394</v>
      </c>
      <c r="J129" s="14" t="n">
        <v>0</v>
      </c>
      <c r="K129" s="14" t="n">
        <v>1686818.007574492</v>
      </c>
      <c r="L129" s="14" t="n">
        <v>6015177.496273206</v>
      </c>
      <c r="M129" s="14" t="n">
        <v>0</v>
      </c>
      <c r="N129" s="14" t="n">
        <v>46171.481517328</v>
      </c>
      <c r="O129" s="14" t="n">
        <v>1745446.586707829</v>
      </c>
      <c r="P129" s="14" t="n">
        <v>22992.00146083458</v>
      </c>
      <c r="Q129" s="14" t="n">
        <v>7790285.99646391</v>
      </c>
      <c r="R129" s="15">
        <f>IF(D129=1,"Section 1","Control")</f>
        <v/>
      </c>
      <c r="S129" s="16">
        <f>N129/10000</f>
        <v/>
      </c>
      <c r="T129" s="16">
        <f>P129/10000</f>
        <v/>
      </c>
      <c r="U129" s="15">
        <f>IF(N129&gt;=Summary!$D$3,1,0)</f>
        <v/>
      </c>
      <c r="V129" s="17">
        <f>IF(N129&gt;0,P129/N129,"")</f>
        <v/>
      </c>
      <c r="W129" s="17">
        <f>IF(O129&gt;0,H129/O129,"")</f>
        <v/>
      </c>
    </row>
    <row r="130">
      <c r="A130" s="13" t="inlineStr">
        <is>
          <t>T05_B3</t>
        </is>
      </c>
      <c r="B130" s="13" t="inlineStr">
        <is>
          <t>T05</t>
        </is>
      </c>
      <c r="C130" s="13" t="inlineStr">
        <is>
          <t>B3</t>
        </is>
      </c>
      <c r="D130" s="13" t="n">
        <v>1</v>
      </c>
      <c r="E130" s="13" t="inlineStr">
        <is>
          <t>S1</t>
        </is>
      </c>
      <c r="F130" s="13" t="n">
        <v>2022</v>
      </c>
      <c r="G130" s="14" t="n">
        <v>7770253.501162422</v>
      </c>
      <c r="H130" s="14" t="n">
        <v>7870.83988608566</v>
      </c>
      <c r="I130" s="14" t="n">
        <v>60192.40891334684</v>
      </c>
      <c r="J130" s="14" t="n">
        <v>0</v>
      </c>
      <c r="K130" s="14" t="n">
        <v>1753661.523682687</v>
      </c>
      <c r="L130" s="14" t="n">
        <v>5948528.7286803</v>
      </c>
      <c r="M130" s="14" t="n">
        <v>0</v>
      </c>
      <c r="N130" s="14" t="n">
        <v>46171.481517328</v>
      </c>
      <c r="O130" s="14" t="n">
        <v>1745446.586707829</v>
      </c>
      <c r="P130" s="14" t="n">
        <v>38991.67749702603</v>
      </c>
      <c r="Q130" s="14" t="n">
        <v>7790285.996463911</v>
      </c>
      <c r="R130" s="15">
        <f>IF(D130=1,"Section 1","Control")</f>
        <v/>
      </c>
      <c r="S130" s="16">
        <f>N130/10000</f>
        <v/>
      </c>
      <c r="T130" s="16">
        <f>P130/10000</f>
        <v/>
      </c>
      <c r="U130" s="15">
        <f>IF(N130&gt;=Summary!$D$3,1,0)</f>
        <v/>
      </c>
      <c r="V130" s="17">
        <f>IF(N130&gt;0,P130/N130,"")</f>
        <v/>
      </c>
      <c r="W130" s="17">
        <f>IF(O130&gt;0,H130/O130,"")</f>
        <v/>
      </c>
    </row>
    <row r="131">
      <c r="A131" s="13" t="inlineStr">
        <is>
          <t>T05_B3</t>
        </is>
      </c>
      <c r="B131" s="13" t="inlineStr">
        <is>
          <t>T05</t>
        </is>
      </c>
      <c r="C131" s="13" t="inlineStr">
        <is>
          <t>B3</t>
        </is>
      </c>
      <c r="D131" s="13" t="n">
        <v>1</v>
      </c>
      <c r="E131" s="13" t="inlineStr">
        <is>
          <t>S1</t>
        </is>
      </c>
      <c r="F131" s="13" t="n">
        <v>2023</v>
      </c>
      <c r="G131" s="14" t="n">
        <v>7770253.501162421</v>
      </c>
      <c r="H131" s="14" t="n">
        <v>8743.022264368394</v>
      </c>
      <c r="I131" s="14" t="n">
        <v>73389.42985579548</v>
      </c>
      <c r="J131" s="14" t="n">
        <v>0</v>
      </c>
      <c r="K131" s="14" t="n">
        <v>1717676.55948244</v>
      </c>
      <c r="L131" s="14" t="n">
        <v>5970444.489559817</v>
      </c>
      <c r="M131" s="14" t="n">
        <v>0</v>
      </c>
      <c r="N131" s="14" t="n">
        <v>46171.481517328</v>
      </c>
      <c r="O131" s="14" t="n">
        <v>1745446.586707829</v>
      </c>
      <c r="P131" s="14" t="n">
        <v>39501.53776705873</v>
      </c>
      <c r="Q131" s="14" t="n">
        <v>7790285.99646391</v>
      </c>
      <c r="R131" s="15">
        <f>IF(D131=1,"Section 1","Control")</f>
        <v/>
      </c>
      <c r="S131" s="16">
        <f>N131/10000</f>
        <v/>
      </c>
      <c r="T131" s="16">
        <f>P131/10000</f>
        <v/>
      </c>
      <c r="U131" s="15">
        <f>IF(N131&gt;=Summary!$D$3,1,0)</f>
        <v/>
      </c>
      <c r="V131" s="17">
        <f>IF(N131&gt;0,P131/N131,"")</f>
        <v/>
      </c>
      <c r="W131" s="17">
        <f>IF(O131&gt;0,H131/O131,"")</f>
        <v/>
      </c>
    </row>
    <row r="132">
      <c r="A132" s="13" t="inlineStr">
        <is>
          <t>T05_B3</t>
        </is>
      </c>
      <c r="B132" s="13" t="inlineStr">
        <is>
          <t>T05</t>
        </is>
      </c>
      <c r="C132" s="13" t="inlineStr">
        <is>
          <t>B3</t>
        </is>
      </c>
      <c r="D132" s="13" t="n">
        <v>1</v>
      </c>
      <c r="E132" s="13" t="inlineStr">
        <is>
          <t>S1</t>
        </is>
      </c>
      <c r="F132" s="13" t="n">
        <v>2024</v>
      </c>
      <c r="G132" s="14" t="n">
        <v>7770253.501162421</v>
      </c>
      <c r="H132" s="14" t="n">
        <v>11469.56891009761</v>
      </c>
      <c r="I132" s="14" t="n">
        <v>95660.39030743769</v>
      </c>
      <c r="J132" s="14" t="n">
        <v>0</v>
      </c>
      <c r="K132" s="14" t="n">
        <v>1736590.019036566</v>
      </c>
      <c r="L132" s="14" t="n">
        <v>5926533.522908319</v>
      </c>
      <c r="M132" s="14" t="n">
        <v>0</v>
      </c>
      <c r="N132" s="14" t="n">
        <v>46171.481517328</v>
      </c>
      <c r="O132" s="14" t="n">
        <v>1745446.586707829</v>
      </c>
      <c r="P132" s="14" t="n">
        <v>39668.00459579767</v>
      </c>
      <c r="Q132" s="14" t="n">
        <v>7790285.99646391</v>
      </c>
      <c r="R132" s="15">
        <f>IF(D132=1,"Section 1","Control")</f>
        <v/>
      </c>
      <c r="S132" s="16">
        <f>N132/10000</f>
        <v/>
      </c>
      <c r="T132" s="16">
        <f>P132/10000</f>
        <v/>
      </c>
      <c r="U132" s="15">
        <f>IF(N132&gt;=Summary!$D$3,1,0)</f>
        <v/>
      </c>
      <c r="V132" s="17">
        <f>IF(N132&gt;0,P132/N132,"")</f>
        <v/>
      </c>
      <c r="W132" s="17">
        <f>IF(O132&gt;0,H132/O132,"")</f>
        <v/>
      </c>
    </row>
    <row r="133">
      <c r="A133" s="13" t="inlineStr">
        <is>
          <t>T05_B3</t>
        </is>
      </c>
      <c r="B133" s="13" t="inlineStr">
        <is>
          <t>T05</t>
        </is>
      </c>
      <c r="C133" s="13" t="inlineStr">
        <is>
          <t>B3</t>
        </is>
      </c>
      <c r="D133" s="13" t="n">
        <v>1</v>
      </c>
      <c r="E133" s="13" t="inlineStr">
        <is>
          <t>S1</t>
        </is>
      </c>
      <c r="F133" s="13" t="n">
        <v>2025</v>
      </c>
      <c r="G133" s="14" t="n">
        <v>7770253.501162422</v>
      </c>
      <c r="H133" s="14" t="n">
        <v>16995.03861909754</v>
      </c>
      <c r="I133" s="14" t="n">
        <v>103615.3946477554</v>
      </c>
      <c r="J133" s="14" t="n">
        <v>0</v>
      </c>
      <c r="K133" s="14" t="n">
        <v>1740389.83066855</v>
      </c>
      <c r="L133" s="14" t="n">
        <v>5909253.237227018</v>
      </c>
      <c r="M133" s="14" t="n">
        <v>0</v>
      </c>
      <c r="N133" s="14" t="n">
        <v>46171.481517328</v>
      </c>
      <c r="O133" s="14" t="n">
        <v>1745446.586707829</v>
      </c>
      <c r="P133" s="14" t="n">
        <v>38810.50163424623</v>
      </c>
      <c r="Q133" s="14" t="n">
        <v>7790285.99646391</v>
      </c>
      <c r="R133" s="15">
        <f>IF(D133=1,"Section 1","Control")</f>
        <v/>
      </c>
      <c r="S133" s="16">
        <f>N133/10000</f>
        <v/>
      </c>
      <c r="T133" s="16">
        <f>P133/10000</f>
        <v/>
      </c>
      <c r="U133" s="15">
        <f>IF(N133&gt;=Summary!$D$3,1,0)</f>
        <v/>
      </c>
      <c r="V133" s="17">
        <f>IF(N133&gt;0,P133/N133,"")</f>
        <v/>
      </c>
      <c r="W133" s="17">
        <f>IF(O133&gt;0,H133/O133,"")</f>
        <v/>
      </c>
    </row>
    <row r="134">
      <c r="A134" s="13" t="inlineStr">
        <is>
          <t>T05_B3</t>
        </is>
      </c>
      <c r="B134" s="13" t="inlineStr">
        <is>
          <t>T05</t>
        </is>
      </c>
      <c r="C134" s="13" t="inlineStr">
        <is>
          <t>B3</t>
        </is>
      </c>
      <c r="D134" s="13" t="n">
        <v>1</v>
      </c>
      <c r="E134" s="13" t="inlineStr">
        <is>
          <t>S1</t>
        </is>
      </c>
      <c r="F134" s="13" t="n">
        <v>2026</v>
      </c>
      <c r="G134" s="14" t="n">
        <v>7770253.501162422</v>
      </c>
      <c r="H134" s="14" t="n">
        <v>26476.55755513509</v>
      </c>
      <c r="I134" s="14" t="n">
        <v>129789.6536284204</v>
      </c>
      <c r="J134" s="14" t="n">
        <v>0</v>
      </c>
      <c r="K134" s="14" t="n">
        <v>1739677.959299423</v>
      </c>
      <c r="L134" s="14" t="n">
        <v>5874309.330679441</v>
      </c>
      <c r="M134" s="14" t="n">
        <v>0</v>
      </c>
      <c r="N134" s="14" t="n">
        <v>46171.481517328</v>
      </c>
      <c r="O134" s="14" t="n">
        <v>1745446.586707829</v>
      </c>
      <c r="P134" s="14" t="n">
        <v>38582.09096817316</v>
      </c>
      <c r="Q134" s="14" t="n">
        <v>7790285.996463911</v>
      </c>
      <c r="R134" s="15">
        <f>IF(D134=1,"Section 1","Control")</f>
        <v/>
      </c>
      <c r="S134" s="16">
        <f>N134/10000</f>
        <v/>
      </c>
      <c r="T134" s="16">
        <f>P134/10000</f>
        <v/>
      </c>
      <c r="U134" s="15">
        <f>IF(N134&gt;=Summary!$D$3,1,0)</f>
        <v/>
      </c>
      <c r="V134" s="17">
        <f>IF(N134&gt;0,P134/N134,"")</f>
        <v/>
      </c>
      <c r="W134" s="17">
        <f>IF(O134&gt;0,H134/O134,"")</f>
        <v/>
      </c>
    </row>
    <row r="135">
      <c r="A135" s="13" t="inlineStr">
        <is>
          <t>T05_F</t>
        </is>
      </c>
      <c r="B135" s="13" t="inlineStr">
        <is>
          <t>T05</t>
        </is>
      </c>
      <c r="C135" s="13" t="inlineStr">
        <is>
          <t>F</t>
        </is>
      </c>
      <c r="D135" s="13" t="n">
        <v>1</v>
      </c>
      <c r="E135" s="13" t="inlineStr">
        <is>
          <t>S1</t>
        </is>
      </c>
      <c r="F135" s="13" t="n">
        <v>2020</v>
      </c>
      <c r="G135" s="14" t="n">
        <v>31318.53794597552</v>
      </c>
      <c r="H135" s="14" t="n">
        <v>147.8911648619409</v>
      </c>
      <c r="I135" s="14" t="n">
        <v>4375.190024372176</v>
      </c>
      <c r="J135" s="14" t="n">
        <v>949.6826490215226</v>
      </c>
      <c r="K135" s="14" t="n">
        <v>20107.79736106723</v>
      </c>
      <c r="L135" s="14" t="n">
        <v>5737.976746652641</v>
      </c>
      <c r="M135" s="14" t="n">
        <v>0</v>
      </c>
      <c r="N135" s="14" t="n">
        <v>147.8911648619409</v>
      </c>
      <c r="O135" s="14" t="n">
        <v>25580.56119932288</v>
      </c>
      <c r="P135" s="14" t="n">
        <v>0</v>
      </c>
      <c r="Q135" s="14" t="n">
        <v>166974.4946821924</v>
      </c>
      <c r="R135" s="15">
        <f>IF(D135=1,"Section 1","Control")</f>
        <v/>
      </c>
      <c r="S135" s="16">
        <f>N135/10000</f>
        <v/>
      </c>
      <c r="T135" s="16">
        <f>P135/10000</f>
        <v/>
      </c>
      <c r="U135" s="15">
        <f>IF(N135&gt;=Summary!$D$3,1,0)</f>
        <v/>
      </c>
      <c r="V135" s="17">
        <f>IF(N135&gt;0,P135/N135,"")</f>
        <v/>
      </c>
      <c r="W135" s="17">
        <f>IF(O135&gt;0,H135/O135,"")</f>
        <v/>
      </c>
    </row>
    <row r="136">
      <c r="A136" s="13" t="inlineStr">
        <is>
          <t>T05_F</t>
        </is>
      </c>
      <c r="B136" s="13" t="inlineStr">
        <is>
          <t>T05</t>
        </is>
      </c>
      <c r="C136" s="13" t="inlineStr">
        <is>
          <t>F</t>
        </is>
      </c>
      <c r="D136" s="13" t="n">
        <v>1</v>
      </c>
      <c r="E136" s="13" t="inlineStr">
        <is>
          <t>S1</t>
        </is>
      </c>
      <c r="F136" s="13" t="n">
        <v>2021</v>
      </c>
      <c r="G136" s="14" t="n">
        <v>31318.53794597552</v>
      </c>
      <c r="H136" s="14" t="n">
        <v>0</v>
      </c>
      <c r="I136" s="14" t="n">
        <v>3391.826379274856</v>
      </c>
      <c r="J136" s="14" t="n">
        <v>978.331849042107</v>
      </c>
      <c r="K136" s="14" t="n">
        <v>21462.05164367078</v>
      </c>
      <c r="L136" s="14" t="n">
        <v>5486.328073987774</v>
      </c>
      <c r="M136" s="14" t="n">
        <v>0</v>
      </c>
      <c r="N136" s="14" t="n">
        <v>147.8911648619409</v>
      </c>
      <c r="O136" s="14" t="n">
        <v>25580.56119932288</v>
      </c>
      <c r="P136" s="14" t="n">
        <v>147.8911648619409</v>
      </c>
      <c r="Q136" s="14" t="n">
        <v>166974.4946821924</v>
      </c>
      <c r="R136" s="15">
        <f>IF(D136=1,"Section 1","Control")</f>
        <v/>
      </c>
      <c r="S136" s="16">
        <f>N136/10000</f>
        <v/>
      </c>
      <c r="T136" s="16">
        <f>P136/10000</f>
        <v/>
      </c>
      <c r="U136" s="15">
        <f>IF(N136&gt;=Summary!$D$3,1,0)</f>
        <v/>
      </c>
      <c r="V136" s="17">
        <f>IF(N136&gt;0,P136/N136,"")</f>
        <v/>
      </c>
      <c r="W136" s="17">
        <f>IF(O136&gt;0,H136/O136,"")</f>
        <v/>
      </c>
    </row>
    <row r="137">
      <c r="A137" s="13" t="inlineStr">
        <is>
          <t>T05_F</t>
        </is>
      </c>
      <c r="B137" s="13" t="inlineStr">
        <is>
          <t>T05</t>
        </is>
      </c>
      <c r="C137" s="13" t="inlineStr">
        <is>
          <t>F</t>
        </is>
      </c>
      <c r="D137" s="13" t="n">
        <v>1</v>
      </c>
      <c r="E137" s="13" t="inlineStr">
        <is>
          <t>S1</t>
        </is>
      </c>
      <c r="F137" s="13" t="n">
        <v>2022</v>
      </c>
      <c r="G137" s="14" t="n">
        <v>31318.53794597552</v>
      </c>
      <c r="H137" s="14" t="n">
        <v>0</v>
      </c>
      <c r="I137" s="14" t="n">
        <v>2614.426458979588</v>
      </c>
      <c r="J137" s="14" t="n">
        <v>978.331849042107</v>
      </c>
      <c r="K137" s="14" t="n">
        <v>23860.4560696471</v>
      </c>
      <c r="L137" s="14" t="n">
        <v>3865.323568306717</v>
      </c>
      <c r="M137" s="14" t="n">
        <v>0</v>
      </c>
      <c r="N137" s="14" t="n">
        <v>147.8911648619409</v>
      </c>
      <c r="O137" s="14" t="n">
        <v>25580.56119932288</v>
      </c>
      <c r="P137" s="14" t="n">
        <v>147.8911648619409</v>
      </c>
      <c r="Q137" s="14" t="n">
        <v>166974.4946821924</v>
      </c>
      <c r="R137" s="15">
        <f>IF(D137=1,"Section 1","Control")</f>
        <v/>
      </c>
      <c r="S137" s="16">
        <f>N137/10000</f>
        <v/>
      </c>
      <c r="T137" s="16">
        <f>P137/10000</f>
        <v/>
      </c>
      <c r="U137" s="15">
        <f>IF(N137&gt;=Summary!$D$3,1,0)</f>
        <v/>
      </c>
      <c r="V137" s="17">
        <f>IF(N137&gt;0,P137/N137,"")</f>
        <v/>
      </c>
      <c r="W137" s="17">
        <f>IF(O137&gt;0,H137/O137,"")</f>
        <v/>
      </c>
    </row>
    <row r="138">
      <c r="A138" s="13" t="inlineStr">
        <is>
          <t>T05_F</t>
        </is>
      </c>
      <c r="B138" s="13" t="inlineStr">
        <is>
          <t>T05</t>
        </is>
      </c>
      <c r="C138" s="13" t="inlineStr">
        <is>
          <t>F</t>
        </is>
      </c>
      <c r="D138" s="13" t="n">
        <v>1</v>
      </c>
      <c r="E138" s="13" t="inlineStr">
        <is>
          <t>S1</t>
        </is>
      </c>
      <c r="F138" s="13" t="n">
        <v>2023</v>
      </c>
      <c r="G138" s="14" t="n">
        <v>31318.53794597552</v>
      </c>
      <c r="H138" s="14" t="n">
        <v>0</v>
      </c>
      <c r="I138" s="14" t="n">
        <v>2295.02792597752</v>
      </c>
      <c r="J138" s="14" t="n">
        <v>978.331849042107</v>
      </c>
      <c r="K138" s="14" t="n">
        <v>22179.82856657739</v>
      </c>
      <c r="L138" s="14" t="n">
        <v>5865.349604378494</v>
      </c>
      <c r="M138" s="14" t="n">
        <v>0</v>
      </c>
      <c r="N138" s="14" t="n">
        <v>147.8911648619409</v>
      </c>
      <c r="O138" s="14" t="n">
        <v>25580.56119932288</v>
      </c>
      <c r="P138" s="14" t="n">
        <v>147.8911648619409</v>
      </c>
      <c r="Q138" s="14" t="n">
        <v>166974.4946821924</v>
      </c>
      <c r="R138" s="15">
        <f>IF(D138=1,"Section 1","Control")</f>
        <v/>
      </c>
      <c r="S138" s="16">
        <f>N138/10000</f>
        <v/>
      </c>
      <c r="T138" s="16">
        <f>P138/10000</f>
        <v/>
      </c>
      <c r="U138" s="15">
        <f>IF(N138&gt;=Summary!$D$3,1,0)</f>
        <v/>
      </c>
      <c r="V138" s="17">
        <f>IF(N138&gt;0,P138/N138,"")</f>
        <v/>
      </c>
      <c r="W138" s="17">
        <f>IF(O138&gt;0,H138/O138,"")</f>
        <v/>
      </c>
    </row>
    <row r="139">
      <c r="A139" s="13" t="inlineStr">
        <is>
          <t>T05_F</t>
        </is>
      </c>
      <c r="B139" s="13" t="inlineStr">
        <is>
          <t>T05</t>
        </is>
      </c>
      <c r="C139" s="13" t="inlineStr">
        <is>
          <t>F</t>
        </is>
      </c>
      <c r="D139" s="13" t="n">
        <v>1</v>
      </c>
      <c r="E139" s="13" t="inlineStr">
        <is>
          <t>S1</t>
        </is>
      </c>
      <c r="F139" s="13" t="n">
        <v>2024</v>
      </c>
      <c r="G139" s="14" t="n">
        <v>31318.53794597552</v>
      </c>
      <c r="H139" s="14" t="n">
        <v>0</v>
      </c>
      <c r="I139" s="14" t="n">
        <v>2476.987741447897</v>
      </c>
      <c r="J139" s="14" t="n">
        <v>795.5963122199564</v>
      </c>
      <c r="K139" s="14" t="n">
        <v>21959.92787125532</v>
      </c>
      <c r="L139" s="14" t="n">
        <v>6086.026021052341</v>
      </c>
      <c r="M139" s="14" t="n">
        <v>0</v>
      </c>
      <c r="N139" s="14" t="n">
        <v>147.8911648619409</v>
      </c>
      <c r="O139" s="14" t="n">
        <v>25580.56119932288</v>
      </c>
      <c r="P139" s="14" t="n">
        <v>147.8911648619409</v>
      </c>
      <c r="Q139" s="14" t="n">
        <v>166974.4946821924</v>
      </c>
      <c r="R139" s="15">
        <f>IF(D139=1,"Section 1","Control")</f>
        <v/>
      </c>
      <c r="S139" s="16">
        <f>N139/10000</f>
        <v/>
      </c>
      <c r="T139" s="16">
        <f>P139/10000</f>
        <v/>
      </c>
      <c r="U139" s="15">
        <f>IF(N139&gt;=Summary!$D$3,1,0)</f>
        <v/>
      </c>
      <c r="V139" s="17">
        <f>IF(N139&gt;0,P139/N139,"")</f>
        <v/>
      </c>
      <c r="W139" s="17">
        <f>IF(O139&gt;0,H139/O139,"")</f>
        <v/>
      </c>
    </row>
    <row r="140">
      <c r="A140" s="13" t="inlineStr">
        <is>
          <t>T05_F</t>
        </is>
      </c>
      <c r="B140" s="13" t="inlineStr">
        <is>
          <t>T05</t>
        </is>
      </c>
      <c r="C140" s="13" t="inlineStr">
        <is>
          <t>F</t>
        </is>
      </c>
      <c r="D140" s="13" t="n">
        <v>1</v>
      </c>
      <c r="E140" s="13" t="inlineStr">
        <is>
          <t>S1</t>
        </is>
      </c>
      <c r="F140" s="13" t="n">
        <v>2025</v>
      </c>
      <c r="G140" s="14" t="n">
        <v>31318.53794597552</v>
      </c>
      <c r="H140" s="14" t="n">
        <v>0</v>
      </c>
      <c r="I140" s="14" t="n">
        <v>12657.12535394407</v>
      </c>
      <c r="J140" s="14" t="n">
        <v>253.5841874664905</v>
      </c>
      <c r="K140" s="14" t="n">
        <v>18407.82840456496</v>
      </c>
      <c r="L140" s="14" t="n">
        <v>0</v>
      </c>
      <c r="M140" s="14" t="n">
        <v>0</v>
      </c>
      <c r="N140" s="14" t="n">
        <v>147.8911648619409</v>
      </c>
      <c r="O140" s="14" t="n">
        <v>25580.56119932288</v>
      </c>
      <c r="P140" s="14" t="n">
        <v>147.8911648619409</v>
      </c>
      <c r="Q140" s="14" t="n">
        <v>166974.4946821924</v>
      </c>
      <c r="R140" s="15">
        <f>IF(D140=1,"Section 1","Control")</f>
        <v/>
      </c>
      <c r="S140" s="16">
        <f>N140/10000</f>
        <v/>
      </c>
      <c r="T140" s="16">
        <f>P140/10000</f>
        <v/>
      </c>
      <c r="U140" s="15">
        <f>IF(N140&gt;=Summary!$D$3,1,0)</f>
        <v/>
      </c>
      <c r="V140" s="17">
        <f>IF(N140&gt;0,P140/N140,"")</f>
        <v/>
      </c>
      <c r="W140" s="17">
        <f>IF(O140&gt;0,H140/O140,"")</f>
        <v/>
      </c>
    </row>
    <row r="141">
      <c r="A141" s="13" t="inlineStr">
        <is>
          <t>T05_F</t>
        </is>
      </c>
      <c r="B141" s="13" t="inlineStr">
        <is>
          <t>T05</t>
        </is>
      </c>
      <c r="C141" s="13" t="inlineStr">
        <is>
          <t>F</t>
        </is>
      </c>
      <c r="D141" s="13" t="n">
        <v>1</v>
      </c>
      <c r="E141" s="13" t="inlineStr">
        <is>
          <t>S1</t>
        </is>
      </c>
      <c r="F141" s="13" t="n">
        <v>2026</v>
      </c>
      <c r="G141" s="14" t="n">
        <v>31318.53794597552</v>
      </c>
      <c r="H141" s="14" t="n">
        <v>0</v>
      </c>
      <c r="I141" s="14" t="n">
        <v>4899.004917638443</v>
      </c>
      <c r="J141" s="14" t="n">
        <v>0</v>
      </c>
      <c r="K141" s="14" t="n">
        <v>26419.53302833706</v>
      </c>
      <c r="L141" s="14" t="n">
        <v>0</v>
      </c>
      <c r="M141" s="14" t="n">
        <v>0</v>
      </c>
      <c r="N141" s="14" t="n">
        <v>147.8911648619409</v>
      </c>
      <c r="O141" s="14" t="n">
        <v>25580.56119932288</v>
      </c>
      <c r="P141" s="14" t="n">
        <v>147.8911648619409</v>
      </c>
      <c r="Q141" s="14" t="n">
        <v>166974.4946821924</v>
      </c>
      <c r="R141" s="15">
        <f>IF(D141=1,"Section 1","Control")</f>
        <v/>
      </c>
      <c r="S141" s="16">
        <f>N141/10000</f>
        <v/>
      </c>
      <c r="T141" s="16">
        <f>P141/10000</f>
        <v/>
      </c>
      <c r="U141" s="15">
        <f>IF(N141&gt;=Summary!$D$3,1,0)</f>
        <v/>
      </c>
      <c r="V141" s="17">
        <f>IF(N141&gt;0,P141/N141,"")</f>
        <v/>
      </c>
      <c r="W141" s="17">
        <f>IF(O141&gt;0,H141/O141,"")</f>
        <v/>
      </c>
    </row>
    <row r="142">
      <c r="A142" s="13" t="inlineStr">
        <is>
          <t>T06_B1</t>
        </is>
      </c>
      <c r="B142" s="13" t="inlineStr">
        <is>
          <t>T06</t>
        </is>
      </c>
      <c r="C142" s="13" t="inlineStr">
        <is>
          <t>B1</t>
        </is>
      </c>
      <c r="D142" s="13" t="n">
        <v>1</v>
      </c>
      <c r="E142" s="13" t="inlineStr">
        <is>
          <t>S1</t>
        </is>
      </c>
      <c r="F142" s="13" t="n">
        <v>2020</v>
      </c>
      <c r="G142" s="14" t="n">
        <v>1004509.443694081</v>
      </c>
      <c r="H142" s="14" t="n">
        <v>3554.024887084961</v>
      </c>
      <c r="I142" s="14" t="n">
        <v>112638.1270406686</v>
      </c>
      <c r="J142" s="14" t="n">
        <v>26015.82726278866</v>
      </c>
      <c r="K142" s="14" t="n">
        <v>771711.5601776423</v>
      </c>
      <c r="L142" s="14" t="n">
        <v>90589.90432589664</v>
      </c>
      <c r="M142" s="14" t="n">
        <v>0</v>
      </c>
      <c r="N142" s="14" t="n">
        <v>3554.024887084961</v>
      </c>
      <c r="O142" s="14" t="n">
        <v>913919.5393681844</v>
      </c>
      <c r="P142" s="14" t="n">
        <v>0</v>
      </c>
      <c r="Q142" s="14" t="n">
        <v>5688594.705260423</v>
      </c>
      <c r="R142" s="15">
        <f>IF(D142=1,"Section 1","Control")</f>
        <v/>
      </c>
      <c r="S142" s="16">
        <f>N142/10000</f>
        <v/>
      </c>
      <c r="T142" s="16">
        <f>P142/10000</f>
        <v/>
      </c>
      <c r="U142" s="15">
        <f>IF(N142&gt;=Summary!$D$3,1,0)</f>
        <v/>
      </c>
      <c r="V142" s="17">
        <f>IF(N142&gt;0,P142/N142,"")</f>
        <v/>
      </c>
      <c r="W142" s="17">
        <f>IF(O142&gt;0,H142/O142,"")</f>
        <v/>
      </c>
    </row>
    <row r="143">
      <c r="A143" s="13" t="inlineStr">
        <is>
          <t>T06_B1</t>
        </is>
      </c>
      <c r="B143" s="13" t="inlineStr">
        <is>
          <t>T06</t>
        </is>
      </c>
      <c r="C143" s="13" t="inlineStr">
        <is>
          <t>B1</t>
        </is>
      </c>
      <c r="D143" s="13" t="n">
        <v>1</v>
      </c>
      <c r="E143" s="13" t="inlineStr">
        <is>
          <t>S1</t>
        </is>
      </c>
      <c r="F143" s="13" t="n">
        <v>2021</v>
      </c>
      <c r="G143" s="14" t="n">
        <v>1004509.443694081</v>
      </c>
      <c r="H143" s="14" t="n">
        <v>5331.05005645752</v>
      </c>
      <c r="I143" s="14" t="n">
        <v>107731.0458465277</v>
      </c>
      <c r="J143" s="14" t="n">
        <v>25606.22154944925</v>
      </c>
      <c r="K143" s="14" t="n">
        <v>773140.0808799894</v>
      </c>
      <c r="L143" s="14" t="n">
        <v>92701.04536165723</v>
      </c>
      <c r="M143" s="14" t="n">
        <v>0</v>
      </c>
      <c r="N143" s="14" t="n">
        <v>3554.024887084961</v>
      </c>
      <c r="O143" s="14" t="n">
        <v>913919.5393681844</v>
      </c>
      <c r="P143" s="14" t="n">
        <v>197.4452972412109</v>
      </c>
      <c r="Q143" s="14" t="n">
        <v>5688594.705260423</v>
      </c>
      <c r="R143" s="15">
        <f>IF(D143=1,"Section 1","Control")</f>
        <v/>
      </c>
      <c r="S143" s="16">
        <f>N143/10000</f>
        <v/>
      </c>
      <c r="T143" s="16">
        <f>P143/10000</f>
        <v/>
      </c>
      <c r="U143" s="15">
        <f>IF(N143&gt;=Summary!$D$3,1,0)</f>
        <v/>
      </c>
      <c r="V143" s="17">
        <f>IF(N143&gt;0,P143/N143,"")</f>
        <v/>
      </c>
      <c r="W143" s="17">
        <f>IF(O143&gt;0,H143/O143,"")</f>
        <v/>
      </c>
    </row>
    <row r="144">
      <c r="A144" s="13" t="inlineStr">
        <is>
          <t>T06_B1</t>
        </is>
      </c>
      <c r="B144" s="13" t="inlineStr">
        <is>
          <t>T06</t>
        </is>
      </c>
      <c r="C144" s="13" t="inlineStr">
        <is>
          <t>B1</t>
        </is>
      </c>
      <c r="D144" s="13" t="n">
        <v>1</v>
      </c>
      <c r="E144" s="13" t="inlineStr">
        <is>
          <t>S1</t>
        </is>
      </c>
      <c r="F144" s="13" t="n">
        <v>2022</v>
      </c>
      <c r="G144" s="14" t="n">
        <v>1004509.443694081</v>
      </c>
      <c r="H144" s="14" t="n">
        <v>1579.566825866699</v>
      </c>
      <c r="I144" s="14" t="n">
        <v>115181.3833777334</v>
      </c>
      <c r="J144" s="14" t="n">
        <v>25324.76190176572</v>
      </c>
      <c r="K144" s="14" t="n">
        <v>784092.6253896975</v>
      </c>
      <c r="L144" s="14" t="n">
        <v>78331.1061990177</v>
      </c>
      <c r="M144" s="14" t="n">
        <v>0</v>
      </c>
      <c r="N144" s="14" t="n">
        <v>3554.024887084961</v>
      </c>
      <c r="O144" s="14" t="n">
        <v>913919.5393681844</v>
      </c>
      <c r="P144" s="14" t="n">
        <v>2171.904205322266</v>
      </c>
      <c r="Q144" s="14" t="n">
        <v>5688594.705260423</v>
      </c>
      <c r="R144" s="15">
        <f>IF(D144=1,"Section 1","Control")</f>
        <v/>
      </c>
      <c r="S144" s="16">
        <f>N144/10000</f>
        <v/>
      </c>
      <c r="T144" s="16">
        <f>P144/10000</f>
        <v/>
      </c>
      <c r="U144" s="15">
        <f>IF(N144&gt;=Summary!$D$3,1,0)</f>
        <v/>
      </c>
      <c r="V144" s="17">
        <f>IF(N144&gt;0,P144/N144,"")</f>
        <v/>
      </c>
      <c r="W144" s="17">
        <f>IF(O144&gt;0,H144/O144,"")</f>
        <v/>
      </c>
    </row>
    <row r="145">
      <c r="A145" s="13" t="inlineStr">
        <is>
          <t>T06_B1</t>
        </is>
      </c>
      <c r="B145" s="13" t="inlineStr">
        <is>
          <t>T06</t>
        </is>
      </c>
      <c r="C145" s="13" t="inlineStr">
        <is>
          <t>B1</t>
        </is>
      </c>
      <c r="D145" s="13" t="n">
        <v>1</v>
      </c>
      <c r="E145" s="13" t="inlineStr">
        <is>
          <t>S1</t>
        </is>
      </c>
      <c r="F145" s="13" t="n">
        <v>2023</v>
      </c>
      <c r="G145" s="14" t="n">
        <v>1004509.443694081</v>
      </c>
      <c r="H145" s="14" t="n">
        <v>1777.011573791504</v>
      </c>
      <c r="I145" s="14" t="n">
        <v>107101.1357361438</v>
      </c>
      <c r="J145" s="14" t="n">
        <v>27101.78829947079</v>
      </c>
      <c r="K145" s="14" t="n">
        <v>776324.4042826334</v>
      </c>
      <c r="L145" s="14" t="n">
        <v>92205.10380204146</v>
      </c>
      <c r="M145" s="14" t="n">
        <v>0</v>
      </c>
      <c r="N145" s="14" t="n">
        <v>3554.024887084961</v>
      </c>
      <c r="O145" s="14" t="n">
        <v>913919.5393681844</v>
      </c>
      <c r="P145" s="14" t="n">
        <v>2270.626716613769</v>
      </c>
      <c r="Q145" s="14" t="n">
        <v>5688594.705260423</v>
      </c>
      <c r="R145" s="15">
        <f>IF(D145=1,"Section 1","Control")</f>
        <v/>
      </c>
      <c r="S145" s="16">
        <f>N145/10000</f>
        <v/>
      </c>
      <c r="T145" s="16">
        <f>P145/10000</f>
        <v/>
      </c>
      <c r="U145" s="15">
        <f>IF(N145&gt;=Summary!$D$3,1,0)</f>
        <v/>
      </c>
      <c r="V145" s="17">
        <f>IF(N145&gt;0,P145/N145,"")</f>
        <v/>
      </c>
      <c r="W145" s="17">
        <f>IF(O145&gt;0,H145/O145,"")</f>
        <v/>
      </c>
    </row>
    <row r="146">
      <c r="A146" s="13" t="inlineStr">
        <is>
          <t>T06_B1</t>
        </is>
      </c>
      <c r="B146" s="13" t="inlineStr">
        <is>
          <t>T06</t>
        </is>
      </c>
      <c r="C146" s="13" t="inlineStr">
        <is>
          <t>B1</t>
        </is>
      </c>
      <c r="D146" s="13" t="n">
        <v>1</v>
      </c>
      <c r="E146" s="13" t="inlineStr">
        <is>
          <t>S1</t>
        </is>
      </c>
      <c r="F146" s="13" t="n">
        <v>2024</v>
      </c>
      <c r="G146" s="14" t="n">
        <v>1004509.443694081</v>
      </c>
      <c r="H146" s="14" t="n">
        <v>1974.461219787598</v>
      </c>
      <c r="I146" s="14" t="n">
        <v>106919.911369593</v>
      </c>
      <c r="J146" s="14" t="n">
        <v>27117.66159072577</v>
      </c>
      <c r="K146" s="14" t="n">
        <v>777611.3363343184</v>
      </c>
      <c r="L146" s="14" t="n">
        <v>90886.07317965641</v>
      </c>
      <c r="M146" s="14" t="n">
        <v>0</v>
      </c>
      <c r="N146" s="14" t="n">
        <v>3554.024887084961</v>
      </c>
      <c r="O146" s="14" t="n">
        <v>913919.5393681844</v>
      </c>
      <c r="P146" s="14" t="n">
        <v>2270.626716613769</v>
      </c>
      <c r="Q146" s="14" t="n">
        <v>5688594.705260423</v>
      </c>
      <c r="R146" s="15">
        <f>IF(D146=1,"Section 1","Control")</f>
        <v/>
      </c>
      <c r="S146" s="16">
        <f>N146/10000</f>
        <v/>
      </c>
      <c r="T146" s="16">
        <f>P146/10000</f>
        <v/>
      </c>
      <c r="U146" s="15">
        <f>IF(N146&gt;=Summary!$D$3,1,0)</f>
        <v/>
      </c>
      <c r="V146" s="17">
        <f>IF(N146&gt;0,P146/N146,"")</f>
        <v/>
      </c>
      <c r="W146" s="17">
        <f>IF(O146&gt;0,H146/O146,"")</f>
        <v/>
      </c>
    </row>
    <row r="147">
      <c r="A147" s="13" t="inlineStr">
        <is>
          <t>T06_B1</t>
        </is>
      </c>
      <c r="B147" s="13" t="inlineStr">
        <is>
          <t>T06</t>
        </is>
      </c>
      <c r="C147" s="13" t="inlineStr">
        <is>
          <t>B1</t>
        </is>
      </c>
      <c r="D147" s="13" t="n">
        <v>1</v>
      </c>
      <c r="E147" s="13" t="inlineStr">
        <is>
          <t>S1</t>
        </is>
      </c>
      <c r="F147" s="13" t="n">
        <v>2025</v>
      </c>
      <c r="G147" s="14" t="n">
        <v>1004509.443694081</v>
      </c>
      <c r="H147" s="14" t="n">
        <v>2073.18384552002</v>
      </c>
      <c r="I147" s="14" t="n">
        <v>112069.0196606505</v>
      </c>
      <c r="J147" s="14" t="n">
        <v>27512.55665603338</v>
      </c>
      <c r="K147" s="14" t="n">
        <v>762836.4570975511</v>
      </c>
      <c r="L147" s="14" t="n">
        <v>100018.2264343262</v>
      </c>
      <c r="M147" s="14" t="n">
        <v>0</v>
      </c>
      <c r="N147" s="14" t="n">
        <v>3554.024887084961</v>
      </c>
      <c r="O147" s="14" t="n">
        <v>913919.5393681844</v>
      </c>
      <c r="P147" s="14" t="n">
        <v>2566.796722412109</v>
      </c>
      <c r="Q147" s="14" t="n">
        <v>5688594.705260423</v>
      </c>
      <c r="R147" s="15">
        <f>IF(D147=1,"Section 1","Control")</f>
        <v/>
      </c>
      <c r="S147" s="16">
        <f>N147/10000</f>
        <v/>
      </c>
      <c r="T147" s="16">
        <f>P147/10000</f>
        <v/>
      </c>
      <c r="U147" s="15">
        <f>IF(N147&gt;=Summary!$D$3,1,0)</f>
        <v/>
      </c>
      <c r="V147" s="17">
        <f>IF(N147&gt;0,P147/N147,"")</f>
        <v/>
      </c>
      <c r="W147" s="17">
        <f>IF(O147&gt;0,H147/O147,"")</f>
        <v/>
      </c>
    </row>
    <row r="148">
      <c r="A148" s="13" t="inlineStr">
        <is>
          <t>T06_B1</t>
        </is>
      </c>
      <c r="B148" s="13" t="inlineStr">
        <is>
          <t>T06</t>
        </is>
      </c>
      <c r="C148" s="13" t="inlineStr">
        <is>
          <t>B1</t>
        </is>
      </c>
      <c r="D148" s="13" t="n">
        <v>1</v>
      </c>
      <c r="E148" s="13" t="inlineStr">
        <is>
          <t>S1</t>
        </is>
      </c>
      <c r="F148" s="13" t="n">
        <v>2026</v>
      </c>
      <c r="G148" s="14" t="n">
        <v>1004509.443694081</v>
      </c>
      <c r="H148" s="14" t="n">
        <v>1382.118179321289</v>
      </c>
      <c r="I148" s="14" t="n">
        <v>125420.6599375706</v>
      </c>
      <c r="J148" s="14" t="n">
        <v>27003.06501761044</v>
      </c>
      <c r="K148" s="14" t="n">
        <v>753129.0800531128</v>
      </c>
      <c r="L148" s="14" t="n">
        <v>97574.52050646616</v>
      </c>
      <c r="M148" s="14" t="n">
        <v>0</v>
      </c>
      <c r="N148" s="14" t="n">
        <v>3554.024887084961</v>
      </c>
      <c r="O148" s="14" t="n">
        <v>913919.5393681844</v>
      </c>
      <c r="P148" s="14" t="n">
        <v>2566.796722412109</v>
      </c>
      <c r="Q148" s="14" t="n">
        <v>5688594.705260423</v>
      </c>
      <c r="R148" s="15">
        <f>IF(D148=1,"Section 1","Control")</f>
        <v/>
      </c>
      <c r="S148" s="16">
        <f>N148/10000</f>
        <v/>
      </c>
      <c r="T148" s="16">
        <f>P148/10000</f>
        <v/>
      </c>
      <c r="U148" s="15">
        <f>IF(N148&gt;=Summary!$D$3,1,0)</f>
        <v/>
      </c>
      <c r="V148" s="17">
        <f>IF(N148&gt;0,P148/N148,"")</f>
        <v/>
      </c>
      <c r="W148" s="17">
        <f>IF(O148&gt;0,H148/O148,"")</f>
        <v/>
      </c>
    </row>
    <row r="149">
      <c r="A149" s="13" t="inlineStr">
        <is>
          <t>T06_B2</t>
        </is>
      </c>
      <c r="B149" s="13" t="inlineStr">
        <is>
          <t>T06</t>
        </is>
      </c>
      <c r="C149" s="13" t="inlineStr">
        <is>
          <t>B2</t>
        </is>
      </c>
      <c r="D149" s="13" t="n">
        <v>1</v>
      </c>
      <c r="E149" s="13" t="inlineStr">
        <is>
          <t>S1</t>
        </is>
      </c>
      <c r="F149" s="13" t="n">
        <v>2020</v>
      </c>
      <c r="G149" s="14" t="n">
        <v>1009594.665884728</v>
      </c>
      <c r="H149" s="14" t="n">
        <v>16401.755862337</v>
      </c>
      <c r="I149" s="14" t="n">
        <v>9352.642300564636</v>
      </c>
      <c r="J149" s="14" t="n">
        <v>0</v>
      </c>
      <c r="K149" s="14" t="n">
        <v>502314.0065729478</v>
      </c>
      <c r="L149" s="14" t="n">
        <v>481526.261148879</v>
      </c>
      <c r="M149" s="14" t="n">
        <v>0</v>
      </c>
      <c r="N149" s="14" t="n">
        <v>16401.755862337</v>
      </c>
      <c r="O149" s="14" t="n">
        <v>528068.4047358492</v>
      </c>
      <c r="P149" s="14" t="n">
        <v>0</v>
      </c>
      <c r="Q149" s="14" t="n">
        <v>2301899.564580252</v>
      </c>
      <c r="R149" s="15">
        <f>IF(D149=1,"Section 1","Control")</f>
        <v/>
      </c>
      <c r="S149" s="16">
        <f>N149/10000</f>
        <v/>
      </c>
      <c r="T149" s="16">
        <f>P149/10000</f>
        <v/>
      </c>
      <c r="U149" s="15">
        <f>IF(N149&gt;=Summary!$D$3,1,0)</f>
        <v/>
      </c>
      <c r="V149" s="17">
        <f>IF(N149&gt;0,P149/N149,"")</f>
        <v/>
      </c>
      <c r="W149" s="17">
        <f>IF(O149&gt;0,H149/O149,"")</f>
        <v/>
      </c>
    </row>
    <row r="150">
      <c r="A150" s="13" t="inlineStr">
        <is>
          <t>T06_B2</t>
        </is>
      </c>
      <c r="B150" s="13" t="inlineStr">
        <is>
          <t>T06</t>
        </is>
      </c>
      <c r="C150" s="13" t="inlineStr">
        <is>
          <t>B2</t>
        </is>
      </c>
      <c r="D150" s="13" t="n">
        <v>1</v>
      </c>
      <c r="E150" s="13" t="inlineStr">
        <is>
          <t>S1</t>
        </is>
      </c>
      <c r="F150" s="13" t="n">
        <v>2021</v>
      </c>
      <c r="G150" s="14" t="n">
        <v>1009594.665884728</v>
      </c>
      <c r="H150" s="14" t="n">
        <v>7691.781938201306</v>
      </c>
      <c r="I150" s="14" t="n">
        <v>5721.227644677256</v>
      </c>
      <c r="J150" s="14" t="n">
        <v>0</v>
      </c>
      <c r="K150" s="14" t="n">
        <v>514815.6766664991</v>
      </c>
      <c r="L150" s="14" t="n">
        <v>481365.9796353508</v>
      </c>
      <c r="M150" s="14" t="n">
        <v>0</v>
      </c>
      <c r="N150" s="14" t="n">
        <v>16401.755862337</v>
      </c>
      <c r="O150" s="14" t="n">
        <v>528068.4047358492</v>
      </c>
      <c r="P150" s="14" t="n">
        <v>8709.973924135695</v>
      </c>
      <c r="Q150" s="14" t="n">
        <v>2301899.564580252</v>
      </c>
      <c r="R150" s="15">
        <f>IF(D150=1,"Section 1","Control")</f>
        <v/>
      </c>
      <c r="S150" s="16">
        <f>N150/10000</f>
        <v/>
      </c>
      <c r="T150" s="16">
        <f>P150/10000</f>
        <v/>
      </c>
      <c r="U150" s="15">
        <f>IF(N150&gt;=Summary!$D$3,1,0)</f>
        <v/>
      </c>
      <c r="V150" s="17">
        <f>IF(N150&gt;0,P150/N150,"")</f>
        <v/>
      </c>
      <c r="W150" s="17">
        <f>IF(O150&gt;0,H150/O150,"")</f>
        <v/>
      </c>
    </row>
    <row r="151">
      <c r="A151" s="13" t="inlineStr">
        <is>
          <t>T06_B2</t>
        </is>
      </c>
      <c r="B151" s="13" t="inlineStr">
        <is>
          <t>T06</t>
        </is>
      </c>
      <c r="C151" s="13" t="inlineStr">
        <is>
          <t>B2</t>
        </is>
      </c>
      <c r="D151" s="13" t="n">
        <v>1</v>
      </c>
      <c r="E151" s="13" t="inlineStr">
        <is>
          <t>S1</t>
        </is>
      </c>
      <c r="F151" s="13" t="n">
        <v>2022</v>
      </c>
      <c r="G151" s="14" t="n">
        <v>1009594.665884728</v>
      </c>
      <c r="H151" s="14" t="n">
        <v>2898.170138130936</v>
      </c>
      <c r="I151" s="14" t="n">
        <v>4119.993354348575</v>
      </c>
      <c r="J151" s="14" t="n">
        <v>0</v>
      </c>
      <c r="K151" s="14" t="n">
        <v>521554.314796717</v>
      </c>
      <c r="L151" s="14" t="n">
        <v>481022.1875955319</v>
      </c>
      <c r="M151" s="14" t="n">
        <v>0</v>
      </c>
      <c r="N151" s="14" t="n">
        <v>16401.755862337</v>
      </c>
      <c r="O151" s="14" t="n">
        <v>528068.4047358492</v>
      </c>
      <c r="P151" s="14" t="n">
        <v>13503.58572420606</v>
      </c>
      <c r="Q151" s="14" t="n">
        <v>2301899.564580252</v>
      </c>
      <c r="R151" s="15">
        <f>IF(D151=1,"Section 1","Control")</f>
        <v/>
      </c>
      <c r="S151" s="16">
        <f>N151/10000</f>
        <v/>
      </c>
      <c r="T151" s="16">
        <f>P151/10000</f>
        <v/>
      </c>
      <c r="U151" s="15">
        <f>IF(N151&gt;=Summary!$D$3,1,0)</f>
        <v/>
      </c>
      <c r="V151" s="17">
        <f>IF(N151&gt;0,P151/N151,"")</f>
        <v/>
      </c>
      <c r="W151" s="17">
        <f>IF(O151&gt;0,H151/O151,"")</f>
        <v/>
      </c>
    </row>
    <row r="152">
      <c r="A152" s="13" t="inlineStr">
        <is>
          <t>T06_B2</t>
        </is>
      </c>
      <c r="B152" s="13" t="inlineStr">
        <is>
          <t>T06</t>
        </is>
      </c>
      <c r="C152" s="13" t="inlineStr">
        <is>
          <t>B2</t>
        </is>
      </c>
      <c r="D152" s="13" t="n">
        <v>1</v>
      </c>
      <c r="E152" s="13" t="inlineStr">
        <is>
          <t>S1</t>
        </is>
      </c>
      <c r="F152" s="13" t="n">
        <v>2023</v>
      </c>
      <c r="G152" s="14" t="n">
        <v>1009594.665884728</v>
      </c>
      <c r="H152" s="14" t="n">
        <v>2700.725832711014</v>
      </c>
      <c r="I152" s="14" t="n">
        <v>3317.832609139237</v>
      </c>
      <c r="J152" s="14" t="n">
        <v>0</v>
      </c>
      <c r="K152" s="14" t="n">
        <v>521492.7327973309</v>
      </c>
      <c r="L152" s="14" t="n">
        <v>482083.3746455472</v>
      </c>
      <c r="M152" s="14" t="n">
        <v>0</v>
      </c>
      <c r="N152" s="14" t="n">
        <v>16401.755862337</v>
      </c>
      <c r="O152" s="14" t="n">
        <v>528068.4047358492</v>
      </c>
      <c r="P152" s="14" t="n">
        <v>13799.75184664259</v>
      </c>
      <c r="Q152" s="14" t="n">
        <v>2301899.564580252</v>
      </c>
      <c r="R152" s="15">
        <f>IF(D152=1,"Section 1","Control")</f>
        <v/>
      </c>
      <c r="S152" s="16">
        <f>N152/10000</f>
        <v/>
      </c>
      <c r="T152" s="16">
        <f>P152/10000</f>
        <v/>
      </c>
      <c r="U152" s="15">
        <f>IF(N152&gt;=Summary!$D$3,1,0)</f>
        <v/>
      </c>
      <c r="V152" s="17">
        <f>IF(N152&gt;0,P152/N152,"")</f>
        <v/>
      </c>
      <c r="W152" s="17">
        <f>IF(O152&gt;0,H152/O152,"")</f>
        <v/>
      </c>
    </row>
    <row r="153">
      <c r="A153" s="13" t="inlineStr">
        <is>
          <t>T06_B2</t>
        </is>
      </c>
      <c r="B153" s="13" t="inlineStr">
        <is>
          <t>T06</t>
        </is>
      </c>
      <c r="C153" s="13" t="inlineStr">
        <is>
          <t>B2</t>
        </is>
      </c>
      <c r="D153" s="13" t="n">
        <v>1</v>
      </c>
      <c r="E153" s="13" t="inlineStr">
        <is>
          <t>S1</t>
        </is>
      </c>
      <c r="F153" s="13" t="n">
        <v>2024</v>
      </c>
      <c r="G153" s="14" t="n">
        <v>1009594.665884728</v>
      </c>
      <c r="H153" s="14" t="n">
        <v>2597.745413028492</v>
      </c>
      <c r="I153" s="14" t="n">
        <v>8993.362262262082</v>
      </c>
      <c r="J153" s="14" t="n">
        <v>0</v>
      </c>
      <c r="K153" s="14" t="n">
        <v>516082.4006219601</v>
      </c>
      <c r="L153" s="14" t="n">
        <v>481921.1575874776</v>
      </c>
      <c r="M153" s="14" t="n">
        <v>0</v>
      </c>
      <c r="N153" s="14" t="n">
        <v>16401.755862337</v>
      </c>
      <c r="O153" s="14" t="n">
        <v>528068.4047358494</v>
      </c>
      <c r="P153" s="14" t="n">
        <v>13804.01044930851</v>
      </c>
      <c r="Q153" s="14" t="n">
        <v>2301899.564580252</v>
      </c>
      <c r="R153" s="15">
        <f>IF(D153=1,"Section 1","Control")</f>
        <v/>
      </c>
      <c r="S153" s="16">
        <f>N153/10000</f>
        <v/>
      </c>
      <c r="T153" s="16">
        <f>P153/10000</f>
        <v/>
      </c>
      <c r="U153" s="15">
        <f>IF(N153&gt;=Summary!$D$3,1,0)</f>
        <v/>
      </c>
      <c r="V153" s="17">
        <f>IF(N153&gt;0,P153/N153,"")</f>
        <v/>
      </c>
      <c r="W153" s="17">
        <f>IF(O153&gt;0,H153/O153,"")</f>
        <v/>
      </c>
    </row>
    <row r="154">
      <c r="A154" s="13" t="inlineStr">
        <is>
          <t>T06_B2</t>
        </is>
      </c>
      <c r="B154" s="13" t="inlineStr">
        <is>
          <t>T06</t>
        </is>
      </c>
      <c r="C154" s="13" t="inlineStr">
        <is>
          <t>B2</t>
        </is>
      </c>
      <c r="D154" s="13" t="n">
        <v>1</v>
      </c>
      <c r="E154" s="13" t="inlineStr">
        <is>
          <t>S1</t>
        </is>
      </c>
      <c r="F154" s="13" t="n">
        <v>2025</v>
      </c>
      <c r="G154" s="14" t="n">
        <v>1009594.665884728</v>
      </c>
      <c r="H154" s="14" t="n">
        <v>394.8881301879883</v>
      </c>
      <c r="I154" s="14" t="n">
        <v>1307.387218819413</v>
      </c>
      <c r="J154" s="14" t="n">
        <v>0</v>
      </c>
      <c r="K154" s="14" t="n">
        <v>525847.7311173382</v>
      </c>
      <c r="L154" s="14" t="n">
        <v>482044.6594183827</v>
      </c>
      <c r="M154" s="14" t="n">
        <v>0</v>
      </c>
      <c r="N154" s="14" t="n">
        <v>16401.755862337</v>
      </c>
      <c r="O154" s="14" t="n">
        <v>528068.4047358492</v>
      </c>
      <c r="P154" s="14" t="n">
        <v>16006.86773214901</v>
      </c>
      <c r="Q154" s="14" t="n">
        <v>2301899.564580252</v>
      </c>
      <c r="R154" s="15">
        <f>IF(D154=1,"Section 1","Control")</f>
        <v/>
      </c>
      <c r="S154" s="16">
        <f>N154/10000</f>
        <v/>
      </c>
      <c r="T154" s="16">
        <f>P154/10000</f>
        <v/>
      </c>
      <c r="U154" s="15">
        <f>IF(N154&gt;=Summary!$D$3,1,0)</f>
        <v/>
      </c>
      <c r="V154" s="17">
        <f>IF(N154&gt;0,P154/N154,"")</f>
        <v/>
      </c>
      <c r="W154" s="17">
        <f>IF(O154&gt;0,H154/O154,"")</f>
        <v/>
      </c>
    </row>
    <row r="155">
      <c r="A155" s="13" t="inlineStr">
        <is>
          <t>T06_B2</t>
        </is>
      </c>
      <c r="B155" s="13" t="inlineStr">
        <is>
          <t>T06</t>
        </is>
      </c>
      <c r="C155" s="13" t="inlineStr">
        <is>
          <t>B2</t>
        </is>
      </c>
      <c r="D155" s="13" t="n">
        <v>1</v>
      </c>
      <c r="E155" s="13" t="inlineStr">
        <is>
          <t>S1</t>
        </is>
      </c>
      <c r="F155" s="13" t="n">
        <v>2026</v>
      </c>
      <c r="G155" s="14" t="n">
        <v>1009594.665884728</v>
      </c>
      <c r="H155" s="14" t="n">
        <v>197.4437484741211</v>
      </c>
      <c r="I155" s="14" t="n">
        <v>4672.447150286506</v>
      </c>
      <c r="J155" s="14" t="n">
        <v>0</v>
      </c>
      <c r="K155" s="14" t="n">
        <v>522778.8396047554</v>
      </c>
      <c r="L155" s="14" t="n">
        <v>481945.9353812123</v>
      </c>
      <c r="M155" s="14" t="n">
        <v>0</v>
      </c>
      <c r="N155" s="14" t="n">
        <v>16401.755862337</v>
      </c>
      <c r="O155" s="14" t="n">
        <v>528068.4047358492</v>
      </c>
      <c r="P155" s="14" t="n">
        <v>16303.0339079913</v>
      </c>
      <c r="Q155" s="14" t="n">
        <v>2301899.564580252</v>
      </c>
      <c r="R155" s="15">
        <f>IF(D155=1,"Section 1","Control")</f>
        <v/>
      </c>
      <c r="S155" s="16">
        <f>N155/10000</f>
        <v/>
      </c>
      <c r="T155" s="16">
        <f>P155/10000</f>
        <v/>
      </c>
      <c r="U155" s="15">
        <f>IF(N155&gt;=Summary!$D$3,1,0)</f>
        <v/>
      </c>
      <c r="V155" s="17">
        <f>IF(N155&gt;0,P155/N155,"")</f>
        <v/>
      </c>
      <c r="W155" s="17">
        <f>IF(O155&gt;0,H155/O155,"")</f>
        <v/>
      </c>
    </row>
    <row r="156">
      <c r="A156" s="13" t="inlineStr">
        <is>
          <t>T06_B3</t>
        </is>
      </c>
      <c r="B156" s="13" t="inlineStr">
        <is>
          <t>T06</t>
        </is>
      </c>
      <c r="C156" s="13" t="inlineStr">
        <is>
          <t>B3</t>
        </is>
      </c>
      <c r="D156" s="13" t="n">
        <v>1</v>
      </c>
      <c r="E156" s="13" t="inlineStr">
        <is>
          <t>S1</t>
        </is>
      </c>
      <c r="F156" s="13" t="n">
        <v>2020</v>
      </c>
      <c r="G156" s="14" t="n">
        <v>8079435.062153685</v>
      </c>
      <c r="H156" s="14" t="n">
        <v>133177.2364930695</v>
      </c>
      <c r="I156" s="14" t="n">
        <v>288727.1133136525</v>
      </c>
      <c r="J156" s="14" t="n">
        <v>0</v>
      </c>
      <c r="K156" s="14" t="n">
        <v>3261669.128148906</v>
      </c>
      <c r="L156" s="14" t="n">
        <v>4395861.584198058</v>
      </c>
      <c r="M156" s="14" t="n">
        <v>0</v>
      </c>
      <c r="N156" s="14" t="n">
        <v>133177.2364930695</v>
      </c>
      <c r="O156" s="14" t="n">
        <v>3683573.477955627</v>
      </c>
      <c r="P156" s="14" t="n">
        <v>0</v>
      </c>
      <c r="Q156" s="14" t="n">
        <v>15854194.55538961</v>
      </c>
      <c r="R156" s="15">
        <f>IF(D156=1,"Section 1","Control")</f>
        <v/>
      </c>
      <c r="S156" s="16">
        <f>N156/10000</f>
        <v/>
      </c>
      <c r="T156" s="16">
        <f>P156/10000</f>
        <v/>
      </c>
      <c r="U156" s="15">
        <f>IF(N156&gt;=Summary!$D$3,1,0)</f>
        <v/>
      </c>
      <c r="V156" s="17">
        <f>IF(N156&gt;0,P156/N156,"")</f>
        <v/>
      </c>
      <c r="W156" s="17">
        <f>IF(O156&gt;0,H156/O156,"")</f>
        <v/>
      </c>
    </row>
    <row r="157">
      <c r="A157" s="13" t="inlineStr">
        <is>
          <t>T06_B3</t>
        </is>
      </c>
      <c r="B157" s="13" t="inlineStr">
        <is>
          <t>T06</t>
        </is>
      </c>
      <c r="C157" s="13" t="inlineStr">
        <is>
          <t>B3</t>
        </is>
      </c>
      <c r="D157" s="13" t="n">
        <v>1</v>
      </c>
      <c r="E157" s="13" t="inlineStr">
        <is>
          <t>S1</t>
        </is>
      </c>
      <c r="F157" s="13" t="n">
        <v>2021</v>
      </c>
      <c r="G157" s="14" t="n">
        <v>8079435.062153686</v>
      </c>
      <c r="H157" s="14" t="n">
        <v>66985.99366173836</v>
      </c>
      <c r="I157" s="14" t="n">
        <v>273775.2757171331</v>
      </c>
      <c r="J157" s="14" t="n">
        <v>0</v>
      </c>
      <c r="K157" s="14" t="n">
        <v>3355814.141906918</v>
      </c>
      <c r="L157" s="14" t="n">
        <v>4382859.650867896</v>
      </c>
      <c r="M157" s="14" t="n">
        <v>0</v>
      </c>
      <c r="N157" s="14" t="n">
        <v>133177.2364930695</v>
      </c>
      <c r="O157" s="14" t="n">
        <v>3683573.477955627</v>
      </c>
      <c r="P157" s="14" t="n">
        <v>73601.92838601505</v>
      </c>
      <c r="Q157" s="14" t="n">
        <v>15854194.55538961</v>
      </c>
      <c r="R157" s="15">
        <f>IF(D157=1,"Section 1","Control")</f>
        <v/>
      </c>
      <c r="S157" s="16">
        <f>N157/10000</f>
        <v/>
      </c>
      <c r="T157" s="16">
        <f>P157/10000</f>
        <v/>
      </c>
      <c r="U157" s="15">
        <f>IF(N157&gt;=Summary!$D$3,1,0)</f>
        <v/>
      </c>
      <c r="V157" s="17">
        <f>IF(N157&gt;0,P157/N157,"")</f>
        <v/>
      </c>
      <c r="W157" s="17">
        <f>IF(O157&gt;0,H157/O157,"")</f>
        <v/>
      </c>
    </row>
    <row r="158">
      <c r="A158" s="13" t="inlineStr">
        <is>
          <t>T06_B3</t>
        </is>
      </c>
      <c r="B158" s="13" t="inlineStr">
        <is>
          <t>T06</t>
        </is>
      </c>
      <c r="C158" s="13" t="inlineStr">
        <is>
          <t>B3</t>
        </is>
      </c>
      <c r="D158" s="13" t="n">
        <v>1</v>
      </c>
      <c r="E158" s="13" t="inlineStr">
        <is>
          <t>S1</t>
        </is>
      </c>
      <c r="F158" s="13" t="n">
        <v>2022</v>
      </c>
      <c r="G158" s="14" t="n">
        <v>8079435.062153687</v>
      </c>
      <c r="H158" s="14" t="n">
        <v>27964.97442330753</v>
      </c>
      <c r="I158" s="14" t="n">
        <v>308253.3240063836</v>
      </c>
      <c r="J158" s="14" t="n">
        <v>0</v>
      </c>
      <c r="K158" s="14" t="n">
        <v>3428481.644524698</v>
      </c>
      <c r="L158" s="14" t="n">
        <v>4314735.119199296</v>
      </c>
      <c r="M158" s="14" t="n">
        <v>0</v>
      </c>
      <c r="N158" s="14" t="n">
        <v>133177.2364930695</v>
      </c>
      <c r="O158" s="14" t="n">
        <v>3683573.477955627</v>
      </c>
      <c r="P158" s="14" t="n">
        <v>105804.5599442126</v>
      </c>
      <c r="Q158" s="14" t="n">
        <v>15854194.55538961</v>
      </c>
      <c r="R158" s="15">
        <f>IF(D158=1,"Section 1","Control")</f>
        <v/>
      </c>
      <c r="S158" s="16">
        <f>N158/10000</f>
        <v/>
      </c>
      <c r="T158" s="16">
        <f>P158/10000</f>
        <v/>
      </c>
      <c r="U158" s="15">
        <f>IF(N158&gt;=Summary!$D$3,1,0)</f>
        <v/>
      </c>
      <c r="V158" s="17">
        <f>IF(N158&gt;0,P158/N158,"")</f>
        <v/>
      </c>
      <c r="W158" s="17">
        <f>IF(O158&gt;0,H158/O158,"")</f>
        <v/>
      </c>
    </row>
    <row r="159">
      <c r="A159" s="13" t="inlineStr">
        <is>
          <t>T06_B3</t>
        </is>
      </c>
      <c r="B159" s="13" t="inlineStr">
        <is>
          <t>T06</t>
        </is>
      </c>
      <c r="C159" s="13" t="inlineStr">
        <is>
          <t>B3</t>
        </is>
      </c>
      <c r="D159" s="13" t="n">
        <v>1</v>
      </c>
      <c r="E159" s="13" t="inlineStr">
        <is>
          <t>S1</t>
        </is>
      </c>
      <c r="F159" s="13" t="n">
        <v>2023</v>
      </c>
      <c r="G159" s="14" t="n">
        <v>8079435.062153686</v>
      </c>
      <c r="H159" s="14" t="n">
        <v>43186.00858369715</v>
      </c>
      <c r="I159" s="14" t="n">
        <v>252814.9474595313</v>
      </c>
      <c r="J159" s="14" t="n">
        <v>0</v>
      </c>
      <c r="K159" s="14" t="n">
        <v>3389939.021847325</v>
      </c>
      <c r="L159" s="14" t="n">
        <v>4393495.084263132</v>
      </c>
      <c r="M159" s="14" t="n">
        <v>0</v>
      </c>
      <c r="N159" s="14" t="n">
        <v>133177.2364930695</v>
      </c>
      <c r="O159" s="14" t="n">
        <v>3683573.477955627</v>
      </c>
      <c r="P159" s="14" t="n">
        <v>100887.5021527459</v>
      </c>
      <c r="Q159" s="14" t="n">
        <v>15854194.55538961</v>
      </c>
      <c r="R159" s="15">
        <f>IF(D159=1,"Section 1","Control")</f>
        <v/>
      </c>
      <c r="S159" s="16">
        <f>N159/10000</f>
        <v/>
      </c>
      <c r="T159" s="16">
        <f>P159/10000</f>
        <v/>
      </c>
      <c r="U159" s="15">
        <f>IF(N159&gt;=Summary!$D$3,1,0)</f>
        <v/>
      </c>
      <c r="V159" s="17">
        <f>IF(N159&gt;0,P159/N159,"")</f>
        <v/>
      </c>
      <c r="W159" s="17">
        <f>IF(O159&gt;0,H159/O159,"")</f>
        <v/>
      </c>
    </row>
    <row r="160">
      <c r="A160" s="13" t="inlineStr">
        <is>
          <t>T06_B3</t>
        </is>
      </c>
      <c r="B160" s="13" t="inlineStr">
        <is>
          <t>T06</t>
        </is>
      </c>
      <c r="C160" s="13" t="inlineStr">
        <is>
          <t>B3</t>
        </is>
      </c>
      <c r="D160" s="13" t="n">
        <v>1</v>
      </c>
      <c r="E160" s="13" t="inlineStr">
        <is>
          <t>S1</t>
        </is>
      </c>
      <c r="F160" s="13" t="n">
        <v>2024</v>
      </c>
      <c r="G160" s="14" t="n">
        <v>8079435.062153686</v>
      </c>
      <c r="H160" s="14" t="n">
        <v>47338.36468772141</v>
      </c>
      <c r="I160" s="14" t="n">
        <v>263136.1873750276</v>
      </c>
      <c r="J160" s="14" t="n">
        <v>0</v>
      </c>
      <c r="K160" s="14" t="n">
        <v>3423759.195171341</v>
      </c>
      <c r="L160" s="14" t="n">
        <v>4345201.314919595</v>
      </c>
      <c r="M160" s="14" t="n">
        <v>0</v>
      </c>
      <c r="N160" s="14" t="n">
        <v>133177.2364930695</v>
      </c>
      <c r="O160" s="14" t="n">
        <v>3683573.477955628</v>
      </c>
      <c r="P160" s="14" t="n">
        <v>104410.285549089</v>
      </c>
      <c r="Q160" s="14" t="n">
        <v>15854194.55538961</v>
      </c>
      <c r="R160" s="15">
        <f>IF(D160=1,"Section 1","Control")</f>
        <v/>
      </c>
      <c r="S160" s="16">
        <f>N160/10000</f>
        <v/>
      </c>
      <c r="T160" s="16">
        <f>P160/10000</f>
        <v/>
      </c>
      <c r="U160" s="15">
        <f>IF(N160&gt;=Summary!$D$3,1,0)</f>
        <v/>
      </c>
      <c r="V160" s="17">
        <f>IF(N160&gt;0,P160/N160,"")</f>
        <v/>
      </c>
      <c r="W160" s="17">
        <f>IF(O160&gt;0,H160/O160,"")</f>
        <v/>
      </c>
    </row>
    <row r="161">
      <c r="A161" s="13" t="inlineStr">
        <is>
          <t>T06_B3</t>
        </is>
      </c>
      <c r="B161" s="13" t="inlineStr">
        <is>
          <t>T06</t>
        </is>
      </c>
      <c r="C161" s="13" t="inlineStr">
        <is>
          <t>B3</t>
        </is>
      </c>
      <c r="D161" s="13" t="n">
        <v>1</v>
      </c>
      <c r="E161" s="13" t="inlineStr">
        <is>
          <t>S1</t>
        </is>
      </c>
      <c r="F161" s="13" t="n">
        <v>2025</v>
      </c>
      <c r="G161" s="14" t="n">
        <v>8079435.062153686</v>
      </c>
      <c r="H161" s="14" t="n">
        <v>51864.66231183819</v>
      </c>
      <c r="I161" s="14" t="n">
        <v>278619.4035719329</v>
      </c>
      <c r="J161" s="14" t="n">
        <v>0</v>
      </c>
      <c r="K161" s="14" t="n">
        <v>3414995.584146807</v>
      </c>
      <c r="L161" s="14" t="n">
        <v>4333955.412123107</v>
      </c>
      <c r="M161" s="14" t="n">
        <v>0</v>
      </c>
      <c r="N161" s="14" t="n">
        <v>133177.2364930695</v>
      </c>
      <c r="O161" s="14" t="n">
        <v>3683573.477955627</v>
      </c>
      <c r="P161" s="14" t="n">
        <v>108963.2541481168</v>
      </c>
      <c r="Q161" s="14" t="n">
        <v>15854194.55538961</v>
      </c>
      <c r="R161" s="15">
        <f>IF(D161=1,"Section 1","Control")</f>
        <v/>
      </c>
      <c r="S161" s="16">
        <f>N161/10000</f>
        <v/>
      </c>
      <c r="T161" s="16">
        <f>P161/10000</f>
        <v/>
      </c>
      <c r="U161" s="15">
        <f>IF(N161&gt;=Summary!$D$3,1,0)</f>
        <v/>
      </c>
      <c r="V161" s="17">
        <f>IF(N161&gt;0,P161/N161,"")</f>
        <v/>
      </c>
      <c r="W161" s="17">
        <f>IF(O161&gt;0,H161/O161,"")</f>
        <v/>
      </c>
    </row>
    <row r="162">
      <c r="A162" s="13" t="inlineStr">
        <is>
          <t>T06_B3</t>
        </is>
      </c>
      <c r="B162" s="13" t="inlineStr">
        <is>
          <t>T06</t>
        </is>
      </c>
      <c r="C162" s="13" t="inlineStr">
        <is>
          <t>B3</t>
        </is>
      </c>
      <c r="D162" s="13" t="n">
        <v>1</v>
      </c>
      <c r="E162" s="13" t="inlineStr">
        <is>
          <t>S1</t>
        </is>
      </c>
      <c r="F162" s="13" t="n">
        <v>2026</v>
      </c>
      <c r="G162" s="14" t="n">
        <v>8079435.062153685</v>
      </c>
      <c r="H162" s="14" t="n">
        <v>69024.47954170377</v>
      </c>
      <c r="I162" s="14" t="n">
        <v>257681.477891361</v>
      </c>
      <c r="J162" s="14" t="n">
        <v>0</v>
      </c>
      <c r="K162" s="14" t="n">
        <v>3419393.878427005</v>
      </c>
      <c r="L162" s="14" t="n">
        <v>4333335.226293616</v>
      </c>
      <c r="M162" s="14" t="n">
        <v>0</v>
      </c>
      <c r="N162" s="14" t="n">
        <v>133177.2364930695</v>
      </c>
      <c r="O162" s="14" t="n">
        <v>3683573.477955628</v>
      </c>
      <c r="P162" s="14" t="n">
        <v>105572.0996460559</v>
      </c>
      <c r="Q162" s="14" t="n">
        <v>15854194.55538961</v>
      </c>
      <c r="R162" s="15">
        <f>IF(D162=1,"Section 1","Control")</f>
        <v/>
      </c>
      <c r="S162" s="16">
        <f>N162/10000</f>
        <v/>
      </c>
      <c r="T162" s="16">
        <f>P162/10000</f>
        <v/>
      </c>
      <c r="U162" s="15">
        <f>IF(N162&gt;=Summary!$D$3,1,0)</f>
        <v/>
      </c>
      <c r="V162" s="17">
        <f>IF(N162&gt;0,P162/N162,"")</f>
        <v/>
      </c>
      <c r="W162" s="17">
        <f>IF(O162&gt;0,H162/O162,"")</f>
        <v/>
      </c>
    </row>
    <row r="163">
      <c r="A163" s="13" t="inlineStr">
        <is>
          <t>T06_F</t>
        </is>
      </c>
      <c r="B163" s="13" t="inlineStr">
        <is>
          <t>T06</t>
        </is>
      </c>
      <c r="C163" s="13" t="inlineStr">
        <is>
          <t>F</t>
        </is>
      </c>
      <c r="D163" s="13" t="n">
        <v>1</v>
      </c>
      <c r="E163" s="13" t="inlineStr">
        <is>
          <t>S1</t>
        </is>
      </c>
      <c r="F163" s="13" t="n">
        <v>2020</v>
      </c>
      <c r="G163" s="14" t="n">
        <v>47020.47541877898</v>
      </c>
      <c r="H163" s="14" t="n">
        <v>0</v>
      </c>
      <c r="I163" s="14" t="n">
        <v>914.8354023652918</v>
      </c>
      <c r="J163" s="14" t="n">
        <v>0</v>
      </c>
      <c r="K163" s="14" t="n">
        <v>46105.64001641369</v>
      </c>
      <c r="L163" s="14" t="n">
        <v>0</v>
      </c>
      <c r="M163" s="14" t="n">
        <v>0</v>
      </c>
      <c r="N163" s="14" t="n">
        <v>0</v>
      </c>
      <c r="O163" s="14" t="n">
        <v>47020.47541877898</v>
      </c>
      <c r="P163" s="14" t="n">
        <v>0</v>
      </c>
      <c r="Q163" s="14" t="n">
        <v>242581.7263619816</v>
      </c>
      <c r="R163" s="15">
        <f>IF(D163=1,"Section 1","Control")</f>
        <v/>
      </c>
      <c r="S163" s="16">
        <f>N163/10000</f>
        <v/>
      </c>
      <c r="T163" s="16">
        <f>P163/10000</f>
        <v/>
      </c>
      <c r="U163" s="15">
        <f>IF(N163&gt;=Summary!$D$3,1,0)</f>
        <v/>
      </c>
      <c r="V163" s="17">
        <f>IF(N163&gt;0,P163/N163,"")</f>
        <v/>
      </c>
      <c r="W163" s="17">
        <f>IF(O163&gt;0,H163/O163,"")</f>
        <v/>
      </c>
    </row>
    <row r="164">
      <c r="A164" s="13" t="inlineStr">
        <is>
          <t>T06_F</t>
        </is>
      </c>
      <c r="B164" s="13" t="inlineStr">
        <is>
          <t>T06</t>
        </is>
      </c>
      <c r="C164" s="13" t="inlineStr">
        <is>
          <t>F</t>
        </is>
      </c>
      <c r="D164" s="13" t="n">
        <v>1</v>
      </c>
      <c r="E164" s="13" t="inlineStr">
        <is>
          <t>S1</t>
        </is>
      </c>
      <c r="F164" s="13" t="n">
        <v>2021</v>
      </c>
      <c r="G164" s="14" t="n">
        <v>47020.47541877898</v>
      </c>
      <c r="H164" s="14" t="n">
        <v>0</v>
      </c>
      <c r="I164" s="14" t="n">
        <v>1156.417234173943</v>
      </c>
      <c r="J164" s="14" t="n">
        <v>0</v>
      </c>
      <c r="K164" s="14" t="n">
        <v>45864.05818460503</v>
      </c>
      <c r="L164" s="14" t="n">
        <v>0</v>
      </c>
      <c r="M164" s="14" t="n">
        <v>0</v>
      </c>
      <c r="N164" s="14" t="n">
        <v>0</v>
      </c>
      <c r="O164" s="14" t="n">
        <v>47020.47541877898</v>
      </c>
      <c r="P164" s="14" t="n">
        <v>0</v>
      </c>
      <c r="Q164" s="14" t="n">
        <v>242581.7263619816</v>
      </c>
      <c r="R164" s="15">
        <f>IF(D164=1,"Section 1","Control")</f>
        <v/>
      </c>
      <c r="S164" s="16">
        <f>N164/10000</f>
        <v/>
      </c>
      <c r="T164" s="16">
        <f>P164/10000</f>
        <v/>
      </c>
      <c r="U164" s="15">
        <f>IF(N164&gt;=Summary!$D$3,1,0)</f>
        <v/>
      </c>
      <c r="V164" s="17">
        <f>IF(N164&gt;0,P164/N164,"")</f>
        <v/>
      </c>
      <c r="W164" s="17">
        <f>IF(O164&gt;0,H164/O164,"")</f>
        <v/>
      </c>
    </row>
    <row r="165">
      <c r="A165" s="13" t="inlineStr">
        <is>
          <t>T06_F</t>
        </is>
      </c>
      <c r="B165" s="13" t="inlineStr">
        <is>
          <t>T06</t>
        </is>
      </c>
      <c r="C165" s="13" t="inlineStr">
        <is>
          <t>F</t>
        </is>
      </c>
      <c r="D165" s="13" t="n">
        <v>1</v>
      </c>
      <c r="E165" s="13" t="inlineStr">
        <is>
          <t>S1</t>
        </is>
      </c>
      <c r="F165" s="13" t="n">
        <v>2022</v>
      </c>
      <c r="G165" s="14" t="n">
        <v>47020.47541877898</v>
      </c>
      <c r="H165" s="14" t="n">
        <v>0</v>
      </c>
      <c r="I165" s="14" t="n">
        <v>3072.806084427179</v>
      </c>
      <c r="J165" s="14" t="n">
        <v>0</v>
      </c>
      <c r="K165" s="14" t="n">
        <v>43947.66933435181</v>
      </c>
      <c r="L165" s="14" t="n">
        <v>0</v>
      </c>
      <c r="M165" s="14" t="n">
        <v>0</v>
      </c>
      <c r="N165" s="14" t="n">
        <v>0</v>
      </c>
      <c r="O165" s="14" t="n">
        <v>47020.47541877898</v>
      </c>
      <c r="P165" s="14" t="n">
        <v>0</v>
      </c>
      <c r="Q165" s="14" t="n">
        <v>242581.7263619816</v>
      </c>
      <c r="R165" s="15">
        <f>IF(D165=1,"Section 1","Control")</f>
        <v/>
      </c>
      <c r="S165" s="16">
        <f>N165/10000</f>
        <v/>
      </c>
      <c r="T165" s="16">
        <f>P165/10000</f>
        <v/>
      </c>
      <c r="U165" s="15">
        <f>IF(N165&gt;=Summary!$D$3,1,0)</f>
        <v/>
      </c>
      <c r="V165" s="17">
        <f>IF(N165&gt;0,P165/N165,"")</f>
        <v/>
      </c>
      <c r="W165" s="17">
        <f>IF(O165&gt;0,H165/O165,"")</f>
        <v/>
      </c>
    </row>
    <row r="166">
      <c r="A166" s="13" t="inlineStr">
        <is>
          <t>T06_F</t>
        </is>
      </c>
      <c r="B166" s="13" t="inlineStr">
        <is>
          <t>T06</t>
        </is>
      </c>
      <c r="C166" s="13" t="inlineStr">
        <is>
          <t>F</t>
        </is>
      </c>
      <c r="D166" s="13" t="n">
        <v>1</v>
      </c>
      <c r="E166" s="13" t="inlineStr">
        <is>
          <t>S1</t>
        </is>
      </c>
      <c r="F166" s="13" t="n">
        <v>2023</v>
      </c>
      <c r="G166" s="14" t="n">
        <v>47020.47541877898</v>
      </c>
      <c r="H166" s="14" t="n">
        <v>0</v>
      </c>
      <c r="I166" s="14" t="n">
        <v>5021.329332658357</v>
      </c>
      <c r="J166" s="14" t="n">
        <v>0</v>
      </c>
      <c r="K166" s="14" t="n">
        <v>41999.14608612063</v>
      </c>
      <c r="L166" s="14" t="n">
        <v>0</v>
      </c>
      <c r="M166" s="14" t="n">
        <v>0</v>
      </c>
      <c r="N166" s="14" t="n">
        <v>0</v>
      </c>
      <c r="O166" s="14" t="n">
        <v>47020.47541877898</v>
      </c>
      <c r="P166" s="14" t="n">
        <v>0</v>
      </c>
      <c r="Q166" s="14" t="n">
        <v>242581.7263619816</v>
      </c>
      <c r="R166" s="15">
        <f>IF(D166=1,"Section 1","Control")</f>
        <v/>
      </c>
      <c r="S166" s="16">
        <f>N166/10000</f>
        <v/>
      </c>
      <c r="T166" s="16">
        <f>P166/10000</f>
        <v/>
      </c>
      <c r="U166" s="15">
        <f>IF(N166&gt;=Summary!$D$3,1,0)</f>
        <v/>
      </c>
      <c r="V166" s="17">
        <f>IF(N166&gt;0,P166/N166,"")</f>
        <v/>
      </c>
      <c r="W166" s="17">
        <f>IF(O166&gt;0,H166/O166,"")</f>
        <v/>
      </c>
    </row>
    <row r="167">
      <c r="A167" s="13" t="inlineStr">
        <is>
          <t>T06_F</t>
        </is>
      </c>
      <c r="B167" s="13" t="inlineStr">
        <is>
          <t>T06</t>
        </is>
      </c>
      <c r="C167" s="13" t="inlineStr">
        <is>
          <t>F</t>
        </is>
      </c>
      <c r="D167" s="13" t="n">
        <v>1</v>
      </c>
      <c r="E167" s="13" t="inlineStr">
        <is>
          <t>S1</t>
        </is>
      </c>
      <c r="F167" s="13" t="n">
        <v>2024</v>
      </c>
      <c r="G167" s="14" t="n">
        <v>47020.47541877898</v>
      </c>
      <c r="H167" s="14" t="n">
        <v>0</v>
      </c>
      <c r="I167" s="14" t="n">
        <v>1602.41241978664</v>
      </c>
      <c r="J167" s="14" t="n">
        <v>0</v>
      </c>
      <c r="K167" s="14" t="n">
        <v>45418.06299899235</v>
      </c>
      <c r="L167" s="14" t="n">
        <v>0</v>
      </c>
      <c r="M167" s="14" t="n">
        <v>0</v>
      </c>
      <c r="N167" s="14" t="n">
        <v>0</v>
      </c>
      <c r="O167" s="14" t="n">
        <v>47020.47541877898</v>
      </c>
      <c r="P167" s="14" t="n">
        <v>0</v>
      </c>
      <c r="Q167" s="14" t="n">
        <v>242581.7263619816</v>
      </c>
      <c r="R167" s="15">
        <f>IF(D167=1,"Section 1","Control")</f>
        <v/>
      </c>
      <c r="S167" s="16">
        <f>N167/10000</f>
        <v/>
      </c>
      <c r="T167" s="16">
        <f>P167/10000</f>
        <v/>
      </c>
      <c r="U167" s="15">
        <f>IF(N167&gt;=Summary!$D$3,1,0)</f>
        <v/>
      </c>
      <c r="V167" s="17">
        <f>IF(N167&gt;0,P167/N167,"")</f>
        <v/>
      </c>
      <c r="W167" s="17">
        <f>IF(O167&gt;0,H167/O167,"")</f>
        <v/>
      </c>
    </row>
    <row r="168">
      <c r="A168" s="13" t="inlineStr">
        <is>
          <t>T06_F</t>
        </is>
      </c>
      <c r="B168" s="13" t="inlineStr">
        <is>
          <t>T06</t>
        </is>
      </c>
      <c r="C168" s="13" t="inlineStr">
        <is>
          <t>F</t>
        </is>
      </c>
      <c r="D168" s="13" t="n">
        <v>1</v>
      </c>
      <c r="E168" s="13" t="inlineStr">
        <is>
          <t>S1</t>
        </is>
      </c>
      <c r="F168" s="13" t="n">
        <v>2025</v>
      </c>
      <c r="G168" s="14" t="n">
        <v>47020.47541877898</v>
      </c>
      <c r="H168" s="14" t="n">
        <v>0</v>
      </c>
      <c r="I168" s="14" t="n">
        <v>8518.066173119638</v>
      </c>
      <c r="J168" s="14" t="n">
        <v>0</v>
      </c>
      <c r="K168" s="14" t="n">
        <v>38502.40924565934</v>
      </c>
      <c r="L168" s="14" t="n">
        <v>0</v>
      </c>
      <c r="M168" s="14" t="n">
        <v>0</v>
      </c>
      <c r="N168" s="14" t="n">
        <v>0</v>
      </c>
      <c r="O168" s="14" t="n">
        <v>47020.47541877898</v>
      </c>
      <c r="P168" s="14" t="n">
        <v>0</v>
      </c>
      <c r="Q168" s="14" t="n">
        <v>242581.7263619816</v>
      </c>
      <c r="R168" s="15">
        <f>IF(D168=1,"Section 1","Control")</f>
        <v/>
      </c>
      <c r="S168" s="16">
        <f>N168/10000</f>
        <v/>
      </c>
      <c r="T168" s="16">
        <f>P168/10000</f>
        <v/>
      </c>
      <c r="U168" s="15">
        <f>IF(N168&gt;=Summary!$D$3,1,0)</f>
        <v/>
      </c>
      <c r="V168" s="17">
        <f>IF(N168&gt;0,P168/N168,"")</f>
        <v/>
      </c>
      <c r="W168" s="17">
        <f>IF(O168&gt;0,H168/O168,"")</f>
        <v/>
      </c>
    </row>
    <row r="169">
      <c r="A169" s="13" t="inlineStr">
        <is>
          <t>T06_F</t>
        </is>
      </c>
      <c r="B169" s="13" t="inlineStr">
        <is>
          <t>T06</t>
        </is>
      </c>
      <c r="C169" s="13" t="inlineStr">
        <is>
          <t>F</t>
        </is>
      </c>
      <c r="D169" s="13" t="n">
        <v>1</v>
      </c>
      <c r="E169" s="13" t="inlineStr">
        <is>
          <t>S1</t>
        </is>
      </c>
      <c r="F169" s="13" t="n">
        <v>2026</v>
      </c>
      <c r="G169" s="14" t="n">
        <v>47020.47541877898</v>
      </c>
      <c r="H169" s="14" t="n">
        <v>0</v>
      </c>
      <c r="I169" s="14" t="n">
        <v>4127.787835663441</v>
      </c>
      <c r="J169" s="14" t="n">
        <v>0</v>
      </c>
      <c r="K169" s="14" t="n">
        <v>42892.68758311553</v>
      </c>
      <c r="L169" s="14" t="n">
        <v>0</v>
      </c>
      <c r="M169" s="14" t="n">
        <v>0</v>
      </c>
      <c r="N169" s="14" t="n">
        <v>0</v>
      </c>
      <c r="O169" s="14" t="n">
        <v>47020.47541877898</v>
      </c>
      <c r="P169" s="14" t="n">
        <v>0</v>
      </c>
      <c r="Q169" s="14" t="n">
        <v>242581.7263619816</v>
      </c>
      <c r="R169" s="15">
        <f>IF(D169=1,"Section 1","Control")</f>
        <v/>
      </c>
      <c r="S169" s="16">
        <f>N169/10000</f>
        <v/>
      </c>
      <c r="T169" s="16">
        <f>P169/10000</f>
        <v/>
      </c>
      <c r="U169" s="15">
        <f>IF(N169&gt;=Summary!$D$3,1,0)</f>
        <v/>
      </c>
      <c r="V169" s="17">
        <f>IF(N169&gt;0,P169/N169,"")</f>
        <v/>
      </c>
      <c r="W169" s="17">
        <f>IF(O169&gt;0,H169/O169,"")</f>
        <v/>
      </c>
    </row>
    <row r="170">
      <c r="A170" s="13" t="inlineStr">
        <is>
          <t>T07_B1</t>
        </is>
      </c>
      <c r="B170" s="13" t="inlineStr">
        <is>
          <t>T07</t>
        </is>
      </c>
      <c r="C170" s="13" t="inlineStr">
        <is>
          <t>B1</t>
        </is>
      </c>
      <c r="D170" s="13" t="n">
        <v>1</v>
      </c>
      <c r="E170" s="13" t="inlineStr">
        <is>
          <t>S1</t>
        </is>
      </c>
      <c r="F170" s="13" t="n">
        <v>2020</v>
      </c>
      <c r="G170" s="14" t="n">
        <v>1002565.295486091</v>
      </c>
      <c r="H170" s="14" t="n">
        <v>4936.136863708496</v>
      </c>
      <c r="I170" s="14" t="n">
        <v>103116.2058708939</v>
      </c>
      <c r="J170" s="14" t="n">
        <v>37576.20050476673</v>
      </c>
      <c r="K170" s="14" t="n">
        <v>781194.5603913851</v>
      </c>
      <c r="L170" s="14" t="n">
        <v>75742.19185533711</v>
      </c>
      <c r="M170" s="14" t="n">
        <v>0</v>
      </c>
      <c r="N170" s="14" t="n">
        <v>4936.136863708496</v>
      </c>
      <c r="O170" s="14" t="n">
        <v>926823.1036307542</v>
      </c>
      <c r="P170" s="14" t="n">
        <v>0</v>
      </c>
      <c r="Q170" s="14" t="n">
        <v>5130549.555131139</v>
      </c>
      <c r="R170" s="15">
        <f>IF(D170=1,"Section 1","Control")</f>
        <v/>
      </c>
      <c r="S170" s="16">
        <f>N170/10000</f>
        <v/>
      </c>
      <c r="T170" s="16">
        <f>P170/10000</f>
        <v/>
      </c>
      <c r="U170" s="15">
        <f>IF(N170&gt;=Summary!$D$3,1,0)</f>
        <v/>
      </c>
      <c r="V170" s="17">
        <f>IF(N170&gt;0,P170/N170,"")</f>
        <v/>
      </c>
      <c r="W170" s="17">
        <f>IF(O170&gt;0,H170/O170,"")</f>
        <v/>
      </c>
    </row>
    <row r="171">
      <c r="A171" s="13" t="inlineStr">
        <is>
          <t>T07_B1</t>
        </is>
      </c>
      <c r="B171" s="13" t="inlineStr">
        <is>
          <t>T07</t>
        </is>
      </c>
      <c r="C171" s="13" t="inlineStr">
        <is>
          <t>B1</t>
        </is>
      </c>
      <c r="D171" s="13" t="n">
        <v>1</v>
      </c>
      <c r="E171" s="13" t="inlineStr">
        <is>
          <t>S1</t>
        </is>
      </c>
      <c r="F171" s="13" t="n">
        <v>2021</v>
      </c>
      <c r="G171" s="14" t="n">
        <v>1002565.295486091</v>
      </c>
      <c r="H171" s="14" t="n">
        <v>235.7737685259651</v>
      </c>
      <c r="I171" s="14" t="n">
        <v>98477.6727324841</v>
      </c>
      <c r="J171" s="14" t="n">
        <v>38381.08901507808</v>
      </c>
      <c r="K171" s="14" t="n">
        <v>784522.9142512603</v>
      </c>
      <c r="L171" s="14" t="n">
        <v>80947.84571874283</v>
      </c>
      <c r="M171" s="14" t="n">
        <v>0</v>
      </c>
      <c r="N171" s="14" t="n">
        <v>4936.136863708496</v>
      </c>
      <c r="O171" s="14" t="n">
        <v>926823.1036307542</v>
      </c>
      <c r="P171" s="14" t="n">
        <v>4837.413215637207</v>
      </c>
      <c r="Q171" s="14" t="n">
        <v>5130549.555131139</v>
      </c>
      <c r="R171" s="15">
        <f>IF(D171=1,"Section 1","Control")</f>
        <v/>
      </c>
      <c r="S171" s="16">
        <f>N171/10000</f>
        <v/>
      </c>
      <c r="T171" s="16">
        <f>P171/10000</f>
        <v/>
      </c>
      <c r="U171" s="15">
        <f>IF(N171&gt;=Summary!$D$3,1,0)</f>
        <v/>
      </c>
      <c r="V171" s="17">
        <f>IF(N171&gt;0,P171/N171,"")</f>
        <v/>
      </c>
      <c r="W171" s="17">
        <f>IF(O171&gt;0,H171/O171,"")</f>
        <v/>
      </c>
    </row>
    <row r="172">
      <c r="A172" s="13" t="inlineStr">
        <is>
          <t>T07_B1</t>
        </is>
      </c>
      <c r="B172" s="13" t="inlineStr">
        <is>
          <t>T07</t>
        </is>
      </c>
      <c r="C172" s="13" t="inlineStr">
        <is>
          <t>B1</t>
        </is>
      </c>
      <c r="D172" s="13" t="n">
        <v>1</v>
      </c>
      <c r="E172" s="13" t="inlineStr">
        <is>
          <t>S1</t>
        </is>
      </c>
      <c r="F172" s="13" t="n">
        <v>2022</v>
      </c>
      <c r="G172" s="14" t="n">
        <v>1002565.295486091</v>
      </c>
      <c r="H172" s="14" t="n">
        <v>296.1705551147461</v>
      </c>
      <c r="I172" s="14" t="n">
        <v>99991.4756506527</v>
      </c>
      <c r="J172" s="14" t="n">
        <v>36983.8576245177</v>
      </c>
      <c r="K172" s="14" t="n">
        <v>791143.569736765</v>
      </c>
      <c r="L172" s="14" t="n">
        <v>74150.22191904105</v>
      </c>
      <c r="M172" s="14" t="n">
        <v>0</v>
      </c>
      <c r="N172" s="14" t="n">
        <v>4936.136863708496</v>
      </c>
      <c r="O172" s="14" t="n">
        <v>926823.1036307542</v>
      </c>
      <c r="P172" s="14" t="n">
        <v>4936.136863708496</v>
      </c>
      <c r="Q172" s="14" t="n">
        <v>5130549.555131139</v>
      </c>
      <c r="R172" s="15">
        <f>IF(D172=1,"Section 1","Control")</f>
        <v/>
      </c>
      <c r="S172" s="16">
        <f>N172/10000</f>
        <v/>
      </c>
      <c r="T172" s="16">
        <f>P172/10000</f>
        <v/>
      </c>
      <c r="U172" s="15">
        <f>IF(N172&gt;=Summary!$D$3,1,0)</f>
        <v/>
      </c>
      <c r="V172" s="17">
        <f>IF(N172&gt;0,P172/N172,"")</f>
        <v/>
      </c>
      <c r="W172" s="17">
        <f>IF(O172&gt;0,H172/O172,"")</f>
        <v/>
      </c>
    </row>
    <row r="173">
      <c r="A173" s="13" t="inlineStr">
        <is>
          <t>T07_B1</t>
        </is>
      </c>
      <c r="B173" s="13" t="inlineStr">
        <is>
          <t>T07</t>
        </is>
      </c>
      <c r="C173" s="13" t="inlineStr">
        <is>
          <t>B1</t>
        </is>
      </c>
      <c r="D173" s="13" t="n">
        <v>1</v>
      </c>
      <c r="E173" s="13" t="inlineStr">
        <is>
          <t>S1</t>
        </is>
      </c>
      <c r="F173" s="13" t="n">
        <v>2023</v>
      </c>
      <c r="G173" s="14" t="n">
        <v>1002565.295486091</v>
      </c>
      <c r="H173" s="14" t="n">
        <v>0</v>
      </c>
      <c r="I173" s="14" t="n">
        <v>83267.74492253321</v>
      </c>
      <c r="J173" s="14" t="n">
        <v>37674.92449616077</v>
      </c>
      <c r="K173" s="14" t="n">
        <v>800808.7339820713</v>
      </c>
      <c r="L173" s="14" t="n">
        <v>80813.89208532595</v>
      </c>
      <c r="M173" s="14" t="n">
        <v>0</v>
      </c>
      <c r="N173" s="14" t="n">
        <v>4936.136863708496</v>
      </c>
      <c r="O173" s="14" t="n">
        <v>926823.1036307542</v>
      </c>
      <c r="P173" s="14" t="n">
        <v>4936.136863708496</v>
      </c>
      <c r="Q173" s="14" t="n">
        <v>5130549.555131139</v>
      </c>
      <c r="R173" s="15">
        <f>IF(D173=1,"Section 1","Control")</f>
        <v/>
      </c>
      <c r="S173" s="16">
        <f>N173/10000</f>
        <v/>
      </c>
      <c r="T173" s="16">
        <f>P173/10000</f>
        <v/>
      </c>
      <c r="U173" s="15">
        <f>IF(N173&gt;=Summary!$D$3,1,0)</f>
        <v/>
      </c>
      <c r="V173" s="17">
        <f>IF(N173&gt;0,P173/N173,"")</f>
        <v/>
      </c>
      <c r="W173" s="17">
        <f>IF(O173&gt;0,H173/O173,"")</f>
        <v/>
      </c>
    </row>
    <row r="174">
      <c r="A174" s="13" t="inlineStr">
        <is>
          <t>T07_B1</t>
        </is>
      </c>
      <c r="B174" s="13" t="inlineStr">
        <is>
          <t>T07</t>
        </is>
      </c>
      <c r="C174" s="13" t="inlineStr">
        <is>
          <t>B1</t>
        </is>
      </c>
      <c r="D174" s="13" t="n">
        <v>1</v>
      </c>
      <c r="E174" s="13" t="inlineStr">
        <is>
          <t>S1</t>
        </is>
      </c>
      <c r="F174" s="13" t="n">
        <v>2024</v>
      </c>
      <c r="G174" s="14" t="n">
        <v>1002565.295486091</v>
      </c>
      <c r="H174" s="14" t="n">
        <v>98.72325897216795</v>
      </c>
      <c r="I174" s="14" t="n">
        <v>76505.02360406016</v>
      </c>
      <c r="J174" s="14" t="n">
        <v>38942.07339304008</v>
      </c>
      <c r="K174" s="14" t="n">
        <v>804082.8263929479</v>
      </c>
      <c r="L174" s="14" t="n">
        <v>82936.64883707084</v>
      </c>
      <c r="M174" s="14" t="n">
        <v>0</v>
      </c>
      <c r="N174" s="14" t="n">
        <v>4936.136863708496</v>
      </c>
      <c r="O174" s="14" t="n">
        <v>926823.1036307542</v>
      </c>
      <c r="P174" s="14" t="n">
        <v>4936.136863708496</v>
      </c>
      <c r="Q174" s="14" t="n">
        <v>5130549.555131139</v>
      </c>
      <c r="R174" s="15">
        <f>IF(D174=1,"Section 1","Control")</f>
        <v/>
      </c>
      <c r="S174" s="16">
        <f>N174/10000</f>
        <v/>
      </c>
      <c r="T174" s="16">
        <f>P174/10000</f>
        <v/>
      </c>
      <c r="U174" s="15">
        <f>IF(N174&gt;=Summary!$D$3,1,0)</f>
        <v/>
      </c>
      <c r="V174" s="17">
        <f>IF(N174&gt;0,P174/N174,"")</f>
        <v/>
      </c>
      <c r="W174" s="17">
        <f>IF(O174&gt;0,H174/O174,"")</f>
        <v/>
      </c>
    </row>
    <row r="175">
      <c r="A175" s="13" t="inlineStr">
        <is>
          <t>T07_B1</t>
        </is>
      </c>
      <c r="B175" s="13" t="inlineStr">
        <is>
          <t>T07</t>
        </is>
      </c>
      <c r="C175" s="13" t="inlineStr">
        <is>
          <t>B1</t>
        </is>
      </c>
      <c r="D175" s="13" t="n">
        <v>1</v>
      </c>
      <c r="E175" s="13" t="inlineStr">
        <is>
          <t>S1</t>
        </is>
      </c>
      <c r="F175" s="13" t="n">
        <v>2025</v>
      </c>
      <c r="G175" s="14" t="n">
        <v>1002565.295486091</v>
      </c>
      <c r="H175" s="14" t="n">
        <v>98.72335815429688</v>
      </c>
      <c r="I175" s="14" t="n">
        <v>93583.47337577672</v>
      </c>
      <c r="J175" s="14" t="n">
        <v>37856.11161630668</v>
      </c>
      <c r="K175" s="14" t="n">
        <v>787217.6965189318</v>
      </c>
      <c r="L175" s="14" t="n">
        <v>83809.29061692183</v>
      </c>
      <c r="M175" s="14" t="n">
        <v>0</v>
      </c>
      <c r="N175" s="14" t="n">
        <v>4936.136863708496</v>
      </c>
      <c r="O175" s="14" t="n">
        <v>926823.103630754</v>
      </c>
      <c r="P175" s="14" t="n">
        <v>4936.136863708496</v>
      </c>
      <c r="Q175" s="14" t="n">
        <v>5130549.555131139</v>
      </c>
      <c r="R175" s="15">
        <f>IF(D175=1,"Section 1","Control")</f>
        <v/>
      </c>
      <c r="S175" s="16">
        <f>N175/10000</f>
        <v/>
      </c>
      <c r="T175" s="16">
        <f>P175/10000</f>
        <v/>
      </c>
      <c r="U175" s="15">
        <f>IF(N175&gt;=Summary!$D$3,1,0)</f>
        <v/>
      </c>
      <c r="V175" s="17">
        <f>IF(N175&gt;0,P175/N175,"")</f>
        <v/>
      </c>
      <c r="W175" s="17">
        <f>IF(O175&gt;0,H175/O175,"")</f>
        <v/>
      </c>
    </row>
    <row r="176">
      <c r="A176" s="13" t="inlineStr">
        <is>
          <t>T07_B1</t>
        </is>
      </c>
      <c r="B176" s="13" t="inlineStr">
        <is>
          <t>T07</t>
        </is>
      </c>
      <c r="C176" s="13" t="inlineStr">
        <is>
          <t>B1</t>
        </is>
      </c>
      <c r="D176" s="13" t="n">
        <v>1</v>
      </c>
      <c r="E176" s="13" t="inlineStr">
        <is>
          <t>S1</t>
        </is>
      </c>
      <c r="F176" s="13" t="n">
        <v>2026</v>
      </c>
      <c r="G176" s="14" t="n">
        <v>1002565.295486091</v>
      </c>
      <c r="H176" s="14" t="n">
        <v>98.72335815429688</v>
      </c>
      <c r="I176" s="14" t="n">
        <v>101444.0715454401</v>
      </c>
      <c r="J176" s="14" t="n">
        <v>35305.55616425159</v>
      </c>
      <c r="K176" s="14" t="n">
        <v>782413.661823557</v>
      </c>
      <c r="L176" s="14" t="n">
        <v>83303.28259468827</v>
      </c>
      <c r="M176" s="14" t="n">
        <v>0</v>
      </c>
      <c r="N176" s="14" t="n">
        <v>4936.136863708496</v>
      </c>
      <c r="O176" s="14" t="n">
        <v>926823.1036307542</v>
      </c>
      <c r="P176" s="14" t="n">
        <v>4936.136863708496</v>
      </c>
      <c r="Q176" s="14" t="n">
        <v>5130549.555131139</v>
      </c>
      <c r="R176" s="15">
        <f>IF(D176=1,"Section 1","Control")</f>
        <v/>
      </c>
      <c r="S176" s="16">
        <f>N176/10000</f>
        <v/>
      </c>
      <c r="T176" s="16">
        <f>P176/10000</f>
        <v/>
      </c>
      <c r="U176" s="15">
        <f>IF(N176&gt;=Summary!$D$3,1,0)</f>
        <v/>
      </c>
      <c r="V176" s="17">
        <f>IF(N176&gt;0,P176/N176,"")</f>
        <v/>
      </c>
      <c r="W176" s="17">
        <f>IF(O176&gt;0,H176/O176,"")</f>
        <v/>
      </c>
    </row>
    <row r="177">
      <c r="A177" s="13" t="inlineStr">
        <is>
          <t>T07_B2</t>
        </is>
      </c>
      <c r="B177" s="13" t="inlineStr">
        <is>
          <t>T07</t>
        </is>
      </c>
      <c r="C177" s="13" t="inlineStr">
        <is>
          <t>B2</t>
        </is>
      </c>
      <c r="D177" s="13" t="n">
        <v>1</v>
      </c>
      <c r="E177" s="13" t="inlineStr">
        <is>
          <t>S1</t>
        </is>
      </c>
      <c r="F177" s="13" t="n">
        <v>2020</v>
      </c>
      <c r="G177" s="14" t="n">
        <v>1002076.715814928</v>
      </c>
      <c r="H177" s="14" t="n">
        <v>11550.4267654419</v>
      </c>
      <c r="I177" s="14" t="n">
        <v>29547.30349195892</v>
      </c>
      <c r="J177" s="14" t="n">
        <v>0</v>
      </c>
      <c r="K177" s="14" t="n">
        <v>463571.0096870572</v>
      </c>
      <c r="L177" s="14" t="n">
        <v>497407.9758704696</v>
      </c>
      <c r="M177" s="14" t="n">
        <v>0</v>
      </c>
      <c r="N177" s="14" t="n">
        <v>11550.4267654419</v>
      </c>
      <c r="O177" s="14" t="n">
        <v>504668.739944458</v>
      </c>
      <c r="P177" s="14" t="n">
        <v>0</v>
      </c>
      <c r="Q177" s="14" t="n">
        <v>2249009.530905391</v>
      </c>
      <c r="R177" s="15">
        <f>IF(D177=1,"Section 1","Control")</f>
        <v/>
      </c>
      <c r="S177" s="16">
        <f>N177/10000</f>
        <v/>
      </c>
      <c r="T177" s="16">
        <f>P177/10000</f>
        <v/>
      </c>
      <c r="U177" s="15">
        <f>IF(N177&gt;=Summary!$D$3,1,0)</f>
        <v/>
      </c>
      <c r="V177" s="17">
        <f>IF(N177&gt;0,P177/N177,"")</f>
        <v/>
      </c>
      <c r="W177" s="17">
        <f>IF(O177&gt;0,H177/O177,"")</f>
        <v/>
      </c>
    </row>
    <row r="178">
      <c r="A178" s="13" t="inlineStr">
        <is>
          <t>T07_B2</t>
        </is>
      </c>
      <c r="B178" s="13" t="inlineStr">
        <is>
          <t>T07</t>
        </is>
      </c>
      <c r="C178" s="13" t="inlineStr">
        <is>
          <t>B2</t>
        </is>
      </c>
      <c r="D178" s="13" t="n">
        <v>1</v>
      </c>
      <c r="E178" s="13" t="inlineStr">
        <is>
          <t>S1</t>
        </is>
      </c>
      <c r="F178" s="13" t="n">
        <v>2021</v>
      </c>
      <c r="G178" s="14" t="n">
        <v>1002076.715814928</v>
      </c>
      <c r="H178" s="14" t="n">
        <v>4502.481617796655</v>
      </c>
      <c r="I178" s="14" t="n">
        <v>35132.24681133196</v>
      </c>
      <c r="J178" s="14" t="n">
        <v>0</v>
      </c>
      <c r="K178" s="14" t="n">
        <v>464937.6106302</v>
      </c>
      <c r="L178" s="14" t="n">
        <v>497504.3767555991</v>
      </c>
      <c r="M178" s="14" t="n">
        <v>0</v>
      </c>
      <c r="N178" s="14" t="n">
        <v>11550.4267654419</v>
      </c>
      <c r="O178" s="14" t="n">
        <v>504668.739944458</v>
      </c>
      <c r="P178" s="14" t="n">
        <v>7206.674423217773</v>
      </c>
      <c r="Q178" s="14" t="n">
        <v>2249009.530905391</v>
      </c>
      <c r="R178" s="15">
        <f>IF(D178=1,"Section 1","Control")</f>
        <v/>
      </c>
      <c r="S178" s="16">
        <f>N178/10000</f>
        <v/>
      </c>
      <c r="T178" s="16">
        <f>P178/10000</f>
        <v/>
      </c>
      <c r="U178" s="15">
        <f>IF(N178&gt;=Summary!$D$3,1,0)</f>
        <v/>
      </c>
      <c r="V178" s="17">
        <f>IF(N178&gt;0,P178/N178,"")</f>
        <v/>
      </c>
      <c r="W178" s="17">
        <f>IF(O178&gt;0,H178/O178,"")</f>
        <v/>
      </c>
    </row>
    <row r="179">
      <c r="A179" s="13" t="inlineStr">
        <is>
          <t>T07_B2</t>
        </is>
      </c>
      <c r="B179" s="13" t="inlineStr">
        <is>
          <t>T07</t>
        </is>
      </c>
      <c r="C179" s="13" t="inlineStr">
        <is>
          <t>B2</t>
        </is>
      </c>
      <c r="D179" s="13" t="n">
        <v>1</v>
      </c>
      <c r="E179" s="13" t="inlineStr">
        <is>
          <t>S1</t>
        </is>
      </c>
      <c r="F179" s="13" t="n">
        <v>2022</v>
      </c>
      <c r="G179" s="14" t="n">
        <v>1002076.715814928</v>
      </c>
      <c r="H179" s="14" t="n">
        <v>2073.154624938965</v>
      </c>
      <c r="I179" s="14" t="n">
        <v>45115.95053100586</v>
      </c>
      <c r="J179" s="14" t="n">
        <v>0</v>
      </c>
      <c r="K179" s="14" t="n">
        <v>457862.1424828324</v>
      </c>
      <c r="L179" s="14" t="n">
        <v>497025.4681761505</v>
      </c>
      <c r="M179" s="14" t="n">
        <v>0</v>
      </c>
      <c r="N179" s="14" t="n">
        <v>11550.4267654419</v>
      </c>
      <c r="O179" s="14" t="n">
        <v>504668.739944458</v>
      </c>
      <c r="P179" s="14" t="n">
        <v>9477.27214050293</v>
      </c>
      <c r="Q179" s="14" t="n">
        <v>2249009.530905391</v>
      </c>
      <c r="R179" s="15">
        <f>IF(D179=1,"Section 1","Control")</f>
        <v/>
      </c>
      <c r="S179" s="16">
        <f>N179/10000</f>
        <v/>
      </c>
      <c r="T179" s="16">
        <f>P179/10000</f>
        <v/>
      </c>
      <c r="U179" s="15">
        <f>IF(N179&gt;=Summary!$D$3,1,0)</f>
        <v/>
      </c>
      <c r="V179" s="17">
        <f>IF(N179&gt;0,P179/N179,"")</f>
        <v/>
      </c>
      <c r="W179" s="17">
        <f>IF(O179&gt;0,H179/O179,"")</f>
        <v/>
      </c>
    </row>
    <row r="180">
      <c r="A180" s="13" t="inlineStr">
        <is>
          <t>T07_B2</t>
        </is>
      </c>
      <c r="B180" s="13" t="inlineStr">
        <is>
          <t>T07</t>
        </is>
      </c>
      <c r="C180" s="13" t="inlineStr">
        <is>
          <t>B2</t>
        </is>
      </c>
      <c r="D180" s="13" t="n">
        <v>1</v>
      </c>
      <c r="E180" s="13" t="inlineStr">
        <is>
          <t>S1</t>
        </is>
      </c>
      <c r="F180" s="13" t="n">
        <v>2023</v>
      </c>
      <c r="G180" s="14" t="n">
        <v>1002076.715814928</v>
      </c>
      <c r="H180" s="14" t="n">
        <v>1579.545867919922</v>
      </c>
      <c r="I180" s="14" t="n">
        <v>37304.12996520996</v>
      </c>
      <c r="J180" s="14" t="n">
        <v>0</v>
      </c>
      <c r="K180" s="14" t="n">
        <v>464933.7142995796</v>
      </c>
      <c r="L180" s="14" t="n">
        <v>498259.3256822181</v>
      </c>
      <c r="M180" s="14" t="n">
        <v>0</v>
      </c>
      <c r="N180" s="14" t="n">
        <v>11550.4267654419</v>
      </c>
      <c r="O180" s="14" t="n">
        <v>504668.739944458</v>
      </c>
      <c r="P180" s="14" t="n">
        <v>9970.880897521973</v>
      </c>
      <c r="Q180" s="14" t="n">
        <v>2249009.530905391</v>
      </c>
      <c r="R180" s="15">
        <f>IF(D180=1,"Section 1","Control")</f>
        <v/>
      </c>
      <c r="S180" s="16">
        <f>N180/10000</f>
        <v/>
      </c>
      <c r="T180" s="16">
        <f>P180/10000</f>
        <v/>
      </c>
      <c r="U180" s="15">
        <f>IF(N180&gt;=Summary!$D$3,1,0)</f>
        <v/>
      </c>
      <c r="V180" s="17">
        <f>IF(N180&gt;0,P180/N180,"")</f>
        <v/>
      </c>
      <c r="W180" s="17">
        <f>IF(O180&gt;0,H180/O180,"")</f>
        <v/>
      </c>
    </row>
    <row r="181">
      <c r="A181" s="13" t="inlineStr">
        <is>
          <t>T07_B2</t>
        </is>
      </c>
      <c r="B181" s="13" t="inlineStr">
        <is>
          <t>T07</t>
        </is>
      </c>
      <c r="C181" s="13" t="inlineStr">
        <is>
          <t>B2</t>
        </is>
      </c>
      <c r="D181" s="13" t="n">
        <v>1</v>
      </c>
      <c r="E181" s="13" t="inlineStr">
        <is>
          <t>S1</t>
        </is>
      </c>
      <c r="F181" s="13" t="n">
        <v>2024</v>
      </c>
      <c r="G181" s="14" t="n">
        <v>1002076.715814928</v>
      </c>
      <c r="H181" s="14" t="n">
        <v>2406.095769994399</v>
      </c>
      <c r="I181" s="14" t="n">
        <v>38205.41233825684</v>
      </c>
      <c r="J181" s="14" t="n">
        <v>0</v>
      </c>
      <c r="K181" s="14" t="n">
        <v>463946.1189555748</v>
      </c>
      <c r="L181" s="14" t="n">
        <v>497519.0887511016</v>
      </c>
      <c r="M181" s="14" t="n">
        <v>0</v>
      </c>
      <c r="N181" s="14" t="n">
        <v>11550.4267654419</v>
      </c>
      <c r="O181" s="14" t="n">
        <v>504668.739944458</v>
      </c>
      <c r="P181" s="14" t="n">
        <v>10168.32437896728</v>
      </c>
      <c r="Q181" s="14" t="n">
        <v>2249009.530905391</v>
      </c>
      <c r="R181" s="15">
        <f>IF(D181=1,"Section 1","Control")</f>
        <v/>
      </c>
      <c r="S181" s="16">
        <f>N181/10000</f>
        <v/>
      </c>
      <c r="T181" s="16">
        <f>P181/10000</f>
        <v/>
      </c>
      <c r="U181" s="15">
        <f>IF(N181&gt;=Summary!$D$3,1,0)</f>
        <v/>
      </c>
      <c r="V181" s="17">
        <f>IF(N181&gt;0,P181/N181,"")</f>
        <v/>
      </c>
      <c r="W181" s="17">
        <f>IF(O181&gt;0,H181/O181,"")</f>
        <v/>
      </c>
    </row>
    <row r="182">
      <c r="A182" s="13" t="inlineStr">
        <is>
          <t>T07_B2</t>
        </is>
      </c>
      <c r="B182" s="13" t="inlineStr">
        <is>
          <t>T07</t>
        </is>
      </c>
      <c r="C182" s="13" t="inlineStr">
        <is>
          <t>B2</t>
        </is>
      </c>
      <c r="D182" s="13" t="n">
        <v>1</v>
      </c>
      <c r="E182" s="13" t="inlineStr">
        <is>
          <t>S1</t>
        </is>
      </c>
      <c r="F182" s="13" t="n">
        <v>2025</v>
      </c>
      <c r="G182" s="14" t="n">
        <v>1002076.715814928</v>
      </c>
      <c r="H182" s="14" t="n">
        <v>1875.708686828613</v>
      </c>
      <c r="I182" s="14" t="n">
        <v>33269.3186340332</v>
      </c>
      <c r="J182" s="14" t="n">
        <v>0</v>
      </c>
      <c r="K182" s="14" t="n">
        <v>469424.9886398315</v>
      </c>
      <c r="L182" s="14" t="n">
        <v>497506.6998542344</v>
      </c>
      <c r="M182" s="14" t="n">
        <v>0</v>
      </c>
      <c r="N182" s="14" t="n">
        <v>11550.4267654419</v>
      </c>
      <c r="O182" s="14" t="n">
        <v>504668.739944458</v>
      </c>
      <c r="P182" s="14" t="n">
        <v>10563.21128845215</v>
      </c>
      <c r="Q182" s="14" t="n">
        <v>2249009.530905391</v>
      </c>
      <c r="R182" s="15">
        <f>IF(D182=1,"Section 1","Control")</f>
        <v/>
      </c>
      <c r="S182" s="16">
        <f>N182/10000</f>
        <v/>
      </c>
      <c r="T182" s="16">
        <f>P182/10000</f>
        <v/>
      </c>
      <c r="U182" s="15">
        <f>IF(N182&gt;=Summary!$D$3,1,0)</f>
        <v/>
      </c>
      <c r="V182" s="17">
        <f>IF(N182&gt;0,P182/N182,"")</f>
        <v/>
      </c>
      <c r="W182" s="17">
        <f>IF(O182&gt;0,H182/O182,"")</f>
        <v/>
      </c>
    </row>
    <row r="183">
      <c r="A183" s="13" t="inlineStr">
        <is>
          <t>T07_B2</t>
        </is>
      </c>
      <c r="B183" s="13" t="inlineStr">
        <is>
          <t>T07</t>
        </is>
      </c>
      <c r="C183" s="13" t="inlineStr">
        <is>
          <t>B2</t>
        </is>
      </c>
      <c r="D183" s="13" t="n">
        <v>1</v>
      </c>
      <c r="E183" s="13" t="inlineStr">
        <is>
          <t>S1</t>
        </is>
      </c>
      <c r="F183" s="13" t="n">
        <v>2026</v>
      </c>
      <c r="G183" s="14" t="n">
        <v>1002076.715814928</v>
      </c>
      <c r="H183" s="14" t="n">
        <v>2369.324905395508</v>
      </c>
      <c r="I183" s="14" t="n">
        <v>46510.06245925005</v>
      </c>
      <c r="J183" s="14" t="n">
        <v>0</v>
      </c>
      <c r="K183" s="14" t="n">
        <v>455480.7916553572</v>
      </c>
      <c r="L183" s="14" t="n">
        <v>497716.5367949249</v>
      </c>
      <c r="M183" s="14" t="n">
        <v>0</v>
      </c>
      <c r="N183" s="14" t="n">
        <v>11550.4267654419</v>
      </c>
      <c r="O183" s="14" t="n">
        <v>504668.739944458</v>
      </c>
      <c r="P183" s="14" t="n">
        <v>10958.09713745117</v>
      </c>
      <c r="Q183" s="14" t="n">
        <v>2249009.530905391</v>
      </c>
      <c r="R183" s="15">
        <f>IF(D183=1,"Section 1","Control")</f>
        <v/>
      </c>
      <c r="S183" s="16">
        <f>N183/10000</f>
        <v/>
      </c>
      <c r="T183" s="16">
        <f>P183/10000</f>
        <v/>
      </c>
      <c r="U183" s="15">
        <f>IF(N183&gt;=Summary!$D$3,1,0)</f>
        <v/>
      </c>
      <c r="V183" s="17">
        <f>IF(N183&gt;0,P183/N183,"")</f>
        <v/>
      </c>
      <c r="W183" s="17">
        <f>IF(O183&gt;0,H183/O183,"")</f>
        <v/>
      </c>
    </row>
    <row r="184">
      <c r="A184" s="13" t="inlineStr">
        <is>
          <t>T07_B3</t>
        </is>
      </c>
      <c r="B184" s="13" t="inlineStr">
        <is>
          <t>T07</t>
        </is>
      </c>
      <c r="C184" s="13" t="inlineStr">
        <is>
          <t>B3</t>
        </is>
      </c>
      <c r="D184" s="13" t="n">
        <v>1</v>
      </c>
      <c r="E184" s="13" t="inlineStr">
        <is>
          <t>S1</t>
        </is>
      </c>
      <c r="F184" s="13" t="n">
        <v>2020</v>
      </c>
      <c r="G184" s="14" t="n">
        <v>8033682.245737802</v>
      </c>
      <c r="H184" s="14" t="n">
        <v>399729.3255736706</v>
      </c>
      <c r="I184" s="14" t="n">
        <v>1282275.225957504</v>
      </c>
      <c r="J184" s="14" t="n">
        <v>0</v>
      </c>
      <c r="K184" s="14" t="n">
        <v>1743301.381963393</v>
      </c>
      <c r="L184" s="14" t="n">
        <v>4608376.312243233</v>
      </c>
      <c r="M184" s="14" t="n">
        <v>0</v>
      </c>
      <c r="N184" s="14" t="n">
        <v>399729.3255736706</v>
      </c>
      <c r="O184" s="14" t="n">
        <v>3425305.933494568</v>
      </c>
      <c r="P184" s="14" t="n">
        <v>0</v>
      </c>
      <c r="Q184" s="14" t="n">
        <v>4497930.422541809</v>
      </c>
      <c r="R184" s="15">
        <f>IF(D184=1,"Section 1","Control")</f>
        <v/>
      </c>
      <c r="S184" s="16">
        <f>N184/10000</f>
        <v/>
      </c>
      <c r="T184" s="16">
        <f>P184/10000</f>
        <v/>
      </c>
      <c r="U184" s="15">
        <f>IF(N184&gt;=Summary!$D$3,1,0)</f>
        <v/>
      </c>
      <c r="V184" s="17">
        <f>IF(N184&gt;0,P184/N184,"")</f>
        <v/>
      </c>
      <c r="W184" s="17">
        <f>IF(O184&gt;0,H184/O184,"")</f>
        <v/>
      </c>
    </row>
    <row r="185">
      <c r="A185" s="13" t="inlineStr">
        <is>
          <t>T07_B3</t>
        </is>
      </c>
      <c r="B185" s="13" t="inlineStr">
        <is>
          <t>T07</t>
        </is>
      </c>
      <c r="C185" s="13" t="inlineStr">
        <is>
          <t>B3</t>
        </is>
      </c>
      <c r="D185" s="13" t="n">
        <v>1</v>
      </c>
      <c r="E185" s="13" t="inlineStr">
        <is>
          <t>S1</t>
        </is>
      </c>
      <c r="F185" s="13" t="n">
        <v>2021</v>
      </c>
      <c r="G185" s="14" t="n">
        <v>8033682.245737802</v>
      </c>
      <c r="H185" s="14" t="n">
        <v>273803.1300233729</v>
      </c>
      <c r="I185" s="14" t="n">
        <v>1182889.610849597</v>
      </c>
      <c r="J185" s="14" t="n">
        <v>0</v>
      </c>
      <c r="K185" s="14" t="n">
        <v>2041137.64003607</v>
      </c>
      <c r="L185" s="14" t="n">
        <v>4535851.864828761</v>
      </c>
      <c r="M185" s="14" t="n">
        <v>0</v>
      </c>
      <c r="N185" s="14" t="n">
        <v>399729.3255736706</v>
      </c>
      <c r="O185" s="14" t="n">
        <v>3425305.933494568</v>
      </c>
      <c r="P185" s="14" t="n">
        <v>165874.2490231084</v>
      </c>
      <c r="Q185" s="14" t="n">
        <v>4497930.422541809</v>
      </c>
      <c r="R185" s="15">
        <f>IF(D185=1,"Section 1","Control")</f>
        <v/>
      </c>
      <c r="S185" s="16">
        <f>N185/10000</f>
        <v/>
      </c>
      <c r="T185" s="16">
        <f>P185/10000</f>
        <v/>
      </c>
      <c r="U185" s="15">
        <f>IF(N185&gt;=Summary!$D$3,1,0)</f>
        <v/>
      </c>
      <c r="V185" s="17">
        <f>IF(N185&gt;0,P185/N185,"")</f>
        <v/>
      </c>
      <c r="W185" s="17">
        <f>IF(O185&gt;0,H185/O185,"")</f>
        <v/>
      </c>
    </row>
    <row r="186">
      <c r="A186" s="13" t="inlineStr">
        <is>
          <t>T07_B3</t>
        </is>
      </c>
      <c r="B186" s="13" t="inlineStr">
        <is>
          <t>T07</t>
        </is>
      </c>
      <c r="C186" s="13" t="inlineStr">
        <is>
          <t>B3</t>
        </is>
      </c>
      <c r="D186" s="13" t="n">
        <v>1</v>
      </c>
      <c r="E186" s="13" t="inlineStr">
        <is>
          <t>S1</t>
        </is>
      </c>
      <c r="F186" s="13" t="n">
        <v>2022</v>
      </c>
      <c r="G186" s="14" t="n">
        <v>8033682.245737802</v>
      </c>
      <c r="H186" s="14" t="n">
        <v>134501.9843568391</v>
      </c>
      <c r="I186" s="14" t="n">
        <v>1342313.887983524</v>
      </c>
      <c r="J186" s="14" t="n">
        <v>0</v>
      </c>
      <c r="K186" s="14" t="n">
        <v>2155377.063023376</v>
      </c>
      <c r="L186" s="14" t="n">
        <v>4401489.310374062</v>
      </c>
      <c r="M186" s="14" t="n">
        <v>0</v>
      </c>
      <c r="N186" s="14" t="n">
        <v>399729.3255736706</v>
      </c>
      <c r="O186" s="14" t="n">
        <v>3425305.933494568</v>
      </c>
      <c r="P186" s="14" t="n">
        <v>283298.5864107618</v>
      </c>
      <c r="Q186" s="14" t="n">
        <v>4497930.422541809</v>
      </c>
      <c r="R186" s="15">
        <f>IF(D186=1,"Section 1","Control")</f>
        <v/>
      </c>
      <c r="S186" s="16">
        <f>N186/10000</f>
        <v/>
      </c>
      <c r="T186" s="16">
        <f>P186/10000</f>
        <v/>
      </c>
      <c r="U186" s="15">
        <f>IF(N186&gt;=Summary!$D$3,1,0)</f>
        <v/>
      </c>
      <c r="V186" s="17">
        <f>IF(N186&gt;0,P186/N186,"")</f>
        <v/>
      </c>
      <c r="W186" s="17">
        <f>IF(O186&gt;0,H186/O186,"")</f>
        <v/>
      </c>
    </row>
    <row r="187">
      <c r="A187" s="13" t="inlineStr">
        <is>
          <t>T07_B3</t>
        </is>
      </c>
      <c r="B187" s="13" t="inlineStr">
        <is>
          <t>T07</t>
        </is>
      </c>
      <c r="C187" s="13" t="inlineStr">
        <is>
          <t>B3</t>
        </is>
      </c>
      <c r="D187" s="13" t="n">
        <v>1</v>
      </c>
      <c r="E187" s="13" t="inlineStr">
        <is>
          <t>S1</t>
        </is>
      </c>
      <c r="F187" s="13" t="n">
        <v>2023</v>
      </c>
      <c r="G187" s="14" t="n">
        <v>8033682.245737802</v>
      </c>
      <c r="H187" s="14" t="n">
        <v>142824.3095512539</v>
      </c>
      <c r="I187" s="14" t="n">
        <v>1221666.337735075</v>
      </c>
      <c r="J187" s="14" t="n">
        <v>0</v>
      </c>
      <c r="K187" s="14" t="n">
        <v>2288820.232135758</v>
      </c>
      <c r="L187" s="14" t="n">
        <v>4380371.366315715</v>
      </c>
      <c r="M187" s="14" t="n">
        <v>0</v>
      </c>
      <c r="N187" s="14" t="n">
        <v>399729.3255736706</v>
      </c>
      <c r="O187" s="14" t="n">
        <v>3425305.933494568</v>
      </c>
      <c r="P187" s="14" t="n">
        <v>335577.5925944908</v>
      </c>
      <c r="Q187" s="14" t="n">
        <v>4497930.422541809</v>
      </c>
      <c r="R187" s="15">
        <f>IF(D187=1,"Section 1","Control")</f>
        <v/>
      </c>
      <c r="S187" s="16">
        <f>N187/10000</f>
        <v/>
      </c>
      <c r="T187" s="16">
        <f>P187/10000</f>
        <v/>
      </c>
      <c r="U187" s="15">
        <f>IF(N187&gt;=Summary!$D$3,1,0)</f>
        <v/>
      </c>
      <c r="V187" s="17">
        <f>IF(N187&gt;0,P187/N187,"")</f>
        <v/>
      </c>
      <c r="W187" s="17">
        <f>IF(O187&gt;0,H187/O187,"")</f>
        <v/>
      </c>
    </row>
    <row r="188">
      <c r="A188" s="13" t="inlineStr">
        <is>
          <t>T07_B3</t>
        </is>
      </c>
      <c r="B188" s="13" t="inlineStr">
        <is>
          <t>T07</t>
        </is>
      </c>
      <c r="C188" s="13" t="inlineStr">
        <is>
          <t>B3</t>
        </is>
      </c>
      <c r="D188" s="13" t="n">
        <v>1</v>
      </c>
      <c r="E188" s="13" t="inlineStr">
        <is>
          <t>S1</t>
        </is>
      </c>
      <c r="F188" s="13" t="n">
        <v>2024</v>
      </c>
      <c r="G188" s="14" t="n">
        <v>8033682.245737802</v>
      </c>
      <c r="H188" s="14" t="n">
        <v>344174.3480314367</v>
      </c>
      <c r="I188" s="14" t="n">
        <v>1083766.568318027</v>
      </c>
      <c r="J188" s="14" t="n">
        <v>0</v>
      </c>
      <c r="K188" s="14" t="n">
        <v>2524079.424616496</v>
      </c>
      <c r="L188" s="14" t="n">
        <v>4081661.904771842</v>
      </c>
      <c r="M188" s="14" t="n">
        <v>0</v>
      </c>
      <c r="N188" s="14" t="n">
        <v>399729.3255736706</v>
      </c>
      <c r="O188" s="14" t="n">
        <v>3425305.933494568</v>
      </c>
      <c r="P188" s="14" t="n">
        <v>350980.354180968</v>
      </c>
      <c r="Q188" s="14" t="n">
        <v>4497930.422541809</v>
      </c>
      <c r="R188" s="15">
        <f>IF(D188=1,"Section 1","Control")</f>
        <v/>
      </c>
      <c r="S188" s="16">
        <f>N188/10000</f>
        <v/>
      </c>
      <c r="T188" s="16">
        <f>P188/10000</f>
        <v/>
      </c>
      <c r="U188" s="15">
        <f>IF(N188&gt;=Summary!$D$3,1,0)</f>
        <v/>
      </c>
      <c r="V188" s="17">
        <f>IF(N188&gt;0,P188/N188,"")</f>
        <v/>
      </c>
      <c r="W188" s="17">
        <f>IF(O188&gt;0,H188/O188,"")</f>
        <v/>
      </c>
    </row>
    <row r="189">
      <c r="A189" s="13" t="inlineStr">
        <is>
          <t>T07_B3</t>
        </is>
      </c>
      <c r="B189" s="13" t="inlineStr">
        <is>
          <t>T07</t>
        </is>
      </c>
      <c r="C189" s="13" t="inlineStr">
        <is>
          <t>B3</t>
        </is>
      </c>
      <c r="D189" s="13" t="n">
        <v>1</v>
      </c>
      <c r="E189" s="13" t="inlineStr">
        <is>
          <t>S1</t>
        </is>
      </c>
      <c r="F189" s="13" t="n">
        <v>2025</v>
      </c>
      <c r="G189" s="14" t="n">
        <v>8033682.245737802</v>
      </c>
      <c r="H189" s="14" t="n">
        <v>284112.7392996994</v>
      </c>
      <c r="I189" s="14" t="n">
        <v>1162800.309822142</v>
      </c>
      <c r="J189" s="14" t="n">
        <v>0</v>
      </c>
      <c r="K189" s="14" t="n">
        <v>2445023.453428172</v>
      </c>
      <c r="L189" s="14" t="n">
        <v>4141745.743187789</v>
      </c>
      <c r="M189" s="14" t="n">
        <v>0</v>
      </c>
      <c r="N189" s="14" t="n">
        <v>399729.3255736706</v>
      </c>
      <c r="O189" s="14" t="n">
        <v>3425305.933494568</v>
      </c>
      <c r="P189" s="14" t="n">
        <v>360901.4847694247</v>
      </c>
      <c r="Q189" s="14" t="n">
        <v>4497930.422541809</v>
      </c>
      <c r="R189" s="15">
        <f>IF(D189=1,"Section 1","Control")</f>
        <v/>
      </c>
      <c r="S189" s="16">
        <f>N189/10000</f>
        <v/>
      </c>
      <c r="T189" s="16">
        <f>P189/10000</f>
        <v/>
      </c>
      <c r="U189" s="15">
        <f>IF(N189&gt;=Summary!$D$3,1,0)</f>
        <v/>
      </c>
      <c r="V189" s="17">
        <f>IF(N189&gt;0,P189/N189,"")</f>
        <v/>
      </c>
      <c r="W189" s="17">
        <f>IF(O189&gt;0,H189/O189,"")</f>
        <v/>
      </c>
    </row>
    <row r="190">
      <c r="A190" s="13" t="inlineStr">
        <is>
          <t>T07_B3</t>
        </is>
      </c>
      <c r="B190" s="13" t="inlineStr">
        <is>
          <t>T07</t>
        </is>
      </c>
      <c r="C190" s="13" t="inlineStr">
        <is>
          <t>B3</t>
        </is>
      </c>
      <c r="D190" s="13" t="n">
        <v>1</v>
      </c>
      <c r="E190" s="13" t="inlineStr">
        <is>
          <t>S1</t>
        </is>
      </c>
      <c r="F190" s="13" t="n">
        <v>2026</v>
      </c>
      <c r="G190" s="14" t="n">
        <v>8033682.245737802</v>
      </c>
      <c r="H190" s="14" t="n">
        <v>338565.5054012523</v>
      </c>
      <c r="I190" s="14" t="n">
        <v>841723.1953535192</v>
      </c>
      <c r="J190" s="14" t="n">
        <v>0</v>
      </c>
      <c r="K190" s="14" t="n">
        <v>2683609.768333225</v>
      </c>
      <c r="L190" s="14" t="n">
        <v>4169783.776649805</v>
      </c>
      <c r="M190" s="14" t="n">
        <v>0</v>
      </c>
      <c r="N190" s="14" t="n">
        <v>399729.3255736706</v>
      </c>
      <c r="O190" s="14" t="n">
        <v>3425305.933494568</v>
      </c>
      <c r="P190" s="14" t="n">
        <v>372808.056857958</v>
      </c>
      <c r="Q190" s="14" t="n">
        <v>4497930.42254181</v>
      </c>
      <c r="R190" s="15">
        <f>IF(D190=1,"Section 1","Control")</f>
        <v/>
      </c>
      <c r="S190" s="16">
        <f>N190/10000</f>
        <v/>
      </c>
      <c r="T190" s="16">
        <f>P190/10000</f>
        <v/>
      </c>
      <c r="U190" s="15">
        <f>IF(N190&gt;=Summary!$D$3,1,0)</f>
        <v/>
      </c>
      <c r="V190" s="17">
        <f>IF(N190&gt;0,P190/N190,"")</f>
        <v/>
      </c>
      <c r="W190" s="17">
        <f>IF(O190&gt;0,H190/O190,"")</f>
        <v/>
      </c>
    </row>
    <row r="191">
      <c r="A191" s="13" t="inlineStr">
        <is>
          <t>T07_F</t>
        </is>
      </c>
      <c r="B191" s="13" t="inlineStr">
        <is>
          <t>T07</t>
        </is>
      </c>
      <c r="C191" s="13" t="inlineStr">
        <is>
          <t>F</t>
        </is>
      </c>
      <c r="D191" s="13" t="n">
        <v>1</v>
      </c>
      <c r="E191" s="13" t="inlineStr">
        <is>
          <t>S1</t>
        </is>
      </c>
      <c r="F191" s="13" t="n">
        <v>2020</v>
      </c>
      <c r="G191" s="14" t="n">
        <v>50082.83260109098</v>
      </c>
      <c r="H191" s="14" t="n">
        <v>0</v>
      </c>
      <c r="I191" s="14" t="n">
        <v>5144.057554596546</v>
      </c>
      <c r="J191" s="14" t="n">
        <v>0</v>
      </c>
      <c r="K191" s="14" t="n">
        <v>44938.77504649444</v>
      </c>
      <c r="L191" s="14" t="n">
        <v>0</v>
      </c>
      <c r="M191" s="14" t="n">
        <v>0</v>
      </c>
      <c r="N191" s="14" t="n">
        <v>0</v>
      </c>
      <c r="O191" s="14" t="n">
        <v>50082.83260109098</v>
      </c>
      <c r="P191" s="14" t="n">
        <v>0</v>
      </c>
      <c r="Q191" s="14" t="n">
        <v>356032.4446638519</v>
      </c>
      <c r="R191" s="15">
        <f>IF(D191=1,"Section 1","Control")</f>
        <v/>
      </c>
      <c r="S191" s="16">
        <f>N191/10000</f>
        <v/>
      </c>
      <c r="T191" s="16">
        <f>P191/10000</f>
        <v/>
      </c>
      <c r="U191" s="15">
        <f>IF(N191&gt;=Summary!$D$3,1,0)</f>
        <v/>
      </c>
      <c r="V191" s="17">
        <f>IF(N191&gt;0,P191/N191,"")</f>
        <v/>
      </c>
      <c r="W191" s="17">
        <f>IF(O191&gt;0,H191/O191,"")</f>
        <v/>
      </c>
    </row>
    <row r="192">
      <c r="A192" s="13" t="inlineStr">
        <is>
          <t>T07_F</t>
        </is>
      </c>
      <c r="B192" s="13" t="inlineStr">
        <is>
          <t>T07</t>
        </is>
      </c>
      <c r="C192" s="13" t="inlineStr">
        <is>
          <t>F</t>
        </is>
      </c>
      <c r="D192" s="13" t="n">
        <v>1</v>
      </c>
      <c r="E192" s="13" t="inlineStr">
        <is>
          <t>S1</t>
        </is>
      </c>
      <c r="F192" s="13" t="n">
        <v>2021</v>
      </c>
      <c r="G192" s="14" t="n">
        <v>50082.83260109098</v>
      </c>
      <c r="H192" s="14" t="n">
        <v>0</v>
      </c>
      <c r="I192" s="14" t="n">
        <v>1974.463073730469</v>
      </c>
      <c r="J192" s="14" t="n">
        <v>0</v>
      </c>
      <c r="K192" s="14" t="n">
        <v>48108.36952736053</v>
      </c>
      <c r="L192" s="14" t="n">
        <v>0</v>
      </c>
      <c r="M192" s="14" t="n">
        <v>0</v>
      </c>
      <c r="N192" s="14" t="n">
        <v>0</v>
      </c>
      <c r="O192" s="14" t="n">
        <v>50082.83260109098</v>
      </c>
      <c r="P192" s="14" t="n">
        <v>0</v>
      </c>
      <c r="Q192" s="14" t="n">
        <v>356032.4446638519</v>
      </c>
      <c r="R192" s="15">
        <f>IF(D192=1,"Section 1","Control")</f>
        <v/>
      </c>
      <c r="S192" s="16">
        <f>N192/10000</f>
        <v/>
      </c>
      <c r="T192" s="16">
        <f>P192/10000</f>
        <v/>
      </c>
      <c r="U192" s="15">
        <f>IF(N192&gt;=Summary!$D$3,1,0)</f>
        <v/>
      </c>
      <c r="V192" s="17">
        <f>IF(N192&gt;0,P192/N192,"")</f>
        <v/>
      </c>
      <c r="W192" s="17">
        <f>IF(O192&gt;0,H192/O192,"")</f>
        <v/>
      </c>
    </row>
    <row r="193">
      <c r="A193" s="13" t="inlineStr">
        <is>
          <t>T07_F</t>
        </is>
      </c>
      <c r="B193" s="13" t="inlineStr">
        <is>
          <t>T07</t>
        </is>
      </c>
      <c r="C193" s="13" t="inlineStr">
        <is>
          <t>F</t>
        </is>
      </c>
      <c r="D193" s="13" t="n">
        <v>1</v>
      </c>
      <c r="E193" s="13" t="inlineStr">
        <is>
          <t>S1</t>
        </is>
      </c>
      <c r="F193" s="13" t="n">
        <v>2022</v>
      </c>
      <c r="G193" s="14" t="n">
        <v>50082.83260109098</v>
      </c>
      <c r="H193" s="14" t="n">
        <v>98.72313690185548</v>
      </c>
      <c r="I193" s="14" t="n">
        <v>555.1726956535788</v>
      </c>
      <c r="J193" s="14" t="n">
        <v>0</v>
      </c>
      <c r="K193" s="14" t="n">
        <v>49428.93676853555</v>
      </c>
      <c r="L193" s="14" t="n">
        <v>0</v>
      </c>
      <c r="M193" s="14" t="n">
        <v>0</v>
      </c>
      <c r="N193" s="14" t="n">
        <v>0</v>
      </c>
      <c r="O193" s="14" t="n">
        <v>50082.83260109098</v>
      </c>
      <c r="P193" s="14" t="n">
        <v>0</v>
      </c>
      <c r="Q193" s="14" t="n">
        <v>356032.4446638519</v>
      </c>
      <c r="R193" s="15">
        <f>IF(D193=1,"Section 1","Control")</f>
        <v/>
      </c>
      <c r="S193" s="16">
        <f>N193/10000</f>
        <v/>
      </c>
      <c r="T193" s="16">
        <f>P193/10000</f>
        <v/>
      </c>
      <c r="U193" s="15">
        <f>IF(N193&gt;=Summary!$D$3,1,0)</f>
        <v/>
      </c>
      <c r="V193" s="17">
        <f>IF(N193&gt;0,P193/N193,"")</f>
        <v/>
      </c>
      <c r="W193" s="17">
        <f>IF(O193&gt;0,H193/O193,"")</f>
        <v/>
      </c>
    </row>
    <row r="194">
      <c r="A194" s="13" t="inlineStr">
        <is>
          <t>T07_F</t>
        </is>
      </c>
      <c r="B194" s="13" t="inlineStr">
        <is>
          <t>T07</t>
        </is>
      </c>
      <c r="C194" s="13" t="inlineStr">
        <is>
          <t>F</t>
        </is>
      </c>
      <c r="D194" s="13" t="n">
        <v>1</v>
      </c>
      <c r="E194" s="13" t="inlineStr">
        <is>
          <t>S1</t>
        </is>
      </c>
      <c r="F194" s="13" t="n">
        <v>2023</v>
      </c>
      <c r="G194" s="14" t="n">
        <v>50082.83260109098</v>
      </c>
      <c r="H194" s="14" t="n">
        <v>0</v>
      </c>
      <c r="I194" s="14" t="n">
        <v>1283.400886535644</v>
      </c>
      <c r="J194" s="14" t="n">
        <v>0</v>
      </c>
      <c r="K194" s="14" t="n">
        <v>48799.43171455534</v>
      </c>
      <c r="L194" s="14" t="n">
        <v>0</v>
      </c>
      <c r="M194" s="14" t="n">
        <v>0</v>
      </c>
      <c r="N194" s="14" t="n">
        <v>0</v>
      </c>
      <c r="O194" s="14" t="n">
        <v>50082.83260109098</v>
      </c>
      <c r="P194" s="14" t="n">
        <v>0</v>
      </c>
      <c r="Q194" s="14" t="n">
        <v>356032.4446638519</v>
      </c>
      <c r="R194" s="15">
        <f>IF(D194=1,"Section 1","Control")</f>
        <v/>
      </c>
      <c r="S194" s="16">
        <f>N194/10000</f>
        <v/>
      </c>
      <c r="T194" s="16">
        <f>P194/10000</f>
        <v/>
      </c>
      <c r="U194" s="15">
        <f>IF(N194&gt;=Summary!$D$3,1,0)</f>
        <v/>
      </c>
      <c r="V194" s="17">
        <f>IF(N194&gt;0,P194/N194,"")</f>
        <v/>
      </c>
      <c r="W194" s="17">
        <f>IF(O194&gt;0,H194/O194,"")</f>
        <v/>
      </c>
    </row>
    <row r="195">
      <c r="A195" s="13" t="inlineStr">
        <is>
          <t>T07_F</t>
        </is>
      </c>
      <c r="B195" s="13" t="inlineStr">
        <is>
          <t>T07</t>
        </is>
      </c>
      <c r="C195" s="13" t="inlineStr">
        <is>
          <t>F</t>
        </is>
      </c>
      <c r="D195" s="13" t="n">
        <v>1</v>
      </c>
      <c r="E195" s="13" t="inlineStr">
        <is>
          <t>S1</t>
        </is>
      </c>
      <c r="F195" s="13" t="n">
        <v>2024</v>
      </c>
      <c r="G195" s="14" t="n">
        <v>50082.83260109098</v>
      </c>
      <c r="H195" s="14" t="n">
        <v>0</v>
      </c>
      <c r="I195" s="14" t="n">
        <v>98.72315979003906</v>
      </c>
      <c r="J195" s="14" t="n">
        <v>0</v>
      </c>
      <c r="K195" s="14" t="n">
        <v>49984.10944130094</v>
      </c>
      <c r="L195" s="14" t="n">
        <v>0</v>
      </c>
      <c r="M195" s="14" t="n">
        <v>0</v>
      </c>
      <c r="N195" s="14" t="n">
        <v>0</v>
      </c>
      <c r="O195" s="14" t="n">
        <v>50082.83260109098</v>
      </c>
      <c r="P195" s="14" t="n">
        <v>0</v>
      </c>
      <c r="Q195" s="14" t="n">
        <v>356032.4446638519</v>
      </c>
      <c r="R195" s="15">
        <f>IF(D195=1,"Section 1","Control")</f>
        <v/>
      </c>
      <c r="S195" s="16">
        <f>N195/10000</f>
        <v/>
      </c>
      <c r="T195" s="16">
        <f>P195/10000</f>
        <v/>
      </c>
      <c r="U195" s="15">
        <f>IF(N195&gt;=Summary!$D$3,1,0)</f>
        <v/>
      </c>
      <c r="V195" s="17">
        <f>IF(N195&gt;0,P195/N195,"")</f>
        <v/>
      </c>
      <c r="W195" s="17">
        <f>IF(O195&gt;0,H195/O195,"")</f>
        <v/>
      </c>
    </row>
    <row r="196">
      <c r="A196" s="13" t="inlineStr">
        <is>
          <t>T07_F</t>
        </is>
      </c>
      <c r="B196" s="13" t="inlineStr">
        <is>
          <t>T07</t>
        </is>
      </c>
      <c r="C196" s="13" t="inlineStr">
        <is>
          <t>F</t>
        </is>
      </c>
      <c r="D196" s="13" t="n">
        <v>1</v>
      </c>
      <c r="E196" s="13" t="inlineStr">
        <is>
          <t>S1</t>
        </is>
      </c>
      <c r="F196" s="13" t="n">
        <v>2025</v>
      </c>
      <c r="G196" s="14" t="n">
        <v>50082.83260109099</v>
      </c>
      <c r="H196" s="14" t="n">
        <v>0</v>
      </c>
      <c r="I196" s="14" t="n">
        <v>3128.555586422191</v>
      </c>
      <c r="J196" s="14" t="n">
        <v>0</v>
      </c>
      <c r="K196" s="14" t="n">
        <v>46954.2770146688</v>
      </c>
      <c r="L196" s="14" t="n">
        <v>0</v>
      </c>
      <c r="M196" s="14" t="n">
        <v>0</v>
      </c>
      <c r="N196" s="14" t="n">
        <v>0</v>
      </c>
      <c r="O196" s="14" t="n">
        <v>50082.83260109099</v>
      </c>
      <c r="P196" s="14" t="n">
        <v>0</v>
      </c>
      <c r="Q196" s="14" t="n">
        <v>356032.4446638519</v>
      </c>
      <c r="R196" s="15">
        <f>IF(D196=1,"Section 1","Control")</f>
        <v/>
      </c>
      <c r="S196" s="16">
        <f>N196/10000</f>
        <v/>
      </c>
      <c r="T196" s="16">
        <f>P196/10000</f>
        <v/>
      </c>
      <c r="U196" s="15">
        <f>IF(N196&gt;=Summary!$D$3,1,0)</f>
        <v/>
      </c>
      <c r="V196" s="17">
        <f>IF(N196&gt;0,P196/N196,"")</f>
        <v/>
      </c>
      <c r="W196" s="17">
        <f>IF(O196&gt;0,H196/O196,"")</f>
        <v/>
      </c>
    </row>
    <row r="197">
      <c r="A197" s="13" t="inlineStr">
        <is>
          <t>T07_F</t>
        </is>
      </c>
      <c r="B197" s="13" t="inlineStr">
        <is>
          <t>T07</t>
        </is>
      </c>
      <c r="C197" s="13" t="inlineStr">
        <is>
          <t>F</t>
        </is>
      </c>
      <c r="D197" s="13" t="n">
        <v>1</v>
      </c>
      <c r="E197" s="13" t="inlineStr">
        <is>
          <t>S1</t>
        </is>
      </c>
      <c r="F197" s="13" t="n">
        <v>2026</v>
      </c>
      <c r="G197" s="14" t="n">
        <v>50082.83260109098</v>
      </c>
      <c r="H197" s="14" t="n">
        <v>0</v>
      </c>
      <c r="I197" s="14" t="n">
        <v>536.589479154699</v>
      </c>
      <c r="J197" s="14" t="n">
        <v>0</v>
      </c>
      <c r="K197" s="14" t="n">
        <v>49546.24312193629</v>
      </c>
      <c r="L197" s="14" t="n">
        <v>0</v>
      </c>
      <c r="M197" s="14" t="n">
        <v>0</v>
      </c>
      <c r="N197" s="14" t="n">
        <v>0</v>
      </c>
      <c r="O197" s="14" t="n">
        <v>50082.83260109098</v>
      </c>
      <c r="P197" s="14" t="n">
        <v>0</v>
      </c>
      <c r="Q197" s="14" t="n">
        <v>356032.4446638519</v>
      </c>
      <c r="R197" s="15">
        <f>IF(D197=1,"Section 1","Control")</f>
        <v/>
      </c>
      <c r="S197" s="16">
        <f>N197/10000</f>
        <v/>
      </c>
      <c r="T197" s="16">
        <f>P197/10000</f>
        <v/>
      </c>
      <c r="U197" s="15">
        <f>IF(N197&gt;=Summary!$D$3,1,0)</f>
        <v/>
      </c>
      <c r="V197" s="17">
        <f>IF(N197&gt;0,P197/N197,"")</f>
        <v/>
      </c>
      <c r="W197" s="17">
        <f>IF(O197&gt;0,H197/O197,"")</f>
        <v/>
      </c>
    </row>
    <row r="198">
      <c r="A198" s="13" t="inlineStr">
        <is>
          <t>T08_B1</t>
        </is>
      </c>
      <c r="B198" s="13" t="inlineStr">
        <is>
          <t>T08</t>
        </is>
      </c>
      <c r="C198" s="13" t="inlineStr">
        <is>
          <t>B1</t>
        </is>
      </c>
      <c r="D198" s="13" t="n">
        <v>1</v>
      </c>
      <c r="E198" s="13" t="inlineStr">
        <is>
          <t>S1</t>
        </is>
      </c>
      <c r="F198" s="13" t="n">
        <v>2020</v>
      </c>
      <c r="G198" s="14" t="n">
        <v>1015089.295133014</v>
      </c>
      <c r="H198" s="14" t="n">
        <v>63681.87218259928</v>
      </c>
      <c r="I198" s="14" t="n">
        <v>160130.4173269833</v>
      </c>
      <c r="J198" s="14" t="n">
        <v>55982.94127122467</v>
      </c>
      <c r="K198" s="14" t="n">
        <v>627920.3135085462</v>
      </c>
      <c r="L198" s="14" t="n">
        <v>107373.7508436614</v>
      </c>
      <c r="M198" s="14" t="n">
        <v>0</v>
      </c>
      <c r="N198" s="14" t="n">
        <v>63681.87218259928</v>
      </c>
      <c r="O198" s="14" t="n">
        <v>907715.544289353</v>
      </c>
      <c r="P198" s="14" t="n">
        <v>0</v>
      </c>
      <c r="Q198" s="14" t="n">
        <v>5163137.077010328</v>
      </c>
      <c r="R198" s="15">
        <f>IF(D198=1,"Section 1","Control")</f>
        <v/>
      </c>
      <c r="S198" s="16">
        <f>N198/10000</f>
        <v/>
      </c>
      <c r="T198" s="16">
        <f>P198/10000</f>
        <v/>
      </c>
      <c r="U198" s="15">
        <f>IF(N198&gt;=Summary!$D$3,1,0)</f>
        <v/>
      </c>
      <c r="V198" s="17">
        <f>IF(N198&gt;0,P198/N198,"")</f>
        <v/>
      </c>
      <c r="W198" s="17">
        <f>IF(O198&gt;0,H198/O198,"")</f>
        <v/>
      </c>
    </row>
    <row r="199">
      <c r="A199" s="13" t="inlineStr">
        <is>
          <t>T08_B1</t>
        </is>
      </c>
      <c r="B199" s="13" t="inlineStr">
        <is>
          <t>T08</t>
        </is>
      </c>
      <c r="C199" s="13" t="inlineStr">
        <is>
          <t>B1</t>
        </is>
      </c>
      <c r="D199" s="13" t="n">
        <v>1</v>
      </c>
      <c r="E199" s="13" t="inlineStr">
        <is>
          <t>S1</t>
        </is>
      </c>
      <c r="F199" s="13" t="n">
        <v>2021</v>
      </c>
      <c r="G199" s="14" t="n">
        <v>1015089.295133014</v>
      </c>
      <c r="H199" s="14" t="n">
        <v>60795.32021215105</v>
      </c>
      <c r="I199" s="14" t="n">
        <v>165224.0469791786</v>
      </c>
      <c r="J199" s="14" t="n">
        <v>54798.25818101472</v>
      </c>
      <c r="K199" s="14" t="n">
        <v>607691.2821894926</v>
      </c>
      <c r="L199" s="14" t="n">
        <v>126580.3875711778</v>
      </c>
      <c r="M199" s="14" t="n">
        <v>0</v>
      </c>
      <c r="N199" s="14" t="n">
        <v>63681.87218259928</v>
      </c>
      <c r="O199" s="14" t="n">
        <v>907715.544289353</v>
      </c>
      <c r="P199" s="14" t="n">
        <v>13055.06089683982</v>
      </c>
      <c r="Q199" s="14" t="n">
        <v>5163137.077010328</v>
      </c>
      <c r="R199" s="15">
        <f>IF(D199=1,"Section 1","Control")</f>
        <v/>
      </c>
      <c r="S199" s="16">
        <f>N199/10000</f>
        <v/>
      </c>
      <c r="T199" s="16">
        <f>P199/10000</f>
        <v/>
      </c>
      <c r="U199" s="15">
        <f>IF(N199&gt;=Summary!$D$3,1,0)</f>
        <v/>
      </c>
      <c r="V199" s="17">
        <f>IF(N199&gt;0,P199/N199,"")</f>
        <v/>
      </c>
      <c r="W199" s="17">
        <f>IF(O199&gt;0,H199/O199,"")</f>
        <v/>
      </c>
    </row>
    <row r="200">
      <c r="A200" s="13" t="inlineStr">
        <is>
          <t>T08_B1</t>
        </is>
      </c>
      <c r="B200" s="13" t="inlineStr">
        <is>
          <t>T08</t>
        </is>
      </c>
      <c r="C200" s="13" t="inlineStr">
        <is>
          <t>B1</t>
        </is>
      </c>
      <c r="D200" s="13" t="n">
        <v>1</v>
      </c>
      <c r="E200" s="13" t="inlineStr">
        <is>
          <t>S1</t>
        </is>
      </c>
      <c r="F200" s="13" t="n">
        <v>2022</v>
      </c>
      <c r="G200" s="14" t="n">
        <v>1015089.295133014</v>
      </c>
      <c r="H200" s="14" t="n">
        <v>34974.72839193905</v>
      </c>
      <c r="I200" s="14" t="n">
        <v>178976.4796473185</v>
      </c>
      <c r="J200" s="14" t="n">
        <v>51378.15899026909</v>
      </c>
      <c r="K200" s="14" t="n">
        <v>637055.0866302489</v>
      </c>
      <c r="L200" s="14" t="n">
        <v>112704.8414732391</v>
      </c>
      <c r="M200" s="14" t="n">
        <v>0</v>
      </c>
      <c r="N200" s="14" t="n">
        <v>63681.87218259928</v>
      </c>
      <c r="O200" s="14" t="n">
        <v>907715.544289353</v>
      </c>
      <c r="P200" s="14" t="n">
        <v>31175.22506660013</v>
      </c>
      <c r="Q200" s="14" t="n">
        <v>5163137.077010328</v>
      </c>
      <c r="R200" s="15">
        <f>IF(D200=1,"Section 1","Control")</f>
        <v/>
      </c>
      <c r="S200" s="16">
        <f>N200/10000</f>
        <v/>
      </c>
      <c r="T200" s="16">
        <f>P200/10000</f>
        <v/>
      </c>
      <c r="U200" s="15">
        <f>IF(N200&gt;=Summary!$D$3,1,0)</f>
        <v/>
      </c>
      <c r="V200" s="17">
        <f>IF(N200&gt;0,P200/N200,"")</f>
        <v/>
      </c>
      <c r="W200" s="17">
        <f>IF(O200&gt;0,H200/O200,"")</f>
        <v/>
      </c>
    </row>
    <row r="201">
      <c r="A201" s="13" t="inlineStr">
        <is>
          <t>T08_B1</t>
        </is>
      </c>
      <c r="B201" s="13" t="inlineStr">
        <is>
          <t>T08</t>
        </is>
      </c>
      <c r="C201" s="13" t="inlineStr">
        <is>
          <t>B1</t>
        </is>
      </c>
      <c r="D201" s="13" t="n">
        <v>1</v>
      </c>
      <c r="E201" s="13" t="inlineStr">
        <is>
          <t>S1</t>
        </is>
      </c>
      <c r="F201" s="13" t="n">
        <v>2023</v>
      </c>
      <c r="G201" s="14" t="n">
        <v>1015089.295133014</v>
      </c>
      <c r="H201" s="14" t="n">
        <v>28905.77760506425</v>
      </c>
      <c r="I201" s="14" t="n">
        <v>154009.9132882212</v>
      </c>
      <c r="J201" s="14" t="n">
        <v>56936.88447690477</v>
      </c>
      <c r="K201" s="14" t="n">
        <v>652168.965933766</v>
      </c>
      <c r="L201" s="14" t="n">
        <v>123067.7538290585</v>
      </c>
      <c r="M201" s="14" t="n">
        <v>0</v>
      </c>
      <c r="N201" s="14" t="n">
        <v>63681.87218259928</v>
      </c>
      <c r="O201" s="14" t="n">
        <v>907715.544289353</v>
      </c>
      <c r="P201" s="14" t="n">
        <v>37721.53162425922</v>
      </c>
      <c r="Q201" s="14" t="n">
        <v>5163137.077010328</v>
      </c>
      <c r="R201" s="15">
        <f>IF(D201=1,"Section 1","Control")</f>
        <v/>
      </c>
      <c r="S201" s="16">
        <f>N201/10000</f>
        <v/>
      </c>
      <c r="T201" s="16">
        <f>P201/10000</f>
        <v/>
      </c>
      <c r="U201" s="15">
        <f>IF(N201&gt;=Summary!$D$3,1,0)</f>
        <v/>
      </c>
      <c r="V201" s="17">
        <f>IF(N201&gt;0,P201/N201,"")</f>
        <v/>
      </c>
      <c r="W201" s="17">
        <f>IF(O201&gt;0,H201/O201,"")</f>
        <v/>
      </c>
    </row>
    <row r="202">
      <c r="A202" s="13" t="inlineStr">
        <is>
          <t>T08_B1</t>
        </is>
      </c>
      <c r="B202" s="13" t="inlineStr">
        <is>
          <t>T08</t>
        </is>
      </c>
      <c r="C202" s="13" t="inlineStr">
        <is>
          <t>B1</t>
        </is>
      </c>
      <c r="D202" s="13" t="n">
        <v>1</v>
      </c>
      <c r="E202" s="13" t="inlineStr">
        <is>
          <t>S1</t>
        </is>
      </c>
      <c r="F202" s="13" t="n">
        <v>2024</v>
      </c>
      <c r="G202" s="14" t="n">
        <v>1015089.295133014</v>
      </c>
      <c r="H202" s="14" t="n">
        <v>22169.37135506424</v>
      </c>
      <c r="I202" s="14" t="n">
        <v>128946.5339350383</v>
      </c>
      <c r="J202" s="14" t="n">
        <v>58849.02692565917</v>
      </c>
      <c r="K202" s="14" t="n">
        <v>684319.9034206016</v>
      </c>
      <c r="L202" s="14" t="n">
        <v>120804.4594966514</v>
      </c>
      <c r="M202" s="14" t="n">
        <v>0</v>
      </c>
      <c r="N202" s="14" t="n">
        <v>63681.87218259928</v>
      </c>
      <c r="O202" s="14" t="n">
        <v>907715.544289353</v>
      </c>
      <c r="P202" s="14" t="n">
        <v>43470.7053608315</v>
      </c>
      <c r="Q202" s="14" t="n">
        <v>5163137.077010328</v>
      </c>
      <c r="R202" s="15">
        <f>IF(D202=1,"Section 1","Control")</f>
        <v/>
      </c>
      <c r="S202" s="16">
        <f>N202/10000</f>
        <v/>
      </c>
      <c r="T202" s="16">
        <f>P202/10000</f>
        <v/>
      </c>
      <c r="U202" s="15">
        <f>IF(N202&gt;=Summary!$D$3,1,0)</f>
        <v/>
      </c>
      <c r="V202" s="17">
        <f>IF(N202&gt;0,P202/N202,"")</f>
        <v/>
      </c>
      <c r="W202" s="17">
        <f>IF(O202&gt;0,H202/O202,"")</f>
        <v/>
      </c>
    </row>
    <row r="203">
      <c r="A203" s="13" t="inlineStr">
        <is>
          <t>T08_B1</t>
        </is>
      </c>
      <c r="B203" s="13" t="inlineStr">
        <is>
          <t>T08</t>
        </is>
      </c>
      <c r="C203" s="13" t="inlineStr">
        <is>
          <t>B1</t>
        </is>
      </c>
      <c r="D203" s="13" t="n">
        <v>1</v>
      </c>
      <c r="E203" s="13" t="inlineStr">
        <is>
          <t>S1</t>
        </is>
      </c>
      <c r="F203" s="13" t="n">
        <v>2025</v>
      </c>
      <c r="G203" s="14" t="n">
        <v>1015089.295133014</v>
      </c>
      <c r="H203" s="14" t="n">
        <v>7278.419834929822</v>
      </c>
      <c r="I203" s="14" t="n">
        <v>180471.3118246042</v>
      </c>
      <c r="J203" s="14" t="n">
        <v>59931.88968125885</v>
      </c>
      <c r="K203" s="14" t="n">
        <v>643830.041366218</v>
      </c>
      <c r="L203" s="14" t="n">
        <v>123577.6324260038</v>
      </c>
      <c r="M203" s="14" t="n">
        <v>0</v>
      </c>
      <c r="N203" s="14" t="n">
        <v>63681.87218259928</v>
      </c>
      <c r="O203" s="14" t="n">
        <v>907715.544289353</v>
      </c>
      <c r="P203" s="14" t="n">
        <v>57193.23759547218</v>
      </c>
      <c r="Q203" s="14" t="n">
        <v>5163137.077010328</v>
      </c>
      <c r="R203" s="15">
        <f>IF(D203=1,"Section 1","Control")</f>
        <v/>
      </c>
      <c r="S203" s="16">
        <f>N203/10000</f>
        <v/>
      </c>
      <c r="T203" s="16">
        <f>P203/10000</f>
        <v/>
      </c>
      <c r="U203" s="15">
        <f>IF(N203&gt;=Summary!$D$3,1,0)</f>
        <v/>
      </c>
      <c r="V203" s="17">
        <f>IF(N203&gt;0,P203/N203,"")</f>
        <v/>
      </c>
      <c r="W203" s="17">
        <f>IF(O203&gt;0,H203/O203,"")</f>
        <v/>
      </c>
    </row>
    <row r="204">
      <c r="A204" s="13" t="inlineStr">
        <is>
          <t>T08_B1</t>
        </is>
      </c>
      <c r="B204" s="13" t="inlineStr">
        <is>
          <t>T08</t>
        </is>
      </c>
      <c r="C204" s="13" t="inlineStr">
        <is>
          <t>B1</t>
        </is>
      </c>
      <c r="D204" s="13" t="n">
        <v>1</v>
      </c>
      <c r="E204" s="13" t="inlineStr">
        <is>
          <t>S1</t>
        </is>
      </c>
      <c r="F204" s="13" t="n">
        <v>2026</v>
      </c>
      <c r="G204" s="14" t="n">
        <v>1015089.295133014</v>
      </c>
      <c r="H204" s="14" t="n">
        <v>32252.35577599021</v>
      </c>
      <c r="I204" s="14" t="n">
        <v>121379.6420191148</v>
      </c>
      <c r="J204" s="14" t="n">
        <v>59931.89010850494</v>
      </c>
      <c r="K204" s="14" t="n">
        <v>676886.5919591566</v>
      </c>
      <c r="L204" s="14" t="n">
        <v>124638.8152702481</v>
      </c>
      <c r="M204" s="14" t="n">
        <v>0</v>
      </c>
      <c r="N204" s="14" t="n">
        <v>63681.87218259928</v>
      </c>
      <c r="O204" s="14" t="n">
        <v>907715.544289353</v>
      </c>
      <c r="P204" s="14" t="n">
        <v>57390.68313685402</v>
      </c>
      <c r="Q204" s="14" t="n">
        <v>5163137.077010328</v>
      </c>
      <c r="R204" s="15">
        <f>IF(D204=1,"Section 1","Control")</f>
        <v/>
      </c>
      <c r="S204" s="16">
        <f>N204/10000</f>
        <v/>
      </c>
      <c r="T204" s="16">
        <f>P204/10000</f>
        <v/>
      </c>
      <c r="U204" s="15">
        <f>IF(N204&gt;=Summary!$D$3,1,0)</f>
        <v/>
      </c>
      <c r="V204" s="17">
        <f>IF(N204&gt;0,P204/N204,"")</f>
        <v/>
      </c>
      <c r="W204" s="17">
        <f>IF(O204&gt;0,H204/O204,"")</f>
        <v/>
      </c>
    </row>
    <row r="205">
      <c r="A205" s="13" t="inlineStr">
        <is>
          <t>T08_B2</t>
        </is>
      </c>
      <c r="B205" s="13" t="inlineStr">
        <is>
          <t>T08</t>
        </is>
      </c>
      <c r="C205" s="13" t="inlineStr">
        <is>
          <t>B2</t>
        </is>
      </c>
      <c r="D205" s="13" t="n">
        <v>1</v>
      </c>
      <c r="E205" s="13" t="inlineStr">
        <is>
          <t>S1</t>
        </is>
      </c>
      <c r="F205" s="13" t="n">
        <v>2020</v>
      </c>
      <c r="G205" s="14" t="n">
        <v>1014075.042219813</v>
      </c>
      <c r="H205" s="14" t="n">
        <v>18178.78106572768</v>
      </c>
      <c r="I205" s="14" t="n">
        <v>69765.36061419318</v>
      </c>
      <c r="J205" s="14" t="n">
        <v>0</v>
      </c>
      <c r="K205" s="14" t="n">
        <v>369973.1486831666</v>
      </c>
      <c r="L205" s="14" t="n">
        <v>556157.7518567254</v>
      </c>
      <c r="M205" s="14" t="n">
        <v>0</v>
      </c>
      <c r="N205" s="14" t="n">
        <v>18178.78106572768</v>
      </c>
      <c r="O205" s="14" t="n">
        <v>457917.2903630874</v>
      </c>
      <c r="P205" s="14" t="n">
        <v>0</v>
      </c>
      <c r="Q205" s="14" t="n">
        <v>1688447.128067375</v>
      </c>
      <c r="R205" s="15">
        <f>IF(D205=1,"Section 1","Control")</f>
        <v/>
      </c>
      <c r="S205" s="16">
        <f>N205/10000</f>
        <v/>
      </c>
      <c r="T205" s="16">
        <f>P205/10000</f>
        <v/>
      </c>
      <c r="U205" s="15">
        <f>IF(N205&gt;=Summary!$D$3,1,0)</f>
        <v/>
      </c>
      <c r="V205" s="17">
        <f>IF(N205&gt;0,P205/N205,"")</f>
        <v/>
      </c>
      <c r="W205" s="17">
        <f>IF(O205&gt;0,H205/O205,"")</f>
        <v/>
      </c>
    </row>
    <row r="206">
      <c r="A206" s="13" t="inlineStr">
        <is>
          <t>T08_B2</t>
        </is>
      </c>
      <c r="B206" s="13" t="inlineStr">
        <is>
          <t>T08</t>
        </is>
      </c>
      <c r="C206" s="13" t="inlineStr">
        <is>
          <t>B2</t>
        </is>
      </c>
      <c r="D206" s="13" t="n">
        <v>1</v>
      </c>
      <c r="E206" s="13" t="inlineStr">
        <is>
          <t>S1</t>
        </is>
      </c>
      <c r="F206" s="13" t="n">
        <v>2021</v>
      </c>
      <c r="G206" s="14" t="n">
        <v>1014075.042219813</v>
      </c>
      <c r="H206" s="14" t="n">
        <v>12058.0180728688</v>
      </c>
      <c r="I206" s="14" t="n">
        <v>63022.83931307325</v>
      </c>
      <c r="J206" s="14" t="n">
        <v>0</v>
      </c>
      <c r="K206" s="14" t="n">
        <v>382369.1390696508</v>
      </c>
      <c r="L206" s="14" t="n">
        <v>556625.0457642201</v>
      </c>
      <c r="M206" s="14" t="n">
        <v>0</v>
      </c>
      <c r="N206" s="14" t="n">
        <v>18178.78106572768</v>
      </c>
      <c r="O206" s="14" t="n">
        <v>457917.2903630874</v>
      </c>
      <c r="P206" s="14" t="n">
        <v>6318.206741333008</v>
      </c>
      <c r="Q206" s="14" t="n">
        <v>1688447.128067375</v>
      </c>
      <c r="R206" s="15">
        <f>IF(D206=1,"Section 1","Control")</f>
        <v/>
      </c>
      <c r="S206" s="16">
        <f>N206/10000</f>
        <v/>
      </c>
      <c r="T206" s="16">
        <f>P206/10000</f>
        <v/>
      </c>
      <c r="U206" s="15">
        <f>IF(N206&gt;=Summary!$D$3,1,0)</f>
        <v/>
      </c>
      <c r="V206" s="17">
        <f>IF(N206&gt;0,P206/N206,"")</f>
        <v/>
      </c>
      <c r="W206" s="17">
        <f>IF(O206&gt;0,H206/O206,"")</f>
        <v/>
      </c>
    </row>
    <row r="207">
      <c r="A207" s="13" t="inlineStr">
        <is>
          <t>T08_B2</t>
        </is>
      </c>
      <c r="B207" s="13" t="inlineStr">
        <is>
          <t>T08</t>
        </is>
      </c>
      <c r="C207" s="13" t="inlineStr">
        <is>
          <t>B2</t>
        </is>
      </c>
      <c r="D207" s="13" t="n">
        <v>1</v>
      </c>
      <c r="E207" s="13" t="inlineStr">
        <is>
          <t>S1</t>
        </is>
      </c>
      <c r="F207" s="13" t="n">
        <v>2022</v>
      </c>
      <c r="G207" s="14" t="n">
        <v>1014075.042219813</v>
      </c>
      <c r="H207" s="14" t="n">
        <v>8306.577605034323</v>
      </c>
      <c r="I207" s="14" t="n">
        <v>47840.58292344037</v>
      </c>
      <c r="J207" s="14" t="n">
        <v>0</v>
      </c>
      <c r="K207" s="14" t="n">
        <v>401967.5780310239</v>
      </c>
      <c r="L207" s="14" t="n">
        <v>555960.3036603143</v>
      </c>
      <c r="M207" s="14" t="n">
        <v>0</v>
      </c>
      <c r="N207" s="14" t="n">
        <v>18178.78106572768</v>
      </c>
      <c r="O207" s="14" t="n">
        <v>457917.2903630874</v>
      </c>
      <c r="P207" s="14" t="n">
        <v>10760.70031738281</v>
      </c>
      <c r="Q207" s="14" t="n">
        <v>1688447.128067375</v>
      </c>
      <c r="R207" s="15">
        <f>IF(D207=1,"Section 1","Control")</f>
        <v/>
      </c>
      <c r="S207" s="16">
        <f>N207/10000</f>
        <v/>
      </c>
      <c r="T207" s="16">
        <f>P207/10000</f>
        <v/>
      </c>
      <c r="U207" s="15">
        <f>IF(N207&gt;=Summary!$D$3,1,0)</f>
        <v/>
      </c>
      <c r="V207" s="17">
        <f>IF(N207&gt;0,P207/N207,"")</f>
        <v/>
      </c>
      <c r="W207" s="17">
        <f>IF(O207&gt;0,H207/O207,"")</f>
        <v/>
      </c>
    </row>
    <row r="208">
      <c r="A208" s="13" t="inlineStr">
        <is>
          <t>T08_B2</t>
        </is>
      </c>
      <c r="B208" s="13" t="inlineStr">
        <is>
          <t>T08</t>
        </is>
      </c>
      <c r="C208" s="13" t="inlineStr">
        <is>
          <t>B2</t>
        </is>
      </c>
      <c r="D208" s="13" t="n">
        <v>1</v>
      </c>
      <c r="E208" s="13" t="inlineStr">
        <is>
          <t>S1</t>
        </is>
      </c>
      <c r="F208" s="13" t="n">
        <v>2023</v>
      </c>
      <c r="G208" s="14" t="n">
        <v>1014075.042219813</v>
      </c>
      <c r="H208" s="14" t="n">
        <v>6888.078610498765</v>
      </c>
      <c r="I208" s="14" t="n">
        <v>27141.52188334745</v>
      </c>
      <c r="J208" s="14" t="n">
        <v>0</v>
      </c>
      <c r="K208" s="14" t="n">
        <v>422960.8448318482</v>
      </c>
      <c r="L208" s="14" t="n">
        <v>557084.5968941184</v>
      </c>
      <c r="M208" s="14" t="n">
        <v>0</v>
      </c>
      <c r="N208" s="14" t="n">
        <v>18178.78106572768</v>
      </c>
      <c r="O208" s="14" t="n">
        <v>457917.2903630874</v>
      </c>
      <c r="P208" s="14" t="n">
        <v>11784.31165475284</v>
      </c>
      <c r="Q208" s="14" t="n">
        <v>1688447.128067375</v>
      </c>
      <c r="R208" s="15">
        <f>IF(D208=1,"Section 1","Control")</f>
        <v/>
      </c>
      <c r="S208" s="16">
        <f>N208/10000</f>
        <v/>
      </c>
      <c r="T208" s="16">
        <f>P208/10000</f>
        <v/>
      </c>
      <c r="U208" s="15">
        <f>IF(N208&gt;=Summary!$D$3,1,0)</f>
        <v/>
      </c>
      <c r="V208" s="17">
        <f>IF(N208&gt;0,P208/N208,"")</f>
        <v/>
      </c>
      <c r="W208" s="17">
        <f>IF(O208&gt;0,H208/O208,"")</f>
        <v/>
      </c>
    </row>
    <row r="209">
      <c r="A209" s="13" t="inlineStr">
        <is>
          <t>T08_B2</t>
        </is>
      </c>
      <c r="B209" s="13" t="inlineStr">
        <is>
          <t>T08</t>
        </is>
      </c>
      <c r="C209" s="13" t="inlineStr">
        <is>
          <t>B2</t>
        </is>
      </c>
      <c r="D209" s="13" t="n">
        <v>1</v>
      </c>
      <c r="E209" s="13" t="inlineStr">
        <is>
          <t>S1</t>
        </is>
      </c>
      <c r="F209" s="13" t="n">
        <v>2024</v>
      </c>
      <c r="G209" s="14" t="n">
        <v>1014075.042219813</v>
      </c>
      <c r="H209" s="14" t="n">
        <v>2840.486195642808</v>
      </c>
      <c r="I209" s="14" t="n">
        <v>29822.47500065822</v>
      </c>
      <c r="J209" s="14" t="n">
        <v>0</v>
      </c>
      <c r="K209" s="14" t="n">
        <v>424685.2137142107</v>
      </c>
      <c r="L209" s="14" t="n">
        <v>556726.867309301</v>
      </c>
      <c r="M209" s="14" t="n">
        <v>0</v>
      </c>
      <c r="N209" s="14" t="n">
        <v>18178.78106572768</v>
      </c>
      <c r="O209" s="14" t="n">
        <v>457917.2903630874</v>
      </c>
      <c r="P209" s="14" t="n">
        <v>15535.73836678898</v>
      </c>
      <c r="Q209" s="14" t="n">
        <v>1688447.128067375</v>
      </c>
      <c r="R209" s="15">
        <f>IF(D209=1,"Section 1","Control")</f>
        <v/>
      </c>
      <c r="S209" s="16">
        <f>N209/10000</f>
        <v/>
      </c>
      <c r="T209" s="16">
        <f>P209/10000</f>
        <v/>
      </c>
      <c r="U209" s="15">
        <f>IF(N209&gt;=Summary!$D$3,1,0)</f>
        <v/>
      </c>
      <c r="V209" s="17">
        <f>IF(N209&gt;0,P209/N209,"")</f>
        <v/>
      </c>
      <c r="W209" s="17">
        <f>IF(O209&gt;0,H209/O209,"")</f>
        <v/>
      </c>
    </row>
    <row r="210">
      <c r="A210" s="13" t="inlineStr">
        <is>
          <t>T08_B2</t>
        </is>
      </c>
      <c r="B210" s="13" t="inlineStr">
        <is>
          <t>T08</t>
        </is>
      </c>
      <c r="C210" s="13" t="inlineStr">
        <is>
          <t>B2</t>
        </is>
      </c>
      <c r="D210" s="13" t="n">
        <v>1</v>
      </c>
      <c r="E210" s="13" t="inlineStr">
        <is>
          <t>S1</t>
        </is>
      </c>
      <c r="F210" s="13" t="n">
        <v>2025</v>
      </c>
      <c r="G210" s="14" t="n">
        <v>1014075.042219813</v>
      </c>
      <c r="H210" s="14" t="n">
        <v>2149.43195064769</v>
      </c>
      <c r="I210" s="14" t="n">
        <v>17186.08584050197</v>
      </c>
      <c r="J210" s="14" t="n">
        <v>0</v>
      </c>
      <c r="K210" s="14" t="n">
        <v>437915.4816191731</v>
      </c>
      <c r="L210" s="14" t="n">
        <v>556824.0428094901</v>
      </c>
      <c r="M210" s="14" t="n">
        <v>0</v>
      </c>
      <c r="N210" s="14" t="n">
        <v>18178.78106572768</v>
      </c>
      <c r="O210" s="14" t="n">
        <v>457917.2903630874</v>
      </c>
      <c r="P210" s="14" t="n">
        <v>16029.34911507999</v>
      </c>
      <c r="Q210" s="14" t="n">
        <v>1688447.128067375</v>
      </c>
      <c r="R210" s="15">
        <f>IF(D210=1,"Section 1","Control")</f>
        <v/>
      </c>
      <c r="S210" s="16">
        <f>N210/10000</f>
        <v/>
      </c>
      <c r="T210" s="16">
        <f>P210/10000</f>
        <v/>
      </c>
      <c r="U210" s="15">
        <f>IF(N210&gt;=Summary!$D$3,1,0)</f>
        <v/>
      </c>
      <c r="V210" s="17">
        <f>IF(N210&gt;0,P210/N210,"")</f>
        <v/>
      </c>
      <c r="W210" s="17">
        <f>IF(O210&gt;0,H210/O210,"")</f>
        <v/>
      </c>
    </row>
    <row r="211">
      <c r="A211" s="13" t="inlineStr">
        <is>
          <t>T08_B2</t>
        </is>
      </c>
      <c r="B211" s="13" t="inlineStr">
        <is>
          <t>T08</t>
        </is>
      </c>
      <c r="C211" s="13" t="inlineStr">
        <is>
          <t>B2</t>
        </is>
      </c>
      <c r="D211" s="13" t="n">
        <v>1</v>
      </c>
      <c r="E211" s="13" t="inlineStr">
        <is>
          <t>S1</t>
        </is>
      </c>
      <c r="F211" s="13" t="n">
        <v>2026</v>
      </c>
      <c r="G211" s="14" t="n">
        <v>1014075.042219813</v>
      </c>
      <c r="H211" s="14" t="n">
        <v>1260.934453089097</v>
      </c>
      <c r="I211" s="14" t="n">
        <v>29891.7613145716</v>
      </c>
      <c r="J211" s="14" t="n">
        <v>0</v>
      </c>
      <c r="K211" s="14" t="n">
        <v>426468.4221711102</v>
      </c>
      <c r="L211" s="14" t="n">
        <v>556453.9242810418</v>
      </c>
      <c r="M211" s="14" t="n">
        <v>0</v>
      </c>
      <c r="N211" s="14" t="n">
        <v>18178.78106572768</v>
      </c>
      <c r="O211" s="14" t="n">
        <v>457917.2903630874</v>
      </c>
      <c r="P211" s="14" t="n">
        <v>16917.84661263859</v>
      </c>
      <c r="Q211" s="14" t="n">
        <v>1688447.128067375</v>
      </c>
      <c r="R211" s="15">
        <f>IF(D211=1,"Section 1","Control")</f>
        <v/>
      </c>
      <c r="S211" s="16">
        <f>N211/10000</f>
        <v/>
      </c>
      <c r="T211" s="16">
        <f>P211/10000</f>
        <v/>
      </c>
      <c r="U211" s="15">
        <f>IF(N211&gt;=Summary!$D$3,1,0)</f>
        <v/>
      </c>
      <c r="V211" s="17">
        <f>IF(N211&gt;0,P211/N211,"")</f>
        <v/>
      </c>
      <c r="W211" s="17">
        <f>IF(O211&gt;0,H211/O211,"")</f>
        <v/>
      </c>
    </row>
    <row r="212">
      <c r="A212" s="13" t="inlineStr">
        <is>
          <t>T08_B3</t>
        </is>
      </c>
      <c r="B212" s="13" t="inlineStr">
        <is>
          <t>T08</t>
        </is>
      </c>
      <c r="C212" s="13" t="inlineStr">
        <is>
          <t>B3</t>
        </is>
      </c>
      <c r="D212" s="13" t="n">
        <v>1</v>
      </c>
      <c r="E212" s="13" t="inlineStr">
        <is>
          <t>S1</t>
        </is>
      </c>
      <c r="F212" s="13" t="n">
        <v>2020</v>
      </c>
      <c r="G212" s="14" t="n">
        <v>8171713.784940084</v>
      </c>
      <c r="H212" s="14" t="n">
        <v>142903.8159361596</v>
      </c>
      <c r="I212" s="14" t="n">
        <v>754401.6460630528</v>
      </c>
      <c r="J212" s="14" t="n">
        <v>0</v>
      </c>
      <c r="K212" s="14" t="n">
        <v>1078276.989131913</v>
      </c>
      <c r="L212" s="14" t="n">
        <v>6196131.333808958</v>
      </c>
      <c r="M212" s="14" t="n">
        <v>0</v>
      </c>
      <c r="N212" s="14" t="n">
        <v>142903.8159361596</v>
      </c>
      <c r="O212" s="14" t="n">
        <v>1975582.451131125</v>
      </c>
      <c r="P212" s="14" t="n">
        <v>0</v>
      </c>
      <c r="Q212" s="14" t="n">
        <v>2713540.900301226</v>
      </c>
      <c r="R212" s="15">
        <f>IF(D212=1,"Section 1","Control")</f>
        <v/>
      </c>
      <c r="S212" s="16">
        <f>N212/10000</f>
        <v/>
      </c>
      <c r="T212" s="16">
        <f>P212/10000</f>
        <v/>
      </c>
      <c r="U212" s="15">
        <f>IF(N212&gt;=Summary!$D$3,1,0)</f>
        <v/>
      </c>
      <c r="V212" s="17">
        <f>IF(N212&gt;0,P212/N212,"")</f>
        <v/>
      </c>
      <c r="W212" s="17">
        <f>IF(O212&gt;0,H212/O212,"")</f>
        <v/>
      </c>
    </row>
    <row r="213">
      <c r="A213" s="13" t="inlineStr">
        <is>
          <t>T08_B3</t>
        </is>
      </c>
      <c r="B213" s="13" t="inlineStr">
        <is>
          <t>T08</t>
        </is>
      </c>
      <c r="C213" s="13" t="inlineStr">
        <is>
          <t>B3</t>
        </is>
      </c>
      <c r="D213" s="13" t="n">
        <v>1</v>
      </c>
      <c r="E213" s="13" t="inlineStr">
        <is>
          <t>S1</t>
        </is>
      </c>
      <c r="F213" s="13" t="n">
        <v>2021</v>
      </c>
      <c r="G213" s="14" t="n">
        <v>8171713.784940084</v>
      </c>
      <c r="H213" s="14" t="n">
        <v>118330.5028436997</v>
      </c>
      <c r="I213" s="14" t="n">
        <v>624535.5842188518</v>
      </c>
      <c r="J213" s="14" t="n">
        <v>0</v>
      </c>
      <c r="K213" s="14" t="n">
        <v>1238539.479732977</v>
      </c>
      <c r="L213" s="14" t="n">
        <v>6190308.218144555</v>
      </c>
      <c r="M213" s="14" t="n">
        <v>0</v>
      </c>
      <c r="N213" s="14" t="n">
        <v>142903.8159361596</v>
      </c>
      <c r="O213" s="14" t="n">
        <v>1975582.451131125</v>
      </c>
      <c r="P213" s="14" t="n">
        <v>49586.54903289197</v>
      </c>
      <c r="Q213" s="14" t="n">
        <v>2713540.900301226</v>
      </c>
      <c r="R213" s="15">
        <f>IF(D213=1,"Section 1","Control")</f>
        <v/>
      </c>
      <c r="S213" s="16">
        <f>N213/10000</f>
        <v/>
      </c>
      <c r="T213" s="16">
        <f>P213/10000</f>
        <v/>
      </c>
      <c r="U213" s="15">
        <f>IF(N213&gt;=Summary!$D$3,1,0)</f>
        <v/>
      </c>
      <c r="V213" s="17">
        <f>IF(N213&gt;0,P213/N213,"")</f>
        <v/>
      </c>
      <c r="W213" s="17">
        <f>IF(O213&gt;0,H213/O213,"")</f>
        <v/>
      </c>
    </row>
    <row r="214">
      <c r="A214" s="13" t="inlineStr">
        <is>
          <t>T08_B3</t>
        </is>
      </c>
      <c r="B214" s="13" t="inlineStr">
        <is>
          <t>T08</t>
        </is>
      </c>
      <c r="C214" s="13" t="inlineStr">
        <is>
          <t>B3</t>
        </is>
      </c>
      <c r="D214" s="13" t="n">
        <v>1</v>
      </c>
      <c r="E214" s="13" t="inlineStr">
        <is>
          <t>S1</t>
        </is>
      </c>
      <c r="F214" s="13" t="n">
        <v>2022</v>
      </c>
      <c r="G214" s="14" t="n">
        <v>8171713.784940084</v>
      </c>
      <c r="H214" s="14" t="n">
        <v>82270.64899262073</v>
      </c>
      <c r="I214" s="14" t="n">
        <v>740104.3577130188</v>
      </c>
      <c r="J214" s="14" t="n">
        <v>0</v>
      </c>
      <c r="K214" s="14" t="n">
        <v>1262695.068700453</v>
      </c>
      <c r="L214" s="14" t="n">
        <v>6086643.70953399</v>
      </c>
      <c r="M214" s="14" t="n">
        <v>0</v>
      </c>
      <c r="N214" s="14" t="n">
        <v>142903.8159361596</v>
      </c>
      <c r="O214" s="14" t="n">
        <v>1975582.451131125</v>
      </c>
      <c r="P214" s="14" t="n">
        <v>87813.15390921199</v>
      </c>
      <c r="Q214" s="14" t="n">
        <v>2713540.900301226</v>
      </c>
      <c r="R214" s="15">
        <f>IF(D214=1,"Section 1","Control")</f>
        <v/>
      </c>
      <c r="S214" s="16">
        <f>N214/10000</f>
        <v/>
      </c>
      <c r="T214" s="16">
        <f>P214/10000</f>
        <v/>
      </c>
      <c r="U214" s="15">
        <f>IF(N214&gt;=Summary!$D$3,1,0)</f>
        <v/>
      </c>
      <c r="V214" s="17">
        <f>IF(N214&gt;0,P214/N214,"")</f>
        <v/>
      </c>
      <c r="W214" s="17">
        <f>IF(O214&gt;0,H214/O214,"")</f>
        <v/>
      </c>
    </row>
    <row r="215">
      <c r="A215" s="13" t="inlineStr">
        <is>
          <t>T08_B3</t>
        </is>
      </c>
      <c r="B215" s="13" t="inlineStr">
        <is>
          <t>T08</t>
        </is>
      </c>
      <c r="C215" s="13" t="inlineStr">
        <is>
          <t>B3</t>
        </is>
      </c>
      <c r="D215" s="13" t="n">
        <v>1</v>
      </c>
      <c r="E215" s="13" t="inlineStr">
        <is>
          <t>S1</t>
        </is>
      </c>
      <c r="F215" s="13" t="n">
        <v>2023</v>
      </c>
      <c r="G215" s="14" t="n">
        <v>8171713.784940084</v>
      </c>
      <c r="H215" s="14" t="n">
        <v>53935.78451122209</v>
      </c>
      <c r="I215" s="14" t="n">
        <v>591939.216050451</v>
      </c>
      <c r="J215" s="14" t="n">
        <v>0</v>
      </c>
      <c r="K215" s="14" t="n">
        <v>1399230.478117939</v>
      </c>
      <c r="L215" s="14" t="n">
        <v>6126608.306260471</v>
      </c>
      <c r="M215" s="14" t="n">
        <v>0</v>
      </c>
      <c r="N215" s="14" t="n">
        <v>142903.8159361596</v>
      </c>
      <c r="O215" s="14" t="n">
        <v>1975582.451131125</v>
      </c>
      <c r="P215" s="14" t="n">
        <v>113351.3496950037</v>
      </c>
      <c r="Q215" s="14" t="n">
        <v>2713540.900301226</v>
      </c>
      <c r="R215" s="15">
        <f>IF(D215=1,"Section 1","Control")</f>
        <v/>
      </c>
      <c r="S215" s="16">
        <f>N215/10000</f>
        <v/>
      </c>
      <c r="T215" s="16">
        <f>P215/10000</f>
        <v/>
      </c>
      <c r="U215" s="15">
        <f>IF(N215&gt;=Summary!$D$3,1,0)</f>
        <v/>
      </c>
      <c r="V215" s="17">
        <f>IF(N215&gt;0,P215/N215,"")</f>
        <v/>
      </c>
      <c r="W215" s="17">
        <f>IF(O215&gt;0,H215/O215,"")</f>
        <v/>
      </c>
    </row>
    <row r="216">
      <c r="A216" s="13" t="inlineStr">
        <is>
          <t>T08_B3</t>
        </is>
      </c>
      <c r="B216" s="13" t="inlineStr">
        <is>
          <t>T08</t>
        </is>
      </c>
      <c r="C216" s="13" t="inlineStr">
        <is>
          <t>B3</t>
        </is>
      </c>
      <c r="D216" s="13" t="n">
        <v>1</v>
      </c>
      <c r="E216" s="13" t="inlineStr">
        <is>
          <t>S1</t>
        </is>
      </c>
      <c r="F216" s="13" t="n">
        <v>2024</v>
      </c>
      <c r="G216" s="14" t="n">
        <v>8171713.784940084</v>
      </c>
      <c r="H216" s="14" t="n">
        <v>117698.5406733494</v>
      </c>
      <c r="I216" s="14" t="n">
        <v>598333.7538715439</v>
      </c>
      <c r="J216" s="14" t="n">
        <v>0</v>
      </c>
      <c r="K216" s="14" t="n">
        <v>1442201.058836993</v>
      </c>
      <c r="L216" s="14" t="n">
        <v>6013480.431558197</v>
      </c>
      <c r="M216" s="14" t="n">
        <v>0</v>
      </c>
      <c r="N216" s="14" t="n">
        <v>142903.8159361596</v>
      </c>
      <c r="O216" s="14" t="n">
        <v>1975582.451131125</v>
      </c>
      <c r="P216" s="14" t="n">
        <v>113896.4646669276</v>
      </c>
      <c r="Q216" s="14" t="n">
        <v>2713540.900301226</v>
      </c>
      <c r="R216" s="15">
        <f>IF(D216=1,"Section 1","Control")</f>
        <v/>
      </c>
      <c r="S216" s="16">
        <f>N216/10000</f>
        <v/>
      </c>
      <c r="T216" s="16">
        <f>P216/10000</f>
        <v/>
      </c>
      <c r="U216" s="15">
        <f>IF(N216&gt;=Summary!$D$3,1,0)</f>
        <v/>
      </c>
      <c r="V216" s="17">
        <f>IF(N216&gt;0,P216/N216,"")</f>
        <v/>
      </c>
      <c r="W216" s="17">
        <f>IF(O216&gt;0,H216/O216,"")</f>
        <v/>
      </c>
    </row>
    <row r="217">
      <c r="A217" s="13" t="inlineStr">
        <is>
          <t>T08_B3</t>
        </is>
      </c>
      <c r="B217" s="13" t="inlineStr">
        <is>
          <t>T08</t>
        </is>
      </c>
      <c r="C217" s="13" t="inlineStr">
        <is>
          <t>B3</t>
        </is>
      </c>
      <c r="D217" s="13" t="n">
        <v>1</v>
      </c>
      <c r="E217" s="13" t="inlineStr">
        <is>
          <t>S1</t>
        </is>
      </c>
      <c r="F217" s="13" t="n">
        <v>2025</v>
      </c>
      <c r="G217" s="14" t="n">
        <v>8171713.784940084</v>
      </c>
      <c r="H217" s="14" t="n">
        <v>144107.32493337</v>
      </c>
      <c r="I217" s="14" t="n">
        <v>606220.6126198563</v>
      </c>
      <c r="J217" s="14" t="n">
        <v>0</v>
      </c>
      <c r="K217" s="14" t="n">
        <v>1514186.773899483</v>
      </c>
      <c r="L217" s="14" t="n">
        <v>5907199.073487374</v>
      </c>
      <c r="M217" s="14" t="n">
        <v>0</v>
      </c>
      <c r="N217" s="14" t="n">
        <v>142903.8159361596</v>
      </c>
      <c r="O217" s="14" t="n">
        <v>1975582.451131125</v>
      </c>
      <c r="P217" s="14" t="n">
        <v>113117.1402433508</v>
      </c>
      <c r="Q217" s="14" t="n">
        <v>2713540.900301226</v>
      </c>
      <c r="R217" s="15">
        <f>IF(D217=1,"Section 1","Control")</f>
        <v/>
      </c>
      <c r="S217" s="16">
        <f>N217/10000</f>
        <v/>
      </c>
      <c r="T217" s="16">
        <f>P217/10000</f>
        <v/>
      </c>
      <c r="U217" s="15">
        <f>IF(N217&gt;=Summary!$D$3,1,0)</f>
        <v/>
      </c>
      <c r="V217" s="17">
        <f>IF(N217&gt;0,P217/N217,"")</f>
        <v/>
      </c>
      <c r="W217" s="17">
        <f>IF(O217&gt;0,H217/O217,"")</f>
        <v/>
      </c>
    </row>
    <row r="218">
      <c r="A218" s="13" t="inlineStr">
        <is>
          <t>T08_B3</t>
        </is>
      </c>
      <c r="B218" s="13" t="inlineStr">
        <is>
          <t>T08</t>
        </is>
      </c>
      <c r="C218" s="13" t="inlineStr">
        <is>
          <t>B3</t>
        </is>
      </c>
      <c r="D218" s="13" t="n">
        <v>1</v>
      </c>
      <c r="E218" s="13" t="inlineStr">
        <is>
          <t>S1</t>
        </is>
      </c>
      <c r="F218" s="13" t="n">
        <v>2026</v>
      </c>
      <c r="G218" s="14" t="n">
        <v>8171713.784940084</v>
      </c>
      <c r="H218" s="14" t="n">
        <v>234491.8942980298</v>
      </c>
      <c r="I218" s="14" t="n">
        <v>600387.3422295664</v>
      </c>
      <c r="J218" s="14" t="n">
        <v>0</v>
      </c>
      <c r="K218" s="14" t="n">
        <v>1578740.950662321</v>
      </c>
      <c r="L218" s="14" t="n">
        <v>5758093.597750166</v>
      </c>
      <c r="M218" s="14" t="n">
        <v>0</v>
      </c>
      <c r="N218" s="14" t="n">
        <v>142903.8159361596</v>
      </c>
      <c r="O218" s="14" t="n">
        <v>1975582.451131125</v>
      </c>
      <c r="P218" s="14" t="n">
        <v>113610.7168195837</v>
      </c>
      <c r="Q218" s="14" t="n">
        <v>2713540.900301226</v>
      </c>
      <c r="R218" s="15">
        <f>IF(D218=1,"Section 1","Control")</f>
        <v/>
      </c>
      <c r="S218" s="16">
        <f>N218/10000</f>
        <v/>
      </c>
      <c r="T218" s="16">
        <f>P218/10000</f>
        <v/>
      </c>
      <c r="U218" s="15">
        <f>IF(N218&gt;=Summary!$D$3,1,0)</f>
        <v/>
      </c>
      <c r="V218" s="17">
        <f>IF(N218&gt;0,P218/N218,"")</f>
        <v/>
      </c>
      <c r="W218" s="17">
        <f>IF(O218&gt;0,H218/O218,"")</f>
        <v/>
      </c>
    </row>
    <row r="219">
      <c r="A219" s="13" t="inlineStr">
        <is>
          <t>T08_F</t>
        </is>
      </c>
      <c r="B219" s="13" t="inlineStr">
        <is>
          <t>T08</t>
        </is>
      </c>
      <c r="C219" s="13" t="inlineStr">
        <is>
          <t>F</t>
        </is>
      </c>
      <c r="D219" s="13" t="n">
        <v>1</v>
      </c>
      <c r="E219" s="13" t="inlineStr">
        <is>
          <t>S1</t>
        </is>
      </c>
      <c r="F219" s="13" t="n">
        <v>2020</v>
      </c>
      <c r="G219" s="14" t="n">
        <v>62031.83131100522</v>
      </c>
      <c r="H219" s="14" t="n">
        <v>17719.45297833612</v>
      </c>
      <c r="I219" s="14" t="n">
        <v>672.8661636053347</v>
      </c>
      <c r="J219" s="14" t="n">
        <v>0</v>
      </c>
      <c r="K219" s="14" t="n">
        <v>43639.51216906379</v>
      </c>
      <c r="L219" s="14" t="n">
        <v>0</v>
      </c>
      <c r="M219" s="14" t="n">
        <v>0</v>
      </c>
      <c r="N219" s="14" t="n">
        <v>17719.45297833612</v>
      </c>
      <c r="O219" s="14" t="n">
        <v>62031.83131100522</v>
      </c>
      <c r="P219" s="14" t="n">
        <v>0</v>
      </c>
      <c r="Q219" s="14" t="n">
        <v>420220.7783102297</v>
      </c>
      <c r="R219" s="15">
        <f>IF(D219=1,"Section 1","Control")</f>
        <v/>
      </c>
      <c r="S219" s="16">
        <f>N219/10000</f>
        <v/>
      </c>
      <c r="T219" s="16">
        <f>P219/10000</f>
        <v/>
      </c>
      <c r="U219" s="15">
        <f>IF(N219&gt;=Summary!$D$3,1,0)</f>
        <v/>
      </c>
      <c r="V219" s="17">
        <f>IF(N219&gt;0,P219/N219,"")</f>
        <v/>
      </c>
      <c r="W219" s="17">
        <f>IF(O219&gt;0,H219/O219,"")</f>
        <v/>
      </c>
    </row>
    <row r="220">
      <c r="A220" s="13" t="inlineStr">
        <is>
          <t>T08_F</t>
        </is>
      </c>
      <c r="B220" s="13" t="inlineStr">
        <is>
          <t>T08</t>
        </is>
      </c>
      <c r="C220" s="13" t="inlineStr">
        <is>
          <t>F</t>
        </is>
      </c>
      <c r="D220" s="13" t="n">
        <v>1</v>
      </c>
      <c r="E220" s="13" t="inlineStr">
        <is>
          <t>S1</t>
        </is>
      </c>
      <c r="F220" s="13" t="n">
        <v>2021</v>
      </c>
      <c r="G220" s="14" t="n">
        <v>62031.83131100522</v>
      </c>
      <c r="H220" s="14" t="n">
        <v>15574.25667392507</v>
      </c>
      <c r="I220" s="14" t="n">
        <v>1843.607120020249</v>
      </c>
      <c r="J220" s="14" t="n">
        <v>0</v>
      </c>
      <c r="K220" s="14" t="n">
        <v>44613.96751705994</v>
      </c>
      <c r="L220" s="14" t="n">
        <v>0</v>
      </c>
      <c r="M220" s="14" t="n">
        <v>0</v>
      </c>
      <c r="N220" s="14" t="n">
        <v>17719.45297833612</v>
      </c>
      <c r="O220" s="14" t="n">
        <v>62031.83131100522</v>
      </c>
      <c r="P220" s="14" t="n">
        <v>2243.919509977452</v>
      </c>
      <c r="Q220" s="14" t="n">
        <v>420220.7783102297</v>
      </c>
      <c r="R220" s="15">
        <f>IF(D220=1,"Section 1","Control")</f>
        <v/>
      </c>
      <c r="S220" s="16">
        <f>N220/10000</f>
        <v/>
      </c>
      <c r="T220" s="16">
        <f>P220/10000</f>
        <v/>
      </c>
      <c r="U220" s="15">
        <f>IF(N220&gt;=Summary!$D$3,1,0)</f>
        <v/>
      </c>
      <c r="V220" s="17">
        <f>IF(N220&gt;0,P220/N220,"")</f>
        <v/>
      </c>
      <c r="W220" s="17">
        <f>IF(O220&gt;0,H220/O220,"")</f>
        <v/>
      </c>
    </row>
    <row r="221">
      <c r="A221" s="13" t="inlineStr">
        <is>
          <t>T08_F</t>
        </is>
      </c>
      <c r="B221" s="13" t="inlineStr">
        <is>
          <t>T08</t>
        </is>
      </c>
      <c r="C221" s="13" t="inlineStr">
        <is>
          <t>F</t>
        </is>
      </c>
      <c r="D221" s="13" t="n">
        <v>1</v>
      </c>
      <c r="E221" s="13" t="inlineStr">
        <is>
          <t>S1</t>
        </is>
      </c>
      <c r="F221" s="13" t="n">
        <v>2022</v>
      </c>
      <c r="G221" s="14" t="n">
        <v>62031.83131100522</v>
      </c>
      <c r="H221" s="14" t="n">
        <v>11779.41446679808</v>
      </c>
      <c r="I221" s="14" t="n">
        <v>1726.688180781346</v>
      </c>
      <c r="J221" s="14" t="n">
        <v>0</v>
      </c>
      <c r="K221" s="14" t="n">
        <v>48525.72866342584</v>
      </c>
      <c r="L221" s="14" t="n">
        <v>0</v>
      </c>
      <c r="M221" s="14" t="n">
        <v>0</v>
      </c>
      <c r="N221" s="14" t="n">
        <v>17719.45297833612</v>
      </c>
      <c r="O221" s="14" t="n">
        <v>62031.83131100522</v>
      </c>
      <c r="P221" s="14" t="n">
        <v>5940.038511538037</v>
      </c>
      <c r="Q221" s="14" t="n">
        <v>420220.7783102297</v>
      </c>
      <c r="R221" s="15">
        <f>IF(D221=1,"Section 1","Control")</f>
        <v/>
      </c>
      <c r="S221" s="16">
        <f>N221/10000</f>
        <v/>
      </c>
      <c r="T221" s="16">
        <f>P221/10000</f>
        <v/>
      </c>
      <c r="U221" s="15">
        <f>IF(N221&gt;=Summary!$D$3,1,0)</f>
        <v/>
      </c>
      <c r="V221" s="17">
        <f>IF(N221&gt;0,P221/N221,"")</f>
        <v/>
      </c>
      <c r="W221" s="17">
        <f>IF(O221&gt;0,H221/O221,"")</f>
        <v/>
      </c>
    </row>
    <row r="222">
      <c r="A222" s="13" t="inlineStr">
        <is>
          <t>T08_F</t>
        </is>
      </c>
      <c r="B222" s="13" t="inlineStr">
        <is>
          <t>T08</t>
        </is>
      </c>
      <c r="C222" s="13" t="inlineStr">
        <is>
          <t>F</t>
        </is>
      </c>
      <c r="D222" s="13" t="n">
        <v>1</v>
      </c>
      <c r="E222" s="13" t="inlineStr">
        <is>
          <t>S1</t>
        </is>
      </c>
      <c r="F222" s="13" t="n">
        <v>2023</v>
      </c>
      <c r="G222" s="14" t="n">
        <v>62031.83131100522</v>
      </c>
      <c r="H222" s="14" t="n">
        <v>8014.771489191989</v>
      </c>
      <c r="I222" s="14" t="n">
        <v>553.6242668301451</v>
      </c>
      <c r="J222" s="14" t="n">
        <v>0</v>
      </c>
      <c r="K222" s="14" t="n">
        <v>53463.43555498311</v>
      </c>
      <c r="L222" s="14" t="n">
        <v>0</v>
      </c>
      <c r="M222" s="14" t="n">
        <v>0</v>
      </c>
      <c r="N222" s="14" t="n">
        <v>17719.45297833612</v>
      </c>
      <c r="O222" s="14" t="n">
        <v>62031.83131100522</v>
      </c>
      <c r="P222" s="14" t="n">
        <v>9918.388142065907</v>
      </c>
      <c r="Q222" s="14" t="n">
        <v>420220.7783102297</v>
      </c>
      <c r="R222" s="15">
        <f>IF(D222=1,"Section 1","Control")</f>
        <v/>
      </c>
      <c r="S222" s="16">
        <f>N222/10000</f>
        <v/>
      </c>
      <c r="T222" s="16">
        <f>P222/10000</f>
        <v/>
      </c>
      <c r="U222" s="15">
        <f>IF(N222&gt;=Summary!$D$3,1,0)</f>
        <v/>
      </c>
      <c r="V222" s="17">
        <f>IF(N222&gt;0,P222/N222,"")</f>
        <v/>
      </c>
      <c r="W222" s="17">
        <f>IF(O222&gt;0,H222/O222,"")</f>
        <v/>
      </c>
    </row>
    <row r="223">
      <c r="A223" s="13" t="inlineStr">
        <is>
          <t>T08_F</t>
        </is>
      </c>
      <c r="B223" s="13" t="inlineStr">
        <is>
          <t>T08</t>
        </is>
      </c>
      <c r="C223" s="13" t="inlineStr">
        <is>
          <t>F</t>
        </is>
      </c>
      <c r="D223" s="13" t="n">
        <v>1</v>
      </c>
      <c r="E223" s="13" t="inlineStr">
        <is>
          <t>S1</t>
        </is>
      </c>
      <c r="F223" s="13" t="n">
        <v>2024</v>
      </c>
      <c r="G223" s="14" t="n">
        <v>62031.83131100522</v>
      </c>
      <c r="H223" s="14" t="n">
        <v>5361.634702884449</v>
      </c>
      <c r="I223" s="14" t="n">
        <v>320.9470922133502</v>
      </c>
      <c r="J223" s="14" t="n">
        <v>0</v>
      </c>
      <c r="K223" s="14" t="n">
        <v>56349.24951590743</v>
      </c>
      <c r="L223" s="14" t="n">
        <v>0</v>
      </c>
      <c r="M223" s="14" t="n">
        <v>0</v>
      </c>
      <c r="N223" s="14" t="n">
        <v>17719.45297833612</v>
      </c>
      <c r="O223" s="14" t="n">
        <v>62031.83131100522</v>
      </c>
      <c r="P223" s="14" t="n">
        <v>12571.52492837346</v>
      </c>
      <c r="Q223" s="14" t="n">
        <v>420220.7783102297</v>
      </c>
      <c r="R223" s="15">
        <f>IF(D223=1,"Section 1","Control")</f>
        <v/>
      </c>
      <c r="S223" s="16">
        <f>N223/10000</f>
        <v/>
      </c>
      <c r="T223" s="16">
        <f>P223/10000</f>
        <v/>
      </c>
      <c r="U223" s="15">
        <f>IF(N223&gt;=Summary!$D$3,1,0)</f>
        <v/>
      </c>
      <c r="V223" s="17">
        <f>IF(N223&gt;0,P223/N223,"")</f>
        <v/>
      </c>
      <c r="W223" s="17">
        <f>IF(O223&gt;0,H223/O223,"")</f>
        <v/>
      </c>
    </row>
    <row r="224">
      <c r="A224" s="13" t="inlineStr">
        <is>
          <t>T08_F</t>
        </is>
      </c>
      <c r="B224" s="13" t="inlineStr">
        <is>
          <t>T08</t>
        </is>
      </c>
      <c r="C224" s="13" t="inlineStr">
        <is>
          <t>F</t>
        </is>
      </c>
      <c r="D224" s="13" t="n">
        <v>1</v>
      </c>
      <c r="E224" s="13" t="inlineStr">
        <is>
          <t>S1</t>
        </is>
      </c>
      <c r="F224" s="13" t="n">
        <v>2025</v>
      </c>
      <c r="G224" s="14" t="n">
        <v>62031.83131100522</v>
      </c>
      <c r="H224" s="14" t="n">
        <v>49.55519684436275</v>
      </c>
      <c r="I224" s="14" t="n">
        <v>13694.26029540417</v>
      </c>
      <c r="J224" s="14" t="n">
        <v>0</v>
      </c>
      <c r="K224" s="14" t="n">
        <v>48288.0158187567</v>
      </c>
      <c r="L224" s="14" t="n">
        <v>0</v>
      </c>
      <c r="M224" s="14" t="n">
        <v>0</v>
      </c>
      <c r="N224" s="14" t="n">
        <v>17719.45297833612</v>
      </c>
      <c r="O224" s="14" t="n">
        <v>62031.83131100522</v>
      </c>
      <c r="P224" s="14" t="n">
        <v>17669.89778149176</v>
      </c>
      <c r="Q224" s="14" t="n">
        <v>420220.7783102297</v>
      </c>
      <c r="R224" s="15">
        <f>IF(D224=1,"Section 1","Control")</f>
        <v/>
      </c>
      <c r="S224" s="16">
        <f>N224/10000</f>
        <v/>
      </c>
      <c r="T224" s="16">
        <f>P224/10000</f>
        <v/>
      </c>
      <c r="U224" s="15">
        <f>IF(N224&gt;=Summary!$D$3,1,0)</f>
        <v/>
      </c>
      <c r="V224" s="17">
        <f>IF(N224&gt;0,P224/N224,"")</f>
        <v/>
      </c>
      <c r="W224" s="17">
        <f>IF(O224&gt;0,H224/O224,"")</f>
        <v/>
      </c>
    </row>
    <row r="225">
      <c r="A225" s="13" t="inlineStr">
        <is>
          <t>T08_F</t>
        </is>
      </c>
      <c r="B225" s="13" t="inlineStr">
        <is>
          <t>T08</t>
        </is>
      </c>
      <c r="C225" s="13" t="inlineStr">
        <is>
          <t>F</t>
        </is>
      </c>
      <c r="D225" s="13" t="n">
        <v>1</v>
      </c>
      <c r="E225" s="13" t="inlineStr">
        <is>
          <t>S1</t>
        </is>
      </c>
      <c r="F225" s="13" t="n">
        <v>2026</v>
      </c>
      <c r="G225" s="14" t="n">
        <v>62031.83131100522</v>
      </c>
      <c r="H225" s="14" t="n">
        <v>49.55519684436275</v>
      </c>
      <c r="I225" s="14" t="n">
        <v>8692.673397797231</v>
      </c>
      <c r="J225" s="14" t="n">
        <v>0</v>
      </c>
      <c r="K225" s="14" t="n">
        <v>53289.60271636364</v>
      </c>
      <c r="L225" s="14" t="n">
        <v>0</v>
      </c>
      <c r="M225" s="14" t="n">
        <v>0</v>
      </c>
      <c r="N225" s="14" t="n">
        <v>17719.45297833612</v>
      </c>
      <c r="O225" s="14" t="n">
        <v>62031.83131100522</v>
      </c>
      <c r="P225" s="14" t="n">
        <v>17669.89778149176</v>
      </c>
      <c r="Q225" s="14" t="n">
        <v>420220.7783102297</v>
      </c>
      <c r="R225" s="15">
        <f>IF(D225=1,"Section 1","Control")</f>
        <v/>
      </c>
      <c r="S225" s="16">
        <f>N225/10000</f>
        <v/>
      </c>
      <c r="T225" s="16">
        <f>P225/10000</f>
        <v/>
      </c>
      <c r="U225" s="15">
        <f>IF(N225&gt;=Summary!$D$3,1,0)</f>
        <v/>
      </c>
      <c r="V225" s="17">
        <f>IF(N225&gt;0,P225/N225,"")</f>
        <v/>
      </c>
      <c r="W225" s="17">
        <f>IF(O225&gt;0,H225/O225,"")</f>
        <v/>
      </c>
    </row>
    <row r="226">
      <c r="A226" s="13" t="inlineStr">
        <is>
          <t>T09_B1</t>
        </is>
      </c>
      <c r="B226" s="13" t="inlineStr">
        <is>
          <t>T09</t>
        </is>
      </c>
      <c r="C226" s="13" t="inlineStr">
        <is>
          <t>B1</t>
        </is>
      </c>
      <c r="D226" s="13" t="n">
        <v>1</v>
      </c>
      <c r="E226" s="13" t="inlineStr">
        <is>
          <t>S1</t>
        </is>
      </c>
      <c r="F226" s="13" t="n">
        <v>2020</v>
      </c>
      <c r="G226" s="14" t="n">
        <v>990744.0356596408</v>
      </c>
      <c r="H226" s="14" t="n">
        <v>69256.0411154055</v>
      </c>
      <c r="I226" s="14" t="n">
        <v>66815.15455794989</v>
      </c>
      <c r="J226" s="14" t="n">
        <v>327674.4744412591</v>
      </c>
      <c r="K226" s="14" t="n">
        <v>476035.1418603934</v>
      </c>
      <c r="L226" s="14" t="n">
        <v>50963.22368463254</v>
      </c>
      <c r="M226" s="14" t="n">
        <v>0</v>
      </c>
      <c r="N226" s="14" t="n">
        <v>69256.0411154055</v>
      </c>
      <c r="O226" s="14" t="n">
        <v>939780.811975008</v>
      </c>
      <c r="P226" s="14" t="n">
        <v>0</v>
      </c>
      <c r="Q226" s="14" t="n">
        <v>4960250.411166714</v>
      </c>
      <c r="R226" s="15">
        <f>IF(D226=1,"Section 1","Control")</f>
        <v/>
      </c>
      <c r="S226" s="16">
        <f>N226/10000</f>
        <v/>
      </c>
      <c r="T226" s="16">
        <f>P226/10000</f>
        <v/>
      </c>
      <c r="U226" s="15">
        <f>IF(N226&gt;=Summary!$D$3,1,0)</f>
        <v/>
      </c>
      <c r="V226" s="17">
        <f>IF(N226&gt;0,P226/N226,"")</f>
        <v/>
      </c>
      <c r="W226" s="17">
        <f>IF(O226&gt;0,H226/O226,"")</f>
        <v/>
      </c>
    </row>
    <row r="227">
      <c r="A227" s="13" t="inlineStr">
        <is>
          <t>T09_B1</t>
        </is>
      </c>
      <c r="B227" s="13" t="inlineStr">
        <is>
          <t>T09</t>
        </is>
      </c>
      <c r="C227" s="13" t="inlineStr">
        <is>
          <t>B1</t>
        </is>
      </c>
      <c r="D227" s="13" t="n">
        <v>1</v>
      </c>
      <c r="E227" s="13" t="inlineStr">
        <is>
          <t>S1</t>
        </is>
      </c>
      <c r="F227" s="13" t="n">
        <v>2021</v>
      </c>
      <c r="G227" s="14" t="n">
        <v>990744.0356596408</v>
      </c>
      <c r="H227" s="14" t="n">
        <v>61766.68349405924</v>
      </c>
      <c r="I227" s="14" t="n">
        <v>75798.12739883125</v>
      </c>
      <c r="J227" s="14" t="n">
        <v>337572.7424525841</v>
      </c>
      <c r="K227" s="14" t="n">
        <v>460952.5343757479</v>
      </c>
      <c r="L227" s="14" t="n">
        <v>54653.94793841792</v>
      </c>
      <c r="M227" s="14" t="n">
        <v>0</v>
      </c>
      <c r="N227" s="14" t="n">
        <v>69256.0411154055</v>
      </c>
      <c r="O227" s="14" t="n">
        <v>939780.811975008</v>
      </c>
      <c r="P227" s="14" t="n">
        <v>8377.868638191971</v>
      </c>
      <c r="Q227" s="14" t="n">
        <v>4960250.411166714</v>
      </c>
      <c r="R227" s="15">
        <f>IF(D227=1,"Section 1","Control")</f>
        <v/>
      </c>
      <c r="S227" s="16">
        <f>N227/10000</f>
        <v/>
      </c>
      <c r="T227" s="16">
        <f>P227/10000</f>
        <v/>
      </c>
      <c r="U227" s="15">
        <f>IF(N227&gt;=Summary!$D$3,1,0)</f>
        <v/>
      </c>
      <c r="V227" s="17">
        <f>IF(N227&gt;0,P227/N227,"")</f>
        <v/>
      </c>
      <c r="W227" s="17">
        <f>IF(O227&gt;0,H227/O227,"")</f>
        <v/>
      </c>
    </row>
    <row r="228">
      <c r="A228" s="13" t="inlineStr">
        <is>
          <t>T09_B1</t>
        </is>
      </c>
      <c r="B228" s="13" t="inlineStr">
        <is>
          <t>T09</t>
        </is>
      </c>
      <c r="C228" s="13" t="inlineStr">
        <is>
          <t>B1</t>
        </is>
      </c>
      <c r="D228" s="13" t="n">
        <v>1</v>
      </c>
      <c r="E228" s="13" t="inlineStr">
        <is>
          <t>S1</t>
        </is>
      </c>
      <c r="F228" s="13" t="n">
        <v>2022</v>
      </c>
      <c r="G228" s="14" t="n">
        <v>990744.0356596408</v>
      </c>
      <c r="H228" s="14" t="n">
        <v>47688.42392608045</v>
      </c>
      <c r="I228" s="14" t="n">
        <v>72251.77881804823</v>
      </c>
      <c r="J228" s="14" t="n">
        <v>312711.8602975284</v>
      </c>
      <c r="K228" s="14" t="n">
        <v>514750.2338212256</v>
      </c>
      <c r="L228" s="14" t="n">
        <v>43341.73879675772</v>
      </c>
      <c r="M228" s="14" t="n">
        <v>0</v>
      </c>
      <c r="N228" s="14" t="n">
        <v>69256.0411154055</v>
      </c>
      <c r="O228" s="14" t="n">
        <v>939780.811975008</v>
      </c>
      <c r="P228" s="14" t="n">
        <v>21863.78713408826</v>
      </c>
      <c r="Q228" s="14" t="n">
        <v>4960250.411166714</v>
      </c>
      <c r="R228" s="15">
        <f>IF(D228=1,"Section 1","Control")</f>
        <v/>
      </c>
      <c r="S228" s="16">
        <f>N228/10000</f>
        <v/>
      </c>
      <c r="T228" s="16">
        <f>P228/10000</f>
        <v/>
      </c>
      <c r="U228" s="15">
        <f>IF(N228&gt;=Summary!$D$3,1,0)</f>
        <v/>
      </c>
      <c r="V228" s="17">
        <f>IF(N228&gt;0,P228/N228,"")</f>
        <v/>
      </c>
      <c r="W228" s="17">
        <f>IF(O228&gt;0,H228/O228,"")</f>
        <v/>
      </c>
    </row>
    <row r="229">
      <c r="A229" s="13" t="inlineStr">
        <is>
          <t>T09_B1</t>
        </is>
      </c>
      <c r="B229" s="13" t="inlineStr">
        <is>
          <t>T09</t>
        </is>
      </c>
      <c r="C229" s="13" t="inlineStr">
        <is>
          <t>B1</t>
        </is>
      </c>
      <c r="D229" s="13" t="n">
        <v>1</v>
      </c>
      <c r="E229" s="13" t="inlineStr">
        <is>
          <t>S1</t>
        </is>
      </c>
      <c r="F229" s="13" t="n">
        <v>2023</v>
      </c>
      <c r="G229" s="14" t="n">
        <v>990744.0356596408</v>
      </c>
      <c r="H229" s="14" t="n">
        <v>44791.79840740129</v>
      </c>
      <c r="I229" s="14" t="n">
        <v>74755.07017460241</v>
      </c>
      <c r="J229" s="14" t="n">
        <v>319986.4525431914</v>
      </c>
      <c r="K229" s="14" t="n">
        <v>504157.3433063881</v>
      </c>
      <c r="L229" s="14" t="n">
        <v>47053.37122805726</v>
      </c>
      <c r="M229" s="14" t="n">
        <v>0</v>
      </c>
      <c r="N229" s="14" t="n">
        <v>69256.0411154055</v>
      </c>
      <c r="O229" s="14" t="n">
        <v>939780.811975008</v>
      </c>
      <c r="P229" s="14" t="n">
        <v>25451.47615984748</v>
      </c>
      <c r="Q229" s="14" t="n">
        <v>4960250.411166714</v>
      </c>
      <c r="R229" s="15">
        <f>IF(D229=1,"Section 1","Control")</f>
        <v/>
      </c>
      <c r="S229" s="16">
        <f>N229/10000</f>
        <v/>
      </c>
      <c r="T229" s="16">
        <f>P229/10000</f>
        <v/>
      </c>
      <c r="U229" s="15">
        <f>IF(N229&gt;=Summary!$D$3,1,0)</f>
        <v/>
      </c>
      <c r="V229" s="17">
        <f>IF(N229&gt;0,P229/N229,"")</f>
        <v/>
      </c>
      <c r="W229" s="17">
        <f>IF(O229&gt;0,H229/O229,"")</f>
        <v/>
      </c>
    </row>
    <row r="230">
      <c r="A230" s="13" t="inlineStr">
        <is>
          <t>T09_B1</t>
        </is>
      </c>
      <c r="B230" s="13" t="inlineStr">
        <is>
          <t>T09</t>
        </is>
      </c>
      <c r="C230" s="13" t="inlineStr">
        <is>
          <t>B1</t>
        </is>
      </c>
      <c r="D230" s="13" t="n">
        <v>1</v>
      </c>
      <c r="E230" s="13" t="inlineStr">
        <is>
          <t>S1</t>
        </is>
      </c>
      <c r="F230" s="13" t="n">
        <v>2024</v>
      </c>
      <c r="G230" s="14" t="n">
        <v>990744.0356596408</v>
      </c>
      <c r="H230" s="14" t="n">
        <v>41698.48301729688</v>
      </c>
      <c r="I230" s="14" t="n">
        <v>60045.24561659868</v>
      </c>
      <c r="J230" s="14" t="n">
        <v>294857.2790807088</v>
      </c>
      <c r="K230" s="14" t="n">
        <v>535029.8582724178</v>
      </c>
      <c r="L230" s="14" t="n">
        <v>59113.16967261819</v>
      </c>
      <c r="M230" s="14" t="n">
        <v>0</v>
      </c>
      <c r="N230" s="14" t="n">
        <v>69256.0411154055</v>
      </c>
      <c r="O230" s="14" t="n">
        <v>939780.811975008</v>
      </c>
      <c r="P230" s="14" t="n">
        <v>28394.57415762509</v>
      </c>
      <c r="Q230" s="14" t="n">
        <v>4960250.411166714</v>
      </c>
      <c r="R230" s="15">
        <f>IF(D230=1,"Section 1","Control")</f>
        <v/>
      </c>
      <c r="S230" s="16">
        <f>N230/10000</f>
        <v/>
      </c>
      <c r="T230" s="16">
        <f>P230/10000</f>
        <v/>
      </c>
      <c r="U230" s="15">
        <f>IF(N230&gt;=Summary!$D$3,1,0)</f>
        <v/>
      </c>
      <c r="V230" s="17">
        <f>IF(N230&gt;0,P230/N230,"")</f>
        <v/>
      </c>
      <c r="W230" s="17">
        <f>IF(O230&gt;0,H230/O230,"")</f>
        <v/>
      </c>
    </row>
    <row r="231">
      <c r="A231" s="13" t="inlineStr">
        <is>
          <t>T09_B1</t>
        </is>
      </c>
      <c r="B231" s="13" t="inlineStr">
        <is>
          <t>T09</t>
        </is>
      </c>
      <c r="C231" s="13" t="inlineStr">
        <is>
          <t>B1</t>
        </is>
      </c>
      <c r="D231" s="13" t="n">
        <v>1</v>
      </c>
      <c r="E231" s="13" t="inlineStr">
        <is>
          <t>S1</t>
        </is>
      </c>
      <c r="F231" s="13" t="n">
        <v>2025</v>
      </c>
      <c r="G231" s="14" t="n">
        <v>990744.0356596408</v>
      </c>
      <c r="H231" s="14" t="n">
        <v>31115.75990394144</v>
      </c>
      <c r="I231" s="14" t="n">
        <v>71807.57082483628</v>
      </c>
      <c r="J231" s="14" t="n">
        <v>281843.6162706263</v>
      </c>
      <c r="K231" s="14" t="n">
        <v>543127.8985005995</v>
      </c>
      <c r="L231" s="14" t="n">
        <v>62849.19015963685</v>
      </c>
      <c r="M231" s="14" t="n">
        <v>0</v>
      </c>
      <c r="N231" s="14" t="n">
        <v>69256.0411154055</v>
      </c>
      <c r="O231" s="14" t="n">
        <v>939780.8119750082</v>
      </c>
      <c r="P231" s="14" t="n">
        <v>38239.00331839767</v>
      </c>
      <c r="Q231" s="14" t="n">
        <v>4960250.411166714</v>
      </c>
      <c r="R231" s="15">
        <f>IF(D231=1,"Section 1","Control")</f>
        <v/>
      </c>
      <c r="S231" s="16">
        <f>N231/10000</f>
        <v/>
      </c>
      <c r="T231" s="16">
        <f>P231/10000</f>
        <v/>
      </c>
      <c r="U231" s="15">
        <f>IF(N231&gt;=Summary!$D$3,1,0)</f>
        <v/>
      </c>
      <c r="V231" s="17">
        <f>IF(N231&gt;0,P231/N231,"")</f>
        <v/>
      </c>
      <c r="W231" s="17">
        <f>IF(O231&gt;0,H231/O231,"")</f>
        <v/>
      </c>
    </row>
    <row r="232">
      <c r="A232" s="13" t="inlineStr">
        <is>
          <t>T09_B1</t>
        </is>
      </c>
      <c r="B232" s="13" t="inlineStr">
        <is>
          <t>T09</t>
        </is>
      </c>
      <c r="C232" s="13" t="inlineStr">
        <is>
          <t>B1</t>
        </is>
      </c>
      <c r="D232" s="13" t="n">
        <v>1</v>
      </c>
      <c r="E232" s="13" t="inlineStr">
        <is>
          <t>S1</t>
        </is>
      </c>
      <c r="F232" s="13" t="n">
        <v>2026</v>
      </c>
      <c r="G232" s="14" t="n">
        <v>990744.0356596408</v>
      </c>
      <c r="H232" s="14" t="n">
        <v>31809.53831326354</v>
      </c>
      <c r="I232" s="14" t="n">
        <v>66622.85591032737</v>
      </c>
      <c r="J232" s="14" t="n">
        <v>228561.227179344</v>
      </c>
      <c r="K232" s="14" t="n">
        <v>598843.1218491797</v>
      </c>
      <c r="L232" s="14" t="n">
        <v>64907.29240752576</v>
      </c>
      <c r="M232" s="14" t="n">
        <v>0</v>
      </c>
      <c r="N232" s="14" t="n">
        <v>69256.0411154055</v>
      </c>
      <c r="O232" s="14" t="n">
        <v>939780.811975008</v>
      </c>
      <c r="P232" s="14" t="n">
        <v>38535.16912039962</v>
      </c>
      <c r="Q232" s="14" t="n">
        <v>4960250.411166714</v>
      </c>
      <c r="R232" s="15">
        <f>IF(D232=1,"Section 1","Control")</f>
        <v/>
      </c>
      <c r="S232" s="16">
        <f>N232/10000</f>
        <v/>
      </c>
      <c r="T232" s="16">
        <f>P232/10000</f>
        <v/>
      </c>
      <c r="U232" s="15">
        <f>IF(N232&gt;=Summary!$D$3,1,0)</f>
        <v/>
      </c>
      <c r="V232" s="17">
        <f>IF(N232&gt;0,P232/N232,"")</f>
        <v/>
      </c>
      <c r="W232" s="17">
        <f>IF(O232&gt;0,H232/O232,"")</f>
        <v/>
      </c>
    </row>
    <row r="233">
      <c r="A233" s="13" t="inlineStr">
        <is>
          <t>T09_B2</t>
        </is>
      </c>
      <c r="B233" s="13" t="inlineStr">
        <is>
          <t>T09</t>
        </is>
      </c>
      <c r="C233" s="13" t="inlineStr">
        <is>
          <t>B2</t>
        </is>
      </c>
      <c r="D233" s="13" t="n">
        <v>1</v>
      </c>
      <c r="E233" s="13" t="inlineStr">
        <is>
          <t>S1</t>
        </is>
      </c>
      <c r="F233" s="13" t="n">
        <v>2020</v>
      </c>
      <c r="G233" s="14" t="n">
        <v>988540.5731000716</v>
      </c>
      <c r="H233" s="14" t="n">
        <v>17676.99747299494</v>
      </c>
      <c r="I233" s="14" t="n">
        <v>19314.27713733748</v>
      </c>
      <c r="J233" s="14" t="n">
        <v>0</v>
      </c>
      <c r="K233" s="14" t="n">
        <v>473576.1179912494</v>
      </c>
      <c r="L233" s="14" t="n">
        <v>477973.1804984897</v>
      </c>
      <c r="M233" s="14" t="n">
        <v>0</v>
      </c>
      <c r="N233" s="14" t="n">
        <v>17676.99747299494</v>
      </c>
      <c r="O233" s="14" t="n">
        <v>510567.3926015818</v>
      </c>
      <c r="P233" s="14" t="n">
        <v>0</v>
      </c>
      <c r="Q233" s="14" t="n">
        <v>2115179.962626589</v>
      </c>
      <c r="R233" s="15">
        <f>IF(D233=1,"Section 1","Control")</f>
        <v/>
      </c>
      <c r="S233" s="16">
        <f>N233/10000</f>
        <v/>
      </c>
      <c r="T233" s="16">
        <f>P233/10000</f>
        <v/>
      </c>
      <c r="U233" s="15">
        <f>IF(N233&gt;=Summary!$D$3,1,0)</f>
        <v/>
      </c>
      <c r="V233" s="17">
        <f>IF(N233&gt;0,P233/N233,"")</f>
        <v/>
      </c>
      <c r="W233" s="17">
        <f>IF(O233&gt;0,H233/O233,"")</f>
        <v/>
      </c>
    </row>
    <row r="234">
      <c r="A234" s="13" t="inlineStr">
        <is>
          <t>T09_B2</t>
        </is>
      </c>
      <c r="B234" s="13" t="inlineStr">
        <is>
          <t>T09</t>
        </is>
      </c>
      <c r="C234" s="13" t="inlineStr">
        <is>
          <t>B2</t>
        </is>
      </c>
      <c r="D234" s="13" t="n">
        <v>1</v>
      </c>
      <c r="E234" s="13" t="inlineStr">
        <is>
          <t>S1</t>
        </is>
      </c>
      <c r="F234" s="13" t="n">
        <v>2021</v>
      </c>
      <c r="G234" s="14" t="n">
        <v>988540.5731000716</v>
      </c>
      <c r="H234" s="14" t="n">
        <v>12399.05992308972</v>
      </c>
      <c r="I234" s="14" t="n">
        <v>19896.12794285195</v>
      </c>
      <c r="J234" s="14" t="n">
        <v>0</v>
      </c>
      <c r="K234" s="14" t="n">
        <v>477422.0167648616</v>
      </c>
      <c r="L234" s="14" t="n">
        <v>478823.3684692682</v>
      </c>
      <c r="M234" s="14" t="n">
        <v>0</v>
      </c>
      <c r="N234" s="14" t="n">
        <v>17676.99747299494</v>
      </c>
      <c r="O234" s="14" t="n">
        <v>510567.3926015818</v>
      </c>
      <c r="P234" s="14" t="n">
        <v>5376.659260110294</v>
      </c>
      <c r="Q234" s="14" t="n">
        <v>2115179.962626589</v>
      </c>
      <c r="R234" s="15">
        <f>IF(D234=1,"Section 1","Control")</f>
        <v/>
      </c>
      <c r="S234" s="16">
        <f>N234/10000</f>
        <v/>
      </c>
      <c r="T234" s="16">
        <f>P234/10000</f>
        <v/>
      </c>
      <c r="U234" s="15">
        <f>IF(N234&gt;=Summary!$D$3,1,0)</f>
        <v/>
      </c>
      <c r="V234" s="17">
        <f>IF(N234&gt;0,P234/N234,"")</f>
        <v/>
      </c>
      <c r="W234" s="17">
        <f>IF(O234&gt;0,H234/O234,"")</f>
        <v/>
      </c>
    </row>
    <row r="235">
      <c r="A235" s="13" t="inlineStr">
        <is>
          <t>T09_B2</t>
        </is>
      </c>
      <c r="B235" s="13" t="inlineStr">
        <is>
          <t>T09</t>
        </is>
      </c>
      <c r="C235" s="13" t="inlineStr">
        <is>
          <t>B2</t>
        </is>
      </c>
      <c r="D235" s="13" t="n">
        <v>1</v>
      </c>
      <c r="E235" s="13" t="inlineStr">
        <is>
          <t>S1</t>
        </is>
      </c>
      <c r="F235" s="13" t="n">
        <v>2022</v>
      </c>
      <c r="G235" s="14" t="n">
        <v>988540.5731000716</v>
      </c>
      <c r="H235" s="14" t="n">
        <v>7986.781757040584</v>
      </c>
      <c r="I235" s="14" t="n">
        <v>20630.62873223997</v>
      </c>
      <c r="J235" s="14" t="n">
        <v>0</v>
      </c>
      <c r="K235" s="14" t="n">
        <v>493775.5714461085</v>
      </c>
      <c r="L235" s="14" t="n">
        <v>466147.5911646825</v>
      </c>
      <c r="M235" s="14" t="n">
        <v>0</v>
      </c>
      <c r="N235" s="14" t="n">
        <v>17676.99747299494</v>
      </c>
      <c r="O235" s="14" t="n">
        <v>510567.3926015818</v>
      </c>
      <c r="P235" s="14" t="n">
        <v>9690.215715954349</v>
      </c>
      <c r="Q235" s="14" t="n">
        <v>2115179.962626589</v>
      </c>
      <c r="R235" s="15">
        <f>IF(D235=1,"Section 1","Control")</f>
        <v/>
      </c>
      <c r="S235" s="16">
        <f>N235/10000</f>
        <v/>
      </c>
      <c r="T235" s="16">
        <f>P235/10000</f>
        <v/>
      </c>
      <c r="U235" s="15">
        <f>IF(N235&gt;=Summary!$D$3,1,0)</f>
        <v/>
      </c>
      <c r="V235" s="17">
        <f>IF(N235&gt;0,P235/N235,"")</f>
        <v/>
      </c>
      <c r="W235" s="17">
        <f>IF(O235&gt;0,H235/O235,"")</f>
        <v/>
      </c>
    </row>
    <row r="236">
      <c r="A236" s="13" t="inlineStr">
        <is>
          <t>T09_B2</t>
        </is>
      </c>
      <c r="B236" s="13" t="inlineStr">
        <is>
          <t>T09</t>
        </is>
      </c>
      <c r="C236" s="13" t="inlineStr">
        <is>
          <t>B2</t>
        </is>
      </c>
      <c r="D236" s="13" t="n">
        <v>1</v>
      </c>
      <c r="E236" s="13" t="inlineStr">
        <is>
          <t>S1</t>
        </is>
      </c>
      <c r="F236" s="13" t="n">
        <v>2023</v>
      </c>
      <c r="G236" s="14" t="n">
        <v>988540.5731000716</v>
      </c>
      <c r="H236" s="14" t="n">
        <v>5420.019977255428</v>
      </c>
      <c r="I236" s="14" t="n">
        <v>22507.18507397222</v>
      </c>
      <c r="J236" s="14" t="n">
        <v>0</v>
      </c>
      <c r="K236" s="14" t="n">
        <v>488381.6662853766</v>
      </c>
      <c r="L236" s="14" t="n">
        <v>472231.7017634673</v>
      </c>
      <c r="M236" s="14" t="n">
        <v>0</v>
      </c>
      <c r="N236" s="14" t="n">
        <v>17676.99747299494</v>
      </c>
      <c r="O236" s="14" t="n">
        <v>510567.3926015818</v>
      </c>
      <c r="P236" s="14" t="n">
        <v>12256.97749573951</v>
      </c>
      <c r="Q236" s="14" t="n">
        <v>2115179.962626589</v>
      </c>
      <c r="R236" s="15">
        <f>IF(D236=1,"Section 1","Control")</f>
        <v/>
      </c>
      <c r="S236" s="16">
        <f>N236/10000</f>
        <v/>
      </c>
      <c r="T236" s="16">
        <f>P236/10000</f>
        <v/>
      </c>
      <c r="U236" s="15">
        <f>IF(N236&gt;=Summary!$D$3,1,0)</f>
        <v/>
      </c>
      <c r="V236" s="17">
        <f>IF(N236&gt;0,P236/N236,"")</f>
        <v/>
      </c>
      <c r="W236" s="17">
        <f>IF(O236&gt;0,H236/O236,"")</f>
        <v/>
      </c>
    </row>
    <row r="237">
      <c r="A237" s="13" t="inlineStr">
        <is>
          <t>T09_B2</t>
        </is>
      </c>
      <c r="B237" s="13" t="inlineStr">
        <is>
          <t>T09</t>
        </is>
      </c>
      <c r="C237" s="13" t="inlineStr">
        <is>
          <t>B2</t>
        </is>
      </c>
      <c r="D237" s="13" t="n">
        <v>1</v>
      </c>
      <c r="E237" s="13" t="inlineStr">
        <is>
          <t>S1</t>
        </is>
      </c>
      <c r="F237" s="13" t="n">
        <v>2024</v>
      </c>
      <c r="G237" s="14" t="n">
        <v>988540.5731000716</v>
      </c>
      <c r="H237" s="14" t="n">
        <v>4581.852895759133</v>
      </c>
      <c r="I237" s="14" t="n">
        <v>17730.10699011111</v>
      </c>
      <c r="J237" s="14" t="n">
        <v>0</v>
      </c>
      <c r="K237" s="14" t="n">
        <v>490503.6301290775</v>
      </c>
      <c r="L237" s="14" t="n">
        <v>475724.9830851237</v>
      </c>
      <c r="M237" s="14" t="n">
        <v>0</v>
      </c>
      <c r="N237" s="14" t="n">
        <v>17676.99747299494</v>
      </c>
      <c r="O237" s="14" t="n">
        <v>510567.3926015818</v>
      </c>
      <c r="P237" s="14" t="n">
        <v>13244.19554383521</v>
      </c>
      <c r="Q237" s="14" t="n">
        <v>2115179.962626589</v>
      </c>
      <c r="R237" s="15">
        <f>IF(D237=1,"Section 1","Control")</f>
        <v/>
      </c>
      <c r="S237" s="16">
        <f>N237/10000</f>
        <v/>
      </c>
      <c r="T237" s="16">
        <f>P237/10000</f>
        <v/>
      </c>
      <c r="U237" s="15">
        <f>IF(N237&gt;=Summary!$D$3,1,0)</f>
        <v/>
      </c>
      <c r="V237" s="17">
        <f>IF(N237&gt;0,P237/N237,"")</f>
        <v/>
      </c>
      <c r="W237" s="17">
        <f>IF(O237&gt;0,H237/O237,"")</f>
        <v/>
      </c>
    </row>
    <row r="238">
      <c r="A238" s="13" t="inlineStr">
        <is>
          <t>T09_B2</t>
        </is>
      </c>
      <c r="B238" s="13" t="inlineStr">
        <is>
          <t>T09</t>
        </is>
      </c>
      <c r="C238" s="13" t="inlineStr">
        <is>
          <t>B2</t>
        </is>
      </c>
      <c r="D238" s="13" t="n">
        <v>1</v>
      </c>
      <c r="E238" s="13" t="inlineStr">
        <is>
          <t>S1</t>
        </is>
      </c>
      <c r="F238" s="13" t="n">
        <v>2025</v>
      </c>
      <c r="G238" s="14" t="n">
        <v>988540.5731000716</v>
      </c>
      <c r="H238" s="14" t="n">
        <v>4136.635890646541</v>
      </c>
      <c r="I238" s="14" t="n">
        <v>22647.57431455126</v>
      </c>
      <c r="J238" s="14" t="n">
        <v>0</v>
      </c>
      <c r="K238" s="14" t="n">
        <v>483684.4579014499</v>
      </c>
      <c r="L238" s="14" t="n">
        <v>478071.9049934238</v>
      </c>
      <c r="M238" s="14" t="n">
        <v>0</v>
      </c>
      <c r="N238" s="14" t="n">
        <v>17676.99747299494</v>
      </c>
      <c r="O238" s="14" t="n">
        <v>510567.3926015818</v>
      </c>
      <c r="P238" s="14" t="n">
        <v>13639.08331544165</v>
      </c>
      <c r="Q238" s="14" t="n">
        <v>2115179.962626589</v>
      </c>
      <c r="R238" s="15">
        <f>IF(D238=1,"Section 1","Control")</f>
        <v/>
      </c>
      <c r="S238" s="16">
        <f>N238/10000</f>
        <v/>
      </c>
      <c r="T238" s="16">
        <f>P238/10000</f>
        <v/>
      </c>
      <c r="U238" s="15">
        <f>IF(N238&gt;=Summary!$D$3,1,0)</f>
        <v/>
      </c>
      <c r="V238" s="17">
        <f>IF(N238&gt;0,P238/N238,"")</f>
        <v/>
      </c>
      <c r="W238" s="17">
        <f>IF(O238&gt;0,H238/O238,"")</f>
        <v/>
      </c>
    </row>
    <row r="239">
      <c r="A239" s="13" t="inlineStr">
        <is>
          <t>T09_B2</t>
        </is>
      </c>
      <c r="B239" s="13" t="inlineStr">
        <is>
          <t>T09</t>
        </is>
      </c>
      <c r="C239" s="13" t="inlineStr">
        <is>
          <t>B2</t>
        </is>
      </c>
      <c r="D239" s="13" t="n">
        <v>1</v>
      </c>
      <c r="E239" s="13" t="inlineStr">
        <is>
          <t>S1</t>
        </is>
      </c>
      <c r="F239" s="13" t="n">
        <v>2026</v>
      </c>
      <c r="G239" s="14" t="n">
        <v>988540.5731000716</v>
      </c>
      <c r="H239" s="14" t="n">
        <v>5025.130832357967</v>
      </c>
      <c r="I239" s="14" t="n">
        <v>27368.02094804353</v>
      </c>
      <c r="J239" s="14" t="n">
        <v>0</v>
      </c>
      <c r="K239" s="14" t="n">
        <v>477271.3997079589</v>
      </c>
      <c r="L239" s="14" t="n">
        <v>478876.0216117111</v>
      </c>
      <c r="M239" s="14" t="n">
        <v>0</v>
      </c>
      <c r="N239" s="14" t="n">
        <v>17676.99747299494</v>
      </c>
      <c r="O239" s="14" t="n">
        <v>510567.3926015818</v>
      </c>
      <c r="P239" s="14" t="n">
        <v>12849.31000001197</v>
      </c>
      <c r="Q239" s="14" t="n">
        <v>2115179.962626589</v>
      </c>
      <c r="R239" s="15">
        <f>IF(D239=1,"Section 1","Control")</f>
        <v/>
      </c>
      <c r="S239" s="16">
        <f>N239/10000</f>
        <v/>
      </c>
      <c r="T239" s="16">
        <f>P239/10000</f>
        <v/>
      </c>
      <c r="U239" s="15">
        <f>IF(N239&gt;=Summary!$D$3,1,0)</f>
        <v/>
      </c>
      <c r="V239" s="17">
        <f>IF(N239&gt;0,P239/N239,"")</f>
        <v/>
      </c>
      <c r="W239" s="17">
        <f>IF(O239&gt;0,H239/O239,"")</f>
        <v/>
      </c>
    </row>
    <row r="240">
      <c r="A240" s="13" t="inlineStr">
        <is>
          <t>T09_B3</t>
        </is>
      </c>
      <c r="B240" s="13" t="inlineStr">
        <is>
          <t>T09</t>
        </is>
      </c>
      <c r="C240" s="13" t="inlineStr">
        <is>
          <t>B3</t>
        </is>
      </c>
      <c r="D240" s="13" t="n">
        <v>1</v>
      </c>
      <c r="E240" s="13" t="inlineStr">
        <is>
          <t>S1</t>
        </is>
      </c>
      <c r="F240" s="13" t="n">
        <v>2020</v>
      </c>
      <c r="G240" s="14" t="n">
        <v>7838274.670072579</v>
      </c>
      <c r="H240" s="14" t="n">
        <v>180631.8470025455</v>
      </c>
      <c r="I240" s="14" t="n">
        <v>419628.6158221376</v>
      </c>
      <c r="J240" s="14" t="n">
        <v>0</v>
      </c>
      <c r="K240" s="14" t="n">
        <v>1803560.912485908</v>
      </c>
      <c r="L240" s="14" t="n">
        <v>5434453.294761986</v>
      </c>
      <c r="M240" s="14" t="n">
        <v>0</v>
      </c>
      <c r="N240" s="14" t="n">
        <v>180631.8470025455</v>
      </c>
      <c r="O240" s="14" t="n">
        <v>2403821.375310591</v>
      </c>
      <c r="P240" s="14" t="n">
        <v>0</v>
      </c>
      <c r="Q240" s="14" t="n">
        <v>5616784.96105963</v>
      </c>
      <c r="R240" s="15">
        <f>IF(D240=1,"Section 1","Control")</f>
        <v/>
      </c>
      <c r="S240" s="16">
        <f>N240/10000</f>
        <v/>
      </c>
      <c r="T240" s="16">
        <f>P240/10000</f>
        <v/>
      </c>
      <c r="U240" s="15">
        <f>IF(N240&gt;=Summary!$D$3,1,0)</f>
        <v/>
      </c>
      <c r="V240" s="17">
        <f>IF(N240&gt;0,P240/N240,"")</f>
        <v/>
      </c>
      <c r="W240" s="17">
        <f>IF(O240&gt;0,H240/O240,"")</f>
        <v/>
      </c>
    </row>
    <row r="241">
      <c r="A241" s="13" t="inlineStr">
        <is>
          <t>T09_B3</t>
        </is>
      </c>
      <c r="B241" s="13" t="inlineStr">
        <is>
          <t>T09</t>
        </is>
      </c>
      <c r="C241" s="13" t="inlineStr">
        <is>
          <t>B3</t>
        </is>
      </c>
      <c r="D241" s="13" t="n">
        <v>1</v>
      </c>
      <c r="E241" s="13" t="inlineStr">
        <is>
          <t>S1</t>
        </is>
      </c>
      <c r="F241" s="13" t="n">
        <v>2021</v>
      </c>
      <c r="G241" s="14" t="n">
        <v>7838274.670072579</v>
      </c>
      <c r="H241" s="14" t="n">
        <v>96051.99274289</v>
      </c>
      <c r="I241" s="14" t="n">
        <v>402785.1286536722</v>
      </c>
      <c r="J241" s="14" t="n">
        <v>0</v>
      </c>
      <c r="K241" s="14" t="n">
        <v>1929941.336594616</v>
      </c>
      <c r="L241" s="14" t="n">
        <v>5409496.2120814</v>
      </c>
      <c r="M241" s="14" t="n">
        <v>0</v>
      </c>
      <c r="N241" s="14" t="n">
        <v>180631.8470025455</v>
      </c>
      <c r="O241" s="14" t="n">
        <v>2403821.375310591</v>
      </c>
      <c r="P241" s="14" t="n">
        <v>90451.46225092272</v>
      </c>
      <c r="Q241" s="14" t="n">
        <v>5616784.961059628</v>
      </c>
      <c r="R241" s="15">
        <f>IF(D241=1,"Section 1","Control")</f>
        <v/>
      </c>
      <c r="S241" s="16">
        <f>N241/10000</f>
        <v/>
      </c>
      <c r="T241" s="16">
        <f>P241/10000</f>
        <v/>
      </c>
      <c r="U241" s="15">
        <f>IF(N241&gt;=Summary!$D$3,1,0)</f>
        <v/>
      </c>
      <c r="V241" s="17">
        <f>IF(N241&gt;0,P241/N241,"")</f>
        <v/>
      </c>
      <c r="W241" s="17">
        <f>IF(O241&gt;0,H241/O241,"")</f>
        <v/>
      </c>
    </row>
    <row r="242">
      <c r="A242" s="13" t="inlineStr">
        <is>
          <t>T09_B3</t>
        </is>
      </c>
      <c r="B242" s="13" t="inlineStr">
        <is>
          <t>T09</t>
        </is>
      </c>
      <c r="C242" s="13" t="inlineStr">
        <is>
          <t>B3</t>
        </is>
      </c>
      <c r="D242" s="13" t="n">
        <v>1</v>
      </c>
      <c r="E242" s="13" t="inlineStr">
        <is>
          <t>S1</t>
        </is>
      </c>
      <c r="F242" s="13" t="n">
        <v>2022</v>
      </c>
      <c r="G242" s="14" t="n">
        <v>7838274.670072579</v>
      </c>
      <c r="H242" s="14" t="n">
        <v>67366.73265913421</v>
      </c>
      <c r="I242" s="14" t="n">
        <v>570245.7554669846</v>
      </c>
      <c r="J242" s="14" t="n">
        <v>0</v>
      </c>
      <c r="K242" s="14" t="n">
        <v>1951740.542788098</v>
      </c>
      <c r="L242" s="14" t="n">
        <v>5248921.639158361</v>
      </c>
      <c r="M242" s="14" t="n">
        <v>0</v>
      </c>
      <c r="N242" s="14" t="n">
        <v>180631.8470025455</v>
      </c>
      <c r="O242" s="14" t="n">
        <v>2403821.375310591</v>
      </c>
      <c r="P242" s="14" t="n">
        <v>115891.8142466826</v>
      </c>
      <c r="Q242" s="14" t="n">
        <v>5616784.96105963</v>
      </c>
      <c r="R242" s="15">
        <f>IF(D242=1,"Section 1","Control")</f>
        <v/>
      </c>
      <c r="S242" s="16">
        <f>N242/10000</f>
        <v/>
      </c>
      <c r="T242" s="16">
        <f>P242/10000</f>
        <v/>
      </c>
      <c r="U242" s="15">
        <f>IF(N242&gt;=Summary!$D$3,1,0)</f>
        <v/>
      </c>
      <c r="V242" s="17">
        <f>IF(N242&gt;0,P242/N242,"")</f>
        <v/>
      </c>
      <c r="W242" s="17">
        <f>IF(O242&gt;0,H242/O242,"")</f>
        <v/>
      </c>
    </row>
    <row r="243">
      <c r="A243" s="13" t="inlineStr">
        <is>
          <t>T09_B3</t>
        </is>
      </c>
      <c r="B243" s="13" t="inlineStr">
        <is>
          <t>T09</t>
        </is>
      </c>
      <c r="C243" s="13" t="inlineStr">
        <is>
          <t>B3</t>
        </is>
      </c>
      <c r="D243" s="13" t="n">
        <v>1</v>
      </c>
      <c r="E243" s="13" t="inlineStr">
        <is>
          <t>S1</t>
        </is>
      </c>
      <c r="F243" s="13" t="n">
        <v>2023</v>
      </c>
      <c r="G243" s="14" t="n">
        <v>7838274.670072579</v>
      </c>
      <c r="H243" s="14" t="n">
        <v>58506.89337765563</v>
      </c>
      <c r="I243" s="14" t="n">
        <v>436018.4884809008</v>
      </c>
      <c r="J243" s="14" t="n">
        <v>0</v>
      </c>
      <c r="K243" s="14" t="n">
        <v>2022329.575818529</v>
      </c>
      <c r="L243" s="14" t="n">
        <v>5321419.712395492</v>
      </c>
      <c r="M243" s="14" t="n">
        <v>0</v>
      </c>
      <c r="N243" s="14" t="n">
        <v>180631.8470025455</v>
      </c>
      <c r="O243" s="14" t="n">
        <v>2403821.375310591</v>
      </c>
      <c r="P243" s="14" t="n">
        <v>134253.6005702299</v>
      </c>
      <c r="Q243" s="14" t="n">
        <v>5616784.961059628</v>
      </c>
      <c r="R243" s="15">
        <f>IF(D243=1,"Section 1","Control")</f>
        <v/>
      </c>
      <c r="S243" s="16">
        <f>N243/10000</f>
        <v/>
      </c>
      <c r="T243" s="16">
        <f>P243/10000</f>
        <v/>
      </c>
      <c r="U243" s="15">
        <f>IF(N243&gt;=Summary!$D$3,1,0)</f>
        <v/>
      </c>
      <c r="V243" s="17">
        <f>IF(N243&gt;0,P243/N243,"")</f>
        <v/>
      </c>
      <c r="W243" s="17">
        <f>IF(O243&gt;0,H243/O243,"")</f>
        <v/>
      </c>
    </row>
    <row r="244">
      <c r="A244" s="13" t="inlineStr">
        <is>
          <t>T09_B3</t>
        </is>
      </c>
      <c r="B244" s="13" t="inlineStr">
        <is>
          <t>T09</t>
        </is>
      </c>
      <c r="C244" s="13" t="inlineStr">
        <is>
          <t>B3</t>
        </is>
      </c>
      <c r="D244" s="13" t="n">
        <v>1</v>
      </c>
      <c r="E244" s="13" t="inlineStr">
        <is>
          <t>S1</t>
        </is>
      </c>
      <c r="F244" s="13" t="n">
        <v>2024</v>
      </c>
      <c r="G244" s="14" t="n">
        <v>7838274.670072578</v>
      </c>
      <c r="H244" s="14" t="n">
        <v>83507.50873972574</v>
      </c>
      <c r="I244" s="14" t="n">
        <v>526350.5030992096</v>
      </c>
      <c r="J244" s="14" t="n">
        <v>0</v>
      </c>
      <c r="K244" s="14" t="n">
        <v>1996694.35915638</v>
      </c>
      <c r="L244" s="14" t="n">
        <v>5231722.299077262</v>
      </c>
      <c r="M244" s="14" t="n">
        <v>0</v>
      </c>
      <c r="N244" s="14" t="n">
        <v>180631.8470025455</v>
      </c>
      <c r="O244" s="14" t="n">
        <v>2403821.375310591</v>
      </c>
      <c r="P244" s="14" t="n">
        <v>135635.6819682402</v>
      </c>
      <c r="Q244" s="14" t="n">
        <v>5616784.96105963</v>
      </c>
      <c r="R244" s="15">
        <f>IF(D244=1,"Section 1","Control")</f>
        <v/>
      </c>
      <c r="S244" s="16">
        <f>N244/10000</f>
        <v/>
      </c>
      <c r="T244" s="16">
        <f>P244/10000</f>
        <v/>
      </c>
      <c r="U244" s="15">
        <f>IF(N244&gt;=Summary!$D$3,1,0)</f>
        <v/>
      </c>
      <c r="V244" s="17">
        <f>IF(N244&gt;0,P244/N244,"")</f>
        <v/>
      </c>
      <c r="W244" s="17">
        <f>IF(O244&gt;0,H244/O244,"")</f>
        <v/>
      </c>
    </row>
    <row r="245">
      <c r="A245" s="13" t="inlineStr">
        <is>
          <t>T09_B3</t>
        </is>
      </c>
      <c r="B245" s="13" t="inlineStr">
        <is>
          <t>T09</t>
        </is>
      </c>
      <c r="C245" s="13" t="inlineStr">
        <is>
          <t>B3</t>
        </is>
      </c>
      <c r="D245" s="13" t="n">
        <v>1</v>
      </c>
      <c r="E245" s="13" t="inlineStr">
        <is>
          <t>S1</t>
        </is>
      </c>
      <c r="F245" s="13" t="n">
        <v>2025</v>
      </c>
      <c r="G245" s="14" t="n">
        <v>7838274.670072579</v>
      </c>
      <c r="H245" s="14" t="n">
        <v>90483.66878503538</v>
      </c>
      <c r="I245" s="14" t="n">
        <v>577588.1862003403</v>
      </c>
      <c r="J245" s="14" t="n">
        <v>0</v>
      </c>
      <c r="K245" s="14" t="n">
        <v>1995547.044490291</v>
      </c>
      <c r="L245" s="14" t="n">
        <v>5174655.770596912</v>
      </c>
      <c r="M245" s="14" t="n">
        <v>0</v>
      </c>
      <c r="N245" s="14" t="n">
        <v>180631.8470025455</v>
      </c>
      <c r="O245" s="14" t="n">
        <v>2403821.375310591</v>
      </c>
      <c r="P245" s="14" t="n">
        <v>135931.8599849028</v>
      </c>
      <c r="Q245" s="14" t="n">
        <v>5616784.961059628</v>
      </c>
      <c r="R245" s="15">
        <f>IF(D245=1,"Section 1","Control")</f>
        <v/>
      </c>
      <c r="S245" s="16">
        <f>N245/10000</f>
        <v/>
      </c>
      <c r="T245" s="16">
        <f>P245/10000</f>
        <v/>
      </c>
      <c r="U245" s="15">
        <f>IF(N245&gt;=Summary!$D$3,1,0)</f>
        <v/>
      </c>
      <c r="V245" s="17">
        <f>IF(N245&gt;0,P245/N245,"")</f>
        <v/>
      </c>
      <c r="W245" s="17">
        <f>IF(O245&gt;0,H245/O245,"")</f>
        <v/>
      </c>
    </row>
    <row r="246">
      <c r="A246" s="13" t="inlineStr">
        <is>
          <t>T09_B3</t>
        </is>
      </c>
      <c r="B246" s="13" t="inlineStr">
        <is>
          <t>T09</t>
        </is>
      </c>
      <c r="C246" s="13" t="inlineStr">
        <is>
          <t>B3</t>
        </is>
      </c>
      <c r="D246" s="13" t="n">
        <v>1</v>
      </c>
      <c r="E246" s="13" t="inlineStr">
        <is>
          <t>S1</t>
        </is>
      </c>
      <c r="F246" s="13" t="n">
        <v>2026</v>
      </c>
      <c r="G246" s="14" t="n">
        <v>7838274.670072579</v>
      </c>
      <c r="H246" s="14" t="n">
        <v>128945.4657579609</v>
      </c>
      <c r="I246" s="14" t="n">
        <v>531968.0491984348</v>
      </c>
      <c r="J246" s="14" t="n">
        <v>0</v>
      </c>
      <c r="K246" s="14" t="n">
        <v>2051132.393711105</v>
      </c>
      <c r="L246" s="14" t="n">
        <v>5126228.761405078</v>
      </c>
      <c r="M246" s="14" t="n">
        <v>0</v>
      </c>
      <c r="N246" s="14" t="n">
        <v>180631.8470025455</v>
      </c>
      <c r="O246" s="14" t="n">
        <v>2403821.375310591</v>
      </c>
      <c r="P246" s="14" t="n">
        <v>123295.9122233671</v>
      </c>
      <c r="Q246" s="14" t="n">
        <v>5616784.961059628</v>
      </c>
      <c r="R246" s="15">
        <f>IF(D246=1,"Section 1","Control")</f>
        <v/>
      </c>
      <c r="S246" s="16">
        <f>N246/10000</f>
        <v/>
      </c>
      <c r="T246" s="16">
        <f>P246/10000</f>
        <v/>
      </c>
      <c r="U246" s="15">
        <f>IF(N246&gt;=Summary!$D$3,1,0)</f>
        <v/>
      </c>
      <c r="V246" s="17">
        <f>IF(N246&gt;0,P246/N246,"")</f>
        <v/>
      </c>
      <c r="W246" s="17">
        <f>IF(O246&gt;0,H246/O246,"")</f>
        <v/>
      </c>
    </row>
    <row r="247">
      <c r="A247" s="13" t="inlineStr">
        <is>
          <t>T09_F</t>
        </is>
      </c>
      <c r="B247" s="13" t="inlineStr">
        <is>
          <t>T09</t>
        </is>
      </c>
      <c r="C247" s="13" t="inlineStr">
        <is>
          <t>F</t>
        </is>
      </c>
      <c r="D247" s="13" t="n">
        <v>1</v>
      </c>
      <c r="E247" s="13" t="inlineStr">
        <is>
          <t>S1</t>
        </is>
      </c>
      <c r="F247" s="13" t="n">
        <v>2020</v>
      </c>
      <c r="G247" s="14" t="n">
        <v>94043.55979398836</v>
      </c>
      <c r="H247" s="14" t="n">
        <v>19433.72239053764</v>
      </c>
      <c r="I247" s="14" t="n">
        <v>651.1850137448778</v>
      </c>
      <c r="J247" s="14" t="n">
        <v>0</v>
      </c>
      <c r="K247" s="14" t="n">
        <v>73958.65238970588</v>
      </c>
      <c r="L247" s="14" t="n">
        <v>0</v>
      </c>
      <c r="M247" s="14" t="n">
        <v>0</v>
      </c>
      <c r="N247" s="14" t="n">
        <v>19433.72239053764</v>
      </c>
      <c r="O247" s="14" t="n">
        <v>94043.55979398836</v>
      </c>
      <c r="P247" s="14" t="n">
        <v>0</v>
      </c>
      <c r="Q247" s="14" t="n">
        <v>387159.212618121</v>
      </c>
      <c r="R247" s="15">
        <f>IF(D247=1,"Section 1","Control")</f>
        <v/>
      </c>
      <c r="S247" s="16">
        <f>N247/10000</f>
        <v/>
      </c>
      <c r="T247" s="16">
        <f>P247/10000</f>
        <v/>
      </c>
      <c r="U247" s="15">
        <f>IF(N247&gt;=Summary!$D$3,1,0)</f>
        <v/>
      </c>
      <c r="V247" s="17">
        <f>IF(N247&gt;0,P247/N247,"")</f>
        <v/>
      </c>
      <c r="W247" s="17">
        <f>IF(O247&gt;0,H247/O247,"")</f>
        <v/>
      </c>
    </row>
    <row r="248">
      <c r="A248" s="13" t="inlineStr">
        <is>
          <t>T09_F</t>
        </is>
      </c>
      <c r="B248" s="13" t="inlineStr">
        <is>
          <t>T09</t>
        </is>
      </c>
      <c r="C248" s="13" t="inlineStr">
        <is>
          <t>F</t>
        </is>
      </c>
      <c r="D248" s="13" t="n">
        <v>1</v>
      </c>
      <c r="E248" s="13" t="inlineStr">
        <is>
          <t>S1</t>
        </is>
      </c>
      <c r="F248" s="13" t="n">
        <v>2021</v>
      </c>
      <c r="G248" s="14" t="n">
        <v>94043.55979398836</v>
      </c>
      <c r="H248" s="14" t="n">
        <v>18031.4680727192</v>
      </c>
      <c r="I248" s="14" t="n">
        <v>687.1900742175532</v>
      </c>
      <c r="J248" s="14" t="n">
        <v>0</v>
      </c>
      <c r="K248" s="14" t="n">
        <v>75324.90164705162</v>
      </c>
      <c r="L248" s="14" t="n">
        <v>0</v>
      </c>
      <c r="M248" s="14" t="n">
        <v>0</v>
      </c>
      <c r="N248" s="14" t="n">
        <v>19433.72239053764</v>
      </c>
      <c r="O248" s="14" t="n">
        <v>94043.55979398836</v>
      </c>
      <c r="P248" s="14" t="n">
        <v>1402.254317818436</v>
      </c>
      <c r="Q248" s="14" t="n">
        <v>387159.212618121</v>
      </c>
      <c r="R248" s="15">
        <f>IF(D248=1,"Section 1","Control")</f>
        <v/>
      </c>
      <c r="S248" s="16">
        <f>N248/10000</f>
        <v/>
      </c>
      <c r="T248" s="16">
        <f>P248/10000</f>
        <v/>
      </c>
      <c r="U248" s="15">
        <f>IF(N248&gt;=Summary!$D$3,1,0)</f>
        <v/>
      </c>
      <c r="V248" s="17">
        <f>IF(N248&gt;0,P248/N248,"")</f>
        <v/>
      </c>
      <c r="W248" s="17">
        <f>IF(O248&gt;0,H248/O248,"")</f>
        <v/>
      </c>
    </row>
    <row r="249">
      <c r="A249" s="13" t="inlineStr">
        <is>
          <t>T09_F</t>
        </is>
      </c>
      <c r="B249" s="13" t="inlineStr">
        <is>
          <t>T09</t>
        </is>
      </c>
      <c r="C249" s="13" t="inlineStr">
        <is>
          <t>F</t>
        </is>
      </c>
      <c r="D249" s="13" t="n">
        <v>1</v>
      </c>
      <c r="E249" s="13" t="inlineStr">
        <is>
          <t>S1</t>
        </is>
      </c>
      <c r="F249" s="13" t="n">
        <v>2022</v>
      </c>
      <c r="G249" s="14" t="n">
        <v>94043.55979398836</v>
      </c>
      <c r="H249" s="14" t="n">
        <v>12762.36930703556</v>
      </c>
      <c r="I249" s="14" t="n">
        <v>579.9497513415766</v>
      </c>
      <c r="J249" s="14" t="n">
        <v>0</v>
      </c>
      <c r="K249" s="14" t="n">
        <v>80701.24073561125</v>
      </c>
      <c r="L249" s="14" t="n">
        <v>0</v>
      </c>
      <c r="M249" s="14" t="n">
        <v>0</v>
      </c>
      <c r="N249" s="14" t="n">
        <v>19433.72239053764</v>
      </c>
      <c r="O249" s="14" t="n">
        <v>94043.55979398836</v>
      </c>
      <c r="P249" s="14" t="n">
        <v>6671.353083502077</v>
      </c>
      <c r="Q249" s="14" t="n">
        <v>387159.212618121</v>
      </c>
      <c r="R249" s="15">
        <f>IF(D249=1,"Section 1","Control")</f>
        <v/>
      </c>
      <c r="S249" s="16">
        <f>N249/10000</f>
        <v/>
      </c>
      <c r="T249" s="16">
        <f>P249/10000</f>
        <v/>
      </c>
      <c r="U249" s="15">
        <f>IF(N249&gt;=Summary!$D$3,1,0)</f>
        <v/>
      </c>
      <c r="V249" s="17">
        <f>IF(N249&gt;0,P249/N249,"")</f>
        <v/>
      </c>
      <c r="W249" s="17">
        <f>IF(O249&gt;0,H249/O249,"")</f>
        <v/>
      </c>
    </row>
    <row r="250">
      <c r="A250" s="13" t="inlineStr">
        <is>
          <t>T09_F</t>
        </is>
      </c>
      <c r="B250" s="13" t="inlineStr">
        <is>
          <t>T09</t>
        </is>
      </c>
      <c r="C250" s="13" t="inlineStr">
        <is>
          <t>F</t>
        </is>
      </c>
      <c r="D250" s="13" t="n">
        <v>1</v>
      </c>
      <c r="E250" s="13" t="inlineStr">
        <is>
          <t>S1</t>
        </is>
      </c>
      <c r="F250" s="13" t="n">
        <v>2023</v>
      </c>
      <c r="G250" s="14" t="n">
        <v>94043.55979398836</v>
      </c>
      <c r="H250" s="14" t="n">
        <v>10229.63945115034</v>
      </c>
      <c r="I250" s="14" t="n">
        <v>3439.047492741603</v>
      </c>
      <c r="J250" s="14" t="n">
        <v>0</v>
      </c>
      <c r="K250" s="14" t="n">
        <v>80374.87285009645</v>
      </c>
      <c r="L250" s="14" t="n">
        <v>0</v>
      </c>
      <c r="M250" s="14" t="n">
        <v>0</v>
      </c>
      <c r="N250" s="14" t="n">
        <v>19433.72239053764</v>
      </c>
      <c r="O250" s="14" t="n">
        <v>94043.55979398836</v>
      </c>
      <c r="P250" s="14" t="n">
        <v>9204.082939387305</v>
      </c>
      <c r="Q250" s="14" t="n">
        <v>387159.212618121</v>
      </c>
      <c r="R250" s="15">
        <f>IF(D250=1,"Section 1","Control")</f>
        <v/>
      </c>
      <c r="S250" s="16">
        <f>N250/10000</f>
        <v/>
      </c>
      <c r="T250" s="16">
        <f>P250/10000</f>
        <v/>
      </c>
      <c r="U250" s="15">
        <f>IF(N250&gt;=Summary!$D$3,1,0)</f>
        <v/>
      </c>
      <c r="V250" s="17">
        <f>IF(N250&gt;0,P250/N250,"")</f>
        <v/>
      </c>
      <c r="W250" s="17">
        <f>IF(O250&gt;0,H250/O250,"")</f>
        <v/>
      </c>
    </row>
    <row r="251">
      <c r="A251" s="13" t="inlineStr">
        <is>
          <t>T09_F</t>
        </is>
      </c>
      <c r="B251" s="13" t="inlineStr">
        <is>
          <t>T09</t>
        </is>
      </c>
      <c r="C251" s="13" t="inlineStr">
        <is>
          <t>F</t>
        </is>
      </c>
      <c r="D251" s="13" t="n">
        <v>1</v>
      </c>
      <c r="E251" s="13" t="inlineStr">
        <is>
          <t>S1</t>
        </is>
      </c>
      <c r="F251" s="13" t="n">
        <v>2024</v>
      </c>
      <c r="G251" s="14" t="n">
        <v>94043.55979398836</v>
      </c>
      <c r="H251" s="14" t="n">
        <v>7658.969383718455</v>
      </c>
      <c r="I251" s="14" t="n">
        <v>3373.232050488042</v>
      </c>
      <c r="J251" s="14" t="n">
        <v>0</v>
      </c>
      <c r="K251" s="14" t="n">
        <v>83011.35835978189</v>
      </c>
      <c r="L251" s="14" t="n">
        <v>0</v>
      </c>
      <c r="M251" s="14" t="n">
        <v>0</v>
      </c>
      <c r="N251" s="14" t="n">
        <v>19433.72239053764</v>
      </c>
      <c r="O251" s="14" t="n">
        <v>94043.55979398836</v>
      </c>
      <c r="P251" s="14" t="n">
        <v>11774.75300681918</v>
      </c>
      <c r="Q251" s="14" t="n">
        <v>387159.212618121</v>
      </c>
      <c r="R251" s="15">
        <f>IF(D251=1,"Section 1","Control")</f>
        <v/>
      </c>
      <c r="S251" s="16">
        <f>N251/10000</f>
        <v/>
      </c>
      <c r="T251" s="16">
        <f>P251/10000</f>
        <v/>
      </c>
      <c r="U251" s="15">
        <f>IF(N251&gt;=Summary!$D$3,1,0)</f>
        <v/>
      </c>
      <c r="V251" s="17">
        <f>IF(N251&gt;0,P251/N251,"")</f>
        <v/>
      </c>
      <c r="W251" s="17">
        <f>IF(O251&gt;0,H251/O251,"")</f>
        <v/>
      </c>
    </row>
    <row r="252">
      <c r="A252" s="13" t="inlineStr">
        <is>
          <t>T09_F</t>
        </is>
      </c>
      <c r="B252" s="13" t="inlineStr">
        <is>
          <t>T09</t>
        </is>
      </c>
      <c r="C252" s="13" t="inlineStr">
        <is>
          <t>F</t>
        </is>
      </c>
      <c r="D252" s="13" t="n">
        <v>1</v>
      </c>
      <c r="E252" s="13" t="inlineStr">
        <is>
          <t>S1</t>
        </is>
      </c>
      <c r="F252" s="13" t="n">
        <v>2025</v>
      </c>
      <c r="G252" s="14" t="n">
        <v>94043.55979398836</v>
      </c>
      <c r="H252" s="14" t="n">
        <v>0</v>
      </c>
      <c r="I252" s="14" t="n">
        <v>62201.30961154114</v>
      </c>
      <c r="J252" s="14" t="n">
        <v>0</v>
      </c>
      <c r="K252" s="14" t="n">
        <v>31842.25018244725</v>
      </c>
      <c r="L252" s="14" t="n">
        <v>0</v>
      </c>
      <c r="M252" s="14" t="n">
        <v>0</v>
      </c>
      <c r="N252" s="14" t="n">
        <v>19433.72239053764</v>
      </c>
      <c r="O252" s="14" t="n">
        <v>94043.55979398836</v>
      </c>
      <c r="P252" s="14" t="n">
        <v>19433.72239053764</v>
      </c>
      <c r="Q252" s="14" t="n">
        <v>387159.212618121</v>
      </c>
      <c r="R252" s="15">
        <f>IF(D252=1,"Section 1","Control")</f>
        <v/>
      </c>
      <c r="S252" s="16">
        <f>N252/10000</f>
        <v/>
      </c>
      <c r="T252" s="16">
        <f>P252/10000</f>
        <v/>
      </c>
      <c r="U252" s="15">
        <f>IF(N252&gt;=Summary!$D$3,1,0)</f>
        <v/>
      </c>
      <c r="V252" s="17">
        <f>IF(N252&gt;0,P252/N252,"")</f>
        <v/>
      </c>
      <c r="W252" s="17">
        <f>IF(O252&gt;0,H252/O252,"")</f>
        <v/>
      </c>
    </row>
    <row r="253">
      <c r="A253" s="13" t="inlineStr">
        <is>
          <t>T09_F</t>
        </is>
      </c>
      <c r="B253" s="13" t="inlineStr">
        <is>
          <t>T09</t>
        </is>
      </c>
      <c r="C253" s="13" t="inlineStr">
        <is>
          <t>F</t>
        </is>
      </c>
      <c r="D253" s="13" t="n">
        <v>1</v>
      </c>
      <c r="E253" s="13" t="inlineStr">
        <is>
          <t>S1</t>
        </is>
      </c>
      <c r="F253" s="13" t="n">
        <v>2026</v>
      </c>
      <c r="G253" s="14" t="n">
        <v>94043.55979398836</v>
      </c>
      <c r="H253" s="14" t="n">
        <v>0</v>
      </c>
      <c r="I253" s="14" t="n">
        <v>24650.17536734786</v>
      </c>
      <c r="J253" s="14" t="n">
        <v>0</v>
      </c>
      <c r="K253" s="14" t="n">
        <v>69393.38442664052</v>
      </c>
      <c r="L253" s="14" t="n">
        <v>0</v>
      </c>
      <c r="M253" s="14" t="n">
        <v>0</v>
      </c>
      <c r="N253" s="14" t="n">
        <v>19433.72239053764</v>
      </c>
      <c r="O253" s="14" t="n">
        <v>94043.55979398836</v>
      </c>
      <c r="P253" s="14" t="n">
        <v>19433.72239053764</v>
      </c>
      <c r="Q253" s="14" t="n">
        <v>387159.212618121</v>
      </c>
      <c r="R253" s="15">
        <f>IF(D253=1,"Section 1","Control")</f>
        <v/>
      </c>
      <c r="S253" s="16">
        <f>N253/10000</f>
        <v/>
      </c>
      <c r="T253" s="16">
        <f>P253/10000</f>
        <v/>
      </c>
      <c r="U253" s="15">
        <f>IF(N253&gt;=Summary!$D$3,1,0)</f>
        <v/>
      </c>
      <c r="V253" s="17">
        <f>IF(N253&gt;0,P253/N253,"")</f>
        <v/>
      </c>
      <c r="W253" s="17">
        <f>IF(O253&gt;0,H253/O253,"")</f>
        <v/>
      </c>
    </row>
    <row r="254">
      <c r="A254" s="13" t="inlineStr">
        <is>
          <t>T10_B1</t>
        </is>
      </c>
      <c r="B254" s="13" t="inlineStr">
        <is>
          <t>T10</t>
        </is>
      </c>
      <c r="C254" s="13" t="inlineStr">
        <is>
          <t>B1</t>
        </is>
      </c>
      <c r="D254" s="13" t="n">
        <v>1</v>
      </c>
      <c r="E254" s="13" t="inlineStr">
        <is>
          <t>S1</t>
        </is>
      </c>
      <c r="F254" s="13" t="n">
        <v>2020</v>
      </c>
      <c r="G254" s="14" t="n">
        <v>1016471.97773252</v>
      </c>
      <c r="H254" s="14" t="n">
        <v>128629.4585466273</v>
      </c>
      <c r="I254" s="14" t="n">
        <v>71061.36139325908</v>
      </c>
      <c r="J254" s="14" t="n">
        <v>227788.1521756041</v>
      </c>
      <c r="K254" s="14" t="n">
        <v>585379.71259625</v>
      </c>
      <c r="L254" s="14" t="n">
        <v>3613.293020779479</v>
      </c>
      <c r="M254" s="14" t="n">
        <v>0</v>
      </c>
      <c r="N254" s="14" t="n">
        <v>128629.4585466273</v>
      </c>
      <c r="O254" s="14" t="n">
        <v>1012858.684711741</v>
      </c>
      <c r="P254" s="14" t="n">
        <v>0</v>
      </c>
      <c r="Q254" s="14" t="n">
        <v>5789356.375920584</v>
      </c>
      <c r="R254" s="15">
        <f>IF(D254=1,"Section 1","Control")</f>
        <v/>
      </c>
      <c r="S254" s="16">
        <f>N254/10000</f>
        <v/>
      </c>
      <c r="T254" s="16">
        <f>P254/10000</f>
        <v/>
      </c>
      <c r="U254" s="15">
        <f>IF(N254&gt;=Summary!$D$3,1,0)</f>
        <v/>
      </c>
      <c r="V254" s="17">
        <f>IF(N254&gt;0,P254/N254,"")</f>
        <v/>
      </c>
      <c r="W254" s="17">
        <f>IF(O254&gt;0,H254/O254,"")</f>
        <v/>
      </c>
    </row>
    <row r="255">
      <c r="A255" s="13" t="inlineStr">
        <is>
          <t>T10_B1</t>
        </is>
      </c>
      <c r="B255" s="13" t="inlineStr">
        <is>
          <t>T10</t>
        </is>
      </c>
      <c r="C255" s="13" t="inlineStr">
        <is>
          <t>B1</t>
        </is>
      </c>
      <c r="D255" s="13" t="n">
        <v>1</v>
      </c>
      <c r="E255" s="13" t="inlineStr">
        <is>
          <t>S1</t>
        </is>
      </c>
      <c r="F255" s="13" t="n">
        <v>2021</v>
      </c>
      <c r="G255" s="14" t="n">
        <v>1016471.97773252</v>
      </c>
      <c r="H255" s="14" t="n">
        <v>90155.23794026094</v>
      </c>
      <c r="I255" s="14" t="n">
        <v>166478.3458411721</v>
      </c>
      <c r="J255" s="14" t="n">
        <v>238284.6066442752</v>
      </c>
      <c r="K255" s="14" t="n">
        <v>516782.9089588838</v>
      </c>
      <c r="L255" s="14" t="n">
        <v>4770.878347927916</v>
      </c>
      <c r="M255" s="14" t="n">
        <v>0</v>
      </c>
      <c r="N255" s="14" t="n">
        <v>128629.4585466273</v>
      </c>
      <c r="O255" s="14" t="n">
        <v>1012858.684711741</v>
      </c>
      <c r="P255" s="14" t="n">
        <v>41855.57666509291</v>
      </c>
      <c r="Q255" s="14" t="n">
        <v>5789356.375920584</v>
      </c>
      <c r="R255" s="15">
        <f>IF(D255=1,"Section 1","Control")</f>
        <v/>
      </c>
      <c r="S255" s="16">
        <f>N255/10000</f>
        <v/>
      </c>
      <c r="T255" s="16">
        <f>P255/10000</f>
        <v/>
      </c>
      <c r="U255" s="15">
        <f>IF(N255&gt;=Summary!$D$3,1,0)</f>
        <v/>
      </c>
      <c r="V255" s="17">
        <f>IF(N255&gt;0,P255/N255,"")</f>
        <v/>
      </c>
      <c r="W255" s="17">
        <f>IF(O255&gt;0,H255/O255,"")</f>
        <v/>
      </c>
    </row>
    <row r="256">
      <c r="A256" s="13" t="inlineStr">
        <is>
          <t>T10_B1</t>
        </is>
      </c>
      <c r="B256" s="13" t="inlineStr">
        <is>
          <t>T10</t>
        </is>
      </c>
      <c r="C256" s="13" t="inlineStr">
        <is>
          <t>B1</t>
        </is>
      </c>
      <c r="D256" s="13" t="n">
        <v>1</v>
      </c>
      <c r="E256" s="13" t="inlineStr">
        <is>
          <t>S1</t>
        </is>
      </c>
      <c r="F256" s="13" t="n">
        <v>2022</v>
      </c>
      <c r="G256" s="14" t="n">
        <v>1016471.97773252</v>
      </c>
      <c r="H256" s="14" t="n">
        <v>70176.10751297894</v>
      </c>
      <c r="I256" s="14" t="n">
        <v>125513.8463180242</v>
      </c>
      <c r="J256" s="14" t="n">
        <v>213033.1147980634</v>
      </c>
      <c r="K256" s="14" t="n">
        <v>603175.4783873613</v>
      </c>
      <c r="L256" s="14" t="n">
        <v>4573.430716091979</v>
      </c>
      <c r="M256" s="14" t="n">
        <v>0</v>
      </c>
      <c r="N256" s="14" t="n">
        <v>128629.4585466273</v>
      </c>
      <c r="O256" s="14" t="n">
        <v>1012858.684711741</v>
      </c>
      <c r="P256" s="14" t="n">
        <v>65561.40544649013</v>
      </c>
      <c r="Q256" s="14" t="n">
        <v>5789356.375920584</v>
      </c>
      <c r="R256" s="15">
        <f>IF(D256=1,"Section 1","Control")</f>
        <v/>
      </c>
      <c r="S256" s="16">
        <f>N256/10000</f>
        <v/>
      </c>
      <c r="T256" s="16">
        <f>P256/10000</f>
        <v/>
      </c>
      <c r="U256" s="15">
        <f>IF(N256&gt;=Summary!$D$3,1,0)</f>
        <v/>
      </c>
      <c r="V256" s="17">
        <f>IF(N256&gt;0,P256/N256,"")</f>
        <v/>
      </c>
      <c r="W256" s="17">
        <f>IF(O256&gt;0,H256/O256,"")</f>
        <v/>
      </c>
    </row>
    <row r="257">
      <c r="A257" s="13" t="inlineStr">
        <is>
          <t>T10_B1</t>
        </is>
      </c>
      <c r="B257" s="13" t="inlineStr">
        <is>
          <t>T10</t>
        </is>
      </c>
      <c r="C257" s="13" t="inlineStr">
        <is>
          <t>B1</t>
        </is>
      </c>
      <c r="D257" s="13" t="n">
        <v>1</v>
      </c>
      <c r="E257" s="13" t="inlineStr">
        <is>
          <t>S1</t>
        </is>
      </c>
      <c r="F257" s="13" t="n">
        <v>2023</v>
      </c>
      <c r="G257" s="14" t="n">
        <v>1016471.97773252</v>
      </c>
      <c r="H257" s="14" t="n">
        <v>52916.26309036554</v>
      </c>
      <c r="I257" s="14" t="n">
        <v>108454.3735555612</v>
      </c>
      <c r="J257" s="14" t="n">
        <v>216308.0204838173</v>
      </c>
      <c r="K257" s="14" t="n">
        <v>636095.642656154</v>
      </c>
      <c r="L257" s="14" t="n">
        <v>2697.677946621764</v>
      </c>
      <c r="M257" s="14" t="n">
        <v>0</v>
      </c>
      <c r="N257" s="14" t="n">
        <v>128629.4585466273</v>
      </c>
      <c r="O257" s="14" t="n">
        <v>1012858.684711741</v>
      </c>
      <c r="P257" s="14" t="n">
        <v>80846.78962587845</v>
      </c>
      <c r="Q257" s="14" t="n">
        <v>5789356.375920584</v>
      </c>
      <c r="R257" s="15">
        <f>IF(D257=1,"Section 1","Control")</f>
        <v/>
      </c>
      <c r="S257" s="16">
        <f>N257/10000</f>
        <v/>
      </c>
      <c r="T257" s="16">
        <f>P257/10000</f>
        <v/>
      </c>
      <c r="U257" s="15">
        <f>IF(N257&gt;=Summary!$D$3,1,0)</f>
        <v/>
      </c>
      <c r="V257" s="17">
        <f>IF(N257&gt;0,P257/N257,"")</f>
        <v/>
      </c>
      <c r="W257" s="17">
        <f>IF(O257&gt;0,H257/O257,"")</f>
        <v/>
      </c>
    </row>
    <row r="258">
      <c r="A258" s="13" t="inlineStr">
        <is>
          <t>T10_B1</t>
        </is>
      </c>
      <c r="B258" s="13" t="inlineStr">
        <is>
          <t>T10</t>
        </is>
      </c>
      <c r="C258" s="13" t="inlineStr">
        <is>
          <t>B1</t>
        </is>
      </c>
      <c r="D258" s="13" t="n">
        <v>1</v>
      </c>
      <c r="E258" s="13" t="inlineStr">
        <is>
          <t>S1</t>
        </is>
      </c>
      <c r="F258" s="13" t="n">
        <v>2024</v>
      </c>
      <c r="G258" s="14" t="n">
        <v>1016471.97773252</v>
      </c>
      <c r="H258" s="14" t="n">
        <v>48591.05569191727</v>
      </c>
      <c r="I258" s="14" t="n">
        <v>102349.8463733149</v>
      </c>
      <c r="J258" s="14" t="n">
        <v>195434.8257277545</v>
      </c>
      <c r="K258" s="14" t="n">
        <v>667003.676584281</v>
      </c>
      <c r="L258" s="14" t="n">
        <v>3092.573355252135</v>
      </c>
      <c r="M258" s="14" t="n">
        <v>0</v>
      </c>
      <c r="N258" s="14" t="n">
        <v>128629.4585466272</v>
      </c>
      <c r="O258" s="14" t="n">
        <v>1012858.684711741</v>
      </c>
      <c r="P258" s="14" t="n">
        <v>84777.10954263725</v>
      </c>
      <c r="Q258" s="14" t="n">
        <v>5789356.375920584</v>
      </c>
      <c r="R258" s="15">
        <f>IF(D258=1,"Section 1","Control")</f>
        <v/>
      </c>
      <c r="S258" s="16">
        <f>N258/10000</f>
        <v/>
      </c>
      <c r="T258" s="16">
        <f>P258/10000</f>
        <v/>
      </c>
      <c r="U258" s="15">
        <f>IF(N258&gt;=Summary!$D$3,1,0)</f>
        <v/>
      </c>
      <c r="V258" s="17">
        <f>IF(N258&gt;0,P258/N258,"")</f>
        <v/>
      </c>
      <c r="W258" s="17">
        <f>IF(O258&gt;0,H258/O258,"")</f>
        <v/>
      </c>
    </row>
    <row r="259">
      <c r="A259" s="13" t="inlineStr">
        <is>
          <t>T10_B1</t>
        </is>
      </c>
      <c r="B259" s="13" t="inlineStr">
        <is>
          <t>T10</t>
        </is>
      </c>
      <c r="C259" s="13" t="inlineStr">
        <is>
          <t>B1</t>
        </is>
      </c>
      <c r="D259" s="13" t="n">
        <v>1</v>
      </c>
      <c r="E259" s="13" t="inlineStr">
        <is>
          <t>S1</t>
        </is>
      </c>
      <c r="F259" s="13" t="n">
        <v>2025</v>
      </c>
      <c r="G259" s="14" t="n">
        <v>1016471.97773252</v>
      </c>
      <c r="H259" s="14" t="n">
        <v>26167.01605203666</v>
      </c>
      <c r="I259" s="14" t="n">
        <v>116185.3384911631</v>
      </c>
      <c r="J259" s="14" t="n">
        <v>152422.4214113123</v>
      </c>
      <c r="K259" s="14" t="n">
        <v>716020.7745317644</v>
      </c>
      <c r="L259" s="14" t="n">
        <v>5676.427246243346</v>
      </c>
      <c r="M259" s="14" t="n">
        <v>0</v>
      </c>
      <c r="N259" s="14" t="n">
        <v>128629.4585466272</v>
      </c>
      <c r="O259" s="14" t="n">
        <v>1012858.684711741</v>
      </c>
      <c r="P259" s="14" t="n">
        <v>107003.6960498885</v>
      </c>
      <c r="Q259" s="14" t="n">
        <v>5789356.375920583</v>
      </c>
      <c r="R259" s="15">
        <f>IF(D259=1,"Section 1","Control")</f>
        <v/>
      </c>
      <c r="S259" s="16">
        <f>N259/10000</f>
        <v/>
      </c>
      <c r="T259" s="16">
        <f>P259/10000</f>
        <v/>
      </c>
      <c r="U259" s="15">
        <f>IF(N259&gt;=Summary!$D$3,1,0)</f>
        <v/>
      </c>
      <c r="V259" s="17">
        <f>IF(N259&gt;0,P259/N259,"")</f>
        <v/>
      </c>
      <c r="W259" s="17">
        <f>IF(O259&gt;0,H259/O259,"")</f>
        <v/>
      </c>
    </row>
    <row r="260">
      <c r="A260" s="13" t="inlineStr">
        <is>
          <t>T10_B1</t>
        </is>
      </c>
      <c r="B260" s="13" t="inlineStr">
        <is>
          <t>T10</t>
        </is>
      </c>
      <c r="C260" s="13" t="inlineStr">
        <is>
          <t>B1</t>
        </is>
      </c>
      <c r="D260" s="13" t="n">
        <v>1</v>
      </c>
      <c r="E260" s="13" t="inlineStr">
        <is>
          <t>S1</t>
        </is>
      </c>
      <c r="F260" s="13" t="n">
        <v>2026</v>
      </c>
      <c r="G260" s="14" t="n">
        <v>1016471.97773252</v>
      </c>
      <c r="H260" s="14" t="n">
        <v>30675.31514719047</v>
      </c>
      <c r="I260" s="14" t="n">
        <v>100239.0831455006</v>
      </c>
      <c r="J260" s="14" t="n">
        <v>145720.0761540132</v>
      </c>
      <c r="K260" s="14" t="n">
        <v>734273.7373158173</v>
      </c>
      <c r="L260" s="14" t="n">
        <v>5563.765969998229</v>
      </c>
      <c r="M260" s="14" t="n">
        <v>0</v>
      </c>
      <c r="N260" s="14" t="n">
        <v>128629.4585466272</v>
      </c>
      <c r="O260" s="14" t="n">
        <v>1012858.684711741</v>
      </c>
      <c r="P260" s="14" t="n">
        <v>112071.4963275984</v>
      </c>
      <c r="Q260" s="14" t="n">
        <v>5789356.375920584</v>
      </c>
      <c r="R260" s="15">
        <f>IF(D260=1,"Section 1","Control")</f>
        <v/>
      </c>
      <c r="S260" s="16">
        <f>N260/10000</f>
        <v/>
      </c>
      <c r="T260" s="16">
        <f>P260/10000</f>
        <v/>
      </c>
      <c r="U260" s="15">
        <f>IF(N260&gt;=Summary!$D$3,1,0)</f>
        <v/>
      </c>
      <c r="V260" s="17">
        <f>IF(N260&gt;0,P260/N260,"")</f>
        <v/>
      </c>
      <c r="W260" s="17">
        <f>IF(O260&gt;0,H260/O260,"")</f>
        <v/>
      </c>
    </row>
    <row r="261">
      <c r="A261" s="13" t="inlineStr">
        <is>
          <t>T10_B2</t>
        </is>
      </c>
      <c r="B261" s="13" t="inlineStr">
        <is>
          <t>T10</t>
        </is>
      </c>
      <c r="C261" s="13" t="inlineStr">
        <is>
          <t>B2</t>
        </is>
      </c>
      <c r="D261" s="13" t="n">
        <v>1</v>
      </c>
      <c r="E261" s="13" t="inlineStr">
        <is>
          <t>S1</t>
        </is>
      </c>
      <c r="F261" s="13" t="n">
        <v>2020</v>
      </c>
      <c r="G261" s="14" t="n">
        <v>1014138.838837777</v>
      </c>
      <c r="H261" s="14" t="n">
        <v>19020.746454755</v>
      </c>
      <c r="I261" s="14" t="n">
        <v>15550.14980854708</v>
      </c>
      <c r="J261" s="14" t="n">
        <v>125.8244066425398</v>
      </c>
      <c r="K261" s="14" t="n">
        <v>527986.9643258489</v>
      </c>
      <c r="L261" s="14" t="n">
        <v>451455.1538419835</v>
      </c>
      <c r="M261" s="14" t="n">
        <v>0</v>
      </c>
      <c r="N261" s="14" t="n">
        <v>19020.746454755</v>
      </c>
      <c r="O261" s="14" t="n">
        <v>562683.6849957934</v>
      </c>
      <c r="P261" s="14" t="n">
        <v>0</v>
      </c>
      <c r="Q261" s="14" t="n">
        <v>2017913.199232124</v>
      </c>
      <c r="R261" s="15">
        <f>IF(D261=1,"Section 1","Control")</f>
        <v/>
      </c>
      <c r="S261" s="16">
        <f>N261/10000</f>
        <v/>
      </c>
      <c r="T261" s="16">
        <f>P261/10000</f>
        <v/>
      </c>
      <c r="U261" s="15">
        <f>IF(N261&gt;=Summary!$D$3,1,0)</f>
        <v/>
      </c>
      <c r="V261" s="17">
        <f>IF(N261&gt;0,P261/N261,"")</f>
        <v/>
      </c>
      <c r="W261" s="17">
        <f>IF(O261&gt;0,H261/O261,"")</f>
        <v/>
      </c>
    </row>
    <row r="262">
      <c r="A262" s="13" t="inlineStr">
        <is>
          <t>T10_B2</t>
        </is>
      </c>
      <c r="B262" s="13" t="inlineStr">
        <is>
          <t>T10</t>
        </is>
      </c>
      <c r="C262" s="13" t="inlineStr">
        <is>
          <t>B2</t>
        </is>
      </c>
      <c r="D262" s="13" t="n">
        <v>1</v>
      </c>
      <c r="E262" s="13" t="inlineStr">
        <is>
          <t>S1</t>
        </is>
      </c>
      <c r="F262" s="13" t="n">
        <v>2021</v>
      </c>
      <c r="G262" s="14" t="n">
        <v>1014138.838837777</v>
      </c>
      <c r="H262" s="14" t="n">
        <v>7840.039870707194</v>
      </c>
      <c r="I262" s="14" t="n">
        <v>16165.37829703537</v>
      </c>
      <c r="J262" s="14" t="n">
        <v>125.8244066425398</v>
      </c>
      <c r="K262" s="14" t="n">
        <v>540499.0458485323</v>
      </c>
      <c r="L262" s="14" t="n">
        <v>449508.5504148594</v>
      </c>
      <c r="M262" s="14" t="n">
        <v>0</v>
      </c>
      <c r="N262" s="14" t="n">
        <v>19020.746454755</v>
      </c>
      <c r="O262" s="14" t="n">
        <v>562683.6849957934</v>
      </c>
      <c r="P262" s="14" t="n">
        <v>11773.03692920161</v>
      </c>
      <c r="Q262" s="14" t="n">
        <v>2017913.199232124</v>
      </c>
      <c r="R262" s="15">
        <f>IF(D262=1,"Section 1","Control")</f>
        <v/>
      </c>
      <c r="S262" s="16">
        <f>N262/10000</f>
        <v/>
      </c>
      <c r="T262" s="16">
        <f>P262/10000</f>
        <v/>
      </c>
      <c r="U262" s="15">
        <f>IF(N262&gt;=Summary!$D$3,1,0)</f>
        <v/>
      </c>
      <c r="V262" s="17">
        <f>IF(N262&gt;0,P262/N262,"")</f>
        <v/>
      </c>
      <c r="W262" s="17">
        <f>IF(O262&gt;0,H262/O262,"")</f>
        <v/>
      </c>
    </row>
    <row r="263">
      <c r="A263" s="13" t="inlineStr">
        <is>
          <t>T10_B2</t>
        </is>
      </c>
      <c r="B263" s="13" t="inlineStr">
        <is>
          <t>T10</t>
        </is>
      </c>
      <c r="C263" s="13" t="inlineStr">
        <is>
          <t>B2</t>
        </is>
      </c>
      <c r="D263" s="13" t="n">
        <v>1</v>
      </c>
      <c r="E263" s="13" t="inlineStr">
        <is>
          <t>S1</t>
        </is>
      </c>
      <c r="F263" s="13" t="n">
        <v>2022</v>
      </c>
      <c r="G263" s="14" t="n">
        <v>1014138.838837777</v>
      </c>
      <c r="H263" s="14" t="n">
        <v>4388.654423403273</v>
      </c>
      <c r="I263" s="14" t="n">
        <v>16373.55782892564</v>
      </c>
      <c r="J263" s="14" t="n">
        <v>109.1768727919635</v>
      </c>
      <c r="K263" s="14" t="n">
        <v>547451.9488598693</v>
      </c>
      <c r="L263" s="14" t="n">
        <v>445815.5008527867</v>
      </c>
      <c r="M263" s="14" t="n">
        <v>0</v>
      </c>
      <c r="N263" s="14" t="n">
        <v>19020.746454755</v>
      </c>
      <c r="O263" s="14" t="n">
        <v>562683.6849957934</v>
      </c>
      <c r="P263" s="14" t="n">
        <v>14632.09203135172</v>
      </c>
      <c r="Q263" s="14" t="n">
        <v>2017913.199232124</v>
      </c>
      <c r="R263" s="15">
        <f>IF(D263=1,"Section 1","Control")</f>
        <v/>
      </c>
      <c r="S263" s="16">
        <f>N263/10000</f>
        <v/>
      </c>
      <c r="T263" s="16">
        <f>P263/10000</f>
        <v/>
      </c>
      <c r="U263" s="15">
        <f>IF(N263&gt;=Summary!$D$3,1,0)</f>
        <v/>
      </c>
      <c r="V263" s="17">
        <f>IF(N263&gt;0,P263/N263,"")</f>
        <v/>
      </c>
      <c r="W263" s="17">
        <f>IF(O263&gt;0,H263/O263,"")</f>
        <v/>
      </c>
    </row>
    <row r="264">
      <c r="A264" s="13" t="inlineStr">
        <is>
          <t>T10_B2</t>
        </is>
      </c>
      <c r="B264" s="13" t="inlineStr">
        <is>
          <t>T10</t>
        </is>
      </c>
      <c r="C264" s="13" t="inlineStr">
        <is>
          <t>B2</t>
        </is>
      </c>
      <c r="D264" s="13" t="n">
        <v>1</v>
      </c>
      <c r="E264" s="13" t="inlineStr">
        <is>
          <t>S1</t>
        </is>
      </c>
      <c r="F264" s="13" t="n">
        <v>2023</v>
      </c>
      <c r="G264" s="14" t="n">
        <v>1014138.838837777</v>
      </c>
      <c r="H264" s="14" t="n">
        <v>2809.108212160597</v>
      </c>
      <c r="I264" s="14" t="n">
        <v>20303.94451614081</v>
      </c>
      <c r="J264" s="14" t="n">
        <v>109.1768727919635</v>
      </c>
      <c r="K264" s="14" t="n">
        <v>545417.0265025119</v>
      </c>
      <c r="L264" s="14" t="n">
        <v>445499.5827341714</v>
      </c>
      <c r="M264" s="14" t="n">
        <v>0</v>
      </c>
      <c r="N264" s="14" t="n">
        <v>19020.746454755</v>
      </c>
      <c r="O264" s="14" t="n">
        <v>562683.6849957934</v>
      </c>
      <c r="P264" s="14" t="n">
        <v>16211.6382425944</v>
      </c>
      <c r="Q264" s="14" t="n">
        <v>2017913.199232124</v>
      </c>
      <c r="R264" s="15">
        <f>IF(D264=1,"Section 1","Control")</f>
        <v/>
      </c>
      <c r="S264" s="16">
        <f>N264/10000</f>
        <v/>
      </c>
      <c r="T264" s="16">
        <f>P264/10000</f>
        <v/>
      </c>
      <c r="U264" s="15">
        <f>IF(N264&gt;=Summary!$D$3,1,0)</f>
        <v/>
      </c>
      <c r="V264" s="17">
        <f>IF(N264&gt;0,P264/N264,"")</f>
        <v/>
      </c>
      <c r="W264" s="17">
        <f>IF(O264&gt;0,H264/O264,"")</f>
        <v/>
      </c>
    </row>
    <row r="265">
      <c r="A265" s="13" t="inlineStr">
        <is>
          <t>T10_B2</t>
        </is>
      </c>
      <c r="B265" s="13" t="inlineStr">
        <is>
          <t>T10</t>
        </is>
      </c>
      <c r="C265" s="13" t="inlineStr">
        <is>
          <t>B2</t>
        </is>
      </c>
      <c r="D265" s="13" t="n">
        <v>1</v>
      </c>
      <c r="E265" s="13" t="inlineStr">
        <is>
          <t>S1</t>
        </is>
      </c>
      <c r="F265" s="13" t="n">
        <v>2024</v>
      </c>
      <c r="G265" s="14" t="n">
        <v>1014138.838837777</v>
      </c>
      <c r="H265" s="14" t="n">
        <v>2118.055622744093</v>
      </c>
      <c r="I265" s="14" t="n">
        <v>20049.12492182115</v>
      </c>
      <c r="J265" s="14" t="n">
        <v>109.1768727919635</v>
      </c>
      <c r="K265" s="14" t="n">
        <v>544585.8670013727</v>
      </c>
      <c r="L265" s="14" t="n">
        <v>447276.6144190469</v>
      </c>
      <c r="M265" s="14" t="n">
        <v>0</v>
      </c>
      <c r="N265" s="14" t="n">
        <v>19020.746454755</v>
      </c>
      <c r="O265" s="14" t="n">
        <v>562683.6849957934</v>
      </c>
      <c r="P265" s="14" t="n">
        <v>17001.41269480388</v>
      </c>
      <c r="Q265" s="14" t="n">
        <v>2017913.199232124</v>
      </c>
      <c r="R265" s="15">
        <f>IF(D265=1,"Section 1","Control")</f>
        <v/>
      </c>
      <c r="S265" s="16">
        <f>N265/10000</f>
        <v/>
      </c>
      <c r="T265" s="16">
        <f>P265/10000</f>
        <v/>
      </c>
      <c r="U265" s="15">
        <f>IF(N265&gt;=Summary!$D$3,1,0)</f>
        <v/>
      </c>
      <c r="V265" s="17">
        <f>IF(N265&gt;0,P265/N265,"")</f>
        <v/>
      </c>
      <c r="W265" s="17">
        <f>IF(O265&gt;0,H265/O265,"")</f>
        <v/>
      </c>
    </row>
    <row r="266">
      <c r="A266" s="13" t="inlineStr">
        <is>
          <t>T10_B2</t>
        </is>
      </c>
      <c r="B266" s="13" t="inlineStr">
        <is>
          <t>T10</t>
        </is>
      </c>
      <c r="C266" s="13" t="inlineStr">
        <is>
          <t>B2</t>
        </is>
      </c>
      <c r="D266" s="13" t="n">
        <v>1</v>
      </c>
      <c r="E266" s="13" t="inlineStr">
        <is>
          <t>S1</t>
        </is>
      </c>
      <c r="F266" s="13" t="n">
        <v>2025</v>
      </c>
      <c r="G266" s="14" t="n">
        <v>1014138.838837777</v>
      </c>
      <c r="H266" s="14" t="n">
        <v>1821.891186403761</v>
      </c>
      <c r="I266" s="14" t="n">
        <v>11818.05511013854</v>
      </c>
      <c r="J266" s="14" t="n">
        <v>109.1768727919635</v>
      </c>
      <c r="K266" s="14" t="n">
        <v>553267.9690484441</v>
      </c>
      <c r="L266" s="14" t="n">
        <v>447121.7466199986</v>
      </c>
      <c r="M266" s="14" t="n">
        <v>0</v>
      </c>
      <c r="N266" s="14" t="n">
        <v>19020.746454755</v>
      </c>
      <c r="O266" s="14" t="n">
        <v>562683.6849957934</v>
      </c>
      <c r="P266" s="14" t="n">
        <v>17396.2985438029</v>
      </c>
      <c r="Q266" s="14" t="n">
        <v>2017913.199232124</v>
      </c>
      <c r="R266" s="15">
        <f>IF(D266=1,"Section 1","Control")</f>
        <v/>
      </c>
      <c r="S266" s="16">
        <f>N266/10000</f>
        <v/>
      </c>
      <c r="T266" s="16">
        <f>P266/10000</f>
        <v/>
      </c>
      <c r="U266" s="15">
        <f>IF(N266&gt;=Summary!$D$3,1,0)</f>
        <v/>
      </c>
      <c r="V266" s="17">
        <f>IF(N266&gt;0,P266/N266,"")</f>
        <v/>
      </c>
      <c r="W266" s="17">
        <f>IF(O266&gt;0,H266/O266,"")</f>
        <v/>
      </c>
    </row>
    <row r="267">
      <c r="A267" s="13" t="inlineStr">
        <is>
          <t>T10_B2</t>
        </is>
      </c>
      <c r="B267" s="13" t="inlineStr">
        <is>
          <t>T10</t>
        </is>
      </c>
      <c r="C267" s="13" t="inlineStr">
        <is>
          <t>B2</t>
        </is>
      </c>
      <c r="D267" s="13" t="n">
        <v>1</v>
      </c>
      <c r="E267" s="13" t="inlineStr">
        <is>
          <t>S1</t>
        </is>
      </c>
      <c r="F267" s="13" t="n">
        <v>2026</v>
      </c>
      <c r="G267" s="14" t="n">
        <v>1014138.838837777</v>
      </c>
      <c r="H267" s="14" t="n">
        <v>2710.388561892042</v>
      </c>
      <c r="I267" s="14" t="n">
        <v>22139.7196840174</v>
      </c>
      <c r="J267" s="14" t="n">
        <v>109.1768727919635</v>
      </c>
      <c r="K267" s="14" t="n">
        <v>538391.0773795334</v>
      </c>
      <c r="L267" s="14" t="n">
        <v>450788.4763395421</v>
      </c>
      <c r="M267" s="14" t="n">
        <v>0</v>
      </c>
      <c r="N267" s="14" t="n">
        <v>19020.746454755</v>
      </c>
      <c r="O267" s="14" t="n">
        <v>562683.6849957934</v>
      </c>
      <c r="P267" s="14" t="n">
        <v>17692.46128641765</v>
      </c>
      <c r="Q267" s="14" t="n">
        <v>2017913.199232124</v>
      </c>
      <c r="R267" s="15">
        <f>IF(D267=1,"Section 1","Control")</f>
        <v/>
      </c>
      <c r="S267" s="16">
        <f>N267/10000</f>
        <v/>
      </c>
      <c r="T267" s="16">
        <f>P267/10000</f>
        <v/>
      </c>
      <c r="U267" s="15">
        <f>IF(N267&gt;=Summary!$D$3,1,0)</f>
        <v/>
      </c>
      <c r="V267" s="17">
        <f>IF(N267&gt;0,P267/N267,"")</f>
        <v/>
      </c>
      <c r="W267" s="17">
        <f>IF(O267&gt;0,H267/O267,"")</f>
        <v/>
      </c>
    </row>
    <row r="268">
      <c r="A268" s="13" t="inlineStr">
        <is>
          <t>T10_B3</t>
        </is>
      </c>
      <c r="B268" s="13" t="inlineStr">
        <is>
          <t>T10</t>
        </is>
      </c>
      <c r="C268" s="13" t="inlineStr">
        <is>
          <t>B3</t>
        </is>
      </c>
      <c r="D268" s="13" t="n">
        <v>1</v>
      </c>
      <c r="E268" s="13" t="inlineStr">
        <is>
          <t>S1</t>
        </is>
      </c>
      <c r="F268" s="13" t="n">
        <v>2020</v>
      </c>
      <c r="G268" s="14" t="n">
        <v>8110936.851822558</v>
      </c>
      <c r="H268" s="14" t="n">
        <v>160245.1764518588</v>
      </c>
      <c r="I268" s="14" t="n">
        <v>557255.0836930219</v>
      </c>
      <c r="J268" s="14" t="n">
        <v>0</v>
      </c>
      <c r="K268" s="14" t="n">
        <v>2428589.180142661</v>
      </c>
      <c r="L268" s="14" t="n">
        <v>4964847.411535016</v>
      </c>
      <c r="M268" s="14" t="n">
        <v>0</v>
      </c>
      <c r="N268" s="14" t="n">
        <v>160245.1764518588</v>
      </c>
      <c r="O268" s="14" t="n">
        <v>3146089.440287541</v>
      </c>
      <c r="P268" s="14" t="n">
        <v>0</v>
      </c>
      <c r="Q268" s="14" t="n">
        <v>8360610.309132026</v>
      </c>
      <c r="R268" s="15">
        <f>IF(D268=1,"Section 1","Control")</f>
        <v/>
      </c>
      <c r="S268" s="16">
        <f>N268/10000</f>
        <v/>
      </c>
      <c r="T268" s="16">
        <f>P268/10000</f>
        <v/>
      </c>
      <c r="U268" s="15">
        <f>IF(N268&gt;=Summary!$D$3,1,0)</f>
        <v/>
      </c>
      <c r="V268" s="17">
        <f>IF(N268&gt;0,P268/N268,"")</f>
        <v/>
      </c>
      <c r="W268" s="17">
        <f>IF(O268&gt;0,H268/O268,"")</f>
        <v/>
      </c>
    </row>
    <row r="269">
      <c r="A269" s="13" t="inlineStr">
        <is>
          <t>T10_B3</t>
        </is>
      </c>
      <c r="B269" s="13" t="inlineStr">
        <is>
          <t>T10</t>
        </is>
      </c>
      <c r="C269" s="13" t="inlineStr">
        <is>
          <t>B3</t>
        </is>
      </c>
      <c r="D269" s="13" t="n">
        <v>1</v>
      </c>
      <c r="E269" s="13" t="inlineStr">
        <is>
          <t>S1</t>
        </is>
      </c>
      <c r="F269" s="13" t="n">
        <v>2021</v>
      </c>
      <c r="G269" s="14" t="n">
        <v>8110936.851822557</v>
      </c>
      <c r="H269" s="14" t="n">
        <v>92601.54964453004</v>
      </c>
      <c r="I269" s="14" t="n">
        <v>300334.491469948</v>
      </c>
      <c r="J269" s="14" t="n">
        <v>0</v>
      </c>
      <c r="K269" s="14" t="n">
        <v>2743338.343628348</v>
      </c>
      <c r="L269" s="14" t="n">
        <v>4974662.467079732</v>
      </c>
      <c r="M269" s="14" t="n">
        <v>0</v>
      </c>
      <c r="N269" s="14" t="n">
        <v>160245.1764518588</v>
      </c>
      <c r="O269" s="14" t="n">
        <v>3146089.440287541</v>
      </c>
      <c r="P269" s="14" t="n">
        <v>89184.73254505232</v>
      </c>
      <c r="Q269" s="14" t="n">
        <v>8360610.309132026</v>
      </c>
      <c r="R269" s="15">
        <f>IF(D269=1,"Section 1","Control")</f>
        <v/>
      </c>
      <c r="S269" s="16">
        <f>N269/10000</f>
        <v/>
      </c>
      <c r="T269" s="16">
        <f>P269/10000</f>
        <v/>
      </c>
      <c r="U269" s="15">
        <f>IF(N269&gt;=Summary!$D$3,1,0)</f>
        <v/>
      </c>
      <c r="V269" s="17">
        <f>IF(N269&gt;0,P269/N269,"")</f>
        <v/>
      </c>
      <c r="W269" s="17">
        <f>IF(O269&gt;0,H269/O269,"")</f>
        <v/>
      </c>
    </row>
    <row r="270">
      <c r="A270" s="13" t="inlineStr">
        <is>
          <t>T10_B3</t>
        </is>
      </c>
      <c r="B270" s="13" t="inlineStr">
        <is>
          <t>T10</t>
        </is>
      </c>
      <c r="C270" s="13" t="inlineStr">
        <is>
          <t>B3</t>
        </is>
      </c>
      <c r="D270" s="13" t="n">
        <v>1</v>
      </c>
      <c r="E270" s="13" t="inlineStr">
        <is>
          <t>S1</t>
        </is>
      </c>
      <c r="F270" s="13" t="n">
        <v>2022</v>
      </c>
      <c r="G270" s="14" t="n">
        <v>8110936.851822558</v>
      </c>
      <c r="H270" s="14" t="n">
        <v>44109.2415649414</v>
      </c>
      <c r="I270" s="14" t="n">
        <v>376907.3101565791</v>
      </c>
      <c r="J270" s="14" t="n">
        <v>0</v>
      </c>
      <c r="K270" s="14" t="n">
        <v>2724283.121644023</v>
      </c>
      <c r="L270" s="14" t="n">
        <v>4965637.178457013</v>
      </c>
      <c r="M270" s="14" t="n">
        <v>0</v>
      </c>
      <c r="N270" s="14" t="n">
        <v>160245.1764518588</v>
      </c>
      <c r="O270" s="14" t="n">
        <v>3146089.440287542</v>
      </c>
      <c r="P270" s="14" t="n">
        <v>120874.3895988315</v>
      </c>
      <c r="Q270" s="14" t="n">
        <v>8360610.309132027</v>
      </c>
      <c r="R270" s="15">
        <f>IF(D270=1,"Section 1","Control")</f>
        <v/>
      </c>
      <c r="S270" s="16">
        <f>N270/10000</f>
        <v/>
      </c>
      <c r="T270" s="16">
        <f>P270/10000</f>
        <v/>
      </c>
      <c r="U270" s="15">
        <f>IF(N270&gt;=Summary!$D$3,1,0)</f>
        <v/>
      </c>
      <c r="V270" s="17">
        <f>IF(N270&gt;0,P270/N270,"")</f>
        <v/>
      </c>
      <c r="W270" s="17">
        <f>IF(O270&gt;0,H270/O270,"")</f>
        <v/>
      </c>
    </row>
    <row r="271">
      <c r="A271" s="13" t="inlineStr">
        <is>
          <t>T10_B3</t>
        </is>
      </c>
      <c r="B271" s="13" t="inlineStr">
        <is>
          <t>T10</t>
        </is>
      </c>
      <c r="C271" s="13" t="inlineStr">
        <is>
          <t>B3</t>
        </is>
      </c>
      <c r="D271" s="13" t="n">
        <v>1</v>
      </c>
      <c r="E271" s="13" t="inlineStr">
        <is>
          <t>S1</t>
        </is>
      </c>
      <c r="F271" s="13" t="n">
        <v>2023</v>
      </c>
      <c r="G271" s="14" t="n">
        <v>8110936.851822558</v>
      </c>
      <c r="H271" s="14" t="n">
        <v>83317.2790834913</v>
      </c>
      <c r="I271" s="14" t="n">
        <v>332214.1848194796</v>
      </c>
      <c r="J271" s="14" t="n">
        <v>0</v>
      </c>
      <c r="K271" s="14" t="n">
        <v>2719788.229564831</v>
      </c>
      <c r="L271" s="14" t="n">
        <v>4975617.158354756</v>
      </c>
      <c r="M271" s="14" t="n">
        <v>0</v>
      </c>
      <c r="N271" s="14" t="n">
        <v>160245.1764518588</v>
      </c>
      <c r="O271" s="14" t="n">
        <v>3146089.440287541</v>
      </c>
      <c r="P271" s="14" t="n">
        <v>104919.5988507439</v>
      </c>
      <c r="Q271" s="14" t="n">
        <v>8360610.309132026</v>
      </c>
      <c r="R271" s="15">
        <f>IF(D271=1,"Section 1","Control")</f>
        <v/>
      </c>
      <c r="S271" s="16">
        <f>N271/10000</f>
        <v/>
      </c>
      <c r="T271" s="16">
        <f>P271/10000</f>
        <v/>
      </c>
      <c r="U271" s="15">
        <f>IF(N271&gt;=Summary!$D$3,1,0)</f>
        <v/>
      </c>
      <c r="V271" s="17">
        <f>IF(N271&gt;0,P271/N271,"")</f>
        <v/>
      </c>
      <c r="W271" s="17">
        <f>IF(O271&gt;0,H271/O271,"")</f>
        <v/>
      </c>
    </row>
    <row r="272">
      <c r="A272" s="13" t="inlineStr">
        <is>
          <t>T10_B3</t>
        </is>
      </c>
      <c r="B272" s="13" t="inlineStr">
        <is>
          <t>T10</t>
        </is>
      </c>
      <c r="C272" s="13" t="inlineStr">
        <is>
          <t>B3</t>
        </is>
      </c>
      <c r="D272" s="13" t="n">
        <v>1</v>
      </c>
      <c r="E272" s="13" t="inlineStr">
        <is>
          <t>S1</t>
        </is>
      </c>
      <c r="F272" s="13" t="n">
        <v>2024</v>
      </c>
      <c r="G272" s="14" t="n">
        <v>8110936.851822557</v>
      </c>
      <c r="H272" s="14" t="n">
        <v>140979.5573262532</v>
      </c>
      <c r="I272" s="14" t="n">
        <v>406082.5650572235</v>
      </c>
      <c r="J272" s="14" t="n">
        <v>0</v>
      </c>
      <c r="K272" s="14" t="n">
        <v>2606394.076169631</v>
      </c>
      <c r="L272" s="14" t="n">
        <v>4957480.65326945</v>
      </c>
      <c r="M272" s="14" t="n">
        <v>0</v>
      </c>
      <c r="N272" s="14" t="n">
        <v>160245.1764518588</v>
      </c>
      <c r="O272" s="14" t="n">
        <v>3146089.440287541</v>
      </c>
      <c r="P272" s="14" t="n">
        <v>101697.1777238734</v>
      </c>
      <c r="Q272" s="14" t="n">
        <v>8360610.309132026</v>
      </c>
      <c r="R272" s="15">
        <f>IF(D272=1,"Section 1","Control")</f>
        <v/>
      </c>
      <c r="S272" s="16">
        <f>N272/10000</f>
        <v/>
      </c>
      <c r="T272" s="16">
        <f>P272/10000</f>
        <v/>
      </c>
      <c r="U272" s="15">
        <f>IF(N272&gt;=Summary!$D$3,1,0)</f>
        <v/>
      </c>
      <c r="V272" s="17">
        <f>IF(N272&gt;0,P272/N272,"")</f>
        <v/>
      </c>
      <c r="W272" s="17">
        <f>IF(O272&gt;0,H272/O272,"")</f>
        <v/>
      </c>
    </row>
    <row r="273">
      <c r="A273" s="13" t="inlineStr">
        <is>
          <t>T10_B3</t>
        </is>
      </c>
      <c r="B273" s="13" t="inlineStr">
        <is>
          <t>T10</t>
        </is>
      </c>
      <c r="C273" s="13" t="inlineStr">
        <is>
          <t>B3</t>
        </is>
      </c>
      <c r="D273" s="13" t="n">
        <v>1</v>
      </c>
      <c r="E273" s="13" t="inlineStr">
        <is>
          <t>S1</t>
        </is>
      </c>
      <c r="F273" s="13" t="n">
        <v>2025</v>
      </c>
      <c r="G273" s="14" t="n">
        <v>8110936.851822558</v>
      </c>
      <c r="H273" s="14" t="n">
        <v>153958.8230853212</v>
      </c>
      <c r="I273" s="14" t="n">
        <v>471028.1585357666</v>
      </c>
      <c r="J273" s="14" t="n">
        <v>0</v>
      </c>
      <c r="K273" s="14" t="n">
        <v>2611114.361458363</v>
      </c>
      <c r="L273" s="14" t="n">
        <v>4874835.508743107</v>
      </c>
      <c r="M273" s="14" t="n">
        <v>0</v>
      </c>
      <c r="N273" s="14" t="n">
        <v>160245.1764518588</v>
      </c>
      <c r="O273" s="14" t="n">
        <v>3146089.440287541</v>
      </c>
      <c r="P273" s="14" t="n">
        <v>105113.8095286052</v>
      </c>
      <c r="Q273" s="14" t="n">
        <v>8360610.309132026</v>
      </c>
      <c r="R273" s="15">
        <f>IF(D273=1,"Section 1","Control")</f>
        <v/>
      </c>
      <c r="S273" s="16">
        <f>N273/10000</f>
        <v/>
      </c>
      <c r="T273" s="16">
        <f>P273/10000</f>
        <v/>
      </c>
      <c r="U273" s="15">
        <f>IF(N273&gt;=Summary!$D$3,1,0)</f>
        <v/>
      </c>
      <c r="V273" s="17">
        <f>IF(N273&gt;0,P273/N273,"")</f>
        <v/>
      </c>
      <c r="W273" s="17">
        <f>IF(O273&gt;0,H273/O273,"")</f>
        <v/>
      </c>
    </row>
    <row r="274">
      <c r="A274" s="13" t="inlineStr">
        <is>
          <t>T10_B3</t>
        </is>
      </c>
      <c r="B274" s="13" t="inlineStr">
        <is>
          <t>T10</t>
        </is>
      </c>
      <c r="C274" s="13" t="inlineStr">
        <is>
          <t>B3</t>
        </is>
      </c>
      <c r="D274" s="13" t="n">
        <v>1</v>
      </c>
      <c r="E274" s="13" t="inlineStr">
        <is>
          <t>S1</t>
        </is>
      </c>
      <c r="F274" s="13" t="n">
        <v>2026</v>
      </c>
      <c r="G274" s="14" t="n">
        <v>8110936.851822558</v>
      </c>
      <c r="H274" s="14" t="n">
        <v>173676.5685616587</v>
      </c>
      <c r="I274" s="14" t="n">
        <v>685208.7434520647</v>
      </c>
      <c r="J274" s="14" t="n">
        <v>0</v>
      </c>
      <c r="K274" s="14" t="n">
        <v>2654597.021069964</v>
      </c>
      <c r="L274" s="14" t="n">
        <v>4597454.51873887</v>
      </c>
      <c r="M274" s="14" t="n">
        <v>0</v>
      </c>
      <c r="N274" s="14" t="n">
        <v>160245.1764518588</v>
      </c>
      <c r="O274" s="14" t="n">
        <v>3146089.440287541</v>
      </c>
      <c r="P274" s="14" t="n">
        <v>105170.7164765003</v>
      </c>
      <c r="Q274" s="14" t="n">
        <v>8360610.309132026</v>
      </c>
      <c r="R274" s="15">
        <f>IF(D274=1,"Section 1","Control")</f>
        <v/>
      </c>
      <c r="S274" s="16">
        <f>N274/10000</f>
        <v/>
      </c>
      <c r="T274" s="16">
        <f>P274/10000</f>
        <v/>
      </c>
      <c r="U274" s="15">
        <f>IF(N274&gt;=Summary!$D$3,1,0)</f>
        <v/>
      </c>
      <c r="V274" s="17">
        <f>IF(N274&gt;0,P274/N274,"")</f>
        <v/>
      </c>
      <c r="W274" s="17">
        <f>IF(O274&gt;0,H274/O274,"")</f>
        <v/>
      </c>
    </row>
    <row r="275">
      <c r="A275" s="13" t="inlineStr">
        <is>
          <t>T10_F</t>
        </is>
      </c>
      <c r="B275" s="13" t="inlineStr">
        <is>
          <t>T10</t>
        </is>
      </c>
      <c r="C275" s="13" t="inlineStr">
        <is>
          <t>F</t>
        </is>
      </c>
      <c r="D275" s="13" t="n">
        <v>1</v>
      </c>
      <c r="E275" s="13" t="inlineStr">
        <is>
          <t>S1</t>
        </is>
      </c>
      <c r="F275" s="13" t="n">
        <v>2020</v>
      </c>
      <c r="G275" s="14" t="n">
        <v>68747.90773671468</v>
      </c>
      <c r="H275" s="14" t="n">
        <v>15972.58132066914</v>
      </c>
      <c r="I275" s="14" t="n">
        <v>1684.096793350519</v>
      </c>
      <c r="J275" s="14" t="n">
        <v>49.16790247898476</v>
      </c>
      <c r="K275" s="14" t="n">
        <v>51042.06172021603</v>
      </c>
      <c r="L275" s="14" t="n">
        <v>0</v>
      </c>
      <c r="M275" s="14" t="n">
        <v>0</v>
      </c>
      <c r="N275" s="14" t="n">
        <v>15972.58132066914</v>
      </c>
      <c r="O275" s="14" t="n">
        <v>68747.90773671468</v>
      </c>
      <c r="P275" s="14" t="n">
        <v>0</v>
      </c>
      <c r="Q275" s="14" t="n">
        <v>354926.9360694437</v>
      </c>
      <c r="R275" s="15">
        <f>IF(D275=1,"Section 1","Control")</f>
        <v/>
      </c>
      <c r="S275" s="16">
        <f>N275/10000</f>
        <v/>
      </c>
      <c r="T275" s="16">
        <f>P275/10000</f>
        <v/>
      </c>
      <c r="U275" s="15">
        <f>IF(N275&gt;=Summary!$D$3,1,0)</f>
        <v/>
      </c>
      <c r="V275" s="17">
        <f>IF(N275&gt;0,P275/N275,"")</f>
        <v/>
      </c>
      <c r="W275" s="17">
        <f>IF(O275&gt;0,H275/O275,"")</f>
        <v/>
      </c>
    </row>
    <row r="276">
      <c r="A276" s="13" t="inlineStr">
        <is>
          <t>T10_F</t>
        </is>
      </c>
      <c r="B276" s="13" t="inlineStr">
        <is>
          <t>T10</t>
        </is>
      </c>
      <c r="C276" s="13" t="inlineStr">
        <is>
          <t>F</t>
        </is>
      </c>
      <c r="D276" s="13" t="n">
        <v>1</v>
      </c>
      <c r="E276" s="13" t="inlineStr">
        <is>
          <t>S1</t>
        </is>
      </c>
      <c r="F276" s="13" t="n">
        <v>2021</v>
      </c>
      <c r="G276" s="14" t="n">
        <v>68747.90773671468</v>
      </c>
      <c r="H276" s="14" t="n">
        <v>15252.48537358303</v>
      </c>
      <c r="I276" s="14" t="n">
        <v>6893.955730124081</v>
      </c>
      <c r="J276" s="14" t="n">
        <v>87.49566506778493</v>
      </c>
      <c r="K276" s="14" t="n">
        <v>46513.97096793979</v>
      </c>
      <c r="L276" s="14" t="n">
        <v>0</v>
      </c>
      <c r="M276" s="14" t="n">
        <v>0</v>
      </c>
      <c r="N276" s="14" t="n">
        <v>15972.58132066914</v>
      </c>
      <c r="O276" s="14" t="n">
        <v>68747.90773671468</v>
      </c>
      <c r="P276" s="14" t="n">
        <v>1188.54544318704</v>
      </c>
      <c r="Q276" s="14" t="n">
        <v>354926.9360694437</v>
      </c>
      <c r="R276" s="15">
        <f>IF(D276=1,"Section 1","Control")</f>
        <v/>
      </c>
      <c r="S276" s="16">
        <f>N276/10000</f>
        <v/>
      </c>
      <c r="T276" s="16">
        <f>P276/10000</f>
        <v/>
      </c>
      <c r="U276" s="15">
        <f>IF(N276&gt;=Summary!$D$3,1,0)</f>
        <v/>
      </c>
      <c r="V276" s="17">
        <f>IF(N276&gt;0,P276/N276,"")</f>
        <v/>
      </c>
      <c r="W276" s="17">
        <f>IF(O276&gt;0,H276/O276,"")</f>
        <v/>
      </c>
    </row>
    <row r="277">
      <c r="A277" s="13" t="inlineStr">
        <is>
          <t>T10_F</t>
        </is>
      </c>
      <c r="B277" s="13" t="inlineStr">
        <is>
          <t>T10</t>
        </is>
      </c>
      <c r="C277" s="13" t="inlineStr">
        <is>
          <t>F</t>
        </is>
      </c>
      <c r="D277" s="13" t="n">
        <v>1</v>
      </c>
      <c r="E277" s="13" t="inlineStr">
        <is>
          <t>S1</t>
        </is>
      </c>
      <c r="F277" s="13" t="n">
        <v>2022</v>
      </c>
      <c r="G277" s="14" t="n">
        <v>68747.90773671468</v>
      </c>
      <c r="H277" s="14" t="n">
        <v>12734.8591700236</v>
      </c>
      <c r="I277" s="14" t="n">
        <v>4207.530811085421</v>
      </c>
      <c r="J277" s="14" t="n">
        <v>32.13335424685011</v>
      </c>
      <c r="K277" s="14" t="n">
        <v>51773.38440135881</v>
      </c>
      <c r="L277" s="14" t="n">
        <v>0</v>
      </c>
      <c r="M277" s="14" t="n">
        <v>0</v>
      </c>
      <c r="N277" s="14" t="n">
        <v>15972.58132066914</v>
      </c>
      <c r="O277" s="14" t="n">
        <v>68747.90773671468</v>
      </c>
      <c r="P277" s="14" t="n">
        <v>3435.167783580107</v>
      </c>
      <c r="Q277" s="14" t="n">
        <v>354926.9360694437</v>
      </c>
      <c r="R277" s="15">
        <f>IF(D277=1,"Section 1","Control")</f>
        <v/>
      </c>
      <c r="S277" s="16">
        <f>N277/10000</f>
        <v/>
      </c>
      <c r="T277" s="16">
        <f>P277/10000</f>
        <v/>
      </c>
      <c r="U277" s="15">
        <f>IF(N277&gt;=Summary!$D$3,1,0)</f>
        <v/>
      </c>
      <c r="V277" s="17">
        <f>IF(N277&gt;0,P277/N277,"")</f>
        <v/>
      </c>
      <c r="W277" s="17">
        <f>IF(O277&gt;0,H277/O277,"")</f>
        <v/>
      </c>
    </row>
    <row r="278">
      <c r="A278" s="13" t="inlineStr">
        <is>
          <t>T10_F</t>
        </is>
      </c>
      <c r="B278" s="13" t="inlineStr">
        <is>
          <t>T10</t>
        </is>
      </c>
      <c r="C278" s="13" t="inlineStr">
        <is>
          <t>F</t>
        </is>
      </c>
      <c r="D278" s="13" t="n">
        <v>1</v>
      </c>
      <c r="E278" s="13" t="inlineStr">
        <is>
          <t>S1</t>
        </is>
      </c>
      <c r="F278" s="13" t="n">
        <v>2023</v>
      </c>
      <c r="G278" s="14" t="n">
        <v>68747.90773671468</v>
      </c>
      <c r="H278" s="14" t="n">
        <v>11144.06572837082</v>
      </c>
      <c r="I278" s="14" t="n">
        <v>4214.501949026071</v>
      </c>
      <c r="J278" s="14" t="n">
        <v>96.0129373587814</v>
      </c>
      <c r="K278" s="14" t="n">
        <v>53293.327121959</v>
      </c>
      <c r="L278" s="14" t="n">
        <v>0</v>
      </c>
      <c r="M278" s="14" t="n">
        <v>0</v>
      </c>
      <c r="N278" s="14" t="n">
        <v>15972.58132066914</v>
      </c>
      <c r="O278" s="14" t="n">
        <v>68747.90773671468</v>
      </c>
      <c r="P278" s="14" t="n">
        <v>5223.406888685039</v>
      </c>
      <c r="Q278" s="14" t="n">
        <v>354926.9360694437</v>
      </c>
      <c r="R278" s="15">
        <f>IF(D278=1,"Section 1","Control")</f>
        <v/>
      </c>
      <c r="S278" s="16">
        <f>N278/10000</f>
        <v/>
      </c>
      <c r="T278" s="16">
        <f>P278/10000</f>
        <v/>
      </c>
      <c r="U278" s="15">
        <f>IF(N278&gt;=Summary!$D$3,1,0)</f>
        <v/>
      </c>
      <c r="V278" s="17">
        <f>IF(N278&gt;0,P278/N278,"")</f>
        <v/>
      </c>
      <c r="W278" s="17">
        <f>IF(O278&gt;0,H278/O278,"")</f>
        <v/>
      </c>
    </row>
    <row r="279">
      <c r="A279" s="13" t="inlineStr">
        <is>
          <t>T10_F</t>
        </is>
      </c>
      <c r="B279" s="13" t="inlineStr">
        <is>
          <t>T10</t>
        </is>
      </c>
      <c r="C279" s="13" t="inlineStr">
        <is>
          <t>F</t>
        </is>
      </c>
      <c r="D279" s="13" t="n">
        <v>1</v>
      </c>
      <c r="E279" s="13" t="inlineStr">
        <is>
          <t>S1</t>
        </is>
      </c>
      <c r="F279" s="13" t="n">
        <v>2024</v>
      </c>
      <c r="G279" s="14" t="n">
        <v>68747.90773671468</v>
      </c>
      <c r="H279" s="14" t="n">
        <v>10414.67811796899</v>
      </c>
      <c r="I279" s="14" t="n">
        <v>6342.657738360236</v>
      </c>
      <c r="J279" s="14" t="n">
        <v>315.1391536338656</v>
      </c>
      <c r="K279" s="14" t="n">
        <v>51675.43272675158</v>
      </c>
      <c r="L279" s="14" t="n">
        <v>0</v>
      </c>
      <c r="M279" s="14" t="n">
        <v>0</v>
      </c>
      <c r="N279" s="14" t="n">
        <v>15972.58132066914</v>
      </c>
      <c r="O279" s="14" t="n">
        <v>68747.90773671468</v>
      </c>
      <c r="P279" s="14" t="n">
        <v>5952.794499086866</v>
      </c>
      <c r="Q279" s="14" t="n">
        <v>354926.9360694437</v>
      </c>
      <c r="R279" s="15">
        <f>IF(D279=1,"Section 1","Control")</f>
        <v/>
      </c>
      <c r="S279" s="16">
        <f>N279/10000</f>
        <v/>
      </c>
      <c r="T279" s="16">
        <f>P279/10000</f>
        <v/>
      </c>
      <c r="U279" s="15">
        <f>IF(N279&gt;=Summary!$D$3,1,0)</f>
        <v/>
      </c>
      <c r="V279" s="17">
        <f>IF(N279&gt;0,P279/N279,"")</f>
        <v/>
      </c>
      <c r="W279" s="17">
        <f>IF(O279&gt;0,H279/O279,"")</f>
        <v/>
      </c>
    </row>
    <row r="280">
      <c r="A280" s="13" t="inlineStr">
        <is>
          <t>T10_F</t>
        </is>
      </c>
      <c r="B280" s="13" t="inlineStr">
        <is>
          <t>T10</t>
        </is>
      </c>
      <c r="C280" s="13" t="inlineStr">
        <is>
          <t>F</t>
        </is>
      </c>
      <c r="D280" s="13" t="n">
        <v>1</v>
      </c>
      <c r="E280" s="13" t="inlineStr">
        <is>
          <t>S1</t>
        </is>
      </c>
      <c r="F280" s="13" t="n">
        <v>2025</v>
      </c>
      <c r="G280" s="14" t="n">
        <v>68747.90773671468</v>
      </c>
      <c r="H280" s="14" t="n">
        <v>0</v>
      </c>
      <c r="I280" s="14" t="n">
        <v>51509.7290267346</v>
      </c>
      <c r="J280" s="14" t="n">
        <v>306.6218752393535</v>
      </c>
      <c r="K280" s="14" t="n">
        <v>16931.55683474073</v>
      </c>
      <c r="L280" s="14" t="n">
        <v>0</v>
      </c>
      <c r="M280" s="14" t="n">
        <v>0</v>
      </c>
      <c r="N280" s="14" t="n">
        <v>15972.58132066914</v>
      </c>
      <c r="O280" s="14" t="n">
        <v>68747.90773671468</v>
      </c>
      <c r="P280" s="14" t="n">
        <v>15972.58132066914</v>
      </c>
      <c r="Q280" s="14" t="n">
        <v>354926.9360694437</v>
      </c>
      <c r="R280" s="15">
        <f>IF(D280=1,"Section 1","Control")</f>
        <v/>
      </c>
      <c r="S280" s="16">
        <f>N280/10000</f>
        <v/>
      </c>
      <c r="T280" s="16">
        <f>P280/10000</f>
        <v/>
      </c>
      <c r="U280" s="15">
        <f>IF(N280&gt;=Summary!$D$3,1,0)</f>
        <v/>
      </c>
      <c r="V280" s="17">
        <f>IF(N280&gt;0,P280/N280,"")</f>
        <v/>
      </c>
      <c r="W280" s="17">
        <f>IF(O280&gt;0,H280/O280,"")</f>
        <v/>
      </c>
    </row>
    <row r="281">
      <c r="A281" s="13" t="inlineStr">
        <is>
          <t>T10_F</t>
        </is>
      </c>
      <c r="B281" s="13" t="inlineStr">
        <is>
          <t>T10</t>
        </is>
      </c>
      <c r="C281" s="13" t="inlineStr">
        <is>
          <t>F</t>
        </is>
      </c>
      <c r="D281" s="13" t="n">
        <v>1</v>
      </c>
      <c r="E281" s="13" t="inlineStr">
        <is>
          <t>S1</t>
        </is>
      </c>
      <c r="F281" s="13" t="n">
        <v>2026</v>
      </c>
      <c r="G281" s="14" t="n">
        <v>68747.90773671468</v>
      </c>
      <c r="H281" s="14" t="n">
        <v>0</v>
      </c>
      <c r="I281" s="14" t="n">
        <v>13626.85881006577</v>
      </c>
      <c r="J281" s="14" t="n">
        <v>171.50696070054</v>
      </c>
      <c r="K281" s="14" t="n">
        <v>54949.54196594836</v>
      </c>
      <c r="L281" s="14" t="n">
        <v>0</v>
      </c>
      <c r="M281" s="14" t="n">
        <v>0</v>
      </c>
      <c r="N281" s="14" t="n">
        <v>15972.58132066914</v>
      </c>
      <c r="O281" s="14" t="n">
        <v>68747.90773671468</v>
      </c>
      <c r="P281" s="14" t="n">
        <v>15972.58132066914</v>
      </c>
      <c r="Q281" s="14" t="n">
        <v>354926.9360694437</v>
      </c>
      <c r="R281" s="15">
        <f>IF(D281=1,"Section 1","Control")</f>
        <v/>
      </c>
      <c r="S281" s="16">
        <f>N281/10000</f>
        <v/>
      </c>
      <c r="T281" s="16">
        <f>P281/10000</f>
        <v/>
      </c>
      <c r="U281" s="15">
        <f>IF(N281&gt;=Summary!$D$3,1,0)</f>
        <v/>
      </c>
      <c r="V281" s="17">
        <f>IF(N281&gt;0,P281/N281,"")</f>
        <v/>
      </c>
      <c r="W281" s="17">
        <f>IF(O281&gt;0,H281/O281,"")</f>
        <v/>
      </c>
    </row>
    <row r="282">
      <c r="A282" s="13" t="inlineStr">
        <is>
          <t>T11_B1</t>
        </is>
      </c>
      <c r="B282" s="13" t="inlineStr">
        <is>
          <t>T11</t>
        </is>
      </c>
      <c r="C282" s="13" t="inlineStr">
        <is>
          <t>B1</t>
        </is>
      </c>
      <c r="D282" s="13" t="n">
        <v>1</v>
      </c>
      <c r="E282" s="13" t="inlineStr">
        <is>
          <t>S1</t>
        </is>
      </c>
      <c r="F282" s="13" t="n">
        <v>2020</v>
      </c>
      <c r="G282" s="14" t="n">
        <v>988782.8417689304</v>
      </c>
      <c r="H282" s="14" t="n">
        <v>69167.95007025027</v>
      </c>
      <c r="I282" s="14" t="n">
        <v>40001.55250378777</v>
      </c>
      <c r="J282" s="14" t="n">
        <v>19113.66505444097</v>
      </c>
      <c r="K282" s="14" t="n">
        <v>860499.6741404515</v>
      </c>
      <c r="L282" s="14" t="n">
        <v>0</v>
      </c>
      <c r="M282" s="14" t="n">
        <v>0</v>
      </c>
      <c r="N282" s="14" t="n">
        <v>69167.95007025027</v>
      </c>
      <c r="O282" s="14" t="n">
        <v>988782.8417689304</v>
      </c>
      <c r="P282" s="14" t="n">
        <v>0</v>
      </c>
      <c r="Q282" s="14" t="n">
        <v>5759605.642831062</v>
      </c>
      <c r="R282" s="15">
        <f>IF(D282=1,"Section 1","Control")</f>
        <v/>
      </c>
      <c r="S282" s="16">
        <f>N282/10000</f>
        <v/>
      </c>
      <c r="T282" s="16">
        <f>P282/10000</f>
        <v/>
      </c>
      <c r="U282" s="15">
        <f>IF(N282&gt;=Summary!$D$3,1,0)</f>
        <v/>
      </c>
      <c r="V282" s="17">
        <f>IF(N282&gt;0,P282/N282,"")</f>
        <v/>
      </c>
      <c r="W282" s="17">
        <f>IF(O282&gt;0,H282/O282,"")</f>
        <v/>
      </c>
    </row>
    <row r="283">
      <c r="A283" s="13" t="inlineStr">
        <is>
          <t>T11_B1</t>
        </is>
      </c>
      <c r="B283" s="13" t="inlineStr">
        <is>
          <t>T11</t>
        </is>
      </c>
      <c r="C283" s="13" t="inlineStr">
        <is>
          <t>B1</t>
        </is>
      </c>
      <c r="D283" s="13" t="n">
        <v>1</v>
      </c>
      <c r="E283" s="13" t="inlineStr">
        <is>
          <t>S1</t>
        </is>
      </c>
      <c r="F283" s="13" t="n">
        <v>2021</v>
      </c>
      <c r="G283" s="14" t="n">
        <v>988782.8417689304</v>
      </c>
      <c r="H283" s="14" t="n">
        <v>49528.32425088321</v>
      </c>
      <c r="I283" s="14" t="n">
        <v>38169.53927334056</v>
      </c>
      <c r="J283" s="14" t="n">
        <v>18070.29273487166</v>
      </c>
      <c r="K283" s="14" t="n">
        <v>883014.6855098351</v>
      </c>
      <c r="L283" s="14" t="n">
        <v>0</v>
      </c>
      <c r="M283" s="14" t="n">
        <v>0</v>
      </c>
      <c r="N283" s="14" t="n">
        <v>69167.95007025027</v>
      </c>
      <c r="O283" s="14" t="n">
        <v>988782.8417689304</v>
      </c>
      <c r="P283" s="14" t="n">
        <v>20761.97056211584</v>
      </c>
      <c r="Q283" s="14" t="n">
        <v>5759605.642831062</v>
      </c>
      <c r="R283" s="15">
        <f>IF(D283=1,"Section 1","Control")</f>
        <v/>
      </c>
      <c r="S283" s="16">
        <f>N283/10000</f>
        <v/>
      </c>
      <c r="T283" s="16">
        <f>P283/10000</f>
        <v/>
      </c>
      <c r="U283" s="15">
        <f>IF(N283&gt;=Summary!$D$3,1,0)</f>
        <v/>
      </c>
      <c r="V283" s="17">
        <f>IF(N283&gt;0,P283/N283,"")</f>
        <v/>
      </c>
      <c r="W283" s="17">
        <f>IF(O283&gt;0,H283/O283,"")</f>
        <v/>
      </c>
    </row>
    <row r="284">
      <c r="A284" s="13" t="inlineStr">
        <is>
          <t>T11_B1</t>
        </is>
      </c>
      <c r="B284" s="13" t="inlineStr">
        <is>
          <t>T11</t>
        </is>
      </c>
      <c r="C284" s="13" t="inlineStr">
        <is>
          <t>B1</t>
        </is>
      </c>
      <c r="D284" s="13" t="n">
        <v>1</v>
      </c>
      <c r="E284" s="13" t="inlineStr">
        <is>
          <t>S1</t>
        </is>
      </c>
      <c r="F284" s="13" t="n">
        <v>2022</v>
      </c>
      <c r="G284" s="14" t="n">
        <v>988782.8417689304</v>
      </c>
      <c r="H284" s="14" t="n">
        <v>33755.51967940985</v>
      </c>
      <c r="I284" s="14" t="n">
        <v>47959.3013590794</v>
      </c>
      <c r="J284" s="14" t="n">
        <v>16114.79177470488</v>
      </c>
      <c r="K284" s="14" t="n">
        <v>890953.2289557364</v>
      </c>
      <c r="L284" s="14" t="n">
        <v>0</v>
      </c>
      <c r="M284" s="14" t="n">
        <v>0</v>
      </c>
      <c r="N284" s="14" t="n">
        <v>69167.95007025027</v>
      </c>
      <c r="O284" s="14" t="n">
        <v>988782.8417689304</v>
      </c>
      <c r="P284" s="14" t="n">
        <v>36534.77511833042</v>
      </c>
      <c r="Q284" s="14" t="n">
        <v>5759605.642831062</v>
      </c>
      <c r="R284" s="15">
        <f>IF(D284=1,"Section 1","Control")</f>
        <v/>
      </c>
      <c r="S284" s="16">
        <f>N284/10000</f>
        <v/>
      </c>
      <c r="T284" s="16">
        <f>P284/10000</f>
        <v/>
      </c>
      <c r="U284" s="15">
        <f>IF(N284&gt;=Summary!$D$3,1,0)</f>
        <v/>
      </c>
      <c r="V284" s="17">
        <f>IF(N284&gt;0,P284/N284,"")</f>
        <v/>
      </c>
      <c r="W284" s="17">
        <f>IF(O284&gt;0,H284/O284,"")</f>
        <v/>
      </c>
    </row>
    <row r="285">
      <c r="A285" s="13" t="inlineStr">
        <is>
          <t>T11_B1</t>
        </is>
      </c>
      <c r="B285" s="13" t="inlineStr">
        <is>
          <t>T11</t>
        </is>
      </c>
      <c r="C285" s="13" t="inlineStr">
        <is>
          <t>B1</t>
        </is>
      </c>
      <c r="D285" s="13" t="n">
        <v>1</v>
      </c>
      <c r="E285" s="13" t="inlineStr">
        <is>
          <t>S1</t>
        </is>
      </c>
      <c r="F285" s="13" t="n">
        <v>2023</v>
      </c>
      <c r="G285" s="14" t="n">
        <v>988782.8417689304</v>
      </c>
      <c r="H285" s="14" t="n">
        <v>24964.90706075032</v>
      </c>
      <c r="I285" s="14" t="n">
        <v>30341.03726432651</v>
      </c>
      <c r="J285" s="14" t="n">
        <v>11256.8166779462</v>
      </c>
      <c r="K285" s="14" t="n">
        <v>922220.0807659077</v>
      </c>
      <c r="L285" s="14" t="n">
        <v>0</v>
      </c>
      <c r="M285" s="14" t="n">
        <v>0</v>
      </c>
      <c r="N285" s="14" t="n">
        <v>69167.95007025027</v>
      </c>
      <c r="O285" s="14" t="n">
        <v>988782.8417689304</v>
      </c>
      <c r="P285" s="14" t="n">
        <v>45694.33424153047</v>
      </c>
      <c r="Q285" s="14" t="n">
        <v>5759605.642831062</v>
      </c>
      <c r="R285" s="15">
        <f>IF(D285=1,"Section 1","Control")</f>
        <v/>
      </c>
      <c r="S285" s="16">
        <f>N285/10000</f>
        <v/>
      </c>
      <c r="T285" s="16">
        <f>P285/10000</f>
        <v/>
      </c>
      <c r="U285" s="15">
        <f>IF(N285&gt;=Summary!$D$3,1,0)</f>
        <v/>
      </c>
      <c r="V285" s="17">
        <f>IF(N285&gt;0,P285/N285,"")</f>
        <v/>
      </c>
      <c r="W285" s="17">
        <f>IF(O285&gt;0,H285/O285,"")</f>
        <v/>
      </c>
    </row>
    <row r="286">
      <c r="A286" s="13" t="inlineStr">
        <is>
          <t>T11_B1</t>
        </is>
      </c>
      <c r="B286" s="13" t="inlineStr">
        <is>
          <t>T11</t>
        </is>
      </c>
      <c r="C286" s="13" t="inlineStr">
        <is>
          <t>B1</t>
        </is>
      </c>
      <c r="D286" s="13" t="n">
        <v>1</v>
      </c>
      <c r="E286" s="13" t="inlineStr">
        <is>
          <t>S1</t>
        </is>
      </c>
      <c r="F286" s="13" t="n">
        <v>2024</v>
      </c>
      <c r="G286" s="14" t="n">
        <v>988782.8417689304</v>
      </c>
      <c r="H286" s="14" t="n">
        <v>21959.09210022571</v>
      </c>
      <c r="I286" s="14" t="n">
        <v>55373.5733933692</v>
      </c>
      <c r="J286" s="14" t="n">
        <v>14403.97039322198</v>
      </c>
      <c r="K286" s="14" t="n">
        <v>897046.2058821137</v>
      </c>
      <c r="L286" s="14" t="n">
        <v>0</v>
      </c>
      <c r="M286" s="14" t="n">
        <v>0</v>
      </c>
      <c r="N286" s="14" t="n">
        <v>69167.95007025027</v>
      </c>
      <c r="O286" s="14" t="n">
        <v>988782.8417689304</v>
      </c>
      <c r="P286" s="14" t="n">
        <v>48897.59406442081</v>
      </c>
      <c r="Q286" s="14" t="n">
        <v>5759605.642831062</v>
      </c>
      <c r="R286" s="15">
        <f>IF(D286=1,"Section 1","Control")</f>
        <v/>
      </c>
      <c r="S286" s="16">
        <f>N286/10000</f>
        <v/>
      </c>
      <c r="T286" s="16">
        <f>P286/10000</f>
        <v/>
      </c>
      <c r="U286" s="15">
        <f>IF(N286&gt;=Summary!$D$3,1,0)</f>
        <v/>
      </c>
      <c r="V286" s="17">
        <f>IF(N286&gt;0,P286/N286,"")</f>
        <v/>
      </c>
      <c r="W286" s="17">
        <f>IF(O286&gt;0,H286/O286,"")</f>
        <v/>
      </c>
    </row>
    <row r="287">
      <c r="A287" s="13" t="inlineStr">
        <is>
          <t>T11_B1</t>
        </is>
      </c>
      <c r="B287" s="13" t="inlineStr">
        <is>
          <t>T11</t>
        </is>
      </c>
      <c r="C287" s="13" t="inlineStr">
        <is>
          <t>B1</t>
        </is>
      </c>
      <c r="D287" s="13" t="n">
        <v>1</v>
      </c>
      <c r="E287" s="13" t="inlineStr">
        <is>
          <t>S1</t>
        </is>
      </c>
      <c r="F287" s="13" t="n">
        <v>2025</v>
      </c>
      <c r="G287" s="14" t="n">
        <v>988782.8417689304</v>
      </c>
      <c r="H287" s="14" t="n">
        <v>14210.3274567548</v>
      </c>
      <c r="I287" s="14" t="n">
        <v>59073.18320333444</v>
      </c>
      <c r="J287" s="14" t="n">
        <v>12832.52276530546</v>
      </c>
      <c r="K287" s="14" t="n">
        <v>902666.8083435358</v>
      </c>
      <c r="L287" s="14" t="n">
        <v>0</v>
      </c>
      <c r="M287" s="14" t="n">
        <v>0</v>
      </c>
      <c r="N287" s="14" t="n">
        <v>69167.95007025027</v>
      </c>
      <c r="O287" s="14" t="n">
        <v>988782.8417689304</v>
      </c>
      <c r="P287" s="14" t="n">
        <v>55846.12676388609</v>
      </c>
      <c r="Q287" s="14" t="n">
        <v>5759605.642831062</v>
      </c>
      <c r="R287" s="15">
        <f>IF(D287=1,"Section 1","Control")</f>
        <v/>
      </c>
      <c r="S287" s="16">
        <f>N287/10000</f>
        <v/>
      </c>
      <c r="T287" s="16">
        <f>P287/10000</f>
        <v/>
      </c>
      <c r="U287" s="15">
        <f>IF(N287&gt;=Summary!$D$3,1,0)</f>
        <v/>
      </c>
      <c r="V287" s="17">
        <f>IF(N287&gt;0,P287/N287,"")</f>
        <v/>
      </c>
      <c r="W287" s="17">
        <f>IF(O287&gt;0,H287/O287,"")</f>
        <v/>
      </c>
    </row>
    <row r="288">
      <c r="A288" s="13" t="inlineStr">
        <is>
          <t>T11_B1</t>
        </is>
      </c>
      <c r="B288" s="13" t="inlineStr">
        <is>
          <t>T11</t>
        </is>
      </c>
      <c r="C288" s="13" t="inlineStr">
        <is>
          <t>B1</t>
        </is>
      </c>
      <c r="D288" s="13" t="n">
        <v>1</v>
      </c>
      <c r="E288" s="13" t="inlineStr">
        <is>
          <t>S1</t>
        </is>
      </c>
      <c r="F288" s="13" t="n">
        <v>2026</v>
      </c>
      <c r="G288" s="14" t="n">
        <v>988782.8417689304</v>
      </c>
      <c r="H288" s="14" t="n">
        <v>10590.45882729923</v>
      </c>
      <c r="I288" s="14" t="n">
        <v>44096.79716207466</v>
      </c>
      <c r="J288" s="14" t="n">
        <v>12723.34627757353</v>
      </c>
      <c r="K288" s="14" t="n">
        <v>921372.2395019832</v>
      </c>
      <c r="L288" s="14" t="n">
        <v>0</v>
      </c>
      <c r="M288" s="14" t="n">
        <v>0</v>
      </c>
      <c r="N288" s="14" t="n">
        <v>69167.95007025027</v>
      </c>
      <c r="O288" s="14" t="n">
        <v>988782.8417689304</v>
      </c>
      <c r="P288" s="14" t="n">
        <v>61539.16280514585</v>
      </c>
      <c r="Q288" s="14" t="n">
        <v>5759605.642831061</v>
      </c>
      <c r="R288" s="15">
        <f>IF(D288=1,"Section 1","Control")</f>
        <v/>
      </c>
      <c r="S288" s="16">
        <f>N288/10000</f>
        <v/>
      </c>
      <c r="T288" s="16">
        <f>P288/10000</f>
        <v/>
      </c>
      <c r="U288" s="15">
        <f>IF(N288&gt;=Summary!$D$3,1,0)</f>
        <v/>
      </c>
      <c r="V288" s="17">
        <f>IF(N288&gt;0,P288/N288,"")</f>
        <v/>
      </c>
      <c r="W288" s="17">
        <f>IF(O288&gt;0,H288/O288,"")</f>
        <v/>
      </c>
    </row>
    <row r="289">
      <c r="A289" s="13" t="inlineStr">
        <is>
          <t>T11_B2</t>
        </is>
      </c>
      <c r="B289" s="13" t="inlineStr">
        <is>
          <t>T11</t>
        </is>
      </c>
      <c r="C289" s="13" t="inlineStr">
        <is>
          <t>B2</t>
        </is>
      </c>
      <c r="D289" s="13" t="n">
        <v>1</v>
      </c>
      <c r="E289" s="13" t="inlineStr">
        <is>
          <t>S1</t>
        </is>
      </c>
      <c r="F289" s="13" t="n">
        <v>2020</v>
      </c>
      <c r="G289" s="14" t="n">
        <v>988719.3472649069</v>
      </c>
      <c r="H289" s="14" t="n">
        <v>6889.979432947494</v>
      </c>
      <c r="I289" s="14" t="n">
        <v>53515.37889688529</v>
      </c>
      <c r="J289" s="14" t="n">
        <v>14232.4648956598</v>
      </c>
      <c r="K289" s="14" t="n">
        <v>516862.4649011947</v>
      </c>
      <c r="L289" s="14" t="n">
        <v>397219.0591382195</v>
      </c>
      <c r="M289" s="14" t="n">
        <v>0</v>
      </c>
      <c r="N289" s="14" t="n">
        <v>6889.979432947494</v>
      </c>
      <c r="O289" s="14" t="n">
        <v>591500.2881266873</v>
      </c>
      <c r="P289" s="14" t="n">
        <v>0</v>
      </c>
      <c r="Q289" s="14" t="n">
        <v>2756769.907796612</v>
      </c>
      <c r="R289" s="15">
        <f>IF(D289=1,"Section 1","Control")</f>
        <v/>
      </c>
      <c r="S289" s="16">
        <f>N289/10000</f>
        <v/>
      </c>
      <c r="T289" s="16">
        <f>P289/10000</f>
        <v/>
      </c>
      <c r="U289" s="15">
        <f>IF(N289&gt;=Summary!$D$3,1,0)</f>
        <v/>
      </c>
      <c r="V289" s="17">
        <f>IF(N289&gt;0,P289/N289,"")</f>
        <v/>
      </c>
      <c r="W289" s="17">
        <f>IF(O289&gt;0,H289/O289,"")</f>
        <v/>
      </c>
    </row>
    <row r="290">
      <c r="A290" s="13" t="inlineStr">
        <is>
          <t>T11_B2</t>
        </is>
      </c>
      <c r="B290" s="13" t="inlineStr">
        <is>
          <t>T11</t>
        </is>
      </c>
      <c r="C290" s="13" t="inlineStr">
        <is>
          <t>B2</t>
        </is>
      </c>
      <c r="D290" s="13" t="n">
        <v>1</v>
      </c>
      <c r="E290" s="13" t="inlineStr">
        <is>
          <t>S1</t>
        </is>
      </c>
      <c r="F290" s="13" t="n">
        <v>2021</v>
      </c>
      <c r="G290" s="14" t="n">
        <v>988719.3472649069</v>
      </c>
      <c r="H290" s="14" t="n">
        <v>1493.212200837977</v>
      </c>
      <c r="I290" s="14" t="n">
        <v>57793.00262295592</v>
      </c>
      <c r="J290" s="14" t="n">
        <v>17348.26043781954</v>
      </c>
      <c r="K290" s="14" t="n">
        <v>517827.5296466901</v>
      </c>
      <c r="L290" s="14" t="n">
        <v>394257.3423566032</v>
      </c>
      <c r="M290" s="14" t="n">
        <v>0</v>
      </c>
      <c r="N290" s="14" t="n">
        <v>6889.979432947494</v>
      </c>
      <c r="O290" s="14" t="n">
        <v>591500.2881266873</v>
      </c>
      <c r="P290" s="14" t="n">
        <v>5396.767232109519</v>
      </c>
      <c r="Q290" s="14" t="n">
        <v>2756769.907796612</v>
      </c>
      <c r="R290" s="15">
        <f>IF(D290=1,"Section 1","Control")</f>
        <v/>
      </c>
      <c r="S290" s="16">
        <f>N290/10000</f>
        <v/>
      </c>
      <c r="T290" s="16">
        <f>P290/10000</f>
        <v/>
      </c>
      <c r="U290" s="15">
        <f>IF(N290&gt;=Summary!$D$3,1,0)</f>
        <v/>
      </c>
      <c r="V290" s="17">
        <f>IF(N290&gt;0,P290/N290,"")</f>
        <v/>
      </c>
      <c r="W290" s="17">
        <f>IF(O290&gt;0,H290/O290,"")</f>
        <v/>
      </c>
    </row>
    <row r="291">
      <c r="A291" s="13" t="inlineStr">
        <is>
          <t>T11_B2</t>
        </is>
      </c>
      <c r="B291" s="13" t="inlineStr">
        <is>
          <t>T11</t>
        </is>
      </c>
      <c r="C291" s="13" t="inlineStr">
        <is>
          <t>B2</t>
        </is>
      </c>
      <c r="D291" s="13" t="n">
        <v>1</v>
      </c>
      <c r="E291" s="13" t="inlineStr">
        <is>
          <t>S1</t>
        </is>
      </c>
      <c r="F291" s="13" t="n">
        <v>2022</v>
      </c>
      <c r="G291" s="14" t="n">
        <v>988719.3472649069</v>
      </c>
      <c r="H291" s="14" t="n">
        <v>544.7090130974265</v>
      </c>
      <c r="I291" s="14" t="n">
        <v>57793.26981512331</v>
      </c>
      <c r="J291" s="14" t="n">
        <v>16349.02204347498</v>
      </c>
      <c r="K291" s="14" t="n">
        <v>522795.1767493153</v>
      </c>
      <c r="L291" s="14" t="n">
        <v>391237.1696438957</v>
      </c>
      <c r="M291" s="14" t="n">
        <v>0</v>
      </c>
      <c r="N291" s="14" t="n">
        <v>6889.979432947494</v>
      </c>
      <c r="O291" s="14" t="n">
        <v>591500.2881266873</v>
      </c>
      <c r="P291" s="14" t="n">
        <v>6345.270419850069</v>
      </c>
      <c r="Q291" s="14" t="n">
        <v>2756769.907796612</v>
      </c>
      <c r="R291" s="15">
        <f>IF(D291=1,"Section 1","Control")</f>
        <v/>
      </c>
      <c r="S291" s="16">
        <f>N291/10000</f>
        <v/>
      </c>
      <c r="T291" s="16">
        <f>P291/10000</f>
        <v/>
      </c>
      <c r="U291" s="15">
        <f>IF(N291&gt;=Summary!$D$3,1,0)</f>
        <v/>
      </c>
      <c r="V291" s="17">
        <f>IF(N291&gt;0,P291/N291,"")</f>
        <v/>
      </c>
      <c r="W291" s="17">
        <f>IF(O291&gt;0,H291/O291,"")</f>
        <v/>
      </c>
    </row>
    <row r="292">
      <c r="A292" s="13" t="inlineStr">
        <is>
          <t>T11_B2</t>
        </is>
      </c>
      <c r="B292" s="13" t="inlineStr">
        <is>
          <t>T11</t>
        </is>
      </c>
      <c r="C292" s="13" t="inlineStr">
        <is>
          <t>B2</t>
        </is>
      </c>
      <c r="D292" s="13" t="n">
        <v>1</v>
      </c>
      <c r="E292" s="13" t="inlineStr">
        <is>
          <t>S1</t>
        </is>
      </c>
      <c r="F292" s="13" t="n">
        <v>2023</v>
      </c>
      <c r="G292" s="14" t="n">
        <v>988719.3472649069</v>
      </c>
      <c r="H292" s="14" t="n">
        <v>98.72162628173828</v>
      </c>
      <c r="I292" s="14" t="n">
        <v>56221.14772518382</v>
      </c>
      <c r="J292" s="14" t="n">
        <v>15400.50081541772</v>
      </c>
      <c r="K292" s="14" t="n">
        <v>523432.6989351459</v>
      </c>
      <c r="L292" s="14" t="n">
        <v>393566.2781628777</v>
      </c>
      <c r="M292" s="14" t="n">
        <v>0</v>
      </c>
      <c r="N292" s="14" t="n">
        <v>6889.979432947494</v>
      </c>
      <c r="O292" s="14" t="n">
        <v>591500.2881266873</v>
      </c>
      <c r="P292" s="14" t="n">
        <v>6791.257806665756</v>
      </c>
      <c r="Q292" s="14" t="n">
        <v>2756769.907796612</v>
      </c>
      <c r="R292" s="15">
        <f>IF(D292=1,"Section 1","Control")</f>
        <v/>
      </c>
      <c r="S292" s="16">
        <f>N292/10000</f>
        <v/>
      </c>
      <c r="T292" s="16">
        <f>P292/10000</f>
        <v/>
      </c>
      <c r="U292" s="15">
        <f>IF(N292&gt;=Summary!$D$3,1,0)</f>
        <v/>
      </c>
      <c r="V292" s="17">
        <f>IF(N292&gt;0,P292/N292,"")</f>
        <v/>
      </c>
      <c r="W292" s="17">
        <f>IF(O292&gt;0,H292/O292,"")</f>
        <v/>
      </c>
    </row>
    <row r="293">
      <c r="A293" s="13" t="inlineStr">
        <is>
          <t>T11_B2</t>
        </is>
      </c>
      <c r="B293" s="13" t="inlineStr">
        <is>
          <t>T11</t>
        </is>
      </c>
      <c r="C293" s="13" t="inlineStr">
        <is>
          <t>B2</t>
        </is>
      </c>
      <c r="D293" s="13" t="n">
        <v>1</v>
      </c>
      <c r="E293" s="13" t="inlineStr">
        <is>
          <t>S1</t>
        </is>
      </c>
      <c r="F293" s="13" t="n">
        <v>2024</v>
      </c>
      <c r="G293" s="14" t="n">
        <v>988719.3472649069</v>
      </c>
      <c r="H293" s="14" t="n">
        <v>789.7720794677734</v>
      </c>
      <c r="I293" s="14" t="n">
        <v>48282.70532777075</v>
      </c>
      <c r="J293" s="14" t="n">
        <v>17127.19692170386</v>
      </c>
      <c r="K293" s="14" t="n">
        <v>529348.2915626375</v>
      </c>
      <c r="L293" s="14" t="n">
        <v>393171.3813733269</v>
      </c>
      <c r="M293" s="14" t="n">
        <v>0</v>
      </c>
      <c r="N293" s="14" t="n">
        <v>6889.979432947494</v>
      </c>
      <c r="O293" s="14" t="n">
        <v>591500.2881266873</v>
      </c>
      <c r="P293" s="14" t="n">
        <v>6593.814920313217</v>
      </c>
      <c r="Q293" s="14" t="n">
        <v>2756769.907796612</v>
      </c>
      <c r="R293" s="15">
        <f>IF(D293=1,"Section 1","Control")</f>
        <v/>
      </c>
      <c r="S293" s="16">
        <f>N293/10000</f>
        <v/>
      </c>
      <c r="T293" s="16">
        <f>P293/10000</f>
        <v/>
      </c>
      <c r="U293" s="15">
        <f>IF(N293&gt;=Summary!$D$3,1,0)</f>
        <v/>
      </c>
      <c r="V293" s="17">
        <f>IF(N293&gt;0,P293/N293,"")</f>
        <v/>
      </c>
      <c r="W293" s="17">
        <f>IF(O293&gt;0,H293/O293,"")</f>
        <v/>
      </c>
    </row>
    <row r="294">
      <c r="A294" s="13" t="inlineStr">
        <is>
          <t>T11_B2</t>
        </is>
      </c>
      <c r="B294" s="13" t="inlineStr">
        <is>
          <t>T11</t>
        </is>
      </c>
      <c r="C294" s="13" t="inlineStr">
        <is>
          <t>B2</t>
        </is>
      </c>
      <c r="D294" s="13" t="n">
        <v>1</v>
      </c>
      <c r="E294" s="13" t="inlineStr">
        <is>
          <t>S1</t>
        </is>
      </c>
      <c r="F294" s="13" t="n">
        <v>2025</v>
      </c>
      <c r="G294" s="14" t="n">
        <v>988719.3472649069</v>
      </c>
      <c r="H294" s="14" t="n">
        <v>394.8860702514648</v>
      </c>
      <c r="I294" s="14" t="n">
        <v>50386.50636384253</v>
      </c>
      <c r="J294" s="14" t="n">
        <v>16784.95505415972</v>
      </c>
      <c r="K294" s="14" t="n">
        <v>522650.5300167906</v>
      </c>
      <c r="L294" s="14" t="n">
        <v>398502.4697598625</v>
      </c>
      <c r="M294" s="14" t="n">
        <v>0</v>
      </c>
      <c r="N294" s="14" t="n">
        <v>6889.979432947494</v>
      </c>
      <c r="O294" s="14" t="n">
        <v>591500.2881266874</v>
      </c>
      <c r="P294" s="14" t="n">
        <v>6692.536363489487</v>
      </c>
      <c r="Q294" s="14" t="n">
        <v>2756769.907796612</v>
      </c>
      <c r="R294" s="15">
        <f>IF(D294=1,"Section 1","Control")</f>
        <v/>
      </c>
      <c r="S294" s="16">
        <f>N294/10000</f>
        <v/>
      </c>
      <c r="T294" s="16">
        <f>P294/10000</f>
        <v/>
      </c>
      <c r="U294" s="15">
        <f>IF(N294&gt;=Summary!$D$3,1,0)</f>
        <v/>
      </c>
      <c r="V294" s="17">
        <f>IF(N294&gt;0,P294/N294,"")</f>
        <v/>
      </c>
      <c r="W294" s="17">
        <f>IF(O294&gt;0,H294/O294,"")</f>
        <v/>
      </c>
    </row>
    <row r="295">
      <c r="A295" s="13" t="inlineStr">
        <is>
          <t>T11_B2</t>
        </is>
      </c>
      <c r="B295" s="13" t="inlineStr">
        <is>
          <t>T11</t>
        </is>
      </c>
      <c r="C295" s="13" t="inlineStr">
        <is>
          <t>B2</t>
        </is>
      </c>
      <c r="D295" s="13" t="n">
        <v>1</v>
      </c>
      <c r="E295" s="13" t="inlineStr">
        <is>
          <t>S1</t>
        </is>
      </c>
      <c r="F295" s="13" t="n">
        <v>2026</v>
      </c>
      <c r="G295" s="14" t="n">
        <v>988719.3472649069</v>
      </c>
      <c r="H295" s="14" t="n">
        <v>1085.93675994873</v>
      </c>
      <c r="I295" s="14" t="n">
        <v>53449.5669265747</v>
      </c>
      <c r="J295" s="14" t="n">
        <v>17189.52845067043</v>
      </c>
      <c r="K295" s="14" t="n">
        <v>519479.0854114906</v>
      </c>
      <c r="L295" s="14" t="n">
        <v>397515.2297162224</v>
      </c>
      <c r="M295" s="14" t="n">
        <v>0</v>
      </c>
      <c r="N295" s="14" t="n">
        <v>6889.979432947494</v>
      </c>
      <c r="O295" s="14" t="n">
        <v>591500.2881266873</v>
      </c>
      <c r="P295" s="14" t="n">
        <v>6495.09329403148</v>
      </c>
      <c r="Q295" s="14" t="n">
        <v>2756769.907796612</v>
      </c>
      <c r="R295" s="15">
        <f>IF(D295=1,"Section 1","Control")</f>
        <v/>
      </c>
      <c r="S295" s="16">
        <f>N295/10000</f>
        <v/>
      </c>
      <c r="T295" s="16">
        <f>P295/10000</f>
        <v/>
      </c>
      <c r="U295" s="15">
        <f>IF(N295&gt;=Summary!$D$3,1,0)</f>
        <v/>
      </c>
      <c r="V295" s="17">
        <f>IF(N295&gt;0,P295/N295,"")</f>
        <v/>
      </c>
      <c r="W295" s="17">
        <f>IF(O295&gt;0,H295/O295,"")</f>
        <v/>
      </c>
    </row>
    <row r="296">
      <c r="A296" s="13" t="inlineStr">
        <is>
          <t>T11_B3</t>
        </is>
      </c>
      <c r="B296" s="13" t="inlineStr">
        <is>
          <t>T11</t>
        </is>
      </c>
      <c r="C296" s="13" t="inlineStr">
        <is>
          <t>B3</t>
        </is>
      </c>
      <c r="D296" s="13" t="n">
        <v>1</v>
      </c>
      <c r="E296" s="13" t="inlineStr">
        <is>
          <t>S1</t>
        </is>
      </c>
      <c r="F296" s="13" t="n">
        <v>2020</v>
      </c>
      <c r="G296" s="14" t="n">
        <v>7565039.933564518</v>
      </c>
      <c r="H296" s="14" t="n">
        <v>239872.6085323259</v>
      </c>
      <c r="I296" s="14" t="n">
        <v>502266.5118743298</v>
      </c>
      <c r="J296" s="14" t="n">
        <v>0</v>
      </c>
      <c r="K296" s="14" t="n">
        <v>2600077.186388561</v>
      </c>
      <c r="L296" s="14" t="n">
        <v>4222823.626769301</v>
      </c>
      <c r="M296" s="14" t="n">
        <v>0</v>
      </c>
      <c r="N296" s="14" t="n">
        <v>239872.6085323259</v>
      </c>
      <c r="O296" s="14" t="n">
        <v>3342216.306795218</v>
      </c>
      <c r="P296" s="14" t="n">
        <v>0</v>
      </c>
      <c r="Q296" s="14" t="n">
        <v>9561786.786992809</v>
      </c>
      <c r="R296" s="15">
        <f>IF(D296=1,"Section 1","Control")</f>
        <v/>
      </c>
      <c r="S296" s="16">
        <f>N296/10000</f>
        <v/>
      </c>
      <c r="T296" s="16">
        <f>P296/10000</f>
        <v/>
      </c>
      <c r="U296" s="15">
        <f>IF(N296&gt;=Summary!$D$3,1,0)</f>
        <v/>
      </c>
      <c r="V296" s="17">
        <f>IF(N296&gt;0,P296/N296,"")</f>
        <v/>
      </c>
      <c r="W296" s="17">
        <f>IF(O296&gt;0,H296/O296,"")</f>
        <v/>
      </c>
    </row>
    <row r="297">
      <c r="A297" s="13" t="inlineStr">
        <is>
          <t>T11_B3</t>
        </is>
      </c>
      <c r="B297" s="13" t="inlineStr">
        <is>
          <t>T11</t>
        </is>
      </c>
      <c r="C297" s="13" t="inlineStr">
        <is>
          <t>B3</t>
        </is>
      </c>
      <c r="D297" s="13" t="n">
        <v>1</v>
      </c>
      <c r="E297" s="13" t="inlineStr">
        <is>
          <t>S1</t>
        </is>
      </c>
      <c r="F297" s="13" t="n">
        <v>2021</v>
      </c>
      <c r="G297" s="14" t="n">
        <v>7565039.933564518</v>
      </c>
      <c r="H297" s="14" t="n">
        <v>210729.6339491302</v>
      </c>
      <c r="I297" s="14" t="n">
        <v>293363.7357667511</v>
      </c>
      <c r="J297" s="14" t="n">
        <v>0</v>
      </c>
      <c r="K297" s="14" t="n">
        <v>2828130.632306477</v>
      </c>
      <c r="L297" s="14" t="n">
        <v>4232815.93154216</v>
      </c>
      <c r="M297" s="14" t="n">
        <v>0</v>
      </c>
      <c r="N297" s="14" t="n">
        <v>239872.6085323259</v>
      </c>
      <c r="O297" s="14" t="n">
        <v>3342216.306795218</v>
      </c>
      <c r="P297" s="14" t="n">
        <v>117271.9482808132</v>
      </c>
      <c r="Q297" s="14" t="n">
        <v>9561786.786992809</v>
      </c>
      <c r="R297" s="15">
        <f>IF(D297=1,"Section 1","Control")</f>
        <v/>
      </c>
      <c r="S297" s="16">
        <f>N297/10000</f>
        <v/>
      </c>
      <c r="T297" s="16">
        <f>P297/10000</f>
        <v/>
      </c>
      <c r="U297" s="15">
        <f>IF(N297&gt;=Summary!$D$3,1,0)</f>
        <v/>
      </c>
      <c r="V297" s="17">
        <f>IF(N297&gt;0,P297/N297,"")</f>
        <v/>
      </c>
      <c r="W297" s="17">
        <f>IF(O297&gt;0,H297/O297,"")</f>
        <v/>
      </c>
    </row>
    <row r="298">
      <c r="A298" s="13" t="inlineStr">
        <is>
          <t>T11_B3</t>
        </is>
      </c>
      <c r="B298" s="13" t="inlineStr">
        <is>
          <t>T11</t>
        </is>
      </c>
      <c r="C298" s="13" t="inlineStr">
        <is>
          <t>B3</t>
        </is>
      </c>
      <c r="D298" s="13" t="n">
        <v>1</v>
      </c>
      <c r="E298" s="13" t="inlineStr">
        <is>
          <t>S1</t>
        </is>
      </c>
      <c r="F298" s="13" t="n">
        <v>2022</v>
      </c>
      <c r="G298" s="14" t="n">
        <v>7565039.933564518</v>
      </c>
      <c r="H298" s="14" t="n">
        <v>66948.00733074114</v>
      </c>
      <c r="I298" s="14" t="n">
        <v>392471.2790168314</v>
      </c>
      <c r="J298" s="14" t="n">
        <v>0</v>
      </c>
      <c r="K298" s="14" t="n">
        <v>2896406.81173739</v>
      </c>
      <c r="L298" s="14" t="n">
        <v>4209213.835479558</v>
      </c>
      <c r="M298" s="14" t="n">
        <v>0</v>
      </c>
      <c r="N298" s="14" t="n">
        <v>239872.6085323259</v>
      </c>
      <c r="O298" s="14" t="n">
        <v>3342216.306795218</v>
      </c>
      <c r="P298" s="14" t="n">
        <v>178353.9731727151</v>
      </c>
      <c r="Q298" s="14" t="n">
        <v>9561786.786992809</v>
      </c>
      <c r="R298" s="15">
        <f>IF(D298=1,"Section 1","Control")</f>
        <v/>
      </c>
      <c r="S298" s="16">
        <f>N298/10000</f>
        <v/>
      </c>
      <c r="T298" s="16">
        <f>P298/10000</f>
        <v/>
      </c>
      <c r="U298" s="15">
        <f>IF(N298&gt;=Summary!$D$3,1,0)</f>
        <v/>
      </c>
      <c r="V298" s="17">
        <f>IF(N298&gt;0,P298/N298,"")</f>
        <v/>
      </c>
      <c r="W298" s="17">
        <f>IF(O298&gt;0,H298/O298,"")</f>
        <v/>
      </c>
    </row>
    <row r="299">
      <c r="A299" s="13" t="inlineStr">
        <is>
          <t>T11_B3</t>
        </is>
      </c>
      <c r="B299" s="13" t="inlineStr">
        <is>
          <t>T11</t>
        </is>
      </c>
      <c r="C299" s="13" t="inlineStr">
        <is>
          <t>B3</t>
        </is>
      </c>
      <c r="D299" s="13" t="n">
        <v>1</v>
      </c>
      <c r="E299" s="13" t="inlineStr">
        <is>
          <t>S1</t>
        </is>
      </c>
      <c r="F299" s="13" t="n">
        <v>2023</v>
      </c>
      <c r="G299" s="14" t="n">
        <v>7565039.933564518</v>
      </c>
      <c r="H299" s="14" t="n">
        <v>190151.3821380616</v>
      </c>
      <c r="I299" s="14" t="n">
        <v>328338.8909301758</v>
      </c>
      <c r="J299" s="14" t="n">
        <v>0</v>
      </c>
      <c r="K299" s="14" t="n">
        <v>2819290.307295556</v>
      </c>
      <c r="L299" s="14" t="n">
        <v>4227259.353200724</v>
      </c>
      <c r="M299" s="14" t="n">
        <v>0</v>
      </c>
      <c r="N299" s="14" t="n">
        <v>239872.6085323259</v>
      </c>
      <c r="O299" s="14" t="n">
        <v>3342216.306795218</v>
      </c>
      <c r="P299" s="14" t="n">
        <v>147863.0441213571</v>
      </c>
      <c r="Q299" s="14" t="n">
        <v>9561786.786992809</v>
      </c>
      <c r="R299" s="15">
        <f>IF(D299=1,"Section 1","Control")</f>
        <v/>
      </c>
      <c r="S299" s="16">
        <f>N299/10000</f>
        <v/>
      </c>
      <c r="T299" s="16">
        <f>P299/10000</f>
        <v/>
      </c>
      <c r="U299" s="15">
        <f>IF(N299&gt;=Summary!$D$3,1,0)</f>
        <v/>
      </c>
      <c r="V299" s="17">
        <f>IF(N299&gt;0,P299/N299,"")</f>
        <v/>
      </c>
      <c r="W299" s="17">
        <f>IF(O299&gt;0,H299/O299,"")</f>
        <v/>
      </c>
    </row>
    <row r="300">
      <c r="A300" s="13" t="inlineStr">
        <is>
          <t>T11_B3</t>
        </is>
      </c>
      <c r="B300" s="13" t="inlineStr">
        <is>
          <t>T11</t>
        </is>
      </c>
      <c r="C300" s="13" t="inlineStr">
        <is>
          <t>B3</t>
        </is>
      </c>
      <c r="D300" s="13" t="n">
        <v>1</v>
      </c>
      <c r="E300" s="13" t="inlineStr">
        <is>
          <t>S1</t>
        </is>
      </c>
      <c r="F300" s="13" t="n">
        <v>2024</v>
      </c>
      <c r="G300" s="14" t="n">
        <v>7565039.933564519</v>
      </c>
      <c r="H300" s="14" t="n">
        <v>297219.8637360217</v>
      </c>
      <c r="I300" s="14" t="n">
        <v>225930.2032130223</v>
      </c>
      <c r="J300" s="14" t="n">
        <v>0</v>
      </c>
      <c r="K300" s="14" t="n">
        <v>2848270.99564197</v>
      </c>
      <c r="L300" s="14" t="n">
        <v>4193618.870973505</v>
      </c>
      <c r="M300" s="14" t="n">
        <v>0</v>
      </c>
      <c r="N300" s="14" t="n">
        <v>239872.6085323259</v>
      </c>
      <c r="O300" s="14" t="n">
        <v>3342216.306795218</v>
      </c>
      <c r="P300" s="14" t="n">
        <v>150987.5059761496</v>
      </c>
      <c r="Q300" s="14" t="n">
        <v>9561786.786992809</v>
      </c>
      <c r="R300" s="15">
        <f>IF(D300=1,"Section 1","Control")</f>
        <v/>
      </c>
      <c r="S300" s="16">
        <f>N300/10000</f>
        <v/>
      </c>
      <c r="T300" s="16">
        <f>P300/10000</f>
        <v/>
      </c>
      <c r="U300" s="15">
        <f>IF(N300&gt;=Summary!$D$3,1,0)</f>
        <v/>
      </c>
      <c r="V300" s="17">
        <f>IF(N300&gt;0,P300/N300,"")</f>
        <v/>
      </c>
      <c r="W300" s="17">
        <f>IF(O300&gt;0,H300/O300,"")</f>
        <v/>
      </c>
    </row>
    <row r="301">
      <c r="A301" s="13" t="inlineStr">
        <is>
          <t>T11_B3</t>
        </is>
      </c>
      <c r="B301" s="13" t="inlineStr">
        <is>
          <t>T11</t>
        </is>
      </c>
      <c r="C301" s="13" t="inlineStr">
        <is>
          <t>B3</t>
        </is>
      </c>
      <c r="D301" s="13" t="n">
        <v>1</v>
      </c>
      <c r="E301" s="13" t="inlineStr">
        <is>
          <t>S1</t>
        </is>
      </c>
      <c r="F301" s="13" t="n">
        <v>2025</v>
      </c>
      <c r="G301" s="14" t="n">
        <v>7565039.933564518</v>
      </c>
      <c r="H301" s="14" t="n">
        <v>226554.7605201572</v>
      </c>
      <c r="I301" s="14" t="n">
        <v>332607.6492529477</v>
      </c>
      <c r="J301" s="14" t="n">
        <v>0</v>
      </c>
      <c r="K301" s="14" t="n">
        <v>2847276.01211129</v>
      </c>
      <c r="L301" s="14" t="n">
        <v>4158601.511680125</v>
      </c>
      <c r="M301" s="14" t="n">
        <v>0</v>
      </c>
      <c r="N301" s="14" t="n">
        <v>239872.6085323259</v>
      </c>
      <c r="O301" s="14" t="n">
        <v>3342216.306795218</v>
      </c>
      <c r="P301" s="14" t="n">
        <v>156159.8097453099</v>
      </c>
      <c r="Q301" s="14" t="n">
        <v>9561786.786992809</v>
      </c>
      <c r="R301" s="15">
        <f>IF(D301=1,"Section 1","Control")</f>
        <v/>
      </c>
      <c r="S301" s="16">
        <f>N301/10000</f>
        <v/>
      </c>
      <c r="T301" s="16">
        <f>P301/10000</f>
        <v/>
      </c>
      <c r="U301" s="15">
        <f>IF(N301&gt;=Summary!$D$3,1,0)</f>
        <v/>
      </c>
      <c r="V301" s="17">
        <f>IF(N301&gt;0,P301/N301,"")</f>
        <v/>
      </c>
      <c r="W301" s="17">
        <f>IF(O301&gt;0,H301/O301,"")</f>
        <v/>
      </c>
    </row>
    <row r="302">
      <c r="A302" s="13" t="inlineStr">
        <is>
          <t>T11_B3</t>
        </is>
      </c>
      <c r="B302" s="13" t="inlineStr">
        <is>
          <t>T11</t>
        </is>
      </c>
      <c r="C302" s="13" t="inlineStr">
        <is>
          <t>B3</t>
        </is>
      </c>
      <c r="D302" s="13" t="n">
        <v>1</v>
      </c>
      <c r="E302" s="13" t="inlineStr">
        <is>
          <t>S1</t>
        </is>
      </c>
      <c r="F302" s="13" t="n">
        <v>2026</v>
      </c>
      <c r="G302" s="14" t="n">
        <v>7565039.933564518</v>
      </c>
      <c r="H302" s="14" t="n">
        <v>337504.8738818599</v>
      </c>
      <c r="I302" s="14" t="n">
        <v>198831.7773412069</v>
      </c>
      <c r="J302" s="14" t="n">
        <v>0</v>
      </c>
      <c r="K302" s="14" t="n">
        <v>2859767.167921687</v>
      </c>
      <c r="L302" s="14" t="n">
        <v>4168936.114419765</v>
      </c>
      <c r="M302" s="14" t="n">
        <v>0</v>
      </c>
      <c r="N302" s="14" t="n">
        <v>239872.6085323259</v>
      </c>
      <c r="O302" s="14" t="n">
        <v>3342216.306795218</v>
      </c>
      <c r="P302" s="14" t="n">
        <v>155117.2744085275</v>
      </c>
      <c r="Q302" s="14" t="n">
        <v>9561786.786992809</v>
      </c>
      <c r="R302" s="15">
        <f>IF(D302=1,"Section 1","Control")</f>
        <v/>
      </c>
      <c r="S302" s="16">
        <f>N302/10000</f>
        <v/>
      </c>
      <c r="T302" s="16">
        <f>P302/10000</f>
        <v/>
      </c>
      <c r="U302" s="15">
        <f>IF(N302&gt;=Summary!$D$3,1,0)</f>
        <v/>
      </c>
      <c r="V302" s="17">
        <f>IF(N302&gt;0,P302/N302,"")</f>
        <v/>
      </c>
      <c r="W302" s="17">
        <f>IF(O302&gt;0,H302/O302,"")</f>
        <v/>
      </c>
    </row>
    <row r="303">
      <c r="A303" s="13" t="inlineStr">
        <is>
          <t>T11_F</t>
        </is>
      </c>
      <c r="B303" s="13" t="inlineStr">
        <is>
          <t>T11</t>
        </is>
      </c>
      <c r="C303" s="13" t="inlineStr">
        <is>
          <t>F</t>
        </is>
      </c>
      <c r="D303" s="13" t="n">
        <v>1</v>
      </c>
      <c r="E303" s="13" t="inlineStr">
        <is>
          <t>S1</t>
        </is>
      </c>
      <c r="F303" s="13" t="n">
        <v>2020</v>
      </c>
      <c r="G303" s="14" t="n">
        <v>53932.80721830481</v>
      </c>
      <c r="H303" s="14" t="n">
        <v>19932.31746395336</v>
      </c>
      <c r="I303" s="14" t="n">
        <v>357.7250385957606</v>
      </c>
      <c r="J303" s="14" t="n">
        <v>0</v>
      </c>
      <c r="K303" s="14" t="n">
        <v>33642.76471575568</v>
      </c>
      <c r="L303" s="14" t="n">
        <v>0</v>
      </c>
      <c r="M303" s="14" t="n">
        <v>0</v>
      </c>
      <c r="N303" s="14" t="n">
        <v>19932.31746395336</v>
      </c>
      <c r="O303" s="14" t="n">
        <v>53932.80721830481</v>
      </c>
      <c r="P303" s="14" t="n">
        <v>0</v>
      </c>
      <c r="Q303" s="14" t="n">
        <v>324781.9666795318</v>
      </c>
      <c r="R303" s="15">
        <f>IF(D303=1,"Section 1","Control")</f>
        <v/>
      </c>
      <c r="S303" s="16">
        <f>N303/10000</f>
        <v/>
      </c>
      <c r="T303" s="16">
        <f>P303/10000</f>
        <v/>
      </c>
      <c r="U303" s="15">
        <f>IF(N303&gt;=Summary!$D$3,1,0)</f>
        <v/>
      </c>
      <c r="V303" s="17">
        <f>IF(N303&gt;0,P303/N303,"")</f>
        <v/>
      </c>
      <c r="W303" s="17">
        <f>IF(O303&gt;0,H303/O303,"")</f>
        <v/>
      </c>
    </row>
    <row r="304">
      <c r="A304" s="13" t="inlineStr">
        <is>
          <t>T11_F</t>
        </is>
      </c>
      <c r="B304" s="13" t="inlineStr">
        <is>
          <t>T11</t>
        </is>
      </c>
      <c r="C304" s="13" t="inlineStr">
        <is>
          <t>F</t>
        </is>
      </c>
      <c r="D304" s="13" t="n">
        <v>1</v>
      </c>
      <c r="E304" s="13" t="inlineStr">
        <is>
          <t>S1</t>
        </is>
      </c>
      <c r="F304" s="13" t="n">
        <v>2021</v>
      </c>
      <c r="G304" s="14" t="n">
        <v>53932.80721830481</v>
      </c>
      <c r="H304" s="14" t="n">
        <v>16489.79650863947</v>
      </c>
      <c r="I304" s="14" t="n">
        <v>49.16784168318206</v>
      </c>
      <c r="J304" s="14" t="n">
        <v>0</v>
      </c>
      <c r="K304" s="14" t="n">
        <v>37393.84286798215</v>
      </c>
      <c r="L304" s="14" t="n">
        <v>0</v>
      </c>
      <c r="M304" s="14" t="n">
        <v>0</v>
      </c>
      <c r="N304" s="14" t="n">
        <v>19932.31746395336</v>
      </c>
      <c r="O304" s="14" t="n">
        <v>53932.80721830481</v>
      </c>
      <c r="P304" s="14" t="n">
        <v>3800.245993909649</v>
      </c>
      <c r="Q304" s="14" t="n">
        <v>324781.9666795318</v>
      </c>
      <c r="R304" s="15">
        <f>IF(D304=1,"Section 1","Control")</f>
        <v/>
      </c>
      <c r="S304" s="16">
        <f>N304/10000</f>
        <v/>
      </c>
      <c r="T304" s="16">
        <f>P304/10000</f>
        <v/>
      </c>
      <c r="U304" s="15">
        <f>IF(N304&gt;=Summary!$D$3,1,0)</f>
        <v/>
      </c>
      <c r="V304" s="17">
        <f>IF(N304&gt;0,P304/N304,"")</f>
        <v/>
      </c>
      <c r="W304" s="17">
        <f>IF(O304&gt;0,H304/O304,"")</f>
        <v/>
      </c>
    </row>
    <row r="305">
      <c r="A305" s="13" t="inlineStr">
        <is>
          <t>T11_F</t>
        </is>
      </c>
      <c r="B305" s="13" t="inlineStr">
        <is>
          <t>T11</t>
        </is>
      </c>
      <c r="C305" s="13" t="inlineStr">
        <is>
          <t>F</t>
        </is>
      </c>
      <c r="D305" s="13" t="n">
        <v>1</v>
      </c>
      <c r="E305" s="13" t="inlineStr">
        <is>
          <t>S1</t>
        </is>
      </c>
      <c r="F305" s="13" t="n">
        <v>2022</v>
      </c>
      <c r="G305" s="14" t="n">
        <v>53932.80721830481</v>
      </c>
      <c r="H305" s="14" t="n">
        <v>13634.96702776142</v>
      </c>
      <c r="I305" s="14" t="n">
        <v>1308.173941249474</v>
      </c>
      <c r="J305" s="14" t="n">
        <v>0</v>
      </c>
      <c r="K305" s="14" t="n">
        <v>38989.66624929392</v>
      </c>
      <c r="L305" s="14" t="n">
        <v>0</v>
      </c>
      <c r="M305" s="14" t="n">
        <v>0</v>
      </c>
      <c r="N305" s="14" t="n">
        <v>19932.31746395336</v>
      </c>
      <c r="O305" s="14" t="n">
        <v>53932.80721830481</v>
      </c>
      <c r="P305" s="14" t="n">
        <v>6655.075474787693</v>
      </c>
      <c r="Q305" s="14" t="n">
        <v>324781.9666795318</v>
      </c>
      <c r="R305" s="15">
        <f>IF(D305=1,"Section 1","Control")</f>
        <v/>
      </c>
      <c r="S305" s="16">
        <f>N305/10000</f>
        <v/>
      </c>
      <c r="T305" s="16">
        <f>P305/10000</f>
        <v/>
      </c>
      <c r="U305" s="15">
        <f>IF(N305&gt;=Summary!$D$3,1,0)</f>
        <v/>
      </c>
      <c r="V305" s="17">
        <f>IF(N305&gt;0,P305/N305,"")</f>
        <v/>
      </c>
      <c r="W305" s="17">
        <f>IF(O305&gt;0,H305/O305,"")</f>
        <v/>
      </c>
    </row>
    <row r="306">
      <c r="A306" s="13" t="inlineStr">
        <is>
          <t>T11_F</t>
        </is>
      </c>
      <c r="B306" s="13" t="inlineStr">
        <is>
          <t>T11</t>
        </is>
      </c>
      <c r="C306" s="13" t="inlineStr">
        <is>
          <t>F</t>
        </is>
      </c>
      <c r="D306" s="13" t="n">
        <v>1</v>
      </c>
      <c r="E306" s="13" t="inlineStr">
        <is>
          <t>S1</t>
        </is>
      </c>
      <c r="F306" s="13" t="n">
        <v>2023</v>
      </c>
      <c r="G306" s="14" t="n">
        <v>53932.80721830481</v>
      </c>
      <c r="H306" s="14" t="n">
        <v>11466.55017430922</v>
      </c>
      <c r="I306" s="14" t="n">
        <v>197.4454956054688</v>
      </c>
      <c r="J306" s="14" t="n">
        <v>0</v>
      </c>
      <c r="K306" s="14" t="n">
        <v>42268.81154839011</v>
      </c>
      <c r="L306" s="14" t="n">
        <v>0</v>
      </c>
      <c r="M306" s="14" t="n">
        <v>0</v>
      </c>
      <c r="N306" s="14" t="n">
        <v>19932.31746395336</v>
      </c>
      <c r="O306" s="14" t="n">
        <v>53932.80721830481</v>
      </c>
      <c r="P306" s="14" t="n">
        <v>8553.649967298321</v>
      </c>
      <c r="Q306" s="14" t="n">
        <v>324781.9666795318</v>
      </c>
      <c r="R306" s="15">
        <f>IF(D306=1,"Section 1","Control")</f>
        <v/>
      </c>
      <c r="S306" s="16">
        <f>N306/10000</f>
        <v/>
      </c>
      <c r="T306" s="16">
        <f>P306/10000</f>
        <v/>
      </c>
      <c r="U306" s="15">
        <f>IF(N306&gt;=Summary!$D$3,1,0)</f>
        <v/>
      </c>
      <c r="V306" s="17">
        <f>IF(N306&gt;0,P306/N306,"")</f>
        <v/>
      </c>
      <c r="W306" s="17">
        <f>IF(O306&gt;0,H306/O306,"")</f>
        <v/>
      </c>
    </row>
    <row r="307">
      <c r="A307" s="13" t="inlineStr">
        <is>
          <t>T11_F</t>
        </is>
      </c>
      <c r="B307" s="13" t="inlineStr">
        <is>
          <t>T11</t>
        </is>
      </c>
      <c r="C307" s="13" t="inlineStr">
        <is>
          <t>F</t>
        </is>
      </c>
      <c r="D307" s="13" t="n">
        <v>1</v>
      </c>
      <c r="E307" s="13" t="inlineStr">
        <is>
          <t>S1</t>
        </is>
      </c>
      <c r="F307" s="13" t="n">
        <v>2024</v>
      </c>
      <c r="G307" s="14" t="n">
        <v>53932.80721830481</v>
      </c>
      <c r="H307" s="14" t="n">
        <v>9754.194942369646</v>
      </c>
      <c r="I307" s="14" t="n">
        <v>142.8576680800494</v>
      </c>
      <c r="J307" s="14" t="n">
        <v>0</v>
      </c>
      <c r="K307" s="14" t="n">
        <v>44035.75460785511</v>
      </c>
      <c r="L307" s="14" t="n">
        <v>0</v>
      </c>
      <c r="M307" s="14" t="n">
        <v>0</v>
      </c>
      <c r="N307" s="14" t="n">
        <v>19932.31746395336</v>
      </c>
      <c r="O307" s="14" t="n">
        <v>53932.80721830481</v>
      </c>
      <c r="P307" s="14" t="n">
        <v>10266.0051992379</v>
      </c>
      <c r="Q307" s="14" t="n">
        <v>324781.9666795318</v>
      </c>
      <c r="R307" s="15">
        <f>IF(D307=1,"Section 1","Control")</f>
        <v/>
      </c>
      <c r="S307" s="16">
        <f>N307/10000</f>
        <v/>
      </c>
      <c r="T307" s="16">
        <f>P307/10000</f>
        <v/>
      </c>
      <c r="U307" s="15">
        <f>IF(N307&gt;=Summary!$D$3,1,0)</f>
        <v/>
      </c>
      <c r="V307" s="17">
        <f>IF(N307&gt;0,P307/N307,"")</f>
        <v/>
      </c>
      <c r="W307" s="17">
        <f>IF(O307&gt;0,H307/O307,"")</f>
        <v/>
      </c>
    </row>
    <row r="308">
      <c r="A308" s="13" t="inlineStr">
        <is>
          <t>T11_F</t>
        </is>
      </c>
      <c r="B308" s="13" t="inlineStr">
        <is>
          <t>T11</t>
        </is>
      </c>
      <c r="C308" s="13" t="inlineStr">
        <is>
          <t>F</t>
        </is>
      </c>
      <c r="D308" s="13" t="n">
        <v>1</v>
      </c>
      <c r="E308" s="13" t="inlineStr">
        <is>
          <t>S1</t>
        </is>
      </c>
      <c r="F308" s="13" t="n">
        <v>2025</v>
      </c>
      <c r="G308" s="14" t="n">
        <v>53932.80721830481</v>
      </c>
      <c r="H308" s="14" t="n">
        <v>98.72263336181641</v>
      </c>
      <c r="I308" s="14" t="n">
        <v>45583.5749060238</v>
      </c>
      <c r="J308" s="14" t="n">
        <v>0</v>
      </c>
      <c r="K308" s="14" t="n">
        <v>8250.509678919176</v>
      </c>
      <c r="L308" s="14" t="n">
        <v>0</v>
      </c>
      <c r="M308" s="14" t="n">
        <v>0</v>
      </c>
      <c r="N308" s="14" t="n">
        <v>19932.31746395336</v>
      </c>
      <c r="O308" s="14" t="n">
        <v>53932.80721830481</v>
      </c>
      <c r="P308" s="14" t="n">
        <v>19833.59483059154</v>
      </c>
      <c r="Q308" s="14" t="n">
        <v>324781.9666795318</v>
      </c>
      <c r="R308" s="15">
        <f>IF(D308=1,"Section 1","Control")</f>
        <v/>
      </c>
      <c r="S308" s="16">
        <f>N308/10000</f>
        <v/>
      </c>
      <c r="T308" s="16">
        <f>P308/10000</f>
        <v/>
      </c>
      <c r="U308" s="15">
        <f>IF(N308&gt;=Summary!$D$3,1,0)</f>
        <v/>
      </c>
      <c r="V308" s="17">
        <f>IF(N308&gt;0,P308/N308,"")</f>
        <v/>
      </c>
      <c r="W308" s="17">
        <f>IF(O308&gt;0,H308/O308,"")</f>
        <v/>
      </c>
    </row>
    <row r="309">
      <c r="A309" s="13" t="inlineStr">
        <is>
          <t>T11_F</t>
        </is>
      </c>
      <c r="B309" s="13" t="inlineStr">
        <is>
          <t>T11</t>
        </is>
      </c>
      <c r="C309" s="13" t="inlineStr">
        <is>
          <t>F</t>
        </is>
      </c>
      <c r="D309" s="13" t="n">
        <v>1</v>
      </c>
      <c r="E309" s="13" t="inlineStr">
        <is>
          <t>S1</t>
        </is>
      </c>
      <c r="F309" s="13" t="n">
        <v>2026</v>
      </c>
      <c r="G309" s="14" t="n">
        <v>53932.80721830481</v>
      </c>
      <c r="H309" s="14" t="n">
        <v>0</v>
      </c>
      <c r="I309" s="14" t="n">
        <v>9709.278044068578</v>
      </c>
      <c r="J309" s="14" t="n">
        <v>0</v>
      </c>
      <c r="K309" s="14" t="n">
        <v>44223.52917423622</v>
      </c>
      <c r="L309" s="14" t="n">
        <v>0</v>
      </c>
      <c r="M309" s="14" t="n">
        <v>0</v>
      </c>
      <c r="N309" s="14" t="n">
        <v>19932.31746395336</v>
      </c>
      <c r="O309" s="14" t="n">
        <v>53932.80721830481</v>
      </c>
      <c r="P309" s="14" t="n">
        <v>19932.31746395336</v>
      </c>
      <c r="Q309" s="14" t="n">
        <v>324781.9666795318</v>
      </c>
      <c r="R309" s="15">
        <f>IF(D309=1,"Section 1","Control")</f>
        <v/>
      </c>
      <c r="S309" s="16">
        <f>N309/10000</f>
        <v/>
      </c>
      <c r="T309" s="16">
        <f>P309/10000</f>
        <v/>
      </c>
      <c r="U309" s="15">
        <f>IF(N309&gt;=Summary!$D$3,1,0)</f>
        <v/>
      </c>
      <c r="V309" s="17">
        <f>IF(N309&gt;0,P309/N309,"")</f>
        <v/>
      </c>
      <c r="W309" s="17">
        <f>IF(O309&gt;0,H309/O309,"")</f>
        <v/>
      </c>
    </row>
    <row r="310">
      <c r="A310" s="13" t="inlineStr">
        <is>
          <t>T12_B1</t>
        </is>
      </c>
      <c r="B310" s="13" t="inlineStr">
        <is>
          <t>T12</t>
        </is>
      </c>
      <c r="C310" s="13" t="inlineStr">
        <is>
          <t>B1</t>
        </is>
      </c>
      <c r="D310" s="13" t="n">
        <v>1</v>
      </c>
      <c r="E310" s="13" t="inlineStr">
        <is>
          <t>S1</t>
        </is>
      </c>
      <c r="F310" s="13" t="n">
        <v>2020</v>
      </c>
      <c r="G310" s="14" t="n">
        <v>1017439.917421917</v>
      </c>
      <c r="H310" s="14" t="n">
        <v>166358.0883514703</v>
      </c>
      <c r="I310" s="14" t="n">
        <v>303629.457834371</v>
      </c>
      <c r="J310" s="14" t="n">
        <v>8215.732801310221</v>
      </c>
      <c r="K310" s="14" t="n">
        <v>532576.1571271111</v>
      </c>
      <c r="L310" s="14" t="n">
        <v>6660.481307654287</v>
      </c>
      <c r="M310" s="14" t="n">
        <v>0</v>
      </c>
      <c r="N310" s="14" t="n">
        <v>166358.0883514703</v>
      </c>
      <c r="O310" s="14" t="n">
        <v>1010779.436114263</v>
      </c>
      <c r="P310" s="14" t="n">
        <v>0</v>
      </c>
      <c r="Q310" s="14" t="n">
        <v>5388944.503726885</v>
      </c>
      <c r="R310" s="15">
        <f>IF(D310=1,"Section 1","Control")</f>
        <v/>
      </c>
      <c r="S310" s="16">
        <f>N310/10000</f>
        <v/>
      </c>
      <c r="T310" s="16">
        <f>P310/10000</f>
        <v/>
      </c>
      <c r="U310" s="15">
        <f>IF(N310&gt;=Summary!$D$3,1,0)</f>
        <v/>
      </c>
      <c r="V310" s="17">
        <f>IF(N310&gt;0,P310/N310,"")</f>
        <v/>
      </c>
      <c r="W310" s="17">
        <f>IF(O310&gt;0,H310/O310,"")</f>
        <v/>
      </c>
    </row>
    <row r="311">
      <c r="A311" s="13" t="inlineStr">
        <is>
          <t>T12_B1</t>
        </is>
      </c>
      <c r="B311" s="13" t="inlineStr">
        <is>
          <t>T12</t>
        </is>
      </c>
      <c r="C311" s="13" t="inlineStr">
        <is>
          <t>B1</t>
        </is>
      </c>
      <c r="D311" s="13" t="n">
        <v>1</v>
      </c>
      <c r="E311" s="13" t="inlineStr">
        <is>
          <t>S1</t>
        </is>
      </c>
      <c r="F311" s="13" t="n">
        <v>2021</v>
      </c>
      <c r="G311" s="14" t="n">
        <v>1017439.917421917</v>
      </c>
      <c r="H311" s="14" t="n">
        <v>164127.7036987304</v>
      </c>
      <c r="I311" s="14" t="n">
        <v>281343.9010589899</v>
      </c>
      <c r="J311" s="14" t="n">
        <v>9353.570495186599</v>
      </c>
      <c r="K311" s="14" t="n">
        <v>558099.431608821</v>
      </c>
      <c r="L311" s="14" t="n">
        <v>4515.310560189042</v>
      </c>
      <c r="M311" s="14" t="n">
        <v>0</v>
      </c>
      <c r="N311" s="14" t="n">
        <v>166358.0883514703</v>
      </c>
      <c r="O311" s="14" t="n">
        <v>1010779.436114262</v>
      </c>
      <c r="P311" s="14" t="n">
        <v>8868.792745702407</v>
      </c>
      <c r="Q311" s="14" t="n">
        <v>5388944.503726885</v>
      </c>
      <c r="R311" s="15">
        <f>IF(D311=1,"Section 1","Control")</f>
        <v/>
      </c>
      <c r="S311" s="16">
        <f>N311/10000</f>
        <v/>
      </c>
      <c r="T311" s="16">
        <f>P311/10000</f>
        <v/>
      </c>
      <c r="U311" s="15">
        <f>IF(N311&gt;=Summary!$D$3,1,0)</f>
        <v/>
      </c>
      <c r="V311" s="17">
        <f>IF(N311&gt;0,P311/N311,"")</f>
        <v/>
      </c>
      <c r="W311" s="17">
        <f>IF(O311&gt;0,H311/O311,"")</f>
        <v/>
      </c>
    </row>
    <row r="312">
      <c r="A312" s="13" t="inlineStr">
        <is>
          <t>T12_B1</t>
        </is>
      </c>
      <c r="B312" s="13" t="inlineStr">
        <is>
          <t>T12</t>
        </is>
      </c>
      <c r="C312" s="13" t="inlineStr">
        <is>
          <t>B1</t>
        </is>
      </c>
      <c r="D312" s="13" t="n">
        <v>1</v>
      </c>
      <c r="E312" s="13" t="inlineStr">
        <is>
          <t>S1</t>
        </is>
      </c>
      <c r="F312" s="13" t="n">
        <v>2022</v>
      </c>
      <c r="G312" s="14" t="n">
        <v>1017439.917421917</v>
      </c>
      <c r="H312" s="14" t="n">
        <v>151422.6316870895</v>
      </c>
      <c r="I312" s="14" t="n">
        <v>273810.6298259362</v>
      </c>
      <c r="J312" s="14" t="n">
        <v>10496.44008313348</v>
      </c>
      <c r="K312" s="14" t="n">
        <v>578873.1690137378</v>
      </c>
      <c r="L312" s="14" t="n">
        <v>2837.046812020096</v>
      </c>
      <c r="M312" s="14" t="n">
        <v>0</v>
      </c>
      <c r="N312" s="14" t="n">
        <v>166358.0883514703</v>
      </c>
      <c r="O312" s="14" t="n">
        <v>1010779.436114262</v>
      </c>
      <c r="P312" s="14" t="n">
        <v>19854.1548352709</v>
      </c>
      <c r="Q312" s="14" t="n">
        <v>5388944.503726885</v>
      </c>
      <c r="R312" s="15">
        <f>IF(D312=1,"Section 1","Control")</f>
        <v/>
      </c>
      <c r="S312" s="16">
        <f>N312/10000</f>
        <v/>
      </c>
      <c r="T312" s="16">
        <f>P312/10000</f>
        <v/>
      </c>
      <c r="U312" s="15">
        <f>IF(N312&gt;=Summary!$D$3,1,0)</f>
        <v/>
      </c>
      <c r="V312" s="17">
        <f>IF(N312&gt;0,P312/N312,"")</f>
        <v/>
      </c>
      <c r="W312" s="17">
        <f>IF(O312&gt;0,H312/O312,"")</f>
        <v/>
      </c>
    </row>
    <row r="313">
      <c r="A313" s="13" t="inlineStr">
        <is>
          <t>T12_B1</t>
        </is>
      </c>
      <c r="B313" s="13" t="inlineStr">
        <is>
          <t>T12</t>
        </is>
      </c>
      <c r="C313" s="13" t="inlineStr">
        <is>
          <t>B1</t>
        </is>
      </c>
      <c r="D313" s="13" t="n">
        <v>1</v>
      </c>
      <c r="E313" s="13" t="inlineStr">
        <is>
          <t>S1</t>
        </is>
      </c>
      <c r="F313" s="13" t="n">
        <v>2023</v>
      </c>
      <c r="G313" s="14" t="n">
        <v>1017439.917421917</v>
      </c>
      <c r="H313" s="14" t="n">
        <v>152151.983080576</v>
      </c>
      <c r="I313" s="14" t="n">
        <v>214595.7489118988</v>
      </c>
      <c r="J313" s="14" t="n">
        <v>10276.15097111721</v>
      </c>
      <c r="K313" s="14" t="n">
        <v>633139.5987826778</v>
      </c>
      <c r="L313" s="14" t="n">
        <v>7276.435675647212</v>
      </c>
      <c r="M313" s="14" t="n">
        <v>0</v>
      </c>
      <c r="N313" s="14" t="n">
        <v>166358.0883514703</v>
      </c>
      <c r="O313" s="14" t="n">
        <v>1010779.436114262</v>
      </c>
      <c r="P313" s="14" t="n">
        <v>23570.01975220325</v>
      </c>
      <c r="Q313" s="14" t="n">
        <v>5388944.503726885</v>
      </c>
      <c r="R313" s="15">
        <f>IF(D313=1,"Section 1","Control")</f>
        <v/>
      </c>
      <c r="S313" s="16">
        <f>N313/10000</f>
        <v/>
      </c>
      <c r="T313" s="16">
        <f>P313/10000</f>
        <v/>
      </c>
      <c r="U313" s="15">
        <f>IF(N313&gt;=Summary!$D$3,1,0)</f>
        <v/>
      </c>
      <c r="V313" s="17">
        <f>IF(N313&gt;0,P313/N313,"")</f>
        <v/>
      </c>
      <c r="W313" s="17">
        <f>IF(O313&gt;0,H313/O313,"")</f>
        <v/>
      </c>
    </row>
    <row r="314">
      <c r="A314" s="13" t="inlineStr">
        <is>
          <t>T12_B1</t>
        </is>
      </c>
      <c r="B314" s="13" t="inlineStr">
        <is>
          <t>T12</t>
        </is>
      </c>
      <c r="C314" s="13" t="inlineStr">
        <is>
          <t>B1</t>
        </is>
      </c>
      <c r="D314" s="13" t="n">
        <v>1</v>
      </c>
      <c r="E314" s="13" t="inlineStr">
        <is>
          <t>S1</t>
        </is>
      </c>
      <c r="F314" s="13" t="n">
        <v>2024</v>
      </c>
      <c r="G314" s="14" t="n">
        <v>1017439.917421917</v>
      </c>
      <c r="H314" s="14" t="n">
        <v>150123.3032380646</v>
      </c>
      <c r="I314" s="14" t="n">
        <v>256869.8159858854</v>
      </c>
      <c r="J314" s="14" t="n">
        <v>12022.58953007717</v>
      </c>
      <c r="K314" s="14" t="n">
        <v>594253.4495349061</v>
      </c>
      <c r="L314" s="14" t="n">
        <v>4170.759132983638</v>
      </c>
      <c r="M314" s="14" t="n">
        <v>0</v>
      </c>
      <c r="N314" s="14" t="n">
        <v>166358.0883514703</v>
      </c>
      <c r="O314" s="14" t="n">
        <v>1010779.436114262</v>
      </c>
      <c r="P314" s="14" t="n">
        <v>27025.32543915393</v>
      </c>
      <c r="Q314" s="14" t="n">
        <v>5388944.503726885</v>
      </c>
      <c r="R314" s="15">
        <f>IF(D314=1,"Section 1","Control")</f>
        <v/>
      </c>
      <c r="S314" s="16">
        <f>N314/10000</f>
        <v/>
      </c>
      <c r="T314" s="16">
        <f>P314/10000</f>
        <v/>
      </c>
      <c r="U314" s="15">
        <f>IF(N314&gt;=Summary!$D$3,1,0)</f>
        <v/>
      </c>
      <c r="V314" s="17">
        <f>IF(N314&gt;0,P314/N314,"")</f>
        <v/>
      </c>
      <c r="W314" s="17">
        <f>IF(O314&gt;0,H314/O314,"")</f>
        <v/>
      </c>
    </row>
    <row r="315">
      <c r="A315" s="13" t="inlineStr">
        <is>
          <t>T12_B1</t>
        </is>
      </c>
      <c r="B315" s="13" t="inlineStr">
        <is>
          <t>T12</t>
        </is>
      </c>
      <c r="C315" s="13" t="inlineStr">
        <is>
          <t>B1</t>
        </is>
      </c>
      <c r="D315" s="13" t="n">
        <v>1</v>
      </c>
      <c r="E315" s="13" t="inlineStr">
        <is>
          <t>S1</t>
        </is>
      </c>
      <c r="F315" s="13" t="n">
        <v>2025</v>
      </c>
      <c r="G315" s="14" t="n">
        <v>1017439.917421917</v>
      </c>
      <c r="H315" s="14" t="n">
        <v>128844.4963301715</v>
      </c>
      <c r="I315" s="14" t="n">
        <v>267053.2430855246</v>
      </c>
      <c r="J315" s="14" t="n">
        <v>11925.41457824707</v>
      </c>
      <c r="K315" s="14" t="n">
        <v>596203.6907355215</v>
      </c>
      <c r="L315" s="14" t="n">
        <v>13413.07269245222</v>
      </c>
      <c r="M315" s="14" t="n">
        <v>0</v>
      </c>
      <c r="N315" s="14" t="n">
        <v>166358.0883514703</v>
      </c>
      <c r="O315" s="14" t="n">
        <v>1010779.436114262</v>
      </c>
      <c r="P315" s="14" t="n">
        <v>43934.39816221349</v>
      </c>
      <c r="Q315" s="14" t="n">
        <v>5388944.503726885</v>
      </c>
      <c r="R315" s="15">
        <f>IF(D315=1,"Section 1","Control")</f>
        <v/>
      </c>
      <c r="S315" s="16">
        <f>N315/10000</f>
        <v/>
      </c>
      <c r="T315" s="16">
        <f>P315/10000</f>
        <v/>
      </c>
      <c r="U315" s="15">
        <f>IF(N315&gt;=Summary!$D$3,1,0)</f>
        <v/>
      </c>
      <c r="V315" s="17">
        <f>IF(N315&gt;0,P315/N315,"")</f>
        <v/>
      </c>
      <c r="W315" s="17">
        <f>IF(O315&gt;0,H315/O315,"")</f>
        <v/>
      </c>
    </row>
    <row r="316">
      <c r="A316" s="13" t="inlineStr">
        <is>
          <t>T12_B1</t>
        </is>
      </c>
      <c r="B316" s="13" t="inlineStr">
        <is>
          <t>T12</t>
        </is>
      </c>
      <c r="C316" s="13" t="inlineStr">
        <is>
          <t>B1</t>
        </is>
      </c>
      <c r="D316" s="13" t="n">
        <v>1</v>
      </c>
      <c r="E316" s="13" t="inlineStr">
        <is>
          <t>S1</t>
        </is>
      </c>
      <c r="F316" s="13" t="n">
        <v>2026</v>
      </c>
      <c r="G316" s="14" t="n">
        <v>1017439.917421917</v>
      </c>
      <c r="H316" s="14" t="n">
        <v>131228.5352469949</v>
      </c>
      <c r="I316" s="14" t="n">
        <v>221658.8878816792</v>
      </c>
      <c r="J316" s="14" t="n">
        <v>11916.51010742188</v>
      </c>
      <c r="K316" s="14" t="n">
        <v>639536.5025044162</v>
      </c>
      <c r="L316" s="14" t="n">
        <v>13099.48168140486</v>
      </c>
      <c r="M316" s="14" t="n">
        <v>0</v>
      </c>
      <c r="N316" s="14" t="n">
        <v>166358.0883514704</v>
      </c>
      <c r="O316" s="14" t="n">
        <v>1010779.436114262</v>
      </c>
      <c r="P316" s="14" t="n">
        <v>50818.26218447217</v>
      </c>
      <c r="Q316" s="14" t="n">
        <v>5388944.503726884</v>
      </c>
      <c r="R316" s="15">
        <f>IF(D316=1,"Section 1","Control")</f>
        <v/>
      </c>
      <c r="S316" s="16">
        <f>N316/10000</f>
        <v/>
      </c>
      <c r="T316" s="16">
        <f>P316/10000</f>
        <v/>
      </c>
      <c r="U316" s="15">
        <f>IF(N316&gt;=Summary!$D$3,1,0)</f>
        <v/>
      </c>
      <c r="V316" s="17">
        <f>IF(N316&gt;0,P316/N316,"")</f>
        <v/>
      </c>
      <c r="W316" s="17">
        <f>IF(O316&gt;0,H316/O316,"")</f>
        <v/>
      </c>
    </row>
    <row r="317">
      <c r="A317" s="13" t="inlineStr">
        <is>
          <t>T12_B2</t>
        </is>
      </c>
      <c r="B317" s="13" t="inlineStr">
        <is>
          <t>T12</t>
        </is>
      </c>
      <c r="C317" s="13" t="inlineStr">
        <is>
          <t>B2</t>
        </is>
      </c>
      <c r="D317" s="13" t="n">
        <v>1</v>
      </c>
      <c r="E317" s="13" t="inlineStr">
        <is>
          <t>S1</t>
        </is>
      </c>
      <c r="F317" s="13" t="n">
        <v>2020</v>
      </c>
      <c r="G317" s="14" t="n">
        <v>1016623.283284924</v>
      </c>
      <c r="H317" s="14" t="n">
        <v>192985.1540877997</v>
      </c>
      <c r="I317" s="14" t="n">
        <v>179632.8624631396</v>
      </c>
      <c r="J317" s="14" t="n">
        <v>3776.66141462139</v>
      </c>
      <c r="K317" s="14" t="n">
        <v>317471.8606037513</v>
      </c>
      <c r="L317" s="14" t="n">
        <v>322756.7447156121</v>
      </c>
      <c r="M317" s="14" t="n">
        <v>0</v>
      </c>
      <c r="N317" s="14" t="n">
        <v>192985.1540877997</v>
      </c>
      <c r="O317" s="14" t="n">
        <v>693866.5385693121</v>
      </c>
      <c r="P317" s="14" t="n">
        <v>0</v>
      </c>
      <c r="Q317" s="14" t="n">
        <v>4233270.773875428</v>
      </c>
      <c r="R317" s="15">
        <f>IF(D317=1,"Section 1","Control")</f>
        <v/>
      </c>
      <c r="S317" s="16">
        <f>N317/10000</f>
        <v/>
      </c>
      <c r="T317" s="16">
        <f>P317/10000</f>
        <v/>
      </c>
      <c r="U317" s="15">
        <f>IF(N317&gt;=Summary!$D$3,1,0)</f>
        <v/>
      </c>
      <c r="V317" s="17">
        <f>IF(N317&gt;0,P317/N317,"")</f>
        <v/>
      </c>
      <c r="W317" s="17">
        <f>IF(O317&gt;0,H317/O317,"")</f>
        <v/>
      </c>
    </row>
    <row r="318">
      <c r="A318" s="13" t="inlineStr">
        <is>
          <t>T12_B2</t>
        </is>
      </c>
      <c r="B318" s="13" t="inlineStr">
        <is>
          <t>T12</t>
        </is>
      </c>
      <c r="C318" s="13" t="inlineStr">
        <is>
          <t>B2</t>
        </is>
      </c>
      <c r="D318" s="13" t="n">
        <v>1</v>
      </c>
      <c r="E318" s="13" t="inlineStr">
        <is>
          <t>S1</t>
        </is>
      </c>
      <c r="F318" s="13" t="n">
        <v>2021</v>
      </c>
      <c r="G318" s="14" t="n">
        <v>1016623.283284924</v>
      </c>
      <c r="H318" s="14" t="n">
        <v>197145.4039170209</v>
      </c>
      <c r="I318" s="14" t="n">
        <v>218623.9623748181</v>
      </c>
      <c r="J318" s="14" t="n">
        <v>5444.509163471295</v>
      </c>
      <c r="K318" s="14" t="n">
        <v>273738.5750936769</v>
      </c>
      <c r="L318" s="14" t="n">
        <v>321670.8327359368</v>
      </c>
      <c r="M318" s="14" t="n">
        <v>0</v>
      </c>
      <c r="N318" s="14" t="n">
        <v>192985.1540877997</v>
      </c>
      <c r="O318" s="14" t="n">
        <v>693866.5385693121</v>
      </c>
      <c r="P318" s="14" t="n">
        <v>155.6308467191808</v>
      </c>
      <c r="Q318" s="14" t="n">
        <v>4233270.773875428</v>
      </c>
      <c r="R318" s="15">
        <f>IF(D318=1,"Section 1","Control")</f>
        <v/>
      </c>
      <c r="S318" s="16">
        <f>N318/10000</f>
        <v/>
      </c>
      <c r="T318" s="16">
        <f>P318/10000</f>
        <v/>
      </c>
      <c r="U318" s="15">
        <f>IF(N318&gt;=Summary!$D$3,1,0)</f>
        <v/>
      </c>
      <c r="V318" s="17">
        <f>IF(N318&gt;0,P318/N318,"")</f>
        <v/>
      </c>
      <c r="W318" s="17">
        <f>IF(O318&gt;0,H318/O318,"")</f>
        <v/>
      </c>
    </row>
    <row r="319">
      <c r="A319" s="13" t="inlineStr">
        <is>
          <t>T12_B2</t>
        </is>
      </c>
      <c r="B319" s="13" t="inlineStr">
        <is>
          <t>T12</t>
        </is>
      </c>
      <c r="C319" s="13" t="inlineStr">
        <is>
          <t>B2</t>
        </is>
      </c>
      <c r="D319" s="13" t="n">
        <v>1</v>
      </c>
      <c r="E319" s="13" t="inlineStr">
        <is>
          <t>S1</t>
        </is>
      </c>
      <c r="F319" s="13" t="n">
        <v>2022</v>
      </c>
      <c r="G319" s="14" t="n">
        <v>1016623.283284924</v>
      </c>
      <c r="H319" s="14" t="n">
        <v>197054.0372138528</v>
      </c>
      <c r="I319" s="14" t="n">
        <v>198185.1144151874</v>
      </c>
      <c r="J319" s="14" t="n">
        <v>4742.216709181841</v>
      </c>
      <c r="K319" s="14" t="n">
        <v>299808.5220758774</v>
      </c>
      <c r="L319" s="14" t="n">
        <v>316833.3928708245</v>
      </c>
      <c r="M319" s="14" t="n">
        <v>0</v>
      </c>
      <c r="N319" s="14" t="n">
        <v>192985.1540877997</v>
      </c>
      <c r="O319" s="14" t="n">
        <v>693866.5385693121</v>
      </c>
      <c r="P319" s="14" t="n">
        <v>550.5164286893958</v>
      </c>
      <c r="Q319" s="14" t="n">
        <v>4233270.773875428</v>
      </c>
      <c r="R319" s="15">
        <f>IF(D319=1,"Section 1","Control")</f>
        <v/>
      </c>
      <c r="S319" s="16">
        <f>N319/10000</f>
        <v/>
      </c>
      <c r="T319" s="16">
        <f>P319/10000</f>
        <v/>
      </c>
      <c r="U319" s="15">
        <f>IF(N319&gt;=Summary!$D$3,1,0)</f>
        <v/>
      </c>
      <c r="V319" s="17">
        <f>IF(N319&gt;0,P319/N319,"")</f>
        <v/>
      </c>
      <c r="W319" s="17">
        <f>IF(O319&gt;0,H319/O319,"")</f>
        <v/>
      </c>
    </row>
    <row r="320">
      <c r="A320" s="13" t="inlineStr">
        <is>
          <t>T12_B2</t>
        </is>
      </c>
      <c r="B320" s="13" t="inlineStr">
        <is>
          <t>T12</t>
        </is>
      </c>
      <c r="C320" s="13" t="inlineStr">
        <is>
          <t>B2</t>
        </is>
      </c>
      <c r="D320" s="13" t="n">
        <v>1</v>
      </c>
      <c r="E320" s="13" t="inlineStr">
        <is>
          <t>S1</t>
        </is>
      </c>
      <c r="F320" s="13" t="n">
        <v>2023</v>
      </c>
      <c r="G320" s="14" t="n">
        <v>1016623.283284924</v>
      </c>
      <c r="H320" s="14" t="n">
        <v>200263.4562693877</v>
      </c>
      <c r="I320" s="14" t="n">
        <v>177338.8850745407</v>
      </c>
      <c r="J320" s="14" t="n">
        <v>4468.500727156095</v>
      </c>
      <c r="K320" s="14" t="n">
        <v>299550.9812053605</v>
      </c>
      <c r="L320" s="14" t="n">
        <v>335001.4600084791</v>
      </c>
      <c r="M320" s="14" t="n">
        <v>0</v>
      </c>
      <c r="N320" s="14" t="n">
        <v>192985.1540877997</v>
      </c>
      <c r="O320" s="14" t="n">
        <v>693866.5385693121</v>
      </c>
      <c r="P320" s="14" t="n">
        <v>550.5164286893958</v>
      </c>
      <c r="Q320" s="14" t="n">
        <v>4233270.773875428</v>
      </c>
      <c r="R320" s="15">
        <f>IF(D320=1,"Section 1","Control")</f>
        <v/>
      </c>
      <c r="S320" s="16">
        <f>N320/10000</f>
        <v/>
      </c>
      <c r="T320" s="16">
        <f>P320/10000</f>
        <v/>
      </c>
      <c r="U320" s="15">
        <f>IF(N320&gt;=Summary!$D$3,1,0)</f>
        <v/>
      </c>
      <c r="V320" s="17">
        <f>IF(N320&gt;0,P320/N320,"")</f>
        <v/>
      </c>
      <c r="W320" s="17">
        <f>IF(O320&gt;0,H320/O320,"")</f>
        <v/>
      </c>
    </row>
    <row r="321">
      <c r="A321" s="13" t="inlineStr">
        <is>
          <t>T12_B2</t>
        </is>
      </c>
      <c r="B321" s="13" t="inlineStr">
        <is>
          <t>T12</t>
        </is>
      </c>
      <c r="C321" s="13" t="inlineStr">
        <is>
          <t>B2</t>
        </is>
      </c>
      <c r="D321" s="13" t="n">
        <v>1</v>
      </c>
      <c r="E321" s="13" t="inlineStr">
        <is>
          <t>S1</t>
        </is>
      </c>
      <c r="F321" s="13" t="n">
        <v>2024</v>
      </c>
      <c r="G321" s="14" t="n">
        <v>1016623.283284924</v>
      </c>
      <c r="H321" s="14" t="n">
        <v>203695.4853565291</v>
      </c>
      <c r="I321" s="14" t="n">
        <v>206436.1380409689</v>
      </c>
      <c r="J321" s="14" t="n">
        <v>4792.933490050072</v>
      </c>
      <c r="K321" s="14" t="n">
        <v>274845.9198633232</v>
      </c>
      <c r="L321" s="14" t="n">
        <v>326852.8065340528</v>
      </c>
      <c r="M321" s="14" t="n">
        <v>0</v>
      </c>
      <c r="N321" s="14" t="n">
        <v>192985.1540877997</v>
      </c>
      <c r="O321" s="14" t="n">
        <v>693866.5385693121</v>
      </c>
      <c r="P321" s="14" t="n">
        <v>550.5164286893958</v>
      </c>
      <c r="Q321" s="14" t="n">
        <v>4233270.773875429</v>
      </c>
      <c r="R321" s="15">
        <f>IF(D321=1,"Section 1","Control")</f>
        <v/>
      </c>
      <c r="S321" s="16">
        <f>N321/10000</f>
        <v/>
      </c>
      <c r="T321" s="16">
        <f>P321/10000</f>
        <v/>
      </c>
      <c r="U321" s="15">
        <f>IF(N321&gt;=Summary!$D$3,1,0)</f>
        <v/>
      </c>
      <c r="V321" s="17">
        <f>IF(N321&gt;0,P321/N321,"")</f>
        <v/>
      </c>
      <c r="W321" s="17">
        <f>IF(O321&gt;0,H321/O321,"")</f>
        <v/>
      </c>
    </row>
    <row r="322">
      <c r="A322" s="13" t="inlineStr">
        <is>
          <t>T12_B2</t>
        </is>
      </c>
      <c r="B322" s="13" t="inlineStr">
        <is>
          <t>T12</t>
        </is>
      </c>
      <c r="C322" s="13" t="inlineStr">
        <is>
          <t>B2</t>
        </is>
      </c>
      <c r="D322" s="13" t="n">
        <v>1</v>
      </c>
      <c r="E322" s="13" t="inlineStr">
        <is>
          <t>S1</t>
        </is>
      </c>
      <c r="F322" s="13" t="n">
        <v>2025</v>
      </c>
      <c r="G322" s="14" t="n">
        <v>1016623.283284924</v>
      </c>
      <c r="H322" s="14" t="n">
        <v>205219.2821267521</v>
      </c>
      <c r="I322" s="14" t="n">
        <v>194439.2782311832</v>
      </c>
      <c r="J322" s="14" t="n">
        <v>4792.933459532494</v>
      </c>
      <c r="K322" s="14" t="n">
        <v>245793.8991248337</v>
      </c>
      <c r="L322" s="14" t="n">
        <v>366377.8903426227</v>
      </c>
      <c r="M322" s="14" t="n">
        <v>0</v>
      </c>
      <c r="N322" s="14" t="n">
        <v>192985.1540877997</v>
      </c>
      <c r="O322" s="14" t="n">
        <v>693866.5385693121</v>
      </c>
      <c r="P322" s="14" t="n">
        <v>550.5164286893958</v>
      </c>
      <c r="Q322" s="14" t="n">
        <v>4233270.773875428</v>
      </c>
      <c r="R322" s="15">
        <f>IF(D322=1,"Section 1","Control")</f>
        <v/>
      </c>
      <c r="S322" s="16">
        <f>N322/10000</f>
        <v/>
      </c>
      <c r="T322" s="16">
        <f>P322/10000</f>
        <v/>
      </c>
      <c r="U322" s="15">
        <f>IF(N322&gt;=Summary!$D$3,1,0)</f>
        <v/>
      </c>
      <c r="V322" s="17">
        <f>IF(N322&gt;0,P322/N322,"")</f>
        <v/>
      </c>
      <c r="W322" s="17">
        <f>IF(O322&gt;0,H322/O322,"")</f>
        <v/>
      </c>
    </row>
    <row r="323">
      <c r="A323" s="13" t="inlineStr">
        <is>
          <t>T12_B2</t>
        </is>
      </c>
      <c r="B323" s="13" t="inlineStr">
        <is>
          <t>T12</t>
        </is>
      </c>
      <c r="C323" s="13" t="inlineStr">
        <is>
          <t>B2</t>
        </is>
      </c>
      <c r="D323" s="13" t="n">
        <v>1</v>
      </c>
      <c r="E323" s="13" t="inlineStr">
        <is>
          <t>S1</t>
        </is>
      </c>
      <c r="F323" s="13" t="n">
        <v>2026</v>
      </c>
      <c r="G323" s="14" t="n">
        <v>1016623.283284924</v>
      </c>
      <c r="H323" s="14" t="n">
        <v>207704.7404705571</v>
      </c>
      <c r="I323" s="14" t="n">
        <v>185447.6443359076</v>
      </c>
      <c r="J323" s="14" t="n">
        <v>4900.94862272973</v>
      </c>
      <c r="K323" s="14" t="n">
        <v>280506.648394207</v>
      </c>
      <c r="L323" s="14" t="n">
        <v>338063.3014615228</v>
      </c>
      <c r="M323" s="14" t="n">
        <v>0</v>
      </c>
      <c r="N323" s="14" t="n">
        <v>192985.1540877997</v>
      </c>
      <c r="O323" s="14" t="n">
        <v>693866.5385693121</v>
      </c>
      <c r="P323" s="14" t="n">
        <v>550.5164286893958</v>
      </c>
      <c r="Q323" s="14" t="n">
        <v>4233270.773875428</v>
      </c>
      <c r="R323" s="15">
        <f>IF(D323=1,"Section 1","Control")</f>
        <v/>
      </c>
      <c r="S323" s="16">
        <f>N323/10000</f>
        <v/>
      </c>
      <c r="T323" s="16">
        <f>P323/10000</f>
        <v/>
      </c>
      <c r="U323" s="15">
        <f>IF(N323&gt;=Summary!$D$3,1,0)</f>
        <v/>
      </c>
      <c r="V323" s="17">
        <f>IF(N323&gt;0,P323/N323,"")</f>
        <v/>
      </c>
      <c r="W323" s="17">
        <f>IF(O323&gt;0,H323/O323,"")</f>
        <v/>
      </c>
    </row>
    <row r="324">
      <c r="A324" s="13" t="inlineStr">
        <is>
          <t>T12_B3</t>
        </is>
      </c>
      <c r="B324" s="13" t="inlineStr">
        <is>
          <t>T12</t>
        </is>
      </c>
      <c r="C324" s="13" t="inlineStr">
        <is>
          <t>B3</t>
        </is>
      </c>
      <c r="D324" s="13" t="n">
        <v>1</v>
      </c>
      <c r="E324" s="13" t="inlineStr">
        <is>
          <t>S1</t>
        </is>
      </c>
      <c r="F324" s="13" t="n">
        <v>2020</v>
      </c>
      <c r="G324" s="14" t="n">
        <v>8522646.962189768</v>
      </c>
      <c r="H324" s="14" t="n">
        <v>1114107.984394507</v>
      </c>
      <c r="I324" s="14" t="n">
        <v>954233.869078842</v>
      </c>
      <c r="J324" s="14" t="n">
        <v>0</v>
      </c>
      <c r="K324" s="14" t="n">
        <v>3889078.801026199</v>
      </c>
      <c r="L324" s="14" t="n">
        <v>2565226.307690221</v>
      </c>
      <c r="M324" s="14" t="n">
        <v>0</v>
      </c>
      <c r="N324" s="14" t="n">
        <v>1114107.984394507</v>
      </c>
      <c r="O324" s="14" t="n">
        <v>5957420.654499548</v>
      </c>
      <c r="P324" s="14" t="n">
        <v>0</v>
      </c>
      <c r="Q324" s="14" t="n">
        <v>15375931.82882134</v>
      </c>
      <c r="R324" s="15">
        <f>IF(D324=1,"Section 1","Control")</f>
        <v/>
      </c>
      <c r="S324" s="16">
        <f>N324/10000</f>
        <v/>
      </c>
      <c r="T324" s="16">
        <f>P324/10000</f>
        <v/>
      </c>
      <c r="U324" s="15">
        <f>IF(N324&gt;=Summary!$D$3,1,0)</f>
        <v/>
      </c>
      <c r="V324" s="17">
        <f>IF(N324&gt;0,P324/N324,"")</f>
        <v/>
      </c>
      <c r="W324" s="17">
        <f>IF(O324&gt;0,H324/O324,"")</f>
        <v/>
      </c>
    </row>
    <row r="325">
      <c r="A325" s="13" t="inlineStr">
        <is>
          <t>T12_B3</t>
        </is>
      </c>
      <c r="B325" s="13" t="inlineStr">
        <is>
          <t>T12</t>
        </is>
      </c>
      <c r="C325" s="13" t="inlineStr">
        <is>
          <t>B3</t>
        </is>
      </c>
      <c r="D325" s="13" t="n">
        <v>1</v>
      </c>
      <c r="E325" s="13" t="inlineStr">
        <is>
          <t>S1</t>
        </is>
      </c>
      <c r="F325" s="13" t="n">
        <v>2021</v>
      </c>
      <c r="G325" s="14" t="n">
        <v>8522646.962189768</v>
      </c>
      <c r="H325" s="14" t="n">
        <v>1034664.741409272</v>
      </c>
      <c r="I325" s="14" t="n">
        <v>703279.150793816</v>
      </c>
      <c r="J325" s="14" t="n">
        <v>0</v>
      </c>
      <c r="K325" s="14" t="n">
        <v>4192460.025248749</v>
      </c>
      <c r="L325" s="14" t="n">
        <v>2592243.044737932</v>
      </c>
      <c r="M325" s="14" t="n">
        <v>0</v>
      </c>
      <c r="N325" s="14" t="n">
        <v>1114107.984394508</v>
      </c>
      <c r="O325" s="14" t="n">
        <v>5957420.654499548</v>
      </c>
      <c r="P325" s="14" t="n">
        <v>233719.7984671798</v>
      </c>
      <c r="Q325" s="14" t="n">
        <v>15375931.82882134</v>
      </c>
      <c r="R325" s="15">
        <f>IF(D325=1,"Section 1","Control")</f>
        <v/>
      </c>
      <c r="S325" s="16">
        <f>N325/10000</f>
        <v/>
      </c>
      <c r="T325" s="16">
        <f>P325/10000</f>
        <v/>
      </c>
      <c r="U325" s="15">
        <f>IF(N325&gt;=Summary!$D$3,1,0)</f>
        <v/>
      </c>
      <c r="V325" s="17">
        <f>IF(N325&gt;0,P325/N325,"")</f>
        <v/>
      </c>
      <c r="W325" s="17">
        <f>IF(O325&gt;0,H325/O325,"")</f>
        <v/>
      </c>
    </row>
    <row r="326">
      <c r="A326" s="13" t="inlineStr">
        <is>
          <t>T12_B3</t>
        </is>
      </c>
      <c r="B326" s="13" t="inlineStr">
        <is>
          <t>T12</t>
        </is>
      </c>
      <c r="C326" s="13" t="inlineStr">
        <is>
          <t>B3</t>
        </is>
      </c>
      <c r="D326" s="13" t="n">
        <v>1</v>
      </c>
      <c r="E326" s="13" t="inlineStr">
        <is>
          <t>S1</t>
        </is>
      </c>
      <c r="F326" s="13" t="n">
        <v>2022</v>
      </c>
      <c r="G326" s="14" t="n">
        <v>8522646.962189768</v>
      </c>
      <c r="H326" s="14" t="n">
        <v>631469.5399497538</v>
      </c>
      <c r="I326" s="14" t="n">
        <v>980383.9499402816</v>
      </c>
      <c r="J326" s="14" t="n">
        <v>0</v>
      </c>
      <c r="K326" s="14" t="n">
        <v>4595538.239840728</v>
      </c>
      <c r="L326" s="14" t="n">
        <v>2315255.232459005</v>
      </c>
      <c r="M326" s="14" t="n">
        <v>0</v>
      </c>
      <c r="N326" s="14" t="n">
        <v>1114107.984394508</v>
      </c>
      <c r="O326" s="14" t="n">
        <v>5957420.654499548</v>
      </c>
      <c r="P326" s="14" t="n">
        <v>552727.4177037259</v>
      </c>
      <c r="Q326" s="14" t="n">
        <v>15375931.82882134</v>
      </c>
      <c r="R326" s="15">
        <f>IF(D326=1,"Section 1","Control")</f>
        <v/>
      </c>
      <c r="S326" s="16">
        <f>N326/10000</f>
        <v/>
      </c>
      <c r="T326" s="16">
        <f>P326/10000</f>
        <v/>
      </c>
      <c r="U326" s="15">
        <f>IF(N326&gt;=Summary!$D$3,1,0)</f>
        <v/>
      </c>
      <c r="V326" s="17">
        <f>IF(N326&gt;0,P326/N326,"")</f>
        <v/>
      </c>
      <c r="W326" s="17">
        <f>IF(O326&gt;0,H326/O326,"")</f>
        <v/>
      </c>
    </row>
    <row r="327">
      <c r="A327" s="13" t="inlineStr">
        <is>
          <t>T12_B3</t>
        </is>
      </c>
      <c r="B327" s="13" t="inlineStr">
        <is>
          <t>T12</t>
        </is>
      </c>
      <c r="C327" s="13" t="inlineStr">
        <is>
          <t>B3</t>
        </is>
      </c>
      <c r="D327" s="13" t="n">
        <v>1</v>
      </c>
      <c r="E327" s="13" t="inlineStr">
        <is>
          <t>S1</t>
        </is>
      </c>
      <c r="F327" s="13" t="n">
        <v>2023</v>
      </c>
      <c r="G327" s="14" t="n">
        <v>8522646.962189768</v>
      </c>
      <c r="H327" s="14" t="n">
        <v>713713.6443000345</v>
      </c>
      <c r="I327" s="14" t="n">
        <v>653878.5817369649</v>
      </c>
      <c r="J327" s="14" t="n">
        <v>0</v>
      </c>
      <c r="K327" s="14" t="n">
        <v>4652110.317637544</v>
      </c>
      <c r="L327" s="14" t="n">
        <v>2502944.418515224</v>
      </c>
      <c r="M327" s="14" t="n">
        <v>0</v>
      </c>
      <c r="N327" s="14" t="n">
        <v>1114107.984394507</v>
      </c>
      <c r="O327" s="14" t="n">
        <v>5957420.654499548</v>
      </c>
      <c r="P327" s="14" t="n">
        <v>503072.0987034817</v>
      </c>
      <c r="Q327" s="14" t="n">
        <v>15375931.82882134</v>
      </c>
      <c r="R327" s="15">
        <f>IF(D327=1,"Section 1","Control")</f>
        <v/>
      </c>
      <c r="S327" s="16">
        <f>N327/10000</f>
        <v/>
      </c>
      <c r="T327" s="16">
        <f>P327/10000</f>
        <v/>
      </c>
      <c r="U327" s="15">
        <f>IF(N327&gt;=Summary!$D$3,1,0)</f>
        <v/>
      </c>
      <c r="V327" s="17">
        <f>IF(N327&gt;0,P327/N327,"")</f>
        <v/>
      </c>
      <c r="W327" s="17">
        <f>IF(O327&gt;0,H327/O327,"")</f>
        <v/>
      </c>
    </row>
    <row r="328">
      <c r="A328" s="13" t="inlineStr">
        <is>
          <t>T12_B3</t>
        </is>
      </c>
      <c r="B328" s="13" t="inlineStr">
        <is>
          <t>T12</t>
        </is>
      </c>
      <c r="C328" s="13" t="inlineStr">
        <is>
          <t>B3</t>
        </is>
      </c>
      <c r="D328" s="13" t="n">
        <v>1</v>
      </c>
      <c r="E328" s="13" t="inlineStr">
        <is>
          <t>S1</t>
        </is>
      </c>
      <c r="F328" s="13" t="n">
        <v>2024</v>
      </c>
      <c r="G328" s="14" t="n">
        <v>8522646.962189768</v>
      </c>
      <c r="H328" s="14" t="n">
        <v>807689.3648655312</v>
      </c>
      <c r="I328" s="14" t="n">
        <v>758814.7335754993</v>
      </c>
      <c r="J328" s="14" t="n">
        <v>0</v>
      </c>
      <c r="K328" s="14" t="n">
        <v>4622948.736201717</v>
      </c>
      <c r="L328" s="14" t="n">
        <v>2333194.127547021</v>
      </c>
      <c r="M328" s="14" t="n">
        <v>0</v>
      </c>
      <c r="N328" s="14" t="n">
        <v>1114107.984394507</v>
      </c>
      <c r="O328" s="14" t="n">
        <v>5957420.654499548</v>
      </c>
      <c r="P328" s="14" t="n">
        <v>509685.9468785305</v>
      </c>
      <c r="Q328" s="14" t="n">
        <v>15375931.82882134</v>
      </c>
      <c r="R328" s="15">
        <f>IF(D328=1,"Section 1","Control")</f>
        <v/>
      </c>
      <c r="S328" s="16">
        <f>N328/10000</f>
        <v/>
      </c>
      <c r="T328" s="16">
        <f>P328/10000</f>
        <v/>
      </c>
      <c r="U328" s="15">
        <f>IF(N328&gt;=Summary!$D$3,1,0)</f>
        <v/>
      </c>
      <c r="V328" s="17">
        <f>IF(N328&gt;0,P328/N328,"")</f>
        <v/>
      </c>
      <c r="W328" s="17">
        <f>IF(O328&gt;0,H328/O328,"")</f>
        <v/>
      </c>
    </row>
    <row r="329">
      <c r="A329" s="13" t="inlineStr">
        <is>
          <t>T12_B3</t>
        </is>
      </c>
      <c r="B329" s="13" t="inlineStr">
        <is>
          <t>T12</t>
        </is>
      </c>
      <c r="C329" s="13" t="inlineStr">
        <is>
          <t>B3</t>
        </is>
      </c>
      <c r="D329" s="13" t="n">
        <v>1</v>
      </c>
      <c r="E329" s="13" t="inlineStr">
        <is>
          <t>S1</t>
        </is>
      </c>
      <c r="F329" s="13" t="n">
        <v>2025</v>
      </c>
      <c r="G329" s="14" t="n">
        <v>8522646.962189768</v>
      </c>
      <c r="H329" s="14" t="n">
        <v>691642.285963769</v>
      </c>
      <c r="I329" s="14" t="n">
        <v>1135709.072947214</v>
      </c>
      <c r="J329" s="14" t="n">
        <v>0</v>
      </c>
      <c r="K329" s="14" t="n">
        <v>4416024.049151283</v>
      </c>
      <c r="L329" s="14" t="n">
        <v>2279271.554127503</v>
      </c>
      <c r="M329" s="14" t="n">
        <v>0</v>
      </c>
      <c r="N329" s="14" t="n">
        <v>1114107.984394507</v>
      </c>
      <c r="O329" s="14" t="n">
        <v>5957420.654499548</v>
      </c>
      <c r="P329" s="14" t="n">
        <v>566849.2519954906</v>
      </c>
      <c r="Q329" s="14" t="n">
        <v>15375931.82882134</v>
      </c>
      <c r="R329" s="15">
        <f>IF(D329=1,"Section 1","Control")</f>
        <v/>
      </c>
      <c r="S329" s="16">
        <f>N329/10000</f>
        <v/>
      </c>
      <c r="T329" s="16">
        <f>P329/10000</f>
        <v/>
      </c>
      <c r="U329" s="15">
        <f>IF(N329&gt;=Summary!$D$3,1,0)</f>
        <v/>
      </c>
      <c r="V329" s="17">
        <f>IF(N329&gt;0,P329/N329,"")</f>
        <v/>
      </c>
      <c r="W329" s="17">
        <f>IF(O329&gt;0,H329/O329,"")</f>
        <v/>
      </c>
    </row>
    <row r="330">
      <c r="A330" s="13" t="inlineStr">
        <is>
          <t>T12_B3</t>
        </is>
      </c>
      <c r="B330" s="13" t="inlineStr">
        <is>
          <t>T12</t>
        </is>
      </c>
      <c r="C330" s="13" t="inlineStr">
        <is>
          <t>B3</t>
        </is>
      </c>
      <c r="D330" s="13" t="n">
        <v>1</v>
      </c>
      <c r="E330" s="13" t="inlineStr">
        <is>
          <t>S1</t>
        </is>
      </c>
      <c r="F330" s="13" t="n">
        <v>2026</v>
      </c>
      <c r="G330" s="14" t="n">
        <v>8522646.962189768</v>
      </c>
      <c r="H330" s="14" t="n">
        <v>800479.1730004104</v>
      </c>
      <c r="I330" s="14" t="n">
        <v>1023921.94513104</v>
      </c>
      <c r="J330" s="14" t="n">
        <v>0</v>
      </c>
      <c r="K330" s="14" t="n">
        <v>4457568.275139693</v>
      </c>
      <c r="L330" s="14" t="n">
        <v>2240677.568918625</v>
      </c>
      <c r="M330" s="14" t="n">
        <v>0</v>
      </c>
      <c r="N330" s="14" t="n">
        <v>1114107.984394507</v>
      </c>
      <c r="O330" s="14" t="n">
        <v>5957420.654499548</v>
      </c>
      <c r="P330" s="14" t="n">
        <v>556384.6535686718</v>
      </c>
      <c r="Q330" s="14" t="n">
        <v>15375931.82882134</v>
      </c>
      <c r="R330" s="15">
        <f>IF(D330=1,"Section 1","Control")</f>
        <v/>
      </c>
      <c r="S330" s="16">
        <f>N330/10000</f>
        <v/>
      </c>
      <c r="T330" s="16">
        <f>P330/10000</f>
        <v/>
      </c>
      <c r="U330" s="15">
        <f>IF(N330&gt;=Summary!$D$3,1,0)</f>
        <v/>
      </c>
      <c r="V330" s="17">
        <f>IF(N330&gt;0,P330/N330,"")</f>
        <v/>
      </c>
      <c r="W330" s="17">
        <f>IF(O330&gt;0,H330/O330,"")</f>
        <v/>
      </c>
    </row>
    <row r="331">
      <c r="A331" s="13" t="inlineStr">
        <is>
          <t>T12_F</t>
        </is>
      </c>
      <c r="B331" s="13" t="inlineStr">
        <is>
          <t>T12</t>
        </is>
      </c>
      <c r="C331" s="13" t="inlineStr">
        <is>
          <t>F</t>
        </is>
      </c>
      <c r="D331" s="13" t="n">
        <v>1</v>
      </c>
      <c r="E331" s="13" t="inlineStr">
        <is>
          <t>S1</t>
        </is>
      </c>
      <c r="F331" s="13" t="n">
        <v>2020</v>
      </c>
      <c r="G331" s="14" t="n">
        <v>68870.47893063416</v>
      </c>
      <c r="H331" s="14" t="n">
        <v>6903.617300923665</v>
      </c>
      <c r="I331" s="14" t="n">
        <v>23243.97019452861</v>
      </c>
      <c r="J331" s="14" t="n">
        <v>0</v>
      </c>
      <c r="K331" s="14" t="n">
        <v>38722.89143518187</v>
      </c>
      <c r="L331" s="14" t="n">
        <v>0</v>
      </c>
      <c r="M331" s="14" t="n">
        <v>0</v>
      </c>
      <c r="N331" s="14" t="n">
        <v>6903.617300923665</v>
      </c>
      <c r="O331" s="14" t="n">
        <v>68870.47893063416</v>
      </c>
      <c r="P331" s="14" t="n">
        <v>0</v>
      </c>
      <c r="Q331" s="14" t="n">
        <v>316629.537573332</v>
      </c>
      <c r="R331" s="15">
        <f>IF(D331=1,"Section 1","Control")</f>
        <v/>
      </c>
      <c r="S331" s="16">
        <f>N331/10000</f>
        <v/>
      </c>
      <c r="T331" s="16">
        <f>P331/10000</f>
        <v/>
      </c>
      <c r="U331" s="15">
        <f>IF(N331&gt;=Summary!$D$3,1,0)</f>
        <v/>
      </c>
      <c r="V331" s="17">
        <f>IF(N331&gt;0,P331/N331,"")</f>
        <v/>
      </c>
      <c r="W331" s="17">
        <f>IF(O331&gt;0,H331/O331,"")</f>
        <v/>
      </c>
    </row>
    <row r="332">
      <c r="A332" s="13" t="inlineStr">
        <is>
          <t>T12_F</t>
        </is>
      </c>
      <c r="B332" s="13" t="inlineStr">
        <is>
          <t>T12</t>
        </is>
      </c>
      <c r="C332" s="13" t="inlineStr">
        <is>
          <t>F</t>
        </is>
      </c>
      <c r="D332" s="13" t="n">
        <v>1</v>
      </c>
      <c r="E332" s="13" t="inlineStr">
        <is>
          <t>S1</t>
        </is>
      </c>
      <c r="F332" s="13" t="n">
        <v>2021</v>
      </c>
      <c r="G332" s="14" t="n">
        <v>68870.47893063416</v>
      </c>
      <c r="H332" s="14" t="n">
        <v>8332.966701702042</v>
      </c>
      <c r="I332" s="14" t="n">
        <v>12861.82372645958</v>
      </c>
      <c r="J332" s="14" t="n">
        <v>0</v>
      </c>
      <c r="K332" s="14" t="n">
        <v>47675.68850247253</v>
      </c>
      <c r="L332" s="14" t="n">
        <v>0</v>
      </c>
      <c r="M332" s="14" t="n">
        <v>0</v>
      </c>
      <c r="N332" s="14" t="n">
        <v>6903.617300923665</v>
      </c>
      <c r="O332" s="14" t="n">
        <v>68870.47893063416</v>
      </c>
      <c r="P332" s="14" t="n">
        <v>789.7812271118164</v>
      </c>
      <c r="Q332" s="14" t="n">
        <v>316629.537573332</v>
      </c>
      <c r="R332" s="15">
        <f>IF(D332=1,"Section 1","Control")</f>
        <v/>
      </c>
      <c r="S332" s="16">
        <f>N332/10000</f>
        <v/>
      </c>
      <c r="T332" s="16">
        <f>P332/10000</f>
        <v/>
      </c>
      <c r="U332" s="15">
        <f>IF(N332&gt;=Summary!$D$3,1,0)</f>
        <v/>
      </c>
      <c r="V332" s="17">
        <f>IF(N332&gt;0,P332/N332,"")</f>
        <v/>
      </c>
      <c r="W332" s="17">
        <f>IF(O332&gt;0,H332/O332,"")</f>
        <v/>
      </c>
    </row>
    <row r="333">
      <c r="A333" s="13" t="inlineStr">
        <is>
          <t>T12_F</t>
        </is>
      </c>
      <c r="B333" s="13" t="inlineStr">
        <is>
          <t>T12</t>
        </is>
      </c>
      <c r="C333" s="13" t="inlineStr">
        <is>
          <t>F</t>
        </is>
      </c>
      <c r="D333" s="13" t="n">
        <v>1</v>
      </c>
      <c r="E333" s="13" t="inlineStr">
        <is>
          <t>S1</t>
        </is>
      </c>
      <c r="F333" s="13" t="n">
        <v>2022</v>
      </c>
      <c r="G333" s="14" t="n">
        <v>68870.47893063416</v>
      </c>
      <c r="H333" s="14" t="n">
        <v>5615.577023405187</v>
      </c>
      <c r="I333" s="14" t="n">
        <v>10739.09222830978</v>
      </c>
      <c r="J333" s="14" t="n">
        <v>0</v>
      </c>
      <c r="K333" s="14" t="n">
        <v>52515.80967891918</v>
      </c>
      <c r="L333" s="14" t="n">
        <v>0</v>
      </c>
      <c r="M333" s="14" t="n">
        <v>0</v>
      </c>
      <c r="N333" s="14" t="n">
        <v>6903.617300923665</v>
      </c>
      <c r="O333" s="14" t="n">
        <v>68870.47893063416</v>
      </c>
      <c r="P333" s="14" t="n">
        <v>1848.242889254701</v>
      </c>
      <c r="Q333" s="14" t="n">
        <v>316629.537573332</v>
      </c>
      <c r="R333" s="15">
        <f>IF(D333=1,"Section 1","Control")</f>
        <v/>
      </c>
      <c r="S333" s="16">
        <f>N333/10000</f>
        <v/>
      </c>
      <c r="T333" s="16">
        <f>P333/10000</f>
        <v/>
      </c>
      <c r="U333" s="15">
        <f>IF(N333&gt;=Summary!$D$3,1,0)</f>
        <v/>
      </c>
      <c r="V333" s="17">
        <f>IF(N333&gt;0,P333/N333,"")</f>
        <v/>
      </c>
      <c r="W333" s="17">
        <f>IF(O333&gt;0,H333/O333,"")</f>
        <v/>
      </c>
    </row>
    <row r="334">
      <c r="A334" s="13" t="inlineStr">
        <is>
          <t>T12_F</t>
        </is>
      </c>
      <c r="B334" s="13" t="inlineStr">
        <is>
          <t>T12</t>
        </is>
      </c>
      <c r="C334" s="13" t="inlineStr">
        <is>
          <t>F</t>
        </is>
      </c>
      <c r="D334" s="13" t="n">
        <v>1</v>
      </c>
      <c r="E334" s="13" t="inlineStr">
        <is>
          <t>S1</t>
        </is>
      </c>
      <c r="F334" s="13" t="n">
        <v>2023</v>
      </c>
      <c r="G334" s="14" t="n">
        <v>68870.47893063416</v>
      </c>
      <c r="H334" s="14" t="n">
        <v>5084.797394875919</v>
      </c>
      <c r="I334" s="14" t="n">
        <v>5557.119003535252</v>
      </c>
      <c r="J334" s="14" t="n">
        <v>0</v>
      </c>
      <c r="K334" s="14" t="n">
        <v>58228.56253222298</v>
      </c>
      <c r="L334" s="14" t="n">
        <v>0</v>
      </c>
      <c r="M334" s="14" t="n">
        <v>0</v>
      </c>
      <c r="N334" s="14" t="n">
        <v>6903.617300923665</v>
      </c>
      <c r="O334" s="14" t="n">
        <v>68870.47893063416</v>
      </c>
      <c r="P334" s="14" t="n">
        <v>2477.745135886996</v>
      </c>
      <c r="Q334" s="14" t="n">
        <v>316629.537573332</v>
      </c>
      <c r="R334" s="15">
        <f>IF(D334=1,"Section 1","Control")</f>
        <v/>
      </c>
      <c r="S334" s="16">
        <f>N334/10000</f>
        <v/>
      </c>
      <c r="T334" s="16">
        <f>P334/10000</f>
        <v/>
      </c>
      <c r="U334" s="15">
        <f>IF(N334&gt;=Summary!$D$3,1,0)</f>
        <v/>
      </c>
      <c r="V334" s="17">
        <f>IF(N334&gt;0,P334/N334,"")</f>
        <v/>
      </c>
      <c r="W334" s="17">
        <f>IF(O334&gt;0,H334/O334,"")</f>
        <v/>
      </c>
    </row>
    <row r="335">
      <c r="A335" s="13" t="inlineStr">
        <is>
          <t>T12_F</t>
        </is>
      </c>
      <c r="B335" s="13" t="inlineStr">
        <is>
          <t>T12</t>
        </is>
      </c>
      <c r="C335" s="13" t="inlineStr">
        <is>
          <t>F</t>
        </is>
      </c>
      <c r="D335" s="13" t="n">
        <v>1</v>
      </c>
      <c r="E335" s="13" t="inlineStr">
        <is>
          <t>S1</t>
        </is>
      </c>
      <c r="F335" s="13" t="n">
        <v>2024</v>
      </c>
      <c r="G335" s="14" t="n">
        <v>68870.47893063416</v>
      </c>
      <c r="H335" s="14" t="n">
        <v>5600.478090892118</v>
      </c>
      <c r="I335" s="14" t="n">
        <v>7066.995236116296</v>
      </c>
      <c r="J335" s="14" t="n">
        <v>0</v>
      </c>
      <c r="K335" s="14" t="n">
        <v>56203.00560362573</v>
      </c>
      <c r="L335" s="14" t="n">
        <v>0</v>
      </c>
      <c r="M335" s="14" t="n">
        <v>0</v>
      </c>
      <c r="N335" s="14" t="n">
        <v>6903.617300923665</v>
      </c>
      <c r="O335" s="14" t="n">
        <v>68870.47893063416</v>
      </c>
      <c r="P335" s="14" t="n">
        <v>2675.190494163363</v>
      </c>
      <c r="Q335" s="14" t="n">
        <v>316629.537573332</v>
      </c>
      <c r="R335" s="15">
        <f>IF(D335=1,"Section 1","Control")</f>
        <v/>
      </c>
      <c r="S335" s="16">
        <f>N335/10000</f>
        <v/>
      </c>
      <c r="T335" s="16">
        <f>P335/10000</f>
        <v/>
      </c>
      <c r="U335" s="15">
        <f>IF(N335&gt;=Summary!$D$3,1,0)</f>
        <v/>
      </c>
      <c r="V335" s="17">
        <f>IF(N335&gt;0,P335/N335,"")</f>
        <v/>
      </c>
      <c r="W335" s="17">
        <f>IF(O335&gt;0,H335/O335,"")</f>
        <v/>
      </c>
    </row>
    <row r="336">
      <c r="A336" s="13" t="inlineStr">
        <is>
          <t>T12_F</t>
        </is>
      </c>
      <c r="B336" s="13" t="inlineStr">
        <is>
          <t>T12</t>
        </is>
      </c>
      <c r="C336" s="13" t="inlineStr">
        <is>
          <t>F</t>
        </is>
      </c>
      <c r="D336" s="13" t="n">
        <v>1</v>
      </c>
      <c r="E336" s="13" t="inlineStr">
        <is>
          <t>S1</t>
        </is>
      </c>
      <c r="F336" s="13" t="n">
        <v>2025</v>
      </c>
      <c r="G336" s="14" t="n">
        <v>68870.47893063416</v>
      </c>
      <c r="H336" s="14" t="n">
        <v>113.0471363441617</v>
      </c>
      <c r="I336" s="14" t="n">
        <v>53984.26531919591</v>
      </c>
      <c r="J336" s="14" t="n">
        <v>0</v>
      </c>
      <c r="K336" s="14" t="n">
        <v>14773.16647509407</v>
      </c>
      <c r="L336" s="14" t="n">
        <v>0</v>
      </c>
      <c r="M336" s="14" t="n">
        <v>0</v>
      </c>
      <c r="N336" s="14" t="n">
        <v>6903.617300923665</v>
      </c>
      <c r="O336" s="14" t="n">
        <v>68870.47893063416</v>
      </c>
      <c r="P336" s="14" t="n">
        <v>6790.570164579504</v>
      </c>
      <c r="Q336" s="14" t="n">
        <v>316629.537573332</v>
      </c>
      <c r="R336" s="15">
        <f>IF(D336=1,"Section 1","Control")</f>
        <v/>
      </c>
      <c r="S336" s="16">
        <f>N336/10000</f>
        <v/>
      </c>
      <c r="T336" s="16">
        <f>P336/10000</f>
        <v/>
      </c>
      <c r="U336" s="15">
        <f>IF(N336&gt;=Summary!$D$3,1,0)</f>
        <v/>
      </c>
      <c r="V336" s="17">
        <f>IF(N336&gt;0,P336/N336,"")</f>
        <v/>
      </c>
      <c r="W336" s="17">
        <f>IF(O336&gt;0,H336/O336,"")</f>
        <v/>
      </c>
    </row>
    <row r="337">
      <c r="A337" s="13" t="inlineStr">
        <is>
          <t>T12_F</t>
        </is>
      </c>
      <c r="B337" s="13" t="inlineStr">
        <is>
          <t>T12</t>
        </is>
      </c>
      <c r="C337" s="13" t="inlineStr">
        <is>
          <t>F</t>
        </is>
      </c>
      <c r="D337" s="13" t="n">
        <v>1</v>
      </c>
      <c r="E337" s="13" t="inlineStr">
        <is>
          <t>S1</t>
        </is>
      </c>
      <c r="F337" s="13" t="n">
        <v>2026</v>
      </c>
      <c r="G337" s="14" t="n">
        <v>68870.47893063416</v>
      </c>
      <c r="H337" s="14" t="n">
        <v>13.55016222187117</v>
      </c>
      <c r="I337" s="14" t="n">
        <v>17307.434254665</v>
      </c>
      <c r="J337" s="14" t="n">
        <v>0</v>
      </c>
      <c r="K337" s="14" t="n">
        <v>51549.49451374728</v>
      </c>
      <c r="L337" s="14" t="n">
        <v>0</v>
      </c>
      <c r="M337" s="14" t="n">
        <v>0</v>
      </c>
      <c r="N337" s="14" t="n">
        <v>6903.617300923665</v>
      </c>
      <c r="O337" s="14" t="n">
        <v>68870.47893063416</v>
      </c>
      <c r="P337" s="14" t="n">
        <v>6890.067138701795</v>
      </c>
      <c r="Q337" s="14" t="n">
        <v>316629.537573332</v>
      </c>
      <c r="R337" s="15">
        <f>IF(D337=1,"Section 1","Control")</f>
        <v/>
      </c>
      <c r="S337" s="16">
        <f>N337/10000</f>
        <v/>
      </c>
      <c r="T337" s="16">
        <f>P337/10000</f>
        <v/>
      </c>
      <c r="U337" s="15">
        <f>IF(N337&gt;=Summary!$D$3,1,0)</f>
        <v/>
      </c>
      <c r="V337" s="17">
        <f>IF(N337&gt;0,P337/N337,"")</f>
        <v/>
      </c>
      <c r="W337" s="17">
        <f>IF(O337&gt;0,H337/O337,"")</f>
        <v/>
      </c>
    </row>
    <row r="338">
      <c r="A338" s="13" t="inlineStr">
        <is>
          <t>T13_B1</t>
        </is>
      </c>
      <c r="B338" s="13" t="inlineStr">
        <is>
          <t>T13</t>
        </is>
      </c>
      <c r="C338" s="13" t="inlineStr">
        <is>
          <t>B1</t>
        </is>
      </c>
      <c r="D338" s="13" t="n">
        <v>1</v>
      </c>
      <c r="E338" s="13" t="inlineStr">
        <is>
          <t>S1</t>
        </is>
      </c>
      <c r="F338" s="13" t="n">
        <v>2020</v>
      </c>
      <c r="G338" s="14" t="n">
        <v>992708.8871757962</v>
      </c>
      <c r="H338" s="14" t="n">
        <v>172823.7455266016</v>
      </c>
      <c r="I338" s="14" t="n">
        <v>312222.7131410189</v>
      </c>
      <c r="J338" s="14" t="n">
        <v>6029.103549732881</v>
      </c>
      <c r="K338" s="14" t="n">
        <v>386195.8683247587</v>
      </c>
      <c r="L338" s="14" t="n">
        <v>115437.4566336838</v>
      </c>
      <c r="M338" s="14" t="n">
        <v>0</v>
      </c>
      <c r="N338" s="14" t="n">
        <v>172823.7455266016</v>
      </c>
      <c r="O338" s="14" t="n">
        <v>877271.4305421121</v>
      </c>
      <c r="P338" s="14" t="n">
        <v>0</v>
      </c>
      <c r="Q338" s="14" t="n">
        <v>6345669.883649759</v>
      </c>
      <c r="R338" s="15">
        <f>IF(D338=1,"Section 1","Control")</f>
        <v/>
      </c>
      <c r="S338" s="16">
        <f>N338/10000</f>
        <v/>
      </c>
      <c r="T338" s="16">
        <f>P338/10000</f>
        <v/>
      </c>
      <c r="U338" s="15">
        <f>IF(N338&gt;=Summary!$D$3,1,0)</f>
        <v/>
      </c>
      <c r="V338" s="17">
        <f>IF(N338&gt;0,P338/N338,"")</f>
        <v/>
      </c>
      <c r="W338" s="17">
        <f>IF(O338&gt;0,H338/O338,"")</f>
        <v/>
      </c>
    </row>
    <row r="339">
      <c r="A339" s="13" t="inlineStr">
        <is>
          <t>T13_B1</t>
        </is>
      </c>
      <c r="B339" s="13" t="inlineStr">
        <is>
          <t>T13</t>
        </is>
      </c>
      <c r="C339" s="13" t="inlineStr">
        <is>
          <t>B1</t>
        </is>
      </c>
      <c r="D339" s="13" t="n">
        <v>1</v>
      </c>
      <c r="E339" s="13" t="inlineStr">
        <is>
          <t>S1</t>
        </is>
      </c>
      <c r="F339" s="13" t="n">
        <v>2021</v>
      </c>
      <c r="G339" s="14" t="n">
        <v>992708.8871757962</v>
      </c>
      <c r="H339" s="14" t="n">
        <v>98734.41531111774</v>
      </c>
      <c r="I339" s="14" t="n">
        <v>324107.1067627552</v>
      </c>
      <c r="J339" s="14" t="n">
        <v>6476.650282826144</v>
      </c>
      <c r="K339" s="14" t="n">
        <v>450349.7243376789</v>
      </c>
      <c r="L339" s="14" t="n">
        <v>113040.9904814178</v>
      </c>
      <c r="M339" s="14" t="n">
        <v>0</v>
      </c>
      <c r="N339" s="14" t="n">
        <v>172823.7455266016</v>
      </c>
      <c r="O339" s="14" t="n">
        <v>877271.4305421122</v>
      </c>
      <c r="P339" s="14" t="n">
        <v>85196.59709655163</v>
      </c>
      <c r="Q339" s="14" t="n">
        <v>6345669.883649759</v>
      </c>
      <c r="R339" s="15">
        <f>IF(D339=1,"Section 1","Control")</f>
        <v/>
      </c>
      <c r="S339" s="16">
        <f>N339/10000</f>
        <v/>
      </c>
      <c r="T339" s="16">
        <f>P339/10000</f>
        <v/>
      </c>
      <c r="U339" s="15">
        <f>IF(N339&gt;=Summary!$D$3,1,0)</f>
        <v/>
      </c>
      <c r="V339" s="17">
        <f>IF(N339&gt;0,P339/N339,"")</f>
        <v/>
      </c>
      <c r="W339" s="17">
        <f>IF(O339&gt;0,H339/O339,"")</f>
        <v/>
      </c>
    </row>
    <row r="340">
      <c r="A340" s="13" t="inlineStr">
        <is>
          <t>T13_B1</t>
        </is>
      </c>
      <c r="B340" s="13" t="inlineStr">
        <is>
          <t>T13</t>
        </is>
      </c>
      <c r="C340" s="13" t="inlineStr">
        <is>
          <t>B1</t>
        </is>
      </c>
      <c r="D340" s="13" t="n">
        <v>1</v>
      </c>
      <c r="E340" s="13" t="inlineStr">
        <is>
          <t>S1</t>
        </is>
      </c>
      <c r="F340" s="13" t="n">
        <v>2022</v>
      </c>
      <c r="G340" s="14" t="n">
        <v>992708.8871757962</v>
      </c>
      <c r="H340" s="14" t="n">
        <v>40399.91585370231</v>
      </c>
      <c r="I340" s="14" t="n">
        <v>229794.1954607197</v>
      </c>
      <c r="J340" s="14" t="n">
        <v>6522.721233143526</v>
      </c>
      <c r="K340" s="14" t="n">
        <v>600877.8696430284</v>
      </c>
      <c r="L340" s="14" t="n">
        <v>115114.184985202</v>
      </c>
      <c r="M340" s="14" t="n">
        <v>0</v>
      </c>
      <c r="N340" s="14" t="n">
        <v>172823.7455266016</v>
      </c>
      <c r="O340" s="14" t="n">
        <v>877271.4305421121</v>
      </c>
      <c r="P340" s="14" t="n">
        <v>138531.861191125</v>
      </c>
      <c r="Q340" s="14" t="n">
        <v>6345669.883649759</v>
      </c>
      <c r="R340" s="15">
        <f>IF(D340=1,"Section 1","Control")</f>
        <v/>
      </c>
      <c r="S340" s="16">
        <f>N340/10000</f>
        <v/>
      </c>
      <c r="T340" s="16">
        <f>P340/10000</f>
        <v/>
      </c>
      <c r="U340" s="15">
        <f>IF(N340&gt;=Summary!$D$3,1,0)</f>
        <v/>
      </c>
      <c r="V340" s="17">
        <f>IF(N340&gt;0,P340/N340,"")</f>
        <v/>
      </c>
      <c r="W340" s="17">
        <f>IF(O340&gt;0,H340/O340,"")</f>
        <v/>
      </c>
    </row>
    <row r="341">
      <c r="A341" s="13" t="inlineStr">
        <is>
          <t>T13_B1</t>
        </is>
      </c>
      <c r="B341" s="13" t="inlineStr">
        <is>
          <t>T13</t>
        </is>
      </c>
      <c r="C341" s="13" t="inlineStr">
        <is>
          <t>B1</t>
        </is>
      </c>
      <c r="D341" s="13" t="n">
        <v>1</v>
      </c>
      <c r="E341" s="13" t="inlineStr">
        <is>
          <t>S1</t>
        </is>
      </c>
      <c r="F341" s="13" t="n">
        <v>2023</v>
      </c>
      <c r="G341" s="14" t="n">
        <v>992708.8871757962</v>
      </c>
      <c r="H341" s="14" t="n">
        <v>42928.76002415676</v>
      </c>
      <c r="I341" s="14" t="n">
        <v>135714.447090149</v>
      </c>
      <c r="J341" s="14" t="n">
        <v>6818.891628040987</v>
      </c>
      <c r="K341" s="14" t="n">
        <v>674174.6011136523</v>
      </c>
      <c r="L341" s="14" t="n">
        <v>133072.1873197967</v>
      </c>
      <c r="M341" s="14" t="n">
        <v>0</v>
      </c>
      <c r="N341" s="14" t="n">
        <v>172823.7455266016</v>
      </c>
      <c r="O341" s="14" t="n">
        <v>877271.4305421122</v>
      </c>
      <c r="P341" s="14" t="n">
        <v>139180.7202169082</v>
      </c>
      <c r="Q341" s="14" t="n">
        <v>6345669.883649759</v>
      </c>
      <c r="R341" s="15">
        <f>IF(D341=1,"Section 1","Control")</f>
        <v/>
      </c>
      <c r="S341" s="16">
        <f>N341/10000</f>
        <v/>
      </c>
      <c r="T341" s="16">
        <f>P341/10000</f>
        <v/>
      </c>
      <c r="U341" s="15">
        <f>IF(N341&gt;=Summary!$D$3,1,0)</f>
        <v/>
      </c>
      <c r="V341" s="17">
        <f>IF(N341&gt;0,P341/N341,"")</f>
        <v/>
      </c>
      <c r="W341" s="17">
        <f>IF(O341&gt;0,H341/O341,"")</f>
        <v/>
      </c>
    </row>
    <row r="342">
      <c r="A342" s="13" t="inlineStr">
        <is>
          <t>T13_B1</t>
        </is>
      </c>
      <c r="B342" s="13" t="inlineStr">
        <is>
          <t>T13</t>
        </is>
      </c>
      <c r="C342" s="13" t="inlineStr">
        <is>
          <t>B1</t>
        </is>
      </c>
      <c r="D342" s="13" t="n">
        <v>1</v>
      </c>
      <c r="E342" s="13" t="inlineStr">
        <is>
          <t>S1</t>
        </is>
      </c>
      <c r="F342" s="13" t="n">
        <v>2024</v>
      </c>
      <c r="G342" s="14" t="n">
        <v>992708.8871757962</v>
      </c>
      <c r="H342" s="14" t="n">
        <v>42868.7425375845</v>
      </c>
      <c r="I342" s="14" t="n">
        <v>130770.6090163586</v>
      </c>
      <c r="J342" s="14" t="n">
        <v>6423.997440113741</v>
      </c>
      <c r="K342" s="14" t="n">
        <v>694767.0932783241</v>
      </c>
      <c r="L342" s="14" t="n">
        <v>117878.4449034148</v>
      </c>
      <c r="M342" s="14" t="n">
        <v>0</v>
      </c>
      <c r="N342" s="14" t="n">
        <v>172823.7455266016</v>
      </c>
      <c r="O342" s="14" t="n">
        <v>877271.4305421122</v>
      </c>
      <c r="P342" s="14" t="n">
        <v>140365.3920766494</v>
      </c>
      <c r="Q342" s="14" t="n">
        <v>6345669.883649759</v>
      </c>
      <c r="R342" s="15">
        <f>IF(D342=1,"Section 1","Control")</f>
        <v/>
      </c>
      <c r="S342" s="16">
        <f>N342/10000</f>
        <v/>
      </c>
      <c r="T342" s="16">
        <f>P342/10000</f>
        <v/>
      </c>
      <c r="U342" s="15">
        <f>IF(N342&gt;=Summary!$D$3,1,0)</f>
        <v/>
      </c>
      <c r="V342" s="17">
        <f>IF(N342&gt;0,P342/N342,"")</f>
        <v/>
      </c>
      <c r="W342" s="17">
        <f>IF(O342&gt;0,H342/O342,"")</f>
        <v/>
      </c>
    </row>
    <row r="343">
      <c r="A343" s="13" t="inlineStr">
        <is>
          <t>T13_B1</t>
        </is>
      </c>
      <c r="B343" s="13" t="inlineStr">
        <is>
          <t>T13</t>
        </is>
      </c>
      <c r="C343" s="13" t="inlineStr">
        <is>
          <t>B1</t>
        </is>
      </c>
      <c r="D343" s="13" t="n">
        <v>1</v>
      </c>
      <c r="E343" s="13" t="inlineStr">
        <is>
          <t>S1</t>
        </is>
      </c>
      <c r="F343" s="13" t="n">
        <v>2025</v>
      </c>
      <c r="G343" s="14" t="n">
        <v>992708.8871757962</v>
      </c>
      <c r="H343" s="14" t="n">
        <v>41030.18377945844</v>
      </c>
      <c r="I343" s="14" t="n">
        <v>113481.7397790348</v>
      </c>
      <c r="J343" s="14" t="n">
        <v>6522.720950855928</v>
      </c>
      <c r="K343" s="14" t="n">
        <v>672591.7279394413</v>
      </c>
      <c r="L343" s="14" t="n">
        <v>159082.5147270053</v>
      </c>
      <c r="M343" s="14" t="n">
        <v>0</v>
      </c>
      <c r="N343" s="14" t="n">
        <v>172823.7455266016</v>
      </c>
      <c r="O343" s="14" t="n">
        <v>877271.4305421122</v>
      </c>
      <c r="P343" s="14" t="n">
        <v>140640.267075692</v>
      </c>
      <c r="Q343" s="14" t="n">
        <v>6345669.883649759</v>
      </c>
      <c r="R343" s="15">
        <f>IF(D343=1,"Section 1","Control")</f>
        <v/>
      </c>
      <c r="S343" s="16">
        <f>N343/10000</f>
        <v/>
      </c>
      <c r="T343" s="16">
        <f>P343/10000</f>
        <v/>
      </c>
      <c r="U343" s="15">
        <f>IF(N343&gt;=Summary!$D$3,1,0)</f>
        <v/>
      </c>
      <c r="V343" s="17">
        <f>IF(N343&gt;0,P343/N343,"")</f>
        <v/>
      </c>
      <c r="W343" s="17">
        <f>IF(O343&gt;0,H343/O343,"")</f>
        <v/>
      </c>
    </row>
    <row r="344">
      <c r="A344" s="13" t="inlineStr">
        <is>
          <t>T13_B1</t>
        </is>
      </c>
      <c r="B344" s="13" t="inlineStr">
        <is>
          <t>T13</t>
        </is>
      </c>
      <c r="C344" s="13" t="inlineStr">
        <is>
          <t>B1</t>
        </is>
      </c>
      <c r="D344" s="13" t="n">
        <v>1</v>
      </c>
      <c r="E344" s="13" t="inlineStr">
        <is>
          <t>S1</t>
        </is>
      </c>
      <c r="F344" s="13" t="n">
        <v>2026</v>
      </c>
      <c r="G344" s="14" t="n">
        <v>992708.8871757962</v>
      </c>
      <c r="H344" s="14" t="n">
        <v>37085.93131815592</v>
      </c>
      <c r="I344" s="14" t="n">
        <v>159703.0309262743</v>
      </c>
      <c r="J344" s="14" t="n">
        <v>6720.16810204001</v>
      </c>
      <c r="K344" s="14" t="n">
        <v>651477.9068203198</v>
      </c>
      <c r="L344" s="14" t="n">
        <v>137721.8500090057</v>
      </c>
      <c r="M344" s="14" t="n">
        <v>0</v>
      </c>
      <c r="N344" s="14" t="n">
        <v>172823.7455266016</v>
      </c>
      <c r="O344" s="14" t="n">
        <v>877271.4305421122</v>
      </c>
      <c r="P344" s="14" t="n">
        <v>144972.8291515575</v>
      </c>
      <c r="Q344" s="14" t="n">
        <v>6345669.883649759</v>
      </c>
      <c r="R344" s="15">
        <f>IF(D344=1,"Section 1","Control")</f>
        <v/>
      </c>
      <c r="S344" s="16">
        <f>N344/10000</f>
        <v/>
      </c>
      <c r="T344" s="16">
        <f>P344/10000</f>
        <v/>
      </c>
      <c r="U344" s="15">
        <f>IF(N344&gt;=Summary!$D$3,1,0)</f>
        <v/>
      </c>
      <c r="V344" s="17">
        <f>IF(N344&gt;0,P344/N344,"")</f>
        <v/>
      </c>
      <c r="W344" s="17">
        <f>IF(O344&gt;0,H344/O344,"")</f>
        <v/>
      </c>
    </row>
    <row r="345">
      <c r="A345" s="13" t="inlineStr">
        <is>
          <t>T13_B2</t>
        </is>
      </c>
      <c r="B345" s="13" t="inlineStr">
        <is>
          <t>T13</t>
        </is>
      </c>
      <c r="C345" s="13" t="inlineStr">
        <is>
          <t>B2</t>
        </is>
      </c>
      <c r="D345" s="13" t="n">
        <v>1</v>
      </c>
      <c r="E345" s="13" t="inlineStr">
        <is>
          <t>S1</t>
        </is>
      </c>
      <c r="F345" s="13" t="n">
        <v>2020</v>
      </c>
      <c r="G345" s="14" t="n">
        <v>990370.9108040604</v>
      </c>
      <c r="H345" s="14" t="n">
        <v>57464.94401897355</v>
      </c>
      <c r="I345" s="14" t="n">
        <v>29002.86843148026</v>
      </c>
      <c r="J345" s="14" t="n">
        <v>0</v>
      </c>
      <c r="K345" s="14" t="n">
        <v>392825.1070375631</v>
      </c>
      <c r="L345" s="14" t="n">
        <v>511077.9913160437</v>
      </c>
      <c r="M345" s="14" t="n">
        <v>0</v>
      </c>
      <c r="N345" s="14" t="n">
        <v>57464.94401897355</v>
      </c>
      <c r="O345" s="14" t="n">
        <v>479292.9194880169</v>
      </c>
      <c r="P345" s="14" t="n">
        <v>0</v>
      </c>
      <c r="Q345" s="14" t="n">
        <v>2748721.167249522</v>
      </c>
      <c r="R345" s="15">
        <f>IF(D345=1,"Section 1","Control")</f>
        <v/>
      </c>
      <c r="S345" s="16">
        <f>N345/10000</f>
        <v/>
      </c>
      <c r="T345" s="16">
        <f>P345/10000</f>
        <v/>
      </c>
      <c r="U345" s="15">
        <f>IF(N345&gt;=Summary!$D$3,1,0)</f>
        <v/>
      </c>
      <c r="V345" s="17">
        <f>IF(N345&gt;0,P345/N345,"")</f>
        <v/>
      </c>
      <c r="W345" s="17">
        <f>IF(O345&gt;0,H345/O345,"")</f>
        <v/>
      </c>
    </row>
    <row r="346">
      <c r="A346" s="13" t="inlineStr">
        <is>
          <t>T13_B2</t>
        </is>
      </c>
      <c r="B346" s="13" t="inlineStr">
        <is>
          <t>T13</t>
        </is>
      </c>
      <c r="C346" s="13" t="inlineStr">
        <is>
          <t>B2</t>
        </is>
      </c>
      <c r="D346" s="13" t="n">
        <v>1</v>
      </c>
      <c r="E346" s="13" t="inlineStr">
        <is>
          <t>S1</t>
        </is>
      </c>
      <c r="F346" s="13" t="n">
        <v>2021</v>
      </c>
      <c r="G346" s="14" t="n">
        <v>990370.9108040604</v>
      </c>
      <c r="H346" s="14" t="n">
        <v>19836.47667732987</v>
      </c>
      <c r="I346" s="14" t="n">
        <v>36096.85939223345</v>
      </c>
      <c r="J346" s="14" t="n">
        <v>0</v>
      </c>
      <c r="K346" s="14" t="n">
        <v>423063.4119478115</v>
      </c>
      <c r="L346" s="14" t="n">
        <v>511374.1627866857</v>
      </c>
      <c r="M346" s="14" t="n">
        <v>0</v>
      </c>
      <c r="N346" s="14" t="n">
        <v>57464.94401897355</v>
      </c>
      <c r="O346" s="14" t="n">
        <v>479292.9194880169</v>
      </c>
      <c r="P346" s="14" t="n">
        <v>40787.95069607005</v>
      </c>
      <c r="Q346" s="14" t="n">
        <v>2748721.167249522</v>
      </c>
      <c r="R346" s="15">
        <f>IF(D346=1,"Section 1","Control")</f>
        <v/>
      </c>
      <c r="S346" s="16">
        <f>N346/10000</f>
        <v/>
      </c>
      <c r="T346" s="16">
        <f>P346/10000</f>
        <v/>
      </c>
      <c r="U346" s="15">
        <f>IF(N346&gt;=Summary!$D$3,1,0)</f>
        <v/>
      </c>
      <c r="V346" s="17">
        <f>IF(N346&gt;0,P346/N346,"")</f>
        <v/>
      </c>
      <c r="W346" s="17">
        <f>IF(O346&gt;0,H346/O346,"")</f>
        <v/>
      </c>
    </row>
    <row r="347">
      <c r="A347" s="13" t="inlineStr">
        <is>
          <t>T13_B2</t>
        </is>
      </c>
      <c r="B347" s="13" t="inlineStr">
        <is>
          <t>T13</t>
        </is>
      </c>
      <c r="C347" s="13" t="inlineStr">
        <is>
          <t>B2</t>
        </is>
      </c>
      <c r="D347" s="13" t="n">
        <v>1</v>
      </c>
      <c r="E347" s="13" t="inlineStr">
        <is>
          <t>S1</t>
        </is>
      </c>
      <c r="F347" s="13" t="n">
        <v>2022</v>
      </c>
      <c r="G347" s="14" t="n">
        <v>990370.9108040604</v>
      </c>
      <c r="H347" s="14" t="n">
        <v>8665.048593349082</v>
      </c>
      <c r="I347" s="14" t="n">
        <v>23129.08401570039</v>
      </c>
      <c r="J347" s="14" t="n">
        <v>0</v>
      </c>
      <c r="K347" s="14" t="n">
        <v>447597.5107482912</v>
      </c>
      <c r="L347" s="14" t="n">
        <v>510979.2674467199</v>
      </c>
      <c r="M347" s="14" t="n">
        <v>0</v>
      </c>
      <c r="N347" s="14" t="n">
        <v>57464.94401897355</v>
      </c>
      <c r="O347" s="14" t="n">
        <v>479292.9194880169</v>
      </c>
      <c r="P347" s="14" t="n">
        <v>49570.69944966634</v>
      </c>
      <c r="Q347" s="14" t="n">
        <v>2748721.167249522</v>
      </c>
      <c r="R347" s="15">
        <f>IF(D347=1,"Section 1","Control")</f>
        <v/>
      </c>
      <c r="S347" s="16">
        <f>N347/10000</f>
        <v/>
      </c>
      <c r="T347" s="16">
        <f>P347/10000</f>
        <v/>
      </c>
      <c r="U347" s="15">
        <f>IF(N347&gt;=Summary!$D$3,1,0)</f>
        <v/>
      </c>
      <c r="V347" s="17">
        <f>IF(N347&gt;0,P347/N347,"")</f>
        <v/>
      </c>
      <c r="W347" s="17">
        <f>IF(O347&gt;0,H347/O347,"")</f>
        <v/>
      </c>
    </row>
    <row r="348">
      <c r="A348" s="13" t="inlineStr">
        <is>
          <t>T13_B2</t>
        </is>
      </c>
      <c r="B348" s="13" t="inlineStr">
        <is>
          <t>T13</t>
        </is>
      </c>
      <c r="C348" s="13" t="inlineStr">
        <is>
          <t>B2</t>
        </is>
      </c>
      <c r="D348" s="13" t="n">
        <v>1</v>
      </c>
      <c r="E348" s="13" t="inlineStr">
        <is>
          <t>S1</t>
        </is>
      </c>
      <c r="F348" s="13" t="n">
        <v>2023</v>
      </c>
      <c r="G348" s="14" t="n">
        <v>990370.9108040604</v>
      </c>
      <c r="H348" s="14" t="n">
        <v>8748.673317374436</v>
      </c>
      <c r="I348" s="14" t="n">
        <v>12017.69133342668</v>
      </c>
      <c r="J348" s="14" t="n">
        <v>0</v>
      </c>
      <c r="K348" s="14" t="n">
        <v>458122.3678087123</v>
      </c>
      <c r="L348" s="14" t="n">
        <v>511482.1783445471</v>
      </c>
      <c r="M348" s="14" t="n">
        <v>0</v>
      </c>
      <c r="N348" s="14" t="n">
        <v>57464.94401897355</v>
      </c>
      <c r="O348" s="14" t="n">
        <v>479292.9194880169</v>
      </c>
      <c r="P348" s="14" t="n">
        <v>49908.67395824358</v>
      </c>
      <c r="Q348" s="14" t="n">
        <v>2748721.167249522</v>
      </c>
      <c r="R348" s="15">
        <f>IF(D348=1,"Section 1","Control")</f>
        <v/>
      </c>
      <c r="S348" s="16">
        <f>N348/10000</f>
        <v/>
      </c>
      <c r="T348" s="16">
        <f>P348/10000</f>
        <v/>
      </c>
      <c r="U348" s="15">
        <f>IF(N348&gt;=Summary!$D$3,1,0)</f>
        <v/>
      </c>
      <c r="V348" s="17">
        <f>IF(N348&gt;0,P348/N348,"")</f>
        <v/>
      </c>
      <c r="W348" s="17">
        <f>IF(O348&gt;0,H348/O348,"")</f>
        <v/>
      </c>
    </row>
    <row r="349">
      <c r="A349" s="13" t="inlineStr">
        <is>
          <t>T13_B2</t>
        </is>
      </c>
      <c r="B349" s="13" t="inlineStr">
        <is>
          <t>T13</t>
        </is>
      </c>
      <c r="C349" s="13" t="inlineStr">
        <is>
          <t>B2</t>
        </is>
      </c>
      <c r="D349" s="13" t="n">
        <v>1</v>
      </c>
      <c r="E349" s="13" t="inlineStr">
        <is>
          <t>S1</t>
        </is>
      </c>
      <c r="F349" s="13" t="n">
        <v>2024</v>
      </c>
      <c r="G349" s="14" t="n">
        <v>990370.9108040604</v>
      </c>
      <c r="H349" s="14" t="n">
        <v>10737.81364796956</v>
      </c>
      <c r="I349" s="14" t="n">
        <v>11503.18174674838</v>
      </c>
      <c r="J349" s="14" t="n">
        <v>0</v>
      </c>
      <c r="K349" s="14" t="n">
        <v>456854.476385169</v>
      </c>
      <c r="L349" s="14" t="n">
        <v>511275.4390241736</v>
      </c>
      <c r="M349" s="14" t="n">
        <v>0</v>
      </c>
      <c r="N349" s="14" t="n">
        <v>57464.94401897355</v>
      </c>
      <c r="O349" s="14" t="n">
        <v>479292.9194880169</v>
      </c>
      <c r="P349" s="14" t="n">
        <v>50007.39577526018</v>
      </c>
      <c r="Q349" s="14" t="n">
        <v>2748721.167249522</v>
      </c>
      <c r="R349" s="15">
        <f>IF(D349=1,"Section 1","Control")</f>
        <v/>
      </c>
      <c r="S349" s="16">
        <f>N349/10000</f>
        <v/>
      </c>
      <c r="T349" s="16">
        <f>P349/10000</f>
        <v/>
      </c>
      <c r="U349" s="15">
        <f>IF(N349&gt;=Summary!$D$3,1,0)</f>
        <v/>
      </c>
      <c r="V349" s="17">
        <f>IF(N349&gt;0,P349/N349,"")</f>
        <v/>
      </c>
      <c r="W349" s="17">
        <f>IF(O349&gt;0,H349/O349,"")</f>
        <v/>
      </c>
    </row>
    <row r="350">
      <c r="A350" s="13" t="inlineStr">
        <is>
          <t>T13_B2</t>
        </is>
      </c>
      <c r="B350" s="13" t="inlineStr">
        <is>
          <t>T13</t>
        </is>
      </c>
      <c r="C350" s="13" t="inlineStr">
        <is>
          <t>B2</t>
        </is>
      </c>
      <c r="D350" s="13" t="n">
        <v>1</v>
      </c>
      <c r="E350" s="13" t="inlineStr">
        <is>
          <t>S1</t>
        </is>
      </c>
      <c r="F350" s="13" t="n">
        <v>2025</v>
      </c>
      <c r="G350" s="14" t="n">
        <v>990370.9108040604</v>
      </c>
      <c r="H350" s="14" t="n">
        <v>9276.733067740646</v>
      </c>
      <c r="I350" s="14" t="n">
        <v>4965.889569091797</v>
      </c>
      <c r="J350" s="14" t="n">
        <v>0</v>
      </c>
      <c r="K350" s="14" t="n">
        <v>464852.8491430546</v>
      </c>
      <c r="L350" s="14" t="n">
        <v>511275.4390241736</v>
      </c>
      <c r="M350" s="14" t="n">
        <v>0</v>
      </c>
      <c r="N350" s="14" t="n">
        <v>57464.94401897355</v>
      </c>
      <c r="O350" s="14" t="n">
        <v>479292.9194880169</v>
      </c>
      <c r="P350" s="14" t="n">
        <v>50719.35416373458</v>
      </c>
      <c r="Q350" s="14" t="n">
        <v>2748721.167249522</v>
      </c>
      <c r="R350" s="15">
        <f>IF(D350=1,"Section 1","Control")</f>
        <v/>
      </c>
      <c r="S350" s="16">
        <f>N350/10000</f>
        <v/>
      </c>
      <c r="T350" s="16">
        <f>P350/10000</f>
        <v/>
      </c>
      <c r="U350" s="15">
        <f>IF(N350&gt;=Summary!$D$3,1,0)</f>
        <v/>
      </c>
      <c r="V350" s="17">
        <f>IF(N350&gt;0,P350/N350,"")</f>
        <v/>
      </c>
      <c r="W350" s="17">
        <f>IF(O350&gt;0,H350/O350,"")</f>
        <v/>
      </c>
    </row>
    <row r="351">
      <c r="A351" s="13" t="inlineStr">
        <is>
          <t>T13_B2</t>
        </is>
      </c>
      <c r="B351" s="13" t="inlineStr">
        <is>
          <t>T13</t>
        </is>
      </c>
      <c r="C351" s="13" t="inlineStr">
        <is>
          <t>B2</t>
        </is>
      </c>
      <c r="D351" s="13" t="n">
        <v>1</v>
      </c>
      <c r="E351" s="13" t="inlineStr">
        <is>
          <t>S1</t>
        </is>
      </c>
      <c r="F351" s="13" t="n">
        <v>2026</v>
      </c>
      <c r="G351" s="14" t="n">
        <v>990370.9108040604</v>
      </c>
      <c r="H351" s="14" t="n">
        <v>8566.709267051547</v>
      </c>
      <c r="I351" s="14" t="n">
        <v>8538.451072094487</v>
      </c>
      <c r="J351" s="14" t="n">
        <v>0</v>
      </c>
      <c r="K351" s="14" t="n">
        <v>462089.0352948059</v>
      </c>
      <c r="L351" s="14" t="n">
        <v>511176.7151701086</v>
      </c>
      <c r="M351" s="14" t="n">
        <v>0</v>
      </c>
      <c r="N351" s="14" t="n">
        <v>57464.94401897355</v>
      </c>
      <c r="O351" s="14" t="n">
        <v>479292.9194880169</v>
      </c>
      <c r="P351" s="14" t="n">
        <v>51347.68977559407</v>
      </c>
      <c r="Q351" s="14" t="n">
        <v>2748721.167249522</v>
      </c>
      <c r="R351" s="15">
        <f>IF(D351=1,"Section 1","Control")</f>
        <v/>
      </c>
      <c r="S351" s="16">
        <f>N351/10000</f>
        <v/>
      </c>
      <c r="T351" s="16">
        <f>P351/10000</f>
        <v/>
      </c>
      <c r="U351" s="15">
        <f>IF(N351&gt;=Summary!$D$3,1,0)</f>
        <v/>
      </c>
      <c r="V351" s="17">
        <f>IF(N351&gt;0,P351/N351,"")</f>
        <v/>
      </c>
      <c r="W351" s="17">
        <f>IF(O351&gt;0,H351/O351,"")</f>
        <v/>
      </c>
    </row>
    <row r="352">
      <c r="A352" s="13" t="inlineStr">
        <is>
          <t>T13_B3</t>
        </is>
      </c>
      <c r="B352" s="13" t="inlineStr">
        <is>
          <t>T13</t>
        </is>
      </c>
      <c r="C352" s="13" t="inlineStr">
        <is>
          <t>B3</t>
        </is>
      </c>
      <c r="D352" s="13" t="n">
        <v>1</v>
      </c>
      <c r="E352" s="13" t="inlineStr">
        <is>
          <t>S1</t>
        </is>
      </c>
      <c r="F352" s="13" t="n">
        <v>2020</v>
      </c>
      <c r="G352" s="14" t="n">
        <v>7995499.349785837</v>
      </c>
      <c r="H352" s="14" t="n">
        <v>281719.0123405008</v>
      </c>
      <c r="I352" s="14" t="n">
        <v>411206.9239901374</v>
      </c>
      <c r="J352" s="14" t="n">
        <v>0</v>
      </c>
      <c r="K352" s="14" t="n">
        <v>2614881.69820054</v>
      </c>
      <c r="L352" s="14" t="n">
        <v>4687691.71525466</v>
      </c>
      <c r="M352" s="14" t="n">
        <v>0</v>
      </c>
      <c r="N352" s="14" t="n">
        <v>281719.0123405008</v>
      </c>
      <c r="O352" s="14" t="n">
        <v>3307807.634531178</v>
      </c>
      <c r="P352" s="14" t="n">
        <v>0</v>
      </c>
      <c r="Q352" s="14" t="n">
        <v>11115746.82932069</v>
      </c>
      <c r="R352" s="15">
        <f>IF(D352=1,"Section 1","Control")</f>
        <v/>
      </c>
      <c r="S352" s="16">
        <f>N352/10000</f>
        <v/>
      </c>
      <c r="T352" s="16">
        <f>P352/10000</f>
        <v/>
      </c>
      <c r="U352" s="15">
        <f>IF(N352&gt;=Summary!$D$3,1,0)</f>
        <v/>
      </c>
      <c r="V352" s="17">
        <f>IF(N352&gt;0,P352/N352,"")</f>
        <v/>
      </c>
      <c r="W352" s="17">
        <f>IF(O352&gt;0,H352/O352,"")</f>
        <v/>
      </c>
    </row>
    <row r="353">
      <c r="A353" s="13" t="inlineStr">
        <is>
          <t>T13_B3</t>
        </is>
      </c>
      <c r="B353" s="13" t="inlineStr">
        <is>
          <t>T13</t>
        </is>
      </c>
      <c r="C353" s="13" t="inlineStr">
        <is>
          <t>B3</t>
        </is>
      </c>
      <c r="D353" s="13" t="n">
        <v>1</v>
      </c>
      <c r="E353" s="13" t="inlineStr">
        <is>
          <t>S1</t>
        </is>
      </c>
      <c r="F353" s="13" t="n">
        <v>2021</v>
      </c>
      <c r="G353" s="14" t="n">
        <v>7995499.349785838</v>
      </c>
      <c r="H353" s="14" t="n">
        <v>200965.5541317809</v>
      </c>
      <c r="I353" s="14" t="n">
        <v>239996.5116873349</v>
      </c>
      <c r="J353" s="14" t="n">
        <v>0</v>
      </c>
      <c r="K353" s="14" t="n">
        <v>2859660.295972787</v>
      </c>
      <c r="L353" s="14" t="n">
        <v>4694876.987993937</v>
      </c>
      <c r="M353" s="14" t="n">
        <v>0</v>
      </c>
      <c r="N353" s="14" t="n">
        <v>281719.0123405008</v>
      </c>
      <c r="O353" s="14" t="n">
        <v>3307807.634531178</v>
      </c>
      <c r="P353" s="14" t="n">
        <v>89181.89245683257</v>
      </c>
      <c r="Q353" s="14" t="n">
        <v>11115746.82932069</v>
      </c>
      <c r="R353" s="15">
        <f>IF(D353=1,"Section 1","Control")</f>
        <v/>
      </c>
      <c r="S353" s="16">
        <f>N353/10000</f>
        <v/>
      </c>
      <c r="T353" s="16">
        <f>P353/10000</f>
        <v/>
      </c>
      <c r="U353" s="15">
        <f>IF(N353&gt;=Summary!$D$3,1,0)</f>
        <v/>
      </c>
      <c r="V353" s="17">
        <f>IF(N353&gt;0,P353/N353,"")</f>
        <v/>
      </c>
      <c r="W353" s="17">
        <f>IF(O353&gt;0,H353/O353,"")</f>
        <v/>
      </c>
    </row>
    <row r="354">
      <c r="A354" s="13" t="inlineStr">
        <is>
          <t>T13_B3</t>
        </is>
      </c>
      <c r="B354" s="13" t="inlineStr">
        <is>
          <t>T13</t>
        </is>
      </c>
      <c r="C354" s="13" t="inlineStr">
        <is>
          <t>B3</t>
        </is>
      </c>
      <c r="D354" s="13" t="n">
        <v>1</v>
      </c>
      <c r="E354" s="13" t="inlineStr">
        <is>
          <t>S1</t>
        </is>
      </c>
      <c r="F354" s="13" t="n">
        <v>2022</v>
      </c>
      <c r="G354" s="14" t="n">
        <v>7995499.349785837</v>
      </c>
      <c r="H354" s="14" t="n">
        <v>100956.5923350615</v>
      </c>
      <c r="I354" s="14" t="n">
        <v>265269.4785539814</v>
      </c>
      <c r="J354" s="14" t="n">
        <v>0</v>
      </c>
      <c r="K354" s="14" t="n">
        <v>2969404.008912</v>
      </c>
      <c r="L354" s="14" t="n">
        <v>4659869.269984795</v>
      </c>
      <c r="M354" s="14" t="n">
        <v>0</v>
      </c>
      <c r="N354" s="14" t="n">
        <v>281719.0123405007</v>
      </c>
      <c r="O354" s="14" t="n">
        <v>3307807.634531178</v>
      </c>
      <c r="P354" s="14" t="n">
        <v>182736.7797771678</v>
      </c>
      <c r="Q354" s="14" t="n">
        <v>11115746.82932069</v>
      </c>
      <c r="R354" s="15">
        <f>IF(D354=1,"Section 1","Control")</f>
        <v/>
      </c>
      <c r="S354" s="16">
        <f>N354/10000</f>
        <v/>
      </c>
      <c r="T354" s="16">
        <f>P354/10000</f>
        <v/>
      </c>
      <c r="U354" s="15">
        <f>IF(N354&gt;=Summary!$D$3,1,0)</f>
        <v/>
      </c>
      <c r="V354" s="17">
        <f>IF(N354&gt;0,P354/N354,"")</f>
        <v/>
      </c>
      <c r="W354" s="17">
        <f>IF(O354&gt;0,H354/O354,"")</f>
        <v/>
      </c>
    </row>
    <row r="355">
      <c r="A355" s="13" t="inlineStr">
        <is>
          <t>T13_B3</t>
        </is>
      </c>
      <c r="B355" s="13" t="inlineStr">
        <is>
          <t>T13</t>
        </is>
      </c>
      <c r="C355" s="13" t="inlineStr">
        <is>
          <t>B3</t>
        </is>
      </c>
      <c r="D355" s="13" t="n">
        <v>1</v>
      </c>
      <c r="E355" s="13" t="inlineStr">
        <is>
          <t>S1</t>
        </is>
      </c>
      <c r="F355" s="13" t="n">
        <v>2023</v>
      </c>
      <c r="G355" s="14" t="n">
        <v>7995499.349785837</v>
      </c>
      <c r="H355" s="14" t="n">
        <v>95030.3744798548</v>
      </c>
      <c r="I355" s="14" t="n">
        <v>271090.6582142849</v>
      </c>
      <c r="J355" s="14" t="n">
        <v>0</v>
      </c>
      <c r="K355" s="14" t="n">
        <v>2933295.847923159</v>
      </c>
      <c r="L355" s="14" t="n">
        <v>4696082.469168539</v>
      </c>
      <c r="M355" s="14" t="n">
        <v>0</v>
      </c>
      <c r="N355" s="14" t="n">
        <v>281719.0123405007</v>
      </c>
      <c r="O355" s="14" t="n">
        <v>3307807.634531178</v>
      </c>
      <c r="P355" s="14" t="n">
        <v>192225.7505427641</v>
      </c>
      <c r="Q355" s="14" t="n">
        <v>11115746.82932069</v>
      </c>
      <c r="R355" s="15">
        <f>IF(D355=1,"Section 1","Control")</f>
        <v/>
      </c>
      <c r="S355" s="16">
        <f>N355/10000</f>
        <v/>
      </c>
      <c r="T355" s="16">
        <f>P355/10000</f>
        <v/>
      </c>
      <c r="U355" s="15">
        <f>IF(N355&gt;=Summary!$D$3,1,0)</f>
        <v/>
      </c>
      <c r="V355" s="17">
        <f>IF(N355&gt;0,P355/N355,"")</f>
        <v/>
      </c>
      <c r="W355" s="17">
        <f>IF(O355&gt;0,H355/O355,"")</f>
        <v/>
      </c>
    </row>
    <row r="356">
      <c r="A356" s="13" t="inlineStr">
        <is>
          <t>T13_B3</t>
        </is>
      </c>
      <c r="B356" s="13" t="inlineStr">
        <is>
          <t>T13</t>
        </is>
      </c>
      <c r="C356" s="13" t="inlineStr">
        <is>
          <t>B3</t>
        </is>
      </c>
      <c r="D356" s="13" t="n">
        <v>1</v>
      </c>
      <c r="E356" s="13" t="inlineStr">
        <is>
          <t>S1</t>
        </is>
      </c>
      <c r="F356" s="13" t="n">
        <v>2024</v>
      </c>
      <c r="G356" s="14" t="n">
        <v>7995499.349785837</v>
      </c>
      <c r="H356" s="14" t="n">
        <v>121167.6708243576</v>
      </c>
      <c r="I356" s="14" t="n">
        <v>374162.9686273912</v>
      </c>
      <c r="J356" s="14" t="n">
        <v>0</v>
      </c>
      <c r="K356" s="14" t="n">
        <v>2809416.837784202</v>
      </c>
      <c r="L356" s="14" t="n">
        <v>4690751.872549888</v>
      </c>
      <c r="M356" s="14" t="n">
        <v>0</v>
      </c>
      <c r="N356" s="14" t="n">
        <v>281719.0123405008</v>
      </c>
      <c r="O356" s="14" t="n">
        <v>3307807.634531178</v>
      </c>
      <c r="P356" s="14" t="n">
        <v>199111.8059570313</v>
      </c>
      <c r="Q356" s="14" t="n">
        <v>11115746.82932069</v>
      </c>
      <c r="R356" s="15">
        <f>IF(D356=1,"Section 1","Control")</f>
        <v/>
      </c>
      <c r="S356" s="16">
        <f>N356/10000</f>
        <v/>
      </c>
      <c r="T356" s="16">
        <f>P356/10000</f>
        <v/>
      </c>
      <c r="U356" s="15">
        <f>IF(N356&gt;=Summary!$D$3,1,0)</f>
        <v/>
      </c>
      <c r="V356" s="17">
        <f>IF(N356&gt;0,P356/N356,"")</f>
        <v/>
      </c>
      <c r="W356" s="17">
        <f>IF(O356&gt;0,H356/O356,"")</f>
        <v/>
      </c>
    </row>
    <row r="357">
      <c r="A357" s="13" t="inlineStr">
        <is>
          <t>T13_B3</t>
        </is>
      </c>
      <c r="B357" s="13" t="inlineStr">
        <is>
          <t>T13</t>
        </is>
      </c>
      <c r="C357" s="13" t="inlineStr">
        <is>
          <t>B3</t>
        </is>
      </c>
      <c r="D357" s="13" t="n">
        <v>1</v>
      </c>
      <c r="E357" s="13" t="inlineStr">
        <is>
          <t>S1</t>
        </is>
      </c>
      <c r="F357" s="13" t="n">
        <v>2025</v>
      </c>
      <c r="G357" s="14" t="n">
        <v>7995499.349785837</v>
      </c>
      <c r="H357" s="14" t="n">
        <v>161487.8642314836</v>
      </c>
      <c r="I357" s="14" t="n">
        <v>303783.2081399057</v>
      </c>
      <c r="J357" s="14" t="n">
        <v>0</v>
      </c>
      <c r="K357" s="14" t="n">
        <v>2838587.97204138</v>
      </c>
      <c r="L357" s="14" t="n">
        <v>4691640.305373068</v>
      </c>
      <c r="M357" s="14" t="n">
        <v>0</v>
      </c>
      <c r="N357" s="14" t="n">
        <v>281719.0123405007</v>
      </c>
      <c r="O357" s="14" t="n">
        <v>3307807.634531178</v>
      </c>
      <c r="P357" s="14" t="n">
        <v>197428.7826259538</v>
      </c>
      <c r="Q357" s="14" t="n">
        <v>11115746.82932069</v>
      </c>
      <c r="R357" s="15">
        <f>IF(D357=1,"Section 1","Control")</f>
        <v/>
      </c>
      <c r="S357" s="16">
        <f>N357/10000</f>
        <v/>
      </c>
      <c r="T357" s="16">
        <f>P357/10000</f>
        <v/>
      </c>
      <c r="U357" s="15">
        <f>IF(N357&gt;=Summary!$D$3,1,0)</f>
        <v/>
      </c>
      <c r="V357" s="17">
        <f>IF(N357&gt;0,P357/N357,"")</f>
        <v/>
      </c>
      <c r="W357" s="17">
        <f>IF(O357&gt;0,H357/O357,"")</f>
        <v/>
      </c>
    </row>
    <row r="358">
      <c r="A358" s="13" t="inlineStr">
        <is>
          <t>T13_B3</t>
        </is>
      </c>
      <c r="B358" s="13" t="inlineStr">
        <is>
          <t>T13</t>
        </is>
      </c>
      <c r="C358" s="13" t="inlineStr">
        <is>
          <t>B3</t>
        </is>
      </c>
      <c r="D358" s="13" t="n">
        <v>1</v>
      </c>
      <c r="E358" s="13" t="inlineStr">
        <is>
          <t>S1</t>
        </is>
      </c>
      <c r="F358" s="13" t="n">
        <v>2026</v>
      </c>
      <c r="G358" s="14" t="n">
        <v>7995499.349785837</v>
      </c>
      <c r="H358" s="14" t="n">
        <v>214663.3867512124</v>
      </c>
      <c r="I358" s="14" t="n">
        <v>212765.220109199</v>
      </c>
      <c r="J358" s="14" t="n">
        <v>0</v>
      </c>
      <c r="K358" s="14" t="n">
        <v>2870713.111328693</v>
      </c>
      <c r="L358" s="14" t="n">
        <v>4697357.631596734</v>
      </c>
      <c r="M358" s="14" t="n">
        <v>0</v>
      </c>
      <c r="N358" s="14" t="n">
        <v>281719.0123405007</v>
      </c>
      <c r="O358" s="14" t="n">
        <v>3307807.634531178</v>
      </c>
      <c r="P358" s="14" t="n">
        <v>202839.8031020221</v>
      </c>
      <c r="Q358" s="14" t="n">
        <v>11115746.82932069</v>
      </c>
      <c r="R358" s="15">
        <f>IF(D358=1,"Section 1","Control")</f>
        <v/>
      </c>
      <c r="S358" s="16">
        <f>N358/10000</f>
        <v/>
      </c>
      <c r="T358" s="16">
        <f>P358/10000</f>
        <v/>
      </c>
      <c r="U358" s="15">
        <f>IF(N358&gt;=Summary!$D$3,1,0)</f>
        <v/>
      </c>
      <c r="V358" s="17">
        <f>IF(N358&gt;0,P358/N358,"")</f>
        <v/>
      </c>
      <c r="W358" s="17">
        <f>IF(O358&gt;0,H358/O358,"")</f>
        <v/>
      </c>
    </row>
    <row r="359">
      <c r="A359" s="13" t="inlineStr">
        <is>
          <t>T13_F</t>
        </is>
      </c>
      <c r="B359" s="13" t="inlineStr">
        <is>
          <t>T13</t>
        </is>
      </c>
      <c r="C359" s="13" t="inlineStr">
        <is>
          <t>F</t>
        </is>
      </c>
      <c r="D359" s="13" t="n">
        <v>1</v>
      </c>
      <c r="E359" s="13" t="inlineStr">
        <is>
          <t>S1</t>
        </is>
      </c>
      <c r="F359" s="13" t="n">
        <v>2020</v>
      </c>
      <c r="G359" s="14" t="n">
        <v>73576.05362680474</v>
      </c>
      <c r="H359" s="14" t="n">
        <v>173.8297210094976</v>
      </c>
      <c r="I359" s="14" t="n">
        <v>66309.26961813537</v>
      </c>
      <c r="J359" s="14" t="n">
        <v>0</v>
      </c>
      <c r="K359" s="14" t="n">
        <v>7092.95428765989</v>
      </c>
      <c r="L359" s="14" t="n">
        <v>0</v>
      </c>
      <c r="M359" s="14" t="n">
        <v>0</v>
      </c>
      <c r="N359" s="14" t="n">
        <v>173.8297210094976</v>
      </c>
      <c r="O359" s="14" t="n">
        <v>73576.05362680474</v>
      </c>
      <c r="P359" s="14" t="n">
        <v>0</v>
      </c>
      <c r="Q359" s="14" t="n">
        <v>408731.4139520981</v>
      </c>
      <c r="R359" s="15">
        <f>IF(D359=1,"Section 1","Control")</f>
        <v/>
      </c>
      <c r="S359" s="16">
        <f>N359/10000</f>
        <v/>
      </c>
      <c r="T359" s="16">
        <f>P359/10000</f>
        <v/>
      </c>
      <c r="U359" s="15">
        <f>IF(N359&gt;=Summary!$D$3,1,0)</f>
        <v/>
      </c>
      <c r="V359" s="17">
        <f>IF(N359&gt;0,P359/N359,"")</f>
        <v/>
      </c>
      <c r="W359" s="17">
        <f>IF(O359&gt;0,H359/O359,"")</f>
        <v/>
      </c>
    </row>
    <row r="360">
      <c r="A360" s="13" t="inlineStr">
        <is>
          <t>T13_F</t>
        </is>
      </c>
      <c r="B360" s="13" t="inlineStr">
        <is>
          <t>T13</t>
        </is>
      </c>
      <c r="C360" s="13" t="inlineStr">
        <is>
          <t>F</t>
        </is>
      </c>
      <c r="D360" s="13" t="n">
        <v>1</v>
      </c>
      <c r="E360" s="13" t="inlineStr">
        <is>
          <t>S1</t>
        </is>
      </c>
      <c r="F360" s="13" t="n">
        <v>2021</v>
      </c>
      <c r="G360" s="14" t="n">
        <v>73576.05362680474</v>
      </c>
      <c r="H360" s="14" t="n">
        <v>173.8297210094976</v>
      </c>
      <c r="I360" s="14" t="n">
        <v>59123.79801967848</v>
      </c>
      <c r="J360" s="14" t="n">
        <v>0</v>
      </c>
      <c r="K360" s="14" t="n">
        <v>14278.42588611678</v>
      </c>
      <c r="L360" s="14" t="n">
        <v>0</v>
      </c>
      <c r="M360" s="14" t="n">
        <v>0</v>
      </c>
      <c r="N360" s="14" t="n">
        <v>173.8297210094976</v>
      </c>
      <c r="O360" s="14" t="n">
        <v>73576.05362680474</v>
      </c>
      <c r="P360" s="14" t="n">
        <v>0</v>
      </c>
      <c r="Q360" s="14" t="n">
        <v>408731.4139520981</v>
      </c>
      <c r="R360" s="15">
        <f>IF(D360=1,"Section 1","Control")</f>
        <v/>
      </c>
      <c r="S360" s="16">
        <f>N360/10000</f>
        <v/>
      </c>
      <c r="T360" s="16">
        <f>P360/10000</f>
        <v/>
      </c>
      <c r="U360" s="15">
        <f>IF(N360&gt;=Summary!$D$3,1,0)</f>
        <v/>
      </c>
      <c r="V360" s="17">
        <f>IF(N360&gt;0,P360/N360,"")</f>
        <v/>
      </c>
      <c r="W360" s="17">
        <f>IF(O360&gt;0,H360/O360,"")</f>
        <v/>
      </c>
    </row>
    <row r="361">
      <c r="A361" s="13" t="inlineStr">
        <is>
          <t>T13_F</t>
        </is>
      </c>
      <c r="B361" s="13" t="inlineStr">
        <is>
          <t>T13</t>
        </is>
      </c>
      <c r="C361" s="13" t="inlineStr">
        <is>
          <t>F</t>
        </is>
      </c>
      <c r="D361" s="13" t="n">
        <v>1</v>
      </c>
      <c r="E361" s="13" t="inlineStr">
        <is>
          <t>S1</t>
        </is>
      </c>
      <c r="F361" s="13" t="n">
        <v>2022</v>
      </c>
      <c r="G361" s="14" t="n">
        <v>73576.05362680474</v>
      </c>
      <c r="H361" s="14" t="n">
        <v>0</v>
      </c>
      <c r="I361" s="14" t="n">
        <v>39239.45349231795</v>
      </c>
      <c r="J361" s="14" t="n">
        <v>0</v>
      </c>
      <c r="K361" s="14" t="n">
        <v>34336.60013448679</v>
      </c>
      <c r="L361" s="14" t="n">
        <v>0</v>
      </c>
      <c r="M361" s="14" t="n">
        <v>0</v>
      </c>
      <c r="N361" s="14" t="n">
        <v>173.8297210094976</v>
      </c>
      <c r="O361" s="14" t="n">
        <v>73576.05362680474</v>
      </c>
      <c r="P361" s="14" t="n">
        <v>173.8297210094976</v>
      </c>
      <c r="Q361" s="14" t="n">
        <v>408731.4139520981</v>
      </c>
      <c r="R361" s="15">
        <f>IF(D361=1,"Section 1","Control")</f>
        <v/>
      </c>
      <c r="S361" s="16">
        <f>N361/10000</f>
        <v/>
      </c>
      <c r="T361" s="16">
        <f>P361/10000</f>
        <v/>
      </c>
      <c r="U361" s="15">
        <f>IF(N361&gt;=Summary!$D$3,1,0)</f>
        <v/>
      </c>
      <c r="V361" s="17">
        <f>IF(N361&gt;0,P361/N361,"")</f>
        <v/>
      </c>
      <c r="W361" s="17">
        <f>IF(O361&gt;0,H361/O361,"")</f>
        <v/>
      </c>
    </row>
    <row r="362">
      <c r="A362" s="13" t="inlineStr">
        <is>
          <t>T13_F</t>
        </is>
      </c>
      <c r="B362" s="13" t="inlineStr">
        <is>
          <t>T13</t>
        </is>
      </c>
      <c r="C362" s="13" t="inlineStr">
        <is>
          <t>F</t>
        </is>
      </c>
      <c r="D362" s="13" t="n">
        <v>1</v>
      </c>
      <c r="E362" s="13" t="inlineStr">
        <is>
          <t>S1</t>
        </is>
      </c>
      <c r="F362" s="13" t="n">
        <v>2023</v>
      </c>
      <c r="G362" s="14" t="n">
        <v>73576.05362680474</v>
      </c>
      <c r="H362" s="14" t="n">
        <v>0</v>
      </c>
      <c r="I362" s="14" t="n">
        <v>20477.06678490733</v>
      </c>
      <c r="J362" s="14" t="n">
        <v>0</v>
      </c>
      <c r="K362" s="14" t="n">
        <v>53098.98684189741</v>
      </c>
      <c r="L362" s="14" t="n">
        <v>0</v>
      </c>
      <c r="M362" s="14" t="n">
        <v>0</v>
      </c>
      <c r="N362" s="14" t="n">
        <v>173.8297210094976</v>
      </c>
      <c r="O362" s="14" t="n">
        <v>73576.05362680474</v>
      </c>
      <c r="P362" s="14" t="n">
        <v>173.8297210094976</v>
      </c>
      <c r="Q362" s="14" t="n">
        <v>408731.4139520981</v>
      </c>
      <c r="R362" s="15">
        <f>IF(D362=1,"Section 1","Control")</f>
        <v/>
      </c>
      <c r="S362" s="16">
        <f>N362/10000</f>
        <v/>
      </c>
      <c r="T362" s="16">
        <f>P362/10000</f>
        <v/>
      </c>
      <c r="U362" s="15">
        <f>IF(N362&gt;=Summary!$D$3,1,0)</f>
        <v/>
      </c>
      <c r="V362" s="17">
        <f>IF(N362&gt;0,P362/N362,"")</f>
        <v/>
      </c>
      <c r="W362" s="17">
        <f>IF(O362&gt;0,H362/O362,"")</f>
        <v/>
      </c>
    </row>
    <row r="363">
      <c r="A363" s="13" t="inlineStr">
        <is>
          <t>T13_F</t>
        </is>
      </c>
      <c r="B363" s="13" t="inlineStr">
        <is>
          <t>T13</t>
        </is>
      </c>
      <c r="C363" s="13" t="inlineStr">
        <is>
          <t>F</t>
        </is>
      </c>
      <c r="D363" s="13" t="n">
        <v>1</v>
      </c>
      <c r="E363" s="13" t="inlineStr">
        <is>
          <t>S1</t>
        </is>
      </c>
      <c r="F363" s="13" t="n">
        <v>2024</v>
      </c>
      <c r="G363" s="14" t="n">
        <v>73576.05362680474</v>
      </c>
      <c r="H363" s="14" t="n">
        <v>0</v>
      </c>
      <c r="I363" s="14" t="n">
        <v>14682.61247741101</v>
      </c>
      <c r="J363" s="14" t="n">
        <v>0</v>
      </c>
      <c r="K363" s="14" t="n">
        <v>58893.44114939373</v>
      </c>
      <c r="L363" s="14" t="n">
        <v>0</v>
      </c>
      <c r="M363" s="14" t="n">
        <v>0</v>
      </c>
      <c r="N363" s="14" t="n">
        <v>173.8297210094976</v>
      </c>
      <c r="O363" s="14" t="n">
        <v>73576.05362680474</v>
      </c>
      <c r="P363" s="14" t="n">
        <v>173.8297210094976</v>
      </c>
      <c r="Q363" s="14" t="n">
        <v>408731.4139520981</v>
      </c>
      <c r="R363" s="15">
        <f>IF(D363=1,"Section 1","Control")</f>
        <v/>
      </c>
      <c r="S363" s="16">
        <f>N363/10000</f>
        <v/>
      </c>
      <c r="T363" s="16">
        <f>P363/10000</f>
        <v/>
      </c>
      <c r="U363" s="15">
        <f>IF(N363&gt;=Summary!$D$3,1,0)</f>
        <v/>
      </c>
      <c r="V363" s="17">
        <f>IF(N363&gt;0,P363/N363,"")</f>
        <v/>
      </c>
      <c r="W363" s="17">
        <f>IF(O363&gt;0,H363/O363,"")</f>
        <v/>
      </c>
    </row>
    <row r="364">
      <c r="A364" s="13" t="inlineStr">
        <is>
          <t>T13_F</t>
        </is>
      </c>
      <c r="B364" s="13" t="inlineStr">
        <is>
          <t>T13</t>
        </is>
      </c>
      <c r="C364" s="13" t="inlineStr">
        <is>
          <t>F</t>
        </is>
      </c>
      <c r="D364" s="13" t="n">
        <v>1</v>
      </c>
      <c r="E364" s="13" t="inlineStr">
        <is>
          <t>S1</t>
        </is>
      </c>
      <c r="F364" s="13" t="n">
        <v>2025</v>
      </c>
      <c r="G364" s="14" t="n">
        <v>73576.05362680474</v>
      </c>
      <c r="H364" s="14" t="n">
        <v>0</v>
      </c>
      <c r="I364" s="14" t="n">
        <v>55043.6367715873</v>
      </c>
      <c r="J364" s="14" t="n">
        <v>0</v>
      </c>
      <c r="K364" s="14" t="n">
        <v>18532.41685521743</v>
      </c>
      <c r="L364" s="14" t="n">
        <v>0</v>
      </c>
      <c r="M364" s="14" t="n">
        <v>0</v>
      </c>
      <c r="N364" s="14" t="n">
        <v>173.8297210094976</v>
      </c>
      <c r="O364" s="14" t="n">
        <v>73576.05362680474</v>
      </c>
      <c r="P364" s="14" t="n">
        <v>173.8297210094976</v>
      </c>
      <c r="Q364" s="14" t="n">
        <v>408731.4139520981</v>
      </c>
      <c r="R364" s="15">
        <f>IF(D364=1,"Section 1","Control")</f>
        <v/>
      </c>
      <c r="S364" s="16">
        <f>N364/10000</f>
        <v/>
      </c>
      <c r="T364" s="16">
        <f>P364/10000</f>
        <v/>
      </c>
      <c r="U364" s="15">
        <f>IF(N364&gt;=Summary!$D$3,1,0)</f>
        <v/>
      </c>
      <c r="V364" s="17">
        <f>IF(N364&gt;0,P364/N364,"")</f>
        <v/>
      </c>
      <c r="W364" s="17">
        <f>IF(O364&gt;0,H364/O364,"")</f>
        <v/>
      </c>
    </row>
    <row r="365">
      <c r="A365" s="13" t="inlineStr">
        <is>
          <t>T13_F</t>
        </is>
      </c>
      <c r="B365" s="13" t="inlineStr">
        <is>
          <t>T13</t>
        </is>
      </c>
      <c r="C365" s="13" t="inlineStr">
        <is>
          <t>F</t>
        </is>
      </c>
      <c r="D365" s="13" t="n">
        <v>1</v>
      </c>
      <c r="E365" s="13" t="inlineStr">
        <is>
          <t>S1</t>
        </is>
      </c>
      <c r="F365" s="13" t="n">
        <v>2026</v>
      </c>
      <c r="G365" s="14" t="n">
        <v>73576.05362680474</v>
      </c>
      <c r="H365" s="14" t="n">
        <v>0</v>
      </c>
      <c r="I365" s="14" t="n">
        <v>5904.790613720464</v>
      </c>
      <c r="J365" s="14" t="n">
        <v>0</v>
      </c>
      <c r="K365" s="14" t="n">
        <v>67671.26301308429</v>
      </c>
      <c r="L365" s="14" t="n">
        <v>0</v>
      </c>
      <c r="M365" s="14" t="n">
        <v>0</v>
      </c>
      <c r="N365" s="14" t="n">
        <v>173.8297210094976</v>
      </c>
      <c r="O365" s="14" t="n">
        <v>73576.05362680474</v>
      </c>
      <c r="P365" s="14" t="n">
        <v>173.8297210094976</v>
      </c>
      <c r="Q365" s="14" t="n">
        <v>408731.4139520981</v>
      </c>
      <c r="R365" s="15">
        <f>IF(D365=1,"Section 1","Control")</f>
        <v/>
      </c>
      <c r="S365" s="16">
        <f>N365/10000</f>
        <v/>
      </c>
      <c r="T365" s="16">
        <f>P365/10000</f>
        <v/>
      </c>
      <c r="U365" s="15">
        <f>IF(N365&gt;=Summary!$D$3,1,0)</f>
        <v/>
      </c>
      <c r="V365" s="17">
        <f>IF(N365&gt;0,P365/N365,"")</f>
        <v/>
      </c>
      <c r="W365" s="17">
        <f>IF(O365&gt;0,H365/O365,"")</f>
        <v/>
      </c>
    </row>
    <row r="366">
      <c r="A366" s="13" t="inlineStr">
        <is>
          <t>T14_B1</t>
        </is>
      </c>
      <c r="B366" s="13" t="inlineStr">
        <is>
          <t>T14</t>
        </is>
      </c>
      <c r="C366" s="13" t="inlineStr">
        <is>
          <t>B1</t>
        </is>
      </c>
      <c r="D366" s="13" t="n">
        <v>1</v>
      </c>
      <c r="E366" s="13" t="inlineStr">
        <is>
          <t>S1</t>
        </is>
      </c>
      <c r="F366" s="13" t="n">
        <v>2020</v>
      </c>
      <c r="G366" s="14" t="n">
        <v>1014576.538650991</v>
      </c>
      <c r="H366" s="14" t="n">
        <v>126601.7970914354</v>
      </c>
      <c r="I366" s="14" t="n">
        <v>99901.83792015525</v>
      </c>
      <c r="J366" s="14" t="n">
        <v>8980.347499114392</v>
      </c>
      <c r="K366" s="14" t="n">
        <v>477356.9183752321</v>
      </c>
      <c r="L366" s="14" t="n">
        <v>301735.6377650541</v>
      </c>
      <c r="M366" s="14" t="n">
        <v>0</v>
      </c>
      <c r="N366" s="14" t="n">
        <v>126601.7970914354</v>
      </c>
      <c r="O366" s="14" t="n">
        <v>712840.9008859373</v>
      </c>
      <c r="P366" s="14" t="n">
        <v>0</v>
      </c>
      <c r="Q366" s="14" t="n">
        <v>4938455.900188101</v>
      </c>
      <c r="R366" s="15">
        <f>IF(D366=1,"Section 1","Control")</f>
        <v/>
      </c>
      <c r="S366" s="16">
        <f>N366/10000</f>
        <v/>
      </c>
      <c r="T366" s="16">
        <f>P366/10000</f>
        <v/>
      </c>
      <c r="U366" s="15">
        <f>IF(N366&gt;=Summary!$D$3,1,0)</f>
        <v/>
      </c>
      <c r="V366" s="17">
        <f>IF(N366&gt;0,P366/N366,"")</f>
        <v/>
      </c>
      <c r="W366" s="17">
        <f>IF(O366&gt;0,H366/O366,"")</f>
        <v/>
      </c>
    </row>
    <row r="367">
      <c r="A367" s="13" t="inlineStr">
        <is>
          <t>T14_B1</t>
        </is>
      </c>
      <c r="B367" s="13" t="inlineStr">
        <is>
          <t>T14</t>
        </is>
      </c>
      <c r="C367" s="13" t="inlineStr">
        <is>
          <t>B1</t>
        </is>
      </c>
      <c r="D367" s="13" t="n">
        <v>1</v>
      </c>
      <c r="E367" s="13" t="inlineStr">
        <is>
          <t>S1</t>
        </is>
      </c>
      <c r="F367" s="13" t="n">
        <v>2021</v>
      </c>
      <c r="G367" s="14" t="n">
        <v>1014576.538650991</v>
      </c>
      <c r="H367" s="14" t="n">
        <v>92731.35932210289</v>
      </c>
      <c r="I367" s="14" t="n">
        <v>132124.6576816035</v>
      </c>
      <c r="J367" s="14" t="n">
        <v>9276.517749053355</v>
      </c>
      <c r="K367" s="14" t="n">
        <v>478313.4721817615</v>
      </c>
      <c r="L367" s="14" t="n">
        <v>302130.5317164701</v>
      </c>
      <c r="M367" s="14" t="n">
        <v>0</v>
      </c>
      <c r="N367" s="14" t="n">
        <v>126601.7970914354</v>
      </c>
      <c r="O367" s="14" t="n">
        <v>712840.9008859373</v>
      </c>
      <c r="P367" s="14" t="n">
        <v>34166.60664598053</v>
      </c>
      <c r="Q367" s="14" t="n">
        <v>4938455.900188101</v>
      </c>
      <c r="R367" s="15">
        <f>IF(D367=1,"Section 1","Control")</f>
        <v/>
      </c>
      <c r="S367" s="16">
        <f>N367/10000</f>
        <v/>
      </c>
      <c r="T367" s="16">
        <f>P367/10000</f>
        <v/>
      </c>
      <c r="U367" s="15">
        <f>IF(N367&gt;=Summary!$D$3,1,0)</f>
        <v/>
      </c>
      <c r="V367" s="17">
        <f>IF(N367&gt;0,P367/N367,"")</f>
        <v/>
      </c>
      <c r="W367" s="17">
        <f>IF(O367&gt;0,H367/O367,"")</f>
        <v/>
      </c>
    </row>
    <row r="368">
      <c r="A368" s="13" t="inlineStr">
        <is>
          <t>T14_B1</t>
        </is>
      </c>
      <c r="B368" s="13" t="inlineStr">
        <is>
          <t>T14</t>
        </is>
      </c>
      <c r="C368" s="13" t="inlineStr">
        <is>
          <t>B1</t>
        </is>
      </c>
      <c r="D368" s="13" t="n">
        <v>1</v>
      </c>
      <c r="E368" s="13" t="inlineStr">
        <is>
          <t>S1</t>
        </is>
      </c>
      <c r="F368" s="13" t="n">
        <v>2022</v>
      </c>
      <c r="G368" s="14" t="n">
        <v>1014576.538650991</v>
      </c>
      <c r="H368" s="14" t="n">
        <v>41020.71723210951</v>
      </c>
      <c r="I368" s="14" t="n">
        <v>120607.6542654</v>
      </c>
      <c r="J368" s="14" t="n">
        <v>9276.517749053355</v>
      </c>
      <c r="K368" s="14" t="n">
        <v>541256.1743827969</v>
      </c>
      <c r="L368" s="14" t="n">
        <v>302415.4750216316</v>
      </c>
      <c r="M368" s="14" t="n">
        <v>0</v>
      </c>
      <c r="N368" s="14" t="n">
        <v>126601.7970914354</v>
      </c>
      <c r="O368" s="14" t="n">
        <v>712840.9008859372</v>
      </c>
      <c r="P368" s="14" t="n">
        <v>85679.80266053443</v>
      </c>
      <c r="Q368" s="14" t="n">
        <v>4938455.900188101</v>
      </c>
      <c r="R368" s="15">
        <f>IF(D368=1,"Section 1","Control")</f>
        <v/>
      </c>
      <c r="S368" s="16">
        <f>N368/10000</f>
        <v/>
      </c>
      <c r="T368" s="16">
        <f>P368/10000</f>
        <v/>
      </c>
      <c r="U368" s="15">
        <f>IF(N368&gt;=Summary!$D$3,1,0)</f>
        <v/>
      </c>
      <c r="V368" s="17">
        <f>IF(N368&gt;0,P368/N368,"")</f>
        <v/>
      </c>
      <c r="W368" s="17">
        <f>IF(O368&gt;0,H368/O368,"")</f>
        <v/>
      </c>
    </row>
    <row r="369">
      <c r="A369" s="13" t="inlineStr">
        <is>
          <t>T14_B1</t>
        </is>
      </c>
      <c r="B369" s="13" t="inlineStr">
        <is>
          <t>T14</t>
        </is>
      </c>
      <c r="C369" s="13" t="inlineStr">
        <is>
          <t>B1</t>
        </is>
      </c>
      <c r="D369" s="13" t="n">
        <v>1</v>
      </c>
      <c r="E369" s="13" t="inlineStr">
        <is>
          <t>S1</t>
        </is>
      </c>
      <c r="F369" s="13" t="n">
        <v>2023</v>
      </c>
      <c r="G369" s="14" t="n">
        <v>1014576.538650991</v>
      </c>
      <c r="H369" s="14" t="n">
        <v>26815.45648863549</v>
      </c>
      <c r="I369" s="14" t="n">
        <v>88497.8624424654</v>
      </c>
      <c r="J369" s="14" t="n">
        <v>6709.70828555238</v>
      </c>
      <c r="K369" s="14" t="n">
        <v>583046.206114855</v>
      </c>
      <c r="L369" s="14" t="n">
        <v>309507.3053194832</v>
      </c>
      <c r="M369" s="14" t="n">
        <v>0</v>
      </c>
      <c r="N369" s="14" t="n">
        <v>126601.7970914354</v>
      </c>
      <c r="O369" s="14" t="n">
        <v>712840.9008859372</v>
      </c>
      <c r="P369" s="14" t="n">
        <v>100378.6778220382</v>
      </c>
      <c r="Q369" s="14" t="n">
        <v>4938455.900188101</v>
      </c>
      <c r="R369" s="15">
        <f>IF(D369=1,"Section 1","Control")</f>
        <v/>
      </c>
      <c r="S369" s="16">
        <f>N369/10000</f>
        <v/>
      </c>
      <c r="T369" s="16">
        <f>P369/10000</f>
        <v/>
      </c>
      <c r="U369" s="15">
        <f>IF(N369&gt;=Summary!$D$3,1,0)</f>
        <v/>
      </c>
      <c r="V369" s="17">
        <f>IF(N369&gt;0,P369/N369,"")</f>
        <v/>
      </c>
      <c r="W369" s="17">
        <f>IF(O369&gt;0,H369/O369,"")</f>
        <v/>
      </c>
    </row>
    <row r="370">
      <c r="A370" s="13" t="inlineStr">
        <is>
          <t>T14_B1</t>
        </is>
      </c>
      <c r="B370" s="13" t="inlineStr">
        <is>
          <t>T14</t>
        </is>
      </c>
      <c r="C370" s="13" t="inlineStr">
        <is>
          <t>B1</t>
        </is>
      </c>
      <c r="D370" s="13" t="n">
        <v>1</v>
      </c>
      <c r="E370" s="13" t="inlineStr">
        <is>
          <t>S1</t>
        </is>
      </c>
      <c r="F370" s="13" t="n">
        <v>2024</v>
      </c>
      <c r="G370" s="14" t="n">
        <v>1014576.538650991</v>
      </c>
      <c r="H370" s="14" t="n">
        <v>21870.02072445739</v>
      </c>
      <c r="I370" s="14" t="n">
        <v>107587.4242680269</v>
      </c>
      <c r="J370" s="14" t="n">
        <v>3945.452288848278</v>
      </c>
      <c r="K370" s="14" t="n">
        <v>575121.6587659349</v>
      </c>
      <c r="L370" s="14" t="n">
        <v>306051.9826037239</v>
      </c>
      <c r="M370" s="14" t="n">
        <v>0</v>
      </c>
      <c r="N370" s="14" t="n">
        <v>126601.7970914354</v>
      </c>
      <c r="O370" s="14" t="n">
        <v>712840.9008859372</v>
      </c>
      <c r="P370" s="14" t="n">
        <v>105422.8366163067</v>
      </c>
      <c r="Q370" s="14" t="n">
        <v>4938455.900188101</v>
      </c>
      <c r="R370" s="15">
        <f>IF(D370=1,"Section 1","Control")</f>
        <v/>
      </c>
      <c r="S370" s="16">
        <f>N370/10000</f>
        <v/>
      </c>
      <c r="T370" s="16">
        <f>P370/10000</f>
        <v/>
      </c>
      <c r="U370" s="15">
        <f>IF(N370&gt;=Summary!$D$3,1,0)</f>
        <v/>
      </c>
      <c r="V370" s="17">
        <f>IF(N370&gt;0,P370/N370,"")</f>
        <v/>
      </c>
      <c r="W370" s="17">
        <f>IF(O370&gt;0,H370/O370,"")</f>
        <v/>
      </c>
    </row>
    <row r="371">
      <c r="A371" s="13" t="inlineStr">
        <is>
          <t>T14_B1</t>
        </is>
      </c>
      <c r="B371" s="13" t="inlineStr">
        <is>
          <t>T14</t>
        </is>
      </c>
      <c r="C371" s="13" t="inlineStr">
        <is>
          <t>B1</t>
        </is>
      </c>
      <c r="D371" s="13" t="n">
        <v>1</v>
      </c>
      <c r="E371" s="13" t="inlineStr">
        <is>
          <t>S1</t>
        </is>
      </c>
      <c r="F371" s="13" t="n">
        <v>2025</v>
      </c>
      <c r="G371" s="14" t="n">
        <v>1014576.538650991</v>
      </c>
      <c r="H371" s="14" t="n">
        <v>18347.74263562969</v>
      </c>
      <c r="I371" s="14" t="n">
        <v>86906.65544864432</v>
      </c>
      <c r="J371" s="14" t="n">
        <v>98.72341156005859</v>
      </c>
      <c r="K371" s="14" t="n">
        <v>583364.7932902317</v>
      </c>
      <c r="L371" s="14" t="n">
        <v>325858.6238649256</v>
      </c>
      <c r="M371" s="14" t="n">
        <v>0</v>
      </c>
      <c r="N371" s="14" t="n">
        <v>126601.7970914354</v>
      </c>
      <c r="O371" s="14" t="n">
        <v>712840.9008859372</v>
      </c>
      <c r="P371" s="14" t="n">
        <v>112104.247143794</v>
      </c>
      <c r="Q371" s="14" t="n">
        <v>4938455.900188101</v>
      </c>
      <c r="R371" s="15">
        <f>IF(D371=1,"Section 1","Control")</f>
        <v/>
      </c>
      <c r="S371" s="16">
        <f>N371/10000</f>
        <v/>
      </c>
      <c r="T371" s="16">
        <f>P371/10000</f>
        <v/>
      </c>
      <c r="U371" s="15">
        <f>IF(N371&gt;=Summary!$D$3,1,0)</f>
        <v/>
      </c>
      <c r="V371" s="17">
        <f>IF(N371&gt;0,P371/N371,"")</f>
        <v/>
      </c>
      <c r="W371" s="17">
        <f>IF(O371&gt;0,H371/O371,"")</f>
        <v/>
      </c>
    </row>
    <row r="372">
      <c r="A372" s="13" t="inlineStr">
        <is>
          <t>T14_B1</t>
        </is>
      </c>
      <c r="B372" s="13" t="inlineStr">
        <is>
          <t>T14</t>
        </is>
      </c>
      <c r="C372" s="13" t="inlineStr">
        <is>
          <t>B1</t>
        </is>
      </c>
      <c r="D372" s="13" t="n">
        <v>1</v>
      </c>
      <c r="E372" s="13" t="inlineStr">
        <is>
          <t>S1</t>
        </is>
      </c>
      <c r="F372" s="13" t="n">
        <v>2026</v>
      </c>
      <c r="G372" s="14" t="n">
        <v>1014576.538650991</v>
      </c>
      <c r="H372" s="14" t="n">
        <v>14236.22609734629</v>
      </c>
      <c r="I372" s="14" t="n">
        <v>69045.83795656689</v>
      </c>
      <c r="J372" s="14" t="n">
        <v>0</v>
      </c>
      <c r="K372" s="14" t="n">
        <v>615765.0373653637</v>
      </c>
      <c r="L372" s="14" t="n">
        <v>315529.4372317146</v>
      </c>
      <c r="M372" s="14" t="n">
        <v>0</v>
      </c>
      <c r="N372" s="14" t="n">
        <v>126601.7970914354</v>
      </c>
      <c r="O372" s="14" t="n">
        <v>712840.9008859372</v>
      </c>
      <c r="P372" s="14" t="n">
        <v>114932.3643671971</v>
      </c>
      <c r="Q372" s="14" t="n">
        <v>4938455.900188101</v>
      </c>
      <c r="R372" s="15">
        <f>IF(D372=1,"Section 1","Control")</f>
        <v/>
      </c>
      <c r="S372" s="16">
        <f>N372/10000</f>
        <v/>
      </c>
      <c r="T372" s="16">
        <f>P372/10000</f>
        <v/>
      </c>
      <c r="U372" s="15">
        <f>IF(N372&gt;=Summary!$D$3,1,0)</f>
        <v/>
      </c>
      <c r="V372" s="17">
        <f>IF(N372&gt;0,P372/N372,"")</f>
        <v/>
      </c>
      <c r="W372" s="17">
        <f>IF(O372&gt;0,H372/O372,"")</f>
        <v/>
      </c>
    </row>
    <row r="373">
      <c r="A373" s="13" t="inlineStr">
        <is>
          <t>T14_B2</t>
        </is>
      </c>
      <c r="B373" s="13" t="inlineStr">
        <is>
          <t>T14</t>
        </is>
      </c>
      <c r="C373" s="13" t="inlineStr">
        <is>
          <t>B2</t>
        </is>
      </c>
      <c r="D373" s="13" t="n">
        <v>1</v>
      </c>
      <c r="E373" s="13" t="inlineStr">
        <is>
          <t>S1</t>
        </is>
      </c>
      <c r="F373" s="13" t="n">
        <v>2020</v>
      </c>
      <c r="G373" s="14" t="n">
        <v>1014463.316894591</v>
      </c>
      <c r="H373" s="14" t="n">
        <v>53026.6899826349</v>
      </c>
      <c r="I373" s="14" t="n">
        <v>4047.978429547478</v>
      </c>
      <c r="J373" s="14" t="n">
        <v>0</v>
      </c>
      <c r="K373" s="14" t="n">
        <v>390653.5497600181</v>
      </c>
      <c r="L373" s="14" t="n">
        <v>566735.0987223905</v>
      </c>
      <c r="M373" s="14" t="n">
        <v>0</v>
      </c>
      <c r="N373" s="14" t="n">
        <v>53026.6899826349</v>
      </c>
      <c r="O373" s="14" t="n">
        <v>447728.2181722005</v>
      </c>
      <c r="P373" s="14" t="n">
        <v>0</v>
      </c>
      <c r="Q373" s="14" t="n">
        <v>3492075.426613841</v>
      </c>
      <c r="R373" s="15">
        <f>IF(D373=1,"Section 1","Control")</f>
        <v/>
      </c>
      <c r="S373" s="16">
        <f>N373/10000</f>
        <v/>
      </c>
      <c r="T373" s="16">
        <f>P373/10000</f>
        <v/>
      </c>
      <c r="U373" s="15">
        <f>IF(N373&gt;=Summary!$D$3,1,0)</f>
        <v/>
      </c>
      <c r="V373" s="17">
        <f>IF(N373&gt;0,P373/N373,"")</f>
        <v/>
      </c>
      <c r="W373" s="17">
        <f>IF(O373&gt;0,H373/O373,"")</f>
        <v/>
      </c>
    </row>
    <row r="374">
      <c r="A374" s="13" t="inlineStr">
        <is>
          <t>T14_B2</t>
        </is>
      </c>
      <c r="B374" s="13" t="inlineStr">
        <is>
          <t>T14</t>
        </is>
      </c>
      <c r="C374" s="13" t="inlineStr">
        <is>
          <t>B2</t>
        </is>
      </c>
      <c r="D374" s="13" t="n">
        <v>1</v>
      </c>
      <c r="E374" s="13" t="inlineStr">
        <is>
          <t>S1</t>
        </is>
      </c>
      <c r="F374" s="13" t="n">
        <v>2021</v>
      </c>
      <c r="G374" s="14" t="n">
        <v>1014463.316894591</v>
      </c>
      <c r="H374" s="14" t="n">
        <v>46703.07198226032</v>
      </c>
      <c r="I374" s="14" t="n">
        <v>6172.250726587632</v>
      </c>
      <c r="J374" s="14" t="n">
        <v>0</v>
      </c>
      <c r="K374" s="14" t="n">
        <v>394852.8954633526</v>
      </c>
      <c r="L374" s="14" t="n">
        <v>566735.0987223905</v>
      </c>
      <c r="M374" s="14" t="n">
        <v>0</v>
      </c>
      <c r="N374" s="14" t="n">
        <v>53026.6899826349</v>
      </c>
      <c r="O374" s="14" t="n">
        <v>447728.2181722005</v>
      </c>
      <c r="P374" s="14" t="n">
        <v>6521.060879097733</v>
      </c>
      <c r="Q374" s="14" t="n">
        <v>3492075.426613841</v>
      </c>
      <c r="R374" s="15">
        <f>IF(D374=1,"Section 1","Control")</f>
        <v/>
      </c>
      <c r="S374" s="16">
        <f>N374/10000</f>
        <v/>
      </c>
      <c r="T374" s="16">
        <f>P374/10000</f>
        <v/>
      </c>
      <c r="U374" s="15">
        <f>IF(N374&gt;=Summary!$D$3,1,0)</f>
        <v/>
      </c>
      <c r="V374" s="17">
        <f>IF(N374&gt;0,P374/N374,"")</f>
        <v/>
      </c>
      <c r="W374" s="17">
        <f>IF(O374&gt;0,H374/O374,"")</f>
        <v/>
      </c>
    </row>
    <row r="375">
      <c r="A375" s="13" t="inlineStr">
        <is>
          <t>T14_B2</t>
        </is>
      </c>
      <c r="B375" s="13" t="inlineStr">
        <is>
          <t>T14</t>
        </is>
      </c>
      <c r="C375" s="13" t="inlineStr">
        <is>
          <t>B2</t>
        </is>
      </c>
      <c r="D375" s="13" t="n">
        <v>1</v>
      </c>
      <c r="E375" s="13" t="inlineStr">
        <is>
          <t>S1</t>
        </is>
      </c>
      <c r="F375" s="13" t="n">
        <v>2022</v>
      </c>
      <c r="G375" s="14" t="n">
        <v>1014463.316894591</v>
      </c>
      <c r="H375" s="14" t="n">
        <v>34948.20879468731</v>
      </c>
      <c r="I375" s="14" t="n">
        <v>8095.200065612793</v>
      </c>
      <c r="J375" s="14" t="n">
        <v>0</v>
      </c>
      <c r="K375" s="14" t="n">
        <v>404684.8093119004</v>
      </c>
      <c r="L375" s="14" t="n">
        <v>566735.0987223905</v>
      </c>
      <c r="M375" s="14" t="n">
        <v>0</v>
      </c>
      <c r="N375" s="14" t="n">
        <v>53026.6899826349</v>
      </c>
      <c r="O375" s="14" t="n">
        <v>447728.2181722005</v>
      </c>
      <c r="P375" s="14" t="n">
        <v>18078.48118794759</v>
      </c>
      <c r="Q375" s="14" t="n">
        <v>3492075.426613841</v>
      </c>
      <c r="R375" s="15">
        <f>IF(D375=1,"Section 1","Control")</f>
        <v/>
      </c>
      <c r="S375" s="16">
        <f>N375/10000</f>
        <v/>
      </c>
      <c r="T375" s="16">
        <f>P375/10000</f>
        <v/>
      </c>
      <c r="U375" s="15">
        <f>IF(N375&gt;=Summary!$D$3,1,0)</f>
        <v/>
      </c>
      <c r="V375" s="17">
        <f>IF(N375&gt;0,P375/N375,"")</f>
        <v/>
      </c>
      <c r="W375" s="17">
        <f>IF(O375&gt;0,H375/O375,"")</f>
        <v/>
      </c>
    </row>
    <row r="376">
      <c r="A376" s="13" t="inlineStr">
        <is>
          <t>T14_B2</t>
        </is>
      </c>
      <c r="B376" s="13" t="inlineStr">
        <is>
          <t>T14</t>
        </is>
      </c>
      <c r="C376" s="13" t="inlineStr">
        <is>
          <t>B2</t>
        </is>
      </c>
      <c r="D376" s="13" t="n">
        <v>1</v>
      </c>
      <c r="E376" s="13" t="inlineStr">
        <is>
          <t>S1</t>
        </is>
      </c>
      <c r="F376" s="13" t="n">
        <v>2023</v>
      </c>
      <c r="G376" s="14" t="n">
        <v>1014463.316894591</v>
      </c>
      <c r="H376" s="14" t="n">
        <v>33664.82708082013</v>
      </c>
      <c r="I376" s="14" t="n">
        <v>987.2195129394532</v>
      </c>
      <c r="J376" s="14" t="n">
        <v>0</v>
      </c>
      <c r="K376" s="14" t="n">
        <v>413076.1715784409</v>
      </c>
      <c r="L376" s="14" t="n">
        <v>566735.0987223906</v>
      </c>
      <c r="M376" s="14" t="n">
        <v>0</v>
      </c>
      <c r="N376" s="14" t="n">
        <v>53026.6899826349</v>
      </c>
      <c r="O376" s="14" t="n">
        <v>447728.2181722005</v>
      </c>
      <c r="P376" s="14" t="n">
        <v>19361.86290181478</v>
      </c>
      <c r="Q376" s="14" t="n">
        <v>3492075.426613841</v>
      </c>
      <c r="R376" s="15">
        <f>IF(D376=1,"Section 1","Control")</f>
        <v/>
      </c>
      <c r="S376" s="16">
        <f>N376/10000</f>
        <v/>
      </c>
      <c r="T376" s="16">
        <f>P376/10000</f>
        <v/>
      </c>
      <c r="U376" s="15">
        <f>IF(N376&gt;=Summary!$D$3,1,0)</f>
        <v/>
      </c>
      <c r="V376" s="17">
        <f>IF(N376&gt;0,P376/N376,"")</f>
        <v/>
      </c>
      <c r="W376" s="17">
        <f>IF(O376&gt;0,H376/O376,"")</f>
        <v/>
      </c>
    </row>
    <row r="377">
      <c r="A377" s="13" t="inlineStr">
        <is>
          <t>T14_B2</t>
        </is>
      </c>
      <c r="B377" s="13" t="inlineStr">
        <is>
          <t>T14</t>
        </is>
      </c>
      <c r="C377" s="13" t="inlineStr">
        <is>
          <t>B2</t>
        </is>
      </c>
      <c r="D377" s="13" t="n">
        <v>1</v>
      </c>
      <c r="E377" s="13" t="inlineStr">
        <is>
          <t>S1</t>
        </is>
      </c>
      <c r="F377" s="13" t="n">
        <v>2024</v>
      </c>
      <c r="G377" s="14" t="n">
        <v>1014463.316894591</v>
      </c>
      <c r="H377" s="14" t="n">
        <v>30873.13451244878</v>
      </c>
      <c r="I377" s="14" t="n">
        <v>4788.585029213102</v>
      </c>
      <c r="J377" s="14" t="n">
        <v>0</v>
      </c>
      <c r="K377" s="14" t="n">
        <v>412066.4986305386</v>
      </c>
      <c r="L377" s="14" t="n">
        <v>566735.0987223905</v>
      </c>
      <c r="M377" s="14" t="n">
        <v>0</v>
      </c>
      <c r="N377" s="14" t="n">
        <v>53026.6899826349</v>
      </c>
      <c r="O377" s="14" t="n">
        <v>447728.2181722005</v>
      </c>
      <c r="P377" s="14" t="n">
        <v>22252.27698202694</v>
      </c>
      <c r="Q377" s="14" t="n">
        <v>3492075.426613841</v>
      </c>
      <c r="R377" s="15">
        <f>IF(D377=1,"Section 1","Control")</f>
        <v/>
      </c>
      <c r="S377" s="16">
        <f>N377/10000</f>
        <v/>
      </c>
      <c r="T377" s="16">
        <f>P377/10000</f>
        <v/>
      </c>
      <c r="U377" s="15">
        <f>IF(N377&gt;=Summary!$D$3,1,0)</f>
        <v/>
      </c>
      <c r="V377" s="17">
        <f>IF(N377&gt;0,P377/N377,"")</f>
        <v/>
      </c>
      <c r="W377" s="17">
        <f>IF(O377&gt;0,H377/O377,"")</f>
        <v/>
      </c>
    </row>
    <row r="378">
      <c r="A378" s="13" t="inlineStr">
        <is>
          <t>T14_B2</t>
        </is>
      </c>
      <c r="B378" s="13" t="inlineStr">
        <is>
          <t>T14</t>
        </is>
      </c>
      <c r="C378" s="13" t="inlineStr">
        <is>
          <t>B2</t>
        </is>
      </c>
      <c r="D378" s="13" t="n">
        <v>1</v>
      </c>
      <c r="E378" s="13" t="inlineStr">
        <is>
          <t>S1</t>
        </is>
      </c>
      <c r="F378" s="13" t="n">
        <v>2025</v>
      </c>
      <c r="G378" s="14" t="n">
        <v>1014463.316894591</v>
      </c>
      <c r="H378" s="14" t="n">
        <v>31737.62677702063</v>
      </c>
      <c r="I378" s="14" t="n">
        <v>493.6094512939453</v>
      </c>
      <c r="J378" s="14" t="n">
        <v>0</v>
      </c>
      <c r="K378" s="14" t="n">
        <v>415496.9819438859</v>
      </c>
      <c r="L378" s="14" t="n">
        <v>566735.0987223906</v>
      </c>
      <c r="M378" s="14" t="n">
        <v>0</v>
      </c>
      <c r="N378" s="14" t="n">
        <v>53026.6899826349</v>
      </c>
      <c r="O378" s="14" t="n">
        <v>447728.2181722005</v>
      </c>
      <c r="P378" s="14" t="n">
        <v>22252.27698202694</v>
      </c>
      <c r="Q378" s="14" t="n">
        <v>3492075.426613841</v>
      </c>
      <c r="R378" s="15">
        <f>IF(D378=1,"Section 1","Control")</f>
        <v/>
      </c>
      <c r="S378" s="16">
        <f>N378/10000</f>
        <v/>
      </c>
      <c r="T378" s="16">
        <f>P378/10000</f>
        <v/>
      </c>
      <c r="U378" s="15">
        <f>IF(N378&gt;=Summary!$D$3,1,0)</f>
        <v/>
      </c>
      <c r="V378" s="17">
        <f>IF(N378&gt;0,P378/N378,"")</f>
        <v/>
      </c>
      <c r="W378" s="17">
        <f>IF(O378&gt;0,H378/O378,"")</f>
        <v/>
      </c>
    </row>
    <row r="379">
      <c r="A379" s="13" t="inlineStr">
        <is>
          <t>T14_B2</t>
        </is>
      </c>
      <c r="B379" s="13" t="inlineStr">
        <is>
          <t>T14</t>
        </is>
      </c>
      <c r="C379" s="13" t="inlineStr">
        <is>
          <t>B2</t>
        </is>
      </c>
      <c r="D379" s="13" t="n">
        <v>1</v>
      </c>
      <c r="E379" s="13" t="inlineStr">
        <is>
          <t>S1</t>
        </is>
      </c>
      <c r="F379" s="13" t="n">
        <v>2026</v>
      </c>
      <c r="G379" s="14" t="n">
        <v>1014463.316894591</v>
      </c>
      <c r="H379" s="14" t="n">
        <v>31513.08340271595</v>
      </c>
      <c r="I379" s="14" t="n">
        <v>1480.829414367676</v>
      </c>
      <c r="J379" s="14" t="n">
        <v>0</v>
      </c>
      <c r="K379" s="14" t="n">
        <v>414734.3053551168</v>
      </c>
      <c r="L379" s="14" t="n">
        <v>566735.0987223905</v>
      </c>
      <c r="M379" s="14" t="n">
        <v>0</v>
      </c>
      <c r="N379" s="14" t="n">
        <v>53026.6899826349</v>
      </c>
      <c r="O379" s="14" t="n">
        <v>447728.2181722005</v>
      </c>
      <c r="P379" s="14" t="n">
        <v>22252.27698202694</v>
      </c>
      <c r="Q379" s="14" t="n">
        <v>3492075.426613841</v>
      </c>
      <c r="R379" s="15">
        <f>IF(D379=1,"Section 1","Control")</f>
        <v/>
      </c>
      <c r="S379" s="16">
        <f>N379/10000</f>
        <v/>
      </c>
      <c r="T379" s="16">
        <f>P379/10000</f>
        <v/>
      </c>
      <c r="U379" s="15">
        <f>IF(N379&gt;=Summary!$D$3,1,0)</f>
        <v/>
      </c>
      <c r="V379" s="17">
        <f>IF(N379&gt;0,P379/N379,"")</f>
        <v/>
      </c>
      <c r="W379" s="17">
        <f>IF(O379&gt;0,H379/O379,"")</f>
        <v/>
      </c>
    </row>
    <row r="380">
      <c r="A380" s="13" t="inlineStr">
        <is>
          <t>T14_B3</t>
        </is>
      </c>
      <c r="B380" s="13" t="inlineStr">
        <is>
          <t>T14</t>
        </is>
      </c>
      <c r="C380" s="13" t="inlineStr">
        <is>
          <t>B3</t>
        </is>
      </c>
      <c r="D380" s="13" t="n">
        <v>1</v>
      </c>
      <c r="E380" s="13" t="inlineStr">
        <is>
          <t>S1</t>
        </is>
      </c>
      <c r="F380" s="13" t="n">
        <v>2020</v>
      </c>
      <c r="G380" s="14" t="n">
        <v>8030413.468574285</v>
      </c>
      <c r="H380" s="14" t="n">
        <v>170372.3882428038</v>
      </c>
      <c r="I380" s="14" t="n">
        <v>407965.3798454434</v>
      </c>
      <c r="J380" s="14" t="n">
        <v>0</v>
      </c>
      <c r="K380" s="14" t="n">
        <v>1684530.098439146</v>
      </c>
      <c r="L380" s="14" t="n">
        <v>5767545.602046892</v>
      </c>
      <c r="M380" s="14" t="n">
        <v>0</v>
      </c>
      <c r="N380" s="14" t="n">
        <v>170372.3882428038</v>
      </c>
      <c r="O380" s="14" t="n">
        <v>2262867.866527393</v>
      </c>
      <c r="P380" s="14" t="n">
        <v>0</v>
      </c>
      <c r="Q380" s="14" t="n">
        <v>8852515.799160674</v>
      </c>
      <c r="R380" s="15">
        <f>IF(D380=1,"Section 1","Control")</f>
        <v/>
      </c>
      <c r="S380" s="16">
        <f>N380/10000</f>
        <v/>
      </c>
      <c r="T380" s="16">
        <f>P380/10000</f>
        <v/>
      </c>
      <c r="U380" s="15">
        <f>IF(N380&gt;=Summary!$D$3,1,0)</f>
        <v/>
      </c>
      <c r="V380" s="17">
        <f>IF(N380&gt;0,P380/N380,"")</f>
        <v/>
      </c>
      <c r="W380" s="17">
        <f>IF(O380&gt;0,H380/O380,"")</f>
        <v/>
      </c>
    </row>
    <row r="381">
      <c r="A381" s="13" t="inlineStr">
        <is>
          <t>T14_B3</t>
        </is>
      </c>
      <c r="B381" s="13" t="inlineStr">
        <is>
          <t>T14</t>
        </is>
      </c>
      <c r="C381" s="13" t="inlineStr">
        <is>
          <t>B3</t>
        </is>
      </c>
      <c r="D381" s="13" t="n">
        <v>1</v>
      </c>
      <c r="E381" s="13" t="inlineStr">
        <is>
          <t>S1</t>
        </is>
      </c>
      <c r="F381" s="13" t="n">
        <v>2021</v>
      </c>
      <c r="G381" s="14" t="n">
        <v>8030413.468574284</v>
      </c>
      <c r="H381" s="14" t="n">
        <v>120314.1071145151</v>
      </c>
      <c r="I381" s="14" t="n">
        <v>236598.9262633979</v>
      </c>
      <c r="J381" s="14" t="n">
        <v>0</v>
      </c>
      <c r="K381" s="14" t="n">
        <v>1905272.73428593</v>
      </c>
      <c r="L381" s="14" t="n">
        <v>5768227.700910442</v>
      </c>
      <c r="M381" s="14" t="n">
        <v>0</v>
      </c>
      <c r="N381" s="14" t="n">
        <v>170372.3882428038</v>
      </c>
      <c r="O381" s="14" t="n">
        <v>2262867.866527393</v>
      </c>
      <c r="P381" s="14" t="n">
        <v>67314.46261399213</v>
      </c>
      <c r="Q381" s="14" t="n">
        <v>8852515.799160676</v>
      </c>
      <c r="R381" s="15">
        <f>IF(D381=1,"Section 1","Control")</f>
        <v/>
      </c>
      <c r="S381" s="16">
        <f>N381/10000</f>
        <v/>
      </c>
      <c r="T381" s="16">
        <f>P381/10000</f>
        <v/>
      </c>
      <c r="U381" s="15">
        <f>IF(N381&gt;=Summary!$D$3,1,0)</f>
        <v/>
      </c>
      <c r="V381" s="17">
        <f>IF(N381&gt;0,P381/N381,"")</f>
        <v/>
      </c>
      <c r="W381" s="17">
        <f>IF(O381&gt;0,H381/O381,"")</f>
        <v/>
      </c>
    </row>
    <row r="382">
      <c r="A382" s="13" t="inlineStr">
        <is>
          <t>T14_B3</t>
        </is>
      </c>
      <c r="B382" s="13" t="inlineStr">
        <is>
          <t>T14</t>
        </is>
      </c>
      <c r="C382" s="13" t="inlineStr">
        <is>
          <t>B3</t>
        </is>
      </c>
      <c r="D382" s="13" t="n">
        <v>1</v>
      </c>
      <c r="E382" s="13" t="inlineStr">
        <is>
          <t>S1</t>
        </is>
      </c>
      <c r="F382" s="13" t="n">
        <v>2022</v>
      </c>
      <c r="G382" s="14" t="n">
        <v>8030413.468574284</v>
      </c>
      <c r="H382" s="14" t="n">
        <v>36499.50405521767</v>
      </c>
      <c r="I382" s="14" t="n">
        <v>210691.0252960504</v>
      </c>
      <c r="J382" s="14" t="n">
        <v>0</v>
      </c>
      <c r="K382" s="14" t="n">
        <v>2039655.307601569</v>
      </c>
      <c r="L382" s="14" t="n">
        <v>5743567.631621447</v>
      </c>
      <c r="M382" s="14" t="n">
        <v>0</v>
      </c>
      <c r="N382" s="14" t="n">
        <v>170372.3882428038</v>
      </c>
      <c r="O382" s="14" t="n">
        <v>2262867.866527393</v>
      </c>
      <c r="P382" s="14" t="n">
        <v>134465.1914767097</v>
      </c>
      <c r="Q382" s="14" t="n">
        <v>8852515.799160676</v>
      </c>
      <c r="R382" s="15">
        <f>IF(D382=1,"Section 1","Control")</f>
        <v/>
      </c>
      <c r="S382" s="16">
        <f>N382/10000</f>
        <v/>
      </c>
      <c r="T382" s="16">
        <f>P382/10000</f>
        <v/>
      </c>
      <c r="U382" s="15">
        <f>IF(N382&gt;=Summary!$D$3,1,0)</f>
        <v/>
      </c>
      <c r="V382" s="17">
        <f>IF(N382&gt;0,P382/N382,"")</f>
        <v/>
      </c>
      <c r="W382" s="17">
        <f>IF(O382&gt;0,H382/O382,"")</f>
        <v/>
      </c>
    </row>
    <row r="383">
      <c r="A383" s="13" t="inlineStr">
        <is>
          <t>T14_B3</t>
        </is>
      </c>
      <c r="B383" s="13" t="inlineStr">
        <is>
          <t>T14</t>
        </is>
      </c>
      <c r="C383" s="13" t="inlineStr">
        <is>
          <t>B3</t>
        </is>
      </c>
      <c r="D383" s="13" t="n">
        <v>1</v>
      </c>
      <c r="E383" s="13" t="inlineStr">
        <is>
          <t>S1</t>
        </is>
      </c>
      <c r="F383" s="13" t="n">
        <v>2023</v>
      </c>
      <c r="G383" s="14" t="n">
        <v>8030413.468574284</v>
      </c>
      <c r="H383" s="14" t="n">
        <v>46750.68980371812</v>
      </c>
      <c r="I383" s="14" t="n">
        <v>157317.8560095993</v>
      </c>
      <c r="J383" s="14" t="n">
        <v>0</v>
      </c>
      <c r="K383" s="14" t="n">
        <v>2058798.54654158</v>
      </c>
      <c r="L383" s="14" t="n">
        <v>5767546.376219387</v>
      </c>
      <c r="M383" s="14" t="n">
        <v>0</v>
      </c>
      <c r="N383" s="14" t="n">
        <v>170372.3882428038</v>
      </c>
      <c r="O383" s="14" t="n">
        <v>2262867.866527393</v>
      </c>
      <c r="P383" s="14" t="n">
        <v>138230.3891586304</v>
      </c>
      <c r="Q383" s="14" t="n">
        <v>8852515.799160676</v>
      </c>
      <c r="R383" s="15">
        <f>IF(D383=1,"Section 1","Control")</f>
        <v/>
      </c>
      <c r="S383" s="16">
        <f>N383/10000</f>
        <v/>
      </c>
      <c r="T383" s="16">
        <f>P383/10000</f>
        <v/>
      </c>
      <c r="U383" s="15">
        <f>IF(N383&gt;=Summary!$D$3,1,0)</f>
        <v/>
      </c>
      <c r="V383" s="17">
        <f>IF(N383&gt;0,P383/N383,"")</f>
        <v/>
      </c>
      <c r="W383" s="17">
        <f>IF(O383&gt;0,H383/O383,"")</f>
        <v/>
      </c>
    </row>
    <row r="384">
      <c r="A384" s="13" t="inlineStr">
        <is>
          <t>T14_B3</t>
        </is>
      </c>
      <c r="B384" s="13" t="inlineStr">
        <is>
          <t>T14</t>
        </is>
      </c>
      <c r="C384" s="13" t="inlineStr">
        <is>
          <t>B3</t>
        </is>
      </c>
      <c r="D384" s="13" t="n">
        <v>1</v>
      </c>
      <c r="E384" s="13" t="inlineStr">
        <is>
          <t>S1</t>
        </is>
      </c>
      <c r="F384" s="13" t="n">
        <v>2024</v>
      </c>
      <c r="G384" s="14" t="n">
        <v>8030413.468574284</v>
      </c>
      <c r="H384" s="14" t="n">
        <v>57666.81086632224</v>
      </c>
      <c r="I384" s="14" t="n">
        <v>171398.3077577479</v>
      </c>
      <c r="J384" s="14" t="n">
        <v>0</v>
      </c>
      <c r="K384" s="14" t="n">
        <v>2034296.321549868</v>
      </c>
      <c r="L384" s="14" t="n">
        <v>5767052.028400347</v>
      </c>
      <c r="M384" s="14" t="n">
        <v>0</v>
      </c>
      <c r="N384" s="14" t="n">
        <v>170372.3882428038</v>
      </c>
      <c r="O384" s="14" t="n">
        <v>2262867.866527393</v>
      </c>
      <c r="P384" s="14" t="n">
        <v>140990.6945440554</v>
      </c>
      <c r="Q384" s="14" t="n">
        <v>8852515.799160676</v>
      </c>
      <c r="R384" s="15">
        <f>IF(D384=1,"Section 1","Control")</f>
        <v/>
      </c>
      <c r="S384" s="16">
        <f>N384/10000</f>
        <v/>
      </c>
      <c r="T384" s="16">
        <f>P384/10000</f>
        <v/>
      </c>
      <c r="U384" s="15">
        <f>IF(N384&gt;=Summary!$D$3,1,0)</f>
        <v/>
      </c>
      <c r="V384" s="17">
        <f>IF(N384&gt;0,P384/N384,"")</f>
        <v/>
      </c>
      <c r="W384" s="17">
        <f>IF(O384&gt;0,H384/O384,"")</f>
        <v/>
      </c>
    </row>
    <row r="385">
      <c r="A385" s="13" t="inlineStr">
        <is>
          <t>T14_B3</t>
        </is>
      </c>
      <c r="B385" s="13" t="inlineStr">
        <is>
          <t>T14</t>
        </is>
      </c>
      <c r="C385" s="13" t="inlineStr">
        <is>
          <t>B3</t>
        </is>
      </c>
      <c r="D385" s="13" t="n">
        <v>1</v>
      </c>
      <c r="E385" s="13" t="inlineStr">
        <is>
          <t>S1</t>
        </is>
      </c>
      <c r="F385" s="13" t="n">
        <v>2025</v>
      </c>
      <c r="G385" s="14" t="n">
        <v>8030413.468574284</v>
      </c>
      <c r="H385" s="14" t="n">
        <v>73619.3706979789</v>
      </c>
      <c r="I385" s="14" t="n">
        <v>162242.9234777413</v>
      </c>
      <c r="J385" s="14" t="n">
        <v>0</v>
      </c>
      <c r="K385" s="14" t="n">
        <v>2026843.371240802</v>
      </c>
      <c r="L385" s="14" t="n">
        <v>5767707.803157762</v>
      </c>
      <c r="M385" s="14" t="n">
        <v>0</v>
      </c>
      <c r="N385" s="14" t="n">
        <v>170372.3882428038</v>
      </c>
      <c r="O385" s="14" t="n">
        <v>2262867.866527393</v>
      </c>
      <c r="P385" s="14" t="n">
        <v>142076.5770895266</v>
      </c>
      <c r="Q385" s="14" t="n">
        <v>8852515.799160676</v>
      </c>
      <c r="R385" s="15">
        <f>IF(D385=1,"Section 1","Control")</f>
        <v/>
      </c>
      <c r="S385" s="16">
        <f>N385/10000</f>
        <v/>
      </c>
      <c r="T385" s="16">
        <f>P385/10000</f>
        <v/>
      </c>
      <c r="U385" s="15">
        <f>IF(N385&gt;=Summary!$D$3,1,0)</f>
        <v/>
      </c>
      <c r="V385" s="17">
        <f>IF(N385&gt;0,P385/N385,"")</f>
        <v/>
      </c>
      <c r="W385" s="17">
        <f>IF(O385&gt;0,H385/O385,"")</f>
        <v/>
      </c>
    </row>
    <row r="386">
      <c r="A386" s="13" t="inlineStr">
        <is>
          <t>T14_B3</t>
        </is>
      </c>
      <c r="B386" s="13" t="inlineStr">
        <is>
          <t>T14</t>
        </is>
      </c>
      <c r="C386" s="13" t="inlineStr">
        <is>
          <t>B3</t>
        </is>
      </c>
      <c r="D386" s="13" t="n">
        <v>1</v>
      </c>
      <c r="E386" s="13" t="inlineStr">
        <is>
          <t>S1</t>
        </is>
      </c>
      <c r="F386" s="13" t="n">
        <v>2026</v>
      </c>
      <c r="G386" s="14" t="n">
        <v>8030413.468574284</v>
      </c>
      <c r="H386" s="14" t="n">
        <v>82218.56087655459</v>
      </c>
      <c r="I386" s="14" t="n">
        <v>151774.8314082726</v>
      </c>
      <c r="J386" s="14" t="n">
        <v>0</v>
      </c>
      <c r="K386" s="14" t="n">
        <v>2028086.305905241</v>
      </c>
      <c r="L386" s="14" t="n">
        <v>5768333.770384217</v>
      </c>
      <c r="M386" s="14" t="n">
        <v>0</v>
      </c>
      <c r="N386" s="14" t="n">
        <v>170372.3882428038</v>
      </c>
      <c r="O386" s="14" t="n">
        <v>2262867.866527393</v>
      </c>
      <c r="P386" s="14" t="n">
        <v>142885.6546483058</v>
      </c>
      <c r="Q386" s="14" t="n">
        <v>8852515.799160674</v>
      </c>
      <c r="R386" s="15">
        <f>IF(D386=1,"Section 1","Control")</f>
        <v/>
      </c>
      <c r="S386" s="16">
        <f>N386/10000</f>
        <v/>
      </c>
      <c r="T386" s="16">
        <f>P386/10000</f>
        <v/>
      </c>
      <c r="U386" s="15">
        <f>IF(N386&gt;=Summary!$D$3,1,0)</f>
        <v/>
      </c>
      <c r="V386" s="17">
        <f>IF(N386&gt;0,P386/N386,"")</f>
        <v/>
      </c>
      <c r="W386" s="17">
        <f>IF(O386&gt;0,H386/O386,"")</f>
        <v/>
      </c>
    </row>
    <row r="387">
      <c r="A387" s="13" t="inlineStr">
        <is>
          <t>T14_F</t>
        </is>
      </c>
      <c r="B387" s="13" t="inlineStr">
        <is>
          <t>T14</t>
        </is>
      </c>
      <c r="C387" s="13" t="inlineStr">
        <is>
          <t>F</t>
        </is>
      </c>
      <c r="D387" s="13" t="n">
        <v>1</v>
      </c>
      <c r="E387" s="13" t="inlineStr">
        <is>
          <t>S1</t>
        </is>
      </c>
      <c r="F387" s="13" t="n">
        <v>2020</v>
      </c>
      <c r="G387" s="14" t="n">
        <v>68175.87756652832</v>
      </c>
      <c r="H387" s="14" t="n">
        <v>8477.03230925915</v>
      </c>
      <c r="I387" s="14" t="n">
        <v>8444.496838767856</v>
      </c>
      <c r="J387" s="14" t="n">
        <v>0</v>
      </c>
      <c r="K387" s="14" t="n">
        <v>51254.34841850132</v>
      </c>
      <c r="L387" s="14" t="n">
        <v>0</v>
      </c>
      <c r="M387" s="14" t="n">
        <v>0</v>
      </c>
      <c r="N387" s="14" t="n">
        <v>8477.03230925915</v>
      </c>
      <c r="O387" s="14" t="n">
        <v>68175.87756652832</v>
      </c>
      <c r="P387" s="14" t="n">
        <v>0</v>
      </c>
      <c r="Q387" s="14" t="n">
        <v>343308.4167603438</v>
      </c>
      <c r="R387" s="15">
        <f>IF(D387=1,"Section 1","Control")</f>
        <v/>
      </c>
      <c r="S387" s="16">
        <f>N387/10000</f>
        <v/>
      </c>
      <c r="T387" s="16">
        <f>P387/10000</f>
        <v/>
      </c>
      <c r="U387" s="15">
        <f>IF(N387&gt;=Summary!$D$3,1,0)</f>
        <v/>
      </c>
      <c r="V387" s="17">
        <f>IF(N387&gt;0,P387/N387,"")</f>
        <v/>
      </c>
      <c r="W387" s="17">
        <f>IF(O387&gt;0,H387/O387,"")</f>
        <v/>
      </c>
    </row>
    <row r="388">
      <c r="A388" s="13" t="inlineStr">
        <is>
          <t>T14_F</t>
        </is>
      </c>
      <c r="B388" s="13" t="inlineStr">
        <is>
          <t>T14</t>
        </is>
      </c>
      <c r="C388" s="13" t="inlineStr">
        <is>
          <t>F</t>
        </is>
      </c>
      <c r="D388" s="13" t="n">
        <v>1</v>
      </c>
      <c r="E388" s="13" t="inlineStr">
        <is>
          <t>S1</t>
        </is>
      </c>
      <c r="F388" s="13" t="n">
        <v>2021</v>
      </c>
      <c r="G388" s="14" t="n">
        <v>68175.87756652832</v>
      </c>
      <c r="H388" s="14" t="n">
        <v>4874.604041185565</v>
      </c>
      <c r="I388" s="14" t="n">
        <v>8211.435621852501</v>
      </c>
      <c r="J388" s="14" t="n">
        <v>0</v>
      </c>
      <c r="K388" s="14" t="n">
        <v>55089.83790349026</v>
      </c>
      <c r="L388" s="14" t="n">
        <v>0</v>
      </c>
      <c r="M388" s="14" t="n">
        <v>0</v>
      </c>
      <c r="N388" s="14" t="n">
        <v>8477.03230925915</v>
      </c>
      <c r="O388" s="14" t="n">
        <v>68175.87756652832</v>
      </c>
      <c r="P388" s="14" t="n">
        <v>3602.428268073588</v>
      </c>
      <c r="Q388" s="14" t="n">
        <v>343308.4167603438</v>
      </c>
      <c r="R388" s="15">
        <f>IF(D388=1,"Section 1","Control")</f>
        <v/>
      </c>
      <c r="S388" s="16">
        <f>N388/10000</f>
        <v/>
      </c>
      <c r="T388" s="16">
        <f>P388/10000</f>
        <v/>
      </c>
      <c r="U388" s="15">
        <f>IF(N388&gt;=Summary!$D$3,1,0)</f>
        <v/>
      </c>
      <c r="V388" s="17">
        <f>IF(N388&gt;0,P388/N388,"")</f>
        <v/>
      </c>
      <c r="W388" s="17">
        <f>IF(O388&gt;0,H388/O388,"")</f>
        <v/>
      </c>
    </row>
    <row r="389">
      <c r="A389" s="13" t="inlineStr">
        <is>
          <t>T14_F</t>
        </is>
      </c>
      <c r="B389" s="13" t="inlineStr">
        <is>
          <t>T14</t>
        </is>
      </c>
      <c r="C389" s="13" t="inlineStr">
        <is>
          <t>F</t>
        </is>
      </c>
      <c r="D389" s="13" t="n">
        <v>1</v>
      </c>
      <c r="E389" s="13" t="inlineStr">
        <is>
          <t>S1</t>
        </is>
      </c>
      <c r="F389" s="13" t="n">
        <v>2022</v>
      </c>
      <c r="G389" s="14" t="n">
        <v>68175.87756652832</v>
      </c>
      <c r="H389" s="14" t="n">
        <v>639.5717240576651</v>
      </c>
      <c r="I389" s="14" t="n">
        <v>8009.731218345494</v>
      </c>
      <c r="J389" s="14" t="n">
        <v>0</v>
      </c>
      <c r="K389" s="14" t="n">
        <v>59526.57462412517</v>
      </c>
      <c r="L389" s="14" t="n">
        <v>0</v>
      </c>
      <c r="M389" s="14" t="n">
        <v>0</v>
      </c>
      <c r="N389" s="14" t="n">
        <v>8477.03230925915</v>
      </c>
      <c r="O389" s="14" t="n">
        <v>68175.87756652832</v>
      </c>
      <c r="P389" s="14" t="n">
        <v>7837.460585201486</v>
      </c>
      <c r="Q389" s="14" t="n">
        <v>343308.4167603438</v>
      </c>
      <c r="R389" s="15">
        <f>IF(D389=1,"Section 1","Control")</f>
        <v/>
      </c>
      <c r="S389" s="16">
        <f>N389/10000</f>
        <v/>
      </c>
      <c r="T389" s="16">
        <f>P389/10000</f>
        <v/>
      </c>
      <c r="U389" s="15">
        <f>IF(N389&gt;=Summary!$D$3,1,0)</f>
        <v/>
      </c>
      <c r="V389" s="17">
        <f>IF(N389&gt;0,P389/N389,"")</f>
        <v/>
      </c>
      <c r="W389" s="17">
        <f>IF(O389&gt;0,H389/O389,"")</f>
        <v/>
      </c>
    </row>
    <row r="390">
      <c r="A390" s="13" t="inlineStr">
        <is>
          <t>T14_F</t>
        </is>
      </c>
      <c r="B390" s="13" t="inlineStr">
        <is>
          <t>T14</t>
        </is>
      </c>
      <c r="C390" s="13" t="inlineStr">
        <is>
          <t>F</t>
        </is>
      </c>
      <c r="D390" s="13" t="n">
        <v>1</v>
      </c>
      <c r="E390" s="13" t="inlineStr">
        <is>
          <t>S1</t>
        </is>
      </c>
      <c r="F390" s="13" t="n">
        <v>2023</v>
      </c>
      <c r="G390" s="14" t="n">
        <v>68175.87756652832</v>
      </c>
      <c r="H390" s="14" t="n">
        <v>89.04441863415289</v>
      </c>
      <c r="I390" s="14" t="n">
        <v>6811.506109110514</v>
      </c>
      <c r="J390" s="14" t="n">
        <v>0</v>
      </c>
      <c r="K390" s="14" t="n">
        <v>61275.32703878365</v>
      </c>
      <c r="L390" s="14" t="n">
        <v>0</v>
      </c>
      <c r="M390" s="14" t="n">
        <v>0</v>
      </c>
      <c r="N390" s="14" t="n">
        <v>8477.03230925915</v>
      </c>
      <c r="O390" s="14" t="n">
        <v>68175.87756652832</v>
      </c>
      <c r="P390" s="14" t="n">
        <v>8387.987890624998</v>
      </c>
      <c r="Q390" s="14" t="n">
        <v>343308.4167603438</v>
      </c>
      <c r="R390" s="15">
        <f>IF(D390=1,"Section 1","Control")</f>
        <v/>
      </c>
      <c r="S390" s="16">
        <f>N390/10000</f>
        <v/>
      </c>
      <c r="T390" s="16">
        <f>P390/10000</f>
        <v/>
      </c>
      <c r="U390" s="15">
        <f>IF(N390&gt;=Summary!$D$3,1,0)</f>
        <v/>
      </c>
      <c r="V390" s="17">
        <f>IF(N390&gt;0,P390/N390,"")</f>
        <v/>
      </c>
      <c r="W390" s="17">
        <f>IF(O390&gt;0,H390/O390,"")</f>
        <v/>
      </c>
    </row>
    <row r="391">
      <c r="A391" s="13" t="inlineStr">
        <is>
          <t>T14_F</t>
        </is>
      </c>
      <c r="B391" s="13" t="inlineStr">
        <is>
          <t>T14</t>
        </is>
      </c>
      <c r="C391" s="13" t="inlineStr">
        <is>
          <t>F</t>
        </is>
      </c>
      <c r="D391" s="13" t="n">
        <v>1</v>
      </c>
      <c r="E391" s="13" t="inlineStr">
        <is>
          <t>S1</t>
        </is>
      </c>
      <c r="F391" s="13" t="n">
        <v>2024</v>
      </c>
      <c r="G391" s="14" t="n">
        <v>68175.87756652832</v>
      </c>
      <c r="H391" s="14" t="n">
        <v>0</v>
      </c>
      <c r="I391" s="14" t="n">
        <v>17103.50582715202</v>
      </c>
      <c r="J391" s="14" t="n">
        <v>0</v>
      </c>
      <c r="K391" s="14" t="n">
        <v>51072.3717393763</v>
      </c>
      <c r="L391" s="14" t="n">
        <v>0</v>
      </c>
      <c r="M391" s="14" t="n">
        <v>0</v>
      </c>
      <c r="N391" s="14" t="n">
        <v>8477.03230925915</v>
      </c>
      <c r="O391" s="14" t="n">
        <v>68175.87756652832</v>
      </c>
      <c r="P391" s="14" t="n">
        <v>8477.03230925915</v>
      </c>
      <c r="Q391" s="14" t="n">
        <v>343308.4167603438</v>
      </c>
      <c r="R391" s="15">
        <f>IF(D391=1,"Section 1","Control")</f>
        <v/>
      </c>
      <c r="S391" s="16">
        <f>N391/10000</f>
        <v/>
      </c>
      <c r="T391" s="16">
        <f>P391/10000</f>
        <v/>
      </c>
      <c r="U391" s="15">
        <f>IF(N391&gt;=Summary!$D$3,1,0)</f>
        <v/>
      </c>
      <c r="V391" s="17">
        <f>IF(N391&gt;0,P391/N391,"")</f>
        <v/>
      </c>
      <c r="W391" s="17">
        <f>IF(O391&gt;0,H391/O391,"")</f>
        <v/>
      </c>
    </row>
    <row r="392">
      <c r="A392" s="13" t="inlineStr">
        <is>
          <t>T14_F</t>
        </is>
      </c>
      <c r="B392" s="13" t="inlineStr">
        <is>
          <t>T14</t>
        </is>
      </c>
      <c r="C392" s="13" t="inlineStr">
        <is>
          <t>F</t>
        </is>
      </c>
      <c r="D392" s="13" t="n">
        <v>1</v>
      </c>
      <c r="E392" s="13" t="inlineStr">
        <is>
          <t>S1</t>
        </is>
      </c>
      <c r="F392" s="13" t="n">
        <v>2025</v>
      </c>
      <c r="G392" s="14" t="n">
        <v>68175.87756652832</v>
      </c>
      <c r="H392" s="14" t="n">
        <v>0</v>
      </c>
      <c r="I392" s="14" t="n">
        <v>31736.58214359657</v>
      </c>
      <c r="J392" s="14" t="n">
        <v>0</v>
      </c>
      <c r="K392" s="14" t="n">
        <v>36439.29542293175</v>
      </c>
      <c r="L392" s="14" t="n">
        <v>0</v>
      </c>
      <c r="M392" s="14" t="n">
        <v>0</v>
      </c>
      <c r="N392" s="14" t="n">
        <v>8477.03230925915</v>
      </c>
      <c r="O392" s="14" t="n">
        <v>68175.87756652832</v>
      </c>
      <c r="P392" s="14" t="n">
        <v>8477.03230925915</v>
      </c>
      <c r="Q392" s="14" t="n">
        <v>343308.4167603438</v>
      </c>
      <c r="R392" s="15">
        <f>IF(D392=1,"Section 1","Control")</f>
        <v/>
      </c>
      <c r="S392" s="16">
        <f>N392/10000</f>
        <v/>
      </c>
      <c r="T392" s="16">
        <f>P392/10000</f>
        <v/>
      </c>
      <c r="U392" s="15">
        <f>IF(N392&gt;=Summary!$D$3,1,0)</f>
        <v/>
      </c>
      <c r="V392" s="17">
        <f>IF(N392&gt;0,P392/N392,"")</f>
        <v/>
      </c>
      <c r="W392" s="17">
        <f>IF(O392&gt;0,H392/O392,"")</f>
        <v/>
      </c>
    </row>
    <row r="393">
      <c r="A393" s="13" t="inlineStr">
        <is>
          <t>T14_F</t>
        </is>
      </c>
      <c r="B393" s="13" t="inlineStr">
        <is>
          <t>T14</t>
        </is>
      </c>
      <c r="C393" s="13" t="inlineStr">
        <is>
          <t>F</t>
        </is>
      </c>
      <c r="D393" s="13" t="n">
        <v>1</v>
      </c>
      <c r="E393" s="13" t="inlineStr">
        <is>
          <t>S1</t>
        </is>
      </c>
      <c r="F393" s="13" t="n">
        <v>2026</v>
      </c>
      <c r="G393" s="14" t="n">
        <v>68175.87756652832</v>
      </c>
      <c r="H393" s="14" t="n">
        <v>0</v>
      </c>
      <c r="I393" s="14" t="n">
        <v>12701.20614935183</v>
      </c>
      <c r="J393" s="14" t="n">
        <v>0</v>
      </c>
      <c r="K393" s="14" t="n">
        <v>55474.6714171765</v>
      </c>
      <c r="L393" s="14" t="n">
        <v>0</v>
      </c>
      <c r="M393" s="14" t="n">
        <v>0</v>
      </c>
      <c r="N393" s="14" t="n">
        <v>8477.03230925915</v>
      </c>
      <c r="O393" s="14" t="n">
        <v>68175.87756652832</v>
      </c>
      <c r="P393" s="14" t="n">
        <v>8477.03230925915</v>
      </c>
      <c r="Q393" s="14" t="n">
        <v>343308.4167603438</v>
      </c>
      <c r="R393" s="15">
        <f>IF(D393=1,"Section 1","Control")</f>
        <v/>
      </c>
      <c r="S393" s="16">
        <f>N393/10000</f>
        <v/>
      </c>
      <c r="T393" s="16">
        <f>P393/10000</f>
        <v/>
      </c>
      <c r="U393" s="15">
        <f>IF(N393&gt;=Summary!$D$3,1,0)</f>
        <v/>
      </c>
      <c r="V393" s="17">
        <f>IF(N393&gt;0,P393/N393,"")</f>
        <v/>
      </c>
      <c r="W393" s="17">
        <f>IF(O393&gt;0,H393/O393,"")</f>
        <v/>
      </c>
    </row>
    <row r="394">
      <c r="A394" s="13" t="inlineStr">
        <is>
          <t>T15_B1</t>
        </is>
      </c>
      <c r="B394" s="13" t="inlineStr">
        <is>
          <t>T15</t>
        </is>
      </c>
      <c r="C394" s="13" t="inlineStr">
        <is>
          <t>B1</t>
        </is>
      </c>
      <c r="D394" s="13" t="n">
        <v>1</v>
      </c>
      <c r="E394" s="13" t="inlineStr">
        <is>
          <t>S1</t>
        </is>
      </c>
      <c r="F394" s="13" t="n">
        <v>2020</v>
      </c>
      <c r="G394" s="14" t="n">
        <v>987877.266151608</v>
      </c>
      <c r="H394" s="14" t="n">
        <v>150161.7806629256</v>
      </c>
      <c r="I394" s="14" t="n">
        <v>84658.11480216229</v>
      </c>
      <c r="J394" s="14" t="n">
        <v>21006.40986202464</v>
      </c>
      <c r="K394" s="14" t="n">
        <v>393351.0503802731</v>
      </c>
      <c r="L394" s="14" t="n">
        <v>338699.9104442222</v>
      </c>
      <c r="M394" s="14" t="n">
        <v>0</v>
      </c>
      <c r="N394" s="14" t="n">
        <v>150161.7806629256</v>
      </c>
      <c r="O394" s="14" t="n">
        <v>649177.3557073855</v>
      </c>
      <c r="P394" s="14" t="n">
        <v>0</v>
      </c>
      <c r="Q394" s="14" t="n">
        <v>4431036.593560312</v>
      </c>
      <c r="R394" s="15">
        <f>IF(D394=1,"Section 1","Control")</f>
        <v/>
      </c>
      <c r="S394" s="16">
        <f>N394/10000</f>
        <v/>
      </c>
      <c r="T394" s="16">
        <f>P394/10000</f>
        <v/>
      </c>
      <c r="U394" s="15">
        <f>IF(N394&gt;=Summary!$D$3,1,0)</f>
        <v/>
      </c>
      <c r="V394" s="17">
        <f>IF(N394&gt;0,P394/N394,"")</f>
        <v/>
      </c>
      <c r="W394" s="17">
        <f>IF(O394&gt;0,H394/O394,"")</f>
        <v/>
      </c>
    </row>
    <row r="395">
      <c r="A395" s="13" t="inlineStr">
        <is>
          <t>T15_B1</t>
        </is>
      </c>
      <c r="B395" s="13" t="inlineStr">
        <is>
          <t>T15</t>
        </is>
      </c>
      <c r="C395" s="13" t="inlineStr">
        <is>
          <t>B1</t>
        </is>
      </c>
      <c r="D395" s="13" t="n">
        <v>1</v>
      </c>
      <c r="E395" s="13" t="inlineStr">
        <is>
          <t>S1</t>
        </is>
      </c>
      <c r="F395" s="13" t="n">
        <v>2021</v>
      </c>
      <c r="G395" s="14" t="n">
        <v>987877.266151608</v>
      </c>
      <c r="H395" s="14" t="n">
        <v>135660.7237891702</v>
      </c>
      <c r="I395" s="14" t="n">
        <v>97275.30688407748</v>
      </c>
      <c r="J395" s="14" t="n">
        <v>25321.97823381611</v>
      </c>
      <c r="K395" s="14" t="n">
        <v>389371.1291305543</v>
      </c>
      <c r="L395" s="14" t="n">
        <v>340248.1281139897</v>
      </c>
      <c r="M395" s="14" t="n">
        <v>0</v>
      </c>
      <c r="N395" s="14" t="n">
        <v>150161.7806629256</v>
      </c>
      <c r="O395" s="14" t="n">
        <v>649177.3557073855</v>
      </c>
      <c r="P395" s="14" t="n">
        <v>15411.62996164957</v>
      </c>
      <c r="Q395" s="14" t="n">
        <v>4431036.593560312</v>
      </c>
      <c r="R395" s="15">
        <f>IF(D395=1,"Section 1","Control")</f>
        <v/>
      </c>
      <c r="S395" s="16">
        <f>N395/10000</f>
        <v/>
      </c>
      <c r="T395" s="16">
        <f>P395/10000</f>
        <v/>
      </c>
      <c r="U395" s="15">
        <f>IF(N395&gt;=Summary!$D$3,1,0)</f>
        <v/>
      </c>
      <c r="V395" s="17">
        <f>IF(N395&gt;0,P395/N395,"")</f>
        <v/>
      </c>
      <c r="W395" s="17">
        <f>IF(O395&gt;0,H395/O395,"")</f>
        <v/>
      </c>
    </row>
    <row r="396">
      <c r="A396" s="13" t="inlineStr">
        <is>
          <t>T15_B1</t>
        </is>
      </c>
      <c r="B396" s="13" t="inlineStr">
        <is>
          <t>T15</t>
        </is>
      </c>
      <c r="C396" s="13" t="inlineStr">
        <is>
          <t>B1</t>
        </is>
      </c>
      <c r="D396" s="13" t="n">
        <v>1</v>
      </c>
      <c r="E396" s="13" t="inlineStr">
        <is>
          <t>S1</t>
        </is>
      </c>
      <c r="F396" s="13" t="n">
        <v>2022</v>
      </c>
      <c r="G396" s="14" t="n">
        <v>987877.266151608</v>
      </c>
      <c r="H396" s="14" t="n">
        <v>82712.35944043327</v>
      </c>
      <c r="I396" s="14" t="n">
        <v>111306.6547307632</v>
      </c>
      <c r="J396" s="14" t="n">
        <v>25321.97823381611</v>
      </c>
      <c r="K396" s="14" t="n">
        <v>425950.1392582614</v>
      </c>
      <c r="L396" s="14" t="n">
        <v>342586.1344883339</v>
      </c>
      <c r="M396" s="14" t="n">
        <v>0</v>
      </c>
      <c r="N396" s="14" t="n">
        <v>150161.7806629256</v>
      </c>
      <c r="O396" s="14" t="n">
        <v>649177.3557073855</v>
      </c>
      <c r="P396" s="14" t="n">
        <v>68041.75879268273</v>
      </c>
      <c r="Q396" s="14" t="n">
        <v>4431036.593560312</v>
      </c>
      <c r="R396" s="15">
        <f>IF(D396=1,"Section 1","Control")</f>
        <v/>
      </c>
      <c r="S396" s="16">
        <f>N396/10000</f>
        <v/>
      </c>
      <c r="T396" s="16">
        <f>P396/10000</f>
        <v/>
      </c>
      <c r="U396" s="15">
        <f>IF(N396&gt;=Summary!$D$3,1,0)</f>
        <v/>
      </c>
      <c r="V396" s="17">
        <f>IF(N396&gt;0,P396/N396,"")</f>
        <v/>
      </c>
      <c r="W396" s="17">
        <f>IF(O396&gt;0,H396/O396,"")</f>
        <v/>
      </c>
    </row>
    <row r="397">
      <c r="A397" s="13" t="inlineStr">
        <is>
          <t>T15_B1</t>
        </is>
      </c>
      <c r="B397" s="13" t="inlineStr">
        <is>
          <t>T15</t>
        </is>
      </c>
      <c r="C397" s="13" t="inlineStr">
        <is>
          <t>B1</t>
        </is>
      </c>
      <c r="D397" s="13" t="n">
        <v>1</v>
      </c>
      <c r="E397" s="13" t="inlineStr">
        <is>
          <t>S1</t>
        </is>
      </c>
      <c r="F397" s="13" t="n">
        <v>2023</v>
      </c>
      <c r="G397" s="14" t="n">
        <v>987877.266151608</v>
      </c>
      <c r="H397" s="14" t="n">
        <v>70172.59681782441</v>
      </c>
      <c r="I397" s="14" t="n">
        <v>108574.9274607939</v>
      </c>
      <c r="J397" s="14" t="n">
        <v>25321.97823381611</v>
      </c>
      <c r="K397" s="14" t="n">
        <v>438099.2551435584</v>
      </c>
      <c r="L397" s="14" t="n">
        <v>345708.508495615</v>
      </c>
      <c r="M397" s="14" t="n">
        <v>0</v>
      </c>
      <c r="N397" s="14" t="n">
        <v>150161.7806629256</v>
      </c>
      <c r="O397" s="14" t="n">
        <v>649177.3557073855</v>
      </c>
      <c r="P397" s="14" t="n">
        <v>81864.91266590194</v>
      </c>
      <c r="Q397" s="14" t="n">
        <v>4431036.593560312</v>
      </c>
      <c r="R397" s="15">
        <f>IF(D397=1,"Section 1","Control")</f>
        <v/>
      </c>
      <c r="S397" s="16">
        <f>N397/10000</f>
        <v/>
      </c>
      <c r="T397" s="16">
        <f>P397/10000</f>
        <v/>
      </c>
      <c r="U397" s="15">
        <f>IF(N397&gt;=Summary!$D$3,1,0)</f>
        <v/>
      </c>
      <c r="V397" s="17">
        <f>IF(N397&gt;0,P397/N397,"")</f>
        <v/>
      </c>
      <c r="W397" s="17">
        <f>IF(O397&gt;0,H397/O397,"")</f>
        <v/>
      </c>
    </row>
    <row r="398">
      <c r="A398" s="13" t="inlineStr">
        <is>
          <t>T15_B1</t>
        </is>
      </c>
      <c r="B398" s="13" t="inlineStr">
        <is>
          <t>T15</t>
        </is>
      </c>
      <c r="C398" s="13" t="inlineStr">
        <is>
          <t>B1</t>
        </is>
      </c>
      <c r="D398" s="13" t="n">
        <v>1</v>
      </c>
      <c r="E398" s="13" t="inlineStr">
        <is>
          <t>S1</t>
        </is>
      </c>
      <c r="F398" s="13" t="n">
        <v>2024</v>
      </c>
      <c r="G398" s="14" t="n">
        <v>987877.266151608</v>
      </c>
      <c r="H398" s="14" t="n">
        <v>59706.79940864712</v>
      </c>
      <c r="I398" s="14" t="n">
        <v>113108.4515872433</v>
      </c>
      <c r="J398" s="14" t="n">
        <v>23841.12628221699</v>
      </c>
      <c r="K398" s="14" t="n">
        <v>445512.3806906907</v>
      </c>
      <c r="L398" s="14" t="n">
        <v>345708.5081828099</v>
      </c>
      <c r="M398" s="14" t="n">
        <v>0</v>
      </c>
      <c r="N398" s="14" t="n">
        <v>150161.7806629256</v>
      </c>
      <c r="O398" s="14" t="n">
        <v>649177.3557073855</v>
      </c>
      <c r="P398" s="14" t="n">
        <v>93194.43587260527</v>
      </c>
      <c r="Q398" s="14" t="n">
        <v>4431036.593560312</v>
      </c>
      <c r="R398" s="15">
        <f>IF(D398=1,"Section 1","Control")</f>
        <v/>
      </c>
      <c r="S398" s="16">
        <f>N398/10000</f>
        <v/>
      </c>
      <c r="T398" s="16">
        <f>P398/10000</f>
        <v/>
      </c>
      <c r="U398" s="15">
        <f>IF(N398&gt;=Summary!$D$3,1,0)</f>
        <v/>
      </c>
      <c r="V398" s="17">
        <f>IF(N398&gt;0,P398/N398,"")</f>
        <v/>
      </c>
      <c r="W398" s="17">
        <f>IF(O398&gt;0,H398/O398,"")</f>
        <v/>
      </c>
    </row>
    <row r="399">
      <c r="A399" s="13" t="inlineStr">
        <is>
          <t>T15_B1</t>
        </is>
      </c>
      <c r="B399" s="13" t="inlineStr">
        <is>
          <t>T15</t>
        </is>
      </c>
      <c r="C399" s="13" t="inlineStr">
        <is>
          <t>B1</t>
        </is>
      </c>
      <c r="D399" s="13" t="n">
        <v>1</v>
      </c>
      <c r="E399" s="13" t="inlineStr">
        <is>
          <t>S1</t>
        </is>
      </c>
      <c r="F399" s="13" t="n">
        <v>2025</v>
      </c>
      <c r="G399" s="14" t="n">
        <v>987877.266151608</v>
      </c>
      <c r="H399" s="14" t="n">
        <v>59635.93350276573</v>
      </c>
      <c r="I399" s="14" t="n">
        <v>95242.29391165348</v>
      </c>
      <c r="J399" s="14" t="n">
        <v>15453.50526661592</v>
      </c>
      <c r="K399" s="14" t="n">
        <v>459560.0773968866</v>
      </c>
      <c r="L399" s="14" t="n">
        <v>357985.4560736862</v>
      </c>
      <c r="M399" s="14" t="n">
        <v>0</v>
      </c>
      <c r="N399" s="14" t="n">
        <v>150161.7806629256</v>
      </c>
      <c r="O399" s="14" t="n">
        <v>649177.3557073855</v>
      </c>
      <c r="P399" s="14" t="n">
        <v>98062.44356363337</v>
      </c>
      <c r="Q399" s="14" t="n">
        <v>4431036.593560312</v>
      </c>
      <c r="R399" s="15">
        <f>IF(D399=1,"Section 1","Control")</f>
        <v/>
      </c>
      <c r="S399" s="16">
        <f>N399/10000</f>
        <v/>
      </c>
      <c r="T399" s="16">
        <f>P399/10000</f>
        <v/>
      </c>
      <c r="U399" s="15">
        <f>IF(N399&gt;=Summary!$D$3,1,0)</f>
        <v/>
      </c>
      <c r="V399" s="17">
        <f>IF(N399&gt;0,P399/N399,"")</f>
        <v/>
      </c>
      <c r="W399" s="17">
        <f>IF(O399&gt;0,H399/O399,"")</f>
        <v/>
      </c>
    </row>
    <row r="400">
      <c r="A400" s="13" t="inlineStr">
        <is>
          <t>T15_B1</t>
        </is>
      </c>
      <c r="B400" s="13" t="inlineStr">
        <is>
          <t>T15</t>
        </is>
      </c>
      <c r="C400" s="13" t="inlineStr">
        <is>
          <t>B1</t>
        </is>
      </c>
      <c r="D400" s="13" t="n">
        <v>1</v>
      </c>
      <c r="E400" s="13" t="inlineStr">
        <is>
          <t>S1</t>
        </is>
      </c>
      <c r="F400" s="13" t="n">
        <v>2026</v>
      </c>
      <c r="G400" s="14" t="n">
        <v>987877.266151608</v>
      </c>
      <c r="H400" s="14" t="n">
        <v>52982.40832833682</v>
      </c>
      <c r="I400" s="14" t="n">
        <v>65046.90769725126</v>
      </c>
      <c r="J400" s="14" t="n">
        <v>6882.376477260215</v>
      </c>
      <c r="K400" s="14" t="n">
        <v>513445.5630198462</v>
      </c>
      <c r="L400" s="14" t="n">
        <v>349520.0106289134</v>
      </c>
      <c r="M400" s="14" t="n">
        <v>0</v>
      </c>
      <c r="N400" s="14" t="n">
        <v>150161.7806629256</v>
      </c>
      <c r="O400" s="14" t="n">
        <v>649177.3557073855</v>
      </c>
      <c r="P400" s="14" t="n">
        <v>102737.259888204</v>
      </c>
      <c r="Q400" s="14" t="n">
        <v>4431036.593560312</v>
      </c>
      <c r="R400" s="15">
        <f>IF(D400=1,"Section 1","Control")</f>
        <v/>
      </c>
      <c r="S400" s="16">
        <f>N400/10000</f>
        <v/>
      </c>
      <c r="T400" s="16">
        <f>P400/10000</f>
        <v/>
      </c>
      <c r="U400" s="15">
        <f>IF(N400&gt;=Summary!$D$3,1,0)</f>
        <v/>
      </c>
      <c r="V400" s="17">
        <f>IF(N400&gt;0,P400/N400,"")</f>
        <v/>
      </c>
      <c r="W400" s="17">
        <f>IF(O400&gt;0,H400/O400,"")</f>
        <v/>
      </c>
    </row>
    <row r="401">
      <c r="A401" s="13" t="inlineStr">
        <is>
          <t>T15_B2</t>
        </is>
      </c>
      <c r="B401" s="13" t="inlineStr">
        <is>
          <t>T15</t>
        </is>
      </c>
      <c r="C401" s="13" t="inlineStr">
        <is>
          <t>B2</t>
        </is>
      </c>
      <c r="D401" s="13" t="n">
        <v>1</v>
      </c>
      <c r="E401" s="13" t="inlineStr">
        <is>
          <t>S1</t>
        </is>
      </c>
      <c r="F401" s="13" t="n">
        <v>2020</v>
      </c>
      <c r="G401" s="14" t="n">
        <v>977937.3374221204</v>
      </c>
      <c r="H401" s="14" t="n">
        <v>16186.12259183397</v>
      </c>
      <c r="I401" s="14" t="n">
        <v>85129.82032829736</v>
      </c>
      <c r="J401" s="14" t="n">
        <v>0</v>
      </c>
      <c r="K401" s="14" t="n">
        <v>332824.7474563001</v>
      </c>
      <c r="L401" s="14" t="n">
        <v>543796.6470456891</v>
      </c>
      <c r="M401" s="14" t="n">
        <v>0</v>
      </c>
      <c r="N401" s="14" t="n">
        <v>16186.12259183397</v>
      </c>
      <c r="O401" s="14" t="n">
        <v>434140.6903764313</v>
      </c>
      <c r="P401" s="14" t="n">
        <v>0</v>
      </c>
      <c r="Q401" s="14" t="n">
        <v>3274885.061185052</v>
      </c>
      <c r="R401" s="15">
        <f>IF(D401=1,"Section 1","Control")</f>
        <v/>
      </c>
      <c r="S401" s="16">
        <f>N401/10000</f>
        <v/>
      </c>
      <c r="T401" s="16">
        <f>P401/10000</f>
        <v/>
      </c>
      <c r="U401" s="15">
        <f>IF(N401&gt;=Summary!$D$3,1,0)</f>
        <v/>
      </c>
      <c r="V401" s="17">
        <f>IF(N401&gt;0,P401/N401,"")</f>
        <v/>
      </c>
      <c r="W401" s="17">
        <f>IF(O401&gt;0,H401/O401,"")</f>
        <v/>
      </c>
    </row>
    <row r="402">
      <c r="A402" s="13" t="inlineStr">
        <is>
          <t>T15_B2</t>
        </is>
      </c>
      <c r="B402" s="13" t="inlineStr">
        <is>
          <t>T15</t>
        </is>
      </c>
      <c r="C402" s="13" t="inlineStr">
        <is>
          <t>B2</t>
        </is>
      </c>
      <c r="D402" s="13" t="n">
        <v>1</v>
      </c>
      <c r="E402" s="13" t="inlineStr">
        <is>
          <t>S1</t>
        </is>
      </c>
      <c r="F402" s="13" t="n">
        <v>2021</v>
      </c>
      <c r="G402" s="14" t="n">
        <v>977937.3374221204</v>
      </c>
      <c r="H402" s="14" t="n">
        <v>7058.427533647126</v>
      </c>
      <c r="I402" s="14" t="n">
        <v>83317.61089094574</v>
      </c>
      <c r="J402" s="14" t="n">
        <v>0</v>
      </c>
      <c r="K402" s="14" t="n">
        <v>343764.6519518385</v>
      </c>
      <c r="L402" s="14" t="n">
        <v>543796.6470456891</v>
      </c>
      <c r="M402" s="14" t="n">
        <v>0</v>
      </c>
      <c r="N402" s="14" t="n">
        <v>16186.12259183397</v>
      </c>
      <c r="O402" s="14" t="n">
        <v>434140.6903764313</v>
      </c>
      <c r="P402" s="14" t="n">
        <v>9127.69505818685</v>
      </c>
      <c r="Q402" s="14" t="n">
        <v>3274885.061185052</v>
      </c>
      <c r="R402" s="15">
        <f>IF(D402=1,"Section 1","Control")</f>
        <v/>
      </c>
      <c r="S402" s="16">
        <f>N402/10000</f>
        <v/>
      </c>
      <c r="T402" s="16">
        <f>P402/10000</f>
        <v/>
      </c>
      <c r="U402" s="15">
        <f>IF(N402&gt;=Summary!$D$3,1,0)</f>
        <v/>
      </c>
      <c r="V402" s="17">
        <f>IF(N402&gt;0,P402/N402,"")</f>
        <v/>
      </c>
      <c r="W402" s="17">
        <f>IF(O402&gt;0,H402/O402,"")</f>
        <v/>
      </c>
    </row>
    <row r="403">
      <c r="A403" s="13" t="inlineStr">
        <is>
          <t>T15_B2</t>
        </is>
      </c>
      <c r="B403" s="13" t="inlineStr">
        <is>
          <t>T15</t>
        </is>
      </c>
      <c r="C403" s="13" t="inlineStr">
        <is>
          <t>B2</t>
        </is>
      </c>
      <c r="D403" s="13" t="n">
        <v>1</v>
      </c>
      <c r="E403" s="13" t="inlineStr">
        <is>
          <t>S1</t>
        </is>
      </c>
      <c r="F403" s="13" t="n">
        <v>2022</v>
      </c>
      <c r="G403" s="14" t="n">
        <v>977937.3374221204</v>
      </c>
      <c r="H403" s="14" t="n">
        <v>4146.324111938477</v>
      </c>
      <c r="I403" s="14" t="n">
        <v>69554.59767476999</v>
      </c>
      <c r="J403" s="14" t="n">
        <v>0</v>
      </c>
      <c r="K403" s="14" t="n">
        <v>360439.7685897229</v>
      </c>
      <c r="L403" s="14" t="n">
        <v>543796.6470456891</v>
      </c>
      <c r="M403" s="14" t="n">
        <v>0</v>
      </c>
      <c r="N403" s="14" t="n">
        <v>16186.12259183397</v>
      </c>
      <c r="O403" s="14" t="n">
        <v>434140.6903764313</v>
      </c>
      <c r="P403" s="14" t="n">
        <v>12039.7984798955</v>
      </c>
      <c r="Q403" s="14" t="n">
        <v>3274885.061185052</v>
      </c>
      <c r="R403" s="15">
        <f>IF(D403=1,"Section 1","Control")</f>
        <v/>
      </c>
      <c r="S403" s="16">
        <f>N403/10000</f>
        <v/>
      </c>
      <c r="T403" s="16">
        <f>P403/10000</f>
        <v/>
      </c>
      <c r="U403" s="15">
        <f>IF(N403&gt;=Summary!$D$3,1,0)</f>
        <v/>
      </c>
      <c r="V403" s="17">
        <f>IF(N403&gt;0,P403/N403,"")</f>
        <v/>
      </c>
      <c r="W403" s="17">
        <f>IF(O403&gt;0,H403/O403,"")</f>
        <v/>
      </c>
    </row>
    <row r="404">
      <c r="A404" s="13" t="inlineStr">
        <is>
          <t>T15_B2</t>
        </is>
      </c>
      <c r="B404" s="13" t="inlineStr">
        <is>
          <t>T15</t>
        </is>
      </c>
      <c r="C404" s="13" t="inlineStr">
        <is>
          <t>B2</t>
        </is>
      </c>
      <c r="D404" s="13" t="n">
        <v>1</v>
      </c>
      <c r="E404" s="13" t="inlineStr">
        <is>
          <t>S1</t>
        </is>
      </c>
      <c r="F404" s="13" t="n">
        <v>2023</v>
      </c>
      <c r="G404" s="14" t="n">
        <v>977937.3374221204</v>
      </c>
      <c r="H404" s="14" t="n">
        <v>2566.771766662598</v>
      </c>
      <c r="I404" s="14" t="n">
        <v>46317.72650206323</v>
      </c>
      <c r="J404" s="14" t="n">
        <v>0</v>
      </c>
      <c r="K404" s="14" t="n">
        <v>385256.1921077055</v>
      </c>
      <c r="L404" s="14" t="n">
        <v>543796.6470456891</v>
      </c>
      <c r="M404" s="14" t="n">
        <v>0</v>
      </c>
      <c r="N404" s="14" t="n">
        <v>16186.12259183397</v>
      </c>
      <c r="O404" s="14" t="n">
        <v>434140.6903764313</v>
      </c>
      <c r="P404" s="14" t="n">
        <v>13718.07258878222</v>
      </c>
      <c r="Q404" s="14" t="n">
        <v>3274885.061185052</v>
      </c>
      <c r="R404" s="15">
        <f>IF(D404=1,"Section 1","Control")</f>
        <v/>
      </c>
      <c r="S404" s="16">
        <f>N404/10000</f>
        <v/>
      </c>
      <c r="T404" s="16">
        <f>P404/10000</f>
        <v/>
      </c>
      <c r="U404" s="15">
        <f>IF(N404&gt;=Summary!$D$3,1,0)</f>
        <v/>
      </c>
      <c r="V404" s="17">
        <f>IF(N404&gt;0,P404/N404,"")</f>
        <v/>
      </c>
      <c r="W404" s="17">
        <f>IF(O404&gt;0,H404/O404,"")</f>
        <v/>
      </c>
    </row>
    <row r="405">
      <c r="A405" s="13" t="inlineStr">
        <is>
          <t>T15_B2</t>
        </is>
      </c>
      <c r="B405" s="13" t="inlineStr">
        <is>
          <t>T15</t>
        </is>
      </c>
      <c r="C405" s="13" t="inlineStr">
        <is>
          <t>B2</t>
        </is>
      </c>
      <c r="D405" s="13" t="n">
        <v>1</v>
      </c>
      <c r="E405" s="13" t="inlineStr">
        <is>
          <t>S1</t>
        </is>
      </c>
      <c r="F405" s="13" t="n">
        <v>2024</v>
      </c>
      <c r="G405" s="14" t="n">
        <v>977937.3374221204</v>
      </c>
      <c r="H405" s="14" t="n">
        <v>2591.549753316244</v>
      </c>
      <c r="I405" s="14" t="n">
        <v>71128.73727593516</v>
      </c>
      <c r="J405" s="14" t="n">
        <v>0</v>
      </c>
      <c r="K405" s="14" t="n">
        <v>360420.4033471799</v>
      </c>
      <c r="L405" s="14" t="n">
        <v>543796.6470456891</v>
      </c>
      <c r="M405" s="14" t="n">
        <v>0</v>
      </c>
      <c r="N405" s="14" t="n">
        <v>16186.12259183397</v>
      </c>
      <c r="O405" s="14" t="n">
        <v>434140.6903764313</v>
      </c>
      <c r="P405" s="14" t="n">
        <v>13816.79438291063</v>
      </c>
      <c r="Q405" s="14" t="n">
        <v>3274885.061185052</v>
      </c>
      <c r="R405" s="15">
        <f>IF(D405=1,"Section 1","Control")</f>
        <v/>
      </c>
      <c r="S405" s="16">
        <f>N405/10000</f>
        <v/>
      </c>
      <c r="T405" s="16">
        <f>P405/10000</f>
        <v/>
      </c>
      <c r="U405" s="15">
        <f>IF(N405&gt;=Summary!$D$3,1,0)</f>
        <v/>
      </c>
      <c r="V405" s="17">
        <f>IF(N405&gt;0,P405/N405,"")</f>
        <v/>
      </c>
      <c r="W405" s="17">
        <f>IF(O405&gt;0,H405/O405,"")</f>
        <v/>
      </c>
    </row>
    <row r="406">
      <c r="A406" s="13" t="inlineStr">
        <is>
          <t>T15_B2</t>
        </is>
      </c>
      <c r="B406" s="13" t="inlineStr">
        <is>
          <t>T15</t>
        </is>
      </c>
      <c r="C406" s="13" t="inlineStr">
        <is>
          <t>B2</t>
        </is>
      </c>
      <c r="D406" s="13" t="n">
        <v>1</v>
      </c>
      <c r="E406" s="13" t="inlineStr">
        <is>
          <t>S1</t>
        </is>
      </c>
      <c r="F406" s="13" t="n">
        <v>2025</v>
      </c>
      <c r="G406" s="14" t="n">
        <v>977937.3374221204</v>
      </c>
      <c r="H406" s="14" t="n">
        <v>4267.502351229799</v>
      </c>
      <c r="I406" s="14" t="n">
        <v>71251.8501183005</v>
      </c>
      <c r="J406" s="14" t="n">
        <v>0</v>
      </c>
      <c r="K406" s="14" t="n">
        <v>358621.337906901</v>
      </c>
      <c r="L406" s="14" t="n">
        <v>543796.6470456891</v>
      </c>
      <c r="M406" s="14" t="n">
        <v>0</v>
      </c>
      <c r="N406" s="14" t="n">
        <v>16186.12259183397</v>
      </c>
      <c r="O406" s="14" t="n">
        <v>434140.6903764313</v>
      </c>
      <c r="P406" s="14" t="n">
        <v>14014.23768887987</v>
      </c>
      <c r="Q406" s="14" t="n">
        <v>3274885.061185052</v>
      </c>
      <c r="R406" s="15">
        <f>IF(D406=1,"Section 1","Control")</f>
        <v/>
      </c>
      <c r="S406" s="16">
        <f>N406/10000</f>
        <v/>
      </c>
      <c r="T406" s="16">
        <f>P406/10000</f>
        <v/>
      </c>
      <c r="U406" s="15">
        <f>IF(N406&gt;=Summary!$D$3,1,0)</f>
        <v/>
      </c>
      <c r="V406" s="17">
        <f>IF(N406&gt;0,P406/N406,"")</f>
        <v/>
      </c>
      <c r="W406" s="17">
        <f>IF(O406&gt;0,H406/O406,"")</f>
        <v/>
      </c>
    </row>
    <row r="407">
      <c r="A407" s="13" t="inlineStr">
        <is>
          <t>T15_B2</t>
        </is>
      </c>
      <c r="B407" s="13" t="inlineStr">
        <is>
          <t>T15</t>
        </is>
      </c>
      <c r="C407" s="13" t="inlineStr">
        <is>
          <t>B2</t>
        </is>
      </c>
      <c r="D407" s="13" t="n">
        <v>1</v>
      </c>
      <c r="E407" s="13" t="inlineStr">
        <is>
          <t>S1</t>
        </is>
      </c>
      <c r="F407" s="13" t="n">
        <v>2026</v>
      </c>
      <c r="G407" s="14" t="n">
        <v>977937.3374221204</v>
      </c>
      <c r="H407" s="14" t="n">
        <v>4289.183728685566</v>
      </c>
      <c r="I407" s="14" t="n">
        <v>48162.87196125704</v>
      </c>
      <c r="J407" s="14" t="n">
        <v>0</v>
      </c>
      <c r="K407" s="14" t="n">
        <v>381688.6346864888</v>
      </c>
      <c r="L407" s="14" t="n">
        <v>543796.6470456891</v>
      </c>
      <c r="M407" s="14" t="n">
        <v>0</v>
      </c>
      <c r="N407" s="14" t="n">
        <v>16186.12259183397</v>
      </c>
      <c r="O407" s="14" t="n">
        <v>434140.6903764313</v>
      </c>
      <c r="P407" s="14" t="n">
        <v>14211.68174252977</v>
      </c>
      <c r="Q407" s="14" t="n">
        <v>3274885.061185052</v>
      </c>
      <c r="R407" s="15">
        <f>IF(D407=1,"Section 1","Control")</f>
        <v/>
      </c>
      <c r="S407" s="16">
        <f>N407/10000</f>
        <v/>
      </c>
      <c r="T407" s="16">
        <f>P407/10000</f>
        <v/>
      </c>
      <c r="U407" s="15">
        <f>IF(N407&gt;=Summary!$D$3,1,0)</f>
        <v/>
      </c>
      <c r="V407" s="17">
        <f>IF(N407&gt;0,P407/N407,"")</f>
        <v/>
      </c>
      <c r="W407" s="17">
        <f>IF(O407&gt;0,H407/O407,"")</f>
        <v/>
      </c>
    </row>
    <row r="408">
      <c r="A408" s="13" t="inlineStr">
        <is>
          <t>T15_B3</t>
        </is>
      </c>
      <c r="B408" s="13" t="inlineStr">
        <is>
          <t>T15</t>
        </is>
      </c>
      <c r="C408" s="13" t="inlineStr">
        <is>
          <t>B3</t>
        </is>
      </c>
      <c r="D408" s="13" t="n">
        <v>1</v>
      </c>
      <c r="E408" s="13" t="inlineStr">
        <is>
          <t>S1</t>
        </is>
      </c>
      <c r="F408" s="13" t="n">
        <v>2020</v>
      </c>
      <c r="G408" s="14" t="n">
        <v>7342615.992733347</v>
      </c>
      <c r="H408" s="14" t="n">
        <v>180368.9190235213</v>
      </c>
      <c r="I408" s="14" t="n">
        <v>9304.266340308095</v>
      </c>
      <c r="J408" s="14" t="n">
        <v>0</v>
      </c>
      <c r="K408" s="14" t="n">
        <v>1641945.785081004</v>
      </c>
      <c r="L408" s="14" t="n">
        <v>5510997.022288514</v>
      </c>
      <c r="M408" s="14" t="n">
        <v>0</v>
      </c>
      <c r="N408" s="14" t="n">
        <v>180368.9190235213</v>
      </c>
      <c r="O408" s="14" t="n">
        <v>1831618.970444832</v>
      </c>
      <c r="P408" s="14" t="n">
        <v>0</v>
      </c>
      <c r="Q408" s="14" t="n">
        <v>7965699.077520572</v>
      </c>
      <c r="R408" s="15">
        <f>IF(D408=1,"Section 1","Control")</f>
        <v/>
      </c>
      <c r="S408" s="16">
        <f>N408/10000</f>
        <v/>
      </c>
      <c r="T408" s="16">
        <f>P408/10000</f>
        <v/>
      </c>
      <c r="U408" s="15">
        <f>IF(N408&gt;=Summary!$D$3,1,0)</f>
        <v/>
      </c>
      <c r="V408" s="17">
        <f>IF(N408&gt;0,P408/N408,"")</f>
        <v/>
      </c>
      <c r="W408" s="17">
        <f>IF(O408&gt;0,H408/O408,"")</f>
        <v/>
      </c>
    </row>
    <row r="409">
      <c r="A409" s="13" t="inlineStr">
        <is>
          <t>T15_B3</t>
        </is>
      </c>
      <c r="B409" s="13" t="inlineStr">
        <is>
          <t>T15</t>
        </is>
      </c>
      <c r="C409" s="13" t="inlineStr">
        <is>
          <t>B3</t>
        </is>
      </c>
      <c r="D409" s="13" t="n">
        <v>1</v>
      </c>
      <c r="E409" s="13" t="inlineStr">
        <is>
          <t>S1</t>
        </is>
      </c>
      <c r="F409" s="13" t="n">
        <v>2021</v>
      </c>
      <c r="G409" s="14" t="n">
        <v>7342615.992733346</v>
      </c>
      <c r="H409" s="14" t="n">
        <v>102774.3006030214</v>
      </c>
      <c r="I409" s="14" t="n">
        <v>10408.78107868269</v>
      </c>
      <c r="J409" s="14" t="n">
        <v>0</v>
      </c>
      <c r="K409" s="14" t="n">
        <v>1718435.888763129</v>
      </c>
      <c r="L409" s="14" t="n">
        <v>5510997.022288513</v>
      </c>
      <c r="M409" s="14" t="n">
        <v>0</v>
      </c>
      <c r="N409" s="14" t="n">
        <v>180368.9190235213</v>
      </c>
      <c r="O409" s="14" t="n">
        <v>1831618.970444832</v>
      </c>
      <c r="P409" s="14" t="n">
        <v>77594.6184204999</v>
      </c>
      <c r="Q409" s="14" t="n">
        <v>7965699.077520572</v>
      </c>
      <c r="R409" s="15">
        <f>IF(D409=1,"Section 1","Control")</f>
        <v/>
      </c>
      <c r="S409" s="16">
        <f>N409/10000</f>
        <v/>
      </c>
      <c r="T409" s="16">
        <f>P409/10000</f>
        <v/>
      </c>
      <c r="U409" s="15">
        <f>IF(N409&gt;=Summary!$D$3,1,0)</f>
        <v/>
      </c>
      <c r="V409" s="17">
        <f>IF(N409&gt;0,P409/N409,"")</f>
        <v/>
      </c>
      <c r="W409" s="17">
        <f>IF(O409&gt;0,H409/O409,"")</f>
        <v/>
      </c>
    </row>
    <row r="410">
      <c r="A410" s="13" t="inlineStr">
        <is>
          <t>T15_B3</t>
        </is>
      </c>
      <c r="B410" s="13" t="inlineStr">
        <is>
          <t>T15</t>
        </is>
      </c>
      <c r="C410" s="13" t="inlineStr">
        <is>
          <t>B3</t>
        </is>
      </c>
      <c r="D410" s="13" t="n">
        <v>1</v>
      </c>
      <c r="E410" s="13" t="inlineStr">
        <is>
          <t>S1</t>
        </is>
      </c>
      <c r="F410" s="13" t="n">
        <v>2022</v>
      </c>
      <c r="G410" s="14" t="n">
        <v>7342615.992733347</v>
      </c>
      <c r="H410" s="14" t="n">
        <v>32487.39765451469</v>
      </c>
      <c r="I410" s="14" t="n">
        <v>26677.19055636537</v>
      </c>
      <c r="J410" s="14" t="n">
        <v>0</v>
      </c>
      <c r="K410" s="14" t="n">
        <v>1772454.382233952</v>
      </c>
      <c r="L410" s="14" t="n">
        <v>5510997.022288513</v>
      </c>
      <c r="M410" s="14" t="n">
        <v>0</v>
      </c>
      <c r="N410" s="14" t="n">
        <v>180368.9190235213</v>
      </c>
      <c r="O410" s="14" t="n">
        <v>1831618.970444832</v>
      </c>
      <c r="P410" s="14" t="n">
        <v>147980.2426367068</v>
      </c>
      <c r="Q410" s="14" t="n">
        <v>7965699.077520572</v>
      </c>
      <c r="R410" s="15">
        <f>IF(D410=1,"Section 1","Control")</f>
        <v/>
      </c>
      <c r="S410" s="16">
        <f>N410/10000</f>
        <v/>
      </c>
      <c r="T410" s="16">
        <f>P410/10000</f>
        <v/>
      </c>
      <c r="U410" s="15">
        <f>IF(N410&gt;=Summary!$D$3,1,0)</f>
        <v/>
      </c>
      <c r="V410" s="17">
        <f>IF(N410&gt;0,P410/N410,"")</f>
        <v/>
      </c>
      <c r="W410" s="17">
        <f>IF(O410&gt;0,H410/O410,"")</f>
        <v/>
      </c>
    </row>
    <row r="411">
      <c r="A411" s="13" t="inlineStr">
        <is>
          <t>T15_B3</t>
        </is>
      </c>
      <c r="B411" s="13" t="inlineStr">
        <is>
          <t>T15</t>
        </is>
      </c>
      <c r="C411" s="13" t="inlineStr">
        <is>
          <t>B3</t>
        </is>
      </c>
      <c r="D411" s="13" t="n">
        <v>1</v>
      </c>
      <c r="E411" s="13" t="inlineStr">
        <is>
          <t>S1</t>
        </is>
      </c>
      <c r="F411" s="13" t="n">
        <v>2023</v>
      </c>
      <c r="G411" s="14" t="n">
        <v>7342615.992733346</v>
      </c>
      <c r="H411" s="14" t="n">
        <v>24124.50898207122</v>
      </c>
      <c r="I411" s="14" t="n">
        <v>29851.14878887101</v>
      </c>
      <c r="J411" s="14" t="n">
        <v>0</v>
      </c>
      <c r="K411" s="14" t="n">
        <v>1777521.371103833</v>
      </c>
      <c r="L411" s="14" t="n">
        <v>5511118.963858571</v>
      </c>
      <c r="M411" s="14" t="n">
        <v>0</v>
      </c>
      <c r="N411" s="14" t="n">
        <v>180368.9190235213</v>
      </c>
      <c r="O411" s="14" t="n">
        <v>1831618.970444832</v>
      </c>
      <c r="P411" s="14" t="n">
        <v>157626.5027385936</v>
      </c>
      <c r="Q411" s="14" t="n">
        <v>7965699.077520572</v>
      </c>
      <c r="R411" s="15">
        <f>IF(D411=1,"Section 1","Control")</f>
        <v/>
      </c>
      <c r="S411" s="16">
        <f>N411/10000</f>
        <v/>
      </c>
      <c r="T411" s="16">
        <f>P411/10000</f>
        <v/>
      </c>
      <c r="U411" s="15">
        <f>IF(N411&gt;=Summary!$D$3,1,0)</f>
        <v/>
      </c>
      <c r="V411" s="17">
        <f>IF(N411&gt;0,P411/N411,"")</f>
        <v/>
      </c>
      <c r="W411" s="17">
        <f>IF(O411&gt;0,H411/O411,"")</f>
        <v/>
      </c>
    </row>
    <row r="412">
      <c r="A412" s="13" t="inlineStr">
        <is>
          <t>T15_B3</t>
        </is>
      </c>
      <c r="B412" s="13" t="inlineStr">
        <is>
          <t>T15</t>
        </is>
      </c>
      <c r="C412" s="13" t="inlineStr">
        <is>
          <t>B3</t>
        </is>
      </c>
      <c r="D412" s="13" t="n">
        <v>1</v>
      </c>
      <c r="E412" s="13" t="inlineStr">
        <is>
          <t>S1</t>
        </is>
      </c>
      <c r="F412" s="13" t="n">
        <v>2024</v>
      </c>
      <c r="G412" s="14" t="n">
        <v>7342615.992733346</v>
      </c>
      <c r="H412" s="14" t="n">
        <v>26471.69837927725</v>
      </c>
      <c r="I412" s="14" t="n">
        <v>52757.07827247171</v>
      </c>
      <c r="J412" s="14" t="n">
        <v>0</v>
      </c>
      <c r="K412" s="14" t="n">
        <v>1752390.193793084</v>
      </c>
      <c r="L412" s="14" t="n">
        <v>5510997.022288514</v>
      </c>
      <c r="M412" s="14" t="n">
        <v>0</v>
      </c>
      <c r="N412" s="14" t="n">
        <v>180368.9190235213</v>
      </c>
      <c r="O412" s="14" t="n">
        <v>1831618.970444832</v>
      </c>
      <c r="P412" s="14" t="n">
        <v>159008.5534893261</v>
      </c>
      <c r="Q412" s="14" t="n">
        <v>7965699.077520572</v>
      </c>
      <c r="R412" s="15">
        <f>IF(D412=1,"Section 1","Control")</f>
        <v/>
      </c>
      <c r="S412" s="16">
        <f>N412/10000</f>
        <v/>
      </c>
      <c r="T412" s="16">
        <f>P412/10000</f>
        <v/>
      </c>
      <c r="U412" s="15">
        <f>IF(N412&gt;=Summary!$D$3,1,0)</f>
        <v/>
      </c>
      <c r="V412" s="17">
        <f>IF(N412&gt;0,P412/N412,"")</f>
        <v/>
      </c>
      <c r="W412" s="17">
        <f>IF(O412&gt;0,H412/O412,"")</f>
        <v/>
      </c>
    </row>
    <row r="413">
      <c r="A413" s="13" t="inlineStr">
        <is>
          <t>T15_B3</t>
        </is>
      </c>
      <c r="B413" s="13" t="inlineStr">
        <is>
          <t>T15</t>
        </is>
      </c>
      <c r="C413" s="13" t="inlineStr">
        <is>
          <t>B3</t>
        </is>
      </c>
      <c r="D413" s="13" t="n">
        <v>1</v>
      </c>
      <c r="E413" s="13" t="inlineStr">
        <is>
          <t>S1</t>
        </is>
      </c>
      <c r="F413" s="13" t="n">
        <v>2025</v>
      </c>
      <c r="G413" s="14" t="n">
        <v>7342615.992733346</v>
      </c>
      <c r="H413" s="14" t="n">
        <v>27532.45082361557</v>
      </c>
      <c r="I413" s="14" t="n">
        <v>35631.49493064132</v>
      </c>
      <c r="J413" s="14" t="n">
        <v>0</v>
      </c>
      <c r="K413" s="14" t="n">
        <v>1768455.024690576</v>
      </c>
      <c r="L413" s="14" t="n">
        <v>5510997.022288513</v>
      </c>
      <c r="M413" s="14" t="n">
        <v>0</v>
      </c>
      <c r="N413" s="14" t="n">
        <v>180368.9190235213</v>
      </c>
      <c r="O413" s="14" t="n">
        <v>1831618.970444832</v>
      </c>
      <c r="P413" s="14" t="n">
        <v>164567.4143724928</v>
      </c>
      <c r="Q413" s="14" t="n">
        <v>7965699.077520572</v>
      </c>
      <c r="R413" s="15">
        <f>IF(D413=1,"Section 1","Control")</f>
        <v/>
      </c>
      <c r="S413" s="16">
        <f>N413/10000</f>
        <v/>
      </c>
      <c r="T413" s="16">
        <f>P413/10000</f>
        <v/>
      </c>
      <c r="U413" s="15">
        <f>IF(N413&gt;=Summary!$D$3,1,0)</f>
        <v/>
      </c>
      <c r="V413" s="17">
        <f>IF(N413&gt;0,P413/N413,"")</f>
        <v/>
      </c>
      <c r="W413" s="17">
        <f>IF(O413&gt;0,H413/O413,"")</f>
        <v/>
      </c>
    </row>
    <row r="414">
      <c r="A414" s="13" t="inlineStr">
        <is>
          <t>T15_B3</t>
        </is>
      </c>
      <c r="B414" s="13" t="inlineStr">
        <is>
          <t>T15</t>
        </is>
      </c>
      <c r="C414" s="13" t="inlineStr">
        <is>
          <t>B3</t>
        </is>
      </c>
      <c r="D414" s="13" t="n">
        <v>1</v>
      </c>
      <c r="E414" s="13" t="inlineStr">
        <is>
          <t>S1</t>
        </is>
      </c>
      <c r="F414" s="13" t="n">
        <v>2026</v>
      </c>
      <c r="G414" s="14" t="n">
        <v>7342615.992733346</v>
      </c>
      <c r="H414" s="14" t="n">
        <v>25313.43055515664</v>
      </c>
      <c r="I414" s="14" t="n">
        <v>43828.99894828048</v>
      </c>
      <c r="J414" s="14" t="n">
        <v>0</v>
      </c>
      <c r="K414" s="14" t="n">
        <v>1762476.540941396</v>
      </c>
      <c r="L414" s="14" t="n">
        <v>5510997.022288514</v>
      </c>
      <c r="M414" s="14" t="n">
        <v>0</v>
      </c>
      <c r="N414" s="14" t="n">
        <v>180368.9190235213</v>
      </c>
      <c r="O414" s="14" t="n">
        <v>1831618.970444832</v>
      </c>
      <c r="P414" s="14" t="n">
        <v>165949.4981127272</v>
      </c>
      <c r="Q414" s="14" t="n">
        <v>7965699.077520572</v>
      </c>
      <c r="R414" s="15">
        <f>IF(D414=1,"Section 1","Control")</f>
        <v/>
      </c>
      <c r="S414" s="16">
        <f>N414/10000</f>
        <v/>
      </c>
      <c r="T414" s="16">
        <f>P414/10000</f>
        <v/>
      </c>
      <c r="U414" s="15">
        <f>IF(N414&gt;=Summary!$D$3,1,0)</f>
        <v/>
      </c>
      <c r="V414" s="17">
        <f>IF(N414&gt;0,P414/N414,"")</f>
        <v/>
      </c>
      <c r="W414" s="17">
        <f>IF(O414&gt;0,H414/O414,"")</f>
        <v/>
      </c>
    </row>
    <row r="415">
      <c r="A415" s="13" t="inlineStr">
        <is>
          <t>T15_F</t>
        </is>
      </c>
      <c r="B415" s="13" t="inlineStr">
        <is>
          <t>T15</t>
        </is>
      </c>
      <c r="C415" s="13" t="inlineStr">
        <is>
          <t>F</t>
        </is>
      </c>
      <c r="D415" s="13" t="n">
        <v>1</v>
      </c>
      <c r="E415" s="13" t="inlineStr">
        <is>
          <t>S1</t>
        </is>
      </c>
      <c r="F415" s="13" t="n">
        <v>2020</v>
      </c>
      <c r="G415" s="14" t="n">
        <v>55443.74824320474</v>
      </c>
      <c r="H415" s="14" t="n">
        <v>5840.932894448673</v>
      </c>
      <c r="I415" s="14" t="n">
        <v>2209.851177499809</v>
      </c>
      <c r="J415" s="14" t="n">
        <v>0</v>
      </c>
      <c r="K415" s="14" t="n">
        <v>47392.96417125626</v>
      </c>
      <c r="L415" s="14" t="n">
        <v>0</v>
      </c>
      <c r="M415" s="14" t="n">
        <v>0</v>
      </c>
      <c r="N415" s="14" t="n">
        <v>5840.932894448673</v>
      </c>
      <c r="O415" s="14" t="n">
        <v>55443.74824320474</v>
      </c>
      <c r="P415" s="14" t="n">
        <v>0</v>
      </c>
      <c r="Q415" s="14" t="n">
        <v>488911.5785274729</v>
      </c>
      <c r="R415" s="15">
        <f>IF(D415=1,"Section 1","Control")</f>
        <v/>
      </c>
      <c r="S415" s="16">
        <f>N415/10000</f>
        <v/>
      </c>
      <c r="T415" s="16">
        <f>P415/10000</f>
        <v/>
      </c>
      <c r="U415" s="15">
        <f>IF(N415&gt;=Summary!$D$3,1,0)</f>
        <v/>
      </c>
      <c r="V415" s="17">
        <f>IF(N415&gt;0,P415/N415,"")</f>
        <v/>
      </c>
      <c r="W415" s="17">
        <f>IF(O415&gt;0,H415/O415,"")</f>
        <v/>
      </c>
    </row>
    <row r="416">
      <c r="A416" s="13" t="inlineStr">
        <is>
          <t>T15_F</t>
        </is>
      </c>
      <c r="B416" s="13" t="inlineStr">
        <is>
          <t>T15</t>
        </is>
      </c>
      <c r="C416" s="13" t="inlineStr">
        <is>
          <t>F</t>
        </is>
      </c>
      <c r="D416" s="13" t="n">
        <v>1</v>
      </c>
      <c r="E416" s="13" t="inlineStr">
        <is>
          <t>S1</t>
        </is>
      </c>
      <c r="F416" s="13" t="n">
        <v>2021</v>
      </c>
      <c r="G416" s="14" t="n">
        <v>55443.74824320474</v>
      </c>
      <c r="H416" s="14" t="n">
        <v>3338.395281832826</v>
      </c>
      <c r="I416" s="14" t="n">
        <v>3471.185879546522</v>
      </c>
      <c r="J416" s="14" t="n">
        <v>0</v>
      </c>
      <c r="K416" s="14" t="n">
        <v>48634.16708182539</v>
      </c>
      <c r="L416" s="14" t="n">
        <v>0</v>
      </c>
      <c r="M416" s="14" t="n">
        <v>0</v>
      </c>
      <c r="N416" s="14" t="n">
        <v>5840.932894448673</v>
      </c>
      <c r="O416" s="14" t="n">
        <v>55443.74824320474</v>
      </c>
      <c r="P416" s="14" t="n">
        <v>2502.537612615847</v>
      </c>
      <c r="Q416" s="14" t="n">
        <v>488911.5785274729</v>
      </c>
      <c r="R416" s="15">
        <f>IF(D416=1,"Section 1","Control")</f>
        <v/>
      </c>
      <c r="S416" s="16">
        <f>N416/10000</f>
        <v/>
      </c>
      <c r="T416" s="16">
        <f>P416/10000</f>
        <v/>
      </c>
      <c r="U416" s="15">
        <f>IF(N416&gt;=Summary!$D$3,1,0)</f>
        <v/>
      </c>
      <c r="V416" s="17">
        <f>IF(N416&gt;0,P416/N416,"")</f>
        <v/>
      </c>
      <c r="W416" s="17">
        <f>IF(O416&gt;0,H416/O416,"")</f>
        <v/>
      </c>
    </row>
    <row r="417">
      <c r="A417" s="13" t="inlineStr">
        <is>
          <t>T15_F</t>
        </is>
      </c>
      <c r="B417" s="13" t="inlineStr">
        <is>
          <t>T15</t>
        </is>
      </c>
      <c r="C417" s="13" t="inlineStr">
        <is>
          <t>F</t>
        </is>
      </c>
      <c r="D417" s="13" t="n">
        <v>1</v>
      </c>
      <c r="E417" s="13" t="inlineStr">
        <is>
          <t>S1</t>
        </is>
      </c>
      <c r="F417" s="13" t="n">
        <v>2022</v>
      </c>
      <c r="G417" s="14" t="n">
        <v>55443.74824320474</v>
      </c>
      <c r="H417" s="14" t="n">
        <v>1747.982796612908</v>
      </c>
      <c r="I417" s="14" t="n">
        <v>8478.970237642174</v>
      </c>
      <c r="J417" s="14" t="n">
        <v>0</v>
      </c>
      <c r="K417" s="14" t="n">
        <v>45216.79520894966</v>
      </c>
      <c r="L417" s="14" t="n">
        <v>0</v>
      </c>
      <c r="M417" s="14" t="n">
        <v>0</v>
      </c>
      <c r="N417" s="14" t="n">
        <v>5840.932894448673</v>
      </c>
      <c r="O417" s="14" t="n">
        <v>55443.74824320474</v>
      </c>
      <c r="P417" s="14" t="n">
        <v>4092.950097835765</v>
      </c>
      <c r="Q417" s="14" t="n">
        <v>488911.5785274729</v>
      </c>
      <c r="R417" s="15">
        <f>IF(D417=1,"Section 1","Control")</f>
        <v/>
      </c>
      <c r="S417" s="16">
        <f>N417/10000</f>
        <v/>
      </c>
      <c r="T417" s="16">
        <f>P417/10000</f>
        <v/>
      </c>
      <c r="U417" s="15">
        <f>IF(N417&gt;=Summary!$D$3,1,0)</f>
        <v/>
      </c>
      <c r="V417" s="17">
        <f>IF(N417&gt;0,P417/N417,"")</f>
        <v/>
      </c>
      <c r="W417" s="17">
        <f>IF(O417&gt;0,H417/O417,"")</f>
        <v/>
      </c>
    </row>
    <row r="418">
      <c r="A418" s="13" t="inlineStr">
        <is>
          <t>T15_F</t>
        </is>
      </c>
      <c r="B418" s="13" t="inlineStr">
        <is>
          <t>T15</t>
        </is>
      </c>
      <c r="C418" s="13" t="inlineStr">
        <is>
          <t>F</t>
        </is>
      </c>
      <c r="D418" s="13" t="n">
        <v>1</v>
      </c>
      <c r="E418" s="13" t="inlineStr">
        <is>
          <t>S1</t>
        </is>
      </c>
      <c r="F418" s="13" t="n">
        <v>2023</v>
      </c>
      <c r="G418" s="14" t="n">
        <v>55443.74824320474</v>
      </c>
      <c r="H418" s="14" t="n">
        <v>1304.308764917711</v>
      </c>
      <c r="I418" s="14" t="n">
        <v>12430.22277766209</v>
      </c>
      <c r="J418" s="14" t="n">
        <v>0</v>
      </c>
      <c r="K418" s="14" t="n">
        <v>41709.21670062495</v>
      </c>
      <c r="L418" s="14" t="n">
        <v>0</v>
      </c>
      <c r="M418" s="14" t="n">
        <v>0</v>
      </c>
      <c r="N418" s="14" t="n">
        <v>5840.932894448673</v>
      </c>
      <c r="O418" s="14" t="n">
        <v>55443.74824320474</v>
      </c>
      <c r="P418" s="14" t="n">
        <v>4536.624129530963</v>
      </c>
      <c r="Q418" s="14" t="n">
        <v>488911.5785274729</v>
      </c>
      <c r="R418" s="15">
        <f>IF(D418=1,"Section 1","Control")</f>
        <v/>
      </c>
      <c r="S418" s="16">
        <f>N418/10000</f>
        <v/>
      </c>
      <c r="T418" s="16">
        <f>P418/10000</f>
        <v/>
      </c>
      <c r="U418" s="15">
        <f>IF(N418&gt;=Summary!$D$3,1,0)</f>
        <v/>
      </c>
      <c r="V418" s="17">
        <f>IF(N418&gt;0,P418/N418,"")</f>
        <v/>
      </c>
      <c r="W418" s="17">
        <f>IF(O418&gt;0,H418/O418,"")</f>
        <v/>
      </c>
    </row>
    <row r="419">
      <c r="A419" s="13" t="inlineStr">
        <is>
          <t>T15_F</t>
        </is>
      </c>
      <c r="B419" s="13" t="inlineStr">
        <is>
          <t>T15</t>
        </is>
      </c>
      <c r="C419" s="13" t="inlineStr">
        <is>
          <t>F</t>
        </is>
      </c>
      <c r="D419" s="13" t="n">
        <v>1</v>
      </c>
      <c r="E419" s="13" t="inlineStr">
        <is>
          <t>S1</t>
        </is>
      </c>
      <c r="F419" s="13" t="n">
        <v>2024</v>
      </c>
      <c r="G419" s="14" t="n">
        <v>55443.74824320474</v>
      </c>
      <c r="H419" s="14" t="n">
        <v>98.72327423095705</v>
      </c>
      <c r="I419" s="14" t="n">
        <v>16086.08269470813</v>
      </c>
      <c r="J419" s="14" t="n">
        <v>0</v>
      </c>
      <c r="K419" s="14" t="n">
        <v>39258.94227426565</v>
      </c>
      <c r="L419" s="14" t="n">
        <v>0</v>
      </c>
      <c r="M419" s="14" t="n">
        <v>0</v>
      </c>
      <c r="N419" s="14" t="n">
        <v>5840.932894448673</v>
      </c>
      <c r="O419" s="14" t="n">
        <v>55443.74824320474</v>
      </c>
      <c r="P419" s="14" t="n">
        <v>5742.209620217716</v>
      </c>
      <c r="Q419" s="14" t="n">
        <v>488911.5785274729</v>
      </c>
      <c r="R419" s="15">
        <f>IF(D419=1,"Section 1","Control")</f>
        <v/>
      </c>
      <c r="S419" s="16">
        <f>N419/10000</f>
        <v/>
      </c>
      <c r="T419" s="16">
        <f>P419/10000</f>
        <v/>
      </c>
      <c r="U419" s="15">
        <f>IF(N419&gt;=Summary!$D$3,1,0)</f>
        <v/>
      </c>
      <c r="V419" s="17">
        <f>IF(N419&gt;0,P419/N419,"")</f>
        <v/>
      </c>
      <c r="W419" s="17">
        <f>IF(O419&gt;0,H419/O419,"")</f>
        <v/>
      </c>
    </row>
    <row r="420">
      <c r="A420" s="13" t="inlineStr">
        <is>
          <t>T15_F</t>
        </is>
      </c>
      <c r="B420" s="13" t="inlineStr">
        <is>
          <t>T15</t>
        </is>
      </c>
      <c r="C420" s="13" t="inlineStr">
        <is>
          <t>F</t>
        </is>
      </c>
      <c r="D420" s="13" t="n">
        <v>1</v>
      </c>
      <c r="E420" s="13" t="inlineStr">
        <is>
          <t>S1</t>
        </is>
      </c>
      <c r="F420" s="13" t="n">
        <v>2025</v>
      </c>
      <c r="G420" s="14" t="n">
        <v>55443.74824320474</v>
      </c>
      <c r="H420" s="14" t="n">
        <v>0</v>
      </c>
      <c r="I420" s="14" t="n">
        <v>23573.17649898155</v>
      </c>
      <c r="J420" s="14" t="n">
        <v>0</v>
      </c>
      <c r="K420" s="14" t="n">
        <v>31870.5717442232</v>
      </c>
      <c r="L420" s="14" t="n">
        <v>0</v>
      </c>
      <c r="M420" s="14" t="n">
        <v>0</v>
      </c>
      <c r="N420" s="14" t="n">
        <v>5840.932894448673</v>
      </c>
      <c r="O420" s="14" t="n">
        <v>55443.74824320474</v>
      </c>
      <c r="P420" s="14" t="n">
        <v>5840.932894448673</v>
      </c>
      <c r="Q420" s="14" t="n">
        <v>488911.5785274729</v>
      </c>
      <c r="R420" s="15">
        <f>IF(D420=1,"Section 1","Control")</f>
        <v/>
      </c>
      <c r="S420" s="16">
        <f>N420/10000</f>
        <v/>
      </c>
      <c r="T420" s="16">
        <f>P420/10000</f>
        <v/>
      </c>
      <c r="U420" s="15">
        <f>IF(N420&gt;=Summary!$D$3,1,0)</f>
        <v/>
      </c>
      <c r="V420" s="17">
        <f>IF(N420&gt;0,P420/N420,"")</f>
        <v/>
      </c>
      <c r="W420" s="17">
        <f>IF(O420&gt;0,H420/O420,"")</f>
        <v/>
      </c>
    </row>
    <row r="421">
      <c r="A421" s="13" t="inlineStr">
        <is>
          <t>T15_F</t>
        </is>
      </c>
      <c r="B421" s="13" t="inlineStr">
        <is>
          <t>T15</t>
        </is>
      </c>
      <c r="C421" s="13" t="inlineStr">
        <is>
          <t>F</t>
        </is>
      </c>
      <c r="D421" s="13" t="n">
        <v>1</v>
      </c>
      <c r="E421" s="13" t="inlineStr">
        <is>
          <t>S1</t>
        </is>
      </c>
      <c r="F421" s="13" t="n">
        <v>2026</v>
      </c>
      <c r="G421" s="14" t="n">
        <v>55443.74824320474</v>
      </c>
      <c r="H421" s="14" t="n">
        <v>0</v>
      </c>
      <c r="I421" s="14" t="n">
        <v>680.6096807741651</v>
      </c>
      <c r="J421" s="14" t="n">
        <v>0</v>
      </c>
      <c r="K421" s="14" t="n">
        <v>54763.13856243057</v>
      </c>
      <c r="L421" s="14" t="n">
        <v>0</v>
      </c>
      <c r="M421" s="14" t="n">
        <v>0</v>
      </c>
      <c r="N421" s="14" t="n">
        <v>5840.932894448673</v>
      </c>
      <c r="O421" s="14" t="n">
        <v>55443.74824320474</v>
      </c>
      <c r="P421" s="14" t="n">
        <v>5840.932894448673</v>
      </c>
      <c r="Q421" s="14" t="n">
        <v>488911.5785274729</v>
      </c>
      <c r="R421" s="15">
        <f>IF(D421=1,"Section 1","Control")</f>
        <v/>
      </c>
      <c r="S421" s="16">
        <f>N421/10000</f>
        <v/>
      </c>
      <c r="T421" s="16">
        <f>P421/10000</f>
        <v/>
      </c>
      <c r="U421" s="15">
        <f>IF(N421&gt;=Summary!$D$3,1,0)</f>
        <v/>
      </c>
      <c r="V421" s="17">
        <f>IF(N421&gt;0,P421/N421,"")</f>
        <v/>
      </c>
      <c r="W421" s="17">
        <f>IF(O421&gt;0,H421/O421,"")</f>
        <v/>
      </c>
    </row>
    <row r="422">
      <c r="A422" s="13" t="inlineStr">
        <is>
          <t>T16_B1</t>
        </is>
      </c>
      <c r="B422" s="13" t="inlineStr">
        <is>
          <t>T16</t>
        </is>
      </c>
      <c r="C422" s="13" t="inlineStr">
        <is>
          <t>B1</t>
        </is>
      </c>
      <c r="D422" s="13" t="n">
        <v>1</v>
      </c>
      <c r="E422" s="13" t="inlineStr">
        <is>
          <t>S1</t>
        </is>
      </c>
      <c r="F422" s="13" t="n">
        <v>2020</v>
      </c>
      <c r="G422" s="14" t="n">
        <v>1012280.605119414</v>
      </c>
      <c r="H422" s="14" t="n">
        <v>177623.5016214707</v>
      </c>
      <c r="I422" s="14" t="n">
        <v>215243.2457340316</v>
      </c>
      <c r="J422" s="14" t="n">
        <v>39487.83050279805</v>
      </c>
      <c r="K422" s="14" t="n">
        <v>354905.1508598776</v>
      </c>
      <c r="L422" s="14" t="n">
        <v>225020.8764012355</v>
      </c>
      <c r="M422" s="14" t="n">
        <v>0</v>
      </c>
      <c r="N422" s="14" t="n">
        <v>177623.5016214707</v>
      </c>
      <c r="O422" s="14" t="n">
        <v>787259.728718178</v>
      </c>
      <c r="P422" s="14" t="n">
        <v>0</v>
      </c>
      <c r="Q422" s="14" t="n">
        <v>5475901.225350234</v>
      </c>
      <c r="R422" s="15">
        <f>IF(D422=1,"Section 1","Control")</f>
        <v/>
      </c>
      <c r="S422" s="16">
        <f>N422/10000</f>
        <v/>
      </c>
      <c r="T422" s="16">
        <f>P422/10000</f>
        <v/>
      </c>
      <c r="U422" s="15">
        <f>IF(N422&gt;=Summary!$D$3,1,0)</f>
        <v/>
      </c>
      <c r="V422" s="17">
        <f>IF(N422&gt;0,P422/N422,"")</f>
        <v/>
      </c>
      <c r="W422" s="17">
        <f>IF(O422&gt;0,H422/O422,"")</f>
        <v/>
      </c>
    </row>
    <row r="423">
      <c r="A423" s="13" t="inlineStr">
        <is>
          <t>T16_B1</t>
        </is>
      </c>
      <c r="B423" s="13" t="inlineStr">
        <is>
          <t>T16</t>
        </is>
      </c>
      <c r="C423" s="13" t="inlineStr">
        <is>
          <t>B1</t>
        </is>
      </c>
      <c r="D423" s="13" t="n">
        <v>1</v>
      </c>
      <c r="E423" s="13" t="inlineStr">
        <is>
          <t>S1</t>
        </is>
      </c>
      <c r="F423" s="13" t="n">
        <v>2021</v>
      </c>
      <c r="G423" s="14" t="n">
        <v>1012280.605119414</v>
      </c>
      <c r="H423" s="14" t="n">
        <v>86141.28877889595</v>
      </c>
      <c r="I423" s="14" t="n">
        <v>271871.8076586555</v>
      </c>
      <c r="J423" s="14" t="n">
        <v>44550.98648861156</v>
      </c>
      <c r="K423" s="14" t="n">
        <v>381145.8566457711</v>
      </c>
      <c r="L423" s="14" t="n">
        <v>228570.6655474793</v>
      </c>
      <c r="M423" s="14" t="n">
        <v>0</v>
      </c>
      <c r="N423" s="14" t="n">
        <v>177623.5016214707</v>
      </c>
      <c r="O423" s="14" t="n">
        <v>787259.7287181779</v>
      </c>
      <c r="P423" s="14" t="n">
        <v>97325.4161373961</v>
      </c>
      <c r="Q423" s="14" t="n">
        <v>5475901.225350234</v>
      </c>
      <c r="R423" s="15">
        <f>IF(D423=1,"Section 1","Control")</f>
        <v/>
      </c>
      <c r="S423" s="16">
        <f>N423/10000</f>
        <v/>
      </c>
      <c r="T423" s="16">
        <f>P423/10000</f>
        <v/>
      </c>
      <c r="U423" s="15">
        <f>IF(N423&gt;=Summary!$D$3,1,0)</f>
        <v/>
      </c>
      <c r="V423" s="17">
        <f>IF(N423&gt;0,P423/N423,"")</f>
        <v/>
      </c>
      <c r="W423" s="17">
        <f>IF(O423&gt;0,H423/O423,"")</f>
        <v/>
      </c>
    </row>
    <row r="424">
      <c r="A424" s="13" t="inlineStr">
        <is>
          <t>T16_B1</t>
        </is>
      </c>
      <c r="B424" s="13" t="inlineStr">
        <is>
          <t>T16</t>
        </is>
      </c>
      <c r="C424" s="13" t="inlineStr">
        <is>
          <t>B1</t>
        </is>
      </c>
      <c r="D424" s="13" t="n">
        <v>1</v>
      </c>
      <c r="E424" s="13" t="inlineStr">
        <is>
          <t>S1</t>
        </is>
      </c>
      <c r="F424" s="13" t="n">
        <v>2022</v>
      </c>
      <c r="G424" s="14" t="n">
        <v>1012280.605119414</v>
      </c>
      <c r="H424" s="14" t="n">
        <v>48476.73586246265</v>
      </c>
      <c r="I424" s="14" t="n">
        <v>261683.9978564393</v>
      </c>
      <c r="J424" s="14" t="n">
        <v>44452.26299312816</v>
      </c>
      <c r="K424" s="14" t="n">
        <v>426642.0177131803</v>
      </c>
      <c r="L424" s="14" t="n">
        <v>231025.5906942031</v>
      </c>
      <c r="M424" s="14" t="n">
        <v>0</v>
      </c>
      <c r="N424" s="14" t="n">
        <v>177623.5016214707</v>
      </c>
      <c r="O424" s="14" t="n">
        <v>787259.7287181779</v>
      </c>
      <c r="P424" s="14" t="n">
        <v>139038.3775568345</v>
      </c>
      <c r="Q424" s="14" t="n">
        <v>5475901.225350234</v>
      </c>
      <c r="R424" s="15">
        <f>IF(D424=1,"Section 1","Control")</f>
        <v/>
      </c>
      <c r="S424" s="16">
        <f>N424/10000</f>
        <v/>
      </c>
      <c r="T424" s="16">
        <f>P424/10000</f>
        <v/>
      </c>
      <c r="U424" s="15">
        <f>IF(N424&gt;=Summary!$D$3,1,0)</f>
        <v/>
      </c>
      <c r="V424" s="17">
        <f>IF(N424&gt;0,P424/N424,"")</f>
        <v/>
      </c>
      <c r="W424" s="17">
        <f>IF(O424&gt;0,H424/O424,"")</f>
        <v/>
      </c>
    </row>
    <row r="425">
      <c r="A425" s="13" t="inlineStr">
        <is>
          <t>T16_B1</t>
        </is>
      </c>
      <c r="B425" s="13" t="inlineStr">
        <is>
          <t>T16</t>
        </is>
      </c>
      <c r="C425" s="13" t="inlineStr">
        <is>
          <t>B1</t>
        </is>
      </c>
      <c r="D425" s="13" t="n">
        <v>1</v>
      </c>
      <c r="E425" s="13" t="inlineStr">
        <is>
          <t>S1</t>
        </is>
      </c>
      <c r="F425" s="13" t="n">
        <v>2023</v>
      </c>
      <c r="G425" s="14" t="n">
        <v>1012280.605119414</v>
      </c>
      <c r="H425" s="14" t="n">
        <v>40963.65617726644</v>
      </c>
      <c r="I425" s="14" t="n">
        <v>213358.355237744</v>
      </c>
      <c r="J425" s="14" t="n">
        <v>39910.98244503246</v>
      </c>
      <c r="K425" s="14" t="n">
        <v>484476.5043921677</v>
      </c>
      <c r="L425" s="14" t="n">
        <v>233571.1068672031</v>
      </c>
      <c r="M425" s="14" t="n">
        <v>0</v>
      </c>
      <c r="N425" s="14" t="n">
        <v>177623.5016214707</v>
      </c>
      <c r="O425" s="14" t="n">
        <v>787259.7287181779</v>
      </c>
      <c r="P425" s="14" t="n">
        <v>151872.3922663071</v>
      </c>
      <c r="Q425" s="14" t="n">
        <v>5475901.225350234</v>
      </c>
      <c r="R425" s="15">
        <f>IF(D425=1,"Section 1","Control")</f>
        <v/>
      </c>
      <c r="S425" s="16">
        <f>N425/10000</f>
        <v/>
      </c>
      <c r="T425" s="16">
        <f>P425/10000</f>
        <v/>
      </c>
      <c r="U425" s="15">
        <f>IF(N425&gt;=Summary!$D$3,1,0)</f>
        <v/>
      </c>
      <c r="V425" s="17">
        <f>IF(N425&gt;0,P425/N425,"")</f>
        <v/>
      </c>
      <c r="W425" s="17">
        <f>IF(O425&gt;0,H425/O425,"")</f>
        <v/>
      </c>
    </row>
    <row r="426">
      <c r="A426" s="13" t="inlineStr">
        <is>
          <t>T16_B1</t>
        </is>
      </c>
      <c r="B426" s="13" t="inlineStr">
        <is>
          <t>T16</t>
        </is>
      </c>
      <c r="C426" s="13" t="inlineStr">
        <is>
          <t>B1</t>
        </is>
      </c>
      <c r="D426" s="13" t="n">
        <v>1</v>
      </c>
      <c r="E426" s="13" t="inlineStr">
        <is>
          <t>S1</t>
        </is>
      </c>
      <c r="F426" s="13" t="n">
        <v>2024</v>
      </c>
      <c r="G426" s="14" t="n">
        <v>1012280.605119414</v>
      </c>
      <c r="H426" s="14" t="n">
        <v>44974.87844965317</v>
      </c>
      <c r="I426" s="14" t="n">
        <v>226948.4850769641</v>
      </c>
      <c r="J426" s="14" t="n">
        <v>30729.70006588207</v>
      </c>
      <c r="K426" s="14" t="n">
        <v>475858.9859750186</v>
      </c>
      <c r="L426" s="14" t="n">
        <v>233768.5555518954</v>
      </c>
      <c r="M426" s="14" t="n">
        <v>0</v>
      </c>
      <c r="N426" s="14" t="n">
        <v>177623.5016214707</v>
      </c>
      <c r="O426" s="14" t="n">
        <v>787259.728718178</v>
      </c>
      <c r="P426" s="14" t="n">
        <v>154735.3489771226</v>
      </c>
      <c r="Q426" s="14" t="n">
        <v>5475901.225350234</v>
      </c>
      <c r="R426" s="15">
        <f>IF(D426=1,"Section 1","Control")</f>
        <v/>
      </c>
      <c r="S426" s="16">
        <f>N426/10000</f>
        <v/>
      </c>
      <c r="T426" s="16">
        <f>P426/10000</f>
        <v/>
      </c>
      <c r="U426" s="15">
        <f>IF(N426&gt;=Summary!$D$3,1,0)</f>
        <v/>
      </c>
      <c r="V426" s="17">
        <f>IF(N426&gt;0,P426/N426,"")</f>
        <v/>
      </c>
      <c r="W426" s="17">
        <f>IF(O426&gt;0,H426/O426,"")</f>
        <v/>
      </c>
    </row>
    <row r="427">
      <c r="A427" s="13" t="inlineStr">
        <is>
          <t>T16_B1</t>
        </is>
      </c>
      <c r="B427" s="13" t="inlineStr">
        <is>
          <t>T16</t>
        </is>
      </c>
      <c r="C427" s="13" t="inlineStr">
        <is>
          <t>B1</t>
        </is>
      </c>
      <c r="D427" s="13" t="n">
        <v>1</v>
      </c>
      <c r="E427" s="13" t="inlineStr">
        <is>
          <t>S1</t>
        </is>
      </c>
      <c r="F427" s="13" t="n">
        <v>2025</v>
      </c>
      <c r="G427" s="14" t="n">
        <v>1012280.605119414</v>
      </c>
      <c r="H427" s="14" t="n">
        <v>58054.64551804487</v>
      </c>
      <c r="I427" s="14" t="n">
        <v>212666.2127383064</v>
      </c>
      <c r="J427" s="14" t="n">
        <v>14189.84569151635</v>
      </c>
      <c r="K427" s="14" t="n">
        <v>468857.3946355484</v>
      </c>
      <c r="L427" s="14" t="n">
        <v>258512.5065359976</v>
      </c>
      <c r="M427" s="14" t="n">
        <v>0</v>
      </c>
      <c r="N427" s="14" t="n">
        <v>177623.5016214707</v>
      </c>
      <c r="O427" s="14" t="n">
        <v>787259.7287181779</v>
      </c>
      <c r="P427" s="14" t="n">
        <v>154735.3435526231</v>
      </c>
      <c r="Q427" s="14" t="n">
        <v>5475901.225350234</v>
      </c>
      <c r="R427" s="15">
        <f>IF(D427=1,"Section 1","Control")</f>
        <v/>
      </c>
      <c r="S427" s="16">
        <f>N427/10000</f>
        <v/>
      </c>
      <c r="T427" s="16">
        <f>P427/10000</f>
        <v/>
      </c>
      <c r="U427" s="15">
        <f>IF(N427&gt;=Summary!$D$3,1,0)</f>
        <v/>
      </c>
      <c r="V427" s="17">
        <f>IF(N427&gt;0,P427/N427,"")</f>
        <v/>
      </c>
      <c r="W427" s="17">
        <f>IF(O427&gt;0,H427/O427,"")</f>
        <v/>
      </c>
    </row>
    <row r="428">
      <c r="A428" s="13" t="inlineStr">
        <is>
          <t>T16_B1</t>
        </is>
      </c>
      <c r="B428" s="13" t="inlineStr">
        <is>
          <t>T16</t>
        </is>
      </c>
      <c r="C428" s="13" t="inlineStr">
        <is>
          <t>B1</t>
        </is>
      </c>
      <c r="D428" s="13" t="n">
        <v>1</v>
      </c>
      <c r="E428" s="13" t="inlineStr">
        <is>
          <t>S1</t>
        </is>
      </c>
      <c r="F428" s="13" t="n">
        <v>2026</v>
      </c>
      <c r="G428" s="14" t="n">
        <v>1012280.605119414</v>
      </c>
      <c r="H428" s="14" t="n">
        <v>53818.92207821116</v>
      </c>
      <c r="I428" s="14" t="n">
        <v>171859.2654975741</v>
      </c>
      <c r="J428" s="14" t="n">
        <v>8518.475375156777</v>
      </c>
      <c r="K428" s="14" t="n">
        <v>527744.2114299699</v>
      </c>
      <c r="L428" s="14" t="n">
        <v>250339.7307385015</v>
      </c>
      <c r="M428" s="14" t="n">
        <v>0</v>
      </c>
      <c r="N428" s="14" t="n">
        <v>177623.5016214707</v>
      </c>
      <c r="O428" s="14" t="n">
        <v>787259.7287181779</v>
      </c>
      <c r="P428" s="14" t="n">
        <v>154733.0001264685</v>
      </c>
      <c r="Q428" s="14" t="n">
        <v>5475901.225350234</v>
      </c>
      <c r="R428" s="15">
        <f>IF(D428=1,"Section 1","Control")</f>
        <v/>
      </c>
      <c r="S428" s="16">
        <f>N428/10000</f>
        <v/>
      </c>
      <c r="T428" s="16">
        <f>P428/10000</f>
        <v/>
      </c>
      <c r="U428" s="15">
        <f>IF(N428&gt;=Summary!$D$3,1,0)</f>
        <v/>
      </c>
      <c r="V428" s="17">
        <f>IF(N428&gt;0,P428/N428,"")</f>
        <v/>
      </c>
      <c r="W428" s="17">
        <f>IF(O428&gt;0,H428/O428,"")</f>
        <v/>
      </c>
    </row>
    <row r="429">
      <c r="A429" s="13" t="inlineStr">
        <is>
          <t>T16_B2</t>
        </is>
      </c>
      <c r="B429" s="13" t="inlineStr">
        <is>
          <t>T16</t>
        </is>
      </c>
      <c r="C429" s="13" t="inlineStr">
        <is>
          <t>B2</t>
        </is>
      </c>
      <c r="D429" s="13" t="n">
        <v>1</v>
      </c>
      <c r="E429" s="13" t="inlineStr">
        <is>
          <t>S1</t>
        </is>
      </c>
      <c r="F429" s="13" t="n">
        <v>2020</v>
      </c>
      <c r="G429" s="14" t="n">
        <v>1022134.970265048</v>
      </c>
      <c r="H429" s="14" t="n">
        <v>52246.94562404856</v>
      </c>
      <c r="I429" s="14" t="n">
        <v>173684.184724546</v>
      </c>
      <c r="J429" s="14" t="n">
        <v>0</v>
      </c>
      <c r="K429" s="14" t="n">
        <v>256621.8023775587</v>
      </c>
      <c r="L429" s="14" t="n">
        <v>539582.0375388948</v>
      </c>
      <c r="M429" s="14" t="n">
        <v>0</v>
      </c>
      <c r="N429" s="14" t="n">
        <v>52246.94562404856</v>
      </c>
      <c r="O429" s="14" t="n">
        <v>482552.9327261532</v>
      </c>
      <c r="P429" s="14" t="n">
        <v>0</v>
      </c>
      <c r="Q429" s="14" t="n">
        <v>3433678.128212125</v>
      </c>
      <c r="R429" s="15">
        <f>IF(D429=1,"Section 1","Control")</f>
        <v/>
      </c>
      <c r="S429" s="16">
        <f>N429/10000</f>
        <v/>
      </c>
      <c r="T429" s="16">
        <f>P429/10000</f>
        <v/>
      </c>
      <c r="U429" s="15">
        <f>IF(N429&gt;=Summary!$D$3,1,0)</f>
        <v/>
      </c>
      <c r="V429" s="17">
        <f>IF(N429&gt;0,P429/N429,"")</f>
        <v/>
      </c>
      <c r="W429" s="17">
        <f>IF(O429&gt;0,H429/O429,"")</f>
        <v/>
      </c>
    </row>
    <row r="430">
      <c r="A430" s="13" t="inlineStr">
        <is>
          <t>T16_B2</t>
        </is>
      </c>
      <c r="B430" s="13" t="inlineStr">
        <is>
          <t>T16</t>
        </is>
      </c>
      <c r="C430" s="13" t="inlineStr">
        <is>
          <t>B2</t>
        </is>
      </c>
      <c r="D430" s="13" t="n">
        <v>1</v>
      </c>
      <c r="E430" s="13" t="inlineStr">
        <is>
          <t>S1</t>
        </is>
      </c>
      <c r="F430" s="13" t="n">
        <v>2021</v>
      </c>
      <c r="G430" s="14" t="n">
        <v>1022134.970265048</v>
      </c>
      <c r="H430" s="14" t="n">
        <v>26373.00801430496</v>
      </c>
      <c r="I430" s="14" t="n">
        <v>159670.6416259167</v>
      </c>
      <c r="J430" s="14" t="n">
        <v>0</v>
      </c>
      <c r="K430" s="14" t="n">
        <v>296509.2830859316</v>
      </c>
      <c r="L430" s="14" t="n">
        <v>539582.0375388948</v>
      </c>
      <c r="M430" s="14" t="n">
        <v>0</v>
      </c>
      <c r="N430" s="14" t="n">
        <v>52246.94562404856</v>
      </c>
      <c r="O430" s="14" t="n">
        <v>482552.9327261533</v>
      </c>
      <c r="P430" s="14" t="n">
        <v>28398.5043995876</v>
      </c>
      <c r="Q430" s="14" t="n">
        <v>3433678.128212125</v>
      </c>
      <c r="R430" s="15">
        <f>IF(D430=1,"Section 1","Control")</f>
        <v/>
      </c>
      <c r="S430" s="16">
        <f>N430/10000</f>
        <v/>
      </c>
      <c r="T430" s="16">
        <f>P430/10000</f>
        <v/>
      </c>
      <c r="U430" s="15">
        <f>IF(N430&gt;=Summary!$D$3,1,0)</f>
        <v/>
      </c>
      <c r="V430" s="17">
        <f>IF(N430&gt;0,P430/N430,"")</f>
        <v/>
      </c>
      <c r="W430" s="17">
        <f>IF(O430&gt;0,H430/O430,"")</f>
        <v/>
      </c>
    </row>
    <row r="431">
      <c r="A431" s="13" t="inlineStr">
        <is>
          <t>T16_B2</t>
        </is>
      </c>
      <c r="B431" s="13" t="inlineStr">
        <is>
          <t>T16</t>
        </is>
      </c>
      <c r="C431" s="13" t="inlineStr">
        <is>
          <t>B2</t>
        </is>
      </c>
      <c r="D431" s="13" t="n">
        <v>1</v>
      </c>
      <c r="E431" s="13" t="inlineStr">
        <is>
          <t>S1</t>
        </is>
      </c>
      <c r="F431" s="13" t="n">
        <v>2022</v>
      </c>
      <c r="G431" s="14" t="n">
        <v>1022134.970265048</v>
      </c>
      <c r="H431" s="14" t="n">
        <v>18872.09891360414</v>
      </c>
      <c r="I431" s="14" t="n">
        <v>84366.12217066147</v>
      </c>
      <c r="J431" s="14" t="n">
        <v>0</v>
      </c>
      <c r="K431" s="14" t="n">
        <v>379314.7116418876</v>
      </c>
      <c r="L431" s="14" t="n">
        <v>539582.0375388948</v>
      </c>
      <c r="M431" s="14" t="n">
        <v>0</v>
      </c>
      <c r="N431" s="14" t="n">
        <v>52246.94562404856</v>
      </c>
      <c r="O431" s="14" t="n">
        <v>482552.9327261533</v>
      </c>
      <c r="P431" s="14" t="n">
        <v>37105.3700163299</v>
      </c>
      <c r="Q431" s="14" t="n">
        <v>3433678.128212125</v>
      </c>
      <c r="R431" s="15">
        <f>IF(D431=1,"Section 1","Control")</f>
        <v/>
      </c>
      <c r="S431" s="16">
        <f>N431/10000</f>
        <v/>
      </c>
      <c r="T431" s="16">
        <f>P431/10000</f>
        <v/>
      </c>
      <c r="U431" s="15">
        <f>IF(N431&gt;=Summary!$D$3,1,0)</f>
        <v/>
      </c>
      <c r="V431" s="17">
        <f>IF(N431&gt;0,P431/N431,"")</f>
        <v/>
      </c>
      <c r="W431" s="17">
        <f>IF(O431&gt;0,H431/O431,"")</f>
        <v/>
      </c>
    </row>
    <row r="432">
      <c r="A432" s="13" t="inlineStr">
        <is>
          <t>T16_B2</t>
        </is>
      </c>
      <c r="B432" s="13" t="inlineStr">
        <is>
          <t>T16</t>
        </is>
      </c>
      <c r="C432" s="13" t="inlineStr">
        <is>
          <t>B2</t>
        </is>
      </c>
      <c r="D432" s="13" t="n">
        <v>1</v>
      </c>
      <c r="E432" s="13" t="inlineStr">
        <is>
          <t>S1</t>
        </is>
      </c>
      <c r="F432" s="13" t="n">
        <v>2023</v>
      </c>
      <c r="G432" s="14" t="n">
        <v>1022134.970265048</v>
      </c>
      <c r="H432" s="14" t="n">
        <v>23333.55930041145</v>
      </c>
      <c r="I432" s="14" t="n">
        <v>56976.82982070025</v>
      </c>
      <c r="J432" s="14" t="n">
        <v>0</v>
      </c>
      <c r="K432" s="14" t="n">
        <v>402242.5436050416</v>
      </c>
      <c r="L432" s="14" t="n">
        <v>539582.0375388948</v>
      </c>
      <c r="M432" s="14" t="n">
        <v>0</v>
      </c>
      <c r="N432" s="14" t="n">
        <v>52246.94562404856</v>
      </c>
      <c r="O432" s="14" t="n">
        <v>482552.9327261533</v>
      </c>
      <c r="P432" s="14" t="n">
        <v>38586.19278549494</v>
      </c>
      <c r="Q432" s="14" t="n">
        <v>3433678.128212125</v>
      </c>
      <c r="R432" s="15">
        <f>IF(D432=1,"Section 1","Control")</f>
        <v/>
      </c>
      <c r="S432" s="16">
        <f>N432/10000</f>
        <v/>
      </c>
      <c r="T432" s="16">
        <f>P432/10000</f>
        <v/>
      </c>
      <c r="U432" s="15">
        <f>IF(N432&gt;=Summary!$D$3,1,0)</f>
        <v/>
      </c>
      <c r="V432" s="17">
        <f>IF(N432&gt;0,P432/N432,"")</f>
        <v/>
      </c>
      <c r="W432" s="17">
        <f>IF(O432&gt;0,H432/O432,"")</f>
        <v/>
      </c>
    </row>
    <row r="433">
      <c r="A433" s="13" t="inlineStr">
        <is>
          <t>T16_B2</t>
        </is>
      </c>
      <c r="B433" s="13" t="inlineStr">
        <is>
          <t>T16</t>
        </is>
      </c>
      <c r="C433" s="13" t="inlineStr">
        <is>
          <t>B2</t>
        </is>
      </c>
      <c r="D433" s="13" t="n">
        <v>1</v>
      </c>
      <c r="E433" s="13" t="inlineStr">
        <is>
          <t>S1</t>
        </is>
      </c>
      <c r="F433" s="13" t="n">
        <v>2024</v>
      </c>
      <c r="G433" s="14" t="n">
        <v>1022134.970265048</v>
      </c>
      <c r="H433" s="14" t="n">
        <v>27381.54813139672</v>
      </c>
      <c r="I433" s="14" t="n">
        <v>75940.73520295386</v>
      </c>
      <c r="J433" s="14" t="n">
        <v>0</v>
      </c>
      <c r="K433" s="14" t="n">
        <v>379230.6493918026</v>
      </c>
      <c r="L433" s="14" t="n">
        <v>539582.0375388948</v>
      </c>
      <c r="M433" s="14" t="n">
        <v>0</v>
      </c>
      <c r="N433" s="14" t="n">
        <v>52246.94562404856</v>
      </c>
      <c r="O433" s="14" t="n">
        <v>482552.9327261533</v>
      </c>
      <c r="P433" s="14" t="n">
        <v>38662.0726489198</v>
      </c>
      <c r="Q433" s="14" t="n">
        <v>3433678.128212124</v>
      </c>
      <c r="R433" s="15">
        <f>IF(D433=1,"Section 1","Control")</f>
        <v/>
      </c>
      <c r="S433" s="16">
        <f>N433/10000</f>
        <v/>
      </c>
      <c r="T433" s="16">
        <f>P433/10000</f>
        <v/>
      </c>
      <c r="U433" s="15">
        <f>IF(N433&gt;=Summary!$D$3,1,0)</f>
        <v/>
      </c>
      <c r="V433" s="17">
        <f>IF(N433&gt;0,P433/N433,"")</f>
        <v/>
      </c>
      <c r="W433" s="17">
        <f>IF(O433&gt;0,H433/O433,"")</f>
        <v/>
      </c>
    </row>
    <row r="434">
      <c r="A434" s="13" t="inlineStr">
        <is>
          <t>T16_B2</t>
        </is>
      </c>
      <c r="B434" s="13" t="inlineStr">
        <is>
          <t>T16</t>
        </is>
      </c>
      <c r="C434" s="13" t="inlineStr">
        <is>
          <t>B2</t>
        </is>
      </c>
      <c r="D434" s="13" t="n">
        <v>1</v>
      </c>
      <c r="E434" s="13" t="inlineStr">
        <is>
          <t>S1</t>
        </is>
      </c>
      <c r="F434" s="13" t="n">
        <v>2025</v>
      </c>
      <c r="G434" s="14" t="n">
        <v>1022134.970265048</v>
      </c>
      <c r="H434" s="14" t="n">
        <v>42888.2071055992</v>
      </c>
      <c r="I434" s="14" t="n">
        <v>68709.70105291629</v>
      </c>
      <c r="J434" s="14" t="n">
        <v>0</v>
      </c>
      <c r="K434" s="14" t="n">
        <v>370550.4612370809</v>
      </c>
      <c r="L434" s="14" t="n">
        <v>539986.6008694516</v>
      </c>
      <c r="M434" s="14" t="n">
        <v>0</v>
      </c>
      <c r="N434" s="14" t="n">
        <v>52246.94562404856</v>
      </c>
      <c r="O434" s="14" t="n">
        <v>482552.9327261532</v>
      </c>
      <c r="P434" s="14" t="n">
        <v>37280.35836618462</v>
      </c>
      <c r="Q434" s="14" t="n">
        <v>3433678.128212125</v>
      </c>
      <c r="R434" s="15">
        <f>IF(D434=1,"Section 1","Control")</f>
        <v/>
      </c>
      <c r="S434" s="16">
        <f>N434/10000</f>
        <v/>
      </c>
      <c r="T434" s="16">
        <f>P434/10000</f>
        <v/>
      </c>
      <c r="U434" s="15">
        <f>IF(N434&gt;=Summary!$D$3,1,0)</f>
        <v/>
      </c>
      <c r="V434" s="17">
        <f>IF(N434&gt;0,P434/N434,"")</f>
        <v/>
      </c>
      <c r="W434" s="17">
        <f>IF(O434&gt;0,H434/O434,"")</f>
        <v/>
      </c>
    </row>
    <row r="435">
      <c r="A435" s="13" t="inlineStr">
        <is>
          <t>T16_B2</t>
        </is>
      </c>
      <c r="B435" s="13" t="inlineStr">
        <is>
          <t>T16</t>
        </is>
      </c>
      <c r="C435" s="13" t="inlineStr">
        <is>
          <t>B2</t>
        </is>
      </c>
      <c r="D435" s="13" t="n">
        <v>1</v>
      </c>
      <c r="E435" s="13" t="inlineStr">
        <is>
          <t>S1</t>
        </is>
      </c>
      <c r="F435" s="13" t="n">
        <v>2026</v>
      </c>
      <c r="G435" s="14" t="n">
        <v>1022134.970265048</v>
      </c>
      <c r="H435" s="14" t="n">
        <v>39180.8975656846</v>
      </c>
      <c r="I435" s="14" t="n">
        <v>44782.58659192253</v>
      </c>
      <c r="J435" s="14" t="n">
        <v>0</v>
      </c>
      <c r="K435" s="14" t="n">
        <v>398589.4485685461</v>
      </c>
      <c r="L435" s="14" t="n">
        <v>539582.0375388948</v>
      </c>
      <c r="M435" s="14" t="n">
        <v>0</v>
      </c>
      <c r="N435" s="14" t="n">
        <v>52246.94562404856</v>
      </c>
      <c r="O435" s="14" t="n">
        <v>482552.9327261532</v>
      </c>
      <c r="P435" s="14" t="n">
        <v>40046.11786555869</v>
      </c>
      <c r="Q435" s="14" t="n">
        <v>3433678.128212125</v>
      </c>
      <c r="R435" s="15">
        <f>IF(D435=1,"Section 1","Control")</f>
        <v/>
      </c>
      <c r="S435" s="16">
        <f>N435/10000</f>
        <v/>
      </c>
      <c r="T435" s="16">
        <f>P435/10000</f>
        <v/>
      </c>
      <c r="U435" s="15">
        <f>IF(N435&gt;=Summary!$D$3,1,0)</f>
        <v/>
      </c>
      <c r="V435" s="17">
        <f>IF(N435&gt;0,P435/N435,"")</f>
        <v/>
      </c>
      <c r="W435" s="17">
        <f>IF(O435&gt;0,H435/O435,"")</f>
        <v/>
      </c>
    </row>
    <row r="436">
      <c r="A436" s="13" t="inlineStr">
        <is>
          <t>T16_B3</t>
        </is>
      </c>
      <c r="B436" s="13" t="inlineStr">
        <is>
          <t>T16</t>
        </is>
      </c>
      <c r="C436" s="13" t="inlineStr">
        <is>
          <t>B3</t>
        </is>
      </c>
      <c r="D436" s="13" t="n">
        <v>1</v>
      </c>
      <c r="E436" s="13" t="inlineStr">
        <is>
          <t>S1</t>
        </is>
      </c>
      <c r="F436" s="13" t="n">
        <v>2020</v>
      </c>
      <c r="G436" s="14" t="n">
        <v>8348588.413987194</v>
      </c>
      <c r="H436" s="14" t="n">
        <v>383095.0504996207</v>
      </c>
      <c r="I436" s="14" t="n">
        <v>99821.54723878748</v>
      </c>
      <c r="J436" s="14" t="n">
        <v>0</v>
      </c>
      <c r="K436" s="14" t="n">
        <v>2780444.693535449</v>
      </c>
      <c r="L436" s="14" t="n">
        <v>5085227.122713336</v>
      </c>
      <c r="M436" s="14" t="n">
        <v>0</v>
      </c>
      <c r="N436" s="14" t="n">
        <v>383095.0504996207</v>
      </c>
      <c r="O436" s="14" t="n">
        <v>3263361.291273857</v>
      </c>
      <c r="P436" s="14" t="n">
        <v>0</v>
      </c>
      <c r="Q436" s="14" t="n">
        <v>15715894.68725535</v>
      </c>
      <c r="R436" s="15">
        <f>IF(D436=1,"Section 1","Control")</f>
        <v/>
      </c>
      <c r="S436" s="16">
        <f>N436/10000</f>
        <v/>
      </c>
      <c r="T436" s="16">
        <f>P436/10000</f>
        <v/>
      </c>
      <c r="U436" s="15">
        <f>IF(N436&gt;=Summary!$D$3,1,0)</f>
        <v/>
      </c>
      <c r="V436" s="17">
        <f>IF(N436&gt;0,P436/N436,"")</f>
        <v/>
      </c>
      <c r="W436" s="17">
        <f>IF(O436&gt;0,H436/O436,"")</f>
        <v/>
      </c>
    </row>
    <row r="437">
      <c r="A437" s="13" t="inlineStr">
        <is>
          <t>T16_B3</t>
        </is>
      </c>
      <c r="B437" s="13" t="inlineStr">
        <is>
          <t>T16</t>
        </is>
      </c>
      <c r="C437" s="13" t="inlineStr">
        <is>
          <t>B3</t>
        </is>
      </c>
      <c r="D437" s="13" t="n">
        <v>1</v>
      </c>
      <c r="E437" s="13" t="inlineStr">
        <is>
          <t>S1</t>
        </is>
      </c>
      <c r="F437" s="13" t="n">
        <v>2021</v>
      </c>
      <c r="G437" s="14" t="n">
        <v>8348588.413987194</v>
      </c>
      <c r="H437" s="14" t="n">
        <v>268057.1582214954</v>
      </c>
      <c r="I437" s="14" t="n">
        <v>82343.22659642836</v>
      </c>
      <c r="J437" s="14" t="n">
        <v>0</v>
      </c>
      <c r="K437" s="14" t="n">
        <v>2912960.906455934</v>
      </c>
      <c r="L437" s="14" t="n">
        <v>5085227.122713336</v>
      </c>
      <c r="M437" s="14" t="n">
        <v>0</v>
      </c>
      <c r="N437" s="14" t="n">
        <v>383095.0504996207</v>
      </c>
      <c r="O437" s="14" t="n">
        <v>3263361.291273857</v>
      </c>
      <c r="P437" s="14" t="n">
        <v>120072.4844412112</v>
      </c>
      <c r="Q437" s="14" t="n">
        <v>15715894.68725535</v>
      </c>
      <c r="R437" s="15">
        <f>IF(D437=1,"Section 1","Control")</f>
        <v/>
      </c>
      <c r="S437" s="16">
        <f>N437/10000</f>
        <v/>
      </c>
      <c r="T437" s="16">
        <f>P437/10000</f>
        <v/>
      </c>
      <c r="U437" s="15">
        <f>IF(N437&gt;=Summary!$D$3,1,0)</f>
        <v/>
      </c>
      <c r="V437" s="17">
        <f>IF(N437&gt;0,P437/N437,"")</f>
        <v/>
      </c>
      <c r="W437" s="17">
        <f>IF(O437&gt;0,H437/O437,"")</f>
        <v/>
      </c>
    </row>
    <row r="438">
      <c r="A438" s="13" t="inlineStr">
        <is>
          <t>T16_B3</t>
        </is>
      </c>
      <c r="B438" s="13" t="inlineStr">
        <is>
          <t>T16</t>
        </is>
      </c>
      <c r="C438" s="13" t="inlineStr">
        <is>
          <t>B3</t>
        </is>
      </c>
      <c r="D438" s="13" t="n">
        <v>1</v>
      </c>
      <c r="E438" s="13" t="inlineStr">
        <is>
          <t>S1</t>
        </is>
      </c>
      <c r="F438" s="13" t="n">
        <v>2022</v>
      </c>
      <c r="G438" s="14" t="n">
        <v>8348588.413987194</v>
      </c>
      <c r="H438" s="14" t="n">
        <v>119688.2031366685</v>
      </c>
      <c r="I438" s="14" t="n">
        <v>102497.7137747671</v>
      </c>
      <c r="J438" s="14" t="n">
        <v>0</v>
      </c>
      <c r="K438" s="14" t="n">
        <v>3041175.374362422</v>
      </c>
      <c r="L438" s="14" t="n">
        <v>5085227.122713336</v>
      </c>
      <c r="M438" s="14" t="n">
        <v>0</v>
      </c>
      <c r="N438" s="14" t="n">
        <v>383095.0504996207</v>
      </c>
      <c r="O438" s="14" t="n">
        <v>3263361.291273857</v>
      </c>
      <c r="P438" s="14" t="n">
        <v>263604.2832912969</v>
      </c>
      <c r="Q438" s="14" t="n">
        <v>15715894.68725535</v>
      </c>
      <c r="R438" s="15">
        <f>IF(D438=1,"Section 1","Control")</f>
        <v/>
      </c>
      <c r="S438" s="16">
        <f>N438/10000</f>
        <v/>
      </c>
      <c r="T438" s="16">
        <f>P438/10000</f>
        <v/>
      </c>
      <c r="U438" s="15">
        <f>IF(N438&gt;=Summary!$D$3,1,0)</f>
        <v/>
      </c>
      <c r="V438" s="17">
        <f>IF(N438&gt;0,P438/N438,"")</f>
        <v/>
      </c>
      <c r="W438" s="17">
        <f>IF(O438&gt;0,H438/O438,"")</f>
        <v/>
      </c>
    </row>
    <row r="439">
      <c r="A439" s="13" t="inlineStr">
        <is>
          <t>T16_B3</t>
        </is>
      </c>
      <c r="B439" s="13" t="inlineStr">
        <is>
          <t>T16</t>
        </is>
      </c>
      <c r="C439" s="13" t="inlineStr">
        <is>
          <t>B3</t>
        </is>
      </c>
      <c r="D439" s="13" t="n">
        <v>1</v>
      </c>
      <c r="E439" s="13" t="inlineStr">
        <is>
          <t>S1</t>
        </is>
      </c>
      <c r="F439" s="13" t="n">
        <v>2023</v>
      </c>
      <c r="G439" s="14" t="n">
        <v>8348588.413987194</v>
      </c>
      <c r="H439" s="14" t="n">
        <v>114826.9315027274</v>
      </c>
      <c r="I439" s="14" t="n">
        <v>81355.01908473595</v>
      </c>
      <c r="J439" s="14" t="n">
        <v>0</v>
      </c>
      <c r="K439" s="14" t="n">
        <v>3065204.917819573</v>
      </c>
      <c r="L439" s="14" t="n">
        <v>5087201.545580157</v>
      </c>
      <c r="M439" s="14" t="n">
        <v>0</v>
      </c>
      <c r="N439" s="14" t="n">
        <v>383095.0504996207</v>
      </c>
      <c r="O439" s="14" t="n">
        <v>3263361.291273857</v>
      </c>
      <c r="P439" s="14" t="n">
        <v>273687.6142381855</v>
      </c>
      <c r="Q439" s="14" t="n">
        <v>15715894.68725535</v>
      </c>
      <c r="R439" s="15">
        <f>IF(D439=1,"Section 1","Control")</f>
        <v/>
      </c>
      <c r="S439" s="16">
        <f>N439/10000</f>
        <v/>
      </c>
      <c r="T439" s="16">
        <f>P439/10000</f>
        <v/>
      </c>
      <c r="U439" s="15">
        <f>IF(N439&gt;=Summary!$D$3,1,0)</f>
        <v/>
      </c>
      <c r="V439" s="17">
        <f>IF(N439&gt;0,P439/N439,"")</f>
        <v/>
      </c>
      <c r="W439" s="17">
        <f>IF(O439&gt;0,H439/O439,"")</f>
        <v/>
      </c>
    </row>
    <row r="440">
      <c r="A440" s="13" t="inlineStr">
        <is>
          <t>T16_B3</t>
        </is>
      </c>
      <c r="B440" s="13" t="inlineStr">
        <is>
          <t>T16</t>
        </is>
      </c>
      <c r="C440" s="13" t="inlineStr">
        <is>
          <t>B3</t>
        </is>
      </c>
      <c r="D440" s="13" t="n">
        <v>1</v>
      </c>
      <c r="E440" s="13" t="inlineStr">
        <is>
          <t>S1</t>
        </is>
      </c>
      <c r="F440" s="13" t="n">
        <v>2024</v>
      </c>
      <c r="G440" s="14" t="n">
        <v>8348588.413987194</v>
      </c>
      <c r="H440" s="14" t="n">
        <v>109383.7374322928</v>
      </c>
      <c r="I440" s="14" t="n">
        <v>119912.659024347</v>
      </c>
      <c r="J440" s="14" t="n">
        <v>0</v>
      </c>
      <c r="K440" s="14" t="n">
        <v>3032880.241138324</v>
      </c>
      <c r="L440" s="14" t="n">
        <v>5086411.77639223</v>
      </c>
      <c r="M440" s="14" t="n">
        <v>0</v>
      </c>
      <c r="N440" s="14" t="n">
        <v>383095.0504996207</v>
      </c>
      <c r="O440" s="14" t="n">
        <v>3263361.291273857</v>
      </c>
      <c r="P440" s="14" t="n">
        <v>290100.2035433003</v>
      </c>
      <c r="Q440" s="14" t="n">
        <v>15715894.68725535</v>
      </c>
      <c r="R440" s="15">
        <f>IF(D440=1,"Section 1","Control")</f>
        <v/>
      </c>
      <c r="S440" s="16">
        <f>N440/10000</f>
        <v/>
      </c>
      <c r="T440" s="16">
        <f>P440/10000</f>
        <v/>
      </c>
      <c r="U440" s="15">
        <f>IF(N440&gt;=Summary!$D$3,1,0)</f>
        <v/>
      </c>
      <c r="V440" s="17">
        <f>IF(N440&gt;0,P440/N440,"")</f>
        <v/>
      </c>
      <c r="W440" s="17">
        <f>IF(O440&gt;0,H440/O440,"")</f>
        <v/>
      </c>
    </row>
    <row r="441">
      <c r="A441" s="13" t="inlineStr">
        <is>
          <t>T16_B3</t>
        </is>
      </c>
      <c r="B441" s="13" t="inlineStr">
        <is>
          <t>T16</t>
        </is>
      </c>
      <c r="C441" s="13" t="inlineStr">
        <is>
          <t>B3</t>
        </is>
      </c>
      <c r="D441" s="13" t="n">
        <v>1</v>
      </c>
      <c r="E441" s="13" t="inlineStr">
        <is>
          <t>S1</t>
        </is>
      </c>
      <c r="F441" s="13" t="n">
        <v>2025</v>
      </c>
      <c r="G441" s="14" t="n">
        <v>8348588.413987195</v>
      </c>
      <c r="H441" s="14" t="n">
        <v>122101.6442549762</v>
      </c>
      <c r="I441" s="14" t="n">
        <v>92015.74025313434</v>
      </c>
      <c r="J441" s="14" t="n">
        <v>0</v>
      </c>
      <c r="K441" s="14" t="n">
        <v>3043231.594676688</v>
      </c>
      <c r="L441" s="14" t="n">
        <v>5091239.434802395</v>
      </c>
      <c r="M441" s="14" t="n">
        <v>0</v>
      </c>
      <c r="N441" s="14" t="n">
        <v>383095.0504996207</v>
      </c>
      <c r="O441" s="14" t="n">
        <v>3263361.291273857</v>
      </c>
      <c r="P441" s="14" t="n">
        <v>298154.2659914503</v>
      </c>
      <c r="Q441" s="14" t="n">
        <v>15715894.68725535</v>
      </c>
      <c r="R441" s="15">
        <f>IF(D441=1,"Section 1","Control")</f>
        <v/>
      </c>
      <c r="S441" s="16">
        <f>N441/10000</f>
        <v/>
      </c>
      <c r="T441" s="16">
        <f>P441/10000</f>
        <v/>
      </c>
      <c r="U441" s="15">
        <f>IF(N441&gt;=Summary!$D$3,1,0)</f>
        <v/>
      </c>
      <c r="V441" s="17">
        <f>IF(N441&gt;0,P441/N441,"")</f>
        <v/>
      </c>
      <c r="W441" s="17">
        <f>IF(O441&gt;0,H441/O441,"")</f>
        <v/>
      </c>
    </row>
    <row r="442">
      <c r="A442" s="13" t="inlineStr">
        <is>
          <t>T16_B3</t>
        </is>
      </c>
      <c r="B442" s="13" t="inlineStr">
        <is>
          <t>T16</t>
        </is>
      </c>
      <c r="C442" s="13" t="inlineStr">
        <is>
          <t>B3</t>
        </is>
      </c>
      <c r="D442" s="13" t="n">
        <v>1</v>
      </c>
      <c r="E442" s="13" t="inlineStr">
        <is>
          <t>S1</t>
        </is>
      </c>
      <c r="F442" s="13" t="n">
        <v>2026</v>
      </c>
      <c r="G442" s="14" t="n">
        <v>8348588.413987194</v>
      </c>
      <c r="H442" s="14" t="n">
        <v>118973.4890782674</v>
      </c>
      <c r="I442" s="14" t="n">
        <v>86147.49330477245</v>
      </c>
      <c r="J442" s="14" t="n">
        <v>0</v>
      </c>
      <c r="K442" s="14" t="n">
        <v>3054883.786506174</v>
      </c>
      <c r="L442" s="14" t="n">
        <v>5088583.645097979</v>
      </c>
      <c r="M442" s="14" t="n">
        <v>0</v>
      </c>
      <c r="N442" s="14" t="n">
        <v>383095.0504996206</v>
      </c>
      <c r="O442" s="14" t="n">
        <v>3263361.291273857</v>
      </c>
      <c r="P442" s="14" t="n">
        <v>304283.3648893169</v>
      </c>
      <c r="Q442" s="14" t="n">
        <v>15715894.68725535</v>
      </c>
      <c r="R442" s="15">
        <f>IF(D442=1,"Section 1","Control")</f>
        <v/>
      </c>
      <c r="S442" s="16">
        <f>N442/10000</f>
        <v/>
      </c>
      <c r="T442" s="16">
        <f>P442/10000</f>
        <v/>
      </c>
      <c r="U442" s="15">
        <f>IF(N442&gt;=Summary!$D$3,1,0)</f>
        <v/>
      </c>
      <c r="V442" s="17">
        <f>IF(N442&gt;0,P442/N442,"")</f>
        <v/>
      </c>
      <c r="W442" s="17">
        <f>IF(O442&gt;0,H442/O442,"")</f>
        <v/>
      </c>
    </row>
    <row r="443">
      <c r="A443" s="13" t="inlineStr">
        <is>
          <t>T16_F</t>
        </is>
      </c>
      <c r="B443" s="13" t="inlineStr">
        <is>
          <t>T16</t>
        </is>
      </c>
      <c r="C443" s="13" t="inlineStr">
        <is>
          <t>F</t>
        </is>
      </c>
      <c r="D443" s="13" t="n">
        <v>1</v>
      </c>
      <c r="E443" s="13" t="inlineStr">
        <is>
          <t>S1</t>
        </is>
      </c>
      <c r="F443" s="13" t="n">
        <v>2020</v>
      </c>
      <c r="G443" s="14" t="n">
        <v>59355.77334516936</v>
      </c>
      <c r="H443" s="14" t="n">
        <v>6033.721902884689</v>
      </c>
      <c r="I443" s="14" t="n">
        <v>8868.813287174</v>
      </c>
      <c r="J443" s="14" t="n">
        <v>0</v>
      </c>
      <c r="K443" s="14" t="n">
        <v>44453.23815511069</v>
      </c>
      <c r="L443" s="14" t="n">
        <v>0</v>
      </c>
      <c r="M443" s="14" t="n">
        <v>0</v>
      </c>
      <c r="N443" s="14" t="n">
        <v>6033.721902884689</v>
      </c>
      <c r="O443" s="14" t="n">
        <v>59355.77334516936</v>
      </c>
      <c r="P443" s="14" t="n">
        <v>0</v>
      </c>
      <c r="Q443" s="14" t="n">
        <v>453260.6424284094</v>
      </c>
      <c r="R443" s="15">
        <f>IF(D443=1,"Section 1","Control")</f>
        <v/>
      </c>
      <c r="S443" s="16">
        <f>N443/10000</f>
        <v/>
      </c>
      <c r="T443" s="16">
        <f>P443/10000</f>
        <v/>
      </c>
      <c r="U443" s="15">
        <f>IF(N443&gt;=Summary!$D$3,1,0)</f>
        <v/>
      </c>
      <c r="V443" s="17">
        <f>IF(N443&gt;0,P443/N443,"")</f>
        <v/>
      </c>
      <c r="W443" s="17">
        <f>IF(O443&gt;0,H443/O443,"")</f>
        <v/>
      </c>
    </row>
    <row r="444">
      <c r="A444" s="13" t="inlineStr">
        <is>
          <t>T16_F</t>
        </is>
      </c>
      <c r="B444" s="13" t="inlineStr">
        <is>
          <t>T16</t>
        </is>
      </c>
      <c r="C444" s="13" t="inlineStr">
        <is>
          <t>F</t>
        </is>
      </c>
      <c r="D444" s="13" t="n">
        <v>1</v>
      </c>
      <c r="E444" s="13" t="inlineStr">
        <is>
          <t>S1</t>
        </is>
      </c>
      <c r="F444" s="13" t="n">
        <v>2021</v>
      </c>
      <c r="G444" s="14" t="n">
        <v>59355.77334516936</v>
      </c>
      <c r="H444" s="14" t="n">
        <v>1096.018165737975</v>
      </c>
      <c r="I444" s="14" t="n">
        <v>12384.90408639347</v>
      </c>
      <c r="J444" s="14" t="n">
        <v>0</v>
      </c>
      <c r="K444" s="14" t="n">
        <v>45874.85109303793</v>
      </c>
      <c r="L444" s="14" t="n">
        <v>0</v>
      </c>
      <c r="M444" s="14" t="n">
        <v>0</v>
      </c>
      <c r="N444" s="14" t="n">
        <v>6033.721902884689</v>
      </c>
      <c r="O444" s="14" t="n">
        <v>59355.77334516936</v>
      </c>
      <c r="P444" s="14" t="n">
        <v>4937.703737146714</v>
      </c>
      <c r="Q444" s="14" t="n">
        <v>453260.6424284094</v>
      </c>
      <c r="R444" s="15">
        <f>IF(D444=1,"Section 1","Control")</f>
        <v/>
      </c>
      <c r="S444" s="16">
        <f>N444/10000</f>
        <v/>
      </c>
      <c r="T444" s="16">
        <f>P444/10000</f>
        <v/>
      </c>
      <c r="U444" s="15">
        <f>IF(N444&gt;=Summary!$D$3,1,0)</f>
        <v/>
      </c>
      <c r="V444" s="17">
        <f>IF(N444&gt;0,P444/N444,"")</f>
        <v/>
      </c>
      <c r="W444" s="17">
        <f>IF(O444&gt;0,H444/O444,"")</f>
        <v/>
      </c>
    </row>
    <row r="445">
      <c r="A445" s="13" t="inlineStr">
        <is>
          <t>T16_F</t>
        </is>
      </c>
      <c r="B445" s="13" t="inlineStr">
        <is>
          <t>T16</t>
        </is>
      </c>
      <c r="C445" s="13" t="inlineStr">
        <is>
          <t>F</t>
        </is>
      </c>
      <c r="D445" s="13" t="n">
        <v>1</v>
      </c>
      <c r="E445" s="13" t="inlineStr">
        <is>
          <t>S1</t>
        </is>
      </c>
      <c r="F445" s="13" t="n">
        <v>2022</v>
      </c>
      <c r="G445" s="14" t="n">
        <v>59355.77334516936</v>
      </c>
      <c r="H445" s="14" t="n">
        <v>0</v>
      </c>
      <c r="I445" s="14" t="n">
        <v>17205.69718191109</v>
      </c>
      <c r="J445" s="14" t="n">
        <v>0</v>
      </c>
      <c r="K445" s="14" t="n">
        <v>42150.07616325827</v>
      </c>
      <c r="L445" s="14" t="n">
        <v>0</v>
      </c>
      <c r="M445" s="14" t="n">
        <v>0</v>
      </c>
      <c r="N445" s="14" t="n">
        <v>6033.72190288469</v>
      </c>
      <c r="O445" s="14" t="n">
        <v>59355.77334516936</v>
      </c>
      <c r="P445" s="14" t="n">
        <v>6033.72190288469</v>
      </c>
      <c r="Q445" s="14" t="n">
        <v>453260.6424284094</v>
      </c>
      <c r="R445" s="15">
        <f>IF(D445=1,"Section 1","Control")</f>
        <v/>
      </c>
      <c r="S445" s="16">
        <f>N445/10000</f>
        <v/>
      </c>
      <c r="T445" s="16">
        <f>P445/10000</f>
        <v/>
      </c>
      <c r="U445" s="15">
        <f>IF(N445&gt;=Summary!$D$3,1,0)</f>
        <v/>
      </c>
      <c r="V445" s="17">
        <f>IF(N445&gt;0,P445/N445,"")</f>
        <v/>
      </c>
      <c r="W445" s="17">
        <f>IF(O445&gt;0,H445/O445,"")</f>
        <v/>
      </c>
    </row>
    <row r="446">
      <c r="A446" s="13" t="inlineStr">
        <is>
          <t>T16_F</t>
        </is>
      </c>
      <c r="B446" s="13" t="inlineStr">
        <is>
          <t>T16</t>
        </is>
      </c>
      <c r="C446" s="13" t="inlineStr">
        <is>
          <t>F</t>
        </is>
      </c>
      <c r="D446" s="13" t="n">
        <v>1</v>
      </c>
      <c r="E446" s="13" t="inlineStr">
        <is>
          <t>S1</t>
        </is>
      </c>
      <c r="F446" s="13" t="n">
        <v>2023</v>
      </c>
      <c r="G446" s="14" t="n">
        <v>59355.77334516936</v>
      </c>
      <c r="H446" s="14" t="n">
        <v>0</v>
      </c>
      <c r="I446" s="14" t="n">
        <v>28083.82239565381</v>
      </c>
      <c r="J446" s="14" t="n">
        <v>0</v>
      </c>
      <c r="K446" s="14" t="n">
        <v>31271.95094951555</v>
      </c>
      <c r="L446" s="14" t="n">
        <v>0</v>
      </c>
      <c r="M446" s="14" t="n">
        <v>0</v>
      </c>
      <c r="N446" s="14" t="n">
        <v>6033.721902884689</v>
      </c>
      <c r="O446" s="14" t="n">
        <v>59355.77334516936</v>
      </c>
      <c r="P446" s="14" t="n">
        <v>6033.721902884689</v>
      </c>
      <c r="Q446" s="14" t="n">
        <v>453260.6424284094</v>
      </c>
      <c r="R446" s="15">
        <f>IF(D446=1,"Section 1","Control")</f>
        <v/>
      </c>
      <c r="S446" s="16">
        <f>N446/10000</f>
        <v/>
      </c>
      <c r="T446" s="16">
        <f>P446/10000</f>
        <v/>
      </c>
      <c r="U446" s="15">
        <f>IF(N446&gt;=Summary!$D$3,1,0)</f>
        <v/>
      </c>
      <c r="V446" s="17">
        <f>IF(N446&gt;0,P446/N446,"")</f>
        <v/>
      </c>
      <c r="W446" s="17">
        <f>IF(O446&gt;0,H446/O446,"")</f>
        <v/>
      </c>
    </row>
    <row r="447">
      <c r="A447" s="13" t="inlineStr">
        <is>
          <t>T16_F</t>
        </is>
      </c>
      <c r="B447" s="13" t="inlineStr">
        <is>
          <t>T16</t>
        </is>
      </c>
      <c r="C447" s="13" t="inlineStr">
        <is>
          <t>F</t>
        </is>
      </c>
      <c r="D447" s="13" t="n">
        <v>1</v>
      </c>
      <c r="E447" s="13" t="inlineStr">
        <is>
          <t>S1</t>
        </is>
      </c>
      <c r="F447" s="13" t="n">
        <v>2024</v>
      </c>
      <c r="G447" s="14" t="n">
        <v>59355.77334516936</v>
      </c>
      <c r="H447" s="14" t="n">
        <v>394.8921813964844</v>
      </c>
      <c r="I447" s="14" t="n">
        <v>24359.83283233642</v>
      </c>
      <c r="J447" s="14" t="n">
        <v>0</v>
      </c>
      <c r="K447" s="14" t="n">
        <v>34601.04833143645</v>
      </c>
      <c r="L447" s="14" t="n">
        <v>0</v>
      </c>
      <c r="M447" s="14" t="n">
        <v>0</v>
      </c>
      <c r="N447" s="14" t="n">
        <v>6033.721902884689</v>
      </c>
      <c r="O447" s="14" t="n">
        <v>59355.77334516936</v>
      </c>
      <c r="P447" s="14" t="n">
        <v>6033.721902884689</v>
      </c>
      <c r="Q447" s="14" t="n">
        <v>453260.6424284094</v>
      </c>
      <c r="R447" s="15">
        <f>IF(D447=1,"Section 1","Control")</f>
        <v/>
      </c>
      <c r="S447" s="16">
        <f>N447/10000</f>
        <v/>
      </c>
      <c r="T447" s="16">
        <f>P447/10000</f>
        <v/>
      </c>
      <c r="U447" s="15">
        <f>IF(N447&gt;=Summary!$D$3,1,0)</f>
        <v/>
      </c>
      <c r="V447" s="17">
        <f>IF(N447&gt;0,P447/N447,"")</f>
        <v/>
      </c>
      <c r="W447" s="17">
        <f>IF(O447&gt;0,H447/O447,"")</f>
        <v/>
      </c>
    </row>
    <row r="448">
      <c r="A448" s="13" t="inlineStr">
        <is>
          <t>T16_F</t>
        </is>
      </c>
      <c r="B448" s="13" t="inlineStr">
        <is>
          <t>T16</t>
        </is>
      </c>
      <c r="C448" s="13" t="inlineStr">
        <is>
          <t>F</t>
        </is>
      </c>
      <c r="D448" s="13" t="n">
        <v>1</v>
      </c>
      <c r="E448" s="13" t="inlineStr">
        <is>
          <t>S1</t>
        </is>
      </c>
      <c r="F448" s="13" t="n">
        <v>2025</v>
      </c>
      <c r="G448" s="14" t="n">
        <v>59355.77334516936</v>
      </c>
      <c r="H448" s="14" t="n">
        <v>0</v>
      </c>
      <c r="I448" s="14" t="n">
        <v>32159.72404578714</v>
      </c>
      <c r="J448" s="14" t="n">
        <v>0</v>
      </c>
      <c r="K448" s="14" t="n">
        <v>27196.04929938222</v>
      </c>
      <c r="L448" s="14" t="n">
        <v>0</v>
      </c>
      <c r="M448" s="14" t="n">
        <v>0</v>
      </c>
      <c r="N448" s="14" t="n">
        <v>6033.721902884689</v>
      </c>
      <c r="O448" s="14" t="n">
        <v>59355.77334516936</v>
      </c>
      <c r="P448" s="14" t="n">
        <v>6033.721902884689</v>
      </c>
      <c r="Q448" s="14" t="n">
        <v>453260.6424284094</v>
      </c>
      <c r="R448" s="15">
        <f>IF(D448=1,"Section 1","Control")</f>
        <v/>
      </c>
      <c r="S448" s="16">
        <f>N448/10000</f>
        <v/>
      </c>
      <c r="T448" s="16">
        <f>P448/10000</f>
        <v/>
      </c>
      <c r="U448" s="15">
        <f>IF(N448&gt;=Summary!$D$3,1,0)</f>
        <v/>
      </c>
      <c r="V448" s="17">
        <f>IF(N448&gt;0,P448/N448,"")</f>
        <v/>
      </c>
      <c r="W448" s="17">
        <f>IF(O448&gt;0,H448/O448,"")</f>
        <v/>
      </c>
    </row>
    <row r="449">
      <c r="A449" s="13" t="inlineStr">
        <is>
          <t>T16_F</t>
        </is>
      </c>
      <c r="B449" s="13" t="inlineStr">
        <is>
          <t>T16</t>
        </is>
      </c>
      <c r="C449" s="13" t="inlineStr">
        <is>
          <t>F</t>
        </is>
      </c>
      <c r="D449" s="13" t="n">
        <v>1</v>
      </c>
      <c r="E449" s="13" t="inlineStr">
        <is>
          <t>S1</t>
        </is>
      </c>
      <c r="F449" s="13" t="n">
        <v>2026</v>
      </c>
      <c r="G449" s="14" t="n">
        <v>59355.77334516936</v>
      </c>
      <c r="H449" s="14" t="n">
        <v>0</v>
      </c>
      <c r="I449" s="14" t="n">
        <v>2899.749062541886</v>
      </c>
      <c r="J449" s="14" t="n">
        <v>0</v>
      </c>
      <c r="K449" s="14" t="n">
        <v>56456.02428262748</v>
      </c>
      <c r="L449" s="14" t="n">
        <v>0</v>
      </c>
      <c r="M449" s="14" t="n">
        <v>0</v>
      </c>
      <c r="N449" s="14" t="n">
        <v>6033.721902884689</v>
      </c>
      <c r="O449" s="14" t="n">
        <v>59355.77334516936</v>
      </c>
      <c r="P449" s="14" t="n">
        <v>6033.721902884689</v>
      </c>
      <c r="Q449" s="14" t="n">
        <v>453260.6424284094</v>
      </c>
      <c r="R449" s="15">
        <f>IF(D449=1,"Section 1","Control")</f>
        <v/>
      </c>
      <c r="S449" s="16">
        <f>N449/10000</f>
        <v/>
      </c>
      <c r="T449" s="16">
        <f>P449/10000</f>
        <v/>
      </c>
      <c r="U449" s="15">
        <f>IF(N449&gt;=Summary!$D$3,1,0)</f>
        <v/>
      </c>
      <c r="V449" s="17">
        <f>IF(N449&gt;0,P449/N449,"")</f>
        <v/>
      </c>
      <c r="W449" s="17">
        <f>IF(O449&gt;0,H449/O449,"")</f>
        <v/>
      </c>
    </row>
    <row r="450">
      <c r="A450" s="13" t="inlineStr">
        <is>
          <t>T17_B1</t>
        </is>
      </c>
      <c r="B450" s="13" t="inlineStr">
        <is>
          <t>T17</t>
        </is>
      </c>
      <c r="C450" s="13" t="inlineStr">
        <is>
          <t>B1</t>
        </is>
      </c>
      <c r="D450" s="13" t="n">
        <v>1</v>
      </c>
      <c r="E450" s="13" t="inlineStr">
        <is>
          <t>S1</t>
        </is>
      </c>
      <c r="F450" s="13" t="n">
        <v>2020</v>
      </c>
      <c r="G450" s="14" t="n">
        <v>1000305.115103269</v>
      </c>
      <c r="H450" s="14" t="n">
        <v>171702.0639165841</v>
      </c>
      <c r="I450" s="14" t="n">
        <v>164737.2487352857</v>
      </c>
      <c r="J450" s="14" t="n">
        <v>29234.50917208802</v>
      </c>
      <c r="K450" s="14" t="n">
        <v>593071.3647509108</v>
      </c>
      <c r="L450" s="14" t="n">
        <v>41559.92852840049</v>
      </c>
      <c r="M450" s="14" t="n">
        <v>0</v>
      </c>
      <c r="N450" s="14" t="n">
        <v>171702.0639165841</v>
      </c>
      <c r="O450" s="14" t="n">
        <v>958745.1865748684</v>
      </c>
      <c r="P450" s="14" t="n">
        <v>0</v>
      </c>
      <c r="Q450" s="14" t="n">
        <v>6351608.982669159</v>
      </c>
      <c r="R450" s="15">
        <f>IF(D450=1,"Section 1","Control")</f>
        <v/>
      </c>
      <c r="S450" s="16">
        <f>N450/10000</f>
        <v/>
      </c>
      <c r="T450" s="16">
        <f>P450/10000</f>
        <v/>
      </c>
      <c r="U450" s="15">
        <f>IF(N450&gt;=Summary!$D$3,1,0)</f>
        <v/>
      </c>
      <c r="V450" s="17">
        <f>IF(N450&gt;0,P450/N450,"")</f>
        <v/>
      </c>
      <c r="W450" s="17">
        <f>IF(O450&gt;0,H450/O450,"")</f>
        <v/>
      </c>
    </row>
    <row r="451">
      <c r="A451" s="13" t="inlineStr">
        <is>
          <t>T17_B1</t>
        </is>
      </c>
      <c r="B451" s="13" t="inlineStr">
        <is>
          <t>T17</t>
        </is>
      </c>
      <c r="C451" s="13" t="inlineStr">
        <is>
          <t>B1</t>
        </is>
      </c>
      <c r="D451" s="13" t="n">
        <v>1</v>
      </c>
      <c r="E451" s="13" t="inlineStr">
        <is>
          <t>S1</t>
        </is>
      </c>
      <c r="F451" s="13" t="n">
        <v>2021</v>
      </c>
      <c r="G451" s="14" t="n">
        <v>1000305.115103269</v>
      </c>
      <c r="H451" s="14" t="n">
        <v>148985.447345599</v>
      </c>
      <c r="I451" s="14" t="n">
        <v>170604.8255169438</v>
      </c>
      <c r="J451" s="14" t="n">
        <v>29530.67921603333</v>
      </c>
      <c r="K451" s="14" t="n">
        <v>604355.1084389482</v>
      </c>
      <c r="L451" s="14" t="n">
        <v>46829.05458574482</v>
      </c>
      <c r="M451" s="14" t="n">
        <v>0</v>
      </c>
      <c r="N451" s="14" t="n">
        <v>171702.0639165841</v>
      </c>
      <c r="O451" s="14" t="n">
        <v>958745.1865748686</v>
      </c>
      <c r="P451" s="14" t="n">
        <v>31601.61095575071</v>
      </c>
      <c r="Q451" s="14" t="n">
        <v>6351608.982669158</v>
      </c>
      <c r="R451" s="15">
        <f>IF(D451=1,"Section 1","Control")</f>
        <v/>
      </c>
      <c r="S451" s="16">
        <f>N451/10000</f>
        <v/>
      </c>
      <c r="T451" s="16">
        <f>P451/10000</f>
        <v/>
      </c>
      <c r="U451" s="15">
        <f>IF(N451&gt;=Summary!$D$3,1,0)</f>
        <v/>
      </c>
      <c r="V451" s="17">
        <f>IF(N451&gt;0,P451/N451,"")</f>
        <v/>
      </c>
      <c r="W451" s="17">
        <f>IF(O451&gt;0,H451/O451,"")</f>
        <v/>
      </c>
    </row>
    <row r="452">
      <c r="A452" s="13" t="inlineStr">
        <is>
          <t>T17_B1</t>
        </is>
      </c>
      <c r="B452" s="13" t="inlineStr">
        <is>
          <t>T17</t>
        </is>
      </c>
      <c r="C452" s="13" t="inlineStr">
        <is>
          <t>B1</t>
        </is>
      </c>
      <c r="D452" s="13" t="n">
        <v>1</v>
      </c>
      <c r="E452" s="13" t="inlineStr">
        <is>
          <t>S1</t>
        </is>
      </c>
      <c r="F452" s="13" t="n">
        <v>2022</v>
      </c>
      <c r="G452" s="14" t="n">
        <v>1000305.115103269</v>
      </c>
      <c r="H452" s="14" t="n">
        <v>131607.4421287686</v>
      </c>
      <c r="I452" s="14" t="n">
        <v>175367.1549415439</v>
      </c>
      <c r="J452" s="14" t="n">
        <v>29826.84927523744</v>
      </c>
      <c r="K452" s="14" t="n">
        <v>613313.7565886553</v>
      </c>
      <c r="L452" s="14" t="n">
        <v>50189.91216906379</v>
      </c>
      <c r="M452" s="14" t="n">
        <v>0</v>
      </c>
      <c r="N452" s="14" t="n">
        <v>171702.0639165841</v>
      </c>
      <c r="O452" s="14" t="n">
        <v>958745.1865748684</v>
      </c>
      <c r="P452" s="14" t="n">
        <v>61230.05975365732</v>
      </c>
      <c r="Q452" s="14" t="n">
        <v>6351608.982669158</v>
      </c>
      <c r="R452" s="15">
        <f>IF(D452=1,"Section 1","Control")</f>
        <v/>
      </c>
      <c r="S452" s="16">
        <f>N452/10000</f>
        <v/>
      </c>
      <c r="T452" s="16">
        <f>P452/10000</f>
        <v/>
      </c>
      <c r="U452" s="15">
        <f>IF(N452&gt;=Summary!$D$3,1,0)</f>
        <v/>
      </c>
      <c r="V452" s="17">
        <f>IF(N452&gt;0,P452/N452,"")</f>
        <v/>
      </c>
      <c r="W452" s="17">
        <f>IF(O452&gt;0,H452/O452,"")</f>
        <v/>
      </c>
    </row>
    <row r="453">
      <c r="A453" s="13" t="inlineStr">
        <is>
          <t>T17_B1</t>
        </is>
      </c>
      <c r="B453" s="13" t="inlineStr">
        <is>
          <t>T17</t>
        </is>
      </c>
      <c r="C453" s="13" t="inlineStr">
        <is>
          <t>B1</t>
        </is>
      </c>
      <c r="D453" s="13" t="n">
        <v>1</v>
      </c>
      <c r="E453" s="13" t="inlineStr">
        <is>
          <t>S1</t>
        </is>
      </c>
      <c r="F453" s="13" t="n">
        <v>2023</v>
      </c>
      <c r="G453" s="14" t="n">
        <v>1000305.115103269</v>
      </c>
      <c r="H453" s="14" t="n">
        <v>107017.1098005706</v>
      </c>
      <c r="I453" s="14" t="n">
        <v>155124.6001063328</v>
      </c>
      <c r="J453" s="14" t="n">
        <v>29826.84927523744</v>
      </c>
      <c r="K453" s="14" t="n">
        <v>650612.2996049768</v>
      </c>
      <c r="L453" s="14" t="n">
        <v>57724.25631615133</v>
      </c>
      <c r="M453" s="14" t="n">
        <v>0</v>
      </c>
      <c r="N453" s="14" t="n">
        <v>171702.0639165841</v>
      </c>
      <c r="O453" s="14" t="n">
        <v>958745.1865748684</v>
      </c>
      <c r="P453" s="14" t="n">
        <v>72631.12602045396</v>
      </c>
      <c r="Q453" s="14" t="n">
        <v>6351608.982669158</v>
      </c>
      <c r="R453" s="15">
        <f>IF(D453=1,"Section 1","Control")</f>
        <v/>
      </c>
      <c r="S453" s="16">
        <f>N453/10000</f>
        <v/>
      </c>
      <c r="T453" s="16">
        <f>P453/10000</f>
        <v/>
      </c>
      <c r="U453" s="15">
        <f>IF(N453&gt;=Summary!$D$3,1,0)</f>
        <v/>
      </c>
      <c r="V453" s="17">
        <f>IF(N453&gt;0,P453/N453,"")</f>
        <v/>
      </c>
      <c r="W453" s="17">
        <f>IF(O453&gt;0,H453/O453,"")</f>
        <v/>
      </c>
    </row>
    <row r="454">
      <c r="A454" s="13" t="inlineStr">
        <is>
          <t>T17_B1</t>
        </is>
      </c>
      <c r="B454" s="13" t="inlineStr">
        <is>
          <t>T17</t>
        </is>
      </c>
      <c r="C454" s="13" t="inlineStr">
        <is>
          <t>B1</t>
        </is>
      </c>
      <c r="D454" s="13" t="n">
        <v>1</v>
      </c>
      <c r="E454" s="13" t="inlineStr">
        <is>
          <t>S1</t>
        </is>
      </c>
      <c r="F454" s="13" t="n">
        <v>2024</v>
      </c>
      <c r="G454" s="14" t="n">
        <v>1000305.115103269</v>
      </c>
      <c r="H454" s="14" t="n">
        <v>122793.6593899596</v>
      </c>
      <c r="I454" s="14" t="n">
        <v>149673.7211073034</v>
      </c>
      <c r="J454" s="14" t="n">
        <v>29826.84927523744</v>
      </c>
      <c r="K454" s="14" t="n">
        <v>638979.9950379615</v>
      </c>
      <c r="L454" s="14" t="n">
        <v>59030.89029280718</v>
      </c>
      <c r="M454" s="14" t="n">
        <v>0</v>
      </c>
      <c r="N454" s="14" t="n">
        <v>171702.0639165841</v>
      </c>
      <c r="O454" s="14" t="n">
        <v>958745.1865748684</v>
      </c>
      <c r="P454" s="14" t="n">
        <v>73138.69053566128</v>
      </c>
      <c r="Q454" s="14" t="n">
        <v>6351608.982669158</v>
      </c>
      <c r="R454" s="15">
        <f>IF(D454=1,"Section 1","Control")</f>
        <v/>
      </c>
      <c r="S454" s="16">
        <f>N454/10000</f>
        <v/>
      </c>
      <c r="T454" s="16">
        <f>P454/10000</f>
        <v/>
      </c>
      <c r="U454" s="15">
        <f>IF(N454&gt;=Summary!$D$3,1,0)</f>
        <v/>
      </c>
      <c r="V454" s="17">
        <f>IF(N454&gt;0,P454/N454,"")</f>
        <v/>
      </c>
      <c r="W454" s="17">
        <f>IF(O454&gt;0,H454/O454,"")</f>
        <v/>
      </c>
    </row>
    <row r="455">
      <c r="A455" s="13" t="inlineStr">
        <is>
          <t>T17_B1</t>
        </is>
      </c>
      <c r="B455" s="13" t="inlineStr">
        <is>
          <t>T17</t>
        </is>
      </c>
      <c r="C455" s="13" t="inlineStr">
        <is>
          <t>B1</t>
        </is>
      </c>
      <c r="D455" s="13" t="n">
        <v>1</v>
      </c>
      <c r="E455" s="13" t="inlineStr">
        <is>
          <t>S1</t>
        </is>
      </c>
      <c r="F455" s="13" t="n">
        <v>2025</v>
      </c>
      <c r="G455" s="14" t="n">
        <v>1000305.115103269</v>
      </c>
      <c r="H455" s="14" t="n">
        <v>130040.6548265045</v>
      </c>
      <c r="I455" s="14" t="n">
        <v>124071.7989813711</v>
      </c>
      <c r="J455" s="14" t="n">
        <v>26615.0476191502</v>
      </c>
      <c r="K455" s="14" t="n">
        <v>652178.457976547</v>
      </c>
      <c r="L455" s="14" t="n">
        <v>67399.15569969625</v>
      </c>
      <c r="M455" s="14" t="n">
        <v>0</v>
      </c>
      <c r="N455" s="14" t="n">
        <v>171702.0639165841</v>
      </c>
      <c r="O455" s="14" t="n">
        <v>958745.1865748684</v>
      </c>
      <c r="P455" s="14" t="n">
        <v>95055.01404487759</v>
      </c>
      <c r="Q455" s="14" t="n">
        <v>6351608.982669158</v>
      </c>
      <c r="R455" s="15">
        <f>IF(D455=1,"Section 1","Control")</f>
        <v/>
      </c>
      <c r="S455" s="16">
        <f>N455/10000</f>
        <v/>
      </c>
      <c r="T455" s="16">
        <f>P455/10000</f>
        <v/>
      </c>
      <c r="U455" s="15">
        <f>IF(N455&gt;=Summary!$D$3,1,0)</f>
        <v/>
      </c>
      <c r="V455" s="17">
        <f>IF(N455&gt;0,P455/N455,"")</f>
        <v/>
      </c>
      <c r="W455" s="17">
        <f>IF(O455&gt;0,H455/O455,"")</f>
        <v/>
      </c>
    </row>
    <row r="456">
      <c r="A456" s="13" t="inlineStr">
        <is>
          <t>T17_B1</t>
        </is>
      </c>
      <c r="B456" s="13" t="inlineStr">
        <is>
          <t>T17</t>
        </is>
      </c>
      <c r="C456" s="13" t="inlineStr">
        <is>
          <t>B1</t>
        </is>
      </c>
      <c r="D456" s="13" t="n">
        <v>1</v>
      </c>
      <c r="E456" s="13" t="inlineStr">
        <is>
          <t>S1</t>
        </is>
      </c>
      <c r="F456" s="13" t="n">
        <v>2026</v>
      </c>
      <c r="G456" s="14" t="n">
        <v>1000305.115103269</v>
      </c>
      <c r="H456" s="14" t="n">
        <v>97966.41052742751</v>
      </c>
      <c r="I456" s="14" t="n">
        <v>134641.3158222573</v>
      </c>
      <c r="J456" s="14" t="n">
        <v>19434.95299482159</v>
      </c>
      <c r="K456" s="14" t="n">
        <v>676170.6276186774</v>
      </c>
      <c r="L456" s="14" t="n">
        <v>72091.80814008525</v>
      </c>
      <c r="M456" s="14" t="n">
        <v>0</v>
      </c>
      <c r="N456" s="14" t="n">
        <v>171702.0639165841</v>
      </c>
      <c r="O456" s="14" t="n">
        <v>958745.1865748684</v>
      </c>
      <c r="P456" s="14" t="n">
        <v>124178.0530310837</v>
      </c>
      <c r="Q456" s="14" t="n">
        <v>6351608.982669158</v>
      </c>
      <c r="R456" s="15">
        <f>IF(D456=1,"Section 1","Control")</f>
        <v/>
      </c>
      <c r="S456" s="16">
        <f>N456/10000</f>
        <v/>
      </c>
      <c r="T456" s="16">
        <f>P456/10000</f>
        <v/>
      </c>
      <c r="U456" s="15">
        <f>IF(N456&gt;=Summary!$D$3,1,0)</f>
        <v/>
      </c>
      <c r="V456" s="17">
        <f>IF(N456&gt;0,P456/N456,"")</f>
        <v/>
      </c>
      <c r="W456" s="17">
        <f>IF(O456&gt;0,H456/O456,"")</f>
        <v/>
      </c>
    </row>
    <row r="457">
      <c r="A457" s="13" t="inlineStr">
        <is>
          <t>T17_B2</t>
        </is>
      </c>
      <c r="B457" s="13" t="inlineStr">
        <is>
          <t>T17</t>
        </is>
      </c>
      <c r="C457" s="13" t="inlineStr">
        <is>
          <t>B2</t>
        </is>
      </c>
      <c r="D457" s="13" t="n">
        <v>1</v>
      </c>
      <c r="E457" s="13" t="inlineStr">
        <is>
          <t>S1</t>
        </is>
      </c>
      <c r="F457" s="13" t="n">
        <v>2020</v>
      </c>
      <c r="G457" s="14" t="n">
        <v>1000199.033281034</v>
      </c>
      <c r="H457" s="14" t="n">
        <v>309115.2791777367</v>
      </c>
      <c r="I457" s="14" t="n">
        <v>58356.93249215519</v>
      </c>
      <c r="J457" s="14" t="n">
        <v>1735.982630651138</v>
      </c>
      <c r="K457" s="14" t="n">
        <v>124347.4174422919</v>
      </c>
      <c r="L457" s="14" t="n">
        <v>506643.4215381995</v>
      </c>
      <c r="M457" s="14" t="n">
        <v>0</v>
      </c>
      <c r="N457" s="14" t="n">
        <v>309115.2791777367</v>
      </c>
      <c r="O457" s="14" t="n">
        <v>493555.611742835</v>
      </c>
      <c r="P457" s="14" t="n">
        <v>0</v>
      </c>
      <c r="Q457" s="14" t="n">
        <v>2925189.288612484</v>
      </c>
      <c r="R457" s="15">
        <f>IF(D457=1,"Section 1","Control")</f>
        <v/>
      </c>
      <c r="S457" s="16">
        <f>N457/10000</f>
        <v/>
      </c>
      <c r="T457" s="16">
        <f>P457/10000</f>
        <v/>
      </c>
      <c r="U457" s="15">
        <f>IF(N457&gt;=Summary!$D$3,1,0)</f>
        <v/>
      </c>
      <c r="V457" s="17">
        <f>IF(N457&gt;0,P457/N457,"")</f>
        <v/>
      </c>
      <c r="W457" s="17">
        <f>IF(O457&gt;0,H457/O457,"")</f>
        <v/>
      </c>
    </row>
    <row r="458">
      <c r="A458" s="13" t="inlineStr">
        <is>
          <t>T17_B2</t>
        </is>
      </c>
      <c r="B458" s="13" t="inlineStr">
        <is>
          <t>T17</t>
        </is>
      </c>
      <c r="C458" s="13" t="inlineStr">
        <is>
          <t>B2</t>
        </is>
      </c>
      <c r="D458" s="13" t="n">
        <v>1</v>
      </c>
      <c r="E458" s="13" t="inlineStr">
        <is>
          <t>S1</t>
        </is>
      </c>
      <c r="F458" s="13" t="n">
        <v>2021</v>
      </c>
      <c r="G458" s="14" t="n">
        <v>1000199.033281034</v>
      </c>
      <c r="H458" s="14" t="n">
        <v>295999.2570695166</v>
      </c>
      <c r="I458" s="14" t="n">
        <v>62773.40743013271</v>
      </c>
      <c r="J458" s="14" t="n">
        <v>1735.982630651138</v>
      </c>
      <c r="K458" s="14" t="n">
        <v>130286.5776391721</v>
      </c>
      <c r="L458" s="14" t="n">
        <v>509403.8085115619</v>
      </c>
      <c r="M458" s="14" t="n">
        <v>0</v>
      </c>
      <c r="N458" s="14" t="n">
        <v>309115.2791777367</v>
      </c>
      <c r="O458" s="14" t="n">
        <v>493555.611742835</v>
      </c>
      <c r="P458" s="14" t="n">
        <v>13510.90883459952</v>
      </c>
      <c r="Q458" s="14" t="n">
        <v>2925189.288612484</v>
      </c>
      <c r="R458" s="15">
        <f>IF(D458=1,"Section 1","Control")</f>
        <v/>
      </c>
      <c r="S458" s="16">
        <f>N458/10000</f>
        <v/>
      </c>
      <c r="T458" s="16">
        <f>P458/10000</f>
        <v/>
      </c>
      <c r="U458" s="15">
        <f>IF(N458&gt;=Summary!$D$3,1,0)</f>
        <v/>
      </c>
      <c r="V458" s="17">
        <f>IF(N458&gt;0,P458/N458,"")</f>
        <v/>
      </c>
      <c r="W458" s="17">
        <f>IF(O458&gt;0,H458/O458,"")</f>
        <v/>
      </c>
    </row>
    <row r="459">
      <c r="A459" s="13" t="inlineStr">
        <is>
          <t>T17_B2</t>
        </is>
      </c>
      <c r="B459" s="13" t="inlineStr">
        <is>
          <t>T17</t>
        </is>
      </c>
      <c r="C459" s="13" t="inlineStr">
        <is>
          <t>B2</t>
        </is>
      </c>
      <c r="D459" s="13" t="n">
        <v>1</v>
      </c>
      <c r="E459" s="13" t="inlineStr">
        <is>
          <t>S1</t>
        </is>
      </c>
      <c r="F459" s="13" t="n">
        <v>2022</v>
      </c>
      <c r="G459" s="14" t="n">
        <v>1000199.033281034</v>
      </c>
      <c r="H459" s="14" t="n">
        <v>285602.1519095327</v>
      </c>
      <c r="I459" s="14" t="n">
        <v>69776.73774408078</v>
      </c>
      <c r="J459" s="14" t="n">
        <v>1735.982630651138</v>
      </c>
      <c r="K459" s="14" t="n">
        <v>130496.0352411607</v>
      </c>
      <c r="L459" s="14" t="n">
        <v>512588.1257556092</v>
      </c>
      <c r="M459" s="14" t="n">
        <v>0</v>
      </c>
      <c r="N459" s="14" t="n">
        <v>309115.2791777367</v>
      </c>
      <c r="O459" s="14" t="n">
        <v>493555.611742835</v>
      </c>
      <c r="P459" s="14" t="n">
        <v>24539.44573633531</v>
      </c>
      <c r="Q459" s="14" t="n">
        <v>2925189.288612484</v>
      </c>
      <c r="R459" s="15">
        <f>IF(D459=1,"Section 1","Control")</f>
        <v/>
      </c>
      <c r="S459" s="16">
        <f>N459/10000</f>
        <v/>
      </c>
      <c r="T459" s="16">
        <f>P459/10000</f>
        <v/>
      </c>
      <c r="U459" s="15">
        <f>IF(N459&gt;=Summary!$D$3,1,0)</f>
        <v/>
      </c>
      <c r="V459" s="17">
        <f>IF(N459&gt;0,P459/N459,"")</f>
        <v/>
      </c>
      <c r="W459" s="17">
        <f>IF(O459&gt;0,H459/O459,"")</f>
        <v/>
      </c>
    </row>
    <row r="460">
      <c r="A460" s="13" t="inlineStr">
        <is>
          <t>T17_B2</t>
        </is>
      </c>
      <c r="B460" s="13" t="inlineStr">
        <is>
          <t>T17</t>
        </is>
      </c>
      <c r="C460" s="13" t="inlineStr">
        <is>
          <t>B2</t>
        </is>
      </c>
      <c r="D460" s="13" t="n">
        <v>1</v>
      </c>
      <c r="E460" s="13" t="inlineStr">
        <is>
          <t>S1</t>
        </is>
      </c>
      <c r="F460" s="13" t="n">
        <v>2023</v>
      </c>
      <c r="G460" s="14" t="n">
        <v>1000199.033281035</v>
      </c>
      <c r="H460" s="14" t="n">
        <v>246799.6949877271</v>
      </c>
      <c r="I460" s="14" t="n">
        <v>81548.85317720899</v>
      </c>
      <c r="J460" s="14" t="n">
        <v>1735.982630651138</v>
      </c>
      <c r="K460" s="14" t="n">
        <v>150825.5748623418</v>
      </c>
      <c r="L460" s="14" t="n">
        <v>519288.9276231055</v>
      </c>
      <c r="M460" s="14" t="n">
        <v>0</v>
      </c>
      <c r="N460" s="14" t="n">
        <v>309115.2791777367</v>
      </c>
      <c r="O460" s="14" t="n">
        <v>493555.611742835</v>
      </c>
      <c r="P460" s="14" t="n">
        <v>67093.32828680299</v>
      </c>
      <c r="Q460" s="14" t="n">
        <v>2925189.288612484</v>
      </c>
      <c r="R460" s="15">
        <f>IF(D460=1,"Section 1","Control")</f>
        <v/>
      </c>
      <c r="S460" s="16">
        <f>N460/10000</f>
        <v/>
      </c>
      <c r="T460" s="16">
        <f>P460/10000</f>
        <v/>
      </c>
      <c r="U460" s="15">
        <f>IF(N460&gt;=Summary!$D$3,1,0)</f>
        <v/>
      </c>
      <c r="V460" s="17">
        <f>IF(N460&gt;0,P460/N460,"")</f>
        <v/>
      </c>
      <c r="W460" s="17">
        <f>IF(O460&gt;0,H460/O460,"")</f>
        <v/>
      </c>
    </row>
    <row r="461">
      <c r="A461" s="13" t="inlineStr">
        <is>
          <t>T17_B2</t>
        </is>
      </c>
      <c r="B461" s="13" t="inlineStr">
        <is>
          <t>T17</t>
        </is>
      </c>
      <c r="C461" s="13" t="inlineStr">
        <is>
          <t>B2</t>
        </is>
      </c>
      <c r="D461" s="13" t="n">
        <v>1</v>
      </c>
      <c r="E461" s="13" t="inlineStr">
        <is>
          <t>S1</t>
        </is>
      </c>
      <c r="F461" s="13" t="n">
        <v>2024</v>
      </c>
      <c r="G461" s="14" t="n">
        <v>1000199.033281034</v>
      </c>
      <c r="H461" s="14" t="n">
        <v>256441.1033338959</v>
      </c>
      <c r="I461" s="14" t="n">
        <v>77308.44276257683</v>
      </c>
      <c r="J461" s="14" t="n">
        <v>1735.982630651138</v>
      </c>
      <c r="K461" s="14" t="n">
        <v>145644.8589280671</v>
      </c>
      <c r="L461" s="14" t="n">
        <v>519068.6456258437</v>
      </c>
      <c r="M461" s="14" t="n">
        <v>0</v>
      </c>
      <c r="N461" s="14" t="n">
        <v>309115.2791777367</v>
      </c>
      <c r="O461" s="14" t="n">
        <v>493555.611742835</v>
      </c>
      <c r="P461" s="14" t="n">
        <v>65077.09771076276</v>
      </c>
      <c r="Q461" s="14" t="n">
        <v>2925189.288612484</v>
      </c>
      <c r="R461" s="15">
        <f>IF(D461=1,"Section 1","Control")</f>
        <v/>
      </c>
      <c r="S461" s="16">
        <f>N461/10000</f>
        <v/>
      </c>
      <c r="T461" s="16">
        <f>P461/10000</f>
        <v/>
      </c>
      <c r="U461" s="15">
        <f>IF(N461&gt;=Summary!$D$3,1,0)</f>
        <v/>
      </c>
      <c r="V461" s="17">
        <f>IF(N461&gt;0,P461/N461,"")</f>
        <v/>
      </c>
      <c r="W461" s="17">
        <f>IF(O461&gt;0,H461/O461,"")</f>
        <v/>
      </c>
    </row>
    <row r="462">
      <c r="A462" s="13" t="inlineStr">
        <is>
          <t>T17_B2</t>
        </is>
      </c>
      <c r="B462" s="13" t="inlineStr">
        <is>
          <t>T17</t>
        </is>
      </c>
      <c r="C462" s="13" t="inlineStr">
        <is>
          <t>B2</t>
        </is>
      </c>
      <c r="D462" s="13" t="n">
        <v>1</v>
      </c>
      <c r="E462" s="13" t="inlineStr">
        <is>
          <t>S1</t>
        </is>
      </c>
      <c r="F462" s="13" t="n">
        <v>2025</v>
      </c>
      <c r="G462" s="14" t="n">
        <v>1000199.033281035</v>
      </c>
      <c r="H462" s="14" t="n">
        <v>255950.6217703127</v>
      </c>
      <c r="I462" s="14" t="n">
        <v>55388.29423325483</v>
      </c>
      <c r="J462" s="14" t="n">
        <v>1735.982630651138</v>
      </c>
      <c r="K462" s="14" t="n">
        <v>168032.6471177046</v>
      </c>
      <c r="L462" s="14" t="n">
        <v>519091.4875291113</v>
      </c>
      <c r="M462" s="14" t="n">
        <v>0</v>
      </c>
      <c r="N462" s="14" t="n">
        <v>309115.2791777367</v>
      </c>
      <c r="O462" s="14" t="n">
        <v>493555.611742835</v>
      </c>
      <c r="P462" s="14" t="n">
        <v>77420.74988056257</v>
      </c>
      <c r="Q462" s="14" t="n">
        <v>2925189.288612484</v>
      </c>
      <c r="R462" s="15">
        <f>IF(D462=1,"Section 1","Control")</f>
        <v/>
      </c>
      <c r="S462" s="16">
        <f>N462/10000</f>
        <v/>
      </c>
      <c r="T462" s="16">
        <f>P462/10000</f>
        <v/>
      </c>
      <c r="U462" s="15">
        <f>IF(N462&gt;=Summary!$D$3,1,0)</f>
        <v/>
      </c>
      <c r="V462" s="17">
        <f>IF(N462&gt;0,P462/N462,"")</f>
        <v/>
      </c>
      <c r="W462" s="17">
        <f>IF(O462&gt;0,H462/O462,"")</f>
        <v/>
      </c>
    </row>
    <row r="463">
      <c r="A463" s="13" t="inlineStr">
        <is>
          <t>T17_B2</t>
        </is>
      </c>
      <c r="B463" s="13" t="inlineStr">
        <is>
          <t>T17</t>
        </is>
      </c>
      <c r="C463" s="13" t="inlineStr">
        <is>
          <t>B2</t>
        </is>
      </c>
      <c r="D463" s="13" t="n">
        <v>1</v>
      </c>
      <c r="E463" s="13" t="inlineStr">
        <is>
          <t>S1</t>
        </is>
      </c>
      <c r="F463" s="13" t="n">
        <v>2026</v>
      </c>
      <c r="G463" s="14" t="n">
        <v>1000199.033281035</v>
      </c>
      <c r="H463" s="14" t="n">
        <v>253945.2291857252</v>
      </c>
      <c r="I463" s="14" t="n">
        <v>46182.72296498617</v>
      </c>
      <c r="J463" s="14" t="n">
        <v>1735.982630651138</v>
      </c>
      <c r="K463" s="14" t="n">
        <v>178848.7243586223</v>
      </c>
      <c r="L463" s="14" t="n">
        <v>519486.3741410499</v>
      </c>
      <c r="M463" s="14" t="n">
        <v>0</v>
      </c>
      <c r="N463" s="14" t="n">
        <v>309115.2791777367</v>
      </c>
      <c r="O463" s="14" t="n">
        <v>493555.611742835</v>
      </c>
      <c r="P463" s="14" t="n">
        <v>84880.99538663977</v>
      </c>
      <c r="Q463" s="14" t="n">
        <v>2925189.288612484</v>
      </c>
      <c r="R463" s="15">
        <f>IF(D463=1,"Section 1","Control")</f>
        <v/>
      </c>
      <c r="S463" s="16">
        <f>N463/10000</f>
        <v/>
      </c>
      <c r="T463" s="16">
        <f>P463/10000</f>
        <v/>
      </c>
      <c r="U463" s="15">
        <f>IF(N463&gt;=Summary!$D$3,1,0)</f>
        <v/>
      </c>
      <c r="V463" s="17">
        <f>IF(N463&gt;0,P463/N463,"")</f>
        <v/>
      </c>
      <c r="W463" s="17">
        <f>IF(O463&gt;0,H463/O463,"")</f>
        <v/>
      </c>
    </row>
    <row r="464">
      <c r="A464" s="13" t="inlineStr">
        <is>
          <t>T17_B3</t>
        </is>
      </c>
      <c r="B464" s="13" t="inlineStr">
        <is>
          <t>T17</t>
        </is>
      </c>
      <c r="C464" s="13" t="inlineStr">
        <is>
          <t>B3</t>
        </is>
      </c>
      <c r="D464" s="13" t="n">
        <v>1</v>
      </c>
      <c r="E464" s="13" t="inlineStr">
        <is>
          <t>S1</t>
        </is>
      </c>
      <c r="F464" s="13" t="n">
        <v>2020</v>
      </c>
      <c r="G464" s="14" t="n">
        <v>8183916.912655818</v>
      </c>
      <c r="H464" s="14" t="n">
        <v>594025.8475150015</v>
      </c>
      <c r="I464" s="14" t="n">
        <v>210071.2690330356</v>
      </c>
      <c r="J464" s="14" t="n">
        <v>0</v>
      </c>
      <c r="K464" s="14" t="n">
        <v>2325881.008998138</v>
      </c>
      <c r="L464" s="14" t="n">
        <v>5053938.787109643</v>
      </c>
      <c r="M464" s="14" t="n">
        <v>0</v>
      </c>
      <c r="N464" s="14" t="n">
        <v>594025.8475150015</v>
      </c>
      <c r="O464" s="14" t="n">
        <v>3129978.125546175</v>
      </c>
      <c r="P464" s="14" t="n">
        <v>0</v>
      </c>
      <c r="Q464" s="14" t="n">
        <v>16734163.01857398</v>
      </c>
      <c r="R464" s="15">
        <f>IF(D464=1,"Section 1","Control")</f>
        <v/>
      </c>
      <c r="S464" s="16">
        <f>N464/10000</f>
        <v/>
      </c>
      <c r="T464" s="16">
        <f>P464/10000</f>
        <v/>
      </c>
      <c r="U464" s="15">
        <f>IF(N464&gt;=Summary!$D$3,1,0)</f>
        <v/>
      </c>
      <c r="V464" s="17">
        <f>IF(N464&gt;0,P464/N464,"")</f>
        <v/>
      </c>
      <c r="W464" s="17">
        <f>IF(O464&gt;0,H464/O464,"")</f>
        <v/>
      </c>
    </row>
    <row r="465">
      <c r="A465" s="13" t="inlineStr">
        <is>
          <t>T17_B3</t>
        </is>
      </c>
      <c r="B465" s="13" t="inlineStr">
        <is>
          <t>T17</t>
        </is>
      </c>
      <c r="C465" s="13" t="inlineStr">
        <is>
          <t>B3</t>
        </is>
      </c>
      <c r="D465" s="13" t="n">
        <v>1</v>
      </c>
      <c r="E465" s="13" t="inlineStr">
        <is>
          <t>S1</t>
        </is>
      </c>
      <c r="F465" s="13" t="n">
        <v>2021</v>
      </c>
      <c r="G465" s="14" t="n">
        <v>8183916.912655818</v>
      </c>
      <c r="H465" s="14" t="n">
        <v>542210.8395379459</v>
      </c>
      <c r="I465" s="14" t="n">
        <v>114910.695554666</v>
      </c>
      <c r="J465" s="14" t="n">
        <v>0</v>
      </c>
      <c r="K465" s="14" t="n">
        <v>2472856.590453563</v>
      </c>
      <c r="L465" s="14" t="n">
        <v>5053938.787109643</v>
      </c>
      <c r="M465" s="14" t="n">
        <v>0</v>
      </c>
      <c r="N465" s="14" t="n">
        <v>594025.8475150015</v>
      </c>
      <c r="O465" s="14" t="n">
        <v>3129978.125546175</v>
      </c>
      <c r="P465" s="14" t="n">
        <v>114503.9382009768</v>
      </c>
      <c r="Q465" s="14" t="n">
        <v>16734163.01857399</v>
      </c>
      <c r="R465" s="15">
        <f>IF(D465=1,"Section 1","Control")</f>
        <v/>
      </c>
      <c r="S465" s="16">
        <f>N465/10000</f>
        <v/>
      </c>
      <c r="T465" s="16">
        <f>P465/10000</f>
        <v/>
      </c>
      <c r="U465" s="15">
        <f>IF(N465&gt;=Summary!$D$3,1,0)</f>
        <v/>
      </c>
      <c r="V465" s="17">
        <f>IF(N465&gt;0,P465/N465,"")</f>
        <v/>
      </c>
      <c r="W465" s="17">
        <f>IF(O465&gt;0,H465/O465,"")</f>
        <v/>
      </c>
    </row>
    <row r="466">
      <c r="A466" s="13" t="inlineStr">
        <is>
          <t>T17_B3</t>
        </is>
      </c>
      <c r="B466" s="13" t="inlineStr">
        <is>
          <t>T17</t>
        </is>
      </c>
      <c r="C466" s="13" t="inlineStr">
        <is>
          <t>B3</t>
        </is>
      </c>
      <c r="D466" s="13" t="n">
        <v>1</v>
      </c>
      <c r="E466" s="13" t="inlineStr">
        <is>
          <t>S1</t>
        </is>
      </c>
      <c r="F466" s="13" t="n">
        <v>2022</v>
      </c>
      <c r="G466" s="14" t="n">
        <v>8183916.912655817</v>
      </c>
      <c r="H466" s="14" t="n">
        <v>322566.6777784161</v>
      </c>
      <c r="I466" s="14" t="n">
        <v>115760.3712092082</v>
      </c>
      <c r="J466" s="14" t="n">
        <v>0</v>
      </c>
      <c r="K466" s="14" t="n">
        <v>2691651.076558552</v>
      </c>
      <c r="L466" s="14" t="n">
        <v>5053938.787109643</v>
      </c>
      <c r="M466" s="14" t="n">
        <v>0</v>
      </c>
      <c r="N466" s="14" t="n">
        <v>594025.8475150014</v>
      </c>
      <c r="O466" s="14" t="n">
        <v>3129978.125546175</v>
      </c>
      <c r="P466" s="14" t="n">
        <v>283305.528890333</v>
      </c>
      <c r="Q466" s="14" t="n">
        <v>16734163.01857399</v>
      </c>
      <c r="R466" s="15">
        <f>IF(D466=1,"Section 1","Control")</f>
        <v/>
      </c>
      <c r="S466" s="16">
        <f>N466/10000</f>
        <v/>
      </c>
      <c r="T466" s="16">
        <f>P466/10000</f>
        <v/>
      </c>
      <c r="U466" s="15">
        <f>IF(N466&gt;=Summary!$D$3,1,0)</f>
        <v/>
      </c>
      <c r="V466" s="17">
        <f>IF(N466&gt;0,P466/N466,"")</f>
        <v/>
      </c>
      <c r="W466" s="17">
        <f>IF(O466&gt;0,H466/O466,"")</f>
        <v/>
      </c>
    </row>
    <row r="467">
      <c r="A467" s="13" t="inlineStr">
        <is>
          <t>T17_B3</t>
        </is>
      </c>
      <c r="B467" s="13" t="inlineStr">
        <is>
          <t>T17</t>
        </is>
      </c>
      <c r="C467" s="13" t="inlineStr">
        <is>
          <t>B3</t>
        </is>
      </c>
      <c r="D467" s="13" t="n">
        <v>1</v>
      </c>
      <c r="E467" s="13" t="inlineStr">
        <is>
          <t>S1</t>
        </is>
      </c>
      <c r="F467" s="13" t="n">
        <v>2023</v>
      </c>
      <c r="G467" s="14" t="n">
        <v>8183916.912655817</v>
      </c>
      <c r="H467" s="14" t="n">
        <v>310863.8398079965</v>
      </c>
      <c r="I467" s="14" t="n">
        <v>166923.6435465196</v>
      </c>
      <c r="J467" s="14" t="n">
        <v>0</v>
      </c>
      <c r="K467" s="14" t="n">
        <v>2652190.642191659</v>
      </c>
      <c r="L467" s="14" t="n">
        <v>5053938.787109643</v>
      </c>
      <c r="M467" s="14" t="n">
        <v>0</v>
      </c>
      <c r="N467" s="14" t="n">
        <v>594025.8475150014</v>
      </c>
      <c r="O467" s="14" t="n">
        <v>3129978.125546176</v>
      </c>
      <c r="P467" s="14" t="n">
        <v>307387.4311369054</v>
      </c>
      <c r="Q467" s="14" t="n">
        <v>16734163.01857399</v>
      </c>
      <c r="R467" s="15">
        <f>IF(D467=1,"Section 1","Control")</f>
        <v/>
      </c>
      <c r="S467" s="16">
        <f>N467/10000</f>
        <v/>
      </c>
      <c r="T467" s="16">
        <f>P467/10000</f>
        <v/>
      </c>
      <c r="U467" s="15">
        <f>IF(N467&gt;=Summary!$D$3,1,0)</f>
        <v/>
      </c>
      <c r="V467" s="17">
        <f>IF(N467&gt;0,P467/N467,"")</f>
        <v/>
      </c>
      <c r="W467" s="17">
        <f>IF(O467&gt;0,H467/O467,"")</f>
        <v/>
      </c>
    </row>
    <row r="468">
      <c r="A468" s="13" t="inlineStr">
        <is>
          <t>T17_B3</t>
        </is>
      </c>
      <c r="B468" s="13" t="inlineStr">
        <is>
          <t>T17</t>
        </is>
      </c>
      <c r="C468" s="13" t="inlineStr">
        <is>
          <t>B3</t>
        </is>
      </c>
      <c r="D468" s="13" t="n">
        <v>1</v>
      </c>
      <c r="E468" s="13" t="inlineStr">
        <is>
          <t>S1</t>
        </is>
      </c>
      <c r="F468" s="13" t="n">
        <v>2024</v>
      </c>
      <c r="G468" s="14" t="n">
        <v>8183916.912655818</v>
      </c>
      <c r="H468" s="14" t="n">
        <v>349179.28424539</v>
      </c>
      <c r="I468" s="14" t="n">
        <v>165546.0024442187</v>
      </c>
      <c r="J468" s="14" t="n">
        <v>0</v>
      </c>
      <c r="K468" s="14" t="n">
        <v>2615252.838856566</v>
      </c>
      <c r="L468" s="14" t="n">
        <v>5053938.787109644</v>
      </c>
      <c r="M468" s="14" t="n">
        <v>0</v>
      </c>
      <c r="N468" s="14" t="n">
        <v>594025.8475150014</v>
      </c>
      <c r="O468" s="14" t="n">
        <v>3129978.125546175</v>
      </c>
      <c r="P468" s="14" t="n">
        <v>306532.8059920068</v>
      </c>
      <c r="Q468" s="14" t="n">
        <v>16734163.01857398</v>
      </c>
      <c r="R468" s="15">
        <f>IF(D468=1,"Section 1","Control")</f>
        <v/>
      </c>
      <c r="S468" s="16">
        <f>N468/10000</f>
        <v/>
      </c>
      <c r="T468" s="16">
        <f>P468/10000</f>
        <v/>
      </c>
      <c r="U468" s="15">
        <f>IF(N468&gt;=Summary!$D$3,1,0)</f>
        <v/>
      </c>
      <c r="V468" s="17">
        <f>IF(N468&gt;0,P468/N468,"")</f>
        <v/>
      </c>
      <c r="W468" s="17">
        <f>IF(O468&gt;0,H468/O468,"")</f>
        <v/>
      </c>
    </row>
    <row r="469">
      <c r="A469" s="13" t="inlineStr">
        <is>
          <t>T17_B3</t>
        </is>
      </c>
      <c r="B469" s="13" t="inlineStr">
        <is>
          <t>T17</t>
        </is>
      </c>
      <c r="C469" s="13" t="inlineStr">
        <is>
          <t>B3</t>
        </is>
      </c>
      <c r="D469" s="13" t="n">
        <v>1</v>
      </c>
      <c r="E469" s="13" t="inlineStr">
        <is>
          <t>S1</t>
        </is>
      </c>
      <c r="F469" s="13" t="n">
        <v>2025</v>
      </c>
      <c r="G469" s="14" t="n">
        <v>8183916.912655818</v>
      </c>
      <c r="H469" s="14" t="n">
        <v>387086.5249445598</v>
      </c>
      <c r="I469" s="14" t="n">
        <v>122724.7965504366</v>
      </c>
      <c r="J469" s="14" t="n">
        <v>0</v>
      </c>
      <c r="K469" s="14" t="n">
        <v>2620166.804051179</v>
      </c>
      <c r="L469" s="14" t="n">
        <v>5053938.787109644</v>
      </c>
      <c r="M469" s="14" t="n">
        <v>0</v>
      </c>
      <c r="N469" s="14" t="n">
        <v>594025.8475150014</v>
      </c>
      <c r="O469" s="14" t="n">
        <v>3129978.125546175</v>
      </c>
      <c r="P469" s="14" t="n">
        <v>298074.473070541</v>
      </c>
      <c r="Q469" s="14" t="n">
        <v>16734163.01857399</v>
      </c>
      <c r="R469" s="15">
        <f>IF(D469=1,"Section 1","Control")</f>
        <v/>
      </c>
      <c r="S469" s="16">
        <f>N469/10000</f>
        <v/>
      </c>
      <c r="T469" s="16">
        <f>P469/10000</f>
        <v/>
      </c>
      <c r="U469" s="15">
        <f>IF(N469&gt;=Summary!$D$3,1,0)</f>
        <v/>
      </c>
      <c r="V469" s="17">
        <f>IF(N469&gt;0,P469/N469,"")</f>
        <v/>
      </c>
      <c r="W469" s="17">
        <f>IF(O469&gt;0,H469/O469,"")</f>
        <v/>
      </c>
    </row>
    <row r="470">
      <c r="A470" s="13" t="inlineStr">
        <is>
          <t>T17_B3</t>
        </is>
      </c>
      <c r="B470" s="13" t="inlineStr">
        <is>
          <t>T17</t>
        </is>
      </c>
      <c r="C470" s="13" t="inlineStr">
        <is>
          <t>B3</t>
        </is>
      </c>
      <c r="D470" s="13" t="n">
        <v>1</v>
      </c>
      <c r="E470" s="13" t="inlineStr">
        <is>
          <t>S1</t>
        </is>
      </c>
      <c r="F470" s="13" t="n">
        <v>2026</v>
      </c>
      <c r="G470" s="14" t="n">
        <v>8183916.912655817</v>
      </c>
      <c r="H470" s="14" t="n">
        <v>402949.2868580238</v>
      </c>
      <c r="I470" s="14" t="n">
        <v>90486.03632076488</v>
      </c>
      <c r="J470" s="14" t="n">
        <v>0</v>
      </c>
      <c r="K470" s="14" t="n">
        <v>2636542.802367386</v>
      </c>
      <c r="L470" s="14" t="n">
        <v>5053938.787109644</v>
      </c>
      <c r="M470" s="14" t="n">
        <v>0</v>
      </c>
      <c r="N470" s="14" t="n">
        <v>594025.8475150014</v>
      </c>
      <c r="O470" s="14" t="n">
        <v>3129978.125546175</v>
      </c>
      <c r="P470" s="14" t="n">
        <v>303834.168056533</v>
      </c>
      <c r="Q470" s="14" t="n">
        <v>16734163.01857399</v>
      </c>
      <c r="R470" s="15">
        <f>IF(D470=1,"Section 1","Control")</f>
        <v/>
      </c>
      <c r="S470" s="16">
        <f>N470/10000</f>
        <v/>
      </c>
      <c r="T470" s="16">
        <f>P470/10000</f>
        <v/>
      </c>
      <c r="U470" s="15">
        <f>IF(N470&gt;=Summary!$D$3,1,0)</f>
        <v/>
      </c>
      <c r="V470" s="17">
        <f>IF(N470&gt;0,P470/N470,"")</f>
        <v/>
      </c>
      <c r="W470" s="17">
        <f>IF(O470&gt;0,H470/O470,"")</f>
        <v/>
      </c>
    </row>
    <row r="471">
      <c r="A471" s="13" t="inlineStr">
        <is>
          <t>T17_F</t>
        </is>
      </c>
      <c r="B471" s="13" t="inlineStr">
        <is>
          <t>T17</t>
        </is>
      </c>
      <c r="C471" s="13" t="inlineStr">
        <is>
          <t>F</t>
        </is>
      </c>
      <c r="D471" s="13" t="n">
        <v>1</v>
      </c>
      <c r="E471" s="13" t="inlineStr">
        <is>
          <t>S1</t>
        </is>
      </c>
      <c r="F471" s="13" t="n">
        <v>2020</v>
      </c>
      <c r="G471" s="14" t="n">
        <v>57861.54993322035</v>
      </c>
      <c r="H471" s="14" t="n">
        <v>481.9987681968539</v>
      </c>
      <c r="I471" s="14" t="n">
        <v>7266.757246757957</v>
      </c>
      <c r="J471" s="14" t="n">
        <v>0</v>
      </c>
      <c r="K471" s="14" t="n">
        <v>50112.79391826554</v>
      </c>
      <c r="L471" s="14" t="n">
        <v>0</v>
      </c>
      <c r="M471" s="14" t="n">
        <v>0</v>
      </c>
      <c r="N471" s="14" t="n">
        <v>481.9987681968539</v>
      </c>
      <c r="O471" s="14" t="n">
        <v>57861.54993322035</v>
      </c>
      <c r="P471" s="14" t="n">
        <v>0</v>
      </c>
      <c r="Q471" s="14" t="n">
        <v>364981.5315452426</v>
      </c>
      <c r="R471" s="15">
        <f>IF(D471=1,"Section 1","Control")</f>
        <v/>
      </c>
      <c r="S471" s="16">
        <f>N471/10000</f>
        <v/>
      </c>
      <c r="T471" s="16">
        <f>P471/10000</f>
        <v/>
      </c>
      <c r="U471" s="15">
        <f>IF(N471&gt;=Summary!$D$3,1,0)</f>
        <v/>
      </c>
      <c r="V471" s="17">
        <f>IF(N471&gt;0,P471/N471,"")</f>
        <v/>
      </c>
      <c r="W471" s="17">
        <f>IF(O471&gt;0,H471/O471,"")</f>
        <v/>
      </c>
    </row>
    <row r="472">
      <c r="A472" s="13" t="inlineStr">
        <is>
          <t>T17_F</t>
        </is>
      </c>
      <c r="B472" s="13" t="inlineStr">
        <is>
          <t>T17</t>
        </is>
      </c>
      <c r="C472" s="13" t="inlineStr">
        <is>
          <t>F</t>
        </is>
      </c>
      <c r="D472" s="13" t="n">
        <v>1</v>
      </c>
      <c r="E472" s="13" t="inlineStr">
        <is>
          <t>S1</t>
        </is>
      </c>
      <c r="F472" s="13" t="n">
        <v>2021</v>
      </c>
      <c r="G472" s="14" t="n">
        <v>57861.54993322035</v>
      </c>
      <c r="H472" s="14" t="n">
        <v>98.72271728515624</v>
      </c>
      <c r="I472" s="14" t="n">
        <v>5335.279533416151</v>
      </c>
      <c r="J472" s="14" t="n">
        <v>0</v>
      </c>
      <c r="K472" s="14" t="n">
        <v>52427.54768251904</v>
      </c>
      <c r="L472" s="14" t="n">
        <v>0</v>
      </c>
      <c r="M472" s="14" t="n">
        <v>0</v>
      </c>
      <c r="N472" s="14" t="n">
        <v>481.9987681968539</v>
      </c>
      <c r="O472" s="14" t="n">
        <v>57861.54993322035</v>
      </c>
      <c r="P472" s="14" t="n">
        <v>383.2760509116977</v>
      </c>
      <c r="Q472" s="14" t="n">
        <v>364981.5315452425</v>
      </c>
      <c r="R472" s="15">
        <f>IF(D472=1,"Section 1","Control")</f>
        <v/>
      </c>
      <c r="S472" s="16">
        <f>N472/10000</f>
        <v/>
      </c>
      <c r="T472" s="16">
        <f>P472/10000</f>
        <v/>
      </c>
      <c r="U472" s="15">
        <f>IF(N472&gt;=Summary!$D$3,1,0)</f>
        <v/>
      </c>
      <c r="V472" s="17">
        <f>IF(N472&gt;0,P472/N472,"")</f>
        <v/>
      </c>
      <c r="W472" s="17">
        <f>IF(O472&gt;0,H472/O472,"")</f>
        <v/>
      </c>
    </row>
    <row r="473">
      <c r="A473" s="13" t="inlineStr">
        <is>
          <t>T17_F</t>
        </is>
      </c>
      <c r="B473" s="13" t="inlineStr">
        <is>
          <t>T17</t>
        </is>
      </c>
      <c r="C473" s="13" t="inlineStr">
        <is>
          <t>F</t>
        </is>
      </c>
      <c r="D473" s="13" t="n">
        <v>1</v>
      </c>
      <c r="E473" s="13" t="inlineStr">
        <is>
          <t>S1</t>
        </is>
      </c>
      <c r="F473" s="13" t="n">
        <v>2022</v>
      </c>
      <c r="G473" s="14" t="n">
        <v>57861.54993322035</v>
      </c>
      <c r="H473" s="14" t="n">
        <v>0</v>
      </c>
      <c r="I473" s="14" t="n">
        <v>4370.508578820322</v>
      </c>
      <c r="J473" s="14" t="n">
        <v>0</v>
      </c>
      <c r="K473" s="14" t="n">
        <v>53491.04135440003</v>
      </c>
      <c r="L473" s="14" t="n">
        <v>0</v>
      </c>
      <c r="M473" s="14" t="n">
        <v>0</v>
      </c>
      <c r="N473" s="14" t="n">
        <v>481.9987681968539</v>
      </c>
      <c r="O473" s="14" t="n">
        <v>57861.54993322035</v>
      </c>
      <c r="P473" s="14" t="n">
        <v>481.9987681968539</v>
      </c>
      <c r="Q473" s="14" t="n">
        <v>364981.5315452425</v>
      </c>
      <c r="R473" s="15">
        <f>IF(D473=1,"Section 1","Control")</f>
        <v/>
      </c>
      <c r="S473" s="16">
        <f>N473/10000</f>
        <v/>
      </c>
      <c r="T473" s="16">
        <f>P473/10000</f>
        <v/>
      </c>
      <c r="U473" s="15">
        <f>IF(N473&gt;=Summary!$D$3,1,0)</f>
        <v/>
      </c>
      <c r="V473" s="17">
        <f>IF(N473&gt;0,P473/N473,"")</f>
        <v/>
      </c>
      <c r="W473" s="17">
        <f>IF(O473&gt;0,H473/O473,"")</f>
        <v/>
      </c>
    </row>
    <row r="474">
      <c r="A474" s="13" t="inlineStr">
        <is>
          <t>T17_F</t>
        </is>
      </c>
      <c r="B474" s="13" t="inlineStr">
        <is>
          <t>T17</t>
        </is>
      </c>
      <c r="C474" s="13" t="inlineStr">
        <is>
          <t>F</t>
        </is>
      </c>
      <c r="D474" s="13" t="n">
        <v>1</v>
      </c>
      <c r="E474" s="13" t="inlineStr">
        <is>
          <t>S1</t>
        </is>
      </c>
      <c r="F474" s="13" t="n">
        <v>2023</v>
      </c>
      <c r="G474" s="14" t="n">
        <v>57861.54993322035</v>
      </c>
      <c r="H474" s="14" t="n">
        <v>0</v>
      </c>
      <c r="I474" s="14" t="n">
        <v>1419.670611572265</v>
      </c>
      <c r="J474" s="14" t="n">
        <v>0</v>
      </c>
      <c r="K474" s="14" t="n">
        <v>56441.87932164809</v>
      </c>
      <c r="L474" s="14" t="n">
        <v>0</v>
      </c>
      <c r="M474" s="14" t="n">
        <v>0</v>
      </c>
      <c r="N474" s="14" t="n">
        <v>481.9987681968539</v>
      </c>
      <c r="O474" s="14" t="n">
        <v>57861.54993322035</v>
      </c>
      <c r="P474" s="14" t="n">
        <v>481.9987681968539</v>
      </c>
      <c r="Q474" s="14" t="n">
        <v>364981.5315452425</v>
      </c>
      <c r="R474" s="15">
        <f>IF(D474=1,"Section 1","Control")</f>
        <v/>
      </c>
      <c r="S474" s="16">
        <f>N474/10000</f>
        <v/>
      </c>
      <c r="T474" s="16">
        <f>P474/10000</f>
        <v/>
      </c>
      <c r="U474" s="15">
        <f>IF(N474&gt;=Summary!$D$3,1,0)</f>
        <v/>
      </c>
      <c r="V474" s="17">
        <f>IF(N474&gt;0,P474/N474,"")</f>
        <v/>
      </c>
      <c r="W474" s="17">
        <f>IF(O474&gt;0,H474/O474,"")</f>
        <v/>
      </c>
    </row>
    <row r="475">
      <c r="A475" s="13" t="inlineStr">
        <is>
          <t>T17_F</t>
        </is>
      </c>
      <c r="B475" s="13" t="inlineStr">
        <is>
          <t>T17</t>
        </is>
      </c>
      <c r="C475" s="13" t="inlineStr">
        <is>
          <t>F</t>
        </is>
      </c>
      <c r="D475" s="13" t="n">
        <v>1</v>
      </c>
      <c r="E475" s="13" t="inlineStr">
        <is>
          <t>S1</t>
        </is>
      </c>
      <c r="F475" s="13" t="n">
        <v>2024</v>
      </c>
      <c r="G475" s="14" t="n">
        <v>57861.54993322035</v>
      </c>
      <c r="H475" s="14" t="n">
        <v>0</v>
      </c>
      <c r="I475" s="14" t="n">
        <v>1989.55231885723</v>
      </c>
      <c r="J475" s="14" t="n">
        <v>0</v>
      </c>
      <c r="K475" s="14" t="n">
        <v>55871.99761436312</v>
      </c>
      <c r="L475" s="14" t="n">
        <v>0</v>
      </c>
      <c r="M475" s="14" t="n">
        <v>0</v>
      </c>
      <c r="N475" s="14" t="n">
        <v>481.9987681968539</v>
      </c>
      <c r="O475" s="14" t="n">
        <v>57861.54993322035</v>
      </c>
      <c r="P475" s="14" t="n">
        <v>481.9987681968539</v>
      </c>
      <c r="Q475" s="14" t="n">
        <v>364981.5315452425</v>
      </c>
      <c r="R475" s="15">
        <f>IF(D475=1,"Section 1","Control")</f>
        <v/>
      </c>
      <c r="S475" s="16">
        <f>N475/10000</f>
        <v/>
      </c>
      <c r="T475" s="16">
        <f>P475/10000</f>
        <v/>
      </c>
      <c r="U475" s="15">
        <f>IF(N475&gt;=Summary!$D$3,1,0)</f>
        <v/>
      </c>
      <c r="V475" s="17">
        <f>IF(N475&gt;0,P475/N475,"")</f>
        <v/>
      </c>
      <c r="W475" s="17">
        <f>IF(O475&gt;0,H475/O475,"")</f>
        <v/>
      </c>
    </row>
    <row r="476">
      <c r="A476" s="13" t="inlineStr">
        <is>
          <t>T17_F</t>
        </is>
      </c>
      <c r="B476" s="13" t="inlineStr">
        <is>
          <t>T17</t>
        </is>
      </c>
      <c r="C476" s="13" t="inlineStr">
        <is>
          <t>F</t>
        </is>
      </c>
      <c r="D476" s="13" t="n">
        <v>1</v>
      </c>
      <c r="E476" s="13" t="inlineStr">
        <is>
          <t>S1</t>
        </is>
      </c>
      <c r="F476" s="13" t="n">
        <v>2025</v>
      </c>
      <c r="G476" s="14" t="n">
        <v>57861.54993322035</v>
      </c>
      <c r="H476" s="14" t="n">
        <v>0</v>
      </c>
      <c r="I476" s="14" t="n">
        <v>8320.189537347533</v>
      </c>
      <c r="J476" s="14" t="n">
        <v>0</v>
      </c>
      <c r="K476" s="14" t="n">
        <v>49541.36039587282</v>
      </c>
      <c r="L476" s="14" t="n">
        <v>0</v>
      </c>
      <c r="M476" s="14" t="n">
        <v>0</v>
      </c>
      <c r="N476" s="14" t="n">
        <v>481.9987681968539</v>
      </c>
      <c r="O476" s="14" t="n">
        <v>57861.54993322035</v>
      </c>
      <c r="P476" s="14" t="n">
        <v>481.9987681968539</v>
      </c>
      <c r="Q476" s="14" t="n">
        <v>364981.5315452425</v>
      </c>
      <c r="R476" s="15">
        <f>IF(D476=1,"Section 1","Control")</f>
        <v/>
      </c>
      <c r="S476" s="16">
        <f>N476/10000</f>
        <v/>
      </c>
      <c r="T476" s="16">
        <f>P476/10000</f>
        <v/>
      </c>
      <c r="U476" s="15">
        <f>IF(N476&gt;=Summary!$D$3,1,0)</f>
        <v/>
      </c>
      <c r="V476" s="17">
        <f>IF(N476&gt;0,P476/N476,"")</f>
        <v/>
      </c>
      <c r="W476" s="17">
        <f>IF(O476&gt;0,H476/O476,"")</f>
        <v/>
      </c>
    </row>
    <row r="477">
      <c r="A477" s="13" t="inlineStr">
        <is>
          <t>T17_F</t>
        </is>
      </c>
      <c r="B477" s="13" t="inlineStr">
        <is>
          <t>T17</t>
        </is>
      </c>
      <c r="C477" s="13" t="inlineStr">
        <is>
          <t>F</t>
        </is>
      </c>
      <c r="D477" s="13" t="n">
        <v>1</v>
      </c>
      <c r="E477" s="13" t="inlineStr">
        <is>
          <t>S1</t>
        </is>
      </c>
      <c r="F477" s="13" t="n">
        <v>2026</v>
      </c>
      <c r="G477" s="14" t="n">
        <v>57861.54993322035</v>
      </c>
      <c r="H477" s="14" t="n">
        <v>0</v>
      </c>
      <c r="I477" s="14" t="n">
        <v>5917.941981296914</v>
      </c>
      <c r="J477" s="14" t="n">
        <v>0</v>
      </c>
      <c r="K477" s="14" t="n">
        <v>51943.60795192344</v>
      </c>
      <c r="L477" s="14" t="n">
        <v>0</v>
      </c>
      <c r="M477" s="14" t="n">
        <v>0</v>
      </c>
      <c r="N477" s="14" t="n">
        <v>481.9987681968539</v>
      </c>
      <c r="O477" s="14" t="n">
        <v>57861.54993322035</v>
      </c>
      <c r="P477" s="14" t="n">
        <v>481.9987681968539</v>
      </c>
      <c r="Q477" s="14" t="n">
        <v>364981.5315452425</v>
      </c>
      <c r="R477" s="15">
        <f>IF(D477=1,"Section 1","Control")</f>
        <v/>
      </c>
      <c r="S477" s="16">
        <f>N477/10000</f>
        <v/>
      </c>
      <c r="T477" s="16">
        <f>P477/10000</f>
        <v/>
      </c>
      <c r="U477" s="15">
        <f>IF(N477&gt;=Summary!$D$3,1,0)</f>
        <v/>
      </c>
      <c r="V477" s="17">
        <f>IF(N477&gt;0,P477/N477,"")</f>
        <v/>
      </c>
      <c r="W477" s="17">
        <f>IF(O477&gt;0,H477/O477,"")</f>
        <v/>
      </c>
    </row>
    <row r="478">
      <c r="A478" s="13" t="inlineStr">
        <is>
          <t>T18_B1</t>
        </is>
      </c>
      <c r="B478" s="13" t="inlineStr">
        <is>
          <t>T18</t>
        </is>
      </c>
      <c r="C478" s="13" t="inlineStr">
        <is>
          <t>B1</t>
        </is>
      </c>
      <c r="D478" s="13" t="n">
        <v>1</v>
      </c>
      <c r="E478" s="13" t="inlineStr">
        <is>
          <t>S1</t>
        </is>
      </c>
      <c r="F478" s="13" t="n">
        <v>2020</v>
      </c>
      <c r="G478" s="14" t="n">
        <v>988278.4580563714</v>
      </c>
      <c r="H478" s="14" t="n">
        <v>445880.4800029977</v>
      </c>
      <c r="I478" s="14" t="n">
        <v>83363.78475311879</v>
      </c>
      <c r="J478" s="14" t="n">
        <v>2.710052550072763</v>
      </c>
      <c r="K478" s="14" t="n">
        <v>459031.4832477046</v>
      </c>
      <c r="L478" s="14" t="n">
        <v>0</v>
      </c>
      <c r="M478" s="14" t="n">
        <v>0</v>
      </c>
      <c r="N478" s="14" t="n">
        <v>445880.4800029977</v>
      </c>
      <c r="O478" s="14" t="n">
        <v>988278.4580563714</v>
      </c>
      <c r="P478" s="14" t="n">
        <v>0</v>
      </c>
      <c r="Q478" s="14" t="n">
        <v>8606364.876355996</v>
      </c>
      <c r="R478" s="15">
        <f>IF(D478=1,"Section 1","Control")</f>
        <v/>
      </c>
      <c r="S478" s="16">
        <f>N478/10000</f>
        <v/>
      </c>
      <c r="T478" s="16">
        <f>P478/10000</f>
        <v/>
      </c>
      <c r="U478" s="15">
        <f>IF(N478&gt;=Summary!$D$3,1,0)</f>
        <v/>
      </c>
      <c r="V478" s="17">
        <f>IF(N478&gt;0,P478/N478,"")</f>
        <v/>
      </c>
      <c r="W478" s="17">
        <f>IF(O478&gt;0,H478/O478,"")</f>
        <v/>
      </c>
    </row>
    <row r="479">
      <c r="A479" s="13" t="inlineStr">
        <is>
          <t>T18_B1</t>
        </is>
      </c>
      <c r="B479" s="13" t="inlineStr">
        <is>
          <t>T18</t>
        </is>
      </c>
      <c r="C479" s="13" t="inlineStr">
        <is>
          <t>B1</t>
        </is>
      </c>
      <c r="D479" s="13" t="n">
        <v>1</v>
      </c>
      <c r="E479" s="13" t="inlineStr">
        <is>
          <t>S1</t>
        </is>
      </c>
      <c r="F479" s="13" t="n">
        <v>2021</v>
      </c>
      <c r="G479" s="14" t="n">
        <v>988278.4580563714</v>
      </c>
      <c r="H479" s="14" t="n">
        <v>403956.1488585228</v>
      </c>
      <c r="I479" s="14" t="n">
        <v>105257.1118693931</v>
      </c>
      <c r="J479" s="14" t="n">
        <v>2.710052550072763</v>
      </c>
      <c r="K479" s="14" t="n">
        <v>479062.4872759053</v>
      </c>
      <c r="L479" s="14" t="n">
        <v>0</v>
      </c>
      <c r="M479" s="14" t="n">
        <v>0</v>
      </c>
      <c r="N479" s="14" t="n">
        <v>445880.4800029978</v>
      </c>
      <c r="O479" s="14" t="n">
        <v>988278.4580563714</v>
      </c>
      <c r="P479" s="14" t="n">
        <v>43306.43529333975</v>
      </c>
      <c r="Q479" s="14" t="n">
        <v>8606364.876355998</v>
      </c>
      <c r="R479" s="15">
        <f>IF(D479=1,"Section 1","Control")</f>
        <v/>
      </c>
      <c r="S479" s="16">
        <f>N479/10000</f>
        <v/>
      </c>
      <c r="T479" s="16">
        <f>P479/10000</f>
        <v/>
      </c>
      <c r="U479" s="15">
        <f>IF(N479&gt;=Summary!$D$3,1,0)</f>
        <v/>
      </c>
      <c r="V479" s="17">
        <f>IF(N479&gt;0,P479/N479,"")</f>
        <v/>
      </c>
      <c r="W479" s="17">
        <f>IF(O479&gt;0,H479/O479,"")</f>
        <v/>
      </c>
    </row>
    <row r="480">
      <c r="A480" s="13" t="inlineStr">
        <is>
          <t>T18_B1</t>
        </is>
      </c>
      <c r="B480" s="13" t="inlineStr">
        <is>
          <t>T18</t>
        </is>
      </c>
      <c r="C480" s="13" t="inlineStr">
        <is>
          <t>B1</t>
        </is>
      </c>
      <c r="D480" s="13" t="n">
        <v>1</v>
      </c>
      <c r="E480" s="13" t="inlineStr">
        <is>
          <t>S1</t>
        </is>
      </c>
      <c r="F480" s="13" t="n">
        <v>2022</v>
      </c>
      <c r="G480" s="14" t="n">
        <v>988278.4580563714</v>
      </c>
      <c r="H480" s="14" t="n">
        <v>269973.3055777156</v>
      </c>
      <c r="I480" s="14" t="n">
        <v>168965.6803099389</v>
      </c>
      <c r="J480" s="14" t="n">
        <v>2.710052550072763</v>
      </c>
      <c r="K480" s="14" t="n">
        <v>549336.7621161666</v>
      </c>
      <c r="L480" s="14" t="n">
        <v>0</v>
      </c>
      <c r="M480" s="14" t="n">
        <v>0</v>
      </c>
      <c r="N480" s="14" t="n">
        <v>445880.4800029977</v>
      </c>
      <c r="O480" s="14" t="n">
        <v>988278.4580563714</v>
      </c>
      <c r="P480" s="14" t="n">
        <v>180300.8744199566</v>
      </c>
      <c r="Q480" s="14" t="n">
        <v>8606364.876355998</v>
      </c>
      <c r="R480" s="15">
        <f>IF(D480=1,"Section 1","Control")</f>
        <v/>
      </c>
      <c r="S480" s="16">
        <f>N480/10000</f>
        <v/>
      </c>
      <c r="T480" s="16">
        <f>P480/10000</f>
        <v/>
      </c>
      <c r="U480" s="15">
        <f>IF(N480&gt;=Summary!$D$3,1,0)</f>
        <v/>
      </c>
      <c r="V480" s="17">
        <f>IF(N480&gt;0,P480/N480,"")</f>
        <v/>
      </c>
      <c r="W480" s="17">
        <f>IF(O480&gt;0,H480/O480,"")</f>
        <v/>
      </c>
    </row>
    <row r="481">
      <c r="A481" s="13" t="inlineStr">
        <is>
          <t>T18_B1</t>
        </is>
      </c>
      <c r="B481" s="13" t="inlineStr">
        <is>
          <t>T18</t>
        </is>
      </c>
      <c r="C481" s="13" t="inlineStr">
        <is>
          <t>B1</t>
        </is>
      </c>
      <c r="D481" s="13" t="n">
        <v>1</v>
      </c>
      <c r="E481" s="13" t="inlineStr">
        <is>
          <t>S1</t>
        </is>
      </c>
      <c r="F481" s="13" t="n">
        <v>2023</v>
      </c>
      <c r="G481" s="14" t="n">
        <v>988278.4580563714</v>
      </c>
      <c r="H481" s="14" t="n">
        <v>229603.7025282616</v>
      </c>
      <c r="I481" s="14" t="n">
        <v>193443.3084149529</v>
      </c>
      <c r="J481" s="14" t="n">
        <v>2.710052550072763</v>
      </c>
      <c r="K481" s="14" t="n">
        <v>565228.7370606067</v>
      </c>
      <c r="L481" s="14" t="n">
        <v>0</v>
      </c>
      <c r="M481" s="14" t="n">
        <v>0</v>
      </c>
      <c r="N481" s="14" t="n">
        <v>445880.4800029978</v>
      </c>
      <c r="O481" s="14" t="n">
        <v>988278.4580563714</v>
      </c>
      <c r="P481" s="14" t="n">
        <v>227640.6147007662</v>
      </c>
      <c r="Q481" s="14" t="n">
        <v>8606364.876355996</v>
      </c>
      <c r="R481" s="15">
        <f>IF(D481=1,"Section 1","Control")</f>
        <v/>
      </c>
      <c r="S481" s="16">
        <f>N481/10000</f>
        <v/>
      </c>
      <c r="T481" s="16">
        <f>P481/10000</f>
        <v/>
      </c>
      <c r="U481" s="15">
        <f>IF(N481&gt;=Summary!$D$3,1,0)</f>
        <v/>
      </c>
      <c r="V481" s="17">
        <f>IF(N481&gt;0,P481/N481,"")</f>
        <v/>
      </c>
      <c r="W481" s="17">
        <f>IF(O481&gt;0,H481/O481,"")</f>
        <v/>
      </c>
    </row>
    <row r="482">
      <c r="A482" s="13" t="inlineStr">
        <is>
          <t>T18_B1</t>
        </is>
      </c>
      <c r="B482" s="13" t="inlineStr">
        <is>
          <t>T18</t>
        </is>
      </c>
      <c r="C482" s="13" t="inlineStr">
        <is>
          <t>B1</t>
        </is>
      </c>
      <c r="D482" s="13" t="n">
        <v>1</v>
      </c>
      <c r="E482" s="13" t="inlineStr">
        <is>
          <t>S1</t>
        </is>
      </c>
      <c r="F482" s="13" t="n">
        <v>2024</v>
      </c>
      <c r="G482" s="14" t="n">
        <v>988278.4580563714</v>
      </c>
      <c r="H482" s="14" t="n">
        <v>250444.3644162346</v>
      </c>
      <c r="I482" s="14" t="n">
        <v>146103.1538245706</v>
      </c>
      <c r="J482" s="14" t="n">
        <v>2.710052550072763</v>
      </c>
      <c r="K482" s="14" t="n">
        <v>591728.229763016</v>
      </c>
      <c r="L482" s="14" t="n">
        <v>0</v>
      </c>
      <c r="M482" s="14" t="n">
        <v>0</v>
      </c>
      <c r="N482" s="14" t="n">
        <v>445880.4800029978</v>
      </c>
      <c r="O482" s="14" t="n">
        <v>988278.4580563714</v>
      </c>
      <c r="P482" s="14" t="n">
        <v>229499.7616695629</v>
      </c>
      <c r="Q482" s="14" t="n">
        <v>8606364.876355996</v>
      </c>
      <c r="R482" s="15">
        <f>IF(D482=1,"Section 1","Control")</f>
        <v/>
      </c>
      <c r="S482" s="16">
        <f>N482/10000</f>
        <v/>
      </c>
      <c r="T482" s="16">
        <f>P482/10000</f>
        <v/>
      </c>
      <c r="U482" s="15">
        <f>IF(N482&gt;=Summary!$D$3,1,0)</f>
        <v/>
      </c>
      <c r="V482" s="17">
        <f>IF(N482&gt;0,P482/N482,"")</f>
        <v/>
      </c>
      <c r="W482" s="17">
        <f>IF(O482&gt;0,H482/O482,"")</f>
        <v/>
      </c>
    </row>
    <row r="483">
      <c r="A483" s="13" t="inlineStr">
        <is>
          <t>T18_B1</t>
        </is>
      </c>
      <c r="B483" s="13" t="inlineStr">
        <is>
          <t>T18</t>
        </is>
      </c>
      <c r="C483" s="13" t="inlineStr">
        <is>
          <t>B1</t>
        </is>
      </c>
      <c r="D483" s="13" t="n">
        <v>1</v>
      </c>
      <c r="E483" s="13" t="inlineStr">
        <is>
          <t>S1</t>
        </is>
      </c>
      <c r="F483" s="13" t="n">
        <v>2025</v>
      </c>
      <c r="G483" s="14" t="n">
        <v>988278.4580563714</v>
      </c>
      <c r="H483" s="14" t="n">
        <v>246502.0186536602</v>
      </c>
      <c r="I483" s="14" t="n">
        <v>147704.581111504</v>
      </c>
      <c r="J483" s="14" t="n">
        <v>2.710052550072763</v>
      </c>
      <c r="K483" s="14" t="n">
        <v>594069.148238657</v>
      </c>
      <c r="L483" s="14" t="n">
        <v>0</v>
      </c>
      <c r="M483" s="14" t="n">
        <v>0</v>
      </c>
      <c r="N483" s="14" t="n">
        <v>445880.4800029978</v>
      </c>
      <c r="O483" s="14" t="n">
        <v>988278.4580563714</v>
      </c>
      <c r="P483" s="14" t="n">
        <v>239505.9317121618</v>
      </c>
      <c r="Q483" s="14" t="n">
        <v>8606364.876355996</v>
      </c>
      <c r="R483" s="15">
        <f>IF(D483=1,"Section 1","Control")</f>
        <v/>
      </c>
      <c r="S483" s="16">
        <f>N483/10000</f>
        <v/>
      </c>
      <c r="T483" s="16">
        <f>P483/10000</f>
        <v/>
      </c>
      <c r="U483" s="15">
        <f>IF(N483&gt;=Summary!$D$3,1,0)</f>
        <v/>
      </c>
      <c r="V483" s="17">
        <f>IF(N483&gt;0,P483/N483,"")</f>
        <v/>
      </c>
      <c r="W483" s="17">
        <f>IF(O483&gt;0,H483/O483,"")</f>
        <v/>
      </c>
    </row>
    <row r="484">
      <c r="A484" s="13" t="inlineStr">
        <is>
          <t>T18_B1</t>
        </is>
      </c>
      <c r="B484" s="13" t="inlineStr">
        <is>
          <t>T18</t>
        </is>
      </c>
      <c r="C484" s="13" t="inlineStr">
        <is>
          <t>B1</t>
        </is>
      </c>
      <c r="D484" s="13" t="n">
        <v>1</v>
      </c>
      <c r="E484" s="13" t="inlineStr">
        <is>
          <t>S1</t>
        </is>
      </c>
      <c r="F484" s="13" t="n">
        <v>2026</v>
      </c>
      <c r="G484" s="14" t="n">
        <v>988278.4580563714</v>
      </c>
      <c r="H484" s="14" t="n">
        <v>234428.8206161798</v>
      </c>
      <c r="I484" s="14" t="n">
        <v>124040.0223453896</v>
      </c>
      <c r="J484" s="14" t="n">
        <v>2.710052550072763</v>
      </c>
      <c r="K484" s="14" t="n">
        <v>629806.9050422519</v>
      </c>
      <c r="L484" s="14" t="n">
        <v>0</v>
      </c>
      <c r="M484" s="14" t="n">
        <v>0</v>
      </c>
      <c r="N484" s="14" t="n">
        <v>445880.4800029978</v>
      </c>
      <c r="O484" s="14" t="n">
        <v>988278.4580563714</v>
      </c>
      <c r="P484" s="14" t="n">
        <v>257474.1642714257</v>
      </c>
      <c r="Q484" s="14" t="n">
        <v>8606364.876355996</v>
      </c>
      <c r="R484" s="15">
        <f>IF(D484=1,"Section 1","Control")</f>
        <v/>
      </c>
      <c r="S484" s="16">
        <f>N484/10000</f>
        <v/>
      </c>
      <c r="T484" s="16">
        <f>P484/10000</f>
        <v/>
      </c>
      <c r="U484" s="15">
        <f>IF(N484&gt;=Summary!$D$3,1,0)</f>
        <v/>
      </c>
      <c r="V484" s="17">
        <f>IF(N484&gt;0,P484/N484,"")</f>
        <v/>
      </c>
      <c r="W484" s="17">
        <f>IF(O484&gt;0,H484/O484,"")</f>
        <v/>
      </c>
    </row>
    <row r="485">
      <c r="A485" s="13" t="inlineStr">
        <is>
          <t>T18_B2</t>
        </is>
      </c>
      <c r="B485" s="13" t="inlineStr">
        <is>
          <t>T18</t>
        </is>
      </c>
      <c r="C485" s="13" t="inlineStr">
        <is>
          <t>B2</t>
        </is>
      </c>
      <c r="D485" s="13" t="n">
        <v>1</v>
      </c>
      <c r="E485" s="13" t="inlineStr">
        <is>
          <t>S1</t>
        </is>
      </c>
      <c r="F485" s="13" t="n">
        <v>2020</v>
      </c>
      <c r="G485" s="14" t="n">
        <v>988312.3060115142</v>
      </c>
      <c r="H485" s="14" t="n">
        <v>425319.4833192115</v>
      </c>
      <c r="I485" s="14" t="n">
        <v>110088.8644198249</v>
      </c>
      <c r="J485" s="14" t="n">
        <v>27177.57473371917</v>
      </c>
      <c r="K485" s="14" t="n">
        <v>166810.8110749488</v>
      </c>
      <c r="L485" s="14" t="n">
        <v>258915.5724638097</v>
      </c>
      <c r="M485" s="14" t="n">
        <v>0</v>
      </c>
      <c r="N485" s="14" t="n">
        <v>425319.4833192115</v>
      </c>
      <c r="O485" s="14" t="n">
        <v>729396.7335477044</v>
      </c>
      <c r="P485" s="14" t="n">
        <v>0</v>
      </c>
      <c r="Q485" s="14" t="n">
        <v>4117178.63635954</v>
      </c>
      <c r="R485" s="15">
        <f>IF(D485=1,"Section 1","Control")</f>
        <v/>
      </c>
      <c r="S485" s="16">
        <f>N485/10000</f>
        <v/>
      </c>
      <c r="T485" s="16">
        <f>P485/10000</f>
        <v/>
      </c>
      <c r="U485" s="15">
        <f>IF(N485&gt;=Summary!$D$3,1,0)</f>
        <v/>
      </c>
      <c r="V485" s="17">
        <f>IF(N485&gt;0,P485/N485,"")</f>
        <v/>
      </c>
      <c r="W485" s="17">
        <f>IF(O485&gt;0,H485/O485,"")</f>
        <v/>
      </c>
    </row>
    <row r="486">
      <c r="A486" s="13" t="inlineStr">
        <is>
          <t>T18_B2</t>
        </is>
      </c>
      <c r="B486" s="13" t="inlineStr">
        <is>
          <t>T18</t>
        </is>
      </c>
      <c r="C486" s="13" t="inlineStr">
        <is>
          <t>B2</t>
        </is>
      </c>
      <c r="D486" s="13" t="n">
        <v>1</v>
      </c>
      <c r="E486" s="13" t="inlineStr">
        <is>
          <t>S1</t>
        </is>
      </c>
      <c r="F486" s="13" t="n">
        <v>2021</v>
      </c>
      <c r="G486" s="14" t="n">
        <v>988312.306011514</v>
      </c>
      <c r="H486" s="14" t="n">
        <v>415181.3299300549</v>
      </c>
      <c r="I486" s="14" t="n">
        <v>98909.33012800028</v>
      </c>
      <c r="J486" s="14" t="n">
        <v>28263.53150556976</v>
      </c>
      <c r="K486" s="14" t="n">
        <v>173516.2630834543</v>
      </c>
      <c r="L486" s="14" t="n">
        <v>272441.8513644349</v>
      </c>
      <c r="M486" s="14" t="n">
        <v>0</v>
      </c>
      <c r="N486" s="14" t="n">
        <v>425319.4833192115</v>
      </c>
      <c r="O486" s="14" t="n">
        <v>729396.7335477044</v>
      </c>
      <c r="P486" s="14" t="n">
        <v>10236.87440508674</v>
      </c>
      <c r="Q486" s="14" t="n">
        <v>4117178.63635954</v>
      </c>
      <c r="R486" s="15">
        <f>IF(D486=1,"Section 1","Control")</f>
        <v/>
      </c>
      <c r="S486" s="16">
        <f>N486/10000</f>
        <v/>
      </c>
      <c r="T486" s="16">
        <f>P486/10000</f>
        <v/>
      </c>
      <c r="U486" s="15">
        <f>IF(N486&gt;=Summary!$D$3,1,0)</f>
        <v/>
      </c>
      <c r="V486" s="17">
        <f>IF(N486&gt;0,P486/N486,"")</f>
        <v/>
      </c>
      <c r="W486" s="17">
        <f>IF(O486&gt;0,H486/O486,"")</f>
        <v/>
      </c>
    </row>
    <row r="487">
      <c r="A487" s="13" t="inlineStr">
        <is>
          <t>T18_B2</t>
        </is>
      </c>
      <c r="B487" s="13" t="inlineStr">
        <is>
          <t>T18</t>
        </is>
      </c>
      <c r="C487" s="13" t="inlineStr">
        <is>
          <t>B2</t>
        </is>
      </c>
      <c r="D487" s="13" t="n">
        <v>1</v>
      </c>
      <c r="E487" s="13" t="inlineStr">
        <is>
          <t>S1</t>
        </is>
      </c>
      <c r="F487" s="13" t="n">
        <v>2022</v>
      </c>
      <c r="G487" s="14" t="n">
        <v>988312.3060115142</v>
      </c>
      <c r="H487" s="14" t="n">
        <v>406616.508315322</v>
      </c>
      <c r="I487" s="14" t="n">
        <v>111740.447975398</v>
      </c>
      <c r="J487" s="14" t="n">
        <v>29152.04159162933</v>
      </c>
      <c r="K487" s="14" t="n">
        <v>162897.5965246462</v>
      </c>
      <c r="L487" s="14" t="n">
        <v>277905.7116045185</v>
      </c>
      <c r="M487" s="14" t="n">
        <v>0</v>
      </c>
      <c r="N487" s="14" t="n">
        <v>425319.4833192115</v>
      </c>
      <c r="O487" s="14" t="n">
        <v>729396.7335477044</v>
      </c>
      <c r="P487" s="14" t="n">
        <v>19097.86543052523</v>
      </c>
      <c r="Q487" s="14" t="n">
        <v>4117178.63635954</v>
      </c>
      <c r="R487" s="15">
        <f>IF(D487=1,"Section 1","Control")</f>
        <v/>
      </c>
      <c r="S487" s="16">
        <f>N487/10000</f>
        <v/>
      </c>
      <c r="T487" s="16">
        <f>P487/10000</f>
        <v/>
      </c>
      <c r="U487" s="15">
        <f>IF(N487&gt;=Summary!$D$3,1,0)</f>
        <v/>
      </c>
      <c r="V487" s="17">
        <f>IF(N487&gt;0,P487/N487,"")</f>
        <v/>
      </c>
      <c r="W487" s="17">
        <f>IF(O487&gt;0,H487/O487,"")</f>
        <v/>
      </c>
    </row>
    <row r="488">
      <c r="A488" s="13" t="inlineStr">
        <is>
          <t>T18_B2</t>
        </is>
      </c>
      <c r="B488" s="13" t="inlineStr">
        <is>
          <t>T18</t>
        </is>
      </c>
      <c r="C488" s="13" t="inlineStr">
        <is>
          <t>B2</t>
        </is>
      </c>
      <c r="D488" s="13" t="n">
        <v>1</v>
      </c>
      <c r="E488" s="13" t="inlineStr">
        <is>
          <t>S1</t>
        </is>
      </c>
      <c r="F488" s="13" t="n">
        <v>2023</v>
      </c>
      <c r="G488" s="14" t="n">
        <v>988312.3060115142</v>
      </c>
      <c r="H488" s="14" t="n">
        <v>364895.4265785965</v>
      </c>
      <c r="I488" s="14" t="n">
        <v>120527.7199475158</v>
      </c>
      <c r="J488" s="14" t="n">
        <v>29152.04159162933</v>
      </c>
      <c r="K488" s="14" t="n">
        <v>194911.1482410805</v>
      </c>
      <c r="L488" s="14" t="n">
        <v>278825.969652692</v>
      </c>
      <c r="M488" s="14" t="n">
        <v>0</v>
      </c>
      <c r="N488" s="14" t="n">
        <v>425319.4833192115</v>
      </c>
      <c r="O488" s="14" t="n">
        <v>729396.7335477044</v>
      </c>
      <c r="P488" s="14" t="n">
        <v>61016.39180073458</v>
      </c>
      <c r="Q488" s="14" t="n">
        <v>4117178.63635954</v>
      </c>
      <c r="R488" s="15">
        <f>IF(D488=1,"Section 1","Control")</f>
        <v/>
      </c>
      <c r="S488" s="16">
        <f>N488/10000</f>
        <v/>
      </c>
      <c r="T488" s="16">
        <f>P488/10000</f>
        <v/>
      </c>
      <c r="U488" s="15">
        <f>IF(N488&gt;=Summary!$D$3,1,0)</f>
        <v/>
      </c>
      <c r="V488" s="17">
        <f>IF(N488&gt;0,P488/N488,"")</f>
        <v/>
      </c>
      <c r="W488" s="17">
        <f>IF(O488&gt;0,H488/O488,"")</f>
        <v/>
      </c>
    </row>
    <row r="489">
      <c r="A489" s="13" t="inlineStr">
        <is>
          <t>T18_B2</t>
        </is>
      </c>
      <c r="B489" s="13" t="inlineStr">
        <is>
          <t>T18</t>
        </is>
      </c>
      <c r="C489" s="13" t="inlineStr">
        <is>
          <t>B2</t>
        </is>
      </c>
      <c r="D489" s="13" t="n">
        <v>1</v>
      </c>
      <c r="E489" s="13" t="inlineStr">
        <is>
          <t>S1</t>
        </is>
      </c>
      <c r="F489" s="13" t="n">
        <v>2024</v>
      </c>
      <c r="G489" s="14" t="n">
        <v>988312.3060115142</v>
      </c>
      <c r="H489" s="14" t="n">
        <v>376441.4568661858</v>
      </c>
      <c r="I489" s="14" t="n">
        <v>121552.0233447804</v>
      </c>
      <c r="J489" s="14" t="n">
        <v>29152.04159162933</v>
      </c>
      <c r="K489" s="14" t="n">
        <v>181924.6274507111</v>
      </c>
      <c r="L489" s="14" t="n">
        <v>279242.1567582074</v>
      </c>
      <c r="M489" s="14" t="n">
        <v>0</v>
      </c>
      <c r="N489" s="14" t="n">
        <v>425319.4833192115</v>
      </c>
      <c r="O489" s="14" t="n">
        <v>729396.7335477045</v>
      </c>
      <c r="P489" s="14" t="n">
        <v>51048.35294955385</v>
      </c>
      <c r="Q489" s="14" t="n">
        <v>4117178.63635954</v>
      </c>
      <c r="R489" s="15">
        <f>IF(D489=1,"Section 1","Control")</f>
        <v/>
      </c>
      <c r="S489" s="16">
        <f>N489/10000</f>
        <v/>
      </c>
      <c r="T489" s="16">
        <f>P489/10000</f>
        <v/>
      </c>
      <c r="U489" s="15">
        <f>IF(N489&gt;=Summary!$D$3,1,0)</f>
        <v/>
      </c>
      <c r="V489" s="17">
        <f>IF(N489&gt;0,P489/N489,"")</f>
        <v/>
      </c>
      <c r="W489" s="17">
        <f>IF(O489&gt;0,H489/O489,"")</f>
        <v/>
      </c>
    </row>
    <row r="490">
      <c r="A490" s="13" t="inlineStr">
        <is>
          <t>T18_B2</t>
        </is>
      </c>
      <c r="B490" s="13" t="inlineStr">
        <is>
          <t>T18</t>
        </is>
      </c>
      <c r="C490" s="13" t="inlineStr">
        <is>
          <t>B2</t>
        </is>
      </c>
      <c r="D490" s="13" t="n">
        <v>1</v>
      </c>
      <c r="E490" s="13" t="inlineStr">
        <is>
          <t>S1</t>
        </is>
      </c>
      <c r="F490" s="13" t="n">
        <v>2025</v>
      </c>
      <c r="G490" s="14" t="n">
        <v>988312.3060115142</v>
      </c>
      <c r="H490" s="14" t="n">
        <v>377429.8364177031</v>
      </c>
      <c r="I490" s="14" t="n">
        <v>104261.2761316636</v>
      </c>
      <c r="J490" s="14" t="n">
        <v>29152.04159162933</v>
      </c>
      <c r="K490" s="14" t="n">
        <v>190106.1206066656</v>
      </c>
      <c r="L490" s="14" t="n">
        <v>287363.0312638525</v>
      </c>
      <c r="M490" s="14" t="n">
        <v>0</v>
      </c>
      <c r="N490" s="14" t="n">
        <v>425319.4833192115</v>
      </c>
      <c r="O490" s="14" t="n">
        <v>729396.7335477045</v>
      </c>
      <c r="P490" s="14" t="n">
        <v>53043.68145728019</v>
      </c>
      <c r="Q490" s="14" t="n">
        <v>4117178.63635954</v>
      </c>
      <c r="R490" s="15">
        <f>IF(D490=1,"Section 1","Control")</f>
        <v/>
      </c>
      <c r="S490" s="16">
        <f>N490/10000</f>
        <v/>
      </c>
      <c r="T490" s="16">
        <f>P490/10000</f>
        <v/>
      </c>
      <c r="U490" s="15">
        <f>IF(N490&gt;=Summary!$D$3,1,0)</f>
        <v/>
      </c>
      <c r="V490" s="17">
        <f>IF(N490&gt;0,P490/N490,"")</f>
        <v/>
      </c>
      <c r="W490" s="17">
        <f>IF(O490&gt;0,H490/O490,"")</f>
        <v/>
      </c>
    </row>
    <row r="491">
      <c r="A491" s="13" t="inlineStr">
        <is>
          <t>T18_B2</t>
        </is>
      </c>
      <c r="B491" s="13" t="inlineStr">
        <is>
          <t>T18</t>
        </is>
      </c>
      <c r="C491" s="13" t="inlineStr">
        <is>
          <t>B2</t>
        </is>
      </c>
      <c r="D491" s="13" t="n">
        <v>1</v>
      </c>
      <c r="E491" s="13" t="inlineStr">
        <is>
          <t>S1</t>
        </is>
      </c>
      <c r="F491" s="13" t="n">
        <v>2026</v>
      </c>
      <c r="G491" s="14" t="n">
        <v>988312.3060115142</v>
      </c>
      <c r="H491" s="14" t="n">
        <v>387784.3849276973</v>
      </c>
      <c r="I491" s="14" t="n">
        <v>85803.98101082597</v>
      </c>
      <c r="J491" s="14" t="n">
        <v>29152.04159162933</v>
      </c>
      <c r="K491" s="14" t="n">
        <v>191298.2269739787</v>
      </c>
      <c r="L491" s="14" t="n">
        <v>294273.6715073828</v>
      </c>
      <c r="M491" s="14" t="n">
        <v>0</v>
      </c>
      <c r="N491" s="14" t="n">
        <v>425319.4833192115</v>
      </c>
      <c r="O491" s="14" t="n">
        <v>729396.7335477044</v>
      </c>
      <c r="P491" s="14" t="n">
        <v>54788.51717840457</v>
      </c>
      <c r="Q491" s="14" t="n">
        <v>4117178.63635954</v>
      </c>
      <c r="R491" s="15">
        <f>IF(D491=1,"Section 1","Control")</f>
        <v/>
      </c>
      <c r="S491" s="16">
        <f>N491/10000</f>
        <v/>
      </c>
      <c r="T491" s="16">
        <f>P491/10000</f>
        <v/>
      </c>
      <c r="U491" s="15">
        <f>IF(N491&gt;=Summary!$D$3,1,0)</f>
        <v/>
      </c>
      <c r="V491" s="17">
        <f>IF(N491&gt;0,P491/N491,"")</f>
        <v/>
      </c>
      <c r="W491" s="17">
        <f>IF(O491&gt;0,H491/O491,"")</f>
        <v/>
      </c>
    </row>
    <row r="492">
      <c r="A492" s="13" t="inlineStr">
        <is>
          <t>T18_B3</t>
        </is>
      </c>
      <c r="B492" s="13" t="inlineStr">
        <is>
          <t>T18</t>
        </is>
      </c>
      <c r="C492" s="13" t="inlineStr">
        <is>
          <t>B3</t>
        </is>
      </c>
      <c r="D492" s="13" t="n">
        <v>1</v>
      </c>
      <c r="E492" s="13" t="inlineStr">
        <is>
          <t>S1</t>
        </is>
      </c>
      <c r="F492" s="13" t="n">
        <v>2020</v>
      </c>
      <c r="G492" s="14" t="n">
        <v>7454986.87992066</v>
      </c>
      <c r="H492" s="14" t="n">
        <v>1093875.758459084</v>
      </c>
      <c r="I492" s="14" t="n">
        <v>331299.7924028883</v>
      </c>
      <c r="J492" s="14" t="n">
        <v>0</v>
      </c>
      <c r="K492" s="14" t="n">
        <v>2300288.563084651</v>
      </c>
      <c r="L492" s="14" t="n">
        <v>3729522.765974037</v>
      </c>
      <c r="M492" s="14" t="n">
        <v>0</v>
      </c>
      <c r="N492" s="14" t="n">
        <v>1093875.758459084</v>
      </c>
      <c r="O492" s="14" t="n">
        <v>3725464.113946623</v>
      </c>
      <c r="P492" s="14" t="n">
        <v>0</v>
      </c>
      <c r="Q492" s="14" t="n">
        <v>21436574.93785039</v>
      </c>
      <c r="R492" s="15">
        <f>IF(D492=1,"Section 1","Control")</f>
        <v/>
      </c>
      <c r="S492" s="16">
        <f>N492/10000</f>
        <v/>
      </c>
      <c r="T492" s="16">
        <f>P492/10000</f>
        <v/>
      </c>
      <c r="U492" s="15">
        <f>IF(N492&gt;=Summary!$D$3,1,0)</f>
        <v/>
      </c>
      <c r="V492" s="17">
        <f>IF(N492&gt;0,P492/N492,"")</f>
        <v/>
      </c>
      <c r="W492" s="17">
        <f>IF(O492&gt;0,H492/O492,"")</f>
        <v/>
      </c>
    </row>
    <row r="493">
      <c r="A493" s="13" t="inlineStr">
        <is>
          <t>T18_B3</t>
        </is>
      </c>
      <c r="B493" s="13" t="inlineStr">
        <is>
          <t>T18</t>
        </is>
      </c>
      <c r="C493" s="13" t="inlineStr">
        <is>
          <t>B3</t>
        </is>
      </c>
      <c r="D493" s="13" t="n">
        <v>1</v>
      </c>
      <c r="E493" s="13" t="inlineStr">
        <is>
          <t>S1</t>
        </is>
      </c>
      <c r="F493" s="13" t="n">
        <v>2021</v>
      </c>
      <c r="G493" s="14" t="n">
        <v>7454986.87992066</v>
      </c>
      <c r="H493" s="14" t="n">
        <v>1021209.505021667</v>
      </c>
      <c r="I493" s="14" t="n">
        <v>148859.0275087543</v>
      </c>
      <c r="J493" s="14" t="n">
        <v>0</v>
      </c>
      <c r="K493" s="14" t="n">
        <v>2555395.581416201</v>
      </c>
      <c r="L493" s="14" t="n">
        <v>3729522.765974037</v>
      </c>
      <c r="M493" s="14" t="n">
        <v>0</v>
      </c>
      <c r="N493" s="14" t="n">
        <v>1093875.758459084</v>
      </c>
      <c r="O493" s="14" t="n">
        <v>3725464.113946623</v>
      </c>
      <c r="P493" s="14" t="n">
        <v>118574.442077906</v>
      </c>
      <c r="Q493" s="14" t="n">
        <v>21436574.93785039</v>
      </c>
      <c r="R493" s="15">
        <f>IF(D493=1,"Section 1","Control")</f>
        <v/>
      </c>
      <c r="S493" s="16">
        <f>N493/10000</f>
        <v/>
      </c>
      <c r="T493" s="16">
        <f>P493/10000</f>
        <v/>
      </c>
      <c r="U493" s="15">
        <f>IF(N493&gt;=Summary!$D$3,1,0)</f>
        <v/>
      </c>
      <c r="V493" s="17">
        <f>IF(N493&gt;0,P493/N493,"")</f>
        <v/>
      </c>
      <c r="W493" s="17">
        <f>IF(O493&gt;0,H493/O493,"")</f>
        <v/>
      </c>
    </row>
    <row r="494">
      <c r="A494" s="13" t="inlineStr">
        <is>
          <t>T18_B3</t>
        </is>
      </c>
      <c r="B494" s="13" t="inlineStr">
        <is>
          <t>T18</t>
        </is>
      </c>
      <c r="C494" s="13" t="inlineStr">
        <is>
          <t>B3</t>
        </is>
      </c>
      <c r="D494" s="13" t="n">
        <v>1</v>
      </c>
      <c r="E494" s="13" t="inlineStr">
        <is>
          <t>S1</t>
        </is>
      </c>
      <c r="F494" s="13" t="n">
        <v>2022</v>
      </c>
      <c r="G494" s="14" t="n">
        <v>7454986.87992066</v>
      </c>
      <c r="H494" s="14" t="n">
        <v>742760.0624965292</v>
      </c>
      <c r="I494" s="14" t="n">
        <v>97592.15703130983</v>
      </c>
      <c r="J494" s="14" t="n">
        <v>0</v>
      </c>
      <c r="K494" s="14" t="n">
        <v>2885111.894418784</v>
      </c>
      <c r="L494" s="14" t="n">
        <v>3729522.765974037</v>
      </c>
      <c r="M494" s="14" t="n">
        <v>0</v>
      </c>
      <c r="N494" s="14" t="n">
        <v>1093875.758459084</v>
      </c>
      <c r="O494" s="14" t="n">
        <v>3725464.113946623</v>
      </c>
      <c r="P494" s="14" t="n">
        <v>360256.3431821935</v>
      </c>
      <c r="Q494" s="14" t="n">
        <v>21436574.93785039</v>
      </c>
      <c r="R494" s="15">
        <f>IF(D494=1,"Section 1","Control")</f>
        <v/>
      </c>
      <c r="S494" s="16">
        <f>N494/10000</f>
        <v/>
      </c>
      <c r="T494" s="16">
        <f>P494/10000</f>
        <v/>
      </c>
      <c r="U494" s="15">
        <f>IF(N494&gt;=Summary!$D$3,1,0)</f>
        <v/>
      </c>
      <c r="V494" s="17">
        <f>IF(N494&gt;0,P494/N494,"")</f>
        <v/>
      </c>
      <c r="W494" s="17">
        <f>IF(O494&gt;0,H494/O494,"")</f>
        <v/>
      </c>
    </row>
    <row r="495">
      <c r="A495" s="13" t="inlineStr">
        <is>
          <t>T18_B3</t>
        </is>
      </c>
      <c r="B495" s="13" t="inlineStr">
        <is>
          <t>T18</t>
        </is>
      </c>
      <c r="C495" s="13" t="inlineStr">
        <is>
          <t>B3</t>
        </is>
      </c>
      <c r="D495" s="13" t="n">
        <v>1</v>
      </c>
      <c r="E495" s="13" t="inlineStr">
        <is>
          <t>S1</t>
        </is>
      </c>
      <c r="F495" s="13" t="n">
        <v>2023</v>
      </c>
      <c r="G495" s="14" t="n">
        <v>7454986.87992066</v>
      </c>
      <c r="H495" s="14" t="n">
        <v>705333.0085623048</v>
      </c>
      <c r="I495" s="14" t="n">
        <v>222517.3498945648</v>
      </c>
      <c r="J495" s="14" t="n">
        <v>0</v>
      </c>
      <c r="K495" s="14" t="n">
        <v>2797613.755489754</v>
      </c>
      <c r="L495" s="14" t="n">
        <v>3729522.765974037</v>
      </c>
      <c r="M495" s="14" t="n">
        <v>0</v>
      </c>
      <c r="N495" s="14" t="n">
        <v>1093875.758459084</v>
      </c>
      <c r="O495" s="14" t="n">
        <v>3725464.113946623</v>
      </c>
      <c r="P495" s="14" t="n">
        <v>414328.27050135</v>
      </c>
      <c r="Q495" s="14" t="n">
        <v>21436574.93785038</v>
      </c>
      <c r="R495" s="15">
        <f>IF(D495=1,"Section 1","Control")</f>
        <v/>
      </c>
      <c r="S495" s="16">
        <f>N495/10000</f>
        <v/>
      </c>
      <c r="T495" s="16">
        <f>P495/10000</f>
        <v/>
      </c>
      <c r="U495" s="15">
        <f>IF(N495&gt;=Summary!$D$3,1,0)</f>
        <v/>
      </c>
      <c r="V495" s="17">
        <f>IF(N495&gt;0,P495/N495,"")</f>
        <v/>
      </c>
      <c r="W495" s="17">
        <f>IF(O495&gt;0,H495/O495,"")</f>
        <v/>
      </c>
    </row>
    <row r="496">
      <c r="A496" s="13" t="inlineStr">
        <is>
          <t>T18_B3</t>
        </is>
      </c>
      <c r="B496" s="13" t="inlineStr">
        <is>
          <t>T18</t>
        </is>
      </c>
      <c r="C496" s="13" t="inlineStr">
        <is>
          <t>B3</t>
        </is>
      </c>
      <c r="D496" s="13" t="n">
        <v>1</v>
      </c>
      <c r="E496" s="13" t="inlineStr">
        <is>
          <t>S1</t>
        </is>
      </c>
      <c r="F496" s="13" t="n">
        <v>2024</v>
      </c>
      <c r="G496" s="14" t="n">
        <v>7454986.87992066</v>
      </c>
      <c r="H496" s="14" t="n">
        <v>821419.1025722726</v>
      </c>
      <c r="I496" s="14" t="n">
        <v>161899.3845421884</v>
      </c>
      <c r="J496" s="14" t="n">
        <v>0</v>
      </c>
      <c r="K496" s="14" t="n">
        <v>2742145.626832162</v>
      </c>
      <c r="L496" s="14" t="n">
        <v>3729522.765974037</v>
      </c>
      <c r="M496" s="14" t="n">
        <v>0</v>
      </c>
      <c r="N496" s="14" t="n">
        <v>1093875.758459084</v>
      </c>
      <c r="O496" s="14" t="n">
        <v>3725464.113946623</v>
      </c>
      <c r="P496" s="14" t="n">
        <v>404319.3283403883</v>
      </c>
      <c r="Q496" s="14" t="n">
        <v>21436574.93785039</v>
      </c>
      <c r="R496" s="15">
        <f>IF(D496=1,"Section 1","Control")</f>
        <v/>
      </c>
      <c r="S496" s="16">
        <f>N496/10000</f>
        <v/>
      </c>
      <c r="T496" s="16">
        <f>P496/10000</f>
        <v/>
      </c>
      <c r="U496" s="15">
        <f>IF(N496&gt;=Summary!$D$3,1,0)</f>
        <v/>
      </c>
      <c r="V496" s="17">
        <f>IF(N496&gt;0,P496/N496,"")</f>
        <v/>
      </c>
      <c r="W496" s="17">
        <f>IF(O496&gt;0,H496/O496,"")</f>
        <v/>
      </c>
    </row>
    <row r="497">
      <c r="A497" s="13" t="inlineStr">
        <is>
          <t>T18_B3</t>
        </is>
      </c>
      <c r="B497" s="13" t="inlineStr">
        <is>
          <t>T18</t>
        </is>
      </c>
      <c r="C497" s="13" t="inlineStr">
        <is>
          <t>B3</t>
        </is>
      </c>
      <c r="D497" s="13" t="n">
        <v>1</v>
      </c>
      <c r="E497" s="13" t="inlineStr">
        <is>
          <t>S1</t>
        </is>
      </c>
      <c r="F497" s="13" t="n">
        <v>2025</v>
      </c>
      <c r="G497" s="14" t="n">
        <v>7454986.87992066</v>
      </c>
      <c r="H497" s="14" t="n">
        <v>764194.1635315538</v>
      </c>
      <c r="I497" s="14" t="n">
        <v>193538.9315700756</v>
      </c>
      <c r="J497" s="14" t="n">
        <v>0</v>
      </c>
      <c r="K497" s="14" t="n">
        <v>2767731.018844993</v>
      </c>
      <c r="L497" s="14" t="n">
        <v>3729522.765974037</v>
      </c>
      <c r="M497" s="14" t="n">
        <v>0</v>
      </c>
      <c r="N497" s="14" t="n">
        <v>1093875.758459084</v>
      </c>
      <c r="O497" s="14" t="n">
        <v>3725464.113946623</v>
      </c>
      <c r="P497" s="14" t="n">
        <v>425601.7070024079</v>
      </c>
      <c r="Q497" s="14" t="n">
        <v>21436574.93785039</v>
      </c>
      <c r="R497" s="15">
        <f>IF(D497=1,"Section 1","Control")</f>
        <v/>
      </c>
      <c r="S497" s="16">
        <f>N497/10000</f>
        <v/>
      </c>
      <c r="T497" s="16">
        <f>P497/10000</f>
        <v/>
      </c>
      <c r="U497" s="15">
        <f>IF(N497&gt;=Summary!$D$3,1,0)</f>
        <v/>
      </c>
      <c r="V497" s="17">
        <f>IF(N497&gt;0,P497/N497,"")</f>
        <v/>
      </c>
      <c r="W497" s="17">
        <f>IF(O497&gt;0,H497/O497,"")</f>
        <v/>
      </c>
    </row>
    <row r="498">
      <c r="A498" s="13" t="inlineStr">
        <is>
          <t>T18_B3</t>
        </is>
      </c>
      <c r="B498" s="13" t="inlineStr">
        <is>
          <t>T18</t>
        </is>
      </c>
      <c r="C498" s="13" t="inlineStr">
        <is>
          <t>B3</t>
        </is>
      </c>
      <c r="D498" s="13" t="n">
        <v>1</v>
      </c>
      <c r="E498" s="13" t="inlineStr">
        <is>
          <t>S1</t>
        </is>
      </c>
      <c r="F498" s="13" t="n">
        <v>2026</v>
      </c>
      <c r="G498" s="14" t="n">
        <v>7454986.87992066</v>
      </c>
      <c r="H498" s="14" t="n">
        <v>832993.3694912778</v>
      </c>
      <c r="I498" s="14" t="n">
        <v>86981.14713939592</v>
      </c>
      <c r="J498" s="14" t="n">
        <v>0</v>
      </c>
      <c r="K498" s="14" t="n">
        <v>2805094.718257111</v>
      </c>
      <c r="L498" s="14" t="n">
        <v>3729917.645032875</v>
      </c>
      <c r="M498" s="14" t="n">
        <v>0</v>
      </c>
      <c r="N498" s="14" t="n">
        <v>1093875.758459084</v>
      </c>
      <c r="O498" s="14" t="n">
        <v>3725464.113946623</v>
      </c>
      <c r="P498" s="14" t="n">
        <v>437955.5926287482</v>
      </c>
      <c r="Q498" s="14" t="n">
        <v>21436574.93785039</v>
      </c>
      <c r="R498" s="15">
        <f>IF(D498=1,"Section 1","Control")</f>
        <v/>
      </c>
      <c r="S498" s="16">
        <f>N498/10000</f>
        <v/>
      </c>
      <c r="T498" s="16">
        <f>P498/10000</f>
        <v/>
      </c>
      <c r="U498" s="15">
        <f>IF(N498&gt;=Summary!$D$3,1,0)</f>
        <v/>
      </c>
      <c r="V498" s="17">
        <f>IF(N498&gt;0,P498/N498,"")</f>
        <v/>
      </c>
      <c r="W498" s="17">
        <f>IF(O498&gt;0,H498/O498,"")</f>
        <v/>
      </c>
    </row>
    <row r="499">
      <c r="A499" s="13" t="inlineStr">
        <is>
          <t>T18_F</t>
        </is>
      </c>
      <c r="B499" s="13" t="inlineStr">
        <is>
          <t>T18</t>
        </is>
      </c>
      <c r="C499" s="13" t="inlineStr">
        <is>
          <t>F</t>
        </is>
      </c>
      <c r="D499" s="13" t="n">
        <v>1</v>
      </c>
      <c r="E499" s="13" t="inlineStr">
        <is>
          <t>S1</t>
        </is>
      </c>
      <c r="F499" s="13" t="n">
        <v>2020</v>
      </c>
      <c r="G499" s="14" t="n">
        <v>61486.53318930232</v>
      </c>
      <c r="H499" s="14" t="n">
        <v>45034.34881322524</v>
      </c>
      <c r="I499" s="14" t="n">
        <v>4165.698773103602</v>
      </c>
      <c r="J499" s="14" t="n">
        <v>0</v>
      </c>
      <c r="K499" s="14" t="n">
        <v>12286.48560297349</v>
      </c>
      <c r="L499" s="14" t="n">
        <v>0</v>
      </c>
      <c r="M499" s="14" t="n">
        <v>0</v>
      </c>
      <c r="N499" s="14" t="n">
        <v>45034.34881322524</v>
      </c>
      <c r="O499" s="14" t="n">
        <v>61486.53318930232</v>
      </c>
      <c r="P499" s="14" t="n">
        <v>0</v>
      </c>
      <c r="Q499" s="14" t="n">
        <v>528600.4682448442</v>
      </c>
      <c r="R499" s="15">
        <f>IF(D499=1,"Section 1","Control")</f>
        <v/>
      </c>
      <c r="S499" s="16">
        <f>N499/10000</f>
        <v/>
      </c>
      <c r="T499" s="16">
        <f>P499/10000</f>
        <v/>
      </c>
      <c r="U499" s="15">
        <f>IF(N499&gt;=Summary!$D$3,1,0)</f>
        <v/>
      </c>
      <c r="V499" s="17">
        <f>IF(N499&gt;0,P499/N499,"")</f>
        <v/>
      </c>
      <c r="W499" s="17">
        <f>IF(O499&gt;0,H499/O499,"")</f>
        <v/>
      </c>
    </row>
    <row r="500">
      <c r="A500" s="13" t="inlineStr">
        <is>
          <t>T18_F</t>
        </is>
      </c>
      <c r="B500" s="13" t="inlineStr">
        <is>
          <t>T18</t>
        </is>
      </c>
      <c r="C500" s="13" t="inlineStr">
        <is>
          <t>F</t>
        </is>
      </c>
      <c r="D500" s="13" t="n">
        <v>1</v>
      </c>
      <c r="E500" s="13" t="inlineStr">
        <is>
          <t>S1</t>
        </is>
      </c>
      <c r="F500" s="13" t="n">
        <v>2021</v>
      </c>
      <c r="G500" s="14" t="n">
        <v>61486.53318930232</v>
      </c>
      <c r="H500" s="14" t="n">
        <v>40861.68599838557</v>
      </c>
      <c r="I500" s="14" t="n">
        <v>3812.620057678222</v>
      </c>
      <c r="J500" s="14" t="n">
        <v>0</v>
      </c>
      <c r="K500" s="14" t="n">
        <v>16812.22713323855</v>
      </c>
      <c r="L500" s="14" t="n">
        <v>0</v>
      </c>
      <c r="M500" s="14" t="n">
        <v>0</v>
      </c>
      <c r="N500" s="14" t="n">
        <v>45034.34881322524</v>
      </c>
      <c r="O500" s="14" t="n">
        <v>61486.53318930232</v>
      </c>
      <c r="P500" s="14" t="n">
        <v>4370.107532246908</v>
      </c>
      <c r="Q500" s="14" t="n">
        <v>528600.4682448442</v>
      </c>
      <c r="R500" s="15">
        <f>IF(D500=1,"Section 1","Control")</f>
        <v/>
      </c>
      <c r="S500" s="16">
        <f>N500/10000</f>
        <v/>
      </c>
      <c r="T500" s="16">
        <f>P500/10000</f>
        <v/>
      </c>
      <c r="U500" s="15">
        <f>IF(N500&gt;=Summary!$D$3,1,0)</f>
        <v/>
      </c>
      <c r="V500" s="17">
        <f>IF(N500&gt;0,P500/N500,"")</f>
        <v/>
      </c>
      <c r="W500" s="17">
        <f>IF(O500&gt;0,H500/O500,"")</f>
        <v/>
      </c>
    </row>
    <row r="501">
      <c r="A501" s="13" t="inlineStr">
        <is>
          <t>T18_F</t>
        </is>
      </c>
      <c r="B501" s="13" t="inlineStr">
        <is>
          <t>T18</t>
        </is>
      </c>
      <c r="C501" s="13" t="inlineStr">
        <is>
          <t>F</t>
        </is>
      </c>
      <c r="D501" s="13" t="n">
        <v>1</v>
      </c>
      <c r="E501" s="13" t="inlineStr">
        <is>
          <t>S1</t>
        </is>
      </c>
      <c r="F501" s="13" t="n">
        <v>2022</v>
      </c>
      <c r="G501" s="14" t="n">
        <v>61486.53318930232</v>
      </c>
      <c r="H501" s="14" t="n">
        <v>37599.21218162985</v>
      </c>
      <c r="I501" s="14" t="n">
        <v>4782.420479389266</v>
      </c>
      <c r="J501" s="14" t="n">
        <v>0</v>
      </c>
      <c r="K501" s="14" t="n">
        <v>19104.90052828321</v>
      </c>
      <c r="L501" s="14" t="n">
        <v>0</v>
      </c>
      <c r="M501" s="14" t="n">
        <v>0</v>
      </c>
      <c r="N501" s="14" t="n">
        <v>45034.34881322524</v>
      </c>
      <c r="O501" s="14" t="n">
        <v>61486.53318930232</v>
      </c>
      <c r="P501" s="14" t="n">
        <v>7731.303707706227</v>
      </c>
      <c r="Q501" s="14" t="n">
        <v>528600.4682448442</v>
      </c>
      <c r="R501" s="15">
        <f>IF(D501=1,"Section 1","Control")</f>
        <v/>
      </c>
      <c r="S501" s="16">
        <f>N501/10000</f>
        <v/>
      </c>
      <c r="T501" s="16">
        <f>P501/10000</f>
        <v/>
      </c>
      <c r="U501" s="15">
        <f>IF(N501&gt;=Summary!$D$3,1,0)</f>
        <v/>
      </c>
      <c r="V501" s="17">
        <f>IF(N501&gt;0,P501/N501,"")</f>
        <v/>
      </c>
      <c r="W501" s="17">
        <f>IF(O501&gt;0,H501/O501,"")</f>
        <v/>
      </c>
    </row>
    <row r="502">
      <c r="A502" s="13" t="inlineStr">
        <is>
          <t>T18_F</t>
        </is>
      </c>
      <c r="B502" s="13" t="inlineStr">
        <is>
          <t>T18</t>
        </is>
      </c>
      <c r="C502" s="13" t="inlineStr">
        <is>
          <t>F</t>
        </is>
      </c>
      <c r="D502" s="13" t="n">
        <v>1</v>
      </c>
      <c r="E502" s="13" t="inlineStr">
        <is>
          <t>S1</t>
        </is>
      </c>
      <c r="F502" s="13" t="n">
        <v>2023</v>
      </c>
      <c r="G502" s="14" t="n">
        <v>61486.53318930232</v>
      </c>
      <c r="H502" s="14" t="n">
        <v>33257.37507973465</v>
      </c>
      <c r="I502" s="14" t="n">
        <v>5100.652179194432</v>
      </c>
      <c r="J502" s="14" t="n">
        <v>0</v>
      </c>
      <c r="K502" s="14" t="n">
        <v>23128.50593037325</v>
      </c>
      <c r="L502" s="14" t="n">
        <v>0</v>
      </c>
      <c r="M502" s="14" t="n">
        <v>0</v>
      </c>
      <c r="N502" s="14" t="n">
        <v>45034.34881322524</v>
      </c>
      <c r="O502" s="14" t="n">
        <v>61486.53318930232</v>
      </c>
      <c r="P502" s="14" t="n">
        <v>11776.97373349059</v>
      </c>
      <c r="Q502" s="14" t="n">
        <v>528600.4682448442</v>
      </c>
      <c r="R502" s="15">
        <f>IF(D502=1,"Section 1","Control")</f>
        <v/>
      </c>
      <c r="S502" s="16">
        <f>N502/10000</f>
        <v/>
      </c>
      <c r="T502" s="16">
        <f>P502/10000</f>
        <v/>
      </c>
      <c r="U502" s="15">
        <f>IF(N502&gt;=Summary!$D$3,1,0)</f>
        <v/>
      </c>
      <c r="V502" s="17">
        <f>IF(N502&gt;0,P502/N502,"")</f>
        <v/>
      </c>
      <c r="W502" s="17">
        <f>IF(O502&gt;0,H502/O502,"")</f>
        <v/>
      </c>
    </row>
    <row r="503">
      <c r="A503" s="13" t="inlineStr">
        <is>
          <t>T18_F</t>
        </is>
      </c>
      <c r="B503" s="13" t="inlineStr">
        <is>
          <t>T18</t>
        </is>
      </c>
      <c r="C503" s="13" t="inlineStr">
        <is>
          <t>F</t>
        </is>
      </c>
      <c r="D503" s="13" t="n">
        <v>1</v>
      </c>
      <c r="E503" s="13" t="inlineStr">
        <is>
          <t>S1</t>
        </is>
      </c>
      <c r="F503" s="13" t="n">
        <v>2024</v>
      </c>
      <c r="G503" s="14" t="n">
        <v>61486.53318930232</v>
      </c>
      <c r="H503" s="14" t="n">
        <v>33216.33720520617</v>
      </c>
      <c r="I503" s="14" t="n">
        <v>4619.04518662995</v>
      </c>
      <c r="J503" s="14" t="n">
        <v>0</v>
      </c>
      <c r="K503" s="14" t="n">
        <v>23651.15079746621</v>
      </c>
      <c r="L503" s="14" t="n">
        <v>0</v>
      </c>
      <c r="M503" s="14" t="n">
        <v>0</v>
      </c>
      <c r="N503" s="14" t="n">
        <v>45034.34881322524</v>
      </c>
      <c r="O503" s="14" t="n">
        <v>61486.53318930232</v>
      </c>
      <c r="P503" s="14" t="n">
        <v>11818.01160801906</v>
      </c>
      <c r="Q503" s="14" t="n">
        <v>528600.4682448442</v>
      </c>
      <c r="R503" s="15">
        <f>IF(D503=1,"Section 1","Control")</f>
        <v/>
      </c>
      <c r="S503" s="16">
        <f>N503/10000</f>
        <v/>
      </c>
      <c r="T503" s="16">
        <f>P503/10000</f>
        <v/>
      </c>
      <c r="U503" s="15">
        <f>IF(N503&gt;=Summary!$D$3,1,0)</f>
        <v/>
      </c>
      <c r="V503" s="17">
        <f>IF(N503&gt;0,P503/N503,"")</f>
        <v/>
      </c>
      <c r="W503" s="17">
        <f>IF(O503&gt;0,H503/O503,"")</f>
        <v/>
      </c>
    </row>
    <row r="504">
      <c r="A504" s="13" t="inlineStr">
        <is>
          <t>T18_F</t>
        </is>
      </c>
      <c r="B504" s="13" t="inlineStr">
        <is>
          <t>T18</t>
        </is>
      </c>
      <c r="C504" s="13" t="inlineStr">
        <is>
          <t>F</t>
        </is>
      </c>
      <c r="D504" s="13" t="n">
        <v>1</v>
      </c>
      <c r="E504" s="13" t="inlineStr">
        <is>
          <t>S1</t>
        </is>
      </c>
      <c r="F504" s="13" t="n">
        <v>2025</v>
      </c>
      <c r="G504" s="14" t="n">
        <v>61486.53318930232</v>
      </c>
      <c r="H504" s="14" t="n">
        <v>27195.0696780934</v>
      </c>
      <c r="I504" s="14" t="n">
        <v>7668.590564982097</v>
      </c>
      <c r="J504" s="14" t="n">
        <v>0</v>
      </c>
      <c r="K504" s="14" t="n">
        <v>26622.87294622683</v>
      </c>
      <c r="L504" s="14" t="n">
        <v>0</v>
      </c>
      <c r="M504" s="14" t="n">
        <v>0</v>
      </c>
      <c r="N504" s="14" t="n">
        <v>45034.34881322524</v>
      </c>
      <c r="O504" s="14" t="n">
        <v>61486.53318930232</v>
      </c>
      <c r="P504" s="14" t="n">
        <v>18987.55582688275</v>
      </c>
      <c r="Q504" s="14" t="n">
        <v>528600.4682448442</v>
      </c>
      <c r="R504" s="15">
        <f>IF(D504=1,"Section 1","Control")</f>
        <v/>
      </c>
      <c r="S504" s="16">
        <f>N504/10000</f>
        <v/>
      </c>
      <c r="T504" s="16">
        <f>P504/10000</f>
        <v/>
      </c>
      <c r="U504" s="15">
        <f>IF(N504&gt;=Summary!$D$3,1,0)</f>
        <v/>
      </c>
      <c r="V504" s="17">
        <f>IF(N504&gt;0,P504/N504,"")</f>
        <v/>
      </c>
      <c r="W504" s="17">
        <f>IF(O504&gt;0,H504/O504,"")</f>
        <v/>
      </c>
    </row>
    <row r="505">
      <c r="A505" s="13" t="inlineStr">
        <is>
          <t>T18_F</t>
        </is>
      </c>
      <c r="B505" s="13" t="inlineStr">
        <is>
          <t>T18</t>
        </is>
      </c>
      <c r="C505" s="13" t="inlineStr">
        <is>
          <t>F</t>
        </is>
      </c>
      <c r="D505" s="13" t="n">
        <v>1</v>
      </c>
      <c r="E505" s="13" t="inlineStr">
        <is>
          <t>S1</t>
        </is>
      </c>
      <c r="F505" s="13" t="n">
        <v>2026</v>
      </c>
      <c r="G505" s="14" t="n">
        <v>61486.53318930232</v>
      </c>
      <c r="H505" s="14" t="n">
        <v>0</v>
      </c>
      <c r="I505" s="14" t="n">
        <v>9165.678668631759</v>
      </c>
      <c r="J505" s="14" t="n">
        <v>0</v>
      </c>
      <c r="K505" s="14" t="n">
        <v>52320.85452067058</v>
      </c>
      <c r="L505" s="14" t="n">
        <v>0</v>
      </c>
      <c r="M505" s="14" t="n">
        <v>0</v>
      </c>
      <c r="N505" s="14" t="n">
        <v>45034.34881322524</v>
      </c>
      <c r="O505" s="14" t="n">
        <v>61486.53318930232</v>
      </c>
      <c r="P505" s="14" t="n">
        <v>45034.34881322524</v>
      </c>
      <c r="Q505" s="14" t="n">
        <v>528600.4682448442</v>
      </c>
      <c r="R505" s="15">
        <f>IF(D505=1,"Section 1","Control")</f>
        <v/>
      </c>
      <c r="S505" s="16">
        <f>N505/10000</f>
        <v/>
      </c>
      <c r="T505" s="16">
        <f>P505/10000</f>
        <v/>
      </c>
      <c r="U505" s="15">
        <f>IF(N505&gt;=Summary!$D$3,1,0)</f>
        <v/>
      </c>
      <c r="V505" s="17">
        <f>IF(N505&gt;0,P505/N505,"")</f>
        <v/>
      </c>
      <c r="W505" s="17">
        <f>IF(O505&gt;0,H505/O505,"")</f>
        <v/>
      </c>
    </row>
    <row r="506">
      <c r="A506" s="13" t="inlineStr">
        <is>
          <t>T19_B1</t>
        </is>
      </c>
      <c r="B506" s="13" t="inlineStr">
        <is>
          <t>T19</t>
        </is>
      </c>
      <c r="C506" s="13" t="inlineStr">
        <is>
          <t>B1</t>
        </is>
      </c>
      <c r="D506" s="13" t="n">
        <v>1</v>
      </c>
      <c r="E506" s="13" t="inlineStr">
        <is>
          <t>S1</t>
        </is>
      </c>
      <c r="F506" s="13" t="n">
        <v>2020</v>
      </c>
      <c r="G506" s="14" t="n">
        <v>1013766.454272551</v>
      </c>
      <c r="H506" s="14" t="n">
        <v>674523.2777845794</v>
      </c>
      <c r="I506" s="14" t="n">
        <v>34135.30047957476</v>
      </c>
      <c r="J506" s="14" t="n">
        <v>0</v>
      </c>
      <c r="K506" s="14" t="n">
        <v>305107.8760083965</v>
      </c>
      <c r="L506" s="14" t="n">
        <v>0</v>
      </c>
      <c r="M506" s="14" t="n">
        <v>0</v>
      </c>
      <c r="N506" s="14" t="n">
        <v>674523.2777845794</v>
      </c>
      <c r="O506" s="14" t="n">
        <v>1013766.454272551</v>
      </c>
      <c r="P506" s="14" t="n">
        <v>0</v>
      </c>
      <c r="Q506" s="14" t="n">
        <v>10289575.56533382</v>
      </c>
      <c r="R506" s="15">
        <f>IF(D506=1,"Section 1","Control")</f>
        <v/>
      </c>
      <c r="S506" s="16">
        <f>N506/10000</f>
        <v/>
      </c>
      <c r="T506" s="16">
        <f>P506/10000</f>
        <v/>
      </c>
      <c r="U506" s="15">
        <f>IF(N506&gt;=Summary!$D$3,1,0)</f>
        <v/>
      </c>
      <c r="V506" s="17">
        <f>IF(N506&gt;0,P506/N506,"")</f>
        <v/>
      </c>
      <c r="W506" s="17">
        <f>IF(O506&gt;0,H506/O506,"")</f>
        <v/>
      </c>
    </row>
    <row r="507">
      <c r="A507" s="13" t="inlineStr">
        <is>
          <t>T19_B1</t>
        </is>
      </c>
      <c r="B507" s="13" t="inlineStr">
        <is>
          <t>T19</t>
        </is>
      </c>
      <c r="C507" s="13" t="inlineStr">
        <is>
          <t>B1</t>
        </is>
      </c>
      <c r="D507" s="13" t="n">
        <v>1</v>
      </c>
      <c r="E507" s="13" t="inlineStr">
        <is>
          <t>S1</t>
        </is>
      </c>
      <c r="F507" s="13" t="n">
        <v>2021</v>
      </c>
      <c r="G507" s="14" t="n">
        <v>1013766.454272551</v>
      </c>
      <c r="H507" s="14" t="n">
        <v>515880.0571421604</v>
      </c>
      <c r="I507" s="14" t="n">
        <v>31180.18936935126</v>
      </c>
      <c r="J507" s="14" t="n">
        <v>0</v>
      </c>
      <c r="K507" s="14" t="n">
        <v>466706.207761039</v>
      </c>
      <c r="L507" s="14" t="n">
        <v>0</v>
      </c>
      <c r="M507" s="14" t="n">
        <v>0</v>
      </c>
      <c r="N507" s="14" t="n">
        <v>674523.2777845794</v>
      </c>
      <c r="O507" s="14" t="n">
        <v>1013766.454272551</v>
      </c>
      <c r="P507" s="14" t="n">
        <v>160025.3250354244</v>
      </c>
      <c r="Q507" s="14" t="n">
        <v>10289575.56533382</v>
      </c>
      <c r="R507" s="15">
        <f>IF(D507=1,"Section 1","Control")</f>
        <v/>
      </c>
      <c r="S507" s="16">
        <f>N507/10000</f>
        <v/>
      </c>
      <c r="T507" s="16">
        <f>P507/10000</f>
        <v/>
      </c>
      <c r="U507" s="15">
        <f>IF(N507&gt;=Summary!$D$3,1,0)</f>
        <v/>
      </c>
      <c r="V507" s="17">
        <f>IF(N507&gt;0,P507/N507,"")</f>
        <v/>
      </c>
      <c r="W507" s="17">
        <f>IF(O507&gt;0,H507/O507,"")</f>
        <v/>
      </c>
    </row>
    <row r="508">
      <c r="A508" s="13" t="inlineStr">
        <is>
          <t>T19_B1</t>
        </is>
      </c>
      <c r="B508" s="13" t="inlineStr">
        <is>
          <t>T19</t>
        </is>
      </c>
      <c r="C508" s="13" t="inlineStr">
        <is>
          <t>B1</t>
        </is>
      </c>
      <c r="D508" s="13" t="n">
        <v>1</v>
      </c>
      <c r="E508" s="13" t="inlineStr">
        <is>
          <t>S1</t>
        </is>
      </c>
      <c r="F508" s="13" t="n">
        <v>2022</v>
      </c>
      <c r="G508" s="14" t="n">
        <v>1013766.454272551</v>
      </c>
      <c r="H508" s="14" t="n">
        <v>447280.004932628</v>
      </c>
      <c r="I508" s="14" t="n">
        <v>76177.50123470531</v>
      </c>
      <c r="J508" s="14" t="n">
        <v>0</v>
      </c>
      <c r="K508" s="14" t="n">
        <v>490308.9481052176</v>
      </c>
      <c r="L508" s="14" t="n">
        <v>0</v>
      </c>
      <c r="M508" s="14" t="n">
        <v>0</v>
      </c>
      <c r="N508" s="14" t="n">
        <v>674523.2777845794</v>
      </c>
      <c r="O508" s="14" t="n">
        <v>1013766.454272551</v>
      </c>
      <c r="P508" s="14" t="n">
        <v>228131.7664890365</v>
      </c>
      <c r="Q508" s="14" t="n">
        <v>10289575.56533382</v>
      </c>
      <c r="R508" s="15">
        <f>IF(D508=1,"Section 1","Control")</f>
        <v/>
      </c>
      <c r="S508" s="16">
        <f>N508/10000</f>
        <v/>
      </c>
      <c r="T508" s="16">
        <f>P508/10000</f>
        <v/>
      </c>
      <c r="U508" s="15">
        <f>IF(N508&gt;=Summary!$D$3,1,0)</f>
        <v/>
      </c>
      <c r="V508" s="17">
        <f>IF(N508&gt;0,P508/N508,"")</f>
        <v/>
      </c>
      <c r="W508" s="17">
        <f>IF(O508&gt;0,H508/O508,"")</f>
        <v/>
      </c>
    </row>
    <row r="509">
      <c r="A509" s="13" t="inlineStr">
        <is>
          <t>T19_B1</t>
        </is>
      </c>
      <c r="B509" s="13" t="inlineStr">
        <is>
          <t>T19</t>
        </is>
      </c>
      <c r="C509" s="13" t="inlineStr">
        <is>
          <t>B1</t>
        </is>
      </c>
      <c r="D509" s="13" t="n">
        <v>1</v>
      </c>
      <c r="E509" s="13" t="inlineStr">
        <is>
          <t>S1</t>
        </is>
      </c>
      <c r="F509" s="13" t="n">
        <v>2023</v>
      </c>
      <c r="G509" s="14" t="n">
        <v>1013766.454272551</v>
      </c>
      <c r="H509" s="14" t="n">
        <v>399193.1764953016</v>
      </c>
      <c r="I509" s="14" t="n">
        <v>103267.7746347465</v>
      </c>
      <c r="J509" s="14" t="n">
        <v>0</v>
      </c>
      <c r="K509" s="14" t="n">
        <v>511305.5031425029</v>
      </c>
      <c r="L509" s="14" t="n">
        <v>0</v>
      </c>
      <c r="M509" s="14" t="n">
        <v>0</v>
      </c>
      <c r="N509" s="14" t="n">
        <v>674523.2777845794</v>
      </c>
      <c r="O509" s="14" t="n">
        <v>1013766.454272551</v>
      </c>
      <c r="P509" s="14" t="n">
        <v>277600.6971068438</v>
      </c>
      <c r="Q509" s="14" t="n">
        <v>10289575.56533382</v>
      </c>
      <c r="R509" s="15">
        <f>IF(D509=1,"Section 1","Control")</f>
        <v/>
      </c>
      <c r="S509" s="16">
        <f>N509/10000</f>
        <v/>
      </c>
      <c r="T509" s="16">
        <f>P509/10000</f>
        <v/>
      </c>
      <c r="U509" s="15">
        <f>IF(N509&gt;=Summary!$D$3,1,0)</f>
        <v/>
      </c>
      <c r="V509" s="17">
        <f>IF(N509&gt;0,P509/N509,"")</f>
        <v/>
      </c>
      <c r="W509" s="17">
        <f>IF(O509&gt;0,H509/O509,"")</f>
        <v/>
      </c>
    </row>
    <row r="510">
      <c r="A510" s="13" t="inlineStr">
        <is>
          <t>T19_B1</t>
        </is>
      </c>
      <c r="B510" s="13" t="inlineStr">
        <is>
          <t>T19</t>
        </is>
      </c>
      <c r="C510" s="13" t="inlineStr">
        <is>
          <t>B1</t>
        </is>
      </c>
      <c r="D510" s="13" t="n">
        <v>1</v>
      </c>
      <c r="E510" s="13" t="inlineStr">
        <is>
          <t>S1</t>
        </is>
      </c>
      <c r="F510" s="13" t="n">
        <v>2024</v>
      </c>
      <c r="G510" s="14" t="n">
        <v>1013766.454272551</v>
      </c>
      <c r="H510" s="14" t="n">
        <v>392749.1259929583</v>
      </c>
      <c r="I510" s="14" t="n">
        <v>65479.91345421288</v>
      </c>
      <c r="J510" s="14" t="n">
        <v>0</v>
      </c>
      <c r="K510" s="14" t="n">
        <v>555537.4148253797</v>
      </c>
      <c r="L510" s="14" t="n">
        <v>0</v>
      </c>
      <c r="M510" s="14" t="n">
        <v>0</v>
      </c>
      <c r="N510" s="14" t="n">
        <v>674523.2777845794</v>
      </c>
      <c r="O510" s="14" t="n">
        <v>1013766.454272551</v>
      </c>
      <c r="P510" s="14" t="n">
        <v>290362.9555788526</v>
      </c>
      <c r="Q510" s="14" t="n">
        <v>10289575.56533382</v>
      </c>
      <c r="R510" s="15">
        <f>IF(D510=1,"Section 1","Control")</f>
        <v/>
      </c>
      <c r="S510" s="16">
        <f>N510/10000</f>
        <v/>
      </c>
      <c r="T510" s="16">
        <f>P510/10000</f>
        <v/>
      </c>
      <c r="U510" s="15">
        <f>IF(N510&gt;=Summary!$D$3,1,0)</f>
        <v/>
      </c>
      <c r="V510" s="17">
        <f>IF(N510&gt;0,P510/N510,"")</f>
        <v/>
      </c>
      <c r="W510" s="17">
        <f>IF(O510&gt;0,H510/O510,"")</f>
        <v/>
      </c>
    </row>
    <row r="511">
      <c r="A511" s="13" t="inlineStr">
        <is>
          <t>T19_B1</t>
        </is>
      </c>
      <c r="B511" s="13" t="inlineStr">
        <is>
          <t>T19</t>
        </is>
      </c>
      <c r="C511" s="13" t="inlineStr">
        <is>
          <t>B1</t>
        </is>
      </c>
      <c r="D511" s="13" t="n">
        <v>1</v>
      </c>
      <c r="E511" s="13" t="inlineStr">
        <is>
          <t>S1</t>
        </is>
      </c>
      <c r="F511" s="13" t="n">
        <v>2025</v>
      </c>
      <c r="G511" s="14" t="n">
        <v>1013766.454272551</v>
      </c>
      <c r="H511" s="14" t="n">
        <v>398896.9769631778</v>
      </c>
      <c r="I511" s="14" t="n">
        <v>53719.61830809351</v>
      </c>
      <c r="J511" s="14" t="n">
        <v>0</v>
      </c>
      <c r="K511" s="14" t="n">
        <v>559965.2034455544</v>
      </c>
      <c r="L511" s="14" t="n">
        <v>1184.655555725098</v>
      </c>
      <c r="M511" s="14" t="n">
        <v>0</v>
      </c>
      <c r="N511" s="14" t="n">
        <v>674523.2777845794</v>
      </c>
      <c r="O511" s="14" t="n">
        <v>1013766.454272551</v>
      </c>
      <c r="P511" s="14" t="n">
        <v>291561.9440686693</v>
      </c>
      <c r="Q511" s="14" t="n">
        <v>10289575.56533382</v>
      </c>
      <c r="R511" s="15">
        <f>IF(D511=1,"Section 1","Control")</f>
        <v/>
      </c>
      <c r="S511" s="16">
        <f>N511/10000</f>
        <v/>
      </c>
      <c r="T511" s="16">
        <f>P511/10000</f>
        <v/>
      </c>
      <c r="U511" s="15">
        <f>IF(N511&gt;=Summary!$D$3,1,0)</f>
        <v/>
      </c>
      <c r="V511" s="17">
        <f>IF(N511&gt;0,P511/N511,"")</f>
        <v/>
      </c>
      <c r="W511" s="17">
        <f>IF(O511&gt;0,H511/O511,"")</f>
        <v/>
      </c>
    </row>
    <row r="512">
      <c r="A512" s="13" t="inlineStr">
        <is>
          <t>T19_B1</t>
        </is>
      </c>
      <c r="B512" s="13" t="inlineStr">
        <is>
          <t>T19</t>
        </is>
      </c>
      <c r="C512" s="13" t="inlineStr">
        <is>
          <t>B1</t>
        </is>
      </c>
      <c r="D512" s="13" t="n">
        <v>1</v>
      </c>
      <c r="E512" s="13" t="inlineStr">
        <is>
          <t>S1</t>
        </is>
      </c>
      <c r="F512" s="13" t="n">
        <v>2026</v>
      </c>
      <c r="G512" s="14" t="n">
        <v>1013766.454272551</v>
      </c>
      <c r="H512" s="14" t="n">
        <v>367051.6454207476</v>
      </c>
      <c r="I512" s="14" t="n">
        <v>44340.69709756889</v>
      </c>
      <c r="J512" s="14" t="n">
        <v>0</v>
      </c>
      <c r="K512" s="14" t="n">
        <v>602077.9478977281</v>
      </c>
      <c r="L512" s="14" t="n">
        <v>296.1638565063477</v>
      </c>
      <c r="M512" s="14" t="n">
        <v>0</v>
      </c>
      <c r="N512" s="14" t="n">
        <v>674523.2777845794</v>
      </c>
      <c r="O512" s="14" t="n">
        <v>1013766.454272551</v>
      </c>
      <c r="P512" s="14" t="n">
        <v>324006.1827740837</v>
      </c>
      <c r="Q512" s="14" t="n">
        <v>10289575.56533382</v>
      </c>
      <c r="R512" s="15">
        <f>IF(D512=1,"Section 1","Control")</f>
        <v/>
      </c>
      <c r="S512" s="16">
        <f>N512/10000</f>
        <v/>
      </c>
      <c r="T512" s="16">
        <f>P512/10000</f>
        <v/>
      </c>
      <c r="U512" s="15">
        <f>IF(N512&gt;=Summary!$D$3,1,0)</f>
        <v/>
      </c>
      <c r="V512" s="17">
        <f>IF(N512&gt;0,P512/N512,"")</f>
        <v/>
      </c>
      <c r="W512" s="17">
        <f>IF(O512&gt;0,H512/O512,"")</f>
        <v/>
      </c>
    </row>
    <row r="513">
      <c r="A513" s="13" t="inlineStr">
        <is>
          <t>T19_B2</t>
        </is>
      </c>
      <c r="B513" s="13" t="inlineStr">
        <is>
          <t>T19</t>
        </is>
      </c>
      <c r="C513" s="13" t="inlineStr">
        <is>
          <t>B2</t>
        </is>
      </c>
      <c r="D513" s="13" t="n">
        <v>1</v>
      </c>
      <c r="E513" s="13" t="inlineStr">
        <is>
          <t>S1</t>
        </is>
      </c>
      <c r="F513" s="13" t="n">
        <v>2020</v>
      </c>
      <c r="G513" s="14" t="n">
        <v>1013391.667497851</v>
      </c>
      <c r="H513" s="14" t="n">
        <v>580716.1226823393</v>
      </c>
      <c r="I513" s="14" t="n">
        <v>73417.73965762269</v>
      </c>
      <c r="J513" s="14" t="n">
        <v>20343.19849506453</v>
      </c>
      <c r="K513" s="14" t="n">
        <v>290943.4948843563</v>
      </c>
      <c r="L513" s="14" t="n">
        <v>47971.11177846871</v>
      </c>
      <c r="M513" s="14" t="n">
        <v>0</v>
      </c>
      <c r="N513" s="14" t="n">
        <v>580716.1226823393</v>
      </c>
      <c r="O513" s="14" t="n">
        <v>965420.5557193828</v>
      </c>
      <c r="P513" s="14" t="n">
        <v>0</v>
      </c>
      <c r="Q513" s="14" t="n">
        <v>9191280.147625882</v>
      </c>
      <c r="R513" s="15">
        <f>IF(D513=1,"Section 1","Control")</f>
        <v/>
      </c>
      <c r="S513" s="16">
        <f>N513/10000</f>
        <v/>
      </c>
      <c r="T513" s="16">
        <f>P513/10000</f>
        <v/>
      </c>
      <c r="U513" s="15">
        <f>IF(N513&gt;=Summary!$D$3,1,0)</f>
        <v/>
      </c>
      <c r="V513" s="17">
        <f>IF(N513&gt;0,P513/N513,"")</f>
        <v/>
      </c>
      <c r="W513" s="17">
        <f>IF(O513&gt;0,H513/O513,"")</f>
        <v/>
      </c>
    </row>
    <row r="514">
      <c r="A514" s="13" t="inlineStr">
        <is>
          <t>T19_B2</t>
        </is>
      </c>
      <c r="B514" s="13" t="inlineStr">
        <is>
          <t>T19</t>
        </is>
      </c>
      <c r="C514" s="13" t="inlineStr">
        <is>
          <t>B2</t>
        </is>
      </c>
      <c r="D514" s="13" t="n">
        <v>1</v>
      </c>
      <c r="E514" s="13" t="inlineStr">
        <is>
          <t>S1</t>
        </is>
      </c>
      <c r="F514" s="13" t="n">
        <v>2021</v>
      </c>
      <c r="G514" s="14" t="n">
        <v>1013391.667497851</v>
      </c>
      <c r="H514" s="14" t="n">
        <v>341485.5950976204</v>
      </c>
      <c r="I514" s="14" t="n">
        <v>68441.35268569647</v>
      </c>
      <c r="J514" s="14" t="n">
        <v>20441.92180744246</v>
      </c>
      <c r="K514" s="14" t="n">
        <v>527030.6973590325</v>
      </c>
      <c r="L514" s="14" t="n">
        <v>55992.1005480598</v>
      </c>
      <c r="M514" s="14" t="n">
        <v>0</v>
      </c>
      <c r="N514" s="14" t="n">
        <v>580716.1226823394</v>
      </c>
      <c r="O514" s="14" t="n">
        <v>965420.5557193828</v>
      </c>
      <c r="P514" s="14" t="n">
        <v>239230.527584719</v>
      </c>
      <c r="Q514" s="14" t="n">
        <v>9191280.147625882</v>
      </c>
      <c r="R514" s="15">
        <f>IF(D514=1,"Section 1","Control")</f>
        <v/>
      </c>
      <c r="S514" s="16">
        <f>N514/10000</f>
        <v/>
      </c>
      <c r="T514" s="16">
        <f>P514/10000</f>
        <v/>
      </c>
      <c r="U514" s="15">
        <f>IF(N514&gt;=Summary!$D$3,1,0)</f>
        <v/>
      </c>
      <c r="V514" s="17">
        <f>IF(N514&gt;0,P514/N514,"")</f>
        <v/>
      </c>
      <c r="W514" s="17">
        <f>IF(O514&gt;0,H514/O514,"")</f>
        <v/>
      </c>
    </row>
    <row r="515">
      <c r="A515" s="13" t="inlineStr">
        <is>
          <t>T19_B2</t>
        </is>
      </c>
      <c r="B515" s="13" t="inlineStr">
        <is>
          <t>T19</t>
        </is>
      </c>
      <c r="C515" s="13" t="inlineStr">
        <is>
          <t>B2</t>
        </is>
      </c>
      <c r="D515" s="13" t="n">
        <v>1</v>
      </c>
      <c r="E515" s="13" t="inlineStr">
        <is>
          <t>S1</t>
        </is>
      </c>
      <c r="F515" s="13" t="n">
        <v>2022</v>
      </c>
      <c r="G515" s="14" t="n">
        <v>1013391.667497851</v>
      </c>
      <c r="H515" s="14" t="n">
        <v>253768.003362349</v>
      </c>
      <c r="I515" s="14" t="n">
        <v>160388.8574067957</v>
      </c>
      <c r="J515" s="14" t="n">
        <v>20441.92180744246</v>
      </c>
      <c r="K515" s="14" t="n">
        <v>523107.0203085507</v>
      </c>
      <c r="L515" s="14" t="n">
        <v>55685.86461271398</v>
      </c>
      <c r="M515" s="14" t="n">
        <v>0</v>
      </c>
      <c r="N515" s="14" t="n">
        <v>580716.1226823393</v>
      </c>
      <c r="O515" s="14" t="n">
        <v>965420.5557193828</v>
      </c>
      <c r="P515" s="14" t="n">
        <v>326948.1193199905</v>
      </c>
      <c r="Q515" s="14" t="n">
        <v>9191280.147625882</v>
      </c>
      <c r="R515" s="15">
        <f>IF(D515=1,"Section 1","Control")</f>
        <v/>
      </c>
      <c r="S515" s="16">
        <f>N515/10000</f>
        <v/>
      </c>
      <c r="T515" s="16">
        <f>P515/10000</f>
        <v/>
      </c>
      <c r="U515" s="15">
        <f>IF(N515&gt;=Summary!$D$3,1,0)</f>
        <v/>
      </c>
      <c r="V515" s="17">
        <f>IF(N515&gt;0,P515/N515,"")</f>
        <v/>
      </c>
      <c r="W515" s="17">
        <f>IF(O515&gt;0,H515/O515,"")</f>
        <v/>
      </c>
    </row>
    <row r="516">
      <c r="A516" s="13" t="inlineStr">
        <is>
          <t>T19_B2</t>
        </is>
      </c>
      <c r="B516" s="13" t="inlineStr">
        <is>
          <t>T19</t>
        </is>
      </c>
      <c r="C516" s="13" t="inlineStr">
        <is>
          <t>B2</t>
        </is>
      </c>
      <c r="D516" s="13" t="n">
        <v>1</v>
      </c>
      <c r="E516" s="13" t="inlineStr">
        <is>
          <t>S1</t>
        </is>
      </c>
      <c r="F516" s="13" t="n">
        <v>2023</v>
      </c>
      <c r="G516" s="14" t="n">
        <v>1013391.667497851</v>
      </c>
      <c r="H516" s="14" t="n">
        <v>225854.4931207395</v>
      </c>
      <c r="I516" s="14" t="n">
        <v>204055.2735381183</v>
      </c>
      <c r="J516" s="14" t="n">
        <v>20441.92180744246</v>
      </c>
      <c r="K516" s="14" t="n">
        <v>505259.6290268841</v>
      </c>
      <c r="L516" s="14" t="n">
        <v>57780.35000466739</v>
      </c>
      <c r="M516" s="14" t="n">
        <v>0</v>
      </c>
      <c r="N516" s="14" t="n">
        <v>580716.1226823393</v>
      </c>
      <c r="O516" s="14" t="n">
        <v>965420.5557193828</v>
      </c>
      <c r="P516" s="14" t="n">
        <v>354960.3499290316</v>
      </c>
      <c r="Q516" s="14" t="n">
        <v>9191280.147625882</v>
      </c>
      <c r="R516" s="15">
        <f>IF(D516=1,"Section 1","Control")</f>
        <v/>
      </c>
      <c r="S516" s="16">
        <f>N516/10000</f>
        <v/>
      </c>
      <c r="T516" s="16">
        <f>P516/10000</f>
        <v/>
      </c>
      <c r="U516" s="15">
        <f>IF(N516&gt;=Summary!$D$3,1,0)</f>
        <v/>
      </c>
      <c r="V516" s="17">
        <f>IF(N516&gt;0,P516/N516,"")</f>
        <v/>
      </c>
      <c r="W516" s="17">
        <f>IF(O516&gt;0,H516/O516,"")</f>
        <v/>
      </c>
    </row>
    <row r="517">
      <c r="A517" s="13" t="inlineStr">
        <is>
          <t>T19_B2</t>
        </is>
      </c>
      <c r="B517" s="13" t="inlineStr">
        <is>
          <t>T19</t>
        </is>
      </c>
      <c r="C517" s="13" t="inlineStr">
        <is>
          <t>B2</t>
        </is>
      </c>
      <c r="D517" s="13" t="n">
        <v>1</v>
      </c>
      <c r="E517" s="13" t="inlineStr">
        <is>
          <t>S1</t>
        </is>
      </c>
      <c r="F517" s="13" t="n">
        <v>2024</v>
      </c>
      <c r="G517" s="14" t="n">
        <v>1013391.667497851</v>
      </c>
      <c r="H517" s="14" t="n">
        <v>224783.6618996414</v>
      </c>
      <c r="I517" s="14" t="n">
        <v>123168.6954624849</v>
      </c>
      <c r="J517" s="14" t="n">
        <v>20441.92180744246</v>
      </c>
      <c r="K517" s="14" t="n">
        <v>589276.2928651395</v>
      </c>
      <c r="L517" s="14" t="n">
        <v>55721.09546314314</v>
      </c>
      <c r="M517" s="14" t="n">
        <v>0</v>
      </c>
      <c r="N517" s="14" t="n">
        <v>580716.1226823393</v>
      </c>
      <c r="O517" s="14" t="n">
        <v>965420.5557193828</v>
      </c>
      <c r="P517" s="14" t="n">
        <v>356031.1811501296</v>
      </c>
      <c r="Q517" s="14" t="n">
        <v>9191280.147625882</v>
      </c>
      <c r="R517" s="15">
        <f>IF(D517=1,"Section 1","Control")</f>
        <v/>
      </c>
      <c r="S517" s="16">
        <f>N517/10000</f>
        <v/>
      </c>
      <c r="T517" s="16">
        <f>P517/10000</f>
        <v/>
      </c>
      <c r="U517" s="15">
        <f>IF(N517&gt;=Summary!$D$3,1,0)</f>
        <v/>
      </c>
      <c r="V517" s="17">
        <f>IF(N517&gt;0,P517/N517,"")</f>
        <v/>
      </c>
      <c r="W517" s="17">
        <f>IF(O517&gt;0,H517/O517,"")</f>
        <v/>
      </c>
    </row>
    <row r="518">
      <c r="A518" s="13" t="inlineStr">
        <is>
          <t>T19_B2</t>
        </is>
      </c>
      <c r="B518" s="13" t="inlineStr">
        <is>
          <t>T19</t>
        </is>
      </c>
      <c r="C518" s="13" t="inlineStr">
        <is>
          <t>B2</t>
        </is>
      </c>
      <c r="D518" s="13" t="n">
        <v>1</v>
      </c>
      <c r="E518" s="13" t="inlineStr">
        <is>
          <t>S1</t>
        </is>
      </c>
      <c r="F518" s="13" t="n">
        <v>2025</v>
      </c>
      <c r="G518" s="14" t="n">
        <v>1013391.667497851</v>
      </c>
      <c r="H518" s="14" t="n">
        <v>216720.7007723939</v>
      </c>
      <c r="I518" s="14" t="n">
        <v>110197.9345968808</v>
      </c>
      <c r="J518" s="14" t="n">
        <v>20441.92180744246</v>
      </c>
      <c r="K518" s="14" t="n">
        <v>602899.1765208521</v>
      </c>
      <c r="L518" s="14" t="n">
        <v>63131.93380028219</v>
      </c>
      <c r="M518" s="14" t="n">
        <v>0</v>
      </c>
      <c r="N518" s="14" t="n">
        <v>580716.1226823394</v>
      </c>
      <c r="O518" s="14" t="n">
        <v>965420.5557193828</v>
      </c>
      <c r="P518" s="14" t="n">
        <v>364192.865261691</v>
      </c>
      <c r="Q518" s="14" t="n">
        <v>9191280.147625882</v>
      </c>
      <c r="R518" s="15">
        <f>IF(D518=1,"Section 1","Control")</f>
        <v/>
      </c>
      <c r="S518" s="16">
        <f>N518/10000</f>
        <v/>
      </c>
      <c r="T518" s="16">
        <f>P518/10000</f>
        <v/>
      </c>
      <c r="U518" s="15">
        <f>IF(N518&gt;=Summary!$D$3,1,0)</f>
        <v/>
      </c>
      <c r="V518" s="17">
        <f>IF(N518&gt;0,P518/N518,"")</f>
        <v/>
      </c>
      <c r="W518" s="17">
        <f>IF(O518&gt;0,H518/O518,"")</f>
        <v/>
      </c>
    </row>
    <row r="519">
      <c r="A519" s="13" t="inlineStr">
        <is>
          <t>T19_B2</t>
        </is>
      </c>
      <c r="B519" s="13" t="inlineStr">
        <is>
          <t>T19</t>
        </is>
      </c>
      <c r="C519" s="13" t="inlineStr">
        <is>
          <t>B2</t>
        </is>
      </c>
      <c r="D519" s="13" t="n">
        <v>1</v>
      </c>
      <c r="E519" s="13" t="inlineStr">
        <is>
          <t>S1</t>
        </is>
      </c>
      <c r="F519" s="13" t="n">
        <v>2026</v>
      </c>
      <c r="G519" s="14" t="n">
        <v>1013391.667497851</v>
      </c>
      <c r="H519" s="14" t="n">
        <v>226841.6936285281</v>
      </c>
      <c r="I519" s="14" t="n">
        <v>93182.87232707901</v>
      </c>
      <c r="J519" s="14" t="n">
        <v>20441.92180744246</v>
      </c>
      <c r="K519" s="14" t="n">
        <v>603277.5011682843</v>
      </c>
      <c r="L519" s="14" t="n">
        <v>69647.67856651754</v>
      </c>
      <c r="M519" s="14" t="n">
        <v>0</v>
      </c>
      <c r="N519" s="14" t="n">
        <v>580716.1226823393</v>
      </c>
      <c r="O519" s="14" t="n">
        <v>965420.5557193828</v>
      </c>
      <c r="P519" s="14" t="n">
        <v>354960.3666301053</v>
      </c>
      <c r="Q519" s="14" t="n">
        <v>9191280.147625882</v>
      </c>
      <c r="R519" s="15">
        <f>IF(D519=1,"Section 1","Control")</f>
        <v/>
      </c>
      <c r="S519" s="16">
        <f>N519/10000</f>
        <v/>
      </c>
      <c r="T519" s="16">
        <f>P519/10000</f>
        <v/>
      </c>
      <c r="U519" s="15">
        <f>IF(N519&gt;=Summary!$D$3,1,0)</f>
        <v/>
      </c>
      <c r="V519" s="17">
        <f>IF(N519&gt;0,P519/N519,"")</f>
        <v/>
      </c>
      <c r="W519" s="17">
        <f>IF(O519&gt;0,H519/O519,"")</f>
        <v/>
      </c>
    </row>
    <row r="520">
      <c r="A520" s="13" t="inlineStr">
        <is>
          <t>T19_B3</t>
        </is>
      </c>
      <c r="B520" s="13" t="inlineStr">
        <is>
          <t>T19</t>
        </is>
      </c>
      <c r="C520" s="13" t="inlineStr">
        <is>
          <t>B3</t>
        </is>
      </c>
      <c r="D520" s="13" t="n">
        <v>1</v>
      </c>
      <c r="E520" s="13" t="inlineStr">
        <is>
          <t>S1</t>
        </is>
      </c>
      <c r="F520" s="13" t="n">
        <v>2020</v>
      </c>
      <c r="G520" s="14" t="n">
        <v>8839427.325444091</v>
      </c>
      <c r="H520" s="14" t="n">
        <v>2677452.863013205</v>
      </c>
      <c r="I520" s="14" t="n">
        <v>396036.1412166521</v>
      </c>
      <c r="J520" s="14" t="n">
        <v>0</v>
      </c>
      <c r="K520" s="14" t="n">
        <v>5121742.725237141</v>
      </c>
      <c r="L520" s="14" t="n">
        <v>644195.5959770948</v>
      </c>
      <c r="M520" s="14" t="n">
        <v>0</v>
      </c>
      <c r="N520" s="14" t="n">
        <v>2677452.863013205</v>
      </c>
      <c r="O520" s="14" t="n">
        <v>8195231.729466996</v>
      </c>
      <c r="P520" s="14" t="n">
        <v>0</v>
      </c>
      <c r="Q520" s="14" t="n">
        <v>55446975.43708595</v>
      </c>
      <c r="R520" s="15">
        <f>IF(D520=1,"Section 1","Control")</f>
        <v/>
      </c>
      <c r="S520" s="16">
        <f>N520/10000</f>
        <v/>
      </c>
      <c r="T520" s="16">
        <f>P520/10000</f>
        <v/>
      </c>
      <c r="U520" s="15">
        <f>IF(N520&gt;=Summary!$D$3,1,0)</f>
        <v/>
      </c>
      <c r="V520" s="17">
        <f>IF(N520&gt;0,P520/N520,"")</f>
        <v/>
      </c>
      <c r="W520" s="17">
        <f>IF(O520&gt;0,H520/O520,"")</f>
        <v/>
      </c>
    </row>
    <row r="521">
      <c r="A521" s="13" t="inlineStr">
        <is>
          <t>T19_B3</t>
        </is>
      </c>
      <c r="B521" s="13" t="inlineStr">
        <is>
          <t>T19</t>
        </is>
      </c>
      <c r="C521" s="13" t="inlineStr">
        <is>
          <t>B3</t>
        </is>
      </c>
      <c r="D521" s="13" t="n">
        <v>1</v>
      </c>
      <c r="E521" s="13" t="inlineStr">
        <is>
          <t>S1</t>
        </is>
      </c>
      <c r="F521" s="13" t="n">
        <v>2021</v>
      </c>
      <c r="G521" s="14" t="n">
        <v>8839427.325444089</v>
      </c>
      <c r="H521" s="14" t="n">
        <v>2067761.677645515</v>
      </c>
      <c r="I521" s="14" t="n">
        <v>335900.135029243</v>
      </c>
      <c r="J521" s="14" t="n">
        <v>0</v>
      </c>
      <c r="K521" s="14" t="n">
        <v>5791372.477705324</v>
      </c>
      <c r="L521" s="14" t="n">
        <v>644393.0350640089</v>
      </c>
      <c r="M521" s="14" t="n">
        <v>0</v>
      </c>
      <c r="N521" s="14" t="n">
        <v>2677452.863013204</v>
      </c>
      <c r="O521" s="14" t="n">
        <v>8195231.729466995</v>
      </c>
      <c r="P521" s="14" t="n">
        <v>646323.9464888629</v>
      </c>
      <c r="Q521" s="14" t="n">
        <v>55446975.43708595</v>
      </c>
      <c r="R521" s="15">
        <f>IF(D521=1,"Section 1","Control")</f>
        <v/>
      </c>
      <c r="S521" s="16">
        <f>N521/10000</f>
        <v/>
      </c>
      <c r="T521" s="16">
        <f>P521/10000</f>
        <v/>
      </c>
      <c r="U521" s="15">
        <f>IF(N521&gt;=Summary!$D$3,1,0)</f>
        <v/>
      </c>
      <c r="V521" s="17">
        <f>IF(N521&gt;0,P521/N521,"")</f>
        <v/>
      </c>
      <c r="W521" s="17">
        <f>IF(O521&gt;0,H521/O521,"")</f>
        <v/>
      </c>
    </row>
    <row r="522">
      <c r="A522" s="13" t="inlineStr">
        <is>
          <t>T19_B3</t>
        </is>
      </c>
      <c r="B522" s="13" t="inlineStr">
        <is>
          <t>T19</t>
        </is>
      </c>
      <c r="C522" s="13" t="inlineStr">
        <is>
          <t>B3</t>
        </is>
      </c>
      <c r="D522" s="13" t="n">
        <v>1</v>
      </c>
      <c r="E522" s="13" t="inlineStr">
        <is>
          <t>S1</t>
        </is>
      </c>
      <c r="F522" s="13" t="n">
        <v>2022</v>
      </c>
      <c r="G522" s="14" t="n">
        <v>8839427.325444089</v>
      </c>
      <c r="H522" s="14" t="n">
        <v>1448420.649246335</v>
      </c>
      <c r="I522" s="14" t="n">
        <v>488254.2373605766</v>
      </c>
      <c r="J522" s="14" t="n">
        <v>0</v>
      </c>
      <c r="K522" s="14" t="n">
        <v>6258556.842860083</v>
      </c>
      <c r="L522" s="14" t="n">
        <v>644195.5959770948</v>
      </c>
      <c r="M522" s="14" t="n">
        <v>0</v>
      </c>
      <c r="N522" s="14" t="n">
        <v>2677452.863013204</v>
      </c>
      <c r="O522" s="14" t="n">
        <v>8195231.729466995</v>
      </c>
      <c r="P522" s="14" t="n">
        <v>1243709.733325674</v>
      </c>
      <c r="Q522" s="14" t="n">
        <v>55446975.43708596</v>
      </c>
      <c r="R522" s="15">
        <f>IF(D522=1,"Section 1","Control")</f>
        <v/>
      </c>
      <c r="S522" s="16">
        <f>N522/10000</f>
        <v/>
      </c>
      <c r="T522" s="16">
        <f>P522/10000</f>
        <v/>
      </c>
      <c r="U522" s="15">
        <f>IF(N522&gt;=Summary!$D$3,1,0)</f>
        <v/>
      </c>
      <c r="V522" s="17">
        <f>IF(N522&gt;0,P522/N522,"")</f>
        <v/>
      </c>
      <c r="W522" s="17">
        <f>IF(O522&gt;0,H522/O522,"")</f>
        <v/>
      </c>
    </row>
    <row r="523">
      <c r="A523" s="13" t="inlineStr">
        <is>
          <t>T19_B3</t>
        </is>
      </c>
      <c r="B523" s="13" t="inlineStr">
        <is>
          <t>T19</t>
        </is>
      </c>
      <c r="C523" s="13" t="inlineStr">
        <is>
          <t>B3</t>
        </is>
      </c>
      <c r="D523" s="13" t="n">
        <v>1</v>
      </c>
      <c r="E523" s="13" t="inlineStr">
        <is>
          <t>S1</t>
        </is>
      </c>
      <c r="F523" s="13" t="n">
        <v>2023</v>
      </c>
      <c r="G523" s="14" t="n">
        <v>8839427.325444091</v>
      </c>
      <c r="H523" s="14" t="n">
        <v>1325837.816271405</v>
      </c>
      <c r="I523" s="14" t="n">
        <v>517782.3007232667</v>
      </c>
      <c r="J523" s="14" t="n">
        <v>0</v>
      </c>
      <c r="K523" s="14" t="n">
        <v>6351611.612472326</v>
      </c>
      <c r="L523" s="14" t="n">
        <v>644195.5959770948</v>
      </c>
      <c r="M523" s="14" t="n">
        <v>0</v>
      </c>
      <c r="N523" s="14" t="n">
        <v>2677452.863013204</v>
      </c>
      <c r="O523" s="14" t="n">
        <v>8195231.729466995</v>
      </c>
      <c r="P523" s="14" t="n">
        <v>1374472.577455857</v>
      </c>
      <c r="Q523" s="14" t="n">
        <v>55446975.43708596</v>
      </c>
      <c r="R523" s="15">
        <f>IF(D523=1,"Section 1","Control")</f>
        <v/>
      </c>
      <c r="S523" s="16">
        <f>N523/10000</f>
        <v/>
      </c>
      <c r="T523" s="16">
        <f>P523/10000</f>
        <v/>
      </c>
      <c r="U523" s="15">
        <f>IF(N523&gt;=Summary!$D$3,1,0)</f>
        <v/>
      </c>
      <c r="V523" s="17">
        <f>IF(N523&gt;0,P523/N523,"")</f>
        <v/>
      </c>
      <c r="W523" s="17">
        <f>IF(O523&gt;0,H523/O523,"")</f>
        <v/>
      </c>
    </row>
    <row r="524">
      <c r="A524" s="13" t="inlineStr">
        <is>
          <t>T19_B3</t>
        </is>
      </c>
      <c r="B524" s="13" t="inlineStr">
        <is>
          <t>T19</t>
        </is>
      </c>
      <c r="C524" s="13" t="inlineStr">
        <is>
          <t>B3</t>
        </is>
      </c>
      <c r="D524" s="13" t="n">
        <v>1</v>
      </c>
      <c r="E524" s="13" t="inlineStr">
        <is>
          <t>S1</t>
        </is>
      </c>
      <c r="F524" s="13" t="n">
        <v>2024</v>
      </c>
      <c r="G524" s="14" t="n">
        <v>8839427.325444089</v>
      </c>
      <c r="H524" s="14" t="n">
        <v>1303815.366755467</v>
      </c>
      <c r="I524" s="14" t="n">
        <v>506917.2467901791</v>
      </c>
      <c r="J524" s="14" t="n">
        <v>0</v>
      </c>
      <c r="K524" s="14" t="n">
        <v>6384499.115921348</v>
      </c>
      <c r="L524" s="14" t="n">
        <v>644195.595977095</v>
      </c>
      <c r="M524" s="14" t="n">
        <v>0</v>
      </c>
      <c r="N524" s="14" t="n">
        <v>2677452.863013204</v>
      </c>
      <c r="O524" s="14" t="n">
        <v>8195231.729466995</v>
      </c>
      <c r="P524" s="14" t="n">
        <v>1464218.316515664</v>
      </c>
      <c r="Q524" s="14" t="n">
        <v>55446975.43708595</v>
      </c>
      <c r="R524" s="15">
        <f>IF(D524=1,"Section 1","Control")</f>
        <v/>
      </c>
      <c r="S524" s="16">
        <f>N524/10000</f>
        <v/>
      </c>
      <c r="T524" s="16">
        <f>P524/10000</f>
        <v/>
      </c>
      <c r="U524" s="15">
        <f>IF(N524&gt;=Summary!$D$3,1,0)</f>
        <v/>
      </c>
      <c r="V524" s="17">
        <f>IF(N524&gt;0,P524/N524,"")</f>
        <v/>
      </c>
      <c r="W524" s="17">
        <f>IF(O524&gt;0,H524/O524,"")</f>
        <v/>
      </c>
    </row>
    <row r="525">
      <c r="A525" s="13" t="inlineStr">
        <is>
          <t>T19_B3</t>
        </is>
      </c>
      <c r="B525" s="13" t="inlineStr">
        <is>
          <t>T19</t>
        </is>
      </c>
      <c r="C525" s="13" t="inlineStr">
        <is>
          <t>B3</t>
        </is>
      </c>
      <c r="D525" s="13" t="n">
        <v>1</v>
      </c>
      <c r="E525" s="13" t="inlineStr">
        <is>
          <t>S1</t>
        </is>
      </c>
      <c r="F525" s="13" t="n">
        <v>2025</v>
      </c>
      <c r="G525" s="14" t="n">
        <v>8839427.325444091</v>
      </c>
      <c r="H525" s="14" t="n">
        <v>1164680.646919071</v>
      </c>
      <c r="I525" s="14" t="n">
        <v>493980.7782406078</v>
      </c>
      <c r="J525" s="14" t="n">
        <v>0</v>
      </c>
      <c r="K525" s="14" t="n">
        <v>6536471.584908818</v>
      </c>
      <c r="L525" s="14" t="n">
        <v>644294.3153755934</v>
      </c>
      <c r="M525" s="14" t="n">
        <v>0</v>
      </c>
      <c r="N525" s="14" t="n">
        <v>2677452.863013204</v>
      </c>
      <c r="O525" s="14" t="n">
        <v>8195231.729466995</v>
      </c>
      <c r="P525" s="14" t="n">
        <v>1620538.939551409</v>
      </c>
      <c r="Q525" s="14" t="n">
        <v>55446975.43708595</v>
      </c>
      <c r="R525" s="15">
        <f>IF(D525=1,"Section 1","Control")</f>
        <v/>
      </c>
      <c r="S525" s="16">
        <f>N525/10000</f>
        <v/>
      </c>
      <c r="T525" s="16">
        <f>P525/10000</f>
        <v/>
      </c>
      <c r="U525" s="15">
        <f>IF(N525&gt;=Summary!$D$3,1,0)</f>
        <v/>
      </c>
      <c r="V525" s="17">
        <f>IF(N525&gt;0,P525/N525,"")</f>
        <v/>
      </c>
      <c r="W525" s="17">
        <f>IF(O525&gt;0,H525/O525,"")</f>
        <v/>
      </c>
    </row>
    <row r="526">
      <c r="A526" s="13" t="inlineStr">
        <is>
          <t>T19_B3</t>
        </is>
      </c>
      <c r="B526" s="13" t="inlineStr">
        <is>
          <t>T19</t>
        </is>
      </c>
      <c r="C526" s="13" t="inlineStr">
        <is>
          <t>B3</t>
        </is>
      </c>
      <c r="D526" s="13" t="n">
        <v>1</v>
      </c>
      <c r="E526" s="13" t="inlineStr">
        <is>
          <t>S1</t>
        </is>
      </c>
      <c r="F526" s="13" t="n">
        <v>2026</v>
      </c>
      <c r="G526" s="14" t="n">
        <v>8839427.325444091</v>
      </c>
      <c r="H526" s="14" t="n">
        <v>1100314.612429929</v>
      </c>
      <c r="I526" s="14" t="n">
        <v>257301.5262135225</v>
      </c>
      <c r="J526" s="14" t="n">
        <v>0</v>
      </c>
      <c r="K526" s="14" t="n">
        <v>6826065.724048032</v>
      </c>
      <c r="L526" s="14" t="n">
        <v>655745.4627526075</v>
      </c>
      <c r="M526" s="14" t="n">
        <v>0</v>
      </c>
      <c r="N526" s="14" t="n">
        <v>2677452.863013204</v>
      </c>
      <c r="O526" s="14" t="n">
        <v>8195231.729466994</v>
      </c>
      <c r="P526" s="14" t="n">
        <v>1729593.029255975</v>
      </c>
      <c r="Q526" s="14" t="n">
        <v>55446975.43708595</v>
      </c>
      <c r="R526" s="15">
        <f>IF(D526=1,"Section 1","Control")</f>
        <v/>
      </c>
      <c r="S526" s="16">
        <f>N526/10000</f>
        <v/>
      </c>
      <c r="T526" s="16">
        <f>P526/10000</f>
        <v/>
      </c>
      <c r="U526" s="15">
        <f>IF(N526&gt;=Summary!$D$3,1,0)</f>
        <v/>
      </c>
      <c r="V526" s="17">
        <f>IF(N526&gt;0,P526/N526,"")</f>
        <v/>
      </c>
      <c r="W526" s="17">
        <f>IF(O526&gt;0,H526/O526,"")</f>
        <v/>
      </c>
    </row>
    <row r="527">
      <c r="A527" s="13" t="inlineStr">
        <is>
          <t>T19_F</t>
        </is>
      </c>
      <c r="B527" s="13" t="inlineStr">
        <is>
          <t>T19</t>
        </is>
      </c>
      <c r="C527" s="13" t="inlineStr">
        <is>
          <t>F</t>
        </is>
      </c>
      <c r="D527" s="13" t="n">
        <v>1</v>
      </c>
      <c r="E527" s="13" t="inlineStr">
        <is>
          <t>S1</t>
        </is>
      </c>
      <c r="F527" s="13" t="n">
        <v>2020</v>
      </c>
      <c r="G527" s="14" t="n">
        <v>70578.74438778749</v>
      </c>
      <c r="H527" s="14" t="n">
        <v>47482.10486130058</v>
      </c>
      <c r="I527" s="14" t="n">
        <v>15672.76125637877</v>
      </c>
      <c r="J527" s="14" t="n">
        <v>0</v>
      </c>
      <c r="K527" s="14" t="n">
        <v>7423.878270108093</v>
      </c>
      <c r="L527" s="14" t="n">
        <v>0</v>
      </c>
      <c r="M527" s="14" t="n">
        <v>0</v>
      </c>
      <c r="N527" s="14" t="n">
        <v>47482.10486130058</v>
      </c>
      <c r="O527" s="14" t="n">
        <v>70578.74438778749</v>
      </c>
      <c r="P527" s="14" t="n">
        <v>0</v>
      </c>
      <c r="Q527" s="14" t="n">
        <v>887933.4897022921</v>
      </c>
      <c r="R527" s="15">
        <f>IF(D527=1,"Section 1","Control")</f>
        <v/>
      </c>
      <c r="S527" s="16">
        <f>N527/10000</f>
        <v/>
      </c>
      <c r="T527" s="16">
        <f>P527/10000</f>
        <v/>
      </c>
      <c r="U527" s="15">
        <f>IF(N527&gt;=Summary!$D$3,1,0)</f>
        <v/>
      </c>
      <c r="V527" s="17">
        <f>IF(N527&gt;0,P527/N527,"")</f>
        <v/>
      </c>
      <c r="W527" s="17">
        <f>IF(O527&gt;0,H527/O527,"")</f>
        <v/>
      </c>
    </row>
    <row r="528">
      <c r="A528" s="13" t="inlineStr">
        <is>
          <t>T19_F</t>
        </is>
      </c>
      <c r="B528" s="13" t="inlineStr">
        <is>
          <t>T19</t>
        </is>
      </c>
      <c r="C528" s="13" t="inlineStr">
        <is>
          <t>F</t>
        </is>
      </c>
      <c r="D528" s="13" t="n">
        <v>1</v>
      </c>
      <c r="E528" s="13" t="inlineStr">
        <is>
          <t>S1</t>
        </is>
      </c>
      <c r="F528" s="13" t="n">
        <v>2021</v>
      </c>
      <c r="G528" s="14" t="n">
        <v>70578.74438778749</v>
      </c>
      <c r="H528" s="14" t="n">
        <v>39647.46725368126</v>
      </c>
      <c r="I528" s="14" t="n">
        <v>15674.30973735136</v>
      </c>
      <c r="J528" s="14" t="n">
        <v>0</v>
      </c>
      <c r="K528" s="14" t="n">
        <v>15256.96739675484</v>
      </c>
      <c r="L528" s="14" t="n">
        <v>0</v>
      </c>
      <c r="M528" s="14" t="n">
        <v>0</v>
      </c>
      <c r="N528" s="14" t="n">
        <v>47482.10486130058</v>
      </c>
      <c r="O528" s="14" t="n">
        <v>70578.74438778749</v>
      </c>
      <c r="P528" s="14" t="n">
        <v>7933.359424635944</v>
      </c>
      <c r="Q528" s="14" t="n">
        <v>887933.4897022921</v>
      </c>
      <c r="R528" s="15">
        <f>IF(D528=1,"Section 1","Control")</f>
        <v/>
      </c>
      <c r="S528" s="16">
        <f>N528/10000</f>
        <v/>
      </c>
      <c r="T528" s="16">
        <f>P528/10000</f>
        <v/>
      </c>
      <c r="U528" s="15">
        <f>IF(N528&gt;=Summary!$D$3,1,0)</f>
        <v/>
      </c>
      <c r="V528" s="17">
        <f>IF(N528&gt;0,P528/N528,"")</f>
        <v/>
      </c>
      <c r="W528" s="17">
        <f>IF(O528&gt;0,H528/O528,"")</f>
        <v/>
      </c>
    </row>
    <row r="529">
      <c r="A529" s="13" t="inlineStr">
        <is>
          <t>T19_F</t>
        </is>
      </c>
      <c r="B529" s="13" t="inlineStr">
        <is>
          <t>T19</t>
        </is>
      </c>
      <c r="C529" s="13" t="inlineStr">
        <is>
          <t>F</t>
        </is>
      </c>
      <c r="D529" s="13" t="n">
        <v>1</v>
      </c>
      <c r="E529" s="13" t="inlineStr">
        <is>
          <t>S1</t>
        </is>
      </c>
      <c r="F529" s="13" t="n">
        <v>2022</v>
      </c>
      <c r="G529" s="14" t="n">
        <v>70578.74438778749</v>
      </c>
      <c r="H529" s="14" t="n">
        <v>32345.14828688677</v>
      </c>
      <c r="I529" s="14" t="n">
        <v>24688.96437171486</v>
      </c>
      <c r="J529" s="14" t="n">
        <v>0</v>
      </c>
      <c r="K529" s="14" t="n">
        <v>13544.63172918581</v>
      </c>
      <c r="L529" s="14" t="n">
        <v>0</v>
      </c>
      <c r="M529" s="14" t="n">
        <v>0</v>
      </c>
      <c r="N529" s="14" t="n">
        <v>47482.10486130058</v>
      </c>
      <c r="O529" s="14" t="n">
        <v>70578.74438778749</v>
      </c>
      <c r="P529" s="14" t="n">
        <v>15334.40020844703</v>
      </c>
      <c r="Q529" s="14" t="n">
        <v>887933.4897022921</v>
      </c>
      <c r="R529" s="15">
        <f>IF(D529=1,"Section 1","Control")</f>
        <v/>
      </c>
      <c r="S529" s="16">
        <f>N529/10000</f>
        <v/>
      </c>
      <c r="T529" s="16">
        <f>P529/10000</f>
        <v/>
      </c>
      <c r="U529" s="15">
        <f>IF(N529&gt;=Summary!$D$3,1,0)</f>
        <v/>
      </c>
      <c r="V529" s="17">
        <f>IF(N529&gt;0,P529/N529,"")</f>
        <v/>
      </c>
      <c r="W529" s="17">
        <f>IF(O529&gt;0,H529/O529,"")</f>
        <v/>
      </c>
    </row>
    <row r="530">
      <c r="A530" s="13" t="inlineStr">
        <is>
          <t>T19_F</t>
        </is>
      </c>
      <c r="B530" s="13" t="inlineStr">
        <is>
          <t>T19</t>
        </is>
      </c>
      <c r="C530" s="13" t="inlineStr">
        <is>
          <t>F</t>
        </is>
      </c>
      <c r="D530" s="13" t="n">
        <v>1</v>
      </c>
      <c r="E530" s="13" t="inlineStr">
        <is>
          <t>S1</t>
        </is>
      </c>
      <c r="F530" s="13" t="n">
        <v>2023</v>
      </c>
      <c r="G530" s="14" t="n">
        <v>70578.74438778749</v>
      </c>
      <c r="H530" s="14" t="n">
        <v>24032.763621521</v>
      </c>
      <c r="I530" s="14" t="n">
        <v>33007.92151911117</v>
      </c>
      <c r="J530" s="14" t="n">
        <v>0</v>
      </c>
      <c r="K530" s="14" t="n">
        <v>13538.05924715528</v>
      </c>
      <c r="L530" s="14" t="n">
        <v>0</v>
      </c>
      <c r="M530" s="14" t="n">
        <v>0</v>
      </c>
      <c r="N530" s="14" t="n">
        <v>47482.10486130058</v>
      </c>
      <c r="O530" s="14" t="n">
        <v>70578.74438778749</v>
      </c>
      <c r="P530" s="14" t="n">
        <v>23449.3412397796</v>
      </c>
      <c r="Q530" s="14" t="n">
        <v>887933.4897022921</v>
      </c>
      <c r="R530" s="15">
        <f>IF(D530=1,"Section 1","Control")</f>
        <v/>
      </c>
      <c r="S530" s="16">
        <f>N530/10000</f>
        <v/>
      </c>
      <c r="T530" s="16">
        <f>P530/10000</f>
        <v/>
      </c>
      <c r="U530" s="15">
        <f>IF(N530&gt;=Summary!$D$3,1,0)</f>
        <v/>
      </c>
      <c r="V530" s="17">
        <f>IF(N530&gt;0,P530/N530,"")</f>
        <v/>
      </c>
      <c r="W530" s="17">
        <f>IF(O530&gt;0,H530/O530,"")</f>
        <v/>
      </c>
    </row>
    <row r="531">
      <c r="A531" s="13" t="inlineStr">
        <is>
          <t>T19_F</t>
        </is>
      </c>
      <c r="B531" s="13" t="inlineStr">
        <is>
          <t>T19</t>
        </is>
      </c>
      <c r="C531" s="13" t="inlineStr">
        <is>
          <t>F</t>
        </is>
      </c>
      <c r="D531" s="13" t="n">
        <v>1</v>
      </c>
      <c r="E531" s="13" t="inlineStr">
        <is>
          <t>S1</t>
        </is>
      </c>
      <c r="F531" s="13" t="n">
        <v>2024</v>
      </c>
      <c r="G531" s="14" t="n">
        <v>70578.74438778749</v>
      </c>
      <c r="H531" s="14" t="n">
        <v>29540.66437727984</v>
      </c>
      <c r="I531" s="14" t="n">
        <v>23966.16590456494</v>
      </c>
      <c r="J531" s="14" t="n">
        <v>0</v>
      </c>
      <c r="K531" s="14" t="n">
        <v>17071.91410594267</v>
      </c>
      <c r="L531" s="14" t="n">
        <v>0</v>
      </c>
      <c r="M531" s="14" t="n">
        <v>0</v>
      </c>
      <c r="N531" s="14" t="n">
        <v>47482.10486130058</v>
      </c>
      <c r="O531" s="14" t="n">
        <v>70578.74438778749</v>
      </c>
      <c r="P531" s="14" t="n">
        <v>19915.87696168189</v>
      </c>
      <c r="Q531" s="14" t="n">
        <v>887933.4897022921</v>
      </c>
      <c r="R531" s="15">
        <f>IF(D531=1,"Section 1","Control")</f>
        <v/>
      </c>
      <c r="S531" s="16">
        <f>N531/10000</f>
        <v/>
      </c>
      <c r="T531" s="16">
        <f>P531/10000</f>
        <v/>
      </c>
      <c r="U531" s="15">
        <f>IF(N531&gt;=Summary!$D$3,1,0)</f>
        <v/>
      </c>
      <c r="V531" s="17">
        <f>IF(N531&gt;0,P531/N531,"")</f>
        <v/>
      </c>
      <c r="W531" s="17">
        <f>IF(O531&gt;0,H531/O531,"")</f>
        <v/>
      </c>
    </row>
    <row r="532">
      <c r="A532" s="13" t="inlineStr">
        <is>
          <t>T19_F</t>
        </is>
      </c>
      <c r="B532" s="13" t="inlineStr">
        <is>
          <t>T19</t>
        </is>
      </c>
      <c r="C532" s="13" t="inlineStr">
        <is>
          <t>F</t>
        </is>
      </c>
      <c r="D532" s="13" t="n">
        <v>1</v>
      </c>
      <c r="E532" s="13" t="inlineStr">
        <is>
          <t>S1</t>
        </is>
      </c>
      <c r="F532" s="13" t="n">
        <v>2025</v>
      </c>
      <c r="G532" s="14" t="n">
        <v>70578.74438778749</v>
      </c>
      <c r="H532" s="14" t="n">
        <v>34781.82578660552</v>
      </c>
      <c r="I532" s="14" t="n">
        <v>19522.13655892166</v>
      </c>
      <c r="J532" s="14" t="n">
        <v>0</v>
      </c>
      <c r="K532" s="14" t="n">
        <v>16274.78204226026</v>
      </c>
      <c r="L532" s="14" t="n">
        <v>0</v>
      </c>
      <c r="M532" s="14" t="n">
        <v>0</v>
      </c>
      <c r="N532" s="14" t="n">
        <v>47482.10486130058</v>
      </c>
      <c r="O532" s="14" t="n">
        <v>70578.74438778749</v>
      </c>
      <c r="P532" s="14" t="n">
        <v>16775.36019840614</v>
      </c>
      <c r="Q532" s="14" t="n">
        <v>887933.4897022921</v>
      </c>
      <c r="R532" s="15">
        <f>IF(D532=1,"Section 1","Control")</f>
        <v/>
      </c>
      <c r="S532" s="16">
        <f>N532/10000</f>
        <v/>
      </c>
      <c r="T532" s="16">
        <f>P532/10000</f>
        <v/>
      </c>
      <c r="U532" s="15">
        <f>IF(N532&gt;=Summary!$D$3,1,0)</f>
        <v/>
      </c>
      <c r="V532" s="17">
        <f>IF(N532&gt;0,P532/N532,"")</f>
        <v/>
      </c>
      <c r="W532" s="17">
        <f>IF(O532&gt;0,H532/O532,"")</f>
        <v/>
      </c>
    </row>
    <row r="533">
      <c r="A533" s="13" t="inlineStr">
        <is>
          <t>T19_F</t>
        </is>
      </c>
      <c r="B533" s="13" t="inlineStr">
        <is>
          <t>T19</t>
        </is>
      </c>
      <c r="C533" s="13" t="inlineStr">
        <is>
          <t>F</t>
        </is>
      </c>
      <c r="D533" s="13" t="n">
        <v>1</v>
      </c>
      <c r="E533" s="13" t="inlineStr">
        <is>
          <t>S1</t>
        </is>
      </c>
      <c r="F533" s="13" t="n">
        <v>2026</v>
      </c>
      <c r="G533" s="14" t="n">
        <v>70578.74438778749</v>
      </c>
      <c r="H533" s="14" t="n">
        <v>0</v>
      </c>
      <c r="I533" s="14" t="n">
        <v>7163.718337533989</v>
      </c>
      <c r="J533" s="14" t="n">
        <v>0</v>
      </c>
      <c r="K533" s="14" t="n">
        <v>63415.02605025349</v>
      </c>
      <c r="L533" s="14" t="n">
        <v>0</v>
      </c>
      <c r="M533" s="14" t="n">
        <v>0</v>
      </c>
      <c r="N533" s="14" t="n">
        <v>47482.10486130058</v>
      </c>
      <c r="O533" s="14" t="n">
        <v>70578.74438778749</v>
      </c>
      <c r="P533" s="14" t="n">
        <v>47482.10486130058</v>
      </c>
      <c r="Q533" s="14" t="n">
        <v>887933.4897022921</v>
      </c>
      <c r="R533" s="15">
        <f>IF(D533=1,"Section 1","Control")</f>
        <v/>
      </c>
      <c r="S533" s="16">
        <f>N533/10000</f>
        <v/>
      </c>
      <c r="T533" s="16">
        <f>P533/10000</f>
        <v/>
      </c>
      <c r="U533" s="15">
        <f>IF(N533&gt;=Summary!$D$3,1,0)</f>
        <v/>
      </c>
      <c r="V533" s="17">
        <f>IF(N533&gt;0,P533/N533,"")</f>
        <v/>
      </c>
      <c r="W533" s="17">
        <f>IF(O533&gt;0,H533/O533,"")</f>
        <v/>
      </c>
    </row>
    <row r="534">
      <c r="A534" s="13" t="inlineStr">
        <is>
          <t>T20_B1</t>
        </is>
      </c>
      <c r="B534" s="13" t="inlineStr">
        <is>
          <t>T20</t>
        </is>
      </c>
      <c r="C534" s="13" t="inlineStr">
        <is>
          <t>B1</t>
        </is>
      </c>
      <c r="D534" s="13" t="n">
        <v>1</v>
      </c>
      <c r="E534" s="13" t="inlineStr">
        <is>
          <t>S1</t>
        </is>
      </c>
      <c r="F534" s="13" t="n">
        <v>2020</v>
      </c>
      <c r="G534" s="14" t="n">
        <v>989440.0761580823</v>
      </c>
      <c r="H534" s="14" t="n">
        <v>806306.7482903278</v>
      </c>
      <c r="I534" s="14" t="n">
        <v>29357.35663164924</v>
      </c>
      <c r="J534" s="14" t="n">
        <v>0</v>
      </c>
      <c r="K534" s="14" t="n">
        <v>153775.9712361055</v>
      </c>
      <c r="L534" s="14" t="n">
        <v>0</v>
      </c>
      <c r="M534" s="14" t="n">
        <v>0</v>
      </c>
      <c r="N534" s="14" t="n">
        <v>806306.7482903278</v>
      </c>
      <c r="O534" s="14" t="n">
        <v>989440.0761580823</v>
      </c>
      <c r="P534" s="14" t="n">
        <v>0</v>
      </c>
      <c r="Q534" s="14" t="n">
        <v>11036732.20838348</v>
      </c>
      <c r="R534" s="15">
        <f>IF(D534=1,"Section 1","Control")</f>
        <v/>
      </c>
      <c r="S534" s="16">
        <f>N534/10000</f>
        <v/>
      </c>
      <c r="T534" s="16">
        <f>P534/10000</f>
        <v/>
      </c>
      <c r="U534" s="15">
        <f>IF(N534&gt;=Summary!$D$3,1,0)</f>
        <v/>
      </c>
      <c r="V534" s="17">
        <f>IF(N534&gt;0,P534/N534,"")</f>
        <v/>
      </c>
      <c r="W534" s="17">
        <f>IF(O534&gt;0,H534/O534,"")</f>
        <v/>
      </c>
    </row>
    <row r="535">
      <c r="A535" s="13" t="inlineStr">
        <is>
          <t>T20_B1</t>
        </is>
      </c>
      <c r="B535" s="13" t="inlineStr">
        <is>
          <t>T20</t>
        </is>
      </c>
      <c r="C535" s="13" t="inlineStr">
        <is>
          <t>B1</t>
        </is>
      </c>
      <c r="D535" s="13" t="n">
        <v>1</v>
      </c>
      <c r="E535" s="13" t="inlineStr">
        <is>
          <t>S1</t>
        </is>
      </c>
      <c r="F535" s="13" t="n">
        <v>2021</v>
      </c>
      <c r="G535" s="14" t="n">
        <v>989440.0761580823</v>
      </c>
      <c r="H535" s="14" t="n">
        <v>777190.6280934655</v>
      </c>
      <c r="I535" s="14" t="n">
        <v>23160.68971524706</v>
      </c>
      <c r="J535" s="14" t="n">
        <v>0</v>
      </c>
      <c r="K535" s="14" t="n">
        <v>189088.75834937</v>
      </c>
      <c r="L535" s="14" t="n">
        <v>0</v>
      </c>
      <c r="M535" s="14" t="n">
        <v>0</v>
      </c>
      <c r="N535" s="14" t="n">
        <v>806306.7482903278</v>
      </c>
      <c r="O535" s="14" t="n">
        <v>989440.0761580823</v>
      </c>
      <c r="P535" s="14" t="n">
        <v>31386.7327990962</v>
      </c>
      <c r="Q535" s="14" t="n">
        <v>11036732.20838348</v>
      </c>
      <c r="R535" s="15">
        <f>IF(D535=1,"Section 1","Control")</f>
        <v/>
      </c>
      <c r="S535" s="16">
        <f>N535/10000</f>
        <v/>
      </c>
      <c r="T535" s="16">
        <f>P535/10000</f>
        <v/>
      </c>
      <c r="U535" s="15">
        <f>IF(N535&gt;=Summary!$D$3,1,0)</f>
        <v/>
      </c>
      <c r="V535" s="17">
        <f>IF(N535&gt;0,P535/N535,"")</f>
        <v/>
      </c>
      <c r="W535" s="17">
        <f>IF(O535&gt;0,H535/O535,"")</f>
        <v/>
      </c>
    </row>
    <row r="536">
      <c r="A536" s="13" t="inlineStr">
        <is>
          <t>T20_B1</t>
        </is>
      </c>
      <c r="B536" s="13" t="inlineStr">
        <is>
          <t>T20</t>
        </is>
      </c>
      <c r="C536" s="13" t="inlineStr">
        <is>
          <t>B1</t>
        </is>
      </c>
      <c r="D536" s="13" t="n">
        <v>1</v>
      </c>
      <c r="E536" s="13" t="inlineStr">
        <is>
          <t>S1</t>
        </is>
      </c>
      <c r="F536" s="13" t="n">
        <v>2022</v>
      </c>
      <c r="G536" s="14" t="n">
        <v>989440.0761580823</v>
      </c>
      <c r="H536" s="14" t="n">
        <v>714776.463212137</v>
      </c>
      <c r="I536" s="14" t="n">
        <v>54905.96152948118</v>
      </c>
      <c r="J536" s="14" t="n">
        <v>0</v>
      </c>
      <c r="K536" s="14" t="n">
        <v>219757.6514164644</v>
      </c>
      <c r="L536" s="14" t="n">
        <v>0</v>
      </c>
      <c r="M536" s="14" t="n">
        <v>0</v>
      </c>
      <c r="N536" s="14" t="n">
        <v>806306.7482903277</v>
      </c>
      <c r="O536" s="14" t="n">
        <v>989440.0761580823</v>
      </c>
      <c r="P536" s="14" t="n">
        <v>93208.56472601798</v>
      </c>
      <c r="Q536" s="14" t="n">
        <v>11036732.20838348</v>
      </c>
      <c r="R536" s="15">
        <f>IF(D536=1,"Section 1","Control")</f>
        <v/>
      </c>
      <c r="S536" s="16">
        <f>N536/10000</f>
        <v/>
      </c>
      <c r="T536" s="16">
        <f>P536/10000</f>
        <v/>
      </c>
      <c r="U536" s="15">
        <f>IF(N536&gt;=Summary!$D$3,1,0)</f>
        <v/>
      </c>
      <c r="V536" s="17">
        <f>IF(N536&gt;0,P536/N536,"")</f>
        <v/>
      </c>
      <c r="W536" s="17">
        <f>IF(O536&gt;0,H536/O536,"")</f>
        <v/>
      </c>
    </row>
    <row r="537">
      <c r="A537" s="13" t="inlineStr">
        <is>
          <t>T20_B1</t>
        </is>
      </c>
      <c r="B537" s="13" t="inlineStr">
        <is>
          <t>T20</t>
        </is>
      </c>
      <c r="C537" s="13" t="inlineStr">
        <is>
          <t>B1</t>
        </is>
      </c>
      <c r="D537" s="13" t="n">
        <v>1</v>
      </c>
      <c r="E537" s="13" t="inlineStr">
        <is>
          <t>S1</t>
        </is>
      </c>
      <c r="F537" s="13" t="n">
        <v>2023</v>
      </c>
      <c r="G537" s="14" t="n">
        <v>989440.0761580823</v>
      </c>
      <c r="H537" s="14" t="n">
        <v>669626.418633465</v>
      </c>
      <c r="I537" s="14" t="n">
        <v>39497.10625936471</v>
      </c>
      <c r="J537" s="14" t="n">
        <v>0</v>
      </c>
      <c r="K537" s="14" t="n">
        <v>280316.5512652528</v>
      </c>
      <c r="L537" s="14" t="n">
        <v>0</v>
      </c>
      <c r="M537" s="14" t="n">
        <v>0</v>
      </c>
      <c r="N537" s="14" t="n">
        <v>806306.7482903277</v>
      </c>
      <c r="O537" s="14" t="n">
        <v>989440.0761580823</v>
      </c>
      <c r="P537" s="14" t="n">
        <v>137210.7204983281</v>
      </c>
      <c r="Q537" s="14" t="n">
        <v>11036732.20838348</v>
      </c>
      <c r="R537" s="15">
        <f>IF(D537=1,"Section 1","Control")</f>
        <v/>
      </c>
      <c r="S537" s="16">
        <f>N537/10000</f>
        <v/>
      </c>
      <c r="T537" s="16">
        <f>P537/10000</f>
        <v/>
      </c>
      <c r="U537" s="15">
        <f>IF(N537&gt;=Summary!$D$3,1,0)</f>
        <v/>
      </c>
      <c r="V537" s="17">
        <f>IF(N537&gt;0,P537/N537,"")</f>
        <v/>
      </c>
      <c r="W537" s="17">
        <f>IF(O537&gt;0,H537/O537,"")</f>
        <v/>
      </c>
    </row>
    <row r="538">
      <c r="A538" s="13" t="inlineStr">
        <is>
          <t>T20_B1</t>
        </is>
      </c>
      <c r="B538" s="13" t="inlineStr">
        <is>
          <t>T20</t>
        </is>
      </c>
      <c r="C538" s="13" t="inlineStr">
        <is>
          <t>B1</t>
        </is>
      </c>
      <c r="D538" s="13" t="n">
        <v>1</v>
      </c>
      <c r="E538" s="13" t="inlineStr">
        <is>
          <t>S1</t>
        </is>
      </c>
      <c r="F538" s="13" t="n">
        <v>2024</v>
      </c>
      <c r="G538" s="14" t="n">
        <v>989440.0761580823</v>
      </c>
      <c r="H538" s="14" t="n">
        <v>659617.5539002365</v>
      </c>
      <c r="I538" s="14" t="n">
        <v>32322.46677790624</v>
      </c>
      <c r="J538" s="14" t="n">
        <v>0</v>
      </c>
      <c r="K538" s="14" t="n">
        <v>297500.0554799397</v>
      </c>
      <c r="L538" s="14" t="n">
        <v>0</v>
      </c>
      <c r="M538" s="14" t="n">
        <v>0</v>
      </c>
      <c r="N538" s="14" t="n">
        <v>806306.7482903277</v>
      </c>
      <c r="O538" s="14" t="n">
        <v>989440.0761580823</v>
      </c>
      <c r="P538" s="14" t="n">
        <v>148663.6382148593</v>
      </c>
      <c r="Q538" s="14" t="n">
        <v>11036732.20838348</v>
      </c>
      <c r="R538" s="15">
        <f>IF(D538=1,"Section 1","Control")</f>
        <v/>
      </c>
      <c r="S538" s="16">
        <f>N538/10000</f>
        <v/>
      </c>
      <c r="T538" s="16">
        <f>P538/10000</f>
        <v/>
      </c>
      <c r="U538" s="15">
        <f>IF(N538&gt;=Summary!$D$3,1,0)</f>
        <v/>
      </c>
      <c r="V538" s="17">
        <f>IF(N538&gt;0,P538/N538,"")</f>
        <v/>
      </c>
      <c r="W538" s="17">
        <f>IF(O538&gt;0,H538/O538,"")</f>
        <v/>
      </c>
    </row>
    <row r="539">
      <c r="A539" s="13" t="inlineStr">
        <is>
          <t>T20_B1</t>
        </is>
      </c>
      <c r="B539" s="13" t="inlineStr">
        <is>
          <t>T20</t>
        </is>
      </c>
      <c r="C539" s="13" t="inlineStr">
        <is>
          <t>B1</t>
        </is>
      </c>
      <c r="D539" s="13" t="n">
        <v>1</v>
      </c>
      <c r="E539" s="13" t="inlineStr">
        <is>
          <t>S1</t>
        </is>
      </c>
      <c r="F539" s="13" t="n">
        <v>2025</v>
      </c>
      <c r="G539" s="14" t="n">
        <v>989440.0761580823</v>
      </c>
      <c r="H539" s="14" t="n">
        <v>650181.6647813388</v>
      </c>
      <c r="I539" s="14" t="n">
        <v>23609.7780967862</v>
      </c>
      <c r="J539" s="14" t="n">
        <v>0</v>
      </c>
      <c r="K539" s="14" t="n">
        <v>315648.6332799573</v>
      </c>
      <c r="L539" s="14" t="n">
        <v>0</v>
      </c>
      <c r="M539" s="14" t="n">
        <v>0</v>
      </c>
      <c r="N539" s="14" t="n">
        <v>806306.7482903277</v>
      </c>
      <c r="O539" s="14" t="n">
        <v>989440.0761580823</v>
      </c>
      <c r="P539" s="14" t="n">
        <v>158099.5298209396</v>
      </c>
      <c r="Q539" s="14" t="n">
        <v>11036732.20838348</v>
      </c>
      <c r="R539" s="15">
        <f>IF(D539=1,"Section 1","Control")</f>
        <v/>
      </c>
      <c r="S539" s="16">
        <f>N539/10000</f>
        <v/>
      </c>
      <c r="T539" s="16">
        <f>P539/10000</f>
        <v/>
      </c>
      <c r="U539" s="15">
        <f>IF(N539&gt;=Summary!$D$3,1,0)</f>
        <v/>
      </c>
      <c r="V539" s="17">
        <f>IF(N539&gt;0,P539/N539,"")</f>
        <v/>
      </c>
      <c r="W539" s="17">
        <f>IF(O539&gt;0,H539/O539,"")</f>
        <v/>
      </c>
    </row>
    <row r="540">
      <c r="A540" s="13" t="inlineStr">
        <is>
          <t>T20_B1</t>
        </is>
      </c>
      <c r="B540" s="13" t="inlineStr">
        <is>
          <t>T20</t>
        </is>
      </c>
      <c r="C540" s="13" t="inlineStr">
        <is>
          <t>B1</t>
        </is>
      </c>
      <c r="D540" s="13" t="n">
        <v>1</v>
      </c>
      <c r="E540" s="13" t="inlineStr">
        <is>
          <t>S1</t>
        </is>
      </c>
      <c r="F540" s="13" t="n">
        <v>2026</v>
      </c>
      <c r="G540" s="14" t="n">
        <v>989440.0761580823</v>
      </c>
      <c r="H540" s="14" t="n">
        <v>636712.5289516377</v>
      </c>
      <c r="I540" s="14" t="n">
        <v>19274.09061084822</v>
      </c>
      <c r="J540" s="14" t="n">
        <v>0</v>
      </c>
      <c r="K540" s="14" t="n">
        <v>333453.4565955966</v>
      </c>
      <c r="L540" s="14" t="n">
        <v>0</v>
      </c>
      <c r="M540" s="14" t="n">
        <v>0</v>
      </c>
      <c r="N540" s="14" t="n">
        <v>806306.7482903277</v>
      </c>
      <c r="O540" s="14" t="n">
        <v>989440.0761580823</v>
      </c>
      <c r="P540" s="14" t="n">
        <v>173297.6621263093</v>
      </c>
      <c r="Q540" s="14" t="n">
        <v>11036732.20838348</v>
      </c>
      <c r="R540" s="15">
        <f>IF(D540=1,"Section 1","Control")</f>
        <v/>
      </c>
      <c r="S540" s="16">
        <f>N540/10000</f>
        <v/>
      </c>
      <c r="T540" s="16">
        <f>P540/10000</f>
        <v/>
      </c>
      <c r="U540" s="15">
        <f>IF(N540&gt;=Summary!$D$3,1,0)</f>
        <v/>
      </c>
      <c r="V540" s="17">
        <f>IF(N540&gt;0,P540/N540,"")</f>
        <v/>
      </c>
      <c r="W540" s="17">
        <f>IF(O540&gt;0,H540/O540,"")</f>
        <v/>
      </c>
    </row>
    <row r="541">
      <c r="A541" s="13" t="inlineStr">
        <is>
          <t>T20_B2</t>
        </is>
      </c>
      <c r="B541" s="13" t="inlineStr">
        <is>
          <t>T20</t>
        </is>
      </c>
      <c r="C541" s="13" t="inlineStr">
        <is>
          <t>B2</t>
        </is>
      </c>
      <c r="D541" s="13" t="n">
        <v>1</v>
      </c>
      <c r="E541" s="13" t="inlineStr">
        <is>
          <t>S1</t>
        </is>
      </c>
      <c r="F541" s="13" t="n">
        <v>2020</v>
      </c>
      <c r="G541" s="14" t="n">
        <v>989465.8192725088</v>
      </c>
      <c r="H541" s="14" t="n">
        <v>495901.2582731658</v>
      </c>
      <c r="I541" s="14" t="n">
        <v>112647.8058399574</v>
      </c>
      <c r="J541" s="14" t="n">
        <v>34277.50591032739</v>
      </c>
      <c r="K541" s="14" t="n">
        <v>251447.3295480466</v>
      </c>
      <c r="L541" s="14" t="n">
        <v>95191.9197010115</v>
      </c>
      <c r="M541" s="14" t="n">
        <v>0</v>
      </c>
      <c r="N541" s="14" t="n">
        <v>495901.2582731658</v>
      </c>
      <c r="O541" s="14" t="n">
        <v>894273.8995714972</v>
      </c>
      <c r="P541" s="14" t="n">
        <v>0</v>
      </c>
      <c r="Q541" s="14" t="n">
        <v>9250363.463307699</v>
      </c>
      <c r="R541" s="15">
        <f>IF(D541=1,"Section 1","Control")</f>
        <v/>
      </c>
      <c r="S541" s="16">
        <f>N541/10000</f>
        <v/>
      </c>
      <c r="T541" s="16">
        <f>P541/10000</f>
        <v/>
      </c>
      <c r="U541" s="15">
        <f>IF(N541&gt;=Summary!$D$3,1,0)</f>
        <v/>
      </c>
      <c r="V541" s="17">
        <f>IF(N541&gt;0,P541/N541,"")</f>
        <v/>
      </c>
      <c r="W541" s="17">
        <f>IF(O541&gt;0,H541/O541,"")</f>
        <v/>
      </c>
    </row>
    <row r="542">
      <c r="A542" s="13" t="inlineStr">
        <is>
          <t>T20_B2</t>
        </is>
      </c>
      <c r="B542" s="13" t="inlineStr">
        <is>
          <t>T20</t>
        </is>
      </c>
      <c r="C542" s="13" t="inlineStr">
        <is>
          <t>B2</t>
        </is>
      </c>
      <c r="D542" s="13" t="n">
        <v>1</v>
      </c>
      <c r="E542" s="13" t="inlineStr">
        <is>
          <t>S1</t>
        </is>
      </c>
      <c r="F542" s="13" t="n">
        <v>2021</v>
      </c>
      <c r="G542" s="14" t="n">
        <v>989465.8192725088</v>
      </c>
      <c r="H542" s="14" t="n">
        <v>486653.8189413333</v>
      </c>
      <c r="I542" s="14" t="n">
        <v>118038.4711654962</v>
      </c>
      <c r="J542" s="14" t="n">
        <v>34178.78262083764</v>
      </c>
      <c r="K542" s="14" t="n">
        <v>250392.709592333</v>
      </c>
      <c r="L542" s="14" t="n">
        <v>100202.0369525087</v>
      </c>
      <c r="M542" s="14" t="n">
        <v>0</v>
      </c>
      <c r="N542" s="14" t="n">
        <v>495901.2582731658</v>
      </c>
      <c r="O542" s="14" t="n">
        <v>894273.8995714972</v>
      </c>
      <c r="P542" s="14" t="n">
        <v>9346.162064376533</v>
      </c>
      <c r="Q542" s="14" t="n">
        <v>9250363.463307699</v>
      </c>
      <c r="R542" s="15">
        <f>IF(D542=1,"Section 1","Control")</f>
        <v/>
      </c>
      <c r="S542" s="16">
        <f>N542/10000</f>
        <v/>
      </c>
      <c r="T542" s="16">
        <f>P542/10000</f>
        <v/>
      </c>
      <c r="U542" s="15">
        <f>IF(N542&gt;=Summary!$D$3,1,0)</f>
        <v/>
      </c>
      <c r="V542" s="17">
        <f>IF(N542&gt;0,P542/N542,"")</f>
        <v/>
      </c>
      <c r="W542" s="17">
        <f>IF(O542&gt;0,H542/O542,"")</f>
        <v/>
      </c>
    </row>
    <row r="543">
      <c r="A543" s="13" t="inlineStr">
        <is>
          <t>T20_B2</t>
        </is>
      </c>
      <c r="B543" s="13" t="inlineStr">
        <is>
          <t>T20</t>
        </is>
      </c>
      <c r="C543" s="13" t="inlineStr">
        <is>
          <t>B2</t>
        </is>
      </c>
      <c r="D543" s="13" t="n">
        <v>1</v>
      </c>
      <c r="E543" s="13" t="inlineStr">
        <is>
          <t>S1</t>
        </is>
      </c>
      <c r="F543" s="13" t="n">
        <v>2022</v>
      </c>
      <c r="G543" s="14" t="n">
        <v>989465.8192725088</v>
      </c>
      <c r="H543" s="14" t="n">
        <v>475881.6072847554</v>
      </c>
      <c r="I543" s="14" t="n">
        <v>122036.9749432433</v>
      </c>
      <c r="J543" s="14" t="n">
        <v>34474.9524587893</v>
      </c>
      <c r="K543" s="14" t="n">
        <v>263766.9501771216</v>
      </c>
      <c r="L543" s="14" t="n">
        <v>93305.33440859924</v>
      </c>
      <c r="M543" s="14" t="n">
        <v>0</v>
      </c>
      <c r="N543" s="14" t="n">
        <v>495901.2582731658</v>
      </c>
      <c r="O543" s="14" t="n">
        <v>894273.8995714972</v>
      </c>
      <c r="P543" s="14" t="n">
        <v>20365.76146258186</v>
      </c>
      <c r="Q543" s="14" t="n">
        <v>9250363.463307699</v>
      </c>
      <c r="R543" s="15">
        <f>IF(D543=1,"Section 1","Control")</f>
        <v/>
      </c>
      <c r="S543" s="16">
        <f>N543/10000</f>
        <v/>
      </c>
      <c r="T543" s="16">
        <f>P543/10000</f>
        <v/>
      </c>
      <c r="U543" s="15">
        <f>IF(N543&gt;=Summary!$D$3,1,0)</f>
        <v/>
      </c>
      <c r="V543" s="17">
        <f>IF(N543&gt;0,P543/N543,"")</f>
        <v/>
      </c>
      <c r="W543" s="17">
        <f>IF(O543&gt;0,H543/O543,"")</f>
        <v/>
      </c>
    </row>
    <row r="544">
      <c r="A544" s="13" t="inlineStr">
        <is>
          <t>T20_B2</t>
        </is>
      </c>
      <c r="B544" s="13" t="inlineStr">
        <is>
          <t>T20</t>
        </is>
      </c>
      <c r="C544" s="13" t="inlineStr">
        <is>
          <t>B2</t>
        </is>
      </c>
      <c r="D544" s="13" t="n">
        <v>1</v>
      </c>
      <c r="E544" s="13" t="inlineStr">
        <is>
          <t>S1</t>
        </is>
      </c>
      <c r="F544" s="13" t="n">
        <v>2023</v>
      </c>
      <c r="G544" s="14" t="n">
        <v>989465.8192725088</v>
      </c>
      <c r="H544" s="14" t="n">
        <v>390991.3504112693</v>
      </c>
      <c r="I544" s="14" t="n">
        <v>110625.7470522413</v>
      </c>
      <c r="J544" s="14" t="n">
        <v>35363.46192686792</v>
      </c>
      <c r="K544" s="14" t="n">
        <v>355639.81947198</v>
      </c>
      <c r="L544" s="14" t="n">
        <v>96845.44041015026</v>
      </c>
      <c r="M544" s="14" t="n">
        <v>0</v>
      </c>
      <c r="N544" s="14" t="n">
        <v>495901.2582731658</v>
      </c>
      <c r="O544" s="14" t="n">
        <v>894273.8995714972</v>
      </c>
      <c r="P544" s="14" t="n">
        <v>105107.3534261666</v>
      </c>
      <c r="Q544" s="14" t="n">
        <v>9250363.463307699</v>
      </c>
      <c r="R544" s="15">
        <f>IF(D544=1,"Section 1","Control")</f>
        <v/>
      </c>
      <c r="S544" s="16">
        <f>N544/10000</f>
        <v/>
      </c>
      <c r="T544" s="16">
        <f>P544/10000</f>
        <v/>
      </c>
      <c r="U544" s="15">
        <f>IF(N544&gt;=Summary!$D$3,1,0)</f>
        <v/>
      </c>
      <c r="V544" s="17">
        <f>IF(N544&gt;0,P544/N544,"")</f>
        <v/>
      </c>
      <c r="W544" s="17">
        <f>IF(O544&gt;0,H544/O544,"")</f>
        <v/>
      </c>
    </row>
    <row r="545">
      <c r="A545" s="13" t="inlineStr">
        <is>
          <t>T20_B2</t>
        </is>
      </c>
      <c r="B545" s="13" t="inlineStr">
        <is>
          <t>T20</t>
        </is>
      </c>
      <c r="C545" s="13" t="inlineStr">
        <is>
          <t>B2</t>
        </is>
      </c>
      <c r="D545" s="13" t="n">
        <v>1</v>
      </c>
      <c r="E545" s="13" t="inlineStr">
        <is>
          <t>S1</t>
        </is>
      </c>
      <c r="F545" s="13" t="n">
        <v>2024</v>
      </c>
      <c r="G545" s="14" t="n">
        <v>989465.8192725088</v>
      </c>
      <c r="H545" s="14" t="n">
        <v>389927.0685131896</v>
      </c>
      <c r="I545" s="14" t="n">
        <v>108827.4755334892</v>
      </c>
      <c r="J545" s="14" t="n">
        <v>35363.46192686792</v>
      </c>
      <c r="K545" s="14" t="n">
        <v>362782.3238196878</v>
      </c>
      <c r="L545" s="14" t="n">
        <v>92565.48947927436</v>
      </c>
      <c r="M545" s="14" t="n">
        <v>0</v>
      </c>
      <c r="N545" s="14" t="n">
        <v>495901.2582731658</v>
      </c>
      <c r="O545" s="14" t="n">
        <v>894273.8995714972</v>
      </c>
      <c r="P545" s="14" t="n">
        <v>105974.1897599763</v>
      </c>
      <c r="Q545" s="14" t="n">
        <v>9250363.463307699</v>
      </c>
      <c r="R545" s="15">
        <f>IF(D545=1,"Section 1","Control")</f>
        <v/>
      </c>
      <c r="S545" s="16">
        <f>N545/10000</f>
        <v/>
      </c>
      <c r="T545" s="16">
        <f>P545/10000</f>
        <v/>
      </c>
      <c r="U545" s="15">
        <f>IF(N545&gt;=Summary!$D$3,1,0)</f>
        <v/>
      </c>
      <c r="V545" s="17">
        <f>IF(N545&gt;0,P545/N545,"")</f>
        <v/>
      </c>
      <c r="W545" s="17">
        <f>IF(O545&gt;0,H545/O545,"")</f>
        <v/>
      </c>
    </row>
    <row r="546">
      <c r="A546" s="13" t="inlineStr">
        <is>
          <t>T20_B2</t>
        </is>
      </c>
      <c r="B546" s="13" t="inlineStr">
        <is>
          <t>T20</t>
        </is>
      </c>
      <c r="C546" s="13" t="inlineStr">
        <is>
          <t>B2</t>
        </is>
      </c>
      <c r="D546" s="13" t="n">
        <v>1</v>
      </c>
      <c r="E546" s="13" t="inlineStr">
        <is>
          <t>S1</t>
        </is>
      </c>
      <c r="F546" s="13" t="n">
        <v>2025</v>
      </c>
      <c r="G546" s="14" t="n">
        <v>989465.8192725088</v>
      </c>
      <c r="H546" s="14" t="n">
        <v>384463.0075221641</v>
      </c>
      <c r="I546" s="14" t="n">
        <v>94388.30733451096</v>
      </c>
      <c r="J546" s="14" t="n">
        <v>35560.90847532983</v>
      </c>
      <c r="K546" s="14" t="n">
        <v>371055.5468711105</v>
      </c>
      <c r="L546" s="14" t="n">
        <v>103998.0490693934</v>
      </c>
      <c r="M546" s="14" t="n">
        <v>0</v>
      </c>
      <c r="N546" s="14" t="n">
        <v>495901.2582731658</v>
      </c>
      <c r="O546" s="14" t="n">
        <v>894273.8995714973</v>
      </c>
      <c r="P546" s="14" t="n">
        <v>112164.9296350218</v>
      </c>
      <c r="Q546" s="14" t="n">
        <v>9250363.463307699</v>
      </c>
      <c r="R546" s="15">
        <f>IF(D546=1,"Section 1","Control")</f>
        <v/>
      </c>
      <c r="S546" s="16">
        <f>N546/10000</f>
        <v/>
      </c>
      <c r="T546" s="16">
        <f>P546/10000</f>
        <v/>
      </c>
      <c r="U546" s="15">
        <f>IF(N546&gt;=Summary!$D$3,1,0)</f>
        <v/>
      </c>
      <c r="V546" s="17">
        <f>IF(N546&gt;0,P546/N546,"")</f>
        <v/>
      </c>
      <c r="W546" s="17">
        <f>IF(O546&gt;0,H546/O546,"")</f>
        <v/>
      </c>
    </row>
    <row r="547">
      <c r="A547" s="13" t="inlineStr">
        <is>
          <t>T20_B2</t>
        </is>
      </c>
      <c r="B547" s="13" t="inlineStr">
        <is>
          <t>T20</t>
        </is>
      </c>
      <c r="C547" s="13" t="inlineStr">
        <is>
          <t>B2</t>
        </is>
      </c>
      <c r="D547" s="13" t="n">
        <v>1</v>
      </c>
      <c r="E547" s="13" t="inlineStr">
        <is>
          <t>S1</t>
        </is>
      </c>
      <c r="F547" s="13" t="n">
        <v>2026</v>
      </c>
      <c r="G547" s="14" t="n">
        <v>989465.8192725088</v>
      </c>
      <c r="H547" s="14" t="n">
        <v>381198.7426474479</v>
      </c>
      <c r="I547" s="14" t="n">
        <v>87380.1424426509</v>
      </c>
      <c r="J547" s="14" t="n">
        <v>35560.90847532983</v>
      </c>
      <c r="K547" s="14" t="n">
        <v>382413.9341801064</v>
      </c>
      <c r="L547" s="14" t="n">
        <v>102912.091526974</v>
      </c>
      <c r="M547" s="14" t="n">
        <v>0</v>
      </c>
      <c r="N547" s="14" t="n">
        <v>495901.2582731658</v>
      </c>
      <c r="O547" s="14" t="n">
        <v>894273.8995714972</v>
      </c>
      <c r="P547" s="14" t="n">
        <v>118275.1262997796</v>
      </c>
      <c r="Q547" s="14" t="n">
        <v>9250363.463307699</v>
      </c>
      <c r="R547" s="15">
        <f>IF(D547=1,"Section 1","Control")</f>
        <v/>
      </c>
      <c r="S547" s="16">
        <f>N547/10000</f>
        <v/>
      </c>
      <c r="T547" s="16">
        <f>P547/10000</f>
        <v/>
      </c>
      <c r="U547" s="15">
        <f>IF(N547&gt;=Summary!$D$3,1,0)</f>
        <v/>
      </c>
      <c r="V547" s="17">
        <f>IF(N547&gt;0,P547/N547,"")</f>
        <v/>
      </c>
      <c r="W547" s="17">
        <f>IF(O547&gt;0,H547/O547,"")</f>
        <v/>
      </c>
    </row>
    <row r="548">
      <c r="A548" s="13" t="inlineStr">
        <is>
          <t>T20_B3</t>
        </is>
      </c>
      <c r="B548" s="13" t="inlineStr">
        <is>
          <t>T20</t>
        </is>
      </c>
      <c r="C548" s="13" t="inlineStr">
        <is>
          <t>B3</t>
        </is>
      </c>
      <c r="D548" s="13" t="n">
        <v>1</v>
      </c>
      <c r="E548" s="13" t="inlineStr">
        <is>
          <t>S1</t>
        </is>
      </c>
      <c r="F548" s="13" t="n">
        <v>2020</v>
      </c>
      <c r="G548" s="14" t="n">
        <v>7613293.568556664</v>
      </c>
      <c r="H548" s="14" t="n">
        <v>1375200.784701418</v>
      </c>
      <c r="I548" s="14" t="n">
        <v>147016.7630868052</v>
      </c>
      <c r="J548" s="14" t="n">
        <v>0</v>
      </c>
      <c r="K548" s="14" t="n">
        <v>2208496.729943878</v>
      </c>
      <c r="L548" s="14" t="n">
        <v>3882579.290824561</v>
      </c>
      <c r="M548" s="14" t="n">
        <v>0</v>
      </c>
      <c r="N548" s="14" t="n">
        <v>1375200.784701418</v>
      </c>
      <c r="O548" s="14" t="n">
        <v>3730714.277732101</v>
      </c>
      <c r="P548" s="14" t="n">
        <v>0</v>
      </c>
      <c r="Q548" s="14" t="n">
        <v>31815724.34275829</v>
      </c>
      <c r="R548" s="15">
        <f>IF(D548=1,"Section 1","Control")</f>
        <v/>
      </c>
      <c r="S548" s="16">
        <f>N548/10000</f>
        <v/>
      </c>
      <c r="T548" s="16">
        <f>P548/10000</f>
        <v/>
      </c>
      <c r="U548" s="15">
        <f>IF(N548&gt;=Summary!$D$3,1,0)</f>
        <v/>
      </c>
      <c r="V548" s="17">
        <f>IF(N548&gt;0,P548/N548,"")</f>
        <v/>
      </c>
      <c r="W548" s="17">
        <f>IF(O548&gt;0,H548/O548,"")</f>
        <v/>
      </c>
    </row>
    <row r="549">
      <c r="A549" s="13" t="inlineStr">
        <is>
          <t>T20_B3</t>
        </is>
      </c>
      <c r="B549" s="13" t="inlineStr">
        <is>
          <t>T20</t>
        </is>
      </c>
      <c r="C549" s="13" t="inlineStr">
        <is>
          <t>B3</t>
        </is>
      </c>
      <c r="D549" s="13" t="n">
        <v>1</v>
      </c>
      <c r="E549" s="13" t="inlineStr">
        <is>
          <t>S1</t>
        </is>
      </c>
      <c r="F549" s="13" t="n">
        <v>2021</v>
      </c>
      <c r="G549" s="14" t="n">
        <v>7613293.568556664</v>
      </c>
      <c r="H549" s="14" t="n">
        <v>1137820.39236525</v>
      </c>
      <c r="I549" s="14" t="n">
        <v>116354.1750569961</v>
      </c>
      <c r="J549" s="14" t="n">
        <v>0</v>
      </c>
      <c r="K549" s="14" t="n">
        <v>2476539.710309855</v>
      </c>
      <c r="L549" s="14" t="n">
        <v>3882579.290824561</v>
      </c>
      <c r="M549" s="14" t="n">
        <v>0</v>
      </c>
      <c r="N549" s="14" t="n">
        <v>1375200.784701418</v>
      </c>
      <c r="O549" s="14" t="n">
        <v>3730714.2777321</v>
      </c>
      <c r="P549" s="14" t="n">
        <v>255534.6579815135</v>
      </c>
      <c r="Q549" s="14" t="n">
        <v>31815724.34275829</v>
      </c>
      <c r="R549" s="15">
        <f>IF(D549=1,"Section 1","Control")</f>
        <v/>
      </c>
      <c r="S549" s="16">
        <f>N549/10000</f>
        <v/>
      </c>
      <c r="T549" s="16">
        <f>P549/10000</f>
        <v/>
      </c>
      <c r="U549" s="15">
        <f>IF(N549&gt;=Summary!$D$3,1,0)</f>
        <v/>
      </c>
      <c r="V549" s="17">
        <f>IF(N549&gt;0,P549/N549,"")</f>
        <v/>
      </c>
      <c r="W549" s="17">
        <f>IF(O549&gt;0,H549/O549,"")</f>
        <v/>
      </c>
    </row>
    <row r="550">
      <c r="A550" s="13" t="inlineStr">
        <is>
          <t>T20_B3</t>
        </is>
      </c>
      <c r="B550" s="13" t="inlineStr">
        <is>
          <t>T20</t>
        </is>
      </c>
      <c r="C550" s="13" t="inlineStr">
        <is>
          <t>B3</t>
        </is>
      </c>
      <c r="D550" s="13" t="n">
        <v>1</v>
      </c>
      <c r="E550" s="13" t="inlineStr">
        <is>
          <t>S1</t>
        </is>
      </c>
      <c r="F550" s="13" t="n">
        <v>2022</v>
      </c>
      <c r="G550" s="14" t="n">
        <v>7613293.568556664</v>
      </c>
      <c r="H550" s="14" t="n">
        <v>739619.4668351116</v>
      </c>
      <c r="I550" s="14" t="n">
        <v>223801.1917797014</v>
      </c>
      <c r="J550" s="14" t="n">
        <v>0</v>
      </c>
      <c r="K550" s="14" t="n">
        <v>2767293.619117287</v>
      </c>
      <c r="L550" s="14" t="n">
        <v>3882579.290824561</v>
      </c>
      <c r="M550" s="14" t="n">
        <v>0</v>
      </c>
      <c r="N550" s="14" t="n">
        <v>1375200.784701418</v>
      </c>
      <c r="O550" s="14" t="n">
        <v>3730714.277732101</v>
      </c>
      <c r="P550" s="14" t="n">
        <v>647190.4747240255</v>
      </c>
      <c r="Q550" s="14" t="n">
        <v>31815724.34275829</v>
      </c>
      <c r="R550" s="15">
        <f>IF(D550=1,"Section 1","Control")</f>
        <v/>
      </c>
      <c r="S550" s="16">
        <f>N550/10000</f>
        <v/>
      </c>
      <c r="T550" s="16">
        <f>P550/10000</f>
        <v/>
      </c>
      <c r="U550" s="15">
        <f>IF(N550&gt;=Summary!$D$3,1,0)</f>
        <v/>
      </c>
      <c r="V550" s="17">
        <f>IF(N550&gt;0,P550/N550,"")</f>
        <v/>
      </c>
      <c r="W550" s="17">
        <f>IF(O550&gt;0,H550/O550,"")</f>
        <v/>
      </c>
    </row>
    <row r="551">
      <c r="A551" s="13" t="inlineStr">
        <is>
          <t>T20_B3</t>
        </is>
      </c>
      <c r="B551" s="13" t="inlineStr">
        <is>
          <t>T20</t>
        </is>
      </c>
      <c r="C551" s="13" t="inlineStr">
        <is>
          <t>B3</t>
        </is>
      </c>
      <c r="D551" s="13" t="n">
        <v>1</v>
      </c>
      <c r="E551" s="13" t="inlineStr">
        <is>
          <t>S1</t>
        </is>
      </c>
      <c r="F551" s="13" t="n">
        <v>2023</v>
      </c>
      <c r="G551" s="14" t="n">
        <v>7613293.568556664</v>
      </c>
      <c r="H551" s="14" t="n">
        <v>710663.6502136231</v>
      </c>
      <c r="I551" s="14" t="n">
        <v>184244.2656070784</v>
      </c>
      <c r="J551" s="14" t="n">
        <v>0</v>
      </c>
      <c r="K551" s="14" t="n">
        <v>2835806.3619114</v>
      </c>
      <c r="L551" s="14" t="n">
        <v>3882579.290824561</v>
      </c>
      <c r="M551" s="14" t="n">
        <v>0</v>
      </c>
      <c r="N551" s="14" t="n">
        <v>1375200.784701419</v>
      </c>
      <c r="O551" s="14" t="n">
        <v>3730714.277732101</v>
      </c>
      <c r="P551" s="14" t="n">
        <v>702318.2597486009</v>
      </c>
      <c r="Q551" s="14" t="n">
        <v>31815724.34275829</v>
      </c>
      <c r="R551" s="15">
        <f>IF(D551=1,"Section 1","Control")</f>
        <v/>
      </c>
      <c r="S551" s="16">
        <f>N551/10000</f>
        <v/>
      </c>
      <c r="T551" s="16">
        <f>P551/10000</f>
        <v/>
      </c>
      <c r="U551" s="15">
        <f>IF(N551&gt;=Summary!$D$3,1,0)</f>
        <v/>
      </c>
      <c r="V551" s="17">
        <f>IF(N551&gt;0,P551/N551,"")</f>
        <v/>
      </c>
      <c r="W551" s="17">
        <f>IF(O551&gt;0,H551/O551,"")</f>
        <v/>
      </c>
    </row>
    <row r="552">
      <c r="A552" s="13" t="inlineStr">
        <is>
          <t>T20_B3</t>
        </is>
      </c>
      <c r="B552" s="13" t="inlineStr">
        <is>
          <t>T20</t>
        </is>
      </c>
      <c r="C552" s="13" t="inlineStr">
        <is>
          <t>B3</t>
        </is>
      </c>
      <c r="D552" s="13" t="n">
        <v>1</v>
      </c>
      <c r="E552" s="13" t="inlineStr">
        <is>
          <t>S1</t>
        </is>
      </c>
      <c r="F552" s="13" t="n">
        <v>2024</v>
      </c>
      <c r="G552" s="14" t="n">
        <v>7613293.568556664</v>
      </c>
      <c r="H552" s="14" t="n">
        <v>735665.1316650989</v>
      </c>
      <c r="I552" s="14" t="n">
        <v>117958.4225543452</v>
      </c>
      <c r="J552" s="14" t="n">
        <v>0</v>
      </c>
      <c r="K552" s="14" t="n">
        <v>2877090.723512657</v>
      </c>
      <c r="L552" s="14" t="n">
        <v>3882579.290824561</v>
      </c>
      <c r="M552" s="14" t="n">
        <v>0</v>
      </c>
      <c r="N552" s="14" t="n">
        <v>1375200.784701419</v>
      </c>
      <c r="O552" s="14" t="n">
        <v>3730714.2777321</v>
      </c>
      <c r="P552" s="14" t="n">
        <v>707657.946820906</v>
      </c>
      <c r="Q552" s="14" t="n">
        <v>31815724.34275829</v>
      </c>
      <c r="R552" s="15">
        <f>IF(D552=1,"Section 1","Control")</f>
        <v/>
      </c>
      <c r="S552" s="16">
        <f>N552/10000</f>
        <v/>
      </c>
      <c r="T552" s="16">
        <f>P552/10000</f>
        <v/>
      </c>
      <c r="U552" s="15">
        <f>IF(N552&gt;=Summary!$D$3,1,0)</f>
        <v/>
      </c>
      <c r="V552" s="17">
        <f>IF(N552&gt;0,P552/N552,"")</f>
        <v/>
      </c>
      <c r="W552" s="17">
        <f>IF(O552&gt;0,H552/O552,"")</f>
        <v/>
      </c>
    </row>
    <row r="553">
      <c r="A553" s="13" t="inlineStr">
        <is>
          <t>T20_B3</t>
        </is>
      </c>
      <c r="B553" s="13" t="inlineStr">
        <is>
          <t>T20</t>
        </is>
      </c>
      <c r="C553" s="13" t="inlineStr">
        <is>
          <t>B3</t>
        </is>
      </c>
      <c r="D553" s="13" t="n">
        <v>1</v>
      </c>
      <c r="E553" s="13" t="inlineStr">
        <is>
          <t>S1</t>
        </is>
      </c>
      <c r="F553" s="13" t="n">
        <v>2025</v>
      </c>
      <c r="G553" s="14" t="n">
        <v>7613293.568556664</v>
      </c>
      <c r="H553" s="14" t="n">
        <v>660059.6294343837</v>
      </c>
      <c r="I553" s="14" t="n">
        <v>111001.4838915357</v>
      </c>
      <c r="J553" s="14" t="n">
        <v>0</v>
      </c>
      <c r="K553" s="14" t="n">
        <v>2959653.164406181</v>
      </c>
      <c r="L553" s="14" t="n">
        <v>3882579.290824561</v>
      </c>
      <c r="M553" s="14" t="n">
        <v>0</v>
      </c>
      <c r="N553" s="14" t="n">
        <v>1375200.784701418</v>
      </c>
      <c r="O553" s="14" t="n">
        <v>3730714.2777321</v>
      </c>
      <c r="P553" s="14" t="n">
        <v>774830.1279329486</v>
      </c>
      <c r="Q553" s="14" t="n">
        <v>31815724.3427583</v>
      </c>
      <c r="R553" s="15">
        <f>IF(D553=1,"Section 1","Control")</f>
        <v/>
      </c>
      <c r="S553" s="16">
        <f>N553/10000</f>
        <v/>
      </c>
      <c r="T553" s="16">
        <f>P553/10000</f>
        <v/>
      </c>
      <c r="U553" s="15">
        <f>IF(N553&gt;=Summary!$D$3,1,0)</f>
        <v/>
      </c>
      <c r="V553" s="17">
        <f>IF(N553&gt;0,P553/N553,"")</f>
        <v/>
      </c>
      <c r="W553" s="17">
        <f>IF(O553&gt;0,H553/O553,"")</f>
        <v/>
      </c>
    </row>
    <row r="554">
      <c r="A554" s="13" t="inlineStr">
        <is>
          <t>T20_B3</t>
        </is>
      </c>
      <c r="B554" s="13" t="inlineStr">
        <is>
          <t>T20</t>
        </is>
      </c>
      <c r="C554" s="13" t="inlineStr">
        <is>
          <t>B3</t>
        </is>
      </c>
      <c r="D554" s="13" t="n">
        <v>1</v>
      </c>
      <c r="E554" s="13" t="inlineStr">
        <is>
          <t>S1</t>
        </is>
      </c>
      <c r="F554" s="13" t="n">
        <v>2026</v>
      </c>
      <c r="G554" s="14" t="n">
        <v>7613293.568556664</v>
      </c>
      <c r="H554" s="14" t="n">
        <v>627471.6436267629</v>
      </c>
      <c r="I554" s="14" t="n">
        <v>85967.38994182511</v>
      </c>
      <c r="J554" s="14" t="n">
        <v>0</v>
      </c>
      <c r="K554" s="14" t="n">
        <v>3017275.244163512</v>
      </c>
      <c r="L554" s="14" t="n">
        <v>3882579.290824561</v>
      </c>
      <c r="M554" s="14" t="n">
        <v>0</v>
      </c>
      <c r="N554" s="14" t="n">
        <v>1375200.784701418</v>
      </c>
      <c r="O554" s="14" t="n">
        <v>3730714.2777321</v>
      </c>
      <c r="P554" s="14" t="n">
        <v>821958.774286068</v>
      </c>
      <c r="Q554" s="14" t="n">
        <v>31815724.34275829</v>
      </c>
      <c r="R554" s="15">
        <f>IF(D554=1,"Section 1","Control")</f>
        <v/>
      </c>
      <c r="S554" s="16">
        <f>N554/10000</f>
        <v/>
      </c>
      <c r="T554" s="16">
        <f>P554/10000</f>
        <v/>
      </c>
      <c r="U554" s="15">
        <f>IF(N554&gt;=Summary!$D$3,1,0)</f>
        <v/>
      </c>
      <c r="V554" s="17">
        <f>IF(N554&gt;0,P554/N554,"")</f>
        <v/>
      </c>
      <c r="W554" s="17">
        <f>IF(O554&gt;0,H554/O554,"")</f>
        <v/>
      </c>
    </row>
    <row r="555">
      <c r="A555" s="13" t="inlineStr">
        <is>
          <t>T20_F</t>
        </is>
      </c>
      <c r="B555" s="13" t="inlineStr">
        <is>
          <t>T20</t>
        </is>
      </c>
      <c r="C555" s="13" t="inlineStr">
        <is>
          <t>F</t>
        </is>
      </c>
      <c r="D555" s="13" t="n">
        <v>1</v>
      </c>
      <c r="E555" s="13" t="inlineStr">
        <is>
          <t>S1</t>
        </is>
      </c>
      <c r="F555" s="13" t="n">
        <v>2020</v>
      </c>
      <c r="G555" s="14" t="n">
        <v>65041.41960356469</v>
      </c>
      <c r="H555" s="14" t="n">
        <v>62487.42811437869</v>
      </c>
      <c r="I555" s="14" t="n">
        <v>1130.461665733188</v>
      </c>
      <c r="J555" s="14" t="n">
        <v>0</v>
      </c>
      <c r="K555" s="14" t="n">
        <v>1423.529823452819</v>
      </c>
      <c r="L555" s="14" t="n">
        <v>0</v>
      </c>
      <c r="M555" s="14" t="n">
        <v>0</v>
      </c>
      <c r="N555" s="14" t="n">
        <v>62487.42811437869</v>
      </c>
      <c r="O555" s="14" t="n">
        <v>65041.41960356469</v>
      </c>
      <c r="P555" s="14" t="n">
        <v>0</v>
      </c>
      <c r="Q555" s="14" t="n">
        <v>990354.8620023844</v>
      </c>
      <c r="R555" s="15">
        <f>IF(D555=1,"Section 1","Control")</f>
        <v/>
      </c>
      <c r="S555" s="16">
        <f>N555/10000</f>
        <v/>
      </c>
      <c r="T555" s="16">
        <f>P555/10000</f>
        <v/>
      </c>
      <c r="U555" s="15">
        <f>IF(N555&gt;=Summary!$D$3,1,0)</f>
        <v/>
      </c>
      <c r="V555" s="17">
        <f>IF(N555&gt;0,P555/N555,"")</f>
        <v/>
      </c>
      <c r="W555" s="17">
        <f>IF(O555&gt;0,H555/O555,"")</f>
        <v/>
      </c>
    </row>
    <row r="556">
      <c r="A556" s="13" t="inlineStr">
        <is>
          <t>T20_F</t>
        </is>
      </c>
      <c r="B556" s="13" t="inlineStr">
        <is>
          <t>T20</t>
        </is>
      </c>
      <c r="C556" s="13" t="inlineStr">
        <is>
          <t>F</t>
        </is>
      </c>
      <c r="D556" s="13" t="n">
        <v>1</v>
      </c>
      <c r="E556" s="13" t="inlineStr">
        <is>
          <t>S1</t>
        </is>
      </c>
      <c r="F556" s="13" t="n">
        <v>2021</v>
      </c>
      <c r="G556" s="14" t="n">
        <v>65041.41960356469</v>
      </c>
      <c r="H556" s="14" t="n">
        <v>63375.92446752811</v>
      </c>
      <c r="I556" s="14" t="n">
        <v>90.97895753149892</v>
      </c>
      <c r="J556" s="14" t="n">
        <v>0</v>
      </c>
      <c r="K556" s="14" t="n">
        <v>1574.516178505093</v>
      </c>
      <c r="L556" s="14" t="n">
        <v>0</v>
      </c>
      <c r="M556" s="14" t="n">
        <v>0</v>
      </c>
      <c r="N556" s="14" t="n">
        <v>62487.42811437869</v>
      </c>
      <c r="O556" s="14" t="n">
        <v>65041.41960356469</v>
      </c>
      <c r="P556" s="14" t="n">
        <v>0</v>
      </c>
      <c r="Q556" s="14" t="n">
        <v>990354.8620023844</v>
      </c>
      <c r="R556" s="15">
        <f>IF(D556=1,"Section 1","Control")</f>
        <v/>
      </c>
      <c r="S556" s="16">
        <f>N556/10000</f>
        <v/>
      </c>
      <c r="T556" s="16">
        <f>P556/10000</f>
        <v/>
      </c>
      <c r="U556" s="15">
        <f>IF(N556&gt;=Summary!$D$3,1,0)</f>
        <v/>
      </c>
      <c r="V556" s="17">
        <f>IF(N556&gt;0,P556/N556,"")</f>
        <v/>
      </c>
      <c r="W556" s="17">
        <f>IF(O556&gt;0,H556/O556,"")</f>
        <v/>
      </c>
    </row>
    <row r="557">
      <c r="A557" s="13" t="inlineStr">
        <is>
          <t>T20_F</t>
        </is>
      </c>
      <c r="B557" s="13" t="inlineStr">
        <is>
          <t>T20</t>
        </is>
      </c>
      <c r="C557" s="13" t="inlineStr">
        <is>
          <t>F</t>
        </is>
      </c>
      <c r="D557" s="13" t="n">
        <v>1</v>
      </c>
      <c r="E557" s="13" t="inlineStr">
        <is>
          <t>S1</t>
        </is>
      </c>
      <c r="F557" s="13" t="n">
        <v>2022</v>
      </c>
      <c r="G557" s="14" t="n">
        <v>65041.41960356469</v>
      </c>
      <c r="H557" s="14" t="n">
        <v>58251.68250041289</v>
      </c>
      <c r="I557" s="14" t="n">
        <v>662.4040322995653</v>
      </c>
      <c r="J557" s="14" t="n">
        <v>0</v>
      </c>
      <c r="K557" s="14" t="n">
        <v>6127.333070852243</v>
      </c>
      <c r="L557" s="14" t="n">
        <v>0</v>
      </c>
      <c r="M557" s="14" t="n">
        <v>0</v>
      </c>
      <c r="N557" s="14" t="n">
        <v>62487.42811437869</v>
      </c>
      <c r="O557" s="14" t="n">
        <v>65041.41960356469</v>
      </c>
      <c r="P557" s="14" t="n">
        <v>4630.632874402813</v>
      </c>
      <c r="Q557" s="14" t="n">
        <v>990354.8620023844</v>
      </c>
      <c r="R557" s="15">
        <f>IF(D557=1,"Section 1","Control")</f>
        <v/>
      </c>
      <c r="S557" s="16">
        <f>N557/10000</f>
        <v/>
      </c>
      <c r="T557" s="16">
        <f>P557/10000</f>
        <v/>
      </c>
      <c r="U557" s="15">
        <f>IF(N557&gt;=Summary!$D$3,1,0)</f>
        <v/>
      </c>
      <c r="V557" s="17">
        <f>IF(N557&gt;0,P557/N557,"")</f>
        <v/>
      </c>
      <c r="W557" s="17">
        <f>IF(O557&gt;0,H557/O557,"")</f>
        <v/>
      </c>
    </row>
    <row r="558">
      <c r="A558" s="13" t="inlineStr">
        <is>
          <t>T20_F</t>
        </is>
      </c>
      <c r="B558" s="13" t="inlineStr">
        <is>
          <t>T20</t>
        </is>
      </c>
      <c r="C558" s="13" t="inlineStr">
        <is>
          <t>F</t>
        </is>
      </c>
      <c r="D558" s="13" t="n">
        <v>1</v>
      </c>
      <c r="E558" s="13" t="inlineStr">
        <is>
          <t>S1</t>
        </is>
      </c>
      <c r="F558" s="13" t="n">
        <v>2023</v>
      </c>
      <c r="G558" s="14" t="n">
        <v>65041.4196035647</v>
      </c>
      <c r="H558" s="14" t="n">
        <v>58732.12861764945</v>
      </c>
      <c r="I558" s="14" t="n">
        <v>1671.302446073644</v>
      </c>
      <c r="J558" s="14" t="n">
        <v>0</v>
      </c>
      <c r="K558" s="14" t="n">
        <v>4637.988539841595</v>
      </c>
      <c r="L558" s="14" t="n">
        <v>0</v>
      </c>
      <c r="M558" s="14" t="n">
        <v>0</v>
      </c>
      <c r="N558" s="14" t="n">
        <v>62487.42811437869</v>
      </c>
      <c r="O558" s="14" t="n">
        <v>65041.4196035647</v>
      </c>
      <c r="P558" s="14" t="n">
        <v>4409.186343832577</v>
      </c>
      <c r="Q558" s="14" t="n">
        <v>990354.8620023844</v>
      </c>
      <c r="R558" s="15">
        <f>IF(D558=1,"Section 1","Control")</f>
        <v/>
      </c>
      <c r="S558" s="16">
        <f>N558/10000</f>
        <v/>
      </c>
      <c r="T558" s="16">
        <f>P558/10000</f>
        <v/>
      </c>
      <c r="U558" s="15">
        <f>IF(N558&gt;=Summary!$D$3,1,0)</f>
        <v/>
      </c>
      <c r="V558" s="17">
        <f>IF(N558&gt;0,P558/N558,"")</f>
        <v/>
      </c>
      <c r="W558" s="17">
        <f>IF(O558&gt;0,H558/O558,"")</f>
        <v/>
      </c>
    </row>
    <row r="559">
      <c r="A559" s="13" t="inlineStr">
        <is>
          <t>T20_F</t>
        </is>
      </c>
      <c r="B559" s="13" t="inlineStr">
        <is>
          <t>T20</t>
        </is>
      </c>
      <c r="C559" s="13" t="inlineStr">
        <is>
          <t>F</t>
        </is>
      </c>
      <c r="D559" s="13" t="n">
        <v>1</v>
      </c>
      <c r="E559" s="13" t="inlineStr">
        <is>
          <t>S1</t>
        </is>
      </c>
      <c r="F559" s="13" t="n">
        <v>2024</v>
      </c>
      <c r="G559" s="14" t="n">
        <v>65041.41960356469</v>
      </c>
      <c r="H559" s="14" t="n">
        <v>57109.21918029786</v>
      </c>
      <c r="I559" s="14" t="n">
        <v>1809.125723954743</v>
      </c>
      <c r="J559" s="14" t="n">
        <v>0</v>
      </c>
      <c r="K559" s="14" t="n">
        <v>6123.074699312097</v>
      </c>
      <c r="L559" s="14" t="n">
        <v>0</v>
      </c>
      <c r="M559" s="14" t="n">
        <v>0</v>
      </c>
      <c r="N559" s="14" t="n">
        <v>62487.42811437869</v>
      </c>
      <c r="O559" s="14" t="n">
        <v>65041.41960356469</v>
      </c>
      <c r="P559" s="14" t="n">
        <v>5476.930712950463</v>
      </c>
      <c r="Q559" s="14" t="n">
        <v>990354.8620023844</v>
      </c>
      <c r="R559" s="15">
        <f>IF(D559=1,"Section 1","Control")</f>
        <v/>
      </c>
      <c r="S559" s="16">
        <f>N559/10000</f>
        <v/>
      </c>
      <c r="T559" s="16">
        <f>P559/10000</f>
        <v/>
      </c>
      <c r="U559" s="15">
        <f>IF(N559&gt;=Summary!$D$3,1,0)</f>
        <v/>
      </c>
      <c r="V559" s="17">
        <f>IF(N559&gt;0,P559/N559,"")</f>
        <v/>
      </c>
      <c r="W559" s="17">
        <f>IF(O559&gt;0,H559/O559,"")</f>
        <v/>
      </c>
    </row>
    <row r="560">
      <c r="A560" s="13" t="inlineStr">
        <is>
          <t>T20_F</t>
        </is>
      </c>
      <c r="B560" s="13" t="inlineStr">
        <is>
          <t>T20</t>
        </is>
      </c>
      <c r="C560" s="13" t="inlineStr">
        <is>
          <t>F</t>
        </is>
      </c>
      <c r="D560" s="13" t="n">
        <v>1</v>
      </c>
      <c r="E560" s="13" t="inlineStr">
        <is>
          <t>S1</t>
        </is>
      </c>
      <c r="F560" s="13" t="n">
        <v>2025</v>
      </c>
      <c r="G560" s="14" t="n">
        <v>65041.4196035647</v>
      </c>
      <c r="H560" s="14" t="n">
        <v>35003.6625790166</v>
      </c>
      <c r="I560" s="14" t="n">
        <v>1930.688949764476</v>
      </c>
      <c r="J560" s="14" t="n">
        <v>0</v>
      </c>
      <c r="K560" s="14" t="n">
        <v>28107.06807478362</v>
      </c>
      <c r="L560" s="14" t="n">
        <v>0</v>
      </c>
      <c r="M560" s="14" t="n">
        <v>0</v>
      </c>
      <c r="N560" s="14" t="n">
        <v>62487.42811437869</v>
      </c>
      <c r="O560" s="14" t="n">
        <v>65041.4196035647</v>
      </c>
      <c r="P560" s="14" t="n">
        <v>27681.20913124832</v>
      </c>
      <c r="Q560" s="14" t="n">
        <v>990354.8620023844</v>
      </c>
      <c r="R560" s="15">
        <f>IF(D560=1,"Section 1","Control")</f>
        <v/>
      </c>
      <c r="S560" s="16">
        <f>N560/10000</f>
        <v/>
      </c>
      <c r="T560" s="16">
        <f>P560/10000</f>
        <v/>
      </c>
      <c r="U560" s="15">
        <f>IF(N560&gt;=Summary!$D$3,1,0)</f>
        <v/>
      </c>
      <c r="V560" s="17">
        <f>IF(N560&gt;0,P560/N560,"")</f>
        <v/>
      </c>
      <c r="W560" s="17">
        <f>IF(O560&gt;0,H560/O560,"")</f>
        <v/>
      </c>
    </row>
    <row r="561">
      <c r="A561" s="13" t="inlineStr">
        <is>
          <t>T20_F</t>
        </is>
      </c>
      <c r="B561" s="13" t="inlineStr">
        <is>
          <t>T20</t>
        </is>
      </c>
      <c r="C561" s="13" t="inlineStr">
        <is>
          <t>F</t>
        </is>
      </c>
      <c r="D561" s="13" t="n">
        <v>1</v>
      </c>
      <c r="E561" s="13" t="inlineStr">
        <is>
          <t>S1</t>
        </is>
      </c>
      <c r="F561" s="13" t="n">
        <v>2026</v>
      </c>
      <c r="G561" s="14" t="n">
        <v>65041.4196035647</v>
      </c>
      <c r="H561" s="14" t="n">
        <v>143.2435244092754</v>
      </c>
      <c r="I561" s="14" t="n">
        <v>5728.575274927476</v>
      </c>
      <c r="J561" s="14" t="n">
        <v>0</v>
      </c>
      <c r="K561" s="14" t="n">
        <v>59169.60080422796</v>
      </c>
      <c r="L561" s="14" t="n">
        <v>0</v>
      </c>
      <c r="M561" s="14" t="n">
        <v>0</v>
      </c>
      <c r="N561" s="14" t="n">
        <v>62487.42811437869</v>
      </c>
      <c r="O561" s="14" t="n">
        <v>65041.4196035647</v>
      </c>
      <c r="P561" s="14" t="n">
        <v>62344.18458996942</v>
      </c>
      <c r="Q561" s="14" t="n">
        <v>990354.8620023844</v>
      </c>
      <c r="R561" s="15">
        <f>IF(D561=1,"Section 1","Control")</f>
        <v/>
      </c>
      <c r="S561" s="16">
        <f>N561/10000</f>
        <v/>
      </c>
      <c r="T561" s="16">
        <f>P561/10000</f>
        <v/>
      </c>
      <c r="U561" s="15">
        <f>IF(N561&gt;=Summary!$D$3,1,0)</f>
        <v/>
      </c>
      <c r="V561" s="17">
        <f>IF(N561&gt;0,P561/N561,"")</f>
        <v/>
      </c>
      <c r="W561" s="17">
        <f>IF(O561&gt;0,H561/O561,"")</f>
        <v/>
      </c>
    </row>
    <row r="562">
      <c r="A562" s="13" t="inlineStr">
        <is>
          <t>T21_B1</t>
        </is>
      </c>
      <c r="B562" s="13" t="inlineStr">
        <is>
          <t>T21</t>
        </is>
      </c>
      <c r="C562" s="13" t="inlineStr">
        <is>
          <t>B1</t>
        </is>
      </c>
      <c r="D562" s="13" t="n">
        <v>1</v>
      </c>
      <c r="E562" s="13" t="inlineStr">
        <is>
          <t>S1</t>
        </is>
      </c>
      <c r="F562" s="13" t="n">
        <v>2020</v>
      </c>
      <c r="G562" s="14" t="n">
        <v>1000907.834934369</v>
      </c>
      <c r="H562" s="14" t="n">
        <v>797789.9201581469</v>
      </c>
      <c r="I562" s="14" t="n">
        <v>27988.39731711593</v>
      </c>
      <c r="J562" s="14" t="n">
        <v>0</v>
      </c>
      <c r="K562" s="14" t="n">
        <v>175129.5174591065</v>
      </c>
      <c r="L562" s="14" t="n">
        <v>0</v>
      </c>
      <c r="M562" s="14" t="n">
        <v>0</v>
      </c>
      <c r="N562" s="14" t="n">
        <v>797789.9201581469</v>
      </c>
      <c r="O562" s="14" t="n">
        <v>1000907.834934369</v>
      </c>
      <c r="P562" s="14" t="n">
        <v>0</v>
      </c>
      <c r="Q562" s="14" t="n">
        <v>10133849.85760714</v>
      </c>
      <c r="R562" s="15">
        <f>IF(D562=1,"Section 1","Control")</f>
        <v/>
      </c>
      <c r="S562" s="16">
        <f>N562/10000</f>
        <v/>
      </c>
      <c r="T562" s="16">
        <f>P562/10000</f>
        <v/>
      </c>
      <c r="U562" s="15">
        <f>IF(N562&gt;=Summary!$D$3,1,0)</f>
        <v/>
      </c>
      <c r="V562" s="17">
        <f>IF(N562&gt;0,P562/N562,"")</f>
        <v/>
      </c>
      <c r="W562" s="17">
        <f>IF(O562&gt;0,H562/O562,"")</f>
        <v/>
      </c>
    </row>
    <row r="563">
      <c r="A563" s="13" t="inlineStr">
        <is>
          <t>T21_B1</t>
        </is>
      </c>
      <c r="B563" s="13" t="inlineStr">
        <is>
          <t>T21</t>
        </is>
      </c>
      <c r="C563" s="13" t="inlineStr">
        <is>
          <t>B1</t>
        </is>
      </c>
      <c r="D563" s="13" t="n">
        <v>1</v>
      </c>
      <c r="E563" s="13" t="inlineStr">
        <is>
          <t>S1</t>
        </is>
      </c>
      <c r="F563" s="13" t="n">
        <v>2021</v>
      </c>
      <c r="G563" s="14" t="n">
        <v>1000907.834934369</v>
      </c>
      <c r="H563" s="14" t="n">
        <v>760667.1919392603</v>
      </c>
      <c r="I563" s="14" t="n">
        <v>28397.62232480516</v>
      </c>
      <c r="J563" s="14" t="n">
        <v>0</v>
      </c>
      <c r="K563" s="14" t="n">
        <v>211843.0206703036</v>
      </c>
      <c r="L563" s="14" t="n">
        <v>0</v>
      </c>
      <c r="M563" s="14" t="n">
        <v>0</v>
      </c>
      <c r="N563" s="14" t="n">
        <v>797789.9201581469</v>
      </c>
      <c r="O563" s="14" t="n">
        <v>1000907.834934369</v>
      </c>
      <c r="P563" s="14" t="n">
        <v>39774.68054639032</v>
      </c>
      <c r="Q563" s="14" t="n">
        <v>10133849.85760714</v>
      </c>
      <c r="R563" s="15">
        <f>IF(D563=1,"Section 1","Control")</f>
        <v/>
      </c>
      <c r="S563" s="16">
        <f>N563/10000</f>
        <v/>
      </c>
      <c r="T563" s="16">
        <f>P563/10000</f>
        <v/>
      </c>
      <c r="U563" s="15">
        <f>IF(N563&gt;=Summary!$D$3,1,0)</f>
        <v/>
      </c>
      <c r="V563" s="17">
        <f>IF(N563&gt;0,P563/N563,"")</f>
        <v/>
      </c>
      <c r="W563" s="17">
        <f>IF(O563&gt;0,H563/O563,"")</f>
        <v/>
      </c>
    </row>
    <row r="564">
      <c r="A564" s="13" t="inlineStr">
        <is>
          <t>T21_B1</t>
        </is>
      </c>
      <c r="B564" s="13" t="inlineStr">
        <is>
          <t>T21</t>
        </is>
      </c>
      <c r="C564" s="13" t="inlineStr">
        <is>
          <t>B1</t>
        </is>
      </c>
      <c r="D564" s="13" t="n">
        <v>1</v>
      </c>
      <c r="E564" s="13" t="inlineStr">
        <is>
          <t>S1</t>
        </is>
      </c>
      <c r="F564" s="13" t="n">
        <v>2022</v>
      </c>
      <c r="G564" s="14" t="n">
        <v>1000907.834934369</v>
      </c>
      <c r="H564" s="14" t="n">
        <v>724799.9748803828</v>
      </c>
      <c r="I564" s="14" t="n">
        <v>54492.89599729051</v>
      </c>
      <c r="J564" s="14" t="n">
        <v>0</v>
      </c>
      <c r="K564" s="14" t="n">
        <v>221614.9640566957</v>
      </c>
      <c r="L564" s="14" t="n">
        <v>0</v>
      </c>
      <c r="M564" s="14" t="n">
        <v>0</v>
      </c>
      <c r="N564" s="14" t="n">
        <v>797789.9201581469</v>
      </c>
      <c r="O564" s="14" t="n">
        <v>1000907.834934369</v>
      </c>
      <c r="P564" s="14" t="n">
        <v>75938.06594785802</v>
      </c>
      <c r="Q564" s="14" t="n">
        <v>10133849.85760714</v>
      </c>
      <c r="R564" s="15">
        <f>IF(D564=1,"Section 1","Control")</f>
        <v/>
      </c>
      <c r="S564" s="16">
        <f>N564/10000</f>
        <v/>
      </c>
      <c r="T564" s="16">
        <f>P564/10000</f>
        <v/>
      </c>
      <c r="U564" s="15">
        <f>IF(N564&gt;=Summary!$D$3,1,0)</f>
        <v/>
      </c>
      <c r="V564" s="17">
        <f>IF(N564&gt;0,P564/N564,"")</f>
        <v/>
      </c>
      <c r="W564" s="17">
        <f>IF(O564&gt;0,H564/O564,"")</f>
        <v/>
      </c>
    </row>
    <row r="565">
      <c r="A565" s="13" t="inlineStr">
        <is>
          <t>T21_B1</t>
        </is>
      </c>
      <c r="B565" s="13" t="inlineStr">
        <is>
          <t>T21</t>
        </is>
      </c>
      <c r="C565" s="13" t="inlineStr">
        <is>
          <t>B1</t>
        </is>
      </c>
      <c r="D565" s="13" t="n">
        <v>1</v>
      </c>
      <c r="E565" s="13" t="inlineStr">
        <is>
          <t>S1</t>
        </is>
      </c>
      <c r="F565" s="13" t="n">
        <v>2023</v>
      </c>
      <c r="G565" s="14" t="n">
        <v>1000907.834934369</v>
      </c>
      <c r="H565" s="14" t="n">
        <v>718383.0249597285</v>
      </c>
      <c r="I565" s="14" t="n">
        <v>34835.88616790772</v>
      </c>
      <c r="J565" s="14" t="n">
        <v>0</v>
      </c>
      <c r="K565" s="14" t="n">
        <v>247688.9238067328</v>
      </c>
      <c r="L565" s="14" t="n">
        <v>0</v>
      </c>
      <c r="M565" s="14" t="n">
        <v>0</v>
      </c>
      <c r="N565" s="14" t="n">
        <v>797789.9201581469</v>
      </c>
      <c r="O565" s="14" t="n">
        <v>1000907.834934369</v>
      </c>
      <c r="P565" s="14" t="n">
        <v>82157.57202848546</v>
      </c>
      <c r="Q565" s="14" t="n">
        <v>10133849.85760714</v>
      </c>
      <c r="R565" s="15">
        <f>IF(D565=1,"Section 1","Control")</f>
        <v/>
      </c>
      <c r="S565" s="16">
        <f>N565/10000</f>
        <v/>
      </c>
      <c r="T565" s="16">
        <f>P565/10000</f>
        <v/>
      </c>
      <c r="U565" s="15">
        <f>IF(N565&gt;=Summary!$D$3,1,0)</f>
        <v/>
      </c>
      <c r="V565" s="17">
        <f>IF(N565&gt;0,P565/N565,"")</f>
        <v/>
      </c>
      <c r="W565" s="17">
        <f>IF(O565&gt;0,H565/O565,"")</f>
        <v/>
      </c>
    </row>
    <row r="566">
      <c r="A566" s="13" t="inlineStr">
        <is>
          <t>T21_B1</t>
        </is>
      </c>
      <c r="B566" s="13" t="inlineStr">
        <is>
          <t>T21</t>
        </is>
      </c>
      <c r="C566" s="13" t="inlineStr">
        <is>
          <t>B1</t>
        </is>
      </c>
      <c r="D566" s="13" t="n">
        <v>1</v>
      </c>
      <c r="E566" s="13" t="inlineStr">
        <is>
          <t>S1</t>
        </is>
      </c>
      <c r="F566" s="13" t="n">
        <v>2024</v>
      </c>
      <c r="G566" s="14" t="n">
        <v>1000907.834934369</v>
      </c>
      <c r="H566" s="14" t="n">
        <v>715125.1998712275</v>
      </c>
      <c r="I566" s="14" t="n">
        <v>28373.62286260268</v>
      </c>
      <c r="J566" s="14" t="n">
        <v>0</v>
      </c>
      <c r="K566" s="14" t="n">
        <v>257409.0122005388</v>
      </c>
      <c r="L566" s="14" t="n">
        <v>0</v>
      </c>
      <c r="M566" s="14" t="n">
        <v>0</v>
      </c>
      <c r="N566" s="14" t="n">
        <v>797789.9201581469</v>
      </c>
      <c r="O566" s="14" t="n">
        <v>1000907.834934369</v>
      </c>
      <c r="P566" s="14" t="n">
        <v>86698.78483518712</v>
      </c>
      <c r="Q566" s="14" t="n">
        <v>10133849.85760714</v>
      </c>
      <c r="R566" s="15">
        <f>IF(D566=1,"Section 1","Control")</f>
        <v/>
      </c>
      <c r="S566" s="16">
        <f>N566/10000</f>
        <v/>
      </c>
      <c r="T566" s="16">
        <f>P566/10000</f>
        <v/>
      </c>
      <c r="U566" s="15">
        <f>IF(N566&gt;=Summary!$D$3,1,0)</f>
        <v/>
      </c>
      <c r="V566" s="17">
        <f>IF(N566&gt;0,P566/N566,"")</f>
        <v/>
      </c>
      <c r="W566" s="17">
        <f>IF(O566&gt;0,H566/O566,"")</f>
        <v/>
      </c>
    </row>
    <row r="567">
      <c r="A567" s="13" t="inlineStr">
        <is>
          <t>T21_B1</t>
        </is>
      </c>
      <c r="B567" s="13" t="inlineStr">
        <is>
          <t>T21</t>
        </is>
      </c>
      <c r="C567" s="13" t="inlineStr">
        <is>
          <t>B1</t>
        </is>
      </c>
      <c r="D567" s="13" t="n">
        <v>1</v>
      </c>
      <c r="E567" s="13" t="inlineStr">
        <is>
          <t>S1</t>
        </is>
      </c>
      <c r="F567" s="13" t="n">
        <v>2025</v>
      </c>
      <c r="G567" s="14" t="n">
        <v>1000907.834934369</v>
      </c>
      <c r="H567" s="14" t="n">
        <v>712484.4590976191</v>
      </c>
      <c r="I567" s="14" t="n">
        <v>28290.78658216888</v>
      </c>
      <c r="J567" s="14" t="n">
        <v>0</v>
      </c>
      <c r="K567" s="14" t="n">
        <v>260132.5892545812</v>
      </c>
      <c r="L567" s="14" t="n">
        <v>0</v>
      </c>
      <c r="M567" s="14" t="n">
        <v>0</v>
      </c>
      <c r="N567" s="14" t="n">
        <v>797789.9201581468</v>
      </c>
      <c r="O567" s="14" t="n">
        <v>1000907.834934369</v>
      </c>
      <c r="P567" s="14" t="n">
        <v>91042.58624967688</v>
      </c>
      <c r="Q567" s="14" t="n">
        <v>10133849.85760714</v>
      </c>
      <c r="R567" s="15">
        <f>IF(D567=1,"Section 1","Control")</f>
        <v/>
      </c>
      <c r="S567" s="16">
        <f>N567/10000</f>
        <v/>
      </c>
      <c r="T567" s="16">
        <f>P567/10000</f>
        <v/>
      </c>
      <c r="U567" s="15">
        <f>IF(N567&gt;=Summary!$D$3,1,0)</f>
        <v/>
      </c>
      <c r="V567" s="17">
        <f>IF(N567&gt;0,P567/N567,"")</f>
        <v/>
      </c>
      <c r="W567" s="17">
        <f>IF(O567&gt;0,H567/O567,"")</f>
        <v/>
      </c>
    </row>
    <row r="568">
      <c r="A568" s="13" t="inlineStr">
        <is>
          <t>T21_B1</t>
        </is>
      </c>
      <c r="B568" s="13" t="inlineStr">
        <is>
          <t>T21</t>
        </is>
      </c>
      <c r="C568" s="13" t="inlineStr">
        <is>
          <t>B1</t>
        </is>
      </c>
      <c r="D568" s="13" t="n">
        <v>1</v>
      </c>
      <c r="E568" s="13" t="inlineStr">
        <is>
          <t>S1</t>
        </is>
      </c>
      <c r="F568" s="13" t="n">
        <v>2026</v>
      </c>
      <c r="G568" s="14" t="n">
        <v>1000907.834934369</v>
      </c>
      <c r="H568" s="14" t="n">
        <v>683188.7964613372</v>
      </c>
      <c r="I568" s="14" t="n">
        <v>17224.18373395134</v>
      </c>
      <c r="J568" s="14" t="n">
        <v>0</v>
      </c>
      <c r="K568" s="14" t="n">
        <v>300494.8547390805</v>
      </c>
      <c r="L568" s="14" t="n">
        <v>0</v>
      </c>
      <c r="M568" s="14" t="n">
        <v>0</v>
      </c>
      <c r="N568" s="14" t="n">
        <v>797789.9201581469</v>
      </c>
      <c r="O568" s="14" t="n">
        <v>1000907.834934369</v>
      </c>
      <c r="P568" s="14" t="n">
        <v>119748.2413230447</v>
      </c>
      <c r="Q568" s="14" t="n">
        <v>10133849.85760714</v>
      </c>
      <c r="R568" s="15">
        <f>IF(D568=1,"Section 1","Control")</f>
        <v/>
      </c>
      <c r="S568" s="16">
        <f>N568/10000</f>
        <v/>
      </c>
      <c r="T568" s="16">
        <f>P568/10000</f>
        <v/>
      </c>
      <c r="U568" s="15">
        <f>IF(N568&gt;=Summary!$D$3,1,0)</f>
        <v/>
      </c>
      <c r="V568" s="17">
        <f>IF(N568&gt;0,P568/N568,"")</f>
        <v/>
      </c>
      <c r="W568" s="17">
        <f>IF(O568&gt;0,H568/O568,"")</f>
        <v/>
      </c>
    </row>
    <row r="569">
      <c r="A569" s="13" t="inlineStr">
        <is>
          <t>T21_B2</t>
        </is>
      </c>
      <c r="B569" s="13" t="inlineStr">
        <is>
          <t>T21</t>
        </is>
      </c>
      <c r="C569" s="13" t="inlineStr">
        <is>
          <t>B2</t>
        </is>
      </c>
      <c r="D569" s="13" t="n">
        <v>1</v>
      </c>
      <c r="E569" s="13" t="inlineStr">
        <is>
          <t>S1</t>
        </is>
      </c>
      <c r="F569" s="13" t="n">
        <v>2020</v>
      </c>
      <c r="G569" s="14" t="n">
        <v>1000486.617190402</v>
      </c>
      <c r="H569" s="14" t="n">
        <v>521929.6852698231</v>
      </c>
      <c r="I569" s="14" t="n">
        <v>123010.5923497817</v>
      </c>
      <c r="J569" s="14" t="n">
        <v>42090.58513482785</v>
      </c>
      <c r="K569" s="14" t="n">
        <v>178871.1926244699</v>
      </c>
      <c r="L569" s="14" t="n">
        <v>134584.5618114995</v>
      </c>
      <c r="M569" s="14" t="n">
        <v>0</v>
      </c>
      <c r="N569" s="14" t="n">
        <v>521929.6852698231</v>
      </c>
      <c r="O569" s="14" t="n">
        <v>865902.055378902</v>
      </c>
      <c r="P569" s="14" t="n">
        <v>0</v>
      </c>
      <c r="Q569" s="14" t="n">
        <v>10233344.49006832</v>
      </c>
      <c r="R569" s="15">
        <f>IF(D569=1,"Section 1","Control")</f>
        <v/>
      </c>
      <c r="S569" s="16">
        <f>N569/10000</f>
        <v/>
      </c>
      <c r="T569" s="16">
        <f>P569/10000</f>
        <v/>
      </c>
      <c r="U569" s="15">
        <f>IF(N569&gt;=Summary!$D$3,1,0)</f>
        <v/>
      </c>
      <c r="V569" s="17">
        <f>IF(N569&gt;0,P569/N569,"")</f>
        <v/>
      </c>
      <c r="W569" s="17">
        <f>IF(O569&gt;0,H569/O569,"")</f>
        <v/>
      </c>
    </row>
    <row r="570">
      <c r="A570" s="13" t="inlineStr">
        <is>
          <t>T21_B2</t>
        </is>
      </c>
      <c r="B570" s="13" t="inlineStr">
        <is>
          <t>T21</t>
        </is>
      </c>
      <c r="C570" s="13" t="inlineStr">
        <is>
          <t>B2</t>
        </is>
      </c>
      <c r="D570" s="13" t="n">
        <v>1</v>
      </c>
      <c r="E570" s="13" t="inlineStr">
        <is>
          <t>S1</t>
        </is>
      </c>
      <c r="F570" s="13" t="n">
        <v>2021</v>
      </c>
      <c r="G570" s="14" t="n">
        <v>1000486.617190402</v>
      </c>
      <c r="H570" s="14" t="n">
        <v>510183.174980313</v>
      </c>
      <c r="I570" s="14" t="n">
        <v>120915.7796962663</v>
      </c>
      <c r="J570" s="14" t="n">
        <v>41498.24548944211</v>
      </c>
      <c r="K570" s="14" t="n">
        <v>199471.0042005952</v>
      </c>
      <c r="L570" s="14" t="n">
        <v>128418.4128237855</v>
      </c>
      <c r="M570" s="14" t="n">
        <v>0</v>
      </c>
      <c r="N570" s="14" t="n">
        <v>521929.6852698231</v>
      </c>
      <c r="O570" s="14" t="n">
        <v>865902.055378902</v>
      </c>
      <c r="P570" s="14" t="n">
        <v>12141.39397939046</v>
      </c>
      <c r="Q570" s="14" t="n">
        <v>10233344.49006832</v>
      </c>
      <c r="R570" s="15">
        <f>IF(D570=1,"Section 1","Control")</f>
        <v/>
      </c>
      <c r="S570" s="16">
        <f>N570/10000</f>
        <v/>
      </c>
      <c r="T570" s="16">
        <f>P570/10000</f>
        <v/>
      </c>
      <c r="U570" s="15">
        <f>IF(N570&gt;=Summary!$D$3,1,0)</f>
        <v/>
      </c>
      <c r="V570" s="17">
        <f>IF(N570&gt;0,P570/N570,"")</f>
        <v/>
      </c>
      <c r="W570" s="17">
        <f>IF(O570&gt;0,H570/O570,"")</f>
        <v/>
      </c>
    </row>
    <row r="571">
      <c r="A571" s="13" t="inlineStr">
        <is>
          <t>T21_B2</t>
        </is>
      </c>
      <c r="B571" s="13" t="inlineStr">
        <is>
          <t>T21</t>
        </is>
      </c>
      <c r="C571" s="13" t="inlineStr">
        <is>
          <t>B2</t>
        </is>
      </c>
      <c r="D571" s="13" t="n">
        <v>1</v>
      </c>
      <c r="E571" s="13" t="inlineStr">
        <is>
          <t>S1</t>
        </is>
      </c>
      <c r="F571" s="13" t="n">
        <v>2022</v>
      </c>
      <c r="G571" s="14" t="n">
        <v>1000486.617190402</v>
      </c>
      <c r="H571" s="14" t="n">
        <v>500659.7341166776</v>
      </c>
      <c r="I571" s="14" t="n">
        <v>154557.9110845229</v>
      </c>
      <c r="J571" s="14" t="n">
        <v>41138.97008870442</v>
      </c>
      <c r="K571" s="14" t="n">
        <v>181238.9440688489</v>
      </c>
      <c r="L571" s="14" t="n">
        <v>122891.0578316483</v>
      </c>
      <c r="M571" s="14" t="n">
        <v>0</v>
      </c>
      <c r="N571" s="14" t="n">
        <v>521929.6852698231</v>
      </c>
      <c r="O571" s="14" t="n">
        <v>865902.055378902</v>
      </c>
      <c r="P571" s="14" t="n">
        <v>23292.79679894541</v>
      </c>
      <c r="Q571" s="14" t="n">
        <v>10233344.49006832</v>
      </c>
      <c r="R571" s="15">
        <f>IF(D571=1,"Section 1","Control")</f>
        <v/>
      </c>
      <c r="S571" s="16">
        <f>N571/10000</f>
        <v/>
      </c>
      <c r="T571" s="16">
        <f>P571/10000</f>
        <v/>
      </c>
      <c r="U571" s="15">
        <f>IF(N571&gt;=Summary!$D$3,1,0)</f>
        <v/>
      </c>
      <c r="V571" s="17">
        <f>IF(N571&gt;0,P571/N571,"")</f>
        <v/>
      </c>
      <c r="W571" s="17">
        <f>IF(O571&gt;0,H571/O571,"")</f>
        <v/>
      </c>
    </row>
    <row r="572">
      <c r="A572" s="13" t="inlineStr">
        <is>
          <t>T21_B2</t>
        </is>
      </c>
      <c r="B572" s="13" t="inlineStr">
        <is>
          <t>T21</t>
        </is>
      </c>
      <c r="C572" s="13" t="inlineStr">
        <is>
          <t>B2</t>
        </is>
      </c>
      <c r="D572" s="13" t="n">
        <v>1</v>
      </c>
      <c r="E572" s="13" t="inlineStr">
        <is>
          <t>S1</t>
        </is>
      </c>
      <c r="F572" s="13" t="n">
        <v>2023</v>
      </c>
      <c r="G572" s="14" t="n">
        <v>1000486.617190402</v>
      </c>
      <c r="H572" s="14" t="n">
        <v>507749.2423995074</v>
      </c>
      <c r="I572" s="14" t="n">
        <v>124335.8637767119</v>
      </c>
      <c r="J572" s="14" t="n">
        <v>41794.41531213498</v>
      </c>
      <c r="K572" s="14" t="n">
        <v>193632.3086668726</v>
      </c>
      <c r="L572" s="14" t="n">
        <v>132974.7870351754</v>
      </c>
      <c r="M572" s="14" t="n">
        <v>0</v>
      </c>
      <c r="N572" s="14" t="n">
        <v>521929.6852698232</v>
      </c>
      <c r="O572" s="14" t="n">
        <v>865902.0553789021</v>
      </c>
      <c r="P572" s="14" t="n">
        <v>24644.68734325334</v>
      </c>
      <c r="Q572" s="14" t="n">
        <v>10233344.49006832</v>
      </c>
      <c r="R572" s="15">
        <f>IF(D572=1,"Section 1","Control")</f>
        <v/>
      </c>
      <c r="S572" s="16">
        <f>N572/10000</f>
        <v/>
      </c>
      <c r="T572" s="16">
        <f>P572/10000</f>
        <v/>
      </c>
      <c r="U572" s="15">
        <f>IF(N572&gt;=Summary!$D$3,1,0)</f>
        <v/>
      </c>
      <c r="V572" s="17">
        <f>IF(N572&gt;0,P572/N572,"")</f>
        <v/>
      </c>
      <c r="W572" s="17">
        <f>IF(O572&gt;0,H572/O572,"")</f>
        <v/>
      </c>
    </row>
    <row r="573">
      <c r="A573" s="13" t="inlineStr">
        <is>
          <t>T21_B2</t>
        </is>
      </c>
      <c r="B573" s="13" t="inlineStr">
        <is>
          <t>T21</t>
        </is>
      </c>
      <c r="C573" s="13" t="inlineStr">
        <is>
          <t>B2</t>
        </is>
      </c>
      <c r="D573" s="13" t="n">
        <v>1</v>
      </c>
      <c r="E573" s="13" t="inlineStr">
        <is>
          <t>S1</t>
        </is>
      </c>
      <c r="F573" s="13" t="n">
        <v>2024</v>
      </c>
      <c r="G573" s="14" t="n">
        <v>1000486.617190402</v>
      </c>
      <c r="H573" s="14" t="n">
        <v>505871.2163702571</v>
      </c>
      <c r="I573" s="14" t="n">
        <v>115157.3071733362</v>
      </c>
      <c r="J573" s="14" t="n">
        <v>41399.5221465466</v>
      </c>
      <c r="K573" s="14" t="n">
        <v>203266.1117145016</v>
      </c>
      <c r="L573" s="14" t="n">
        <v>134792.4597857606</v>
      </c>
      <c r="M573" s="14" t="n">
        <v>0</v>
      </c>
      <c r="N573" s="14" t="n">
        <v>521929.6852698231</v>
      </c>
      <c r="O573" s="14" t="n">
        <v>865902.055378902</v>
      </c>
      <c r="P573" s="14" t="n">
        <v>29087.19121898576</v>
      </c>
      <c r="Q573" s="14" t="n">
        <v>10233344.49006832</v>
      </c>
      <c r="R573" s="15">
        <f>IF(D573=1,"Section 1","Control")</f>
        <v/>
      </c>
      <c r="S573" s="16">
        <f>N573/10000</f>
        <v/>
      </c>
      <c r="T573" s="16">
        <f>P573/10000</f>
        <v/>
      </c>
      <c r="U573" s="15">
        <f>IF(N573&gt;=Summary!$D$3,1,0)</f>
        <v/>
      </c>
      <c r="V573" s="17">
        <f>IF(N573&gt;0,P573/N573,"")</f>
        <v/>
      </c>
      <c r="W573" s="17">
        <f>IF(O573&gt;0,H573/O573,"")</f>
        <v/>
      </c>
    </row>
    <row r="574">
      <c r="A574" s="13" t="inlineStr">
        <is>
          <t>T21_B2</t>
        </is>
      </c>
      <c r="B574" s="13" t="inlineStr">
        <is>
          <t>T21</t>
        </is>
      </c>
      <c r="C574" s="13" t="inlineStr">
        <is>
          <t>B2</t>
        </is>
      </c>
      <c r="D574" s="13" t="n">
        <v>1</v>
      </c>
      <c r="E574" s="13" t="inlineStr">
        <is>
          <t>S1</t>
        </is>
      </c>
      <c r="F574" s="13" t="n">
        <v>2025</v>
      </c>
      <c r="G574" s="14" t="n">
        <v>1000486.617190402</v>
      </c>
      <c r="H574" s="14" t="n">
        <v>509046.9916731589</v>
      </c>
      <c r="I574" s="14" t="n">
        <v>116072.8950924743</v>
      </c>
      <c r="J574" s="14" t="n">
        <v>41596.96869500852</v>
      </c>
      <c r="K574" s="14" t="n">
        <v>195280.3998362224</v>
      </c>
      <c r="L574" s="14" t="n">
        <v>138489.3618935379</v>
      </c>
      <c r="M574" s="14" t="n">
        <v>0</v>
      </c>
      <c r="N574" s="14" t="n">
        <v>521929.6852698231</v>
      </c>
      <c r="O574" s="14" t="n">
        <v>865902.055378902</v>
      </c>
      <c r="P574" s="14" t="n">
        <v>29305.94189082126</v>
      </c>
      <c r="Q574" s="14" t="n">
        <v>10233344.49006832</v>
      </c>
      <c r="R574" s="15">
        <f>IF(D574=1,"Section 1","Control")</f>
        <v/>
      </c>
      <c r="S574" s="16">
        <f>N574/10000</f>
        <v/>
      </c>
      <c r="T574" s="16">
        <f>P574/10000</f>
        <v/>
      </c>
      <c r="U574" s="15">
        <f>IF(N574&gt;=Summary!$D$3,1,0)</f>
        <v/>
      </c>
      <c r="V574" s="17">
        <f>IF(N574&gt;0,P574/N574,"")</f>
        <v/>
      </c>
      <c r="W574" s="17">
        <f>IF(O574&gt;0,H574/O574,"")</f>
        <v/>
      </c>
    </row>
    <row r="575">
      <c r="A575" s="13" t="inlineStr">
        <is>
          <t>T21_B2</t>
        </is>
      </c>
      <c r="B575" s="13" t="inlineStr">
        <is>
          <t>T21</t>
        </is>
      </c>
      <c r="C575" s="13" t="inlineStr">
        <is>
          <t>B2</t>
        </is>
      </c>
      <c r="D575" s="13" t="n">
        <v>1</v>
      </c>
      <c r="E575" s="13" t="inlineStr">
        <is>
          <t>S1</t>
        </is>
      </c>
      <c r="F575" s="13" t="n">
        <v>2026</v>
      </c>
      <c r="G575" s="14" t="n">
        <v>1000486.617190402</v>
      </c>
      <c r="H575" s="14" t="n">
        <v>512126.7561341229</v>
      </c>
      <c r="I575" s="14" t="n">
        <v>91260.50792281207</v>
      </c>
      <c r="J575" s="14" t="n">
        <v>41498.24548944211</v>
      </c>
      <c r="K575" s="14" t="n">
        <v>211188.3422699574</v>
      </c>
      <c r="L575" s="14" t="n">
        <v>144412.7653740677</v>
      </c>
      <c r="M575" s="14" t="n">
        <v>0</v>
      </c>
      <c r="N575" s="14" t="n">
        <v>521929.6852698232</v>
      </c>
      <c r="O575" s="14" t="n">
        <v>865902.0553789021</v>
      </c>
      <c r="P575" s="14" t="n">
        <v>27734.8930850459</v>
      </c>
      <c r="Q575" s="14" t="n">
        <v>10233344.49006832</v>
      </c>
      <c r="R575" s="15">
        <f>IF(D575=1,"Section 1","Control")</f>
        <v/>
      </c>
      <c r="S575" s="16">
        <f>N575/10000</f>
        <v/>
      </c>
      <c r="T575" s="16">
        <f>P575/10000</f>
        <v/>
      </c>
      <c r="U575" s="15">
        <f>IF(N575&gt;=Summary!$D$3,1,0)</f>
        <v/>
      </c>
      <c r="V575" s="17">
        <f>IF(N575&gt;0,P575/N575,"")</f>
        <v/>
      </c>
      <c r="W575" s="17">
        <f>IF(O575&gt;0,H575/O575,"")</f>
        <v/>
      </c>
    </row>
    <row r="576">
      <c r="A576" s="13" t="inlineStr">
        <is>
          <t>T21_B3</t>
        </is>
      </c>
      <c r="B576" s="13" t="inlineStr">
        <is>
          <t>T21</t>
        </is>
      </c>
      <c r="C576" s="13" t="inlineStr">
        <is>
          <t>B3</t>
        </is>
      </c>
      <c r="D576" s="13" t="n">
        <v>1</v>
      </c>
      <c r="E576" s="13" t="inlineStr">
        <is>
          <t>S1</t>
        </is>
      </c>
      <c r="F576" s="13" t="n">
        <v>2020</v>
      </c>
      <c r="G576" s="14" t="n">
        <v>8002962.23350235</v>
      </c>
      <c r="H576" s="14" t="n">
        <v>890083.4430552163</v>
      </c>
      <c r="I576" s="14" t="n">
        <v>88388.62666066487</v>
      </c>
      <c r="J576" s="14" t="n">
        <v>0</v>
      </c>
      <c r="K576" s="14" t="n">
        <v>3021588.575173052</v>
      </c>
      <c r="L576" s="14" t="n">
        <v>4002901.588613413</v>
      </c>
      <c r="M576" s="14" t="n">
        <v>0</v>
      </c>
      <c r="N576" s="14" t="n">
        <v>890083.4430552163</v>
      </c>
      <c r="O576" s="14" t="n">
        <v>4000060.644888934</v>
      </c>
      <c r="P576" s="14" t="n">
        <v>0</v>
      </c>
      <c r="Q576" s="14" t="n">
        <v>29626128.41825585</v>
      </c>
      <c r="R576" s="15">
        <f>IF(D576=1,"Section 1","Control")</f>
        <v/>
      </c>
      <c r="S576" s="16">
        <f>N576/10000</f>
        <v/>
      </c>
      <c r="T576" s="16">
        <f>P576/10000</f>
        <v/>
      </c>
      <c r="U576" s="15">
        <f>IF(N576&gt;=Summary!$D$3,1,0)</f>
        <v/>
      </c>
      <c r="V576" s="17">
        <f>IF(N576&gt;0,P576/N576,"")</f>
        <v/>
      </c>
      <c r="W576" s="17">
        <f>IF(O576&gt;0,H576/O576,"")</f>
        <v/>
      </c>
    </row>
    <row r="577">
      <c r="A577" s="13" t="inlineStr">
        <is>
          <t>T21_B3</t>
        </is>
      </c>
      <c r="B577" s="13" t="inlineStr">
        <is>
          <t>T21</t>
        </is>
      </c>
      <c r="C577" s="13" t="inlineStr">
        <is>
          <t>B3</t>
        </is>
      </c>
      <c r="D577" s="13" t="n">
        <v>1</v>
      </c>
      <c r="E577" s="13" t="inlineStr">
        <is>
          <t>S1</t>
        </is>
      </c>
      <c r="F577" s="13" t="n">
        <v>2021</v>
      </c>
      <c r="G577" s="14" t="n">
        <v>8002962.233502351</v>
      </c>
      <c r="H577" s="14" t="n">
        <v>650886.9681914983</v>
      </c>
      <c r="I577" s="14" t="n">
        <v>112405.6623913036</v>
      </c>
      <c r="J577" s="14" t="n">
        <v>0</v>
      </c>
      <c r="K577" s="14" t="n">
        <v>3236768.014306132</v>
      </c>
      <c r="L577" s="14" t="n">
        <v>4002901.588613413</v>
      </c>
      <c r="M577" s="14" t="n">
        <v>0</v>
      </c>
      <c r="N577" s="14" t="n">
        <v>890083.4430552163</v>
      </c>
      <c r="O577" s="14" t="n">
        <v>4000060.644888934</v>
      </c>
      <c r="P577" s="14" t="n">
        <v>251314.1474300609</v>
      </c>
      <c r="Q577" s="14" t="n">
        <v>29626128.41825586</v>
      </c>
      <c r="R577" s="15">
        <f>IF(D577=1,"Section 1","Control")</f>
        <v/>
      </c>
      <c r="S577" s="16">
        <f>N577/10000</f>
        <v/>
      </c>
      <c r="T577" s="16">
        <f>P577/10000</f>
        <v/>
      </c>
      <c r="U577" s="15">
        <f>IF(N577&gt;=Summary!$D$3,1,0)</f>
        <v/>
      </c>
      <c r="V577" s="17">
        <f>IF(N577&gt;0,P577/N577,"")</f>
        <v/>
      </c>
      <c r="W577" s="17">
        <f>IF(O577&gt;0,H577/O577,"")</f>
        <v/>
      </c>
    </row>
    <row r="578">
      <c r="A578" s="13" t="inlineStr">
        <is>
          <t>T21_B3</t>
        </is>
      </c>
      <c r="B578" s="13" t="inlineStr">
        <is>
          <t>T21</t>
        </is>
      </c>
      <c r="C578" s="13" t="inlineStr">
        <is>
          <t>B3</t>
        </is>
      </c>
      <c r="D578" s="13" t="n">
        <v>1</v>
      </c>
      <c r="E578" s="13" t="inlineStr">
        <is>
          <t>S1</t>
        </is>
      </c>
      <c r="F578" s="13" t="n">
        <v>2022</v>
      </c>
      <c r="G578" s="14" t="n">
        <v>8002962.23350235</v>
      </c>
      <c r="H578" s="14" t="n">
        <v>488401.5429247389</v>
      </c>
      <c r="I578" s="14" t="n">
        <v>104214.855845313</v>
      </c>
      <c r="J578" s="14" t="n">
        <v>0</v>
      </c>
      <c r="K578" s="14" t="n">
        <v>3407444.246118882</v>
      </c>
      <c r="L578" s="14" t="n">
        <v>4002901.588613413</v>
      </c>
      <c r="M578" s="14" t="n">
        <v>0</v>
      </c>
      <c r="N578" s="14" t="n">
        <v>890083.4430552163</v>
      </c>
      <c r="O578" s="14" t="n">
        <v>4000060.644888934</v>
      </c>
      <c r="P578" s="14" t="n">
        <v>410867.9246485094</v>
      </c>
      <c r="Q578" s="14" t="n">
        <v>29626128.41825585</v>
      </c>
      <c r="R578" s="15">
        <f>IF(D578=1,"Section 1","Control")</f>
        <v/>
      </c>
      <c r="S578" s="16">
        <f>N578/10000</f>
        <v/>
      </c>
      <c r="T578" s="16">
        <f>P578/10000</f>
        <v/>
      </c>
      <c r="U578" s="15">
        <f>IF(N578&gt;=Summary!$D$3,1,0)</f>
        <v/>
      </c>
      <c r="V578" s="17">
        <f>IF(N578&gt;0,P578/N578,"")</f>
        <v/>
      </c>
      <c r="W578" s="17">
        <f>IF(O578&gt;0,H578/O578,"")</f>
        <v/>
      </c>
    </row>
    <row r="579">
      <c r="A579" s="13" t="inlineStr">
        <is>
          <t>T21_B3</t>
        </is>
      </c>
      <c r="B579" s="13" t="inlineStr">
        <is>
          <t>T21</t>
        </is>
      </c>
      <c r="C579" s="13" t="inlineStr">
        <is>
          <t>B3</t>
        </is>
      </c>
      <c r="D579" s="13" t="n">
        <v>1</v>
      </c>
      <c r="E579" s="13" t="inlineStr">
        <is>
          <t>S1</t>
        </is>
      </c>
      <c r="F579" s="13" t="n">
        <v>2023</v>
      </c>
      <c r="G579" s="14" t="n">
        <v>8002962.233502351</v>
      </c>
      <c r="H579" s="14" t="n">
        <v>434369.0219770843</v>
      </c>
      <c r="I579" s="14" t="n">
        <v>122439.2801640529</v>
      </c>
      <c r="J579" s="14" t="n">
        <v>0</v>
      </c>
      <c r="K579" s="14" t="n">
        <v>3443252.342747797</v>
      </c>
      <c r="L579" s="14" t="n">
        <v>4002901.588613413</v>
      </c>
      <c r="M579" s="14" t="n">
        <v>0</v>
      </c>
      <c r="N579" s="14" t="n">
        <v>890083.4430552163</v>
      </c>
      <c r="O579" s="14" t="n">
        <v>4000060.644888934</v>
      </c>
      <c r="P579" s="14" t="n">
        <v>466819.852280052</v>
      </c>
      <c r="Q579" s="14" t="n">
        <v>29626128.41825585</v>
      </c>
      <c r="R579" s="15">
        <f>IF(D579=1,"Section 1","Control")</f>
        <v/>
      </c>
      <c r="S579" s="16">
        <f>N579/10000</f>
        <v/>
      </c>
      <c r="T579" s="16">
        <f>P579/10000</f>
        <v/>
      </c>
      <c r="U579" s="15">
        <f>IF(N579&gt;=Summary!$D$3,1,0)</f>
        <v/>
      </c>
      <c r="V579" s="17">
        <f>IF(N579&gt;0,P579/N579,"")</f>
        <v/>
      </c>
      <c r="W579" s="17">
        <f>IF(O579&gt;0,H579/O579,"")</f>
        <v/>
      </c>
    </row>
    <row r="580">
      <c r="A580" s="13" t="inlineStr">
        <is>
          <t>T21_B3</t>
        </is>
      </c>
      <c r="B580" s="13" t="inlineStr">
        <is>
          <t>T21</t>
        </is>
      </c>
      <c r="C580" s="13" t="inlineStr">
        <is>
          <t>B3</t>
        </is>
      </c>
      <c r="D580" s="13" t="n">
        <v>1</v>
      </c>
      <c r="E580" s="13" t="inlineStr">
        <is>
          <t>S1</t>
        </is>
      </c>
      <c r="F580" s="13" t="n">
        <v>2024</v>
      </c>
      <c r="G580" s="14" t="n">
        <v>8002962.23350235</v>
      </c>
      <c r="H580" s="14" t="n">
        <v>415385.4834363451</v>
      </c>
      <c r="I580" s="14" t="n">
        <v>95702.17387674368</v>
      </c>
      <c r="J580" s="14" t="n">
        <v>0</v>
      </c>
      <c r="K580" s="14" t="n">
        <v>3488972.987575845</v>
      </c>
      <c r="L580" s="14" t="n">
        <v>4002901.588613412</v>
      </c>
      <c r="M580" s="14" t="n">
        <v>0</v>
      </c>
      <c r="N580" s="14" t="n">
        <v>890083.4430552163</v>
      </c>
      <c r="O580" s="14" t="n">
        <v>4000060.644888934</v>
      </c>
      <c r="P580" s="14" t="n">
        <v>489609.6212066052</v>
      </c>
      <c r="Q580" s="14" t="n">
        <v>29626128.41825586</v>
      </c>
      <c r="R580" s="15">
        <f>IF(D580=1,"Section 1","Control")</f>
        <v/>
      </c>
      <c r="S580" s="16">
        <f>N580/10000</f>
        <v/>
      </c>
      <c r="T580" s="16">
        <f>P580/10000</f>
        <v/>
      </c>
      <c r="U580" s="15">
        <f>IF(N580&gt;=Summary!$D$3,1,0)</f>
        <v/>
      </c>
      <c r="V580" s="17">
        <f>IF(N580&gt;0,P580/N580,"")</f>
        <v/>
      </c>
      <c r="W580" s="17">
        <f>IF(O580&gt;0,H580/O580,"")</f>
        <v/>
      </c>
    </row>
    <row r="581">
      <c r="A581" s="13" t="inlineStr">
        <is>
          <t>T21_B3</t>
        </is>
      </c>
      <c r="B581" s="13" t="inlineStr">
        <is>
          <t>T21</t>
        </is>
      </c>
      <c r="C581" s="13" t="inlineStr">
        <is>
          <t>B3</t>
        </is>
      </c>
      <c r="D581" s="13" t="n">
        <v>1</v>
      </c>
      <c r="E581" s="13" t="inlineStr">
        <is>
          <t>S1</t>
        </is>
      </c>
      <c r="F581" s="13" t="n">
        <v>2025</v>
      </c>
      <c r="G581" s="14" t="n">
        <v>8002962.233502351</v>
      </c>
      <c r="H581" s="14" t="n">
        <v>409005.7423358394</v>
      </c>
      <c r="I581" s="14" t="n">
        <v>67285.13532083548</v>
      </c>
      <c r="J581" s="14" t="n">
        <v>0</v>
      </c>
      <c r="K581" s="14" t="n">
        <v>3523769.76723226</v>
      </c>
      <c r="L581" s="14" t="n">
        <v>4002901.588613413</v>
      </c>
      <c r="M581" s="14" t="n">
        <v>0</v>
      </c>
      <c r="N581" s="14" t="n">
        <v>890083.4430552163</v>
      </c>
      <c r="O581" s="14" t="n">
        <v>4000060.644888934</v>
      </c>
      <c r="P581" s="14" t="n">
        <v>502109.9591546452</v>
      </c>
      <c r="Q581" s="14" t="n">
        <v>29626128.41825585</v>
      </c>
      <c r="R581" s="15">
        <f>IF(D581=1,"Section 1","Control")</f>
        <v/>
      </c>
      <c r="S581" s="16">
        <f>N581/10000</f>
        <v/>
      </c>
      <c r="T581" s="16">
        <f>P581/10000</f>
        <v/>
      </c>
      <c r="U581" s="15">
        <f>IF(N581&gt;=Summary!$D$3,1,0)</f>
        <v/>
      </c>
      <c r="V581" s="17">
        <f>IF(N581&gt;0,P581/N581,"")</f>
        <v/>
      </c>
      <c r="W581" s="17">
        <f>IF(O581&gt;0,H581/O581,"")</f>
        <v/>
      </c>
    </row>
    <row r="582">
      <c r="A582" s="13" t="inlineStr">
        <is>
          <t>T21_B3</t>
        </is>
      </c>
      <c r="B582" s="13" t="inlineStr">
        <is>
          <t>T21</t>
        </is>
      </c>
      <c r="C582" s="13" t="inlineStr">
        <is>
          <t>B3</t>
        </is>
      </c>
      <c r="D582" s="13" t="n">
        <v>1</v>
      </c>
      <c r="E582" s="13" t="inlineStr">
        <is>
          <t>S1</t>
        </is>
      </c>
      <c r="F582" s="13" t="n">
        <v>2026</v>
      </c>
      <c r="G582" s="14" t="n">
        <v>8002962.233502351</v>
      </c>
      <c r="H582" s="14" t="n">
        <v>397730.7110044293</v>
      </c>
      <c r="I582" s="14" t="n">
        <v>46389.64751120174</v>
      </c>
      <c r="J582" s="14" t="n">
        <v>0</v>
      </c>
      <c r="K582" s="14" t="n">
        <v>3555940.286373303</v>
      </c>
      <c r="L582" s="14" t="n">
        <v>4002901.588613413</v>
      </c>
      <c r="M582" s="14" t="n">
        <v>0</v>
      </c>
      <c r="N582" s="14" t="n">
        <v>890083.4430552163</v>
      </c>
      <c r="O582" s="14" t="n">
        <v>4000060.644888934</v>
      </c>
      <c r="P582" s="14" t="n">
        <v>524256.5794599645</v>
      </c>
      <c r="Q582" s="14" t="n">
        <v>29626128.41825586</v>
      </c>
      <c r="R582" s="15">
        <f>IF(D582=1,"Section 1","Control")</f>
        <v/>
      </c>
      <c r="S582" s="16">
        <f>N582/10000</f>
        <v/>
      </c>
      <c r="T582" s="16">
        <f>P582/10000</f>
        <v/>
      </c>
      <c r="U582" s="15">
        <f>IF(N582&gt;=Summary!$D$3,1,0)</f>
        <v/>
      </c>
      <c r="V582" s="17">
        <f>IF(N582&gt;0,P582/N582,"")</f>
        <v/>
      </c>
      <c r="W582" s="17">
        <f>IF(O582&gt;0,H582/O582,"")</f>
        <v/>
      </c>
    </row>
    <row r="583">
      <c r="A583" s="13" t="inlineStr">
        <is>
          <t>T21_F</t>
        </is>
      </c>
      <c r="B583" s="13" t="inlineStr">
        <is>
          <t>T21</t>
        </is>
      </c>
      <c r="C583" s="13" t="inlineStr">
        <is>
          <t>F</t>
        </is>
      </c>
      <c r="D583" s="13" t="n">
        <v>1</v>
      </c>
      <c r="E583" s="13" t="inlineStr">
        <is>
          <t>S1</t>
        </is>
      </c>
      <c r="F583" s="13" t="n">
        <v>2020</v>
      </c>
      <c r="G583" s="14" t="n">
        <v>66368.97637059829</v>
      </c>
      <c r="H583" s="14" t="n">
        <v>66368.97637059829</v>
      </c>
      <c r="I583" s="14" t="n">
        <v>0</v>
      </c>
      <c r="J583" s="14" t="n">
        <v>0</v>
      </c>
      <c r="K583" s="14" t="n">
        <v>0</v>
      </c>
      <c r="L583" s="14" t="n">
        <v>0</v>
      </c>
      <c r="M583" s="14" t="n">
        <v>0</v>
      </c>
      <c r="N583" s="14" t="n">
        <v>66368.97637059829</v>
      </c>
      <c r="O583" s="14" t="n">
        <v>66368.97637059829</v>
      </c>
      <c r="P583" s="14" t="n">
        <v>0</v>
      </c>
      <c r="Q583" s="14" t="n">
        <v>877459.7934539195</v>
      </c>
      <c r="R583" s="15">
        <f>IF(D583=1,"Section 1","Control")</f>
        <v/>
      </c>
      <c r="S583" s="16">
        <f>N583/10000</f>
        <v/>
      </c>
      <c r="T583" s="16">
        <f>P583/10000</f>
        <v/>
      </c>
      <c r="U583" s="15">
        <f>IF(N583&gt;=Summary!$D$3,1,0)</f>
        <v/>
      </c>
      <c r="V583" s="17">
        <f>IF(N583&gt;0,P583/N583,"")</f>
        <v/>
      </c>
      <c r="W583" s="17">
        <f>IF(O583&gt;0,H583/O583,"")</f>
        <v/>
      </c>
    </row>
    <row r="584">
      <c r="A584" s="13" t="inlineStr">
        <is>
          <t>T21_F</t>
        </is>
      </c>
      <c r="B584" s="13" t="inlineStr">
        <is>
          <t>T21</t>
        </is>
      </c>
      <c r="C584" s="13" t="inlineStr">
        <is>
          <t>F</t>
        </is>
      </c>
      <c r="D584" s="13" t="n">
        <v>1</v>
      </c>
      <c r="E584" s="13" t="inlineStr">
        <is>
          <t>S1</t>
        </is>
      </c>
      <c r="F584" s="13" t="n">
        <v>2021</v>
      </c>
      <c r="G584" s="14" t="n">
        <v>66368.97637059829</v>
      </c>
      <c r="H584" s="14" t="n">
        <v>65974.08873632095</v>
      </c>
      <c r="I584" s="14" t="n">
        <v>0</v>
      </c>
      <c r="J584" s="14" t="n">
        <v>0</v>
      </c>
      <c r="K584" s="14" t="n">
        <v>394.8876342773438</v>
      </c>
      <c r="L584" s="14" t="n">
        <v>0</v>
      </c>
      <c r="M584" s="14" t="n">
        <v>0</v>
      </c>
      <c r="N584" s="14" t="n">
        <v>66368.97637059829</v>
      </c>
      <c r="O584" s="14" t="n">
        <v>66368.97637059829</v>
      </c>
      <c r="P584" s="14" t="n">
        <v>394.8876342773438</v>
      </c>
      <c r="Q584" s="14" t="n">
        <v>877459.7934539195</v>
      </c>
      <c r="R584" s="15">
        <f>IF(D584=1,"Section 1","Control")</f>
        <v/>
      </c>
      <c r="S584" s="16">
        <f>N584/10000</f>
        <v/>
      </c>
      <c r="T584" s="16">
        <f>P584/10000</f>
        <v/>
      </c>
      <c r="U584" s="15">
        <f>IF(N584&gt;=Summary!$D$3,1,0)</f>
        <v/>
      </c>
      <c r="V584" s="17">
        <f>IF(N584&gt;0,P584/N584,"")</f>
        <v/>
      </c>
      <c r="W584" s="17">
        <f>IF(O584&gt;0,H584/O584,"")</f>
        <v/>
      </c>
    </row>
    <row r="585">
      <c r="A585" s="13" t="inlineStr">
        <is>
          <t>T21_F</t>
        </is>
      </c>
      <c r="B585" s="13" t="inlineStr">
        <is>
          <t>T21</t>
        </is>
      </c>
      <c r="C585" s="13" t="inlineStr">
        <is>
          <t>F</t>
        </is>
      </c>
      <c r="D585" s="13" t="n">
        <v>1</v>
      </c>
      <c r="E585" s="13" t="inlineStr">
        <is>
          <t>S1</t>
        </is>
      </c>
      <c r="F585" s="13" t="n">
        <v>2022</v>
      </c>
      <c r="G585" s="14" t="n">
        <v>66368.97637059829</v>
      </c>
      <c r="H585" s="14" t="n">
        <v>65480.47936895034</v>
      </c>
      <c r="I585" s="14" t="n">
        <v>493.6093673706055</v>
      </c>
      <c r="J585" s="14" t="n">
        <v>0</v>
      </c>
      <c r="K585" s="14" t="n">
        <v>394.8876342773438</v>
      </c>
      <c r="L585" s="14" t="n">
        <v>0</v>
      </c>
      <c r="M585" s="14" t="n">
        <v>0</v>
      </c>
      <c r="N585" s="14" t="n">
        <v>66368.97637059829</v>
      </c>
      <c r="O585" s="14" t="n">
        <v>66368.97637059829</v>
      </c>
      <c r="P585" s="14" t="n">
        <v>888.4970016479492</v>
      </c>
      <c r="Q585" s="14" t="n">
        <v>877459.7934539195</v>
      </c>
      <c r="R585" s="15">
        <f>IF(D585=1,"Section 1","Control")</f>
        <v/>
      </c>
      <c r="S585" s="16">
        <f>N585/10000</f>
        <v/>
      </c>
      <c r="T585" s="16">
        <f>P585/10000</f>
        <v/>
      </c>
      <c r="U585" s="15">
        <f>IF(N585&gt;=Summary!$D$3,1,0)</f>
        <v/>
      </c>
      <c r="V585" s="17">
        <f>IF(N585&gt;0,P585/N585,"")</f>
        <v/>
      </c>
      <c r="W585" s="17">
        <f>IF(O585&gt;0,H585/O585,"")</f>
        <v/>
      </c>
    </row>
    <row r="586">
      <c r="A586" s="13" t="inlineStr">
        <is>
          <t>T21_F</t>
        </is>
      </c>
      <c r="B586" s="13" t="inlineStr">
        <is>
          <t>T21</t>
        </is>
      </c>
      <c r="C586" s="13" t="inlineStr">
        <is>
          <t>F</t>
        </is>
      </c>
      <c r="D586" s="13" t="n">
        <v>1</v>
      </c>
      <c r="E586" s="13" t="inlineStr">
        <is>
          <t>S1</t>
        </is>
      </c>
      <c r="F586" s="13" t="n">
        <v>2023</v>
      </c>
      <c r="G586" s="14" t="n">
        <v>66368.97637059829</v>
      </c>
      <c r="H586" s="14" t="n">
        <v>65974.08873632095</v>
      </c>
      <c r="I586" s="14" t="n">
        <v>0</v>
      </c>
      <c r="J586" s="14" t="n">
        <v>0</v>
      </c>
      <c r="K586" s="14" t="n">
        <v>394.8876342773438</v>
      </c>
      <c r="L586" s="14" t="n">
        <v>0</v>
      </c>
      <c r="M586" s="14" t="n">
        <v>0</v>
      </c>
      <c r="N586" s="14" t="n">
        <v>66368.97637059829</v>
      </c>
      <c r="O586" s="14" t="n">
        <v>66368.97637059829</v>
      </c>
      <c r="P586" s="14" t="n">
        <v>394.8876342773438</v>
      </c>
      <c r="Q586" s="14" t="n">
        <v>877459.7934539195</v>
      </c>
      <c r="R586" s="15">
        <f>IF(D586=1,"Section 1","Control")</f>
        <v/>
      </c>
      <c r="S586" s="16">
        <f>N586/10000</f>
        <v/>
      </c>
      <c r="T586" s="16">
        <f>P586/10000</f>
        <v/>
      </c>
      <c r="U586" s="15">
        <f>IF(N586&gt;=Summary!$D$3,1,0)</f>
        <v/>
      </c>
      <c r="V586" s="17">
        <f>IF(N586&gt;0,P586/N586,"")</f>
        <v/>
      </c>
      <c r="W586" s="17">
        <f>IF(O586&gt;0,H586/O586,"")</f>
        <v/>
      </c>
    </row>
    <row r="587">
      <c r="A587" s="13" t="inlineStr">
        <is>
          <t>T21_F</t>
        </is>
      </c>
      <c r="B587" s="13" t="inlineStr">
        <is>
          <t>T21</t>
        </is>
      </c>
      <c r="C587" s="13" t="inlineStr">
        <is>
          <t>F</t>
        </is>
      </c>
      <c r="D587" s="13" t="n">
        <v>1</v>
      </c>
      <c r="E587" s="13" t="inlineStr">
        <is>
          <t>S1</t>
        </is>
      </c>
      <c r="F587" s="13" t="n">
        <v>2024</v>
      </c>
      <c r="G587" s="14" t="n">
        <v>66368.97637059829</v>
      </c>
      <c r="H587" s="14" t="n">
        <v>65974.08873632095</v>
      </c>
      <c r="I587" s="14" t="n">
        <v>0</v>
      </c>
      <c r="J587" s="14" t="n">
        <v>0</v>
      </c>
      <c r="K587" s="14" t="n">
        <v>394.8876342773438</v>
      </c>
      <c r="L587" s="14" t="n">
        <v>0</v>
      </c>
      <c r="M587" s="14" t="n">
        <v>0</v>
      </c>
      <c r="N587" s="14" t="n">
        <v>66368.97637059829</v>
      </c>
      <c r="O587" s="14" t="n">
        <v>66368.97637059829</v>
      </c>
      <c r="P587" s="14" t="n">
        <v>394.8876342773438</v>
      </c>
      <c r="Q587" s="14" t="n">
        <v>877459.7934539195</v>
      </c>
      <c r="R587" s="15">
        <f>IF(D587=1,"Section 1","Control")</f>
        <v/>
      </c>
      <c r="S587" s="16">
        <f>N587/10000</f>
        <v/>
      </c>
      <c r="T587" s="16">
        <f>P587/10000</f>
        <v/>
      </c>
      <c r="U587" s="15">
        <f>IF(N587&gt;=Summary!$D$3,1,0)</f>
        <v/>
      </c>
      <c r="V587" s="17">
        <f>IF(N587&gt;0,P587/N587,"")</f>
        <v/>
      </c>
      <c r="W587" s="17">
        <f>IF(O587&gt;0,H587/O587,"")</f>
        <v/>
      </c>
    </row>
    <row r="588">
      <c r="A588" s="13" t="inlineStr">
        <is>
          <t>T21_F</t>
        </is>
      </c>
      <c r="B588" s="13" t="inlineStr">
        <is>
          <t>T21</t>
        </is>
      </c>
      <c r="C588" s="13" t="inlineStr">
        <is>
          <t>F</t>
        </is>
      </c>
      <c r="D588" s="13" t="n">
        <v>1</v>
      </c>
      <c r="E588" s="13" t="inlineStr">
        <is>
          <t>S1</t>
        </is>
      </c>
      <c r="F588" s="13" t="n">
        <v>2025</v>
      </c>
      <c r="G588" s="14" t="n">
        <v>66368.97637059829</v>
      </c>
      <c r="H588" s="14" t="n">
        <v>65884.27122617236</v>
      </c>
      <c r="I588" s="14" t="n">
        <v>0</v>
      </c>
      <c r="J588" s="14" t="n">
        <v>0</v>
      </c>
      <c r="K588" s="14" t="n">
        <v>484.7051444259345</v>
      </c>
      <c r="L588" s="14" t="n">
        <v>0</v>
      </c>
      <c r="M588" s="14" t="n">
        <v>0</v>
      </c>
      <c r="N588" s="14" t="n">
        <v>66368.97637059829</v>
      </c>
      <c r="O588" s="14" t="n">
        <v>66368.97637059829</v>
      </c>
      <c r="P588" s="14" t="n">
        <v>484.7051444259345</v>
      </c>
      <c r="Q588" s="14" t="n">
        <v>877459.7934539195</v>
      </c>
      <c r="R588" s="15">
        <f>IF(D588=1,"Section 1","Control")</f>
        <v/>
      </c>
      <c r="S588" s="16">
        <f>N588/10000</f>
        <v/>
      </c>
      <c r="T588" s="16">
        <f>P588/10000</f>
        <v/>
      </c>
      <c r="U588" s="15">
        <f>IF(N588&gt;=Summary!$D$3,1,0)</f>
        <v/>
      </c>
      <c r="V588" s="17">
        <f>IF(N588&gt;0,P588/N588,"")</f>
        <v/>
      </c>
      <c r="W588" s="17">
        <f>IF(O588&gt;0,H588/O588,"")</f>
        <v/>
      </c>
    </row>
    <row r="589">
      <c r="A589" s="13" t="inlineStr">
        <is>
          <t>T21_F</t>
        </is>
      </c>
      <c r="B589" s="13" t="inlineStr">
        <is>
          <t>T21</t>
        </is>
      </c>
      <c r="C589" s="13" t="inlineStr">
        <is>
          <t>F</t>
        </is>
      </c>
      <c r="D589" s="13" t="n">
        <v>1</v>
      </c>
      <c r="E589" s="13" t="inlineStr">
        <is>
          <t>S1</t>
        </is>
      </c>
      <c r="F589" s="13" t="n">
        <v>2026</v>
      </c>
      <c r="G589" s="14" t="n">
        <v>66368.97637059829</v>
      </c>
      <c r="H589" s="14" t="n">
        <v>403.7920938828413</v>
      </c>
      <c r="I589" s="14" t="n">
        <v>10100.60220133464</v>
      </c>
      <c r="J589" s="14" t="n">
        <v>0</v>
      </c>
      <c r="K589" s="14" t="n">
        <v>55864.58207538081</v>
      </c>
      <c r="L589" s="14" t="n">
        <v>0</v>
      </c>
      <c r="M589" s="14" t="n">
        <v>0</v>
      </c>
      <c r="N589" s="14" t="n">
        <v>66368.97637059829</v>
      </c>
      <c r="O589" s="14" t="n">
        <v>66368.97637059829</v>
      </c>
      <c r="P589" s="14" t="n">
        <v>65965.18427671544</v>
      </c>
      <c r="Q589" s="14" t="n">
        <v>877459.7934539195</v>
      </c>
      <c r="R589" s="15">
        <f>IF(D589=1,"Section 1","Control")</f>
        <v/>
      </c>
      <c r="S589" s="16">
        <f>N589/10000</f>
        <v/>
      </c>
      <c r="T589" s="16">
        <f>P589/10000</f>
        <v/>
      </c>
      <c r="U589" s="15">
        <f>IF(N589&gt;=Summary!$D$3,1,0)</f>
        <v/>
      </c>
      <c r="V589" s="17">
        <f>IF(N589&gt;0,P589/N589,"")</f>
        <v/>
      </c>
      <c r="W589" s="17">
        <f>IF(O589&gt;0,H589/O589,"")</f>
        <v/>
      </c>
    </row>
    <row r="590">
      <c r="A590" s="13" t="inlineStr">
        <is>
          <t>T22_B1</t>
        </is>
      </c>
      <c r="B590" s="13" t="inlineStr">
        <is>
          <t>T22</t>
        </is>
      </c>
      <c r="C590" s="13" t="inlineStr">
        <is>
          <t>B1</t>
        </is>
      </c>
      <c r="D590" s="13" t="n">
        <v>1</v>
      </c>
      <c r="E590" s="13" t="inlineStr">
        <is>
          <t>S1</t>
        </is>
      </c>
      <c r="F590" s="13" t="n">
        <v>2020</v>
      </c>
      <c r="G590" s="14" t="n">
        <v>1000562.886189928</v>
      </c>
      <c r="H590" s="14" t="n">
        <v>812658.8519250901</v>
      </c>
      <c r="I590" s="14" t="n">
        <v>10938.08012090945</v>
      </c>
      <c r="J590" s="14" t="n">
        <v>0</v>
      </c>
      <c r="K590" s="14" t="n">
        <v>176965.9541439281</v>
      </c>
      <c r="L590" s="14" t="n">
        <v>0</v>
      </c>
      <c r="M590" s="14" t="n">
        <v>0</v>
      </c>
      <c r="N590" s="14" t="n">
        <v>812658.8519250901</v>
      </c>
      <c r="O590" s="14" t="n">
        <v>1000562.886189928</v>
      </c>
      <c r="P590" s="14" t="n">
        <v>0</v>
      </c>
      <c r="Q590" s="14" t="n">
        <v>10531888.85080398</v>
      </c>
      <c r="R590" s="15">
        <f>IF(D590=1,"Section 1","Control")</f>
        <v/>
      </c>
      <c r="S590" s="16">
        <f>N590/10000</f>
        <v/>
      </c>
      <c r="T590" s="16">
        <f>P590/10000</f>
        <v/>
      </c>
      <c r="U590" s="15">
        <f>IF(N590&gt;=Summary!$D$3,1,0)</f>
        <v/>
      </c>
      <c r="V590" s="17">
        <f>IF(N590&gt;0,P590/N590,"")</f>
        <v/>
      </c>
      <c r="W590" s="17">
        <f>IF(O590&gt;0,H590/O590,"")</f>
        <v/>
      </c>
    </row>
    <row r="591">
      <c r="A591" s="13" t="inlineStr">
        <is>
          <t>T22_B1</t>
        </is>
      </c>
      <c r="B591" s="13" t="inlineStr">
        <is>
          <t>T22</t>
        </is>
      </c>
      <c r="C591" s="13" t="inlineStr">
        <is>
          <t>B1</t>
        </is>
      </c>
      <c r="D591" s="13" t="n">
        <v>1</v>
      </c>
      <c r="E591" s="13" t="inlineStr">
        <is>
          <t>S1</t>
        </is>
      </c>
      <c r="F591" s="13" t="n">
        <v>2021</v>
      </c>
      <c r="G591" s="14" t="n">
        <v>1000562.886189928</v>
      </c>
      <c r="H591" s="14" t="n">
        <v>776120.6813096283</v>
      </c>
      <c r="I591" s="14" t="n">
        <v>9544.346743176029</v>
      </c>
      <c r="J591" s="14" t="n">
        <v>0</v>
      </c>
      <c r="K591" s="14" t="n">
        <v>214897.8581371233</v>
      </c>
      <c r="L591" s="14" t="n">
        <v>0</v>
      </c>
      <c r="M591" s="14" t="n">
        <v>0</v>
      </c>
      <c r="N591" s="14" t="n">
        <v>812658.8519250901</v>
      </c>
      <c r="O591" s="14" t="n">
        <v>1000562.886189928</v>
      </c>
      <c r="P591" s="14" t="n">
        <v>36650.05629203647</v>
      </c>
      <c r="Q591" s="14" t="n">
        <v>10531888.85080398</v>
      </c>
      <c r="R591" s="15">
        <f>IF(D591=1,"Section 1","Control")</f>
        <v/>
      </c>
      <c r="S591" s="16">
        <f>N591/10000</f>
        <v/>
      </c>
      <c r="T591" s="16">
        <f>P591/10000</f>
        <v/>
      </c>
      <c r="U591" s="15">
        <f>IF(N591&gt;=Summary!$D$3,1,0)</f>
        <v/>
      </c>
      <c r="V591" s="17">
        <f>IF(N591&gt;0,P591/N591,"")</f>
        <v/>
      </c>
      <c r="W591" s="17">
        <f>IF(O591&gt;0,H591/O591,"")</f>
        <v/>
      </c>
    </row>
    <row r="592">
      <c r="A592" s="13" t="inlineStr">
        <is>
          <t>T22_B1</t>
        </is>
      </c>
      <c r="B592" s="13" t="inlineStr">
        <is>
          <t>T22</t>
        </is>
      </c>
      <c r="C592" s="13" t="inlineStr">
        <is>
          <t>B1</t>
        </is>
      </c>
      <c r="D592" s="13" t="n">
        <v>1</v>
      </c>
      <c r="E592" s="13" t="inlineStr">
        <is>
          <t>S1</t>
        </is>
      </c>
      <c r="F592" s="13" t="n">
        <v>2022</v>
      </c>
      <c r="G592" s="14" t="n">
        <v>1000562.886189928</v>
      </c>
      <c r="H592" s="14" t="n">
        <v>758719.2148499127</v>
      </c>
      <c r="I592" s="14" t="n">
        <v>10820.37719828288</v>
      </c>
      <c r="J592" s="14" t="n">
        <v>0</v>
      </c>
      <c r="K592" s="14" t="n">
        <v>231023.294141732</v>
      </c>
      <c r="L592" s="14" t="n">
        <v>0</v>
      </c>
      <c r="M592" s="14" t="n">
        <v>0</v>
      </c>
      <c r="N592" s="14" t="n">
        <v>812658.8519250901</v>
      </c>
      <c r="O592" s="14" t="n">
        <v>1000562.886189928</v>
      </c>
      <c r="P592" s="14" t="n">
        <v>54051.52275175207</v>
      </c>
      <c r="Q592" s="14" t="n">
        <v>10531888.85080398</v>
      </c>
      <c r="R592" s="15">
        <f>IF(D592=1,"Section 1","Control")</f>
        <v/>
      </c>
      <c r="S592" s="16">
        <f>N592/10000</f>
        <v/>
      </c>
      <c r="T592" s="16">
        <f>P592/10000</f>
        <v/>
      </c>
      <c r="U592" s="15">
        <f>IF(N592&gt;=Summary!$D$3,1,0)</f>
        <v/>
      </c>
      <c r="V592" s="17">
        <f>IF(N592&gt;0,P592/N592,"")</f>
        <v/>
      </c>
      <c r="W592" s="17">
        <f>IF(O592&gt;0,H592/O592,"")</f>
        <v/>
      </c>
    </row>
    <row r="593">
      <c r="A593" s="13" t="inlineStr">
        <is>
          <t>T22_B1</t>
        </is>
      </c>
      <c r="B593" s="13" t="inlineStr">
        <is>
          <t>T22</t>
        </is>
      </c>
      <c r="C593" s="13" t="inlineStr">
        <is>
          <t>B1</t>
        </is>
      </c>
      <c r="D593" s="13" t="n">
        <v>1</v>
      </c>
      <c r="E593" s="13" t="inlineStr">
        <is>
          <t>S1</t>
        </is>
      </c>
      <c r="F593" s="13" t="n">
        <v>2023</v>
      </c>
      <c r="G593" s="14" t="n">
        <v>1000562.886189928</v>
      </c>
      <c r="H593" s="14" t="n">
        <v>727078.1291267837</v>
      </c>
      <c r="I593" s="14" t="n">
        <v>18540.84572059781</v>
      </c>
      <c r="J593" s="14" t="n">
        <v>0</v>
      </c>
      <c r="K593" s="14" t="n">
        <v>254943.9113425461</v>
      </c>
      <c r="L593" s="14" t="n">
        <v>0</v>
      </c>
      <c r="M593" s="14" t="n">
        <v>0</v>
      </c>
      <c r="N593" s="14" t="n">
        <v>812658.8519250901</v>
      </c>
      <c r="O593" s="14" t="n">
        <v>1000562.886189928</v>
      </c>
      <c r="P593" s="14" t="n">
        <v>85791.33105483709</v>
      </c>
      <c r="Q593" s="14" t="n">
        <v>10531888.85080398</v>
      </c>
      <c r="R593" s="15">
        <f>IF(D593=1,"Section 1","Control")</f>
        <v/>
      </c>
      <c r="S593" s="16">
        <f>N593/10000</f>
        <v/>
      </c>
      <c r="T593" s="16">
        <f>P593/10000</f>
        <v/>
      </c>
      <c r="U593" s="15">
        <f>IF(N593&gt;=Summary!$D$3,1,0)</f>
        <v/>
      </c>
      <c r="V593" s="17">
        <f>IF(N593&gt;0,P593/N593,"")</f>
        <v/>
      </c>
      <c r="W593" s="17">
        <f>IF(O593&gt;0,H593/O593,"")</f>
        <v/>
      </c>
    </row>
    <row r="594">
      <c r="A594" s="13" t="inlineStr">
        <is>
          <t>T22_B1</t>
        </is>
      </c>
      <c r="B594" s="13" t="inlineStr">
        <is>
          <t>T22</t>
        </is>
      </c>
      <c r="C594" s="13" t="inlineStr">
        <is>
          <t>B1</t>
        </is>
      </c>
      <c r="D594" s="13" t="n">
        <v>1</v>
      </c>
      <c r="E594" s="13" t="inlineStr">
        <is>
          <t>S1</t>
        </is>
      </c>
      <c r="F594" s="13" t="n">
        <v>2024</v>
      </c>
      <c r="G594" s="14" t="n">
        <v>1000562.886189928</v>
      </c>
      <c r="H594" s="14" t="n">
        <v>708477.3617929788</v>
      </c>
      <c r="I594" s="14" t="n">
        <v>13955.0545554666</v>
      </c>
      <c r="J594" s="14" t="n">
        <v>0</v>
      </c>
      <c r="K594" s="14" t="n">
        <v>278130.4698414821</v>
      </c>
      <c r="L594" s="14" t="n">
        <v>0</v>
      </c>
      <c r="M594" s="14" t="n">
        <v>0</v>
      </c>
      <c r="N594" s="14" t="n">
        <v>812658.8519250902</v>
      </c>
      <c r="O594" s="14" t="n">
        <v>1000562.886189928</v>
      </c>
      <c r="P594" s="14" t="n">
        <v>104688.265991181</v>
      </c>
      <c r="Q594" s="14" t="n">
        <v>10531888.85080398</v>
      </c>
      <c r="R594" s="15">
        <f>IF(D594=1,"Section 1","Control")</f>
        <v/>
      </c>
      <c r="S594" s="16">
        <f>N594/10000</f>
        <v/>
      </c>
      <c r="T594" s="16">
        <f>P594/10000</f>
        <v/>
      </c>
      <c r="U594" s="15">
        <f>IF(N594&gt;=Summary!$D$3,1,0)</f>
        <v/>
      </c>
      <c r="V594" s="17">
        <f>IF(N594&gt;0,P594/N594,"")</f>
        <v/>
      </c>
      <c r="W594" s="17">
        <f>IF(O594&gt;0,H594/O594,"")</f>
        <v/>
      </c>
    </row>
    <row r="595">
      <c r="A595" s="13" t="inlineStr">
        <is>
          <t>T22_B1</t>
        </is>
      </c>
      <c r="B595" s="13" t="inlineStr">
        <is>
          <t>T22</t>
        </is>
      </c>
      <c r="C595" s="13" t="inlineStr">
        <is>
          <t>B1</t>
        </is>
      </c>
      <c r="D595" s="13" t="n">
        <v>1</v>
      </c>
      <c r="E595" s="13" t="inlineStr">
        <is>
          <t>S1</t>
        </is>
      </c>
      <c r="F595" s="13" t="n">
        <v>2025</v>
      </c>
      <c r="G595" s="14" t="n">
        <v>1000562.886189928</v>
      </c>
      <c r="H595" s="14" t="n">
        <v>706946.9250890986</v>
      </c>
      <c r="I595" s="14" t="n">
        <v>4980.652672861137</v>
      </c>
      <c r="J595" s="14" t="n">
        <v>0</v>
      </c>
      <c r="K595" s="14" t="n">
        <v>288635.3084279678</v>
      </c>
      <c r="L595" s="14" t="n">
        <v>0</v>
      </c>
      <c r="M595" s="14" t="n">
        <v>0</v>
      </c>
      <c r="N595" s="14" t="n">
        <v>812658.8519250902</v>
      </c>
      <c r="O595" s="14" t="n">
        <v>1000562.886189928</v>
      </c>
      <c r="P595" s="14" t="n">
        <v>106070.4255523382</v>
      </c>
      <c r="Q595" s="14" t="n">
        <v>10531888.85080398</v>
      </c>
      <c r="R595" s="15">
        <f>IF(D595=1,"Section 1","Control")</f>
        <v/>
      </c>
      <c r="S595" s="16">
        <f>N595/10000</f>
        <v/>
      </c>
      <c r="T595" s="16">
        <f>P595/10000</f>
        <v/>
      </c>
      <c r="U595" s="15">
        <f>IF(N595&gt;=Summary!$D$3,1,0)</f>
        <v/>
      </c>
      <c r="V595" s="17">
        <f>IF(N595&gt;0,P595/N595,"")</f>
        <v/>
      </c>
      <c r="W595" s="17">
        <f>IF(O595&gt;0,H595/O595,"")</f>
        <v/>
      </c>
    </row>
    <row r="596">
      <c r="A596" s="13" t="inlineStr">
        <is>
          <t>T22_B1</t>
        </is>
      </c>
      <c r="B596" s="13" t="inlineStr">
        <is>
          <t>T22</t>
        </is>
      </c>
      <c r="C596" s="13" t="inlineStr">
        <is>
          <t>B1</t>
        </is>
      </c>
      <c r="D596" s="13" t="n">
        <v>1</v>
      </c>
      <c r="E596" s="13" t="inlineStr">
        <is>
          <t>S1</t>
        </is>
      </c>
      <c r="F596" s="13" t="n">
        <v>2026</v>
      </c>
      <c r="G596" s="14" t="n">
        <v>1000562.886189928</v>
      </c>
      <c r="H596" s="14" t="n">
        <v>681449.5668082738</v>
      </c>
      <c r="I596" s="14" t="n">
        <v>4934.955465668323</v>
      </c>
      <c r="J596" s="14" t="n">
        <v>0</v>
      </c>
      <c r="K596" s="14" t="n">
        <v>314178.3639159856</v>
      </c>
      <c r="L596" s="14" t="n">
        <v>0</v>
      </c>
      <c r="M596" s="14" t="n">
        <v>0</v>
      </c>
      <c r="N596" s="14" t="n">
        <v>812658.8519250901</v>
      </c>
      <c r="O596" s="14" t="n">
        <v>1000562.886189928</v>
      </c>
      <c r="P596" s="14" t="n">
        <v>131629.3406035778</v>
      </c>
      <c r="Q596" s="14" t="n">
        <v>10531888.85080398</v>
      </c>
      <c r="R596" s="15">
        <f>IF(D596=1,"Section 1","Control")</f>
        <v/>
      </c>
      <c r="S596" s="16">
        <f>N596/10000</f>
        <v/>
      </c>
      <c r="T596" s="16">
        <f>P596/10000</f>
        <v/>
      </c>
      <c r="U596" s="15">
        <f>IF(N596&gt;=Summary!$D$3,1,0)</f>
        <v/>
      </c>
      <c r="V596" s="17">
        <f>IF(N596&gt;0,P596/N596,"")</f>
        <v/>
      </c>
      <c r="W596" s="17">
        <f>IF(O596&gt;0,H596/O596,"")</f>
        <v/>
      </c>
    </row>
    <row r="597">
      <c r="A597" s="13" t="inlineStr">
        <is>
          <t>T22_B2</t>
        </is>
      </c>
      <c r="B597" s="13" t="inlineStr">
        <is>
          <t>T22</t>
        </is>
      </c>
      <c r="C597" s="13" t="inlineStr">
        <is>
          <t>B2</t>
        </is>
      </c>
      <c r="D597" s="13" t="n">
        <v>1</v>
      </c>
      <c r="E597" s="13" t="inlineStr">
        <is>
          <t>S1</t>
        </is>
      </c>
      <c r="F597" s="13" t="n">
        <v>2020</v>
      </c>
      <c r="G597" s="14" t="n">
        <v>1000312.451767506</v>
      </c>
      <c r="H597" s="14" t="n">
        <v>528968.8848728553</v>
      </c>
      <c r="I597" s="14" t="n">
        <v>110454.2318891039</v>
      </c>
      <c r="J597" s="14" t="n">
        <v>43255.5190544278</v>
      </c>
      <c r="K597" s="14" t="n">
        <v>164673.0981823491</v>
      </c>
      <c r="L597" s="14" t="n">
        <v>152960.7177687701</v>
      </c>
      <c r="M597" s="14" t="n">
        <v>0</v>
      </c>
      <c r="N597" s="14" t="n">
        <v>528968.8848728553</v>
      </c>
      <c r="O597" s="14" t="n">
        <v>847351.7339987361</v>
      </c>
      <c r="P597" s="14" t="n">
        <v>0</v>
      </c>
      <c r="Q597" s="14" t="n">
        <v>10344584.4577243</v>
      </c>
      <c r="R597" s="15">
        <f>IF(D597=1,"Section 1","Control")</f>
        <v/>
      </c>
      <c r="S597" s="16">
        <f>N597/10000</f>
        <v/>
      </c>
      <c r="T597" s="16">
        <f>P597/10000</f>
        <v/>
      </c>
      <c r="U597" s="15">
        <f>IF(N597&gt;=Summary!$D$3,1,0)</f>
        <v/>
      </c>
      <c r="V597" s="17">
        <f>IF(N597&gt;0,P597/N597,"")</f>
        <v/>
      </c>
      <c r="W597" s="17">
        <f>IF(O597&gt;0,H597/O597,"")</f>
        <v/>
      </c>
    </row>
    <row r="598">
      <c r="A598" s="13" t="inlineStr">
        <is>
          <t>T22_B2</t>
        </is>
      </c>
      <c r="B598" s="13" t="inlineStr">
        <is>
          <t>T22</t>
        </is>
      </c>
      <c r="C598" s="13" t="inlineStr">
        <is>
          <t>B2</t>
        </is>
      </c>
      <c r="D598" s="13" t="n">
        <v>1</v>
      </c>
      <c r="E598" s="13" t="inlineStr">
        <is>
          <t>S1</t>
        </is>
      </c>
      <c r="F598" s="13" t="n">
        <v>2021</v>
      </c>
      <c r="G598" s="14" t="n">
        <v>1000312.451767506</v>
      </c>
      <c r="H598" s="14" t="n">
        <v>510864.6156106985</v>
      </c>
      <c r="I598" s="14" t="n">
        <v>111225.4365040498</v>
      </c>
      <c r="J598" s="14" t="n">
        <v>42465.73286058015</v>
      </c>
      <c r="K598" s="14" t="n">
        <v>182006.5490683163</v>
      </c>
      <c r="L598" s="14" t="n">
        <v>153750.1177238614</v>
      </c>
      <c r="M598" s="14" t="n">
        <v>0</v>
      </c>
      <c r="N598" s="14" t="n">
        <v>528968.8848728553</v>
      </c>
      <c r="O598" s="14" t="n">
        <v>847351.7339987361</v>
      </c>
      <c r="P598" s="14" t="n">
        <v>18499.16139777688</v>
      </c>
      <c r="Q598" s="14" t="n">
        <v>10344584.4577243</v>
      </c>
      <c r="R598" s="15">
        <f>IF(D598=1,"Section 1","Control")</f>
        <v/>
      </c>
      <c r="S598" s="16">
        <f>N598/10000</f>
        <v/>
      </c>
      <c r="T598" s="16">
        <f>P598/10000</f>
        <v/>
      </c>
      <c r="U598" s="15">
        <f>IF(N598&gt;=Summary!$D$3,1,0)</f>
        <v/>
      </c>
      <c r="V598" s="17">
        <f>IF(N598&gt;0,P598/N598,"")</f>
        <v/>
      </c>
      <c r="W598" s="17">
        <f>IF(O598&gt;0,H598/O598,"")</f>
        <v/>
      </c>
    </row>
    <row r="599">
      <c r="A599" s="13" t="inlineStr">
        <is>
          <t>T22_B2</t>
        </is>
      </c>
      <c r="B599" s="13" t="inlineStr">
        <is>
          <t>T22</t>
        </is>
      </c>
      <c r="C599" s="13" t="inlineStr">
        <is>
          <t>B2</t>
        </is>
      </c>
      <c r="D599" s="13" t="n">
        <v>1</v>
      </c>
      <c r="E599" s="13" t="inlineStr">
        <is>
          <t>S1</t>
        </is>
      </c>
      <c r="F599" s="13" t="n">
        <v>2022</v>
      </c>
      <c r="G599" s="14" t="n">
        <v>1000312.451767506</v>
      </c>
      <c r="H599" s="14" t="n">
        <v>508458.8682200411</v>
      </c>
      <c r="I599" s="14" t="n">
        <v>125088.4454599418</v>
      </c>
      <c r="J599" s="14" t="n">
        <v>43516.07094442331</v>
      </c>
      <c r="K599" s="14" t="n">
        <v>153422.9079368741</v>
      </c>
      <c r="L599" s="14" t="n">
        <v>169826.1592062258</v>
      </c>
      <c r="M599" s="14" t="n">
        <v>0</v>
      </c>
      <c r="N599" s="14" t="n">
        <v>528968.8848728553</v>
      </c>
      <c r="O599" s="14" t="n">
        <v>847351.7339987361</v>
      </c>
      <c r="P599" s="14" t="n">
        <v>21201.46453217151</v>
      </c>
      <c r="Q599" s="14" t="n">
        <v>10344584.4577243</v>
      </c>
      <c r="R599" s="15">
        <f>IF(D599=1,"Section 1","Control")</f>
        <v/>
      </c>
      <c r="S599" s="16">
        <f>N599/10000</f>
        <v/>
      </c>
      <c r="T599" s="16">
        <f>P599/10000</f>
        <v/>
      </c>
      <c r="U599" s="15">
        <f>IF(N599&gt;=Summary!$D$3,1,0)</f>
        <v/>
      </c>
      <c r="V599" s="17">
        <f>IF(N599&gt;0,P599/N599,"")</f>
        <v/>
      </c>
      <c r="W599" s="17">
        <f>IF(O599&gt;0,H599/O599,"")</f>
        <v/>
      </c>
    </row>
    <row r="600">
      <c r="A600" s="13" t="inlineStr">
        <is>
          <t>T22_B2</t>
        </is>
      </c>
      <c r="B600" s="13" t="inlineStr">
        <is>
          <t>T22</t>
        </is>
      </c>
      <c r="C600" s="13" t="inlineStr">
        <is>
          <t>B2</t>
        </is>
      </c>
      <c r="D600" s="13" t="n">
        <v>1</v>
      </c>
      <c r="E600" s="13" t="inlineStr">
        <is>
          <t>S1</t>
        </is>
      </c>
      <c r="F600" s="13" t="n">
        <v>2023</v>
      </c>
      <c r="G600" s="14" t="n">
        <v>1000312.451767506</v>
      </c>
      <c r="H600" s="14" t="n">
        <v>503596.6581841261</v>
      </c>
      <c r="I600" s="14" t="n">
        <v>118074.0864311966</v>
      </c>
      <c r="J600" s="14" t="n">
        <v>43650.41212083405</v>
      </c>
      <c r="K600" s="14" t="n">
        <v>164276.6255254409</v>
      </c>
      <c r="L600" s="14" t="n">
        <v>170714.6695059084</v>
      </c>
      <c r="M600" s="14" t="n">
        <v>0</v>
      </c>
      <c r="N600" s="14" t="n">
        <v>528968.8848728553</v>
      </c>
      <c r="O600" s="14" t="n">
        <v>847351.733998736</v>
      </c>
      <c r="P600" s="14" t="n">
        <v>26063.67481222714</v>
      </c>
      <c r="Q600" s="14" t="n">
        <v>10344584.4577243</v>
      </c>
      <c r="R600" s="15">
        <f>IF(D600=1,"Section 1","Control")</f>
        <v/>
      </c>
      <c r="S600" s="16">
        <f>N600/10000</f>
        <v/>
      </c>
      <c r="T600" s="16">
        <f>P600/10000</f>
        <v/>
      </c>
      <c r="U600" s="15">
        <f>IF(N600&gt;=Summary!$D$3,1,0)</f>
        <v/>
      </c>
      <c r="V600" s="17">
        <f>IF(N600&gt;0,P600/N600,"")</f>
        <v/>
      </c>
      <c r="W600" s="17">
        <f>IF(O600&gt;0,H600/O600,"")</f>
        <v/>
      </c>
    </row>
    <row r="601">
      <c r="A601" s="13" t="inlineStr">
        <is>
          <t>T22_B2</t>
        </is>
      </c>
      <c r="B601" s="13" t="inlineStr">
        <is>
          <t>T22</t>
        </is>
      </c>
      <c r="C601" s="13" t="inlineStr">
        <is>
          <t>B2</t>
        </is>
      </c>
      <c r="D601" s="13" t="n">
        <v>1</v>
      </c>
      <c r="E601" s="13" t="inlineStr">
        <is>
          <t>S1</t>
        </is>
      </c>
      <c r="F601" s="13" t="n">
        <v>2024</v>
      </c>
      <c r="G601" s="14" t="n">
        <v>1000312.451767506</v>
      </c>
      <c r="H601" s="14" t="n">
        <v>501377.5588640398</v>
      </c>
      <c r="I601" s="14" t="n">
        <v>132809.3807992673</v>
      </c>
      <c r="J601" s="14" t="n">
        <v>43650.41212083405</v>
      </c>
      <c r="K601" s="14" t="n">
        <v>157921.5441644108</v>
      </c>
      <c r="L601" s="14" t="n">
        <v>164553.5558189542</v>
      </c>
      <c r="M601" s="14" t="n">
        <v>0</v>
      </c>
      <c r="N601" s="14" t="n">
        <v>528968.8848728553</v>
      </c>
      <c r="O601" s="14" t="n">
        <v>847351.733998736</v>
      </c>
      <c r="P601" s="14" t="n">
        <v>28581.26515027215</v>
      </c>
      <c r="Q601" s="14" t="n">
        <v>10344584.4577243</v>
      </c>
      <c r="R601" s="15">
        <f>IF(D601=1,"Section 1","Control")</f>
        <v/>
      </c>
      <c r="S601" s="16">
        <f>N601/10000</f>
        <v/>
      </c>
      <c r="T601" s="16">
        <f>P601/10000</f>
        <v/>
      </c>
      <c r="U601" s="15">
        <f>IF(N601&gt;=Summary!$D$3,1,0)</f>
        <v/>
      </c>
      <c r="V601" s="17">
        <f>IF(N601&gt;0,P601/N601,"")</f>
        <v/>
      </c>
      <c r="W601" s="17">
        <f>IF(O601&gt;0,H601/O601,"")</f>
        <v/>
      </c>
    </row>
    <row r="602">
      <c r="A602" s="13" t="inlineStr">
        <is>
          <t>T22_B2</t>
        </is>
      </c>
      <c r="B602" s="13" t="inlineStr">
        <is>
          <t>T22</t>
        </is>
      </c>
      <c r="C602" s="13" t="inlineStr">
        <is>
          <t>B2</t>
        </is>
      </c>
      <c r="D602" s="13" t="n">
        <v>1</v>
      </c>
      <c r="E602" s="13" t="inlineStr">
        <is>
          <t>S1</t>
        </is>
      </c>
      <c r="F602" s="13" t="n">
        <v>2025</v>
      </c>
      <c r="G602" s="14" t="n">
        <v>1000312.451767506</v>
      </c>
      <c r="H602" s="14" t="n">
        <v>502435.2387987921</v>
      </c>
      <c r="I602" s="14" t="n">
        <v>130381.1982654048</v>
      </c>
      <c r="J602" s="14" t="n">
        <v>43650.41212083405</v>
      </c>
      <c r="K602" s="14" t="n">
        <v>159251.7837693158</v>
      </c>
      <c r="L602" s="14" t="n">
        <v>164593.8188131594</v>
      </c>
      <c r="M602" s="14" t="n">
        <v>0</v>
      </c>
      <c r="N602" s="14" t="n">
        <v>528968.8848728553</v>
      </c>
      <c r="O602" s="14" t="n">
        <v>847351.7339987361</v>
      </c>
      <c r="P602" s="14" t="n">
        <v>28559.98259519689</v>
      </c>
      <c r="Q602" s="14" t="n">
        <v>10344584.4577243</v>
      </c>
      <c r="R602" s="15">
        <f>IF(D602=1,"Section 1","Control")</f>
        <v/>
      </c>
      <c r="S602" s="16">
        <f>N602/10000</f>
        <v/>
      </c>
      <c r="T602" s="16">
        <f>P602/10000</f>
        <v/>
      </c>
      <c r="U602" s="15">
        <f>IF(N602&gt;=Summary!$D$3,1,0)</f>
        <v/>
      </c>
      <c r="V602" s="17">
        <f>IF(N602&gt;0,P602/N602,"")</f>
        <v/>
      </c>
      <c r="W602" s="17">
        <f>IF(O602&gt;0,H602/O602,"")</f>
        <v/>
      </c>
    </row>
    <row r="603">
      <c r="A603" s="13" t="inlineStr">
        <is>
          <t>T22_B2</t>
        </is>
      </c>
      <c r="B603" s="13" t="inlineStr">
        <is>
          <t>T22</t>
        </is>
      </c>
      <c r="C603" s="13" t="inlineStr">
        <is>
          <t>B2</t>
        </is>
      </c>
      <c r="D603" s="13" t="n">
        <v>1</v>
      </c>
      <c r="E603" s="13" t="inlineStr">
        <is>
          <t>S1</t>
        </is>
      </c>
      <c r="F603" s="13" t="n">
        <v>2026</v>
      </c>
      <c r="G603" s="14" t="n">
        <v>1000312.451767506</v>
      </c>
      <c r="H603" s="14" t="n">
        <v>515804.2782365985</v>
      </c>
      <c r="I603" s="14" t="n">
        <v>112278.0729134653</v>
      </c>
      <c r="J603" s="14" t="n">
        <v>43650.41212083405</v>
      </c>
      <c r="K603" s="14" t="n">
        <v>158378.7675197527</v>
      </c>
      <c r="L603" s="14" t="n">
        <v>170200.9209768557</v>
      </c>
      <c r="M603" s="14" t="n">
        <v>0</v>
      </c>
      <c r="N603" s="14" t="n">
        <v>528968.8848728553</v>
      </c>
      <c r="O603" s="14" t="n">
        <v>847351.7339987361</v>
      </c>
      <c r="P603" s="14" t="n">
        <v>26388.07380460852</v>
      </c>
      <c r="Q603" s="14" t="n">
        <v>10344584.4577243</v>
      </c>
      <c r="R603" s="15">
        <f>IF(D603=1,"Section 1","Control")</f>
        <v/>
      </c>
      <c r="S603" s="16">
        <f>N603/10000</f>
        <v/>
      </c>
      <c r="T603" s="16">
        <f>P603/10000</f>
        <v/>
      </c>
      <c r="U603" s="15">
        <f>IF(N603&gt;=Summary!$D$3,1,0)</f>
        <v/>
      </c>
      <c r="V603" s="17">
        <f>IF(N603&gt;0,P603/N603,"")</f>
        <v/>
      </c>
      <c r="W603" s="17">
        <f>IF(O603&gt;0,H603/O603,"")</f>
        <v/>
      </c>
    </row>
    <row r="604">
      <c r="A604" s="13" t="inlineStr">
        <is>
          <t>T22_B3</t>
        </is>
      </c>
      <c r="B604" s="13" t="inlineStr">
        <is>
          <t>T22</t>
        </is>
      </c>
      <c r="C604" s="13" t="inlineStr">
        <is>
          <t>B3</t>
        </is>
      </c>
      <c r="D604" s="13" t="n">
        <v>1</v>
      </c>
      <c r="E604" s="13" t="inlineStr">
        <is>
          <t>S1</t>
        </is>
      </c>
      <c r="F604" s="13" t="n">
        <v>2020</v>
      </c>
      <c r="G604" s="14" t="n">
        <v>8004938.988628822</v>
      </c>
      <c r="H604" s="14" t="n">
        <v>1226129.493363145</v>
      </c>
      <c r="I604" s="14" t="n">
        <v>269080.1819439757</v>
      </c>
      <c r="J604" s="14" t="n">
        <v>0</v>
      </c>
      <c r="K604" s="14" t="n">
        <v>2436833.830450589</v>
      </c>
      <c r="L604" s="14" t="n">
        <v>4072895.482871111</v>
      </c>
      <c r="M604" s="14" t="n">
        <v>0</v>
      </c>
      <c r="N604" s="14" t="n">
        <v>1226129.493363145</v>
      </c>
      <c r="O604" s="14" t="n">
        <v>3932043.505757709</v>
      </c>
      <c r="P604" s="14" t="n">
        <v>0</v>
      </c>
      <c r="Q604" s="14" t="n">
        <v>30947796.52326624</v>
      </c>
      <c r="R604" s="15">
        <f>IF(D604=1,"Section 1","Control")</f>
        <v/>
      </c>
      <c r="S604" s="16">
        <f>N604/10000</f>
        <v/>
      </c>
      <c r="T604" s="16">
        <f>P604/10000</f>
        <v/>
      </c>
      <c r="U604" s="15">
        <f>IF(N604&gt;=Summary!$D$3,1,0)</f>
        <v/>
      </c>
      <c r="V604" s="17">
        <f>IF(N604&gt;0,P604/N604,"")</f>
        <v/>
      </c>
      <c r="W604" s="17">
        <f>IF(O604&gt;0,H604/O604,"")</f>
        <v/>
      </c>
    </row>
    <row r="605">
      <c r="A605" s="13" t="inlineStr">
        <is>
          <t>T22_B3</t>
        </is>
      </c>
      <c r="B605" s="13" t="inlineStr">
        <is>
          <t>T22</t>
        </is>
      </c>
      <c r="C605" s="13" t="inlineStr">
        <is>
          <t>B3</t>
        </is>
      </c>
      <c r="D605" s="13" t="n">
        <v>1</v>
      </c>
      <c r="E605" s="13" t="inlineStr">
        <is>
          <t>S1</t>
        </is>
      </c>
      <c r="F605" s="13" t="n">
        <v>2021</v>
      </c>
      <c r="G605" s="14" t="n">
        <v>8004938.988628821</v>
      </c>
      <c r="H605" s="14" t="n">
        <v>1137770.148075956</v>
      </c>
      <c r="I605" s="14" t="n">
        <v>178645.1802890254</v>
      </c>
      <c r="J605" s="14" t="n">
        <v>0</v>
      </c>
      <c r="K605" s="14" t="n">
        <v>2615628.177392728</v>
      </c>
      <c r="L605" s="14" t="n">
        <v>4072895.482871111</v>
      </c>
      <c r="M605" s="14" t="n">
        <v>0</v>
      </c>
      <c r="N605" s="14" t="n">
        <v>1226129.493363145</v>
      </c>
      <c r="O605" s="14" t="n">
        <v>3932043.50575771</v>
      </c>
      <c r="P605" s="14" t="n">
        <v>176455.4161510991</v>
      </c>
      <c r="Q605" s="14" t="n">
        <v>30947796.52326624</v>
      </c>
      <c r="R605" s="15">
        <f>IF(D605=1,"Section 1","Control")</f>
        <v/>
      </c>
      <c r="S605" s="16">
        <f>N605/10000</f>
        <v/>
      </c>
      <c r="T605" s="16">
        <f>P605/10000</f>
        <v/>
      </c>
      <c r="U605" s="15">
        <f>IF(N605&gt;=Summary!$D$3,1,0)</f>
        <v/>
      </c>
      <c r="V605" s="17">
        <f>IF(N605&gt;0,P605/N605,"")</f>
        <v/>
      </c>
      <c r="W605" s="17">
        <f>IF(O605&gt;0,H605/O605,"")</f>
        <v/>
      </c>
    </row>
    <row r="606">
      <c r="A606" s="13" t="inlineStr">
        <is>
          <t>T22_B3</t>
        </is>
      </c>
      <c r="B606" s="13" t="inlineStr">
        <is>
          <t>T22</t>
        </is>
      </c>
      <c r="C606" s="13" t="inlineStr">
        <is>
          <t>B3</t>
        </is>
      </c>
      <c r="D606" s="13" t="n">
        <v>1</v>
      </c>
      <c r="E606" s="13" t="inlineStr">
        <is>
          <t>S1</t>
        </is>
      </c>
      <c r="F606" s="13" t="n">
        <v>2022</v>
      </c>
      <c r="G606" s="14" t="n">
        <v>8004938.988628822</v>
      </c>
      <c r="H606" s="14" t="n">
        <v>985967.255744186</v>
      </c>
      <c r="I606" s="14" t="n">
        <v>104530.6535186767</v>
      </c>
      <c r="J606" s="14" t="n">
        <v>0</v>
      </c>
      <c r="K606" s="14" t="n">
        <v>2841545.596494847</v>
      </c>
      <c r="L606" s="14" t="n">
        <v>4072895.482871111</v>
      </c>
      <c r="M606" s="14" t="n">
        <v>0</v>
      </c>
      <c r="N606" s="14" t="n">
        <v>1226129.493363145</v>
      </c>
      <c r="O606" s="14" t="n">
        <v>3932043.50575771</v>
      </c>
      <c r="P606" s="14" t="n">
        <v>350625.0575316186</v>
      </c>
      <c r="Q606" s="14" t="n">
        <v>30947796.52326624</v>
      </c>
      <c r="R606" s="15">
        <f>IF(D606=1,"Section 1","Control")</f>
        <v/>
      </c>
      <c r="S606" s="16">
        <f>N606/10000</f>
        <v/>
      </c>
      <c r="T606" s="16">
        <f>P606/10000</f>
        <v/>
      </c>
      <c r="U606" s="15">
        <f>IF(N606&gt;=Summary!$D$3,1,0)</f>
        <v/>
      </c>
      <c r="V606" s="17">
        <f>IF(N606&gt;0,P606/N606,"")</f>
        <v/>
      </c>
      <c r="W606" s="17">
        <f>IF(O606&gt;0,H606/O606,"")</f>
        <v/>
      </c>
    </row>
    <row r="607">
      <c r="A607" s="13" t="inlineStr">
        <is>
          <t>T22_B3</t>
        </is>
      </c>
      <c r="B607" s="13" t="inlineStr">
        <is>
          <t>T22</t>
        </is>
      </c>
      <c r="C607" s="13" t="inlineStr">
        <is>
          <t>B3</t>
        </is>
      </c>
      <c r="D607" s="13" t="n">
        <v>1</v>
      </c>
      <c r="E607" s="13" t="inlineStr">
        <is>
          <t>S1</t>
        </is>
      </c>
      <c r="F607" s="13" t="n">
        <v>2023</v>
      </c>
      <c r="G607" s="14" t="n">
        <v>8004938.988628822</v>
      </c>
      <c r="H607" s="14" t="n">
        <v>911559.7911507998</v>
      </c>
      <c r="I607" s="14" t="n">
        <v>188895.4306777954</v>
      </c>
      <c r="J607" s="14" t="n">
        <v>0</v>
      </c>
      <c r="K607" s="14" t="n">
        <v>2831588.283929115</v>
      </c>
      <c r="L607" s="14" t="n">
        <v>4072895.482871111</v>
      </c>
      <c r="M607" s="14" t="n">
        <v>0</v>
      </c>
      <c r="N607" s="14" t="n">
        <v>1226129.493363145</v>
      </c>
      <c r="O607" s="14" t="n">
        <v>3932043.50575771</v>
      </c>
      <c r="P607" s="14" t="n">
        <v>388155.2788851271</v>
      </c>
      <c r="Q607" s="14" t="n">
        <v>30947796.52326624</v>
      </c>
      <c r="R607" s="15">
        <f>IF(D607=1,"Section 1","Control")</f>
        <v/>
      </c>
      <c r="S607" s="16">
        <f>N607/10000</f>
        <v/>
      </c>
      <c r="T607" s="16">
        <f>P607/10000</f>
        <v/>
      </c>
      <c r="U607" s="15">
        <f>IF(N607&gt;=Summary!$D$3,1,0)</f>
        <v/>
      </c>
      <c r="V607" s="17">
        <f>IF(N607&gt;0,P607/N607,"")</f>
        <v/>
      </c>
      <c r="W607" s="17">
        <f>IF(O607&gt;0,H607/O607,"")</f>
        <v/>
      </c>
    </row>
    <row r="608">
      <c r="A608" s="13" t="inlineStr">
        <is>
          <t>T22_B3</t>
        </is>
      </c>
      <c r="B608" s="13" t="inlineStr">
        <is>
          <t>T22</t>
        </is>
      </c>
      <c r="C608" s="13" t="inlineStr">
        <is>
          <t>B3</t>
        </is>
      </c>
      <c r="D608" s="13" t="n">
        <v>1</v>
      </c>
      <c r="E608" s="13" t="inlineStr">
        <is>
          <t>S1</t>
        </is>
      </c>
      <c r="F608" s="13" t="n">
        <v>2024</v>
      </c>
      <c r="G608" s="14" t="n">
        <v>8004938.988628822</v>
      </c>
      <c r="H608" s="14" t="n">
        <v>995899.3419336356</v>
      </c>
      <c r="I608" s="14" t="n">
        <v>99871.49457600911</v>
      </c>
      <c r="J608" s="14" t="n">
        <v>0</v>
      </c>
      <c r="K608" s="14" t="n">
        <v>2836272.669248065</v>
      </c>
      <c r="L608" s="14" t="n">
        <v>4072895.482871112</v>
      </c>
      <c r="M608" s="14" t="n">
        <v>0</v>
      </c>
      <c r="N608" s="14" t="n">
        <v>1226129.493363145</v>
      </c>
      <c r="O608" s="14" t="n">
        <v>3932043.50575771</v>
      </c>
      <c r="P608" s="14" t="n">
        <v>382307.7623764337</v>
      </c>
      <c r="Q608" s="14" t="n">
        <v>30947796.52326624</v>
      </c>
      <c r="R608" s="15">
        <f>IF(D608=1,"Section 1","Control")</f>
        <v/>
      </c>
      <c r="S608" s="16">
        <f>N608/10000</f>
        <v/>
      </c>
      <c r="T608" s="16">
        <f>P608/10000</f>
        <v/>
      </c>
      <c r="U608" s="15">
        <f>IF(N608&gt;=Summary!$D$3,1,0)</f>
        <v/>
      </c>
      <c r="V608" s="17">
        <f>IF(N608&gt;0,P608/N608,"")</f>
        <v/>
      </c>
      <c r="W608" s="17">
        <f>IF(O608&gt;0,H608/O608,"")</f>
        <v/>
      </c>
    </row>
    <row r="609">
      <c r="A609" s="13" t="inlineStr">
        <is>
          <t>T22_B3</t>
        </is>
      </c>
      <c r="B609" s="13" t="inlineStr">
        <is>
          <t>T22</t>
        </is>
      </c>
      <c r="C609" s="13" t="inlineStr">
        <is>
          <t>B3</t>
        </is>
      </c>
      <c r="D609" s="13" t="n">
        <v>1</v>
      </c>
      <c r="E609" s="13" t="inlineStr">
        <is>
          <t>S1</t>
        </is>
      </c>
      <c r="F609" s="13" t="n">
        <v>2025</v>
      </c>
      <c r="G609" s="14" t="n">
        <v>8004938.988628821</v>
      </c>
      <c r="H609" s="14" t="n">
        <v>1000250.857460142</v>
      </c>
      <c r="I609" s="14" t="n">
        <v>79396.73289941526</v>
      </c>
      <c r="J609" s="14" t="n">
        <v>0</v>
      </c>
      <c r="K609" s="14" t="n">
        <v>2852395.915398153</v>
      </c>
      <c r="L609" s="14" t="n">
        <v>4072895.482871111</v>
      </c>
      <c r="M609" s="14" t="n">
        <v>0</v>
      </c>
      <c r="N609" s="14" t="n">
        <v>1226129.493363145</v>
      </c>
      <c r="O609" s="14" t="n">
        <v>3932043.50575771</v>
      </c>
      <c r="P609" s="14" t="n">
        <v>392509.6170629464</v>
      </c>
      <c r="Q609" s="14" t="n">
        <v>30947796.52326624</v>
      </c>
      <c r="R609" s="15">
        <f>IF(D609=1,"Section 1","Control")</f>
        <v/>
      </c>
      <c r="S609" s="16">
        <f>N609/10000</f>
        <v/>
      </c>
      <c r="T609" s="16">
        <f>P609/10000</f>
        <v/>
      </c>
      <c r="U609" s="15">
        <f>IF(N609&gt;=Summary!$D$3,1,0)</f>
        <v/>
      </c>
      <c r="V609" s="17">
        <f>IF(N609&gt;0,P609/N609,"")</f>
        <v/>
      </c>
      <c r="W609" s="17">
        <f>IF(O609&gt;0,H609/O609,"")</f>
        <v/>
      </c>
    </row>
    <row r="610">
      <c r="A610" s="13" t="inlineStr">
        <is>
          <t>T22_B3</t>
        </is>
      </c>
      <c r="B610" s="13" t="inlineStr">
        <is>
          <t>T22</t>
        </is>
      </c>
      <c r="C610" s="13" t="inlineStr">
        <is>
          <t>B3</t>
        </is>
      </c>
      <c r="D610" s="13" t="n">
        <v>1</v>
      </c>
      <c r="E610" s="13" t="inlineStr">
        <is>
          <t>S1</t>
        </is>
      </c>
      <c r="F610" s="13" t="n">
        <v>2026</v>
      </c>
      <c r="G610" s="14" t="n">
        <v>8004938.988628822</v>
      </c>
      <c r="H610" s="14" t="n">
        <v>988790.6032181684</v>
      </c>
      <c r="I610" s="14" t="n">
        <v>55967.70372194776</v>
      </c>
      <c r="J610" s="14" t="n">
        <v>0</v>
      </c>
      <c r="K610" s="14" t="n">
        <v>2887285.198817593</v>
      </c>
      <c r="L610" s="14" t="n">
        <v>4072895.482871111</v>
      </c>
      <c r="M610" s="14" t="n">
        <v>0</v>
      </c>
      <c r="N610" s="14" t="n">
        <v>1226129.493363145</v>
      </c>
      <c r="O610" s="14" t="n">
        <v>3932043.50575771</v>
      </c>
      <c r="P610" s="14" t="n">
        <v>426118.3697099574</v>
      </c>
      <c r="Q610" s="14" t="n">
        <v>30947796.52326624</v>
      </c>
      <c r="R610" s="15">
        <f>IF(D610=1,"Section 1","Control")</f>
        <v/>
      </c>
      <c r="S610" s="16">
        <f>N610/10000</f>
        <v/>
      </c>
      <c r="T610" s="16">
        <f>P610/10000</f>
        <v/>
      </c>
      <c r="U610" s="15">
        <f>IF(N610&gt;=Summary!$D$3,1,0)</f>
        <v/>
      </c>
      <c r="V610" s="17">
        <f>IF(N610&gt;0,P610/N610,"")</f>
        <v/>
      </c>
      <c r="W610" s="17">
        <f>IF(O610&gt;0,H610/O610,"")</f>
        <v/>
      </c>
    </row>
    <row r="611">
      <c r="A611" s="13" t="inlineStr">
        <is>
          <t>T22_F</t>
        </is>
      </c>
      <c r="B611" s="13" t="inlineStr">
        <is>
          <t>T22</t>
        </is>
      </c>
      <c r="C611" s="13" t="inlineStr">
        <is>
          <t>F</t>
        </is>
      </c>
      <c r="D611" s="13" t="n">
        <v>1</v>
      </c>
      <c r="E611" s="13" t="inlineStr">
        <is>
          <t>S1</t>
        </is>
      </c>
      <c r="F611" s="13" t="n">
        <v>2020</v>
      </c>
      <c r="G611" s="14" t="n">
        <v>63427.86365102133</v>
      </c>
      <c r="H611" s="14" t="n">
        <v>63427.86365102133</v>
      </c>
      <c r="I611" s="14" t="n">
        <v>0</v>
      </c>
      <c r="J611" s="14" t="n">
        <v>0</v>
      </c>
      <c r="K611" s="14" t="n">
        <v>0</v>
      </c>
      <c r="L611" s="14" t="n">
        <v>0</v>
      </c>
      <c r="M611" s="14" t="n">
        <v>0</v>
      </c>
      <c r="N611" s="14" t="n">
        <v>63427.86365102133</v>
      </c>
      <c r="O611" s="14" t="n">
        <v>63427.86365102133</v>
      </c>
      <c r="P611" s="14" t="n">
        <v>0</v>
      </c>
      <c r="Q611" s="14" t="n">
        <v>744161.1951485437</v>
      </c>
      <c r="R611" s="15">
        <f>IF(D611=1,"Section 1","Control")</f>
        <v/>
      </c>
      <c r="S611" s="16">
        <f>N611/10000</f>
        <v/>
      </c>
      <c r="T611" s="16">
        <f>P611/10000</f>
        <v/>
      </c>
      <c r="U611" s="15">
        <f>IF(N611&gt;=Summary!$D$3,1,0)</f>
        <v/>
      </c>
      <c r="V611" s="17">
        <f>IF(N611&gt;0,P611/N611,"")</f>
        <v/>
      </c>
      <c r="W611" s="17">
        <f>IF(O611&gt;0,H611/O611,"")</f>
        <v/>
      </c>
    </row>
    <row r="612">
      <c r="A612" s="13" t="inlineStr">
        <is>
          <t>T22_F</t>
        </is>
      </c>
      <c r="B612" s="13" t="inlineStr">
        <is>
          <t>T22</t>
        </is>
      </c>
      <c r="C612" s="13" t="inlineStr">
        <is>
          <t>F</t>
        </is>
      </c>
      <c r="D612" s="13" t="n">
        <v>1</v>
      </c>
      <c r="E612" s="13" t="inlineStr">
        <is>
          <t>S1</t>
        </is>
      </c>
      <c r="F612" s="13" t="n">
        <v>2021</v>
      </c>
      <c r="G612" s="14" t="n">
        <v>63427.86365102133</v>
      </c>
      <c r="H612" s="14" t="n">
        <v>63427.86365102133</v>
      </c>
      <c r="I612" s="14" t="n">
        <v>0</v>
      </c>
      <c r="J612" s="14" t="n">
        <v>0</v>
      </c>
      <c r="K612" s="14" t="n">
        <v>0</v>
      </c>
      <c r="L612" s="14" t="n">
        <v>0</v>
      </c>
      <c r="M612" s="14" t="n">
        <v>0</v>
      </c>
      <c r="N612" s="14" t="n">
        <v>63427.86365102133</v>
      </c>
      <c r="O612" s="14" t="n">
        <v>63427.86365102133</v>
      </c>
      <c r="P612" s="14" t="n">
        <v>0</v>
      </c>
      <c r="Q612" s="14" t="n">
        <v>744161.1951485437</v>
      </c>
      <c r="R612" s="15">
        <f>IF(D612=1,"Section 1","Control")</f>
        <v/>
      </c>
      <c r="S612" s="16">
        <f>N612/10000</f>
        <v/>
      </c>
      <c r="T612" s="16">
        <f>P612/10000</f>
        <v/>
      </c>
      <c r="U612" s="15">
        <f>IF(N612&gt;=Summary!$D$3,1,0)</f>
        <v/>
      </c>
      <c r="V612" s="17">
        <f>IF(N612&gt;0,P612/N612,"")</f>
        <v/>
      </c>
      <c r="W612" s="17">
        <f>IF(O612&gt;0,H612/O612,"")</f>
        <v/>
      </c>
    </row>
    <row r="613">
      <c r="A613" s="13" t="inlineStr">
        <is>
          <t>T22_F</t>
        </is>
      </c>
      <c r="B613" s="13" t="inlineStr">
        <is>
          <t>T22</t>
        </is>
      </c>
      <c r="C613" s="13" t="inlineStr">
        <is>
          <t>F</t>
        </is>
      </c>
      <c r="D613" s="13" t="n">
        <v>1</v>
      </c>
      <c r="E613" s="13" t="inlineStr">
        <is>
          <t>S1</t>
        </is>
      </c>
      <c r="F613" s="13" t="n">
        <v>2022</v>
      </c>
      <c r="G613" s="14" t="n">
        <v>63427.86365102133</v>
      </c>
      <c r="H613" s="14" t="n">
        <v>63427.86365102133</v>
      </c>
      <c r="I613" s="14" t="n">
        <v>0</v>
      </c>
      <c r="J613" s="14" t="n">
        <v>0</v>
      </c>
      <c r="K613" s="14" t="n">
        <v>0</v>
      </c>
      <c r="L613" s="14" t="n">
        <v>0</v>
      </c>
      <c r="M613" s="14" t="n">
        <v>0</v>
      </c>
      <c r="N613" s="14" t="n">
        <v>63427.86365102133</v>
      </c>
      <c r="O613" s="14" t="n">
        <v>63427.86365102133</v>
      </c>
      <c r="P613" s="14" t="n">
        <v>0</v>
      </c>
      <c r="Q613" s="14" t="n">
        <v>744161.1951485437</v>
      </c>
      <c r="R613" s="15">
        <f>IF(D613=1,"Section 1","Control")</f>
        <v/>
      </c>
      <c r="S613" s="16">
        <f>N613/10000</f>
        <v/>
      </c>
      <c r="T613" s="16">
        <f>P613/10000</f>
        <v/>
      </c>
      <c r="U613" s="15">
        <f>IF(N613&gt;=Summary!$D$3,1,0)</f>
        <v/>
      </c>
      <c r="V613" s="17">
        <f>IF(N613&gt;0,P613/N613,"")</f>
        <v/>
      </c>
      <c r="W613" s="17">
        <f>IF(O613&gt;0,H613/O613,"")</f>
        <v/>
      </c>
    </row>
    <row r="614">
      <c r="A614" s="13" t="inlineStr">
        <is>
          <t>T22_F</t>
        </is>
      </c>
      <c r="B614" s="13" t="inlineStr">
        <is>
          <t>T22</t>
        </is>
      </c>
      <c r="C614" s="13" t="inlineStr">
        <is>
          <t>F</t>
        </is>
      </c>
      <c r="D614" s="13" t="n">
        <v>1</v>
      </c>
      <c r="E614" s="13" t="inlineStr">
        <is>
          <t>S1</t>
        </is>
      </c>
      <c r="F614" s="13" t="n">
        <v>2023</v>
      </c>
      <c r="G614" s="14" t="n">
        <v>63427.86365102133</v>
      </c>
      <c r="H614" s="14" t="n">
        <v>63427.86365102133</v>
      </c>
      <c r="I614" s="14" t="n">
        <v>0</v>
      </c>
      <c r="J614" s="14" t="n">
        <v>0</v>
      </c>
      <c r="K614" s="14" t="n">
        <v>0</v>
      </c>
      <c r="L614" s="14" t="n">
        <v>0</v>
      </c>
      <c r="M614" s="14" t="n">
        <v>0</v>
      </c>
      <c r="N614" s="14" t="n">
        <v>63427.86365102133</v>
      </c>
      <c r="O614" s="14" t="n">
        <v>63427.86365102133</v>
      </c>
      <c r="P614" s="14" t="n">
        <v>0</v>
      </c>
      <c r="Q614" s="14" t="n">
        <v>744161.1951485437</v>
      </c>
      <c r="R614" s="15">
        <f>IF(D614=1,"Section 1","Control")</f>
        <v/>
      </c>
      <c r="S614" s="16">
        <f>N614/10000</f>
        <v/>
      </c>
      <c r="T614" s="16">
        <f>P614/10000</f>
        <v/>
      </c>
      <c r="U614" s="15">
        <f>IF(N614&gt;=Summary!$D$3,1,0)</f>
        <v/>
      </c>
      <c r="V614" s="17">
        <f>IF(N614&gt;0,P614/N614,"")</f>
        <v/>
      </c>
      <c r="W614" s="17">
        <f>IF(O614&gt;0,H614/O614,"")</f>
        <v/>
      </c>
    </row>
    <row r="615">
      <c r="A615" s="13" t="inlineStr">
        <is>
          <t>T22_F</t>
        </is>
      </c>
      <c r="B615" s="13" t="inlineStr">
        <is>
          <t>T22</t>
        </is>
      </c>
      <c r="C615" s="13" t="inlineStr">
        <is>
          <t>F</t>
        </is>
      </c>
      <c r="D615" s="13" t="n">
        <v>1</v>
      </c>
      <c r="E615" s="13" t="inlineStr">
        <is>
          <t>S1</t>
        </is>
      </c>
      <c r="F615" s="13" t="n">
        <v>2024</v>
      </c>
      <c r="G615" s="14" t="n">
        <v>63427.86365102133</v>
      </c>
      <c r="H615" s="14" t="n">
        <v>63427.86365102133</v>
      </c>
      <c r="I615" s="14" t="n">
        <v>0</v>
      </c>
      <c r="J615" s="14" t="n">
        <v>0</v>
      </c>
      <c r="K615" s="14" t="n">
        <v>0</v>
      </c>
      <c r="L615" s="14" t="n">
        <v>0</v>
      </c>
      <c r="M615" s="14" t="n">
        <v>0</v>
      </c>
      <c r="N615" s="14" t="n">
        <v>63427.86365102133</v>
      </c>
      <c r="O615" s="14" t="n">
        <v>63427.86365102133</v>
      </c>
      <c r="P615" s="14" t="n">
        <v>0</v>
      </c>
      <c r="Q615" s="14" t="n">
        <v>744161.1951485437</v>
      </c>
      <c r="R615" s="15">
        <f>IF(D615=1,"Section 1","Control")</f>
        <v/>
      </c>
      <c r="S615" s="16">
        <f>N615/10000</f>
        <v/>
      </c>
      <c r="T615" s="16">
        <f>P615/10000</f>
        <v/>
      </c>
      <c r="U615" s="15">
        <f>IF(N615&gt;=Summary!$D$3,1,0)</f>
        <v/>
      </c>
      <c r="V615" s="17">
        <f>IF(N615&gt;0,P615/N615,"")</f>
        <v/>
      </c>
      <c r="W615" s="17">
        <f>IF(O615&gt;0,H615/O615,"")</f>
        <v/>
      </c>
    </row>
    <row r="616">
      <c r="A616" s="13" t="inlineStr">
        <is>
          <t>T22_F</t>
        </is>
      </c>
      <c r="B616" s="13" t="inlineStr">
        <is>
          <t>T22</t>
        </is>
      </c>
      <c r="C616" s="13" t="inlineStr">
        <is>
          <t>F</t>
        </is>
      </c>
      <c r="D616" s="13" t="n">
        <v>1</v>
      </c>
      <c r="E616" s="13" t="inlineStr">
        <is>
          <t>S1</t>
        </is>
      </c>
      <c r="F616" s="13" t="n">
        <v>2025</v>
      </c>
      <c r="G616" s="14" t="n">
        <v>63427.86365102133</v>
      </c>
      <c r="H616" s="14" t="n">
        <v>63427.86365102133</v>
      </c>
      <c r="I616" s="14" t="n">
        <v>0</v>
      </c>
      <c r="J616" s="14" t="n">
        <v>0</v>
      </c>
      <c r="K616" s="14" t="n">
        <v>0</v>
      </c>
      <c r="L616" s="14" t="n">
        <v>0</v>
      </c>
      <c r="M616" s="14" t="n">
        <v>0</v>
      </c>
      <c r="N616" s="14" t="n">
        <v>63427.86365102133</v>
      </c>
      <c r="O616" s="14" t="n">
        <v>63427.86365102133</v>
      </c>
      <c r="P616" s="14" t="n">
        <v>0</v>
      </c>
      <c r="Q616" s="14" t="n">
        <v>744161.1951485437</v>
      </c>
      <c r="R616" s="15">
        <f>IF(D616=1,"Section 1","Control")</f>
        <v/>
      </c>
      <c r="S616" s="16">
        <f>N616/10000</f>
        <v/>
      </c>
      <c r="T616" s="16">
        <f>P616/10000</f>
        <v/>
      </c>
      <c r="U616" s="15">
        <f>IF(N616&gt;=Summary!$D$3,1,0)</f>
        <v/>
      </c>
      <c r="V616" s="17">
        <f>IF(N616&gt;0,P616/N616,"")</f>
        <v/>
      </c>
      <c r="W616" s="17">
        <f>IF(O616&gt;0,H616/O616,"")</f>
        <v/>
      </c>
    </row>
    <row r="617">
      <c r="A617" s="13" t="inlineStr">
        <is>
          <t>T22_F</t>
        </is>
      </c>
      <c r="B617" s="13" t="inlineStr">
        <is>
          <t>T22</t>
        </is>
      </c>
      <c r="C617" s="13" t="inlineStr">
        <is>
          <t>F</t>
        </is>
      </c>
      <c r="D617" s="13" t="n">
        <v>1</v>
      </c>
      <c r="E617" s="13" t="inlineStr">
        <is>
          <t>S1</t>
        </is>
      </c>
      <c r="F617" s="13" t="n">
        <v>2026</v>
      </c>
      <c r="G617" s="14" t="n">
        <v>63427.86365102133</v>
      </c>
      <c r="H617" s="14" t="n">
        <v>168.4080715403837</v>
      </c>
      <c r="I617" s="14" t="n">
        <v>20551.57758232565</v>
      </c>
      <c r="J617" s="14" t="n">
        <v>0</v>
      </c>
      <c r="K617" s="14" t="n">
        <v>42707.87799715528</v>
      </c>
      <c r="L617" s="14" t="n">
        <v>0</v>
      </c>
      <c r="M617" s="14" t="n">
        <v>0</v>
      </c>
      <c r="N617" s="14" t="n">
        <v>63427.86365102133</v>
      </c>
      <c r="O617" s="14" t="n">
        <v>63427.86365102133</v>
      </c>
      <c r="P617" s="14" t="n">
        <v>63259.45557948093</v>
      </c>
      <c r="Q617" s="14" t="n">
        <v>744161.1951485437</v>
      </c>
      <c r="R617" s="15">
        <f>IF(D617=1,"Section 1","Control")</f>
        <v/>
      </c>
      <c r="S617" s="16">
        <f>N617/10000</f>
        <v/>
      </c>
      <c r="T617" s="16">
        <f>P617/10000</f>
        <v/>
      </c>
      <c r="U617" s="15">
        <f>IF(N617&gt;=Summary!$D$3,1,0)</f>
        <v/>
      </c>
      <c r="V617" s="17">
        <f>IF(N617&gt;0,P617/N617,"")</f>
        <v/>
      </c>
      <c r="W617" s="17">
        <f>IF(O617&gt;0,H617/O617,"")</f>
        <v/>
      </c>
    </row>
    <row r="618">
      <c r="A618" s="13" t="inlineStr">
        <is>
          <t>T23_B1</t>
        </is>
      </c>
      <c r="B618" s="13" t="inlineStr">
        <is>
          <t>T23</t>
        </is>
      </c>
      <c r="C618" s="13" t="inlineStr">
        <is>
          <t>B1</t>
        </is>
      </c>
      <c r="D618" s="13" t="n">
        <v>1</v>
      </c>
      <c r="E618" s="13" t="inlineStr">
        <is>
          <t>S1</t>
        </is>
      </c>
      <c r="F618" s="13" t="n">
        <v>2020</v>
      </c>
      <c r="G618" s="14" t="n">
        <v>1008607.687558642</v>
      </c>
      <c r="H618" s="14" t="n">
        <v>847927.8628087362</v>
      </c>
      <c r="I618" s="14" t="n">
        <v>14622.56574380912</v>
      </c>
      <c r="J618" s="14" t="n">
        <v>0</v>
      </c>
      <c r="K618" s="14" t="n">
        <v>146057.2590060964</v>
      </c>
      <c r="L618" s="14" t="n">
        <v>0</v>
      </c>
      <c r="M618" s="14" t="n">
        <v>0</v>
      </c>
      <c r="N618" s="14" t="n">
        <v>847927.8628087362</v>
      </c>
      <c r="O618" s="14" t="n">
        <v>1008607.687558642</v>
      </c>
      <c r="P618" s="14" t="n">
        <v>0</v>
      </c>
      <c r="Q618" s="14" t="n">
        <v>11433214.54915993</v>
      </c>
      <c r="R618" s="15">
        <f>IF(D618=1,"Section 1","Control")</f>
        <v/>
      </c>
      <c r="S618" s="16">
        <f>N618/10000</f>
        <v/>
      </c>
      <c r="T618" s="16">
        <f>P618/10000</f>
        <v/>
      </c>
      <c r="U618" s="15">
        <f>IF(N618&gt;=Summary!$D$3,1,0)</f>
        <v/>
      </c>
      <c r="V618" s="17">
        <f>IF(N618&gt;0,P618/N618,"")</f>
        <v/>
      </c>
      <c r="W618" s="17">
        <f>IF(O618&gt;0,H618/O618,"")</f>
        <v/>
      </c>
    </row>
    <row r="619">
      <c r="A619" s="13" t="inlineStr">
        <is>
          <t>T23_B1</t>
        </is>
      </c>
      <c r="B619" s="13" t="inlineStr">
        <is>
          <t>T23</t>
        </is>
      </c>
      <c r="C619" s="13" t="inlineStr">
        <is>
          <t>B1</t>
        </is>
      </c>
      <c r="D619" s="13" t="n">
        <v>1</v>
      </c>
      <c r="E619" s="13" t="inlineStr">
        <is>
          <t>S1</t>
        </is>
      </c>
      <c r="F619" s="13" t="n">
        <v>2021</v>
      </c>
      <c r="G619" s="14" t="n">
        <v>1008607.687558642</v>
      </c>
      <c r="H619" s="14" t="n">
        <v>832615.7872975069</v>
      </c>
      <c r="I619" s="14" t="n">
        <v>20707.75574666939</v>
      </c>
      <c r="J619" s="14" t="n">
        <v>0</v>
      </c>
      <c r="K619" s="14" t="n">
        <v>155284.1445144654</v>
      </c>
      <c r="L619" s="14" t="n">
        <v>0</v>
      </c>
      <c r="M619" s="14" t="n">
        <v>0</v>
      </c>
      <c r="N619" s="14" t="n">
        <v>847927.8628087362</v>
      </c>
      <c r="O619" s="14" t="n">
        <v>1008607.687558642</v>
      </c>
      <c r="P619" s="14" t="n">
        <v>17042.23724511838</v>
      </c>
      <c r="Q619" s="14" t="n">
        <v>11433214.54915993</v>
      </c>
      <c r="R619" s="15">
        <f>IF(D619=1,"Section 1","Control")</f>
        <v/>
      </c>
      <c r="S619" s="16">
        <f>N619/10000</f>
        <v/>
      </c>
      <c r="T619" s="16">
        <f>P619/10000</f>
        <v/>
      </c>
      <c r="U619" s="15">
        <f>IF(N619&gt;=Summary!$D$3,1,0)</f>
        <v/>
      </c>
      <c r="V619" s="17">
        <f>IF(N619&gt;0,P619/N619,"")</f>
        <v/>
      </c>
      <c r="W619" s="17">
        <f>IF(O619&gt;0,H619/O619,"")</f>
        <v/>
      </c>
    </row>
    <row r="620">
      <c r="A620" s="13" t="inlineStr">
        <is>
          <t>T23_B1</t>
        </is>
      </c>
      <c r="B620" s="13" t="inlineStr">
        <is>
          <t>T23</t>
        </is>
      </c>
      <c r="C620" s="13" t="inlineStr">
        <is>
          <t>B1</t>
        </is>
      </c>
      <c r="D620" s="13" t="n">
        <v>1</v>
      </c>
      <c r="E620" s="13" t="inlineStr">
        <is>
          <t>S1</t>
        </is>
      </c>
      <c r="F620" s="13" t="n">
        <v>2022</v>
      </c>
      <c r="G620" s="14" t="n">
        <v>1008607.687558642</v>
      </c>
      <c r="H620" s="14" t="n">
        <v>809856.5453197703</v>
      </c>
      <c r="I620" s="14" t="n">
        <v>37081.78906459434</v>
      </c>
      <c r="J620" s="14" t="n">
        <v>0</v>
      </c>
      <c r="K620" s="14" t="n">
        <v>161669.3531742769</v>
      </c>
      <c r="L620" s="14" t="n">
        <v>0</v>
      </c>
      <c r="M620" s="14" t="n">
        <v>0</v>
      </c>
      <c r="N620" s="14" t="n">
        <v>847927.8628087362</v>
      </c>
      <c r="O620" s="14" t="n">
        <v>1008607.687558642</v>
      </c>
      <c r="P620" s="14" t="n">
        <v>43084.49019736496</v>
      </c>
      <c r="Q620" s="14" t="n">
        <v>11433214.54915993</v>
      </c>
      <c r="R620" s="15">
        <f>IF(D620=1,"Section 1","Control")</f>
        <v/>
      </c>
      <c r="S620" s="16">
        <f>N620/10000</f>
        <v/>
      </c>
      <c r="T620" s="16">
        <f>P620/10000</f>
        <v/>
      </c>
      <c r="U620" s="15">
        <f>IF(N620&gt;=Summary!$D$3,1,0)</f>
        <v/>
      </c>
      <c r="V620" s="17">
        <f>IF(N620&gt;0,P620/N620,"")</f>
        <v/>
      </c>
      <c r="W620" s="17">
        <f>IF(O620&gt;0,H620/O620,"")</f>
        <v/>
      </c>
    </row>
    <row r="621">
      <c r="A621" s="13" t="inlineStr">
        <is>
          <t>T23_B1</t>
        </is>
      </c>
      <c r="B621" s="13" t="inlineStr">
        <is>
          <t>T23</t>
        </is>
      </c>
      <c r="C621" s="13" t="inlineStr">
        <is>
          <t>B1</t>
        </is>
      </c>
      <c r="D621" s="13" t="n">
        <v>1</v>
      </c>
      <c r="E621" s="13" t="inlineStr">
        <is>
          <t>S1</t>
        </is>
      </c>
      <c r="F621" s="13" t="n">
        <v>2023</v>
      </c>
      <c r="G621" s="14" t="n">
        <v>1008607.687558642</v>
      </c>
      <c r="H621" s="14" t="n">
        <v>786058.2240508135</v>
      </c>
      <c r="I621" s="14" t="n">
        <v>45103.8544549381</v>
      </c>
      <c r="J621" s="14" t="n">
        <v>0</v>
      </c>
      <c r="K621" s="14" t="n">
        <v>177445.60905289</v>
      </c>
      <c r="L621" s="14" t="n">
        <v>0</v>
      </c>
      <c r="M621" s="14" t="n">
        <v>0</v>
      </c>
      <c r="N621" s="14" t="n">
        <v>847927.8628087363</v>
      </c>
      <c r="O621" s="14" t="n">
        <v>1008607.687558642</v>
      </c>
      <c r="P621" s="14" t="n">
        <v>62835.18486414891</v>
      </c>
      <c r="Q621" s="14" t="n">
        <v>11433214.54915993</v>
      </c>
      <c r="R621" s="15">
        <f>IF(D621=1,"Section 1","Control")</f>
        <v/>
      </c>
      <c r="S621" s="16">
        <f>N621/10000</f>
        <v/>
      </c>
      <c r="T621" s="16">
        <f>P621/10000</f>
        <v/>
      </c>
      <c r="U621" s="15">
        <f>IF(N621&gt;=Summary!$D$3,1,0)</f>
        <v/>
      </c>
      <c r="V621" s="17">
        <f>IF(N621&gt;0,P621/N621,"")</f>
        <v/>
      </c>
      <c r="W621" s="17">
        <f>IF(O621&gt;0,H621/O621,"")</f>
        <v/>
      </c>
    </row>
    <row r="622">
      <c r="A622" s="13" t="inlineStr">
        <is>
          <t>T23_B1</t>
        </is>
      </c>
      <c r="B622" s="13" t="inlineStr">
        <is>
          <t>T23</t>
        </is>
      </c>
      <c r="C622" s="13" t="inlineStr">
        <is>
          <t>B1</t>
        </is>
      </c>
      <c r="D622" s="13" t="n">
        <v>1</v>
      </c>
      <c r="E622" s="13" t="inlineStr">
        <is>
          <t>S1</t>
        </is>
      </c>
      <c r="F622" s="13" t="n">
        <v>2024</v>
      </c>
      <c r="G622" s="14" t="n">
        <v>1008607.687558642</v>
      </c>
      <c r="H622" s="14" t="n">
        <v>777313.7339231602</v>
      </c>
      <c r="I622" s="14" t="n">
        <v>42331.10931270824</v>
      </c>
      <c r="J622" s="14" t="n">
        <v>0</v>
      </c>
      <c r="K622" s="14" t="n">
        <v>188962.8443227731</v>
      </c>
      <c r="L622" s="14" t="n">
        <v>0</v>
      </c>
      <c r="M622" s="14" t="n">
        <v>0</v>
      </c>
      <c r="N622" s="14" t="n">
        <v>847927.8628087362</v>
      </c>
      <c r="O622" s="14" t="n">
        <v>1008607.687558642</v>
      </c>
      <c r="P622" s="14" t="n">
        <v>71974.56635685341</v>
      </c>
      <c r="Q622" s="14" t="n">
        <v>11433214.54915993</v>
      </c>
      <c r="R622" s="15">
        <f>IF(D622=1,"Section 1","Control")</f>
        <v/>
      </c>
      <c r="S622" s="16">
        <f>N622/10000</f>
        <v/>
      </c>
      <c r="T622" s="16">
        <f>P622/10000</f>
        <v/>
      </c>
      <c r="U622" s="15">
        <f>IF(N622&gt;=Summary!$D$3,1,0)</f>
        <v/>
      </c>
      <c r="V622" s="17">
        <f>IF(N622&gt;0,P622/N622,"")</f>
        <v/>
      </c>
      <c r="W622" s="17">
        <f>IF(O622&gt;0,H622/O622,"")</f>
        <v/>
      </c>
    </row>
    <row r="623">
      <c r="A623" s="13" t="inlineStr">
        <is>
          <t>T23_B1</t>
        </is>
      </c>
      <c r="B623" s="13" t="inlineStr">
        <is>
          <t>T23</t>
        </is>
      </c>
      <c r="C623" s="13" t="inlineStr">
        <is>
          <t>B1</t>
        </is>
      </c>
      <c r="D623" s="13" t="n">
        <v>1</v>
      </c>
      <c r="E623" s="13" t="inlineStr">
        <is>
          <t>S1</t>
        </is>
      </c>
      <c r="F623" s="13" t="n">
        <v>2025</v>
      </c>
      <c r="G623" s="14" t="n">
        <v>1008607.687558642</v>
      </c>
      <c r="H623" s="14" t="n">
        <v>755063.9769381355</v>
      </c>
      <c r="I623" s="14" t="n">
        <v>52819.70356517119</v>
      </c>
      <c r="J623" s="14" t="n">
        <v>0</v>
      </c>
      <c r="K623" s="14" t="n">
        <v>200724.0070553349</v>
      </c>
      <c r="L623" s="14" t="n">
        <v>0</v>
      </c>
      <c r="M623" s="14" t="n">
        <v>0</v>
      </c>
      <c r="N623" s="14" t="n">
        <v>847927.8628087362</v>
      </c>
      <c r="O623" s="14" t="n">
        <v>1008607.687558642</v>
      </c>
      <c r="P623" s="14" t="n">
        <v>92987.77325654872</v>
      </c>
      <c r="Q623" s="14" t="n">
        <v>11433214.54915993</v>
      </c>
      <c r="R623" s="15">
        <f>IF(D623=1,"Section 1","Control")</f>
        <v/>
      </c>
      <c r="S623" s="16">
        <f>N623/10000</f>
        <v/>
      </c>
      <c r="T623" s="16">
        <f>P623/10000</f>
        <v/>
      </c>
      <c r="U623" s="15">
        <f>IF(N623&gt;=Summary!$D$3,1,0)</f>
        <v/>
      </c>
      <c r="V623" s="17">
        <f>IF(N623&gt;0,P623/N623,"")</f>
        <v/>
      </c>
      <c r="W623" s="17">
        <f>IF(O623&gt;0,H623/O623,"")</f>
        <v/>
      </c>
    </row>
    <row r="624">
      <c r="A624" s="13" t="inlineStr">
        <is>
          <t>T23_B1</t>
        </is>
      </c>
      <c r="B624" s="13" t="inlineStr">
        <is>
          <t>T23</t>
        </is>
      </c>
      <c r="C624" s="13" t="inlineStr">
        <is>
          <t>B1</t>
        </is>
      </c>
      <c r="D624" s="13" t="n">
        <v>1</v>
      </c>
      <c r="E624" s="13" t="inlineStr">
        <is>
          <t>S1</t>
        </is>
      </c>
      <c r="F624" s="13" t="n">
        <v>2026</v>
      </c>
      <c r="G624" s="14" t="n">
        <v>1008607.687558642</v>
      </c>
      <c r="H624" s="14" t="n">
        <v>730530.6633010267</v>
      </c>
      <c r="I624" s="14" t="n">
        <v>30413.51992346072</v>
      </c>
      <c r="J624" s="14" t="n">
        <v>0</v>
      </c>
      <c r="K624" s="14" t="n">
        <v>247663.5043341545</v>
      </c>
      <c r="L624" s="14" t="n">
        <v>0</v>
      </c>
      <c r="M624" s="14" t="n">
        <v>0</v>
      </c>
      <c r="N624" s="14" t="n">
        <v>847927.8628087363</v>
      </c>
      <c r="O624" s="14" t="n">
        <v>1008607.687558642</v>
      </c>
      <c r="P624" s="14" t="n">
        <v>118150.2019233854</v>
      </c>
      <c r="Q624" s="14" t="n">
        <v>11433214.54915993</v>
      </c>
      <c r="R624" s="15">
        <f>IF(D624=1,"Section 1","Control")</f>
        <v/>
      </c>
      <c r="S624" s="16">
        <f>N624/10000</f>
        <v/>
      </c>
      <c r="T624" s="16">
        <f>P624/10000</f>
        <v/>
      </c>
      <c r="U624" s="15">
        <f>IF(N624&gt;=Summary!$D$3,1,0)</f>
        <v/>
      </c>
      <c r="V624" s="17">
        <f>IF(N624&gt;0,P624/N624,"")</f>
        <v/>
      </c>
      <c r="W624" s="17">
        <f>IF(O624&gt;0,H624/O624,"")</f>
        <v/>
      </c>
    </row>
    <row r="625">
      <c r="A625" s="13" t="inlineStr">
        <is>
          <t>T23_B2</t>
        </is>
      </c>
      <c r="B625" s="13" t="inlineStr">
        <is>
          <t>T23</t>
        </is>
      </c>
      <c r="C625" s="13" t="inlineStr">
        <is>
          <t>B2</t>
        </is>
      </c>
      <c r="D625" s="13" t="n">
        <v>1</v>
      </c>
      <c r="E625" s="13" t="inlineStr">
        <is>
          <t>S1</t>
        </is>
      </c>
      <c r="F625" s="13" t="n">
        <v>2020</v>
      </c>
      <c r="G625" s="14" t="n">
        <v>997504.5658321608</v>
      </c>
      <c r="H625" s="14" t="n">
        <v>560252.0300460218</v>
      </c>
      <c r="I625" s="14" t="n">
        <v>107056.2103622736</v>
      </c>
      <c r="J625" s="14" t="n">
        <v>36316.61727609074</v>
      </c>
      <c r="K625" s="14" t="n">
        <v>113113.3958847644</v>
      </c>
      <c r="L625" s="14" t="n">
        <v>180766.3122630101</v>
      </c>
      <c r="M625" s="14" t="n">
        <v>0</v>
      </c>
      <c r="N625" s="14" t="n">
        <v>560252.0300460218</v>
      </c>
      <c r="O625" s="14" t="n">
        <v>816738.2535691505</v>
      </c>
      <c r="P625" s="14" t="n">
        <v>0</v>
      </c>
      <c r="Q625" s="14" t="n">
        <v>10288612.46049589</v>
      </c>
      <c r="R625" s="15">
        <f>IF(D625=1,"Section 1","Control")</f>
        <v/>
      </c>
      <c r="S625" s="16">
        <f>N625/10000</f>
        <v/>
      </c>
      <c r="T625" s="16">
        <f>P625/10000</f>
        <v/>
      </c>
      <c r="U625" s="15">
        <f>IF(N625&gt;=Summary!$D$3,1,0)</f>
        <v/>
      </c>
      <c r="V625" s="17">
        <f>IF(N625&gt;0,P625/N625,"")</f>
        <v/>
      </c>
      <c r="W625" s="17">
        <f>IF(O625&gt;0,H625/O625,"")</f>
        <v/>
      </c>
    </row>
    <row r="626">
      <c r="A626" s="13" t="inlineStr">
        <is>
          <t>T23_B2</t>
        </is>
      </c>
      <c r="B626" s="13" t="inlineStr">
        <is>
          <t>T23</t>
        </is>
      </c>
      <c r="C626" s="13" t="inlineStr">
        <is>
          <t>B2</t>
        </is>
      </c>
      <c r="D626" s="13" t="n">
        <v>1</v>
      </c>
      <c r="E626" s="13" t="inlineStr">
        <is>
          <t>S1</t>
        </is>
      </c>
      <c r="F626" s="13" t="n">
        <v>2021</v>
      </c>
      <c r="G626" s="14" t="n">
        <v>997504.5658321608</v>
      </c>
      <c r="H626" s="14" t="n">
        <v>547207.8234775917</v>
      </c>
      <c r="I626" s="14" t="n">
        <v>134083.1038013832</v>
      </c>
      <c r="J626" s="14" t="n">
        <v>36112.58917804793</v>
      </c>
      <c r="K626" s="14" t="n">
        <v>103088.5489162071</v>
      </c>
      <c r="L626" s="14" t="n">
        <v>177012.5004589305</v>
      </c>
      <c r="M626" s="14" t="n">
        <v>0</v>
      </c>
      <c r="N626" s="14" t="n">
        <v>560252.0300460217</v>
      </c>
      <c r="O626" s="14" t="n">
        <v>816738.2535691505</v>
      </c>
      <c r="P626" s="14" t="n">
        <v>13537.82226819805</v>
      </c>
      <c r="Q626" s="14" t="n">
        <v>10288612.46049589</v>
      </c>
      <c r="R626" s="15">
        <f>IF(D626=1,"Section 1","Control")</f>
        <v/>
      </c>
      <c r="S626" s="16">
        <f>N626/10000</f>
        <v/>
      </c>
      <c r="T626" s="16">
        <f>P626/10000</f>
        <v/>
      </c>
      <c r="U626" s="15">
        <f>IF(N626&gt;=Summary!$D$3,1,0)</f>
        <v/>
      </c>
      <c r="V626" s="17">
        <f>IF(N626&gt;0,P626/N626,"")</f>
        <v/>
      </c>
      <c r="W626" s="17">
        <f>IF(O626&gt;0,H626/O626,"")</f>
        <v/>
      </c>
    </row>
    <row r="627">
      <c r="A627" s="13" t="inlineStr">
        <is>
          <t>T23_B2</t>
        </is>
      </c>
      <c r="B627" s="13" t="inlineStr">
        <is>
          <t>T23</t>
        </is>
      </c>
      <c r="C627" s="13" t="inlineStr">
        <is>
          <t>B2</t>
        </is>
      </c>
      <c r="D627" s="13" t="n">
        <v>1</v>
      </c>
      <c r="E627" s="13" t="inlineStr">
        <is>
          <t>S1</t>
        </is>
      </c>
      <c r="F627" s="13" t="n">
        <v>2022</v>
      </c>
      <c r="G627" s="14" t="n">
        <v>997504.5658321608</v>
      </c>
      <c r="H627" s="14" t="n">
        <v>531866.6544719023</v>
      </c>
      <c r="I627" s="14" t="n">
        <v>158405.3524002374</v>
      </c>
      <c r="J627" s="14" t="n">
        <v>37297.26817890242</v>
      </c>
      <c r="K627" s="14" t="n">
        <v>88729.17515827247</v>
      </c>
      <c r="L627" s="14" t="n">
        <v>181206.1156228458</v>
      </c>
      <c r="M627" s="14" t="n">
        <v>0</v>
      </c>
      <c r="N627" s="14" t="n">
        <v>560252.0300460217</v>
      </c>
      <c r="O627" s="14" t="n">
        <v>816738.2535691505</v>
      </c>
      <c r="P627" s="14" t="n">
        <v>29866.2208805159</v>
      </c>
      <c r="Q627" s="14" t="n">
        <v>10288612.46049589</v>
      </c>
      <c r="R627" s="15">
        <f>IF(D627=1,"Section 1","Control")</f>
        <v/>
      </c>
      <c r="S627" s="16">
        <f>N627/10000</f>
        <v/>
      </c>
      <c r="T627" s="16">
        <f>P627/10000</f>
        <v/>
      </c>
      <c r="U627" s="15">
        <f>IF(N627&gt;=Summary!$D$3,1,0)</f>
        <v/>
      </c>
      <c r="V627" s="17">
        <f>IF(N627&gt;0,P627/N627,"")</f>
        <v/>
      </c>
      <c r="W627" s="17">
        <f>IF(O627&gt;0,H627/O627,"")</f>
        <v/>
      </c>
    </row>
    <row r="628">
      <c r="A628" s="13" t="inlineStr">
        <is>
          <t>T23_B2</t>
        </is>
      </c>
      <c r="B628" s="13" t="inlineStr">
        <is>
          <t>T23</t>
        </is>
      </c>
      <c r="C628" s="13" t="inlineStr">
        <is>
          <t>B2</t>
        </is>
      </c>
      <c r="D628" s="13" t="n">
        <v>1</v>
      </c>
      <c r="E628" s="13" t="inlineStr">
        <is>
          <t>S1</t>
        </is>
      </c>
      <c r="F628" s="13" t="n">
        <v>2023</v>
      </c>
      <c r="G628" s="14" t="n">
        <v>997504.565832161</v>
      </c>
      <c r="H628" s="14" t="n">
        <v>523536.7453484929</v>
      </c>
      <c r="I628" s="14" t="n">
        <v>152576.042829177</v>
      </c>
      <c r="J628" s="14" t="n">
        <v>37593.43792530135</v>
      </c>
      <c r="K628" s="14" t="n">
        <v>97162.43741658529</v>
      </c>
      <c r="L628" s="14" t="n">
        <v>186635.9023126041</v>
      </c>
      <c r="M628" s="14" t="n">
        <v>0</v>
      </c>
      <c r="N628" s="14" t="n">
        <v>560252.0300460218</v>
      </c>
      <c r="O628" s="14" t="n">
        <v>816738.2535691506</v>
      </c>
      <c r="P628" s="14" t="n">
        <v>37406.34541987998</v>
      </c>
      <c r="Q628" s="14" t="n">
        <v>10288612.46049589</v>
      </c>
      <c r="R628" s="15">
        <f>IF(D628=1,"Section 1","Control")</f>
        <v/>
      </c>
      <c r="S628" s="16">
        <f>N628/10000</f>
        <v/>
      </c>
      <c r="T628" s="16">
        <f>P628/10000</f>
        <v/>
      </c>
      <c r="U628" s="15">
        <f>IF(N628&gt;=Summary!$D$3,1,0)</f>
        <v/>
      </c>
      <c r="V628" s="17">
        <f>IF(N628&gt;0,P628/N628,"")</f>
        <v/>
      </c>
      <c r="W628" s="17">
        <f>IF(O628&gt;0,H628/O628,"")</f>
        <v/>
      </c>
    </row>
    <row r="629">
      <c r="A629" s="13" t="inlineStr">
        <is>
          <t>T23_B2</t>
        </is>
      </c>
      <c r="B629" s="13" t="inlineStr">
        <is>
          <t>T23</t>
        </is>
      </c>
      <c r="C629" s="13" t="inlineStr">
        <is>
          <t>B2</t>
        </is>
      </c>
      <c r="D629" s="13" t="n">
        <v>1</v>
      </c>
      <c r="E629" s="13" t="inlineStr">
        <is>
          <t>S1</t>
        </is>
      </c>
      <c r="F629" s="13" t="n">
        <v>2024</v>
      </c>
      <c r="G629" s="14" t="n">
        <v>997504.5658321608</v>
      </c>
      <c r="H629" s="14" t="n">
        <v>524178.6376608456</v>
      </c>
      <c r="I629" s="14" t="n">
        <v>154061.5660927866</v>
      </c>
      <c r="J629" s="14" t="n">
        <v>37593.43792530135</v>
      </c>
      <c r="K629" s="14" t="n">
        <v>98983.95760112091</v>
      </c>
      <c r="L629" s="14" t="n">
        <v>182686.9665521061</v>
      </c>
      <c r="M629" s="14" t="n">
        <v>0</v>
      </c>
      <c r="N629" s="14" t="n">
        <v>560252.0300460217</v>
      </c>
      <c r="O629" s="14" t="n">
        <v>816738.2535691505</v>
      </c>
      <c r="P629" s="14" t="n">
        <v>36468.28441398471</v>
      </c>
      <c r="Q629" s="14" t="n">
        <v>10288612.46049589</v>
      </c>
      <c r="R629" s="15">
        <f>IF(D629=1,"Section 1","Control")</f>
        <v/>
      </c>
      <c r="S629" s="16">
        <f>N629/10000</f>
        <v/>
      </c>
      <c r="T629" s="16">
        <f>P629/10000</f>
        <v/>
      </c>
      <c r="U629" s="15">
        <f>IF(N629&gt;=Summary!$D$3,1,0)</f>
        <v/>
      </c>
      <c r="V629" s="17">
        <f>IF(N629&gt;0,P629/N629,"")</f>
        <v/>
      </c>
      <c r="W629" s="17">
        <f>IF(O629&gt;0,H629/O629,"")</f>
        <v/>
      </c>
    </row>
    <row r="630">
      <c r="A630" s="13" t="inlineStr">
        <is>
          <t>T23_B2</t>
        </is>
      </c>
      <c r="B630" s="13" t="inlineStr">
        <is>
          <t>T23</t>
        </is>
      </c>
      <c r="C630" s="13" t="inlineStr">
        <is>
          <t>B2</t>
        </is>
      </c>
      <c r="D630" s="13" t="n">
        <v>1</v>
      </c>
      <c r="E630" s="13" t="inlineStr">
        <is>
          <t>S1</t>
        </is>
      </c>
      <c r="F630" s="13" t="n">
        <v>2025</v>
      </c>
      <c r="G630" s="14" t="n">
        <v>997504.5658321608</v>
      </c>
      <c r="H630" s="14" t="n">
        <v>510370.5771078672</v>
      </c>
      <c r="I630" s="14" t="n">
        <v>153691.0434258555</v>
      </c>
      <c r="J630" s="14" t="n">
        <v>37494.71468158797</v>
      </c>
      <c r="K630" s="14" t="n">
        <v>107087.7616162169</v>
      </c>
      <c r="L630" s="14" t="n">
        <v>188860.4690006331</v>
      </c>
      <c r="M630" s="14" t="n">
        <v>0</v>
      </c>
      <c r="N630" s="14" t="n">
        <v>560252.0300460218</v>
      </c>
      <c r="O630" s="14" t="n">
        <v>816738.2535691505</v>
      </c>
      <c r="P630" s="14" t="n">
        <v>50078.89902885287</v>
      </c>
      <c r="Q630" s="14" t="n">
        <v>10288612.46049589</v>
      </c>
      <c r="R630" s="15">
        <f>IF(D630=1,"Section 1","Control")</f>
        <v/>
      </c>
      <c r="S630" s="16">
        <f>N630/10000</f>
        <v/>
      </c>
      <c r="T630" s="16">
        <f>P630/10000</f>
        <v/>
      </c>
      <c r="U630" s="15">
        <f>IF(N630&gt;=Summary!$D$3,1,0)</f>
        <v/>
      </c>
      <c r="V630" s="17">
        <f>IF(N630&gt;0,P630/N630,"")</f>
        <v/>
      </c>
      <c r="W630" s="17">
        <f>IF(O630&gt;0,H630/O630,"")</f>
        <v/>
      </c>
    </row>
    <row r="631">
      <c r="A631" s="13" t="inlineStr">
        <is>
          <t>T23_B2</t>
        </is>
      </c>
      <c r="B631" s="13" t="inlineStr">
        <is>
          <t>T23</t>
        </is>
      </c>
      <c r="C631" s="13" t="inlineStr">
        <is>
          <t>B2</t>
        </is>
      </c>
      <c r="D631" s="13" t="n">
        <v>1</v>
      </c>
      <c r="E631" s="13" t="inlineStr">
        <is>
          <t>S1</t>
        </is>
      </c>
      <c r="F631" s="13" t="n">
        <v>2026</v>
      </c>
      <c r="G631" s="14" t="n">
        <v>997504.565832161</v>
      </c>
      <c r="H631" s="14" t="n">
        <v>518208.4138469922</v>
      </c>
      <c r="I631" s="14" t="n">
        <v>137806.6840416403</v>
      </c>
      <c r="J631" s="14" t="n">
        <v>37593.43792530135</v>
      </c>
      <c r="K631" s="14" t="n">
        <v>112646.4550941318</v>
      </c>
      <c r="L631" s="14" t="n">
        <v>191249.574924095</v>
      </c>
      <c r="M631" s="14" t="n">
        <v>0</v>
      </c>
      <c r="N631" s="14" t="n">
        <v>560252.0300460218</v>
      </c>
      <c r="O631" s="14" t="n">
        <v>816738.2535691505</v>
      </c>
      <c r="P631" s="14" t="n">
        <v>43487.29556995466</v>
      </c>
      <c r="Q631" s="14" t="n">
        <v>10288612.46049589</v>
      </c>
      <c r="R631" s="15">
        <f>IF(D631=1,"Section 1","Control")</f>
        <v/>
      </c>
      <c r="S631" s="16">
        <f>N631/10000</f>
        <v/>
      </c>
      <c r="T631" s="16">
        <f>P631/10000</f>
        <v/>
      </c>
      <c r="U631" s="15">
        <f>IF(N631&gt;=Summary!$D$3,1,0)</f>
        <v/>
      </c>
      <c r="V631" s="17">
        <f>IF(N631&gt;0,P631/N631,"")</f>
        <v/>
      </c>
      <c r="W631" s="17">
        <f>IF(O631&gt;0,H631/O631,"")</f>
        <v/>
      </c>
    </row>
    <row r="632">
      <c r="A632" s="13" t="inlineStr">
        <is>
          <t>T23_B3</t>
        </is>
      </c>
      <c r="B632" s="13" t="inlineStr">
        <is>
          <t>T23</t>
        </is>
      </c>
      <c r="C632" s="13" t="inlineStr">
        <is>
          <t>B3</t>
        </is>
      </c>
      <c r="D632" s="13" t="n">
        <v>1</v>
      </c>
      <c r="E632" s="13" t="inlineStr">
        <is>
          <t>S1</t>
        </is>
      </c>
      <c r="F632" s="13" t="n">
        <v>2020</v>
      </c>
      <c r="G632" s="14" t="n">
        <v>7593232.271422475</v>
      </c>
      <c r="H632" s="14" t="n">
        <v>1257822.271411941</v>
      </c>
      <c r="I632" s="14" t="n">
        <v>251610.7742500754</v>
      </c>
      <c r="J632" s="14" t="n">
        <v>0</v>
      </c>
      <c r="K632" s="14" t="n">
        <v>2541642.445179749</v>
      </c>
      <c r="L632" s="14" t="n">
        <v>3542156.780580708</v>
      </c>
      <c r="M632" s="14" t="n">
        <v>0</v>
      </c>
      <c r="N632" s="14" t="n">
        <v>1257822.271411941</v>
      </c>
      <c r="O632" s="14" t="n">
        <v>4051075.490841765</v>
      </c>
      <c r="P632" s="14" t="n">
        <v>0</v>
      </c>
      <c r="Q632" s="14" t="n">
        <v>32284503.98642696</v>
      </c>
      <c r="R632" s="15">
        <f>IF(D632=1,"Section 1","Control")</f>
        <v/>
      </c>
      <c r="S632" s="16">
        <f>N632/10000</f>
        <v/>
      </c>
      <c r="T632" s="16">
        <f>P632/10000</f>
        <v/>
      </c>
      <c r="U632" s="15">
        <f>IF(N632&gt;=Summary!$D$3,1,0)</f>
        <v/>
      </c>
      <c r="V632" s="17">
        <f>IF(N632&gt;0,P632/N632,"")</f>
        <v/>
      </c>
      <c r="W632" s="17">
        <f>IF(O632&gt;0,H632/O632,"")</f>
        <v/>
      </c>
    </row>
    <row r="633">
      <c r="A633" s="13" t="inlineStr">
        <is>
          <t>T23_B3</t>
        </is>
      </c>
      <c r="B633" s="13" t="inlineStr">
        <is>
          <t>T23</t>
        </is>
      </c>
      <c r="C633" s="13" t="inlineStr">
        <is>
          <t>B3</t>
        </is>
      </c>
      <c r="D633" s="13" t="n">
        <v>1</v>
      </c>
      <c r="E633" s="13" t="inlineStr">
        <is>
          <t>S1</t>
        </is>
      </c>
      <c r="F633" s="13" t="n">
        <v>2021</v>
      </c>
      <c r="G633" s="14" t="n">
        <v>7593232.271422476</v>
      </c>
      <c r="H633" s="14" t="n">
        <v>979452.3883732216</v>
      </c>
      <c r="I633" s="14" t="n">
        <v>176821.7271242927</v>
      </c>
      <c r="J633" s="14" t="n">
        <v>0</v>
      </c>
      <c r="K633" s="14" t="n">
        <v>2894801.375344251</v>
      </c>
      <c r="L633" s="14" t="n">
        <v>3542156.780580708</v>
      </c>
      <c r="M633" s="14" t="n">
        <v>0</v>
      </c>
      <c r="N633" s="14" t="n">
        <v>1257822.271411941</v>
      </c>
      <c r="O633" s="14" t="n">
        <v>4051075.490841765</v>
      </c>
      <c r="P633" s="14" t="n">
        <v>335917.0988060148</v>
      </c>
      <c r="Q633" s="14" t="n">
        <v>32284503.98642696</v>
      </c>
      <c r="R633" s="15">
        <f>IF(D633=1,"Section 1","Control")</f>
        <v/>
      </c>
      <c r="S633" s="16">
        <f>N633/10000</f>
        <v/>
      </c>
      <c r="T633" s="16">
        <f>P633/10000</f>
        <v/>
      </c>
      <c r="U633" s="15">
        <f>IF(N633&gt;=Summary!$D$3,1,0)</f>
        <v/>
      </c>
      <c r="V633" s="17">
        <f>IF(N633&gt;0,P633/N633,"")</f>
        <v/>
      </c>
      <c r="W633" s="17">
        <f>IF(O633&gt;0,H633/O633,"")</f>
        <v/>
      </c>
    </row>
    <row r="634">
      <c r="A634" s="13" t="inlineStr">
        <is>
          <t>T23_B3</t>
        </is>
      </c>
      <c r="B634" s="13" t="inlineStr">
        <is>
          <t>T23</t>
        </is>
      </c>
      <c r="C634" s="13" t="inlineStr">
        <is>
          <t>B3</t>
        </is>
      </c>
      <c r="D634" s="13" t="n">
        <v>1</v>
      </c>
      <c r="E634" s="13" t="inlineStr">
        <is>
          <t>S1</t>
        </is>
      </c>
      <c r="F634" s="13" t="n">
        <v>2022</v>
      </c>
      <c r="G634" s="14" t="n">
        <v>7593232.271422476</v>
      </c>
      <c r="H634" s="14" t="n">
        <v>898208.4096541461</v>
      </c>
      <c r="I634" s="14" t="n">
        <v>191826.4967885934</v>
      </c>
      <c r="J634" s="14" t="n">
        <v>0</v>
      </c>
      <c r="K634" s="14" t="n">
        <v>2961040.584399026</v>
      </c>
      <c r="L634" s="14" t="n">
        <v>3542156.780580708</v>
      </c>
      <c r="M634" s="14" t="n">
        <v>0</v>
      </c>
      <c r="N634" s="14" t="n">
        <v>1257822.271411941</v>
      </c>
      <c r="O634" s="14" t="n">
        <v>4051075.490841765</v>
      </c>
      <c r="P634" s="14" t="n">
        <v>427656.7568949083</v>
      </c>
      <c r="Q634" s="14" t="n">
        <v>32284503.98642696</v>
      </c>
      <c r="R634" s="15">
        <f>IF(D634=1,"Section 1","Control")</f>
        <v/>
      </c>
      <c r="S634" s="16">
        <f>N634/10000</f>
        <v/>
      </c>
      <c r="T634" s="16">
        <f>P634/10000</f>
        <v/>
      </c>
      <c r="U634" s="15">
        <f>IF(N634&gt;=Summary!$D$3,1,0)</f>
        <v/>
      </c>
      <c r="V634" s="17">
        <f>IF(N634&gt;0,P634/N634,"")</f>
        <v/>
      </c>
      <c r="W634" s="17">
        <f>IF(O634&gt;0,H634/O634,"")</f>
        <v/>
      </c>
    </row>
    <row r="635">
      <c r="A635" s="13" t="inlineStr">
        <is>
          <t>T23_B3</t>
        </is>
      </c>
      <c r="B635" s="13" t="inlineStr">
        <is>
          <t>T23</t>
        </is>
      </c>
      <c r="C635" s="13" t="inlineStr">
        <is>
          <t>B3</t>
        </is>
      </c>
      <c r="D635" s="13" t="n">
        <v>1</v>
      </c>
      <c r="E635" s="13" t="inlineStr">
        <is>
          <t>S1</t>
        </is>
      </c>
      <c r="F635" s="13" t="n">
        <v>2023</v>
      </c>
      <c r="G635" s="14" t="n">
        <v>7593232.271422476</v>
      </c>
      <c r="H635" s="14" t="n">
        <v>880753.3738424862</v>
      </c>
      <c r="I635" s="14" t="n">
        <v>219199.7732144823</v>
      </c>
      <c r="J635" s="14" t="n">
        <v>0</v>
      </c>
      <c r="K635" s="14" t="n">
        <v>2951122.343784797</v>
      </c>
      <c r="L635" s="14" t="n">
        <v>3542156.780580708</v>
      </c>
      <c r="M635" s="14" t="n">
        <v>0</v>
      </c>
      <c r="N635" s="14" t="n">
        <v>1257822.271411941</v>
      </c>
      <c r="O635" s="14" t="n">
        <v>4051075.490841765</v>
      </c>
      <c r="P635" s="14" t="n">
        <v>454643.7692284678</v>
      </c>
      <c r="Q635" s="14" t="n">
        <v>32284503.98642696</v>
      </c>
      <c r="R635" s="15">
        <f>IF(D635=1,"Section 1","Control")</f>
        <v/>
      </c>
      <c r="S635" s="16">
        <f>N635/10000</f>
        <v/>
      </c>
      <c r="T635" s="16">
        <f>P635/10000</f>
        <v/>
      </c>
      <c r="U635" s="15">
        <f>IF(N635&gt;=Summary!$D$3,1,0)</f>
        <v/>
      </c>
      <c r="V635" s="17">
        <f>IF(N635&gt;0,P635/N635,"")</f>
        <v/>
      </c>
      <c r="W635" s="17">
        <f>IF(O635&gt;0,H635/O635,"")</f>
        <v/>
      </c>
    </row>
    <row r="636">
      <c r="A636" s="13" t="inlineStr">
        <is>
          <t>T23_B3</t>
        </is>
      </c>
      <c r="B636" s="13" t="inlineStr">
        <is>
          <t>T23</t>
        </is>
      </c>
      <c r="C636" s="13" t="inlineStr">
        <is>
          <t>B3</t>
        </is>
      </c>
      <c r="D636" s="13" t="n">
        <v>1</v>
      </c>
      <c r="E636" s="13" t="inlineStr">
        <is>
          <t>S1</t>
        </is>
      </c>
      <c r="F636" s="13" t="n">
        <v>2024</v>
      </c>
      <c r="G636" s="14" t="n">
        <v>7593232.271422476</v>
      </c>
      <c r="H636" s="14" t="n">
        <v>931510.3842270796</v>
      </c>
      <c r="I636" s="14" t="n">
        <v>124758.8101490395</v>
      </c>
      <c r="J636" s="14" t="n">
        <v>0</v>
      </c>
      <c r="K636" s="14" t="n">
        <v>2994806.296465646</v>
      </c>
      <c r="L636" s="14" t="n">
        <v>3542156.780580708</v>
      </c>
      <c r="M636" s="14" t="n">
        <v>0</v>
      </c>
      <c r="N636" s="14" t="n">
        <v>1257822.271411941</v>
      </c>
      <c r="O636" s="14" t="n">
        <v>4051075.490841765</v>
      </c>
      <c r="P636" s="14" t="n">
        <v>451182.6897895365</v>
      </c>
      <c r="Q636" s="14" t="n">
        <v>32284503.98642696</v>
      </c>
      <c r="R636" s="15">
        <f>IF(D636=1,"Section 1","Control")</f>
        <v/>
      </c>
      <c r="S636" s="16">
        <f>N636/10000</f>
        <v/>
      </c>
      <c r="T636" s="16">
        <f>P636/10000</f>
        <v/>
      </c>
      <c r="U636" s="15">
        <f>IF(N636&gt;=Summary!$D$3,1,0)</f>
        <v/>
      </c>
      <c r="V636" s="17">
        <f>IF(N636&gt;0,P636/N636,"")</f>
        <v/>
      </c>
      <c r="W636" s="17">
        <f>IF(O636&gt;0,H636/O636,"")</f>
        <v/>
      </c>
    </row>
    <row r="637">
      <c r="A637" s="13" t="inlineStr">
        <is>
          <t>T23_B3</t>
        </is>
      </c>
      <c r="B637" s="13" t="inlineStr">
        <is>
          <t>T23</t>
        </is>
      </c>
      <c r="C637" s="13" t="inlineStr">
        <is>
          <t>B3</t>
        </is>
      </c>
      <c r="D637" s="13" t="n">
        <v>1</v>
      </c>
      <c r="E637" s="13" t="inlineStr">
        <is>
          <t>S1</t>
        </is>
      </c>
      <c r="F637" s="13" t="n">
        <v>2025</v>
      </c>
      <c r="G637" s="14" t="n">
        <v>7593232.271422476</v>
      </c>
      <c r="H637" s="14" t="n">
        <v>954349.0851532581</v>
      </c>
      <c r="I637" s="14" t="n">
        <v>113494.1126057045</v>
      </c>
      <c r="J637" s="14" t="n">
        <v>0</v>
      </c>
      <c r="K637" s="14" t="n">
        <v>2983232.293082802</v>
      </c>
      <c r="L637" s="14" t="n">
        <v>3542156.780580708</v>
      </c>
      <c r="M637" s="14" t="n">
        <v>0</v>
      </c>
      <c r="N637" s="14" t="n">
        <v>1257822.271411941</v>
      </c>
      <c r="O637" s="14" t="n">
        <v>4051075.490841765</v>
      </c>
      <c r="P637" s="14" t="n">
        <v>462027.9499012368</v>
      </c>
      <c r="Q637" s="14" t="n">
        <v>32284503.98642696</v>
      </c>
      <c r="R637" s="15">
        <f>IF(D637=1,"Section 1","Control")</f>
        <v/>
      </c>
      <c r="S637" s="16">
        <f>N637/10000</f>
        <v/>
      </c>
      <c r="T637" s="16">
        <f>P637/10000</f>
        <v/>
      </c>
      <c r="U637" s="15">
        <f>IF(N637&gt;=Summary!$D$3,1,0)</f>
        <v/>
      </c>
      <c r="V637" s="17">
        <f>IF(N637&gt;0,P637/N637,"")</f>
        <v/>
      </c>
      <c r="W637" s="17">
        <f>IF(O637&gt;0,H637/O637,"")</f>
        <v/>
      </c>
    </row>
    <row r="638">
      <c r="A638" s="13" t="inlineStr">
        <is>
          <t>T23_B3</t>
        </is>
      </c>
      <c r="B638" s="13" t="inlineStr">
        <is>
          <t>T23</t>
        </is>
      </c>
      <c r="C638" s="13" t="inlineStr">
        <is>
          <t>B3</t>
        </is>
      </c>
      <c r="D638" s="13" t="n">
        <v>1</v>
      </c>
      <c r="E638" s="13" t="inlineStr">
        <is>
          <t>S1</t>
        </is>
      </c>
      <c r="F638" s="13" t="n">
        <v>2026</v>
      </c>
      <c r="G638" s="14" t="n">
        <v>7593232.271422477</v>
      </c>
      <c r="H638" s="14" t="n">
        <v>940235.2648987714</v>
      </c>
      <c r="I638" s="14" t="n">
        <v>70196.52603260115</v>
      </c>
      <c r="J638" s="14" t="n">
        <v>0</v>
      </c>
      <c r="K638" s="14" t="n">
        <v>3040643.699910393</v>
      </c>
      <c r="L638" s="14" t="n">
        <v>3542156.780580708</v>
      </c>
      <c r="M638" s="14" t="n">
        <v>0</v>
      </c>
      <c r="N638" s="14" t="n">
        <v>1257822.271411941</v>
      </c>
      <c r="O638" s="14" t="n">
        <v>4051075.490841765</v>
      </c>
      <c r="P638" s="14" t="n">
        <v>473540.1530257281</v>
      </c>
      <c r="Q638" s="14" t="n">
        <v>32284503.98642696</v>
      </c>
      <c r="R638" s="15">
        <f>IF(D638=1,"Section 1","Control")</f>
        <v/>
      </c>
      <c r="S638" s="16">
        <f>N638/10000</f>
        <v/>
      </c>
      <c r="T638" s="16">
        <f>P638/10000</f>
        <v/>
      </c>
      <c r="U638" s="15">
        <f>IF(N638&gt;=Summary!$D$3,1,0)</f>
        <v/>
      </c>
      <c r="V638" s="17">
        <f>IF(N638&gt;0,P638/N638,"")</f>
        <v/>
      </c>
      <c r="W638" s="17">
        <f>IF(O638&gt;0,H638/O638,"")</f>
        <v/>
      </c>
    </row>
    <row r="639">
      <c r="A639" s="13" t="inlineStr">
        <is>
          <t>T23_F</t>
        </is>
      </c>
      <c r="B639" s="13" t="inlineStr">
        <is>
          <t>T23</t>
        </is>
      </c>
      <c r="C639" s="13" t="inlineStr">
        <is>
          <t>F</t>
        </is>
      </c>
      <c r="D639" s="13" t="n">
        <v>1</v>
      </c>
      <c r="E639" s="13" t="inlineStr">
        <is>
          <t>S1</t>
        </is>
      </c>
      <c r="F639" s="13" t="n">
        <v>2020</v>
      </c>
      <c r="G639" s="14" t="n">
        <v>62501.44834657556</v>
      </c>
      <c r="H639" s="14" t="n">
        <v>62501.44834657556</v>
      </c>
      <c r="I639" s="14" t="n">
        <v>0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62501.44834657556</v>
      </c>
      <c r="O639" s="14" t="n">
        <v>62501.44834657556</v>
      </c>
      <c r="P639" s="14" t="n">
        <v>0</v>
      </c>
      <c r="Q639" s="14" t="n">
        <v>837132.3495866362</v>
      </c>
      <c r="R639" s="15">
        <f>IF(D639=1,"Section 1","Control")</f>
        <v/>
      </c>
      <c r="S639" s="16">
        <f>N639/10000</f>
        <v/>
      </c>
      <c r="T639" s="16">
        <f>P639/10000</f>
        <v/>
      </c>
      <c r="U639" s="15">
        <f>IF(N639&gt;=Summary!$D$3,1,0)</f>
        <v/>
      </c>
      <c r="V639" s="17">
        <f>IF(N639&gt;0,P639/N639,"")</f>
        <v/>
      </c>
      <c r="W639" s="17">
        <f>IF(O639&gt;0,H639/O639,"")</f>
        <v/>
      </c>
    </row>
    <row r="640">
      <c r="A640" s="13" t="inlineStr">
        <is>
          <t>T23_F</t>
        </is>
      </c>
      <c r="B640" s="13" t="inlineStr">
        <is>
          <t>T23</t>
        </is>
      </c>
      <c r="C640" s="13" t="inlineStr">
        <is>
          <t>F</t>
        </is>
      </c>
      <c r="D640" s="13" t="n">
        <v>1</v>
      </c>
      <c r="E640" s="13" t="inlineStr">
        <is>
          <t>S1</t>
        </is>
      </c>
      <c r="F640" s="13" t="n">
        <v>2021</v>
      </c>
      <c r="G640" s="14" t="n">
        <v>62501.44834657556</v>
      </c>
      <c r="H640" s="14" t="n">
        <v>62501.44834657556</v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0</v>
      </c>
      <c r="N640" s="14" t="n">
        <v>62501.44834657556</v>
      </c>
      <c r="O640" s="14" t="n">
        <v>62501.44834657556</v>
      </c>
      <c r="P640" s="14" t="n">
        <v>0</v>
      </c>
      <c r="Q640" s="14" t="n">
        <v>837132.3495866362</v>
      </c>
      <c r="R640" s="15">
        <f>IF(D640=1,"Section 1","Control")</f>
        <v/>
      </c>
      <c r="S640" s="16">
        <f>N640/10000</f>
        <v/>
      </c>
      <c r="T640" s="16">
        <f>P640/10000</f>
        <v/>
      </c>
      <c r="U640" s="15">
        <f>IF(N640&gt;=Summary!$D$3,1,0)</f>
        <v/>
      </c>
      <c r="V640" s="17">
        <f>IF(N640&gt;0,P640/N640,"")</f>
        <v/>
      </c>
      <c r="W640" s="17">
        <f>IF(O640&gt;0,H640/O640,"")</f>
        <v/>
      </c>
    </row>
    <row r="641">
      <c r="A641" s="13" t="inlineStr">
        <is>
          <t>T23_F</t>
        </is>
      </c>
      <c r="B641" s="13" t="inlineStr">
        <is>
          <t>T23</t>
        </is>
      </c>
      <c r="C641" s="13" t="inlineStr">
        <is>
          <t>F</t>
        </is>
      </c>
      <c r="D641" s="13" t="n">
        <v>1</v>
      </c>
      <c r="E641" s="13" t="inlineStr">
        <is>
          <t>S1</t>
        </is>
      </c>
      <c r="F641" s="13" t="n">
        <v>2022</v>
      </c>
      <c r="G641" s="14" t="n">
        <v>62501.44834657556</v>
      </c>
      <c r="H641" s="14" t="n">
        <v>62501.44834657556</v>
      </c>
      <c r="I641" s="14" t="n">
        <v>0</v>
      </c>
      <c r="J641" s="14" t="n">
        <v>0</v>
      </c>
      <c r="K641" s="14" t="n">
        <v>0</v>
      </c>
      <c r="L641" s="14" t="n">
        <v>0</v>
      </c>
      <c r="M641" s="14" t="n">
        <v>0</v>
      </c>
      <c r="N641" s="14" t="n">
        <v>62501.44834657556</v>
      </c>
      <c r="O641" s="14" t="n">
        <v>62501.44834657556</v>
      </c>
      <c r="P641" s="14" t="n">
        <v>0</v>
      </c>
      <c r="Q641" s="14" t="n">
        <v>837132.3495866362</v>
      </c>
      <c r="R641" s="15">
        <f>IF(D641=1,"Section 1","Control")</f>
        <v/>
      </c>
      <c r="S641" s="16">
        <f>N641/10000</f>
        <v/>
      </c>
      <c r="T641" s="16">
        <f>P641/10000</f>
        <v/>
      </c>
      <c r="U641" s="15">
        <f>IF(N641&gt;=Summary!$D$3,1,0)</f>
        <v/>
      </c>
      <c r="V641" s="17">
        <f>IF(N641&gt;0,P641/N641,"")</f>
        <v/>
      </c>
      <c r="W641" s="17">
        <f>IF(O641&gt;0,H641/O641,"")</f>
        <v/>
      </c>
    </row>
    <row r="642">
      <c r="A642" s="13" t="inlineStr">
        <is>
          <t>T23_F</t>
        </is>
      </c>
      <c r="B642" s="13" t="inlineStr">
        <is>
          <t>T23</t>
        </is>
      </c>
      <c r="C642" s="13" t="inlineStr">
        <is>
          <t>F</t>
        </is>
      </c>
      <c r="D642" s="13" t="n">
        <v>1</v>
      </c>
      <c r="E642" s="13" t="inlineStr">
        <is>
          <t>S1</t>
        </is>
      </c>
      <c r="F642" s="13" t="n">
        <v>2023</v>
      </c>
      <c r="G642" s="14" t="n">
        <v>62501.44834657556</v>
      </c>
      <c r="H642" s="14" t="n">
        <v>62501.44834657556</v>
      </c>
      <c r="I642" s="14" t="n">
        <v>0</v>
      </c>
      <c r="J642" s="14" t="n">
        <v>0</v>
      </c>
      <c r="K642" s="14" t="n">
        <v>0</v>
      </c>
      <c r="L642" s="14" t="n">
        <v>0</v>
      </c>
      <c r="M642" s="14" t="n">
        <v>0</v>
      </c>
      <c r="N642" s="14" t="n">
        <v>62501.44834657556</v>
      </c>
      <c r="O642" s="14" t="n">
        <v>62501.44834657556</v>
      </c>
      <c r="P642" s="14" t="n">
        <v>0</v>
      </c>
      <c r="Q642" s="14" t="n">
        <v>837132.3495866362</v>
      </c>
      <c r="R642" s="15">
        <f>IF(D642=1,"Section 1","Control")</f>
        <v/>
      </c>
      <c r="S642" s="16">
        <f>N642/10000</f>
        <v/>
      </c>
      <c r="T642" s="16">
        <f>P642/10000</f>
        <v/>
      </c>
      <c r="U642" s="15">
        <f>IF(N642&gt;=Summary!$D$3,1,0)</f>
        <v/>
      </c>
      <c r="V642" s="17">
        <f>IF(N642&gt;0,P642/N642,"")</f>
        <v/>
      </c>
      <c r="W642" s="17">
        <f>IF(O642&gt;0,H642/O642,"")</f>
        <v/>
      </c>
    </row>
    <row r="643">
      <c r="A643" s="13" t="inlineStr">
        <is>
          <t>T23_F</t>
        </is>
      </c>
      <c r="B643" s="13" t="inlineStr">
        <is>
          <t>T23</t>
        </is>
      </c>
      <c r="C643" s="13" t="inlineStr">
        <is>
          <t>F</t>
        </is>
      </c>
      <c r="D643" s="13" t="n">
        <v>1</v>
      </c>
      <c r="E643" s="13" t="inlineStr">
        <is>
          <t>S1</t>
        </is>
      </c>
      <c r="F643" s="13" t="n">
        <v>2024</v>
      </c>
      <c r="G643" s="14" t="n">
        <v>62501.44834657556</v>
      </c>
      <c r="H643" s="14" t="n">
        <v>62501.44834657556</v>
      </c>
      <c r="I643" s="14" t="n">
        <v>0</v>
      </c>
      <c r="J643" s="14" t="n">
        <v>0</v>
      </c>
      <c r="K643" s="14" t="n">
        <v>0</v>
      </c>
      <c r="L643" s="14" t="n">
        <v>0</v>
      </c>
      <c r="M643" s="14" t="n">
        <v>0</v>
      </c>
      <c r="N643" s="14" t="n">
        <v>62501.44834657556</v>
      </c>
      <c r="O643" s="14" t="n">
        <v>62501.44834657556</v>
      </c>
      <c r="P643" s="14" t="n">
        <v>0</v>
      </c>
      <c r="Q643" s="14" t="n">
        <v>837132.3495866362</v>
      </c>
      <c r="R643" s="15">
        <f>IF(D643=1,"Section 1","Control")</f>
        <v/>
      </c>
      <c r="S643" s="16">
        <f>N643/10000</f>
        <v/>
      </c>
      <c r="T643" s="16">
        <f>P643/10000</f>
        <v/>
      </c>
      <c r="U643" s="15">
        <f>IF(N643&gt;=Summary!$D$3,1,0)</f>
        <v/>
      </c>
      <c r="V643" s="17">
        <f>IF(N643&gt;0,P643/N643,"")</f>
        <v/>
      </c>
      <c r="W643" s="17">
        <f>IF(O643&gt;0,H643/O643,"")</f>
        <v/>
      </c>
    </row>
    <row r="644">
      <c r="A644" s="13" t="inlineStr">
        <is>
          <t>T23_F</t>
        </is>
      </c>
      <c r="B644" s="13" t="inlineStr">
        <is>
          <t>T23</t>
        </is>
      </c>
      <c r="C644" s="13" t="inlineStr">
        <is>
          <t>F</t>
        </is>
      </c>
      <c r="D644" s="13" t="n">
        <v>1</v>
      </c>
      <c r="E644" s="13" t="inlineStr">
        <is>
          <t>S1</t>
        </is>
      </c>
      <c r="F644" s="13" t="n">
        <v>2025</v>
      </c>
      <c r="G644" s="14" t="n">
        <v>62501.44834657556</v>
      </c>
      <c r="H644" s="14" t="n">
        <v>62501.44834657556</v>
      </c>
      <c r="I644" s="14" t="n">
        <v>0</v>
      </c>
      <c r="J644" s="14" t="n">
        <v>0</v>
      </c>
      <c r="K644" s="14" t="n">
        <v>0</v>
      </c>
      <c r="L644" s="14" t="n">
        <v>0</v>
      </c>
      <c r="M644" s="14" t="n">
        <v>0</v>
      </c>
      <c r="N644" s="14" t="n">
        <v>62501.44834657556</v>
      </c>
      <c r="O644" s="14" t="n">
        <v>62501.44834657556</v>
      </c>
      <c r="P644" s="14" t="n">
        <v>0</v>
      </c>
      <c r="Q644" s="14" t="n">
        <v>837132.3495866362</v>
      </c>
      <c r="R644" s="15">
        <f>IF(D644=1,"Section 1","Control")</f>
        <v/>
      </c>
      <c r="S644" s="16">
        <f>N644/10000</f>
        <v/>
      </c>
      <c r="T644" s="16">
        <f>P644/10000</f>
        <v/>
      </c>
      <c r="U644" s="15">
        <f>IF(N644&gt;=Summary!$D$3,1,0)</f>
        <v/>
      </c>
      <c r="V644" s="17">
        <f>IF(N644&gt;0,P644/N644,"")</f>
        <v/>
      </c>
      <c r="W644" s="17">
        <f>IF(O644&gt;0,H644/O644,"")</f>
        <v/>
      </c>
    </row>
    <row r="645">
      <c r="A645" s="13" t="inlineStr">
        <is>
          <t>T23_F</t>
        </is>
      </c>
      <c r="B645" s="13" t="inlineStr">
        <is>
          <t>T23</t>
        </is>
      </c>
      <c r="C645" s="13" t="inlineStr">
        <is>
          <t>F</t>
        </is>
      </c>
      <c r="D645" s="13" t="n">
        <v>1</v>
      </c>
      <c r="E645" s="13" t="inlineStr">
        <is>
          <t>S1</t>
        </is>
      </c>
      <c r="F645" s="13" t="n">
        <v>2026</v>
      </c>
      <c r="G645" s="14" t="n">
        <v>62501.44834657556</v>
      </c>
      <c r="H645" s="14" t="n">
        <v>0</v>
      </c>
      <c r="I645" s="14" t="n">
        <v>8221.020802247289</v>
      </c>
      <c r="J645" s="14" t="n">
        <v>0</v>
      </c>
      <c r="K645" s="14" t="n">
        <v>54280.42754432828</v>
      </c>
      <c r="L645" s="14" t="n">
        <v>0</v>
      </c>
      <c r="M645" s="14" t="n">
        <v>0</v>
      </c>
      <c r="N645" s="14" t="n">
        <v>62501.44834657556</v>
      </c>
      <c r="O645" s="14" t="n">
        <v>62501.44834657556</v>
      </c>
      <c r="P645" s="14" t="n">
        <v>62501.44834657556</v>
      </c>
      <c r="Q645" s="14" t="n">
        <v>837132.3495866362</v>
      </c>
      <c r="R645" s="15">
        <f>IF(D645=1,"Section 1","Control")</f>
        <v/>
      </c>
      <c r="S645" s="16">
        <f>N645/10000</f>
        <v/>
      </c>
      <c r="T645" s="16">
        <f>P645/10000</f>
        <v/>
      </c>
      <c r="U645" s="15">
        <f>IF(N645&gt;=Summary!$D$3,1,0)</f>
        <v/>
      </c>
      <c r="V645" s="17">
        <f>IF(N645&gt;0,P645/N645,"")</f>
        <v/>
      </c>
      <c r="W645" s="17">
        <f>IF(O645&gt;0,H645/O645,"")</f>
        <v/>
      </c>
    </row>
    <row r="646">
      <c r="A646" s="13" t="inlineStr">
        <is>
          <t>T24_B1</t>
        </is>
      </c>
      <c r="B646" s="13" t="inlineStr">
        <is>
          <t>T24</t>
        </is>
      </c>
      <c r="C646" s="13" t="inlineStr">
        <is>
          <t>B1</t>
        </is>
      </c>
      <c r="D646" s="13" t="n">
        <v>1</v>
      </c>
      <c r="E646" s="13" t="inlineStr">
        <is>
          <t>S1</t>
        </is>
      </c>
      <c r="F646" s="13" t="n">
        <v>2020</v>
      </c>
      <c r="G646" s="14" t="n">
        <v>993690.6601789888</v>
      </c>
      <c r="H646" s="14" t="n">
        <v>818379.9041415646</v>
      </c>
      <c r="I646" s="14" t="n">
        <v>54692.01676931942</v>
      </c>
      <c r="J646" s="14" t="n">
        <v>0</v>
      </c>
      <c r="K646" s="14" t="n">
        <v>120618.7392681047</v>
      </c>
      <c r="L646" s="14" t="n">
        <v>0</v>
      </c>
      <c r="M646" s="14" t="n">
        <v>0</v>
      </c>
      <c r="N646" s="14" t="n">
        <v>818379.9041415646</v>
      </c>
      <c r="O646" s="14" t="n">
        <v>993690.6601789888</v>
      </c>
      <c r="P646" s="14" t="n">
        <v>0</v>
      </c>
      <c r="Q646" s="14" t="n">
        <v>12655075.04486963</v>
      </c>
      <c r="R646" s="15">
        <f>IF(D646=1,"Section 1","Control")</f>
        <v/>
      </c>
      <c r="S646" s="16">
        <f>N646/10000</f>
        <v/>
      </c>
      <c r="T646" s="16">
        <f>P646/10000</f>
        <v/>
      </c>
      <c r="U646" s="15">
        <f>IF(N646&gt;=Summary!$D$3,1,0)</f>
        <v/>
      </c>
      <c r="V646" s="17">
        <f>IF(N646&gt;0,P646/N646,"")</f>
        <v/>
      </c>
      <c r="W646" s="17">
        <f>IF(O646&gt;0,H646/O646,"")</f>
        <v/>
      </c>
    </row>
    <row r="647">
      <c r="A647" s="13" t="inlineStr">
        <is>
          <t>T24_B1</t>
        </is>
      </c>
      <c r="B647" s="13" t="inlineStr">
        <is>
          <t>T24</t>
        </is>
      </c>
      <c r="C647" s="13" t="inlineStr">
        <is>
          <t>B1</t>
        </is>
      </c>
      <c r="D647" s="13" t="n">
        <v>1</v>
      </c>
      <c r="E647" s="13" t="inlineStr">
        <is>
          <t>S1</t>
        </is>
      </c>
      <c r="F647" s="13" t="n">
        <v>2021</v>
      </c>
      <c r="G647" s="14" t="n">
        <v>993690.6601789888</v>
      </c>
      <c r="H647" s="14" t="n">
        <v>813171.9988831467</v>
      </c>
      <c r="I647" s="14" t="n">
        <v>40567.3201793895</v>
      </c>
      <c r="J647" s="14" t="n">
        <v>0</v>
      </c>
      <c r="K647" s="14" t="n">
        <v>139951.3411164527</v>
      </c>
      <c r="L647" s="14" t="n">
        <v>0</v>
      </c>
      <c r="M647" s="14" t="n">
        <v>0</v>
      </c>
      <c r="N647" s="14" t="n">
        <v>818379.9041415649</v>
      </c>
      <c r="O647" s="14" t="n">
        <v>993690.6601789888</v>
      </c>
      <c r="P647" s="14" t="n">
        <v>12087.91351073022</v>
      </c>
      <c r="Q647" s="14" t="n">
        <v>12655075.04486963</v>
      </c>
      <c r="R647" s="15">
        <f>IF(D647=1,"Section 1","Control")</f>
        <v/>
      </c>
      <c r="S647" s="16">
        <f>N647/10000</f>
        <v/>
      </c>
      <c r="T647" s="16">
        <f>P647/10000</f>
        <v/>
      </c>
      <c r="U647" s="15">
        <f>IF(N647&gt;=Summary!$D$3,1,0)</f>
        <v/>
      </c>
      <c r="V647" s="17">
        <f>IF(N647&gt;0,P647/N647,"")</f>
        <v/>
      </c>
      <c r="W647" s="17">
        <f>IF(O647&gt;0,H647/O647,"")</f>
        <v/>
      </c>
    </row>
    <row r="648">
      <c r="A648" s="13" t="inlineStr">
        <is>
          <t>T24_B1</t>
        </is>
      </c>
      <c r="B648" s="13" t="inlineStr">
        <is>
          <t>T24</t>
        </is>
      </c>
      <c r="C648" s="13" t="inlineStr">
        <is>
          <t>B1</t>
        </is>
      </c>
      <c r="D648" s="13" t="n">
        <v>1</v>
      </c>
      <c r="E648" s="13" t="inlineStr">
        <is>
          <t>S1</t>
        </is>
      </c>
      <c r="F648" s="13" t="n">
        <v>2022</v>
      </c>
      <c r="G648" s="14" t="n">
        <v>993690.6601789888</v>
      </c>
      <c r="H648" s="14" t="n">
        <v>798976.8547140385</v>
      </c>
      <c r="I648" s="14" t="n">
        <v>55377.26414687213</v>
      </c>
      <c r="J648" s="14" t="n">
        <v>0</v>
      </c>
      <c r="K648" s="14" t="n">
        <v>139336.5413180781</v>
      </c>
      <c r="L648" s="14" t="n">
        <v>0</v>
      </c>
      <c r="M648" s="14" t="n">
        <v>0</v>
      </c>
      <c r="N648" s="14" t="n">
        <v>818379.9041415649</v>
      </c>
      <c r="O648" s="14" t="n">
        <v>993690.6601789888</v>
      </c>
      <c r="P648" s="14" t="n">
        <v>26403.84836730957</v>
      </c>
      <c r="Q648" s="14" t="n">
        <v>12655075.04486963</v>
      </c>
      <c r="R648" s="15">
        <f>IF(D648=1,"Section 1","Control")</f>
        <v/>
      </c>
      <c r="S648" s="16">
        <f>N648/10000</f>
        <v/>
      </c>
      <c r="T648" s="16">
        <f>P648/10000</f>
        <v/>
      </c>
      <c r="U648" s="15">
        <f>IF(N648&gt;=Summary!$D$3,1,0)</f>
        <v/>
      </c>
      <c r="V648" s="17">
        <f>IF(N648&gt;0,P648/N648,"")</f>
        <v/>
      </c>
      <c r="W648" s="17">
        <f>IF(O648&gt;0,H648/O648,"")</f>
        <v/>
      </c>
    </row>
    <row r="649">
      <c r="A649" s="13" t="inlineStr">
        <is>
          <t>T24_B1</t>
        </is>
      </c>
      <c r="B649" s="13" t="inlineStr">
        <is>
          <t>T24</t>
        </is>
      </c>
      <c r="C649" s="13" t="inlineStr">
        <is>
          <t>B1</t>
        </is>
      </c>
      <c r="D649" s="13" t="n">
        <v>1</v>
      </c>
      <c r="E649" s="13" t="inlineStr">
        <is>
          <t>S1</t>
        </is>
      </c>
      <c r="F649" s="13" t="n">
        <v>2023</v>
      </c>
      <c r="G649" s="14" t="n">
        <v>993690.6601789888</v>
      </c>
      <c r="H649" s="14" t="n">
        <v>785907.5261955115</v>
      </c>
      <c r="I649" s="14" t="n">
        <v>53160.84369408102</v>
      </c>
      <c r="J649" s="14" t="n">
        <v>0</v>
      </c>
      <c r="K649" s="14" t="n">
        <v>154622.2902893964</v>
      </c>
      <c r="L649" s="14" t="n">
        <v>0</v>
      </c>
      <c r="M649" s="14" t="n">
        <v>0</v>
      </c>
      <c r="N649" s="14" t="n">
        <v>818379.9041415649</v>
      </c>
      <c r="O649" s="14" t="n">
        <v>993690.6601789888</v>
      </c>
      <c r="P649" s="14" t="n">
        <v>36442.5810146257</v>
      </c>
      <c r="Q649" s="14" t="n">
        <v>12655075.04486963</v>
      </c>
      <c r="R649" s="15">
        <f>IF(D649=1,"Section 1","Control")</f>
        <v/>
      </c>
      <c r="S649" s="16">
        <f>N649/10000</f>
        <v/>
      </c>
      <c r="T649" s="16">
        <f>P649/10000</f>
        <v/>
      </c>
      <c r="U649" s="15">
        <f>IF(N649&gt;=Summary!$D$3,1,0)</f>
        <v/>
      </c>
      <c r="V649" s="17">
        <f>IF(N649&gt;0,P649/N649,"")</f>
        <v/>
      </c>
      <c r="W649" s="17">
        <f>IF(O649&gt;0,H649/O649,"")</f>
        <v/>
      </c>
    </row>
    <row r="650">
      <c r="A650" s="13" t="inlineStr">
        <is>
          <t>T24_B1</t>
        </is>
      </c>
      <c r="B650" s="13" t="inlineStr">
        <is>
          <t>T24</t>
        </is>
      </c>
      <c r="C650" s="13" t="inlineStr">
        <is>
          <t>B1</t>
        </is>
      </c>
      <c r="D650" s="13" t="n">
        <v>1</v>
      </c>
      <c r="E650" s="13" t="inlineStr">
        <is>
          <t>S1</t>
        </is>
      </c>
      <c r="F650" s="13" t="n">
        <v>2024</v>
      </c>
      <c r="G650" s="14" t="n">
        <v>993690.6601789888</v>
      </c>
      <c r="H650" s="14" t="n">
        <v>785564.8979608875</v>
      </c>
      <c r="I650" s="14" t="n">
        <v>45045.46552653593</v>
      </c>
      <c r="J650" s="14" t="n">
        <v>0</v>
      </c>
      <c r="K650" s="14" t="n">
        <v>163080.2966915655</v>
      </c>
      <c r="L650" s="14" t="n">
        <v>0</v>
      </c>
      <c r="M650" s="14" t="n">
        <v>0</v>
      </c>
      <c r="N650" s="14" t="n">
        <v>818379.9041415649</v>
      </c>
      <c r="O650" s="14" t="n">
        <v>993690.6601789888</v>
      </c>
      <c r="P650" s="14" t="n">
        <v>47007.07741271374</v>
      </c>
      <c r="Q650" s="14" t="n">
        <v>12655075.04486963</v>
      </c>
      <c r="R650" s="15">
        <f>IF(D650=1,"Section 1","Control")</f>
        <v/>
      </c>
      <c r="S650" s="16">
        <f>N650/10000</f>
        <v/>
      </c>
      <c r="T650" s="16">
        <f>P650/10000</f>
        <v/>
      </c>
      <c r="U650" s="15">
        <f>IF(N650&gt;=Summary!$D$3,1,0)</f>
        <v/>
      </c>
      <c r="V650" s="17">
        <f>IF(N650&gt;0,P650/N650,"")</f>
        <v/>
      </c>
      <c r="W650" s="17">
        <f>IF(O650&gt;0,H650/O650,"")</f>
        <v/>
      </c>
    </row>
    <row r="651">
      <c r="A651" s="13" t="inlineStr">
        <is>
          <t>T24_B1</t>
        </is>
      </c>
      <c r="B651" s="13" t="inlineStr">
        <is>
          <t>T24</t>
        </is>
      </c>
      <c r="C651" s="13" t="inlineStr">
        <is>
          <t>B1</t>
        </is>
      </c>
      <c r="D651" s="13" t="n">
        <v>1</v>
      </c>
      <c r="E651" s="13" t="inlineStr">
        <is>
          <t>S1</t>
        </is>
      </c>
      <c r="F651" s="13" t="n">
        <v>2025</v>
      </c>
      <c r="G651" s="14" t="n">
        <v>993690.6601789888</v>
      </c>
      <c r="H651" s="14" t="n">
        <v>758947.3931264244</v>
      </c>
      <c r="I651" s="14" t="n">
        <v>40237.82597554525</v>
      </c>
      <c r="J651" s="14" t="n">
        <v>0</v>
      </c>
      <c r="K651" s="14" t="n">
        <v>194505.4410770192</v>
      </c>
      <c r="L651" s="14" t="n">
        <v>0</v>
      </c>
      <c r="M651" s="14" t="n">
        <v>0</v>
      </c>
      <c r="N651" s="14" t="n">
        <v>818379.9041415649</v>
      </c>
      <c r="O651" s="14" t="n">
        <v>993690.6601789888</v>
      </c>
      <c r="P651" s="14" t="n">
        <v>65231.59952670828</v>
      </c>
      <c r="Q651" s="14" t="n">
        <v>12655075.04486963</v>
      </c>
      <c r="R651" s="15">
        <f>IF(D651=1,"Section 1","Control")</f>
        <v/>
      </c>
      <c r="S651" s="16">
        <f>N651/10000</f>
        <v/>
      </c>
      <c r="T651" s="16">
        <f>P651/10000</f>
        <v/>
      </c>
      <c r="U651" s="15">
        <f>IF(N651&gt;=Summary!$D$3,1,0)</f>
        <v/>
      </c>
      <c r="V651" s="17">
        <f>IF(N651&gt;0,P651/N651,"")</f>
        <v/>
      </c>
      <c r="W651" s="17">
        <f>IF(O651&gt;0,H651/O651,"")</f>
        <v/>
      </c>
    </row>
    <row r="652">
      <c r="A652" s="13" t="inlineStr">
        <is>
          <t>T24_B1</t>
        </is>
      </c>
      <c r="B652" s="13" t="inlineStr">
        <is>
          <t>T24</t>
        </is>
      </c>
      <c r="C652" s="13" t="inlineStr">
        <is>
          <t>B1</t>
        </is>
      </c>
      <c r="D652" s="13" t="n">
        <v>1</v>
      </c>
      <c r="E652" s="13" t="inlineStr">
        <is>
          <t>S1</t>
        </is>
      </c>
      <c r="F652" s="13" t="n">
        <v>2026</v>
      </c>
      <c r="G652" s="14" t="n">
        <v>993690.6601789888</v>
      </c>
      <c r="H652" s="14" t="n">
        <v>744341.1933983299</v>
      </c>
      <c r="I652" s="14" t="n">
        <v>24499.10071147844</v>
      </c>
      <c r="J652" s="14" t="n">
        <v>0</v>
      </c>
      <c r="K652" s="14" t="n">
        <v>224850.3660691803</v>
      </c>
      <c r="L652" s="14" t="n">
        <v>0</v>
      </c>
      <c r="M652" s="14" t="n">
        <v>0</v>
      </c>
      <c r="N652" s="14" t="n">
        <v>818379.9041415649</v>
      </c>
      <c r="O652" s="14" t="n">
        <v>993690.6601789888</v>
      </c>
      <c r="P652" s="14" t="n">
        <v>88846.73721391267</v>
      </c>
      <c r="Q652" s="14" t="n">
        <v>12655075.04486963</v>
      </c>
      <c r="R652" s="15">
        <f>IF(D652=1,"Section 1","Control")</f>
        <v/>
      </c>
      <c r="S652" s="16">
        <f>N652/10000</f>
        <v/>
      </c>
      <c r="T652" s="16">
        <f>P652/10000</f>
        <v/>
      </c>
      <c r="U652" s="15">
        <f>IF(N652&gt;=Summary!$D$3,1,0)</f>
        <v/>
      </c>
      <c r="V652" s="17">
        <f>IF(N652&gt;0,P652/N652,"")</f>
        <v/>
      </c>
      <c r="W652" s="17">
        <f>IF(O652&gt;0,H652/O652,"")</f>
        <v/>
      </c>
    </row>
    <row r="653">
      <c r="A653" s="13" t="inlineStr">
        <is>
          <t>T24_B2</t>
        </is>
      </c>
      <c r="B653" s="13" t="inlineStr">
        <is>
          <t>T24</t>
        </is>
      </c>
      <c r="C653" s="13" t="inlineStr">
        <is>
          <t>B2</t>
        </is>
      </c>
      <c r="D653" s="13" t="n">
        <v>1</v>
      </c>
      <c r="E653" s="13" t="inlineStr">
        <is>
          <t>S1</t>
        </is>
      </c>
      <c r="F653" s="13" t="n">
        <v>2020</v>
      </c>
      <c r="G653" s="14" t="n">
        <v>1003303.013644409</v>
      </c>
      <c r="H653" s="14" t="n">
        <v>602403.5702902102</v>
      </c>
      <c r="I653" s="14" t="n">
        <v>45257.82316275204</v>
      </c>
      <c r="J653" s="14" t="n">
        <v>38591.50276611926</v>
      </c>
      <c r="K653" s="14" t="n">
        <v>100376.2112369911</v>
      </c>
      <c r="L653" s="14" t="n">
        <v>216673.9061883365</v>
      </c>
      <c r="M653" s="14" t="n">
        <v>0</v>
      </c>
      <c r="N653" s="14" t="n">
        <v>602403.5702902102</v>
      </c>
      <c r="O653" s="14" t="n">
        <v>786629.1074560729</v>
      </c>
      <c r="P653" s="14" t="n">
        <v>0</v>
      </c>
      <c r="Q653" s="14" t="n">
        <v>10634924.89118509</v>
      </c>
      <c r="R653" s="15">
        <f>IF(D653=1,"Section 1","Control")</f>
        <v/>
      </c>
      <c r="S653" s="16">
        <f>N653/10000</f>
        <v/>
      </c>
      <c r="T653" s="16">
        <f>P653/10000</f>
        <v/>
      </c>
      <c r="U653" s="15">
        <f>IF(N653&gt;=Summary!$D$3,1,0)</f>
        <v/>
      </c>
      <c r="V653" s="17">
        <f>IF(N653&gt;0,P653/N653,"")</f>
        <v/>
      </c>
      <c r="W653" s="17">
        <f>IF(O653&gt;0,H653/O653,"")</f>
        <v/>
      </c>
    </row>
    <row r="654">
      <c r="A654" s="13" t="inlineStr">
        <is>
          <t>T24_B2</t>
        </is>
      </c>
      <c r="B654" s="13" t="inlineStr">
        <is>
          <t>T24</t>
        </is>
      </c>
      <c r="C654" s="13" t="inlineStr">
        <is>
          <t>B2</t>
        </is>
      </c>
      <c r="D654" s="13" t="n">
        <v>1</v>
      </c>
      <c r="E654" s="13" t="inlineStr">
        <is>
          <t>S1</t>
        </is>
      </c>
      <c r="F654" s="13" t="n">
        <v>2021</v>
      </c>
      <c r="G654" s="14" t="n">
        <v>1003303.013644409</v>
      </c>
      <c r="H654" s="14" t="n">
        <v>601600.6062293558</v>
      </c>
      <c r="I654" s="14" t="n">
        <v>47228.44078357173</v>
      </c>
      <c r="J654" s="14" t="n">
        <v>39387.87039510689</v>
      </c>
      <c r="K654" s="14" t="n">
        <v>102412.6158921185</v>
      </c>
      <c r="L654" s="14" t="n">
        <v>212673.4803442562</v>
      </c>
      <c r="M654" s="14" t="n">
        <v>0</v>
      </c>
      <c r="N654" s="14" t="n">
        <v>602403.5702902102</v>
      </c>
      <c r="O654" s="14" t="n">
        <v>786629.1074560727</v>
      </c>
      <c r="P654" s="14" t="n">
        <v>2295.794963313084</v>
      </c>
      <c r="Q654" s="14" t="n">
        <v>10634924.89118509</v>
      </c>
      <c r="R654" s="15">
        <f>IF(D654=1,"Section 1","Control")</f>
        <v/>
      </c>
      <c r="S654" s="16">
        <f>N654/10000</f>
        <v/>
      </c>
      <c r="T654" s="16">
        <f>P654/10000</f>
        <v/>
      </c>
      <c r="U654" s="15">
        <f>IF(N654&gt;=Summary!$D$3,1,0)</f>
        <v/>
      </c>
      <c r="V654" s="17">
        <f>IF(N654&gt;0,P654/N654,"")</f>
        <v/>
      </c>
      <c r="W654" s="17">
        <f>IF(O654&gt;0,H654/O654,"")</f>
        <v/>
      </c>
    </row>
    <row r="655">
      <c r="A655" s="13" t="inlineStr">
        <is>
          <t>T24_B2</t>
        </is>
      </c>
      <c r="B655" s="13" t="inlineStr">
        <is>
          <t>T24</t>
        </is>
      </c>
      <c r="C655" s="13" t="inlineStr">
        <is>
          <t>B2</t>
        </is>
      </c>
      <c r="D655" s="13" t="n">
        <v>1</v>
      </c>
      <c r="E655" s="13" t="inlineStr">
        <is>
          <t>S1</t>
        </is>
      </c>
      <c r="F655" s="13" t="n">
        <v>2022</v>
      </c>
      <c r="G655" s="14" t="n">
        <v>1003303.013644409</v>
      </c>
      <c r="H655" s="14" t="n">
        <v>598566.9268007467</v>
      </c>
      <c r="I655" s="14" t="n">
        <v>55046.12272955204</v>
      </c>
      <c r="J655" s="14" t="n">
        <v>41559.78139059029</v>
      </c>
      <c r="K655" s="14" t="n">
        <v>94363.00227729949</v>
      </c>
      <c r="L655" s="14" t="n">
        <v>213767.1804462208</v>
      </c>
      <c r="M655" s="14" t="n">
        <v>0</v>
      </c>
      <c r="N655" s="14" t="n">
        <v>602403.5702902102</v>
      </c>
      <c r="O655" s="14" t="n">
        <v>786629.1074560727</v>
      </c>
      <c r="P655" s="14" t="n">
        <v>4941.169706696155</v>
      </c>
      <c r="Q655" s="14" t="n">
        <v>10634924.89118509</v>
      </c>
      <c r="R655" s="15">
        <f>IF(D655=1,"Section 1","Control")</f>
        <v/>
      </c>
      <c r="S655" s="16">
        <f>N655/10000</f>
        <v/>
      </c>
      <c r="T655" s="16">
        <f>P655/10000</f>
        <v/>
      </c>
      <c r="U655" s="15">
        <f>IF(N655&gt;=Summary!$D$3,1,0)</f>
        <v/>
      </c>
      <c r="V655" s="17">
        <f>IF(N655&gt;0,P655/N655,"")</f>
        <v/>
      </c>
      <c r="W655" s="17">
        <f>IF(O655&gt;0,H655/O655,"")</f>
        <v/>
      </c>
    </row>
    <row r="656">
      <c r="A656" s="13" t="inlineStr">
        <is>
          <t>T24_B2</t>
        </is>
      </c>
      <c r="B656" s="13" t="inlineStr">
        <is>
          <t>T24</t>
        </is>
      </c>
      <c r="C656" s="13" t="inlineStr">
        <is>
          <t>B2</t>
        </is>
      </c>
      <c r="D656" s="13" t="n">
        <v>1</v>
      </c>
      <c r="E656" s="13" t="inlineStr">
        <is>
          <t>S1</t>
        </is>
      </c>
      <c r="F656" s="13" t="n">
        <v>2023</v>
      </c>
      <c r="G656" s="14" t="n">
        <v>1003303.013644409</v>
      </c>
      <c r="H656" s="14" t="n">
        <v>596786.7923052919</v>
      </c>
      <c r="I656" s="14" t="n">
        <v>52019.00824010514</v>
      </c>
      <c r="J656" s="14" t="n">
        <v>42152.12071554146</v>
      </c>
      <c r="K656" s="14" t="n">
        <v>91554.22849333521</v>
      </c>
      <c r="L656" s="14" t="n">
        <v>220790.8638901355</v>
      </c>
      <c r="M656" s="14" t="n">
        <v>0</v>
      </c>
      <c r="N656" s="14" t="n">
        <v>602403.5702902103</v>
      </c>
      <c r="O656" s="14" t="n">
        <v>786629.1074560727</v>
      </c>
      <c r="P656" s="14" t="n">
        <v>6341.118068829705</v>
      </c>
      <c r="Q656" s="14" t="n">
        <v>10634924.89118509</v>
      </c>
      <c r="R656" s="15">
        <f>IF(D656=1,"Section 1","Control")</f>
        <v/>
      </c>
      <c r="S656" s="16">
        <f>N656/10000</f>
        <v/>
      </c>
      <c r="T656" s="16">
        <f>P656/10000</f>
        <v/>
      </c>
      <c r="U656" s="15">
        <f>IF(N656&gt;=Summary!$D$3,1,0)</f>
        <v/>
      </c>
      <c r="V656" s="17">
        <f>IF(N656&gt;0,P656/N656,"")</f>
        <v/>
      </c>
      <c r="W656" s="17">
        <f>IF(O656&gt;0,H656/O656,"")</f>
        <v/>
      </c>
    </row>
    <row r="657">
      <c r="A657" s="13" t="inlineStr">
        <is>
          <t>T24_B2</t>
        </is>
      </c>
      <c r="B657" s="13" t="inlineStr">
        <is>
          <t>T24</t>
        </is>
      </c>
      <c r="C657" s="13" t="inlineStr">
        <is>
          <t>B2</t>
        </is>
      </c>
      <c r="D657" s="13" t="n">
        <v>1</v>
      </c>
      <c r="E657" s="13" t="inlineStr">
        <is>
          <t>S1</t>
        </is>
      </c>
      <c r="F657" s="13" t="n">
        <v>2024</v>
      </c>
      <c r="G657" s="14" t="n">
        <v>1003303.013644409</v>
      </c>
      <c r="H657" s="14" t="n">
        <v>587395.9004577338</v>
      </c>
      <c r="I657" s="14" t="n">
        <v>51286.5261162253</v>
      </c>
      <c r="J657" s="14" t="n">
        <v>42349.56716482124</v>
      </c>
      <c r="K657" s="14" t="n">
        <v>104738.0268040676</v>
      </c>
      <c r="L657" s="14" t="n">
        <v>217532.9931015613</v>
      </c>
      <c r="M657" s="14" t="n">
        <v>0</v>
      </c>
      <c r="N657" s="14" t="n">
        <v>602403.5702902102</v>
      </c>
      <c r="O657" s="14" t="n">
        <v>786629.1074560727</v>
      </c>
      <c r="P657" s="14" t="n">
        <v>17535.7369951136</v>
      </c>
      <c r="Q657" s="14" t="n">
        <v>10634924.89118509</v>
      </c>
      <c r="R657" s="15">
        <f>IF(D657=1,"Section 1","Control")</f>
        <v/>
      </c>
      <c r="S657" s="16">
        <f>N657/10000</f>
        <v/>
      </c>
      <c r="T657" s="16">
        <f>P657/10000</f>
        <v/>
      </c>
      <c r="U657" s="15">
        <f>IF(N657&gt;=Summary!$D$3,1,0)</f>
        <v/>
      </c>
      <c r="V657" s="17">
        <f>IF(N657&gt;0,P657/N657,"")</f>
        <v/>
      </c>
      <c r="W657" s="17">
        <f>IF(O657&gt;0,H657/O657,"")</f>
        <v/>
      </c>
    </row>
    <row r="658">
      <c r="A658" s="13" t="inlineStr">
        <is>
          <t>T24_B2</t>
        </is>
      </c>
      <c r="B658" s="13" t="inlineStr">
        <is>
          <t>T24</t>
        </is>
      </c>
      <c r="C658" s="13" t="inlineStr">
        <is>
          <t>B2</t>
        </is>
      </c>
      <c r="D658" s="13" t="n">
        <v>1</v>
      </c>
      <c r="E658" s="13" t="inlineStr">
        <is>
          <t>S1</t>
        </is>
      </c>
      <c r="F658" s="13" t="n">
        <v>2025</v>
      </c>
      <c r="G658" s="14" t="n">
        <v>1003303.013644409</v>
      </c>
      <c r="H658" s="14" t="n">
        <v>573659.2720656452</v>
      </c>
      <c r="I658" s="14" t="n">
        <v>50700.77044474285</v>
      </c>
      <c r="J658" s="14" t="n">
        <v>41757.22770254097</v>
      </c>
      <c r="K658" s="14" t="n">
        <v>117830.0462856817</v>
      </c>
      <c r="L658" s="14" t="n">
        <v>219355.6971457986</v>
      </c>
      <c r="M658" s="14" t="n">
        <v>0</v>
      </c>
      <c r="N658" s="14" t="n">
        <v>602403.5702902102</v>
      </c>
      <c r="O658" s="14" t="n">
        <v>786629.1074560729</v>
      </c>
      <c r="P658" s="14" t="n">
        <v>29540.64873202455</v>
      </c>
      <c r="Q658" s="14" t="n">
        <v>10634924.89118509</v>
      </c>
      <c r="R658" s="15">
        <f>IF(D658=1,"Section 1","Control")</f>
        <v/>
      </c>
      <c r="S658" s="16">
        <f>N658/10000</f>
        <v/>
      </c>
      <c r="T658" s="16">
        <f>P658/10000</f>
        <v/>
      </c>
      <c r="U658" s="15">
        <f>IF(N658&gt;=Summary!$D$3,1,0)</f>
        <v/>
      </c>
      <c r="V658" s="17">
        <f>IF(N658&gt;0,P658/N658,"")</f>
        <v/>
      </c>
      <c r="W658" s="17">
        <f>IF(O658&gt;0,H658/O658,"")</f>
        <v/>
      </c>
    </row>
    <row r="659">
      <c r="A659" s="13" t="inlineStr">
        <is>
          <t>T24_B2</t>
        </is>
      </c>
      <c r="B659" s="13" t="inlineStr">
        <is>
          <t>T24</t>
        </is>
      </c>
      <c r="C659" s="13" t="inlineStr">
        <is>
          <t>B2</t>
        </is>
      </c>
      <c r="D659" s="13" t="n">
        <v>1</v>
      </c>
      <c r="E659" s="13" t="inlineStr">
        <is>
          <t>S1</t>
        </is>
      </c>
      <c r="F659" s="13" t="n">
        <v>2026</v>
      </c>
      <c r="G659" s="14" t="n">
        <v>1003303.013644409</v>
      </c>
      <c r="H659" s="14" t="n">
        <v>563314.8862382778</v>
      </c>
      <c r="I659" s="14" t="n">
        <v>50020.48824388093</v>
      </c>
      <c r="J659" s="14" t="n">
        <v>42053.39743368111</v>
      </c>
      <c r="K659" s="14" t="n">
        <v>124807.0567898021</v>
      </c>
      <c r="L659" s="14" t="n">
        <v>223107.1849387673</v>
      </c>
      <c r="M659" s="14" t="n">
        <v>0</v>
      </c>
      <c r="N659" s="14" t="n">
        <v>602403.5702902103</v>
      </c>
      <c r="O659" s="14" t="n">
        <v>786629.1074560727</v>
      </c>
      <c r="P659" s="14" t="n">
        <v>41434.79175786037</v>
      </c>
      <c r="Q659" s="14" t="n">
        <v>10634924.89118509</v>
      </c>
      <c r="R659" s="15">
        <f>IF(D659=1,"Section 1","Control")</f>
        <v/>
      </c>
      <c r="S659" s="16">
        <f>N659/10000</f>
        <v/>
      </c>
      <c r="T659" s="16">
        <f>P659/10000</f>
        <v/>
      </c>
      <c r="U659" s="15">
        <f>IF(N659&gt;=Summary!$D$3,1,0)</f>
        <v/>
      </c>
      <c r="V659" s="17">
        <f>IF(N659&gt;0,P659/N659,"")</f>
        <v/>
      </c>
      <c r="W659" s="17">
        <f>IF(O659&gt;0,H659/O659,"")</f>
        <v/>
      </c>
    </row>
    <row r="660">
      <c r="A660" s="13" t="inlineStr">
        <is>
          <t>T24_B3</t>
        </is>
      </c>
      <c r="B660" s="13" t="inlineStr">
        <is>
          <t>T24</t>
        </is>
      </c>
      <c r="C660" s="13" t="inlineStr">
        <is>
          <t>B3</t>
        </is>
      </c>
      <c r="D660" s="13" t="n">
        <v>1</v>
      </c>
      <c r="E660" s="13" t="inlineStr">
        <is>
          <t>S1</t>
        </is>
      </c>
      <c r="F660" s="13" t="n">
        <v>2020</v>
      </c>
      <c r="G660" s="14" t="n">
        <v>7992954.044758994</v>
      </c>
      <c r="H660" s="14" t="n">
        <v>2296993.257767651</v>
      </c>
      <c r="I660" s="14" t="n">
        <v>517976.4495501649</v>
      </c>
      <c r="J660" s="14" t="n">
        <v>0</v>
      </c>
      <c r="K660" s="14" t="n">
        <v>3615814.868662546</v>
      </c>
      <c r="L660" s="14" t="n">
        <v>1562169.468778633</v>
      </c>
      <c r="M660" s="14" t="n">
        <v>0</v>
      </c>
      <c r="N660" s="14" t="n">
        <v>2296993.257767651</v>
      </c>
      <c r="O660" s="14" t="n">
        <v>6430784.575980362</v>
      </c>
      <c r="P660" s="14" t="n">
        <v>0</v>
      </c>
      <c r="Q660" s="14" t="n">
        <v>46675973.39475049</v>
      </c>
      <c r="R660" s="15">
        <f>IF(D660=1,"Section 1","Control")</f>
        <v/>
      </c>
      <c r="S660" s="16">
        <f>N660/10000</f>
        <v/>
      </c>
      <c r="T660" s="16">
        <f>P660/10000</f>
        <v/>
      </c>
      <c r="U660" s="15">
        <f>IF(N660&gt;=Summary!$D$3,1,0)</f>
        <v/>
      </c>
      <c r="V660" s="17">
        <f>IF(N660&gt;0,P660/N660,"")</f>
        <v/>
      </c>
      <c r="W660" s="17">
        <f>IF(O660&gt;0,H660/O660,"")</f>
        <v/>
      </c>
    </row>
    <row r="661">
      <c r="A661" s="13" t="inlineStr">
        <is>
          <t>T24_B3</t>
        </is>
      </c>
      <c r="B661" s="13" t="inlineStr">
        <is>
          <t>T24</t>
        </is>
      </c>
      <c r="C661" s="13" t="inlineStr">
        <is>
          <t>B3</t>
        </is>
      </c>
      <c r="D661" s="13" t="n">
        <v>1</v>
      </c>
      <c r="E661" s="13" t="inlineStr">
        <is>
          <t>S1</t>
        </is>
      </c>
      <c r="F661" s="13" t="n">
        <v>2021</v>
      </c>
      <c r="G661" s="14" t="n">
        <v>7992954.044758994</v>
      </c>
      <c r="H661" s="14" t="n">
        <v>2013899.702320263</v>
      </c>
      <c r="I661" s="14" t="n">
        <v>414481.6916673847</v>
      </c>
      <c r="J661" s="14" t="n">
        <v>0</v>
      </c>
      <c r="K661" s="14" t="n">
        <v>4002403.181992714</v>
      </c>
      <c r="L661" s="14" t="n">
        <v>1562169.468778633</v>
      </c>
      <c r="M661" s="14" t="n">
        <v>0</v>
      </c>
      <c r="N661" s="14" t="n">
        <v>2296993.257767651</v>
      </c>
      <c r="O661" s="14" t="n">
        <v>6430784.575980362</v>
      </c>
      <c r="P661" s="14" t="n">
        <v>438914.9968067245</v>
      </c>
      <c r="Q661" s="14" t="n">
        <v>46675973.39475049</v>
      </c>
      <c r="R661" s="15">
        <f>IF(D661=1,"Section 1","Control")</f>
        <v/>
      </c>
      <c r="S661" s="16">
        <f>N661/10000</f>
        <v/>
      </c>
      <c r="T661" s="16">
        <f>P661/10000</f>
        <v/>
      </c>
      <c r="U661" s="15">
        <f>IF(N661&gt;=Summary!$D$3,1,0)</f>
        <v/>
      </c>
      <c r="V661" s="17">
        <f>IF(N661&gt;0,P661/N661,"")</f>
        <v/>
      </c>
      <c r="W661" s="17">
        <f>IF(O661&gt;0,H661/O661,"")</f>
        <v/>
      </c>
    </row>
    <row r="662">
      <c r="A662" s="13" t="inlineStr">
        <is>
          <t>T24_B3</t>
        </is>
      </c>
      <c r="B662" s="13" t="inlineStr">
        <is>
          <t>T24</t>
        </is>
      </c>
      <c r="C662" s="13" t="inlineStr">
        <is>
          <t>B3</t>
        </is>
      </c>
      <c r="D662" s="13" t="n">
        <v>1</v>
      </c>
      <c r="E662" s="13" t="inlineStr">
        <is>
          <t>S1</t>
        </is>
      </c>
      <c r="F662" s="13" t="n">
        <v>2022</v>
      </c>
      <c r="G662" s="14" t="n">
        <v>7992954.044758994</v>
      </c>
      <c r="H662" s="14" t="n">
        <v>1843233.716941116</v>
      </c>
      <c r="I662" s="14" t="n">
        <v>499381.1974519617</v>
      </c>
      <c r="J662" s="14" t="n">
        <v>0</v>
      </c>
      <c r="K662" s="14" t="n">
        <v>4088169.661587285</v>
      </c>
      <c r="L662" s="14" t="n">
        <v>1562169.468778633</v>
      </c>
      <c r="M662" s="14" t="n">
        <v>0</v>
      </c>
      <c r="N662" s="14" t="n">
        <v>2296993.257767651</v>
      </c>
      <c r="O662" s="14" t="n">
        <v>6430784.575980362</v>
      </c>
      <c r="P662" s="14" t="n">
        <v>616736.5962505565</v>
      </c>
      <c r="Q662" s="14" t="n">
        <v>46675973.39475049</v>
      </c>
      <c r="R662" s="15">
        <f>IF(D662=1,"Section 1","Control")</f>
        <v/>
      </c>
      <c r="S662" s="16">
        <f>N662/10000</f>
        <v/>
      </c>
      <c r="T662" s="16">
        <f>P662/10000</f>
        <v/>
      </c>
      <c r="U662" s="15">
        <f>IF(N662&gt;=Summary!$D$3,1,0)</f>
        <v/>
      </c>
      <c r="V662" s="17">
        <f>IF(N662&gt;0,P662/N662,"")</f>
        <v/>
      </c>
      <c r="W662" s="17">
        <f>IF(O662&gt;0,H662/O662,"")</f>
        <v/>
      </c>
    </row>
    <row r="663">
      <c r="A663" s="13" t="inlineStr">
        <is>
          <t>T24_B3</t>
        </is>
      </c>
      <c r="B663" s="13" t="inlineStr">
        <is>
          <t>T24</t>
        </is>
      </c>
      <c r="C663" s="13" t="inlineStr">
        <is>
          <t>B3</t>
        </is>
      </c>
      <c r="D663" s="13" t="n">
        <v>1</v>
      </c>
      <c r="E663" s="13" t="inlineStr">
        <is>
          <t>S1</t>
        </is>
      </c>
      <c r="F663" s="13" t="n">
        <v>2023</v>
      </c>
      <c r="G663" s="14" t="n">
        <v>7992954.044758994</v>
      </c>
      <c r="H663" s="14" t="n">
        <v>1780798.029451108</v>
      </c>
      <c r="I663" s="14" t="n">
        <v>537182.757939896</v>
      </c>
      <c r="J663" s="14" t="n">
        <v>0</v>
      </c>
      <c r="K663" s="14" t="n">
        <v>4112803.788589359</v>
      </c>
      <c r="L663" s="14" t="n">
        <v>1562169.468778632</v>
      </c>
      <c r="M663" s="14" t="n">
        <v>0</v>
      </c>
      <c r="N663" s="14" t="n">
        <v>2296993.257767651</v>
      </c>
      <c r="O663" s="14" t="n">
        <v>6430784.575980362</v>
      </c>
      <c r="P663" s="14" t="n">
        <v>658604.8018878115</v>
      </c>
      <c r="Q663" s="14" t="n">
        <v>46675973.39475049</v>
      </c>
      <c r="R663" s="15">
        <f>IF(D663=1,"Section 1","Control")</f>
        <v/>
      </c>
      <c r="S663" s="16">
        <f>N663/10000</f>
        <v/>
      </c>
      <c r="T663" s="16">
        <f>P663/10000</f>
        <v/>
      </c>
      <c r="U663" s="15">
        <f>IF(N663&gt;=Summary!$D$3,1,0)</f>
        <v/>
      </c>
      <c r="V663" s="17">
        <f>IF(N663&gt;0,P663/N663,"")</f>
        <v/>
      </c>
      <c r="W663" s="17">
        <f>IF(O663&gt;0,H663/O663,"")</f>
        <v/>
      </c>
    </row>
    <row r="664">
      <c r="A664" s="13" t="inlineStr">
        <is>
          <t>T24_B3</t>
        </is>
      </c>
      <c r="B664" s="13" t="inlineStr">
        <is>
          <t>T24</t>
        </is>
      </c>
      <c r="C664" s="13" t="inlineStr">
        <is>
          <t>B3</t>
        </is>
      </c>
      <c r="D664" s="13" t="n">
        <v>1</v>
      </c>
      <c r="E664" s="13" t="inlineStr">
        <is>
          <t>S1</t>
        </is>
      </c>
      <c r="F664" s="13" t="n">
        <v>2024</v>
      </c>
      <c r="G664" s="14" t="n">
        <v>7992954.044758993</v>
      </c>
      <c r="H664" s="14" t="n">
        <v>1752191.266231521</v>
      </c>
      <c r="I664" s="14" t="n">
        <v>466967.6417736278</v>
      </c>
      <c r="J664" s="14" t="n">
        <v>0</v>
      </c>
      <c r="K664" s="14" t="n">
        <v>4211625.667975213</v>
      </c>
      <c r="L664" s="14" t="n">
        <v>1562169.468778633</v>
      </c>
      <c r="M664" s="14" t="n">
        <v>0</v>
      </c>
      <c r="N664" s="14" t="n">
        <v>2296993.257767651</v>
      </c>
      <c r="O664" s="14" t="n">
        <v>6430784.575980362</v>
      </c>
      <c r="P664" s="14" t="n">
        <v>736024.1975996429</v>
      </c>
      <c r="Q664" s="14" t="n">
        <v>46675973.39475049</v>
      </c>
      <c r="R664" s="15">
        <f>IF(D664=1,"Section 1","Control")</f>
        <v/>
      </c>
      <c r="S664" s="16">
        <f>N664/10000</f>
        <v/>
      </c>
      <c r="T664" s="16">
        <f>P664/10000</f>
        <v/>
      </c>
      <c r="U664" s="15">
        <f>IF(N664&gt;=Summary!$D$3,1,0)</f>
        <v/>
      </c>
      <c r="V664" s="17">
        <f>IF(N664&gt;0,P664/N664,"")</f>
        <v/>
      </c>
      <c r="W664" s="17">
        <f>IF(O664&gt;0,H664/O664,"")</f>
        <v/>
      </c>
    </row>
    <row r="665">
      <c r="A665" s="13" t="inlineStr">
        <is>
          <t>T24_B3</t>
        </is>
      </c>
      <c r="B665" s="13" t="inlineStr">
        <is>
          <t>T24</t>
        </is>
      </c>
      <c r="C665" s="13" t="inlineStr">
        <is>
          <t>B3</t>
        </is>
      </c>
      <c r="D665" s="13" t="n">
        <v>1</v>
      </c>
      <c r="E665" s="13" t="inlineStr">
        <is>
          <t>S1</t>
        </is>
      </c>
      <c r="F665" s="13" t="n">
        <v>2025</v>
      </c>
      <c r="G665" s="14" t="n">
        <v>7992954.044758994</v>
      </c>
      <c r="H665" s="14" t="n">
        <v>1747580.135344442</v>
      </c>
      <c r="I665" s="14" t="n">
        <v>432336.455906408</v>
      </c>
      <c r="J665" s="14" t="n">
        <v>0</v>
      </c>
      <c r="K665" s="14" t="n">
        <v>4250867.984729513</v>
      </c>
      <c r="L665" s="14" t="n">
        <v>1562169.468778633</v>
      </c>
      <c r="M665" s="14" t="n">
        <v>0</v>
      </c>
      <c r="N665" s="14" t="n">
        <v>2296993.257767651</v>
      </c>
      <c r="O665" s="14" t="n">
        <v>6430784.575980362</v>
      </c>
      <c r="P665" s="14" t="n">
        <v>772945.9014761234</v>
      </c>
      <c r="Q665" s="14" t="n">
        <v>46675973.39475049</v>
      </c>
      <c r="R665" s="15">
        <f>IF(D665=1,"Section 1","Control")</f>
        <v/>
      </c>
      <c r="S665" s="16">
        <f>N665/10000</f>
        <v/>
      </c>
      <c r="T665" s="16">
        <f>P665/10000</f>
        <v/>
      </c>
      <c r="U665" s="15">
        <f>IF(N665&gt;=Summary!$D$3,1,0)</f>
        <v/>
      </c>
      <c r="V665" s="17">
        <f>IF(N665&gt;0,P665/N665,"")</f>
        <v/>
      </c>
      <c r="W665" s="17">
        <f>IF(O665&gt;0,H665/O665,"")</f>
        <v/>
      </c>
    </row>
    <row r="666">
      <c r="A666" s="13" t="inlineStr">
        <is>
          <t>T24_B3</t>
        </is>
      </c>
      <c r="B666" s="13" t="inlineStr">
        <is>
          <t>T24</t>
        </is>
      </c>
      <c r="C666" s="13" t="inlineStr">
        <is>
          <t>B3</t>
        </is>
      </c>
      <c r="D666" s="13" t="n">
        <v>1</v>
      </c>
      <c r="E666" s="13" t="inlineStr">
        <is>
          <t>S1</t>
        </is>
      </c>
      <c r="F666" s="13" t="n">
        <v>2026</v>
      </c>
      <c r="G666" s="14" t="n">
        <v>7992954.044758994</v>
      </c>
      <c r="H666" s="14" t="n">
        <v>1671877.262640111</v>
      </c>
      <c r="I666" s="14" t="n">
        <v>344566.069095088</v>
      </c>
      <c r="J666" s="14" t="n">
        <v>0</v>
      </c>
      <c r="K666" s="14" t="n">
        <v>4414341.244245163</v>
      </c>
      <c r="L666" s="14" t="n">
        <v>1562169.468778633</v>
      </c>
      <c r="M666" s="14" t="n">
        <v>0</v>
      </c>
      <c r="N666" s="14" t="n">
        <v>2296993.257767651</v>
      </c>
      <c r="O666" s="14" t="n">
        <v>6430784.575980362</v>
      </c>
      <c r="P666" s="14" t="n">
        <v>831041.4106957829</v>
      </c>
      <c r="Q666" s="14" t="n">
        <v>46675973.39475049</v>
      </c>
      <c r="R666" s="15">
        <f>IF(D666=1,"Section 1","Control")</f>
        <v/>
      </c>
      <c r="S666" s="16">
        <f>N666/10000</f>
        <v/>
      </c>
      <c r="T666" s="16">
        <f>P666/10000</f>
        <v/>
      </c>
      <c r="U666" s="15">
        <f>IF(N666&gt;=Summary!$D$3,1,0)</f>
        <v/>
      </c>
      <c r="V666" s="17">
        <f>IF(N666&gt;0,P666/N666,"")</f>
        <v/>
      </c>
      <c r="W666" s="17">
        <f>IF(O666&gt;0,H666/O666,"")</f>
        <v/>
      </c>
    </row>
    <row r="667">
      <c r="A667" s="13" t="inlineStr">
        <is>
          <t>T24_F</t>
        </is>
      </c>
      <c r="B667" s="13" t="inlineStr">
        <is>
          <t>T24</t>
        </is>
      </c>
      <c r="C667" s="13" t="inlineStr">
        <is>
          <t>F</t>
        </is>
      </c>
      <c r="D667" s="13" t="n">
        <v>1</v>
      </c>
      <c r="E667" s="13" t="inlineStr">
        <is>
          <t>S1</t>
        </is>
      </c>
      <c r="F667" s="13" t="n">
        <v>2020</v>
      </c>
      <c r="G667" s="14" t="n">
        <v>72325.72460434858</v>
      </c>
      <c r="H667" s="14" t="n">
        <v>72325.72460434858</v>
      </c>
      <c r="I667" s="14" t="n">
        <v>0</v>
      </c>
      <c r="J667" s="14" t="n">
        <v>0</v>
      </c>
      <c r="K667" s="14" t="n">
        <v>0</v>
      </c>
      <c r="L667" s="14" t="n">
        <v>0</v>
      </c>
      <c r="M667" s="14" t="n">
        <v>0</v>
      </c>
      <c r="N667" s="14" t="n">
        <v>72325.72460434858</v>
      </c>
      <c r="O667" s="14" t="n">
        <v>72325.72460434858</v>
      </c>
      <c r="P667" s="14" t="n">
        <v>0</v>
      </c>
      <c r="Q667" s="14" t="n">
        <v>980000.7983982464</v>
      </c>
      <c r="R667" s="15">
        <f>IF(D667=1,"Section 1","Control")</f>
        <v/>
      </c>
      <c r="S667" s="16">
        <f>N667/10000</f>
        <v/>
      </c>
      <c r="T667" s="16">
        <f>P667/10000</f>
        <v/>
      </c>
      <c r="U667" s="15">
        <f>IF(N667&gt;=Summary!$D$3,1,0)</f>
        <v/>
      </c>
      <c r="V667" s="17">
        <f>IF(N667&gt;0,P667/N667,"")</f>
        <v/>
      </c>
      <c r="W667" s="17">
        <f>IF(O667&gt;0,H667/O667,"")</f>
        <v/>
      </c>
    </row>
    <row r="668">
      <c r="A668" s="13" t="inlineStr">
        <is>
          <t>T24_F</t>
        </is>
      </c>
      <c r="B668" s="13" t="inlineStr">
        <is>
          <t>T24</t>
        </is>
      </c>
      <c r="C668" s="13" t="inlineStr">
        <is>
          <t>F</t>
        </is>
      </c>
      <c r="D668" s="13" t="n">
        <v>1</v>
      </c>
      <c r="E668" s="13" t="inlineStr">
        <is>
          <t>S1</t>
        </is>
      </c>
      <c r="F668" s="13" t="n">
        <v>2021</v>
      </c>
      <c r="G668" s="14" t="n">
        <v>72325.72460434858</v>
      </c>
      <c r="H668" s="14" t="n">
        <v>72325.72460434858</v>
      </c>
      <c r="I668" s="14" t="n">
        <v>0</v>
      </c>
      <c r="J668" s="14" t="n">
        <v>0</v>
      </c>
      <c r="K668" s="14" t="n">
        <v>0</v>
      </c>
      <c r="L668" s="14" t="n">
        <v>0</v>
      </c>
      <c r="M668" s="14" t="n">
        <v>0</v>
      </c>
      <c r="N668" s="14" t="n">
        <v>72325.72460434858</v>
      </c>
      <c r="O668" s="14" t="n">
        <v>72325.72460434858</v>
      </c>
      <c r="P668" s="14" t="n">
        <v>0</v>
      </c>
      <c r="Q668" s="14" t="n">
        <v>980000.7983982464</v>
      </c>
      <c r="R668" s="15">
        <f>IF(D668=1,"Section 1","Control")</f>
        <v/>
      </c>
      <c r="S668" s="16">
        <f>N668/10000</f>
        <v/>
      </c>
      <c r="T668" s="16">
        <f>P668/10000</f>
        <v/>
      </c>
      <c r="U668" s="15">
        <f>IF(N668&gt;=Summary!$D$3,1,0)</f>
        <v/>
      </c>
      <c r="V668" s="17">
        <f>IF(N668&gt;0,P668/N668,"")</f>
        <v/>
      </c>
      <c r="W668" s="17">
        <f>IF(O668&gt;0,H668/O668,"")</f>
        <v/>
      </c>
    </row>
    <row r="669">
      <c r="A669" s="13" t="inlineStr">
        <is>
          <t>T24_F</t>
        </is>
      </c>
      <c r="B669" s="13" t="inlineStr">
        <is>
          <t>T24</t>
        </is>
      </c>
      <c r="C669" s="13" t="inlineStr">
        <is>
          <t>F</t>
        </is>
      </c>
      <c r="D669" s="13" t="n">
        <v>1</v>
      </c>
      <c r="E669" s="13" t="inlineStr">
        <is>
          <t>S1</t>
        </is>
      </c>
      <c r="F669" s="13" t="n">
        <v>2022</v>
      </c>
      <c r="G669" s="14" t="n">
        <v>72325.72460434858</v>
      </c>
      <c r="H669" s="14" t="n">
        <v>72325.72460434858</v>
      </c>
      <c r="I669" s="14" t="n">
        <v>0</v>
      </c>
      <c r="J669" s="14" t="n">
        <v>0</v>
      </c>
      <c r="K669" s="14" t="n">
        <v>0</v>
      </c>
      <c r="L669" s="14" t="n">
        <v>0</v>
      </c>
      <c r="M669" s="14" t="n">
        <v>0</v>
      </c>
      <c r="N669" s="14" t="n">
        <v>72325.72460434858</v>
      </c>
      <c r="O669" s="14" t="n">
        <v>72325.72460434858</v>
      </c>
      <c r="P669" s="14" t="n">
        <v>0</v>
      </c>
      <c r="Q669" s="14" t="n">
        <v>980000.7983982464</v>
      </c>
      <c r="R669" s="15">
        <f>IF(D669=1,"Section 1","Control")</f>
        <v/>
      </c>
      <c r="S669" s="16">
        <f>N669/10000</f>
        <v/>
      </c>
      <c r="T669" s="16">
        <f>P669/10000</f>
        <v/>
      </c>
      <c r="U669" s="15">
        <f>IF(N669&gt;=Summary!$D$3,1,0)</f>
        <v/>
      </c>
      <c r="V669" s="17">
        <f>IF(N669&gt;0,P669/N669,"")</f>
        <v/>
      </c>
      <c r="W669" s="17">
        <f>IF(O669&gt;0,H669/O669,"")</f>
        <v/>
      </c>
    </row>
    <row r="670">
      <c r="A670" s="13" t="inlineStr">
        <is>
          <t>T24_F</t>
        </is>
      </c>
      <c r="B670" s="13" t="inlineStr">
        <is>
          <t>T24</t>
        </is>
      </c>
      <c r="C670" s="13" t="inlineStr">
        <is>
          <t>F</t>
        </is>
      </c>
      <c r="D670" s="13" t="n">
        <v>1</v>
      </c>
      <c r="E670" s="13" t="inlineStr">
        <is>
          <t>S1</t>
        </is>
      </c>
      <c r="F670" s="13" t="n">
        <v>2023</v>
      </c>
      <c r="G670" s="14" t="n">
        <v>72325.72460434858</v>
      </c>
      <c r="H670" s="14" t="n">
        <v>72325.72460434858</v>
      </c>
      <c r="I670" s="14" t="n">
        <v>0</v>
      </c>
      <c r="J670" s="14" t="n">
        <v>0</v>
      </c>
      <c r="K670" s="14" t="n">
        <v>0</v>
      </c>
      <c r="L670" s="14" t="n">
        <v>0</v>
      </c>
      <c r="M670" s="14" t="n">
        <v>0</v>
      </c>
      <c r="N670" s="14" t="n">
        <v>72325.72460434858</v>
      </c>
      <c r="O670" s="14" t="n">
        <v>72325.72460434858</v>
      </c>
      <c r="P670" s="14" t="n">
        <v>0</v>
      </c>
      <c r="Q670" s="14" t="n">
        <v>980000.7983982464</v>
      </c>
      <c r="R670" s="15">
        <f>IF(D670=1,"Section 1","Control")</f>
        <v/>
      </c>
      <c r="S670" s="16">
        <f>N670/10000</f>
        <v/>
      </c>
      <c r="T670" s="16">
        <f>P670/10000</f>
        <v/>
      </c>
      <c r="U670" s="15">
        <f>IF(N670&gt;=Summary!$D$3,1,0)</f>
        <v/>
      </c>
      <c r="V670" s="17">
        <f>IF(N670&gt;0,P670/N670,"")</f>
        <v/>
      </c>
      <c r="W670" s="17">
        <f>IF(O670&gt;0,H670/O670,"")</f>
        <v/>
      </c>
    </row>
    <row r="671">
      <c r="A671" s="13" t="inlineStr">
        <is>
          <t>T24_F</t>
        </is>
      </c>
      <c r="B671" s="13" t="inlineStr">
        <is>
          <t>T24</t>
        </is>
      </c>
      <c r="C671" s="13" t="inlineStr">
        <is>
          <t>F</t>
        </is>
      </c>
      <c r="D671" s="13" t="n">
        <v>1</v>
      </c>
      <c r="E671" s="13" t="inlineStr">
        <is>
          <t>S1</t>
        </is>
      </c>
      <c r="F671" s="13" t="n">
        <v>2024</v>
      </c>
      <c r="G671" s="14" t="n">
        <v>72325.72460434858</v>
      </c>
      <c r="H671" s="14" t="n">
        <v>72325.72460434858</v>
      </c>
      <c r="I671" s="14" t="n">
        <v>0</v>
      </c>
      <c r="J671" s="14" t="n">
        <v>0</v>
      </c>
      <c r="K671" s="14" t="n">
        <v>0</v>
      </c>
      <c r="L671" s="14" t="n">
        <v>0</v>
      </c>
      <c r="M671" s="14" t="n">
        <v>0</v>
      </c>
      <c r="N671" s="14" t="n">
        <v>72325.72460434858</v>
      </c>
      <c r="O671" s="14" t="n">
        <v>72325.72460434858</v>
      </c>
      <c r="P671" s="14" t="n">
        <v>0</v>
      </c>
      <c r="Q671" s="14" t="n">
        <v>980000.7983982464</v>
      </c>
      <c r="R671" s="15">
        <f>IF(D671=1,"Section 1","Control")</f>
        <v/>
      </c>
      <c r="S671" s="16">
        <f>N671/10000</f>
        <v/>
      </c>
      <c r="T671" s="16">
        <f>P671/10000</f>
        <v/>
      </c>
      <c r="U671" s="15">
        <f>IF(N671&gt;=Summary!$D$3,1,0)</f>
        <v/>
      </c>
      <c r="V671" s="17">
        <f>IF(N671&gt;0,P671/N671,"")</f>
        <v/>
      </c>
      <c r="W671" s="17">
        <f>IF(O671&gt;0,H671/O671,"")</f>
        <v/>
      </c>
    </row>
    <row r="672">
      <c r="A672" s="13" t="inlineStr">
        <is>
          <t>T24_F</t>
        </is>
      </c>
      <c r="B672" s="13" t="inlineStr">
        <is>
          <t>T24</t>
        </is>
      </c>
      <c r="C672" s="13" t="inlineStr">
        <is>
          <t>F</t>
        </is>
      </c>
      <c r="D672" s="13" t="n">
        <v>1</v>
      </c>
      <c r="E672" s="13" t="inlineStr">
        <is>
          <t>S1</t>
        </is>
      </c>
      <c r="F672" s="13" t="n">
        <v>2025</v>
      </c>
      <c r="G672" s="14" t="n">
        <v>72325.72460434858</v>
      </c>
      <c r="H672" s="14" t="n">
        <v>65333.48838689469</v>
      </c>
      <c r="I672" s="14" t="n">
        <v>0</v>
      </c>
      <c r="J672" s="14" t="n">
        <v>0</v>
      </c>
      <c r="K672" s="14" t="n">
        <v>6992.2362174539</v>
      </c>
      <c r="L672" s="14" t="n">
        <v>0</v>
      </c>
      <c r="M672" s="14" t="n">
        <v>0</v>
      </c>
      <c r="N672" s="14" t="n">
        <v>72325.72460434858</v>
      </c>
      <c r="O672" s="14" t="n">
        <v>72325.72460434858</v>
      </c>
      <c r="P672" s="14" t="n">
        <v>6992.2362174539</v>
      </c>
      <c r="Q672" s="14" t="n">
        <v>980000.7983982464</v>
      </c>
      <c r="R672" s="15">
        <f>IF(D672=1,"Section 1","Control")</f>
        <v/>
      </c>
      <c r="S672" s="16">
        <f>N672/10000</f>
        <v/>
      </c>
      <c r="T672" s="16">
        <f>P672/10000</f>
        <v/>
      </c>
      <c r="U672" s="15">
        <f>IF(N672&gt;=Summary!$D$3,1,0)</f>
        <v/>
      </c>
      <c r="V672" s="17">
        <f>IF(N672&gt;0,P672/N672,"")</f>
        <v/>
      </c>
      <c r="W672" s="17">
        <f>IF(O672&gt;0,H672/O672,"")</f>
        <v/>
      </c>
    </row>
    <row r="673">
      <c r="A673" s="13" t="inlineStr">
        <is>
          <t>T24_F</t>
        </is>
      </c>
      <c r="B673" s="13" t="inlineStr">
        <is>
          <t>T24</t>
        </is>
      </c>
      <c r="C673" s="13" t="inlineStr">
        <is>
          <t>F</t>
        </is>
      </c>
      <c r="D673" s="13" t="n">
        <v>1</v>
      </c>
      <c r="E673" s="13" t="inlineStr">
        <is>
          <t>S1</t>
        </is>
      </c>
      <c r="F673" s="13" t="n">
        <v>2026</v>
      </c>
      <c r="G673" s="14" t="n">
        <v>72325.72460434858</v>
      </c>
      <c r="H673" s="14" t="n">
        <v>383.6610580145143</v>
      </c>
      <c r="I673" s="14" t="n">
        <v>12888.46079610189</v>
      </c>
      <c r="J673" s="14" t="n">
        <v>0</v>
      </c>
      <c r="K673" s="14" t="n">
        <v>59053.60275023218</v>
      </c>
      <c r="L673" s="14" t="n">
        <v>0</v>
      </c>
      <c r="M673" s="14" t="n">
        <v>0</v>
      </c>
      <c r="N673" s="14" t="n">
        <v>72325.72460434858</v>
      </c>
      <c r="O673" s="14" t="n">
        <v>72325.72460434858</v>
      </c>
      <c r="P673" s="14" t="n">
        <v>71942.06354633407</v>
      </c>
      <c r="Q673" s="14" t="n">
        <v>980000.7983982464</v>
      </c>
      <c r="R673" s="15">
        <f>IF(D673=1,"Section 1","Control")</f>
        <v/>
      </c>
      <c r="S673" s="16">
        <f>N673/10000</f>
        <v/>
      </c>
      <c r="T673" s="16">
        <f>P673/10000</f>
        <v/>
      </c>
      <c r="U673" s="15">
        <f>IF(N673&gt;=Summary!$D$3,1,0)</f>
        <v/>
      </c>
      <c r="V673" s="17">
        <f>IF(N673&gt;0,P673/N673,"")</f>
        <v/>
      </c>
      <c r="W673" s="17">
        <f>IF(O673&gt;0,H673/O673,"")</f>
        <v/>
      </c>
    </row>
    <row r="674">
      <c r="A674" s="13" t="inlineStr">
        <is>
          <t>T25_B1</t>
        </is>
      </c>
      <c r="B674" s="13" t="inlineStr">
        <is>
          <t>T25</t>
        </is>
      </c>
      <c r="C674" s="13" t="inlineStr">
        <is>
          <t>B1</t>
        </is>
      </c>
      <c r="D674" s="13" t="n">
        <v>1</v>
      </c>
      <c r="E674" s="13" t="inlineStr">
        <is>
          <t>S1</t>
        </is>
      </c>
      <c r="F674" s="13" t="n">
        <v>2020</v>
      </c>
      <c r="G674" s="14" t="n">
        <v>1017489.24290951</v>
      </c>
      <c r="H674" s="14" t="n">
        <v>844471.2405189965</v>
      </c>
      <c r="I674" s="14" t="n">
        <v>40728.11563615986</v>
      </c>
      <c r="J674" s="14" t="n">
        <v>25168.23267352534</v>
      </c>
      <c r="K674" s="14" t="n">
        <v>90166.78341971006</v>
      </c>
      <c r="L674" s="14" t="n">
        <v>16954.87066111845</v>
      </c>
      <c r="M674" s="14" t="n">
        <v>0</v>
      </c>
      <c r="N674" s="14" t="n">
        <v>844471.2405189965</v>
      </c>
      <c r="O674" s="14" t="n">
        <v>1000534.372248392</v>
      </c>
      <c r="P674" s="14" t="n">
        <v>0</v>
      </c>
      <c r="Q674" s="14" t="n">
        <v>12096506.99428011</v>
      </c>
      <c r="R674" s="15">
        <f>IF(D674=1,"Section 1","Control")</f>
        <v/>
      </c>
      <c r="S674" s="16">
        <f>N674/10000</f>
        <v/>
      </c>
      <c r="T674" s="16">
        <f>P674/10000</f>
        <v/>
      </c>
      <c r="U674" s="15">
        <f>IF(N674&gt;=Summary!$D$3,1,0)</f>
        <v/>
      </c>
      <c r="V674" s="17">
        <f>IF(N674&gt;0,P674/N674,"")</f>
        <v/>
      </c>
      <c r="W674" s="17">
        <f>IF(O674&gt;0,H674/O674,"")</f>
        <v/>
      </c>
    </row>
    <row r="675">
      <c r="A675" s="13" t="inlineStr">
        <is>
          <t>T25_B1</t>
        </is>
      </c>
      <c r="B675" s="13" t="inlineStr">
        <is>
          <t>T25</t>
        </is>
      </c>
      <c r="C675" s="13" t="inlineStr">
        <is>
          <t>B1</t>
        </is>
      </c>
      <c r="D675" s="13" t="n">
        <v>1</v>
      </c>
      <c r="E675" s="13" t="inlineStr">
        <is>
          <t>S1</t>
        </is>
      </c>
      <c r="F675" s="13" t="n">
        <v>2021</v>
      </c>
      <c r="G675" s="14" t="n">
        <v>1017489.24290951</v>
      </c>
      <c r="H675" s="14" t="n">
        <v>813200.9204979392</v>
      </c>
      <c r="I675" s="14" t="n">
        <v>54585.30917714437</v>
      </c>
      <c r="J675" s="14" t="n">
        <v>25266.95589435054</v>
      </c>
      <c r="K675" s="14" t="n">
        <v>107854.7867347268</v>
      </c>
      <c r="L675" s="14" t="n">
        <v>16581.27060534907</v>
      </c>
      <c r="M675" s="14" t="n">
        <v>0</v>
      </c>
      <c r="N675" s="14" t="n">
        <v>844471.2405189965</v>
      </c>
      <c r="O675" s="14" t="n">
        <v>1000534.372248392</v>
      </c>
      <c r="P675" s="14" t="n">
        <v>32307.49006117278</v>
      </c>
      <c r="Q675" s="14" t="n">
        <v>12096506.99428011</v>
      </c>
      <c r="R675" s="15">
        <f>IF(D675=1,"Section 1","Control")</f>
        <v/>
      </c>
      <c r="S675" s="16">
        <f>N675/10000</f>
        <v/>
      </c>
      <c r="T675" s="16">
        <f>P675/10000</f>
        <v/>
      </c>
      <c r="U675" s="15">
        <f>IF(N675&gt;=Summary!$D$3,1,0)</f>
        <v/>
      </c>
      <c r="V675" s="17">
        <f>IF(N675&gt;0,P675/N675,"")</f>
        <v/>
      </c>
      <c r="W675" s="17">
        <f>IF(O675&gt;0,H675/O675,"")</f>
        <v/>
      </c>
    </row>
    <row r="676">
      <c r="A676" s="13" t="inlineStr">
        <is>
          <t>T25_B1</t>
        </is>
      </c>
      <c r="B676" s="13" t="inlineStr">
        <is>
          <t>T25</t>
        </is>
      </c>
      <c r="C676" s="13" t="inlineStr">
        <is>
          <t>B1</t>
        </is>
      </c>
      <c r="D676" s="13" t="n">
        <v>1</v>
      </c>
      <c r="E676" s="13" t="inlineStr">
        <is>
          <t>S1</t>
        </is>
      </c>
      <c r="F676" s="13" t="n">
        <v>2022</v>
      </c>
      <c r="G676" s="14" t="n">
        <v>1017489.24290951</v>
      </c>
      <c r="H676" s="14" t="n">
        <v>781641.8441414926</v>
      </c>
      <c r="I676" s="14" t="n">
        <v>73298.91064731372</v>
      </c>
      <c r="J676" s="14" t="n">
        <v>25266.95589435054</v>
      </c>
      <c r="K676" s="14" t="n">
        <v>120080.4340403538</v>
      </c>
      <c r="L676" s="14" t="n">
        <v>17201.09818599925</v>
      </c>
      <c r="M676" s="14" t="n">
        <v>0</v>
      </c>
      <c r="N676" s="14" t="n">
        <v>844471.2405189965</v>
      </c>
      <c r="O676" s="14" t="n">
        <v>1000534.372248392</v>
      </c>
      <c r="P676" s="14" t="n">
        <v>65876.2529843798</v>
      </c>
      <c r="Q676" s="14" t="n">
        <v>12096506.99428011</v>
      </c>
      <c r="R676" s="15">
        <f>IF(D676=1,"Section 1","Control")</f>
        <v/>
      </c>
      <c r="S676" s="16">
        <f>N676/10000</f>
        <v/>
      </c>
      <c r="T676" s="16">
        <f>P676/10000</f>
        <v/>
      </c>
      <c r="U676" s="15">
        <f>IF(N676&gt;=Summary!$D$3,1,0)</f>
        <v/>
      </c>
      <c r="V676" s="17">
        <f>IF(N676&gt;0,P676/N676,"")</f>
        <v/>
      </c>
      <c r="W676" s="17">
        <f>IF(O676&gt;0,H676/O676,"")</f>
        <v/>
      </c>
    </row>
    <row r="677">
      <c r="A677" s="13" t="inlineStr">
        <is>
          <t>T25_B1</t>
        </is>
      </c>
      <c r="B677" s="13" t="inlineStr">
        <is>
          <t>T25</t>
        </is>
      </c>
      <c r="C677" s="13" t="inlineStr">
        <is>
          <t>B1</t>
        </is>
      </c>
      <c r="D677" s="13" t="n">
        <v>1</v>
      </c>
      <c r="E677" s="13" t="inlineStr">
        <is>
          <t>S1</t>
        </is>
      </c>
      <c r="F677" s="13" t="n">
        <v>2023</v>
      </c>
      <c r="G677" s="14" t="n">
        <v>1017489.24290951</v>
      </c>
      <c r="H677" s="14" t="n">
        <v>721003.8719682582</v>
      </c>
      <c r="I677" s="14" t="n">
        <v>117720.7992292217</v>
      </c>
      <c r="J677" s="14" t="n">
        <v>25266.95589435054</v>
      </c>
      <c r="K677" s="14" t="n">
        <v>134549.6953961541</v>
      </c>
      <c r="L677" s="14" t="n">
        <v>18947.92042152554</v>
      </c>
      <c r="M677" s="14" t="n">
        <v>0</v>
      </c>
      <c r="N677" s="14" t="n">
        <v>844471.2405189965</v>
      </c>
      <c r="O677" s="14" t="n">
        <v>1000534.372248392</v>
      </c>
      <c r="P677" s="14" t="n">
        <v>125639.2708410824</v>
      </c>
      <c r="Q677" s="14" t="n">
        <v>12096506.99428011</v>
      </c>
      <c r="R677" s="15">
        <f>IF(D677=1,"Section 1","Control")</f>
        <v/>
      </c>
      <c r="S677" s="16">
        <f>N677/10000</f>
        <v/>
      </c>
      <c r="T677" s="16">
        <f>P677/10000</f>
        <v/>
      </c>
      <c r="U677" s="15">
        <f>IF(N677&gt;=Summary!$D$3,1,0)</f>
        <v/>
      </c>
      <c r="V677" s="17">
        <f>IF(N677&gt;0,P677/N677,"")</f>
        <v/>
      </c>
      <c r="W677" s="17">
        <f>IF(O677&gt;0,H677/O677,"")</f>
        <v/>
      </c>
    </row>
    <row r="678">
      <c r="A678" s="13" t="inlineStr">
        <is>
          <t>T25_B1</t>
        </is>
      </c>
      <c r="B678" s="13" t="inlineStr">
        <is>
          <t>T25</t>
        </is>
      </c>
      <c r="C678" s="13" t="inlineStr">
        <is>
          <t>B1</t>
        </is>
      </c>
      <c r="D678" s="13" t="n">
        <v>1</v>
      </c>
      <c r="E678" s="13" t="inlineStr">
        <is>
          <t>S1</t>
        </is>
      </c>
      <c r="F678" s="13" t="n">
        <v>2024</v>
      </c>
      <c r="G678" s="14" t="n">
        <v>1017489.24290951</v>
      </c>
      <c r="H678" s="14" t="n">
        <v>576734.6394141701</v>
      </c>
      <c r="I678" s="14" t="n">
        <v>201961.1035478479</v>
      </c>
      <c r="J678" s="14" t="n">
        <v>25266.95589435054</v>
      </c>
      <c r="K678" s="14" t="n">
        <v>196550.3801372453</v>
      </c>
      <c r="L678" s="14" t="n">
        <v>16976.16391589595</v>
      </c>
      <c r="M678" s="14" t="n">
        <v>0</v>
      </c>
      <c r="N678" s="14" t="n">
        <v>844471.2405189965</v>
      </c>
      <c r="O678" s="14" t="n">
        <v>1000534.372248392</v>
      </c>
      <c r="P678" s="14" t="n">
        <v>270092.3978056964</v>
      </c>
      <c r="Q678" s="14" t="n">
        <v>12096506.99428011</v>
      </c>
      <c r="R678" s="15">
        <f>IF(D678=1,"Section 1","Control")</f>
        <v/>
      </c>
      <c r="S678" s="16">
        <f>N678/10000</f>
        <v/>
      </c>
      <c r="T678" s="16">
        <f>P678/10000</f>
        <v/>
      </c>
      <c r="U678" s="15">
        <f>IF(N678&gt;=Summary!$D$3,1,0)</f>
        <v/>
      </c>
      <c r="V678" s="17">
        <f>IF(N678&gt;0,P678/N678,"")</f>
        <v/>
      </c>
      <c r="W678" s="17">
        <f>IF(O678&gt;0,H678/O678,"")</f>
        <v/>
      </c>
    </row>
    <row r="679">
      <c r="A679" s="13" t="inlineStr">
        <is>
          <t>T25_B1</t>
        </is>
      </c>
      <c r="B679" s="13" t="inlineStr">
        <is>
          <t>T25</t>
        </is>
      </c>
      <c r="C679" s="13" t="inlineStr">
        <is>
          <t>B1</t>
        </is>
      </c>
      <c r="D679" s="13" t="n">
        <v>1</v>
      </c>
      <c r="E679" s="13" t="inlineStr">
        <is>
          <t>S1</t>
        </is>
      </c>
      <c r="F679" s="13" t="n">
        <v>2025</v>
      </c>
      <c r="G679" s="14" t="n">
        <v>1017489.24290951</v>
      </c>
      <c r="H679" s="14" t="n">
        <v>550351.3680516859</v>
      </c>
      <c r="I679" s="14" t="n">
        <v>191792.6341634115</v>
      </c>
      <c r="J679" s="14" t="n">
        <v>25266.95589435054</v>
      </c>
      <c r="K679" s="14" t="n">
        <v>231047.1270713956</v>
      </c>
      <c r="L679" s="14" t="n">
        <v>19031.15772866641</v>
      </c>
      <c r="M679" s="14" t="n">
        <v>0</v>
      </c>
      <c r="N679" s="14" t="n">
        <v>844471.2405189965</v>
      </c>
      <c r="O679" s="14" t="n">
        <v>1000534.372248392</v>
      </c>
      <c r="P679" s="14" t="n">
        <v>297068.0058838789</v>
      </c>
      <c r="Q679" s="14" t="n">
        <v>12096506.99428011</v>
      </c>
      <c r="R679" s="15">
        <f>IF(D679=1,"Section 1","Control")</f>
        <v/>
      </c>
      <c r="S679" s="16">
        <f>N679/10000</f>
        <v/>
      </c>
      <c r="T679" s="16">
        <f>P679/10000</f>
        <v/>
      </c>
      <c r="U679" s="15">
        <f>IF(N679&gt;=Summary!$D$3,1,0)</f>
        <v/>
      </c>
      <c r="V679" s="17">
        <f>IF(N679&gt;0,P679/N679,"")</f>
        <v/>
      </c>
      <c r="W679" s="17">
        <f>IF(O679&gt;0,H679/O679,"")</f>
        <v/>
      </c>
    </row>
    <row r="680">
      <c r="A680" s="13" t="inlineStr">
        <is>
          <t>T25_B1</t>
        </is>
      </c>
      <c r="B680" s="13" t="inlineStr">
        <is>
          <t>T25</t>
        </is>
      </c>
      <c r="C680" s="13" t="inlineStr">
        <is>
          <t>B1</t>
        </is>
      </c>
      <c r="D680" s="13" t="n">
        <v>1</v>
      </c>
      <c r="E680" s="13" t="inlineStr">
        <is>
          <t>S1</t>
        </is>
      </c>
      <c r="F680" s="13" t="n">
        <v>2026</v>
      </c>
      <c r="G680" s="14" t="n">
        <v>1017489.24290951</v>
      </c>
      <c r="H680" s="14" t="n">
        <v>528750.328713331</v>
      </c>
      <c r="I680" s="14" t="n">
        <v>156711.8866700415</v>
      </c>
      <c r="J680" s="14" t="n">
        <v>25266.95589435054</v>
      </c>
      <c r="K680" s="14" t="n">
        <v>287611.2201953065</v>
      </c>
      <c r="L680" s="14" t="n">
        <v>19148.85143648035</v>
      </c>
      <c r="M680" s="14" t="n">
        <v>0</v>
      </c>
      <c r="N680" s="14" t="n">
        <v>844471.2405189965</v>
      </c>
      <c r="O680" s="14" t="n">
        <v>1000534.372248392</v>
      </c>
      <c r="P680" s="14" t="n">
        <v>321233.9026103001</v>
      </c>
      <c r="Q680" s="14" t="n">
        <v>12096506.99428011</v>
      </c>
      <c r="R680" s="15">
        <f>IF(D680=1,"Section 1","Control")</f>
        <v/>
      </c>
      <c r="S680" s="16">
        <f>N680/10000</f>
        <v/>
      </c>
      <c r="T680" s="16">
        <f>P680/10000</f>
        <v/>
      </c>
      <c r="U680" s="15">
        <f>IF(N680&gt;=Summary!$D$3,1,0)</f>
        <v/>
      </c>
      <c r="V680" s="17">
        <f>IF(N680&gt;0,P680/N680,"")</f>
        <v/>
      </c>
      <c r="W680" s="17">
        <f>IF(O680&gt;0,H680/O680,"")</f>
        <v/>
      </c>
    </row>
    <row r="681">
      <c r="A681" s="13" t="inlineStr">
        <is>
          <t>T25_B2</t>
        </is>
      </c>
      <c r="B681" s="13" t="inlineStr">
        <is>
          <t>T25</t>
        </is>
      </c>
      <c r="C681" s="13" t="inlineStr">
        <is>
          <t>B2</t>
        </is>
      </c>
      <c r="D681" s="13" t="n">
        <v>1</v>
      </c>
      <c r="E681" s="13" t="inlineStr">
        <is>
          <t>S1</t>
        </is>
      </c>
      <c r="F681" s="13" t="n">
        <v>2020</v>
      </c>
      <c r="G681" s="14" t="n">
        <v>1015488.440051419</v>
      </c>
      <c r="H681" s="14" t="n">
        <v>515836.0519742481</v>
      </c>
      <c r="I681" s="14" t="n">
        <v>22158.88416849772</v>
      </c>
      <c r="J681" s="14" t="n">
        <v>14805.39237961115</v>
      </c>
      <c r="K681" s="14" t="n">
        <v>30835.95088871975</v>
      </c>
      <c r="L681" s="14" t="n">
        <v>431852.1606403426</v>
      </c>
      <c r="M681" s="14" t="n">
        <v>0</v>
      </c>
      <c r="N681" s="14" t="n">
        <v>515836.0519742481</v>
      </c>
      <c r="O681" s="14" t="n">
        <v>583636.2794110766</v>
      </c>
      <c r="P681" s="14" t="n">
        <v>0</v>
      </c>
      <c r="Q681" s="14" t="n">
        <v>7625182.750062771</v>
      </c>
      <c r="R681" s="15">
        <f>IF(D681=1,"Section 1","Control")</f>
        <v/>
      </c>
      <c r="S681" s="16">
        <f>N681/10000</f>
        <v/>
      </c>
      <c r="T681" s="16">
        <f>P681/10000</f>
        <v/>
      </c>
      <c r="U681" s="15">
        <f>IF(N681&gt;=Summary!$D$3,1,0)</f>
        <v/>
      </c>
      <c r="V681" s="17">
        <f>IF(N681&gt;0,P681/N681,"")</f>
        <v/>
      </c>
      <c r="W681" s="17">
        <f>IF(O681&gt;0,H681/O681,"")</f>
        <v/>
      </c>
    </row>
    <row r="682">
      <c r="A682" s="13" t="inlineStr">
        <is>
          <t>T25_B2</t>
        </is>
      </c>
      <c r="B682" s="13" t="inlineStr">
        <is>
          <t>T25</t>
        </is>
      </c>
      <c r="C682" s="13" t="inlineStr">
        <is>
          <t>B2</t>
        </is>
      </c>
      <c r="D682" s="13" t="n">
        <v>1</v>
      </c>
      <c r="E682" s="13" t="inlineStr">
        <is>
          <t>S1</t>
        </is>
      </c>
      <c r="F682" s="13" t="n">
        <v>2021</v>
      </c>
      <c r="G682" s="14" t="n">
        <v>1015488.440051419</v>
      </c>
      <c r="H682" s="14" t="n">
        <v>503905.4849765854</v>
      </c>
      <c r="I682" s="14" t="n">
        <v>27057.83893354828</v>
      </c>
      <c r="J682" s="14" t="n">
        <v>14805.39237961115</v>
      </c>
      <c r="K682" s="14" t="n">
        <v>40257.44270160152</v>
      </c>
      <c r="L682" s="14" t="n">
        <v>429462.281060073</v>
      </c>
      <c r="M682" s="14" t="n">
        <v>0</v>
      </c>
      <c r="N682" s="14" t="n">
        <v>515836.0519742481</v>
      </c>
      <c r="O682" s="14" t="n">
        <v>583636.2794110766</v>
      </c>
      <c r="P682" s="14" t="n">
        <v>13031.21193695068</v>
      </c>
      <c r="Q682" s="14" t="n">
        <v>7625182.750062771</v>
      </c>
      <c r="R682" s="15">
        <f>IF(D682=1,"Section 1","Control")</f>
        <v/>
      </c>
      <c r="S682" s="16">
        <f>N682/10000</f>
        <v/>
      </c>
      <c r="T682" s="16">
        <f>P682/10000</f>
        <v/>
      </c>
      <c r="U682" s="15">
        <f>IF(N682&gt;=Summary!$D$3,1,0)</f>
        <v/>
      </c>
      <c r="V682" s="17">
        <f>IF(N682&gt;0,P682/N682,"")</f>
        <v/>
      </c>
      <c r="W682" s="17">
        <f>IF(O682&gt;0,H682/O682,"")</f>
        <v/>
      </c>
    </row>
    <row r="683">
      <c r="A683" s="13" t="inlineStr">
        <is>
          <t>T25_B2</t>
        </is>
      </c>
      <c r="B683" s="13" t="inlineStr">
        <is>
          <t>T25</t>
        </is>
      </c>
      <c r="C683" s="13" t="inlineStr">
        <is>
          <t>B2</t>
        </is>
      </c>
      <c r="D683" s="13" t="n">
        <v>1</v>
      </c>
      <c r="E683" s="13" t="inlineStr">
        <is>
          <t>S1</t>
        </is>
      </c>
      <c r="F683" s="13" t="n">
        <v>2022</v>
      </c>
      <c r="G683" s="14" t="n">
        <v>1015488.440051419</v>
      </c>
      <c r="H683" s="14" t="n">
        <v>499024.0115487792</v>
      </c>
      <c r="I683" s="14" t="n">
        <v>24994.34071762983</v>
      </c>
      <c r="J683" s="14" t="n">
        <v>14805.39237961115</v>
      </c>
      <c r="K683" s="14" t="n">
        <v>45803.63979094262</v>
      </c>
      <c r="L683" s="14" t="n">
        <v>430861.0556144565</v>
      </c>
      <c r="M683" s="14" t="n">
        <v>0</v>
      </c>
      <c r="N683" s="14" t="n">
        <v>515836.0519742481</v>
      </c>
      <c r="O683" s="14" t="n">
        <v>583636.2794110766</v>
      </c>
      <c r="P683" s="14" t="n">
        <v>17496.5057281195</v>
      </c>
      <c r="Q683" s="14" t="n">
        <v>7625182.750062771</v>
      </c>
      <c r="R683" s="15">
        <f>IF(D683=1,"Section 1","Control")</f>
        <v/>
      </c>
      <c r="S683" s="16">
        <f>N683/10000</f>
        <v/>
      </c>
      <c r="T683" s="16">
        <f>P683/10000</f>
        <v/>
      </c>
      <c r="U683" s="15">
        <f>IF(N683&gt;=Summary!$D$3,1,0)</f>
        <v/>
      </c>
      <c r="V683" s="17">
        <f>IF(N683&gt;0,P683/N683,"")</f>
        <v/>
      </c>
      <c r="W683" s="17">
        <f>IF(O683&gt;0,H683/O683,"")</f>
        <v/>
      </c>
    </row>
    <row r="684">
      <c r="A684" s="13" t="inlineStr">
        <is>
          <t>T25_B2</t>
        </is>
      </c>
      <c r="B684" s="13" t="inlineStr">
        <is>
          <t>T25</t>
        </is>
      </c>
      <c r="C684" s="13" t="inlineStr">
        <is>
          <t>B2</t>
        </is>
      </c>
      <c r="D684" s="13" t="n">
        <v>1</v>
      </c>
      <c r="E684" s="13" t="inlineStr">
        <is>
          <t>S1</t>
        </is>
      </c>
      <c r="F684" s="13" t="n">
        <v>2023</v>
      </c>
      <c r="G684" s="14" t="n">
        <v>1015488.440051419</v>
      </c>
      <c r="H684" s="14" t="n">
        <v>485086.9346074126</v>
      </c>
      <c r="I684" s="14" t="n">
        <v>26849.03257356532</v>
      </c>
      <c r="J684" s="14" t="n">
        <v>14805.39237961115</v>
      </c>
      <c r="K684" s="14" t="n">
        <v>52595.22758364211</v>
      </c>
      <c r="L684" s="14" t="n">
        <v>436151.8529071882</v>
      </c>
      <c r="M684" s="14" t="n">
        <v>0</v>
      </c>
      <c r="N684" s="14" t="n">
        <v>515836.0519742481</v>
      </c>
      <c r="O684" s="14" t="n">
        <v>583636.2794110766</v>
      </c>
      <c r="P684" s="14" t="n">
        <v>31617.4737381879</v>
      </c>
      <c r="Q684" s="14" t="n">
        <v>7625182.750062771</v>
      </c>
      <c r="R684" s="15">
        <f>IF(D684=1,"Section 1","Control")</f>
        <v/>
      </c>
      <c r="S684" s="16">
        <f>N684/10000</f>
        <v/>
      </c>
      <c r="T684" s="16">
        <f>P684/10000</f>
        <v/>
      </c>
      <c r="U684" s="15">
        <f>IF(N684&gt;=Summary!$D$3,1,0)</f>
        <v/>
      </c>
      <c r="V684" s="17">
        <f>IF(N684&gt;0,P684/N684,"")</f>
        <v/>
      </c>
      <c r="W684" s="17">
        <f>IF(O684&gt;0,H684/O684,"")</f>
        <v/>
      </c>
    </row>
    <row r="685">
      <c r="A685" s="13" t="inlineStr">
        <is>
          <t>T25_B2</t>
        </is>
      </c>
      <c r="B685" s="13" t="inlineStr">
        <is>
          <t>T25</t>
        </is>
      </c>
      <c r="C685" s="13" t="inlineStr">
        <is>
          <t>B2</t>
        </is>
      </c>
      <c r="D685" s="13" t="n">
        <v>1</v>
      </c>
      <c r="E685" s="13" t="inlineStr">
        <is>
          <t>S1</t>
        </is>
      </c>
      <c r="F685" s="13" t="n">
        <v>2024</v>
      </c>
      <c r="G685" s="14" t="n">
        <v>1015488.440051419</v>
      </c>
      <c r="H685" s="14" t="n">
        <v>472383.2881923902</v>
      </c>
      <c r="I685" s="14" t="n">
        <v>24196.47249408797</v>
      </c>
      <c r="J685" s="14" t="n">
        <v>14805.39237961115</v>
      </c>
      <c r="K685" s="14" t="n">
        <v>72736.2258690329</v>
      </c>
      <c r="L685" s="14" t="n">
        <v>431367.0611162972</v>
      </c>
      <c r="M685" s="14" t="n">
        <v>0</v>
      </c>
      <c r="N685" s="14" t="n">
        <v>515836.0519742481</v>
      </c>
      <c r="O685" s="14" t="n">
        <v>583636.2794110766</v>
      </c>
      <c r="P685" s="14" t="n">
        <v>44499.59306155935</v>
      </c>
      <c r="Q685" s="14" t="n">
        <v>7625182.750062771</v>
      </c>
      <c r="R685" s="15">
        <f>IF(D685=1,"Section 1","Control")</f>
        <v/>
      </c>
      <c r="S685" s="16">
        <f>N685/10000</f>
        <v/>
      </c>
      <c r="T685" s="16">
        <f>P685/10000</f>
        <v/>
      </c>
      <c r="U685" s="15">
        <f>IF(N685&gt;=Summary!$D$3,1,0)</f>
        <v/>
      </c>
      <c r="V685" s="17">
        <f>IF(N685&gt;0,P685/N685,"")</f>
        <v/>
      </c>
      <c r="W685" s="17">
        <f>IF(O685&gt;0,H685/O685,"")</f>
        <v/>
      </c>
    </row>
    <row r="686">
      <c r="A686" s="13" t="inlineStr">
        <is>
          <t>T25_B2</t>
        </is>
      </c>
      <c r="B686" s="13" t="inlineStr">
        <is>
          <t>T25</t>
        </is>
      </c>
      <c r="C686" s="13" t="inlineStr">
        <is>
          <t>B2</t>
        </is>
      </c>
      <c r="D686" s="13" t="n">
        <v>1</v>
      </c>
      <c r="E686" s="13" t="inlineStr">
        <is>
          <t>S1</t>
        </is>
      </c>
      <c r="F686" s="13" t="n">
        <v>2025</v>
      </c>
      <c r="G686" s="14" t="n">
        <v>1015488.440051419</v>
      </c>
      <c r="H686" s="14" t="n">
        <v>469289.6436310713</v>
      </c>
      <c r="I686" s="14" t="n">
        <v>20185.19760658414</v>
      </c>
      <c r="J686" s="14" t="n">
        <v>14805.39237961115</v>
      </c>
      <c r="K686" s="14" t="n">
        <v>75579.39360354553</v>
      </c>
      <c r="L686" s="14" t="n">
        <v>435628.8128306072</v>
      </c>
      <c r="M686" s="14" t="n">
        <v>0</v>
      </c>
      <c r="N686" s="14" t="n">
        <v>515836.0519742481</v>
      </c>
      <c r="O686" s="14" t="n">
        <v>583636.2794110766</v>
      </c>
      <c r="P686" s="14" t="n">
        <v>47612.20744829365</v>
      </c>
      <c r="Q686" s="14" t="n">
        <v>7625182.750062771</v>
      </c>
      <c r="R686" s="15">
        <f>IF(D686=1,"Section 1","Control")</f>
        <v/>
      </c>
      <c r="S686" s="16">
        <f>N686/10000</f>
        <v/>
      </c>
      <c r="T686" s="16">
        <f>P686/10000</f>
        <v/>
      </c>
      <c r="U686" s="15">
        <f>IF(N686&gt;=Summary!$D$3,1,0)</f>
        <v/>
      </c>
      <c r="V686" s="17">
        <f>IF(N686&gt;0,P686/N686,"")</f>
        <v/>
      </c>
      <c r="W686" s="17">
        <f>IF(O686&gt;0,H686/O686,"")</f>
        <v/>
      </c>
    </row>
    <row r="687">
      <c r="A687" s="13" t="inlineStr">
        <is>
          <t>T25_B2</t>
        </is>
      </c>
      <c r="B687" s="13" t="inlineStr">
        <is>
          <t>T25</t>
        </is>
      </c>
      <c r="C687" s="13" t="inlineStr">
        <is>
          <t>B2</t>
        </is>
      </c>
      <c r="D687" s="13" t="n">
        <v>1</v>
      </c>
      <c r="E687" s="13" t="inlineStr">
        <is>
          <t>S1</t>
        </is>
      </c>
      <c r="F687" s="13" t="n">
        <v>2026</v>
      </c>
      <c r="G687" s="14" t="n">
        <v>1015488.440051419</v>
      </c>
      <c r="H687" s="14" t="n">
        <v>453044.8011296293</v>
      </c>
      <c r="I687" s="14" t="n">
        <v>28135.14275838815</v>
      </c>
      <c r="J687" s="14" t="n">
        <v>14805.39237961115</v>
      </c>
      <c r="K687" s="14" t="n">
        <v>83598.64010425641</v>
      </c>
      <c r="L687" s="14" t="n">
        <v>435904.4636795343</v>
      </c>
      <c r="M687" s="14" t="n">
        <v>0</v>
      </c>
      <c r="N687" s="14" t="n">
        <v>515836.0519742481</v>
      </c>
      <c r="O687" s="14" t="n">
        <v>583636.2794110766</v>
      </c>
      <c r="P687" s="14" t="n">
        <v>63874.4723053876</v>
      </c>
      <c r="Q687" s="14" t="n">
        <v>7625182.750062771</v>
      </c>
      <c r="R687" s="15">
        <f>IF(D687=1,"Section 1","Control")</f>
        <v/>
      </c>
      <c r="S687" s="16">
        <f>N687/10000</f>
        <v/>
      </c>
      <c r="T687" s="16">
        <f>P687/10000</f>
        <v/>
      </c>
      <c r="U687" s="15">
        <f>IF(N687&gt;=Summary!$D$3,1,0)</f>
        <v/>
      </c>
      <c r="V687" s="17">
        <f>IF(N687&gt;0,P687/N687,"")</f>
        <v/>
      </c>
      <c r="W687" s="17">
        <f>IF(O687&gt;0,H687/O687,"")</f>
        <v/>
      </c>
    </row>
    <row r="688">
      <c r="A688" s="13" t="inlineStr">
        <is>
          <t>T25_B3</t>
        </is>
      </c>
      <c r="B688" s="13" t="inlineStr">
        <is>
          <t>T25</t>
        </is>
      </c>
      <c r="C688" s="13" t="inlineStr">
        <is>
          <t>B3</t>
        </is>
      </c>
      <c r="D688" s="13" t="n">
        <v>1</v>
      </c>
      <c r="E688" s="13" t="inlineStr">
        <is>
          <t>S1</t>
        </is>
      </c>
      <c r="F688" s="13" t="n">
        <v>2020</v>
      </c>
      <c r="G688" s="14" t="n">
        <v>8090623.616418998</v>
      </c>
      <c r="H688" s="14" t="n">
        <v>2947143.104896336</v>
      </c>
      <c r="I688" s="14" t="n">
        <v>192588.0103389665</v>
      </c>
      <c r="J688" s="14" t="n">
        <v>0</v>
      </c>
      <c r="K688" s="14" t="n">
        <v>1928202.045045082</v>
      </c>
      <c r="L688" s="14" t="n">
        <v>3022690.456138611</v>
      </c>
      <c r="M688" s="14" t="n">
        <v>0</v>
      </c>
      <c r="N688" s="14" t="n">
        <v>2947143.104896336</v>
      </c>
      <c r="O688" s="14" t="n">
        <v>5067933.160280385</v>
      </c>
      <c r="P688" s="14" t="n">
        <v>0</v>
      </c>
      <c r="Q688" s="14" t="n">
        <v>38588840.32505897</v>
      </c>
      <c r="R688" s="15">
        <f>IF(D688=1,"Section 1","Control")</f>
        <v/>
      </c>
      <c r="S688" s="16">
        <f>N688/10000</f>
        <v/>
      </c>
      <c r="T688" s="16">
        <f>P688/10000</f>
        <v/>
      </c>
      <c r="U688" s="15">
        <f>IF(N688&gt;=Summary!$D$3,1,0)</f>
        <v/>
      </c>
      <c r="V688" s="17">
        <f>IF(N688&gt;0,P688/N688,"")</f>
        <v/>
      </c>
      <c r="W688" s="17">
        <f>IF(O688&gt;0,H688/O688,"")</f>
        <v/>
      </c>
    </row>
    <row r="689">
      <c r="A689" s="13" t="inlineStr">
        <is>
          <t>T25_B3</t>
        </is>
      </c>
      <c r="B689" s="13" t="inlineStr">
        <is>
          <t>T25</t>
        </is>
      </c>
      <c r="C689" s="13" t="inlineStr">
        <is>
          <t>B3</t>
        </is>
      </c>
      <c r="D689" s="13" t="n">
        <v>1</v>
      </c>
      <c r="E689" s="13" t="inlineStr">
        <is>
          <t>S1</t>
        </is>
      </c>
      <c r="F689" s="13" t="n">
        <v>2021</v>
      </c>
      <c r="G689" s="14" t="n">
        <v>8090623.616418998</v>
      </c>
      <c r="H689" s="14" t="n">
        <v>2781325.970937362</v>
      </c>
      <c r="I689" s="14" t="n">
        <v>124504.787616266</v>
      </c>
      <c r="J689" s="14" t="n">
        <v>0</v>
      </c>
      <c r="K689" s="14" t="n">
        <v>2162102.401726756</v>
      </c>
      <c r="L689" s="14" t="n">
        <v>3022690.456138611</v>
      </c>
      <c r="M689" s="14" t="n">
        <v>0</v>
      </c>
      <c r="N689" s="14" t="n">
        <v>2947143.104896336</v>
      </c>
      <c r="O689" s="14" t="n">
        <v>5067933.160280385</v>
      </c>
      <c r="P689" s="14" t="n">
        <v>239695.0163847082</v>
      </c>
      <c r="Q689" s="14" t="n">
        <v>38588840.32505897</v>
      </c>
      <c r="R689" s="15">
        <f>IF(D689=1,"Section 1","Control")</f>
        <v/>
      </c>
      <c r="S689" s="16">
        <f>N689/10000</f>
        <v/>
      </c>
      <c r="T689" s="16">
        <f>P689/10000</f>
        <v/>
      </c>
      <c r="U689" s="15">
        <f>IF(N689&gt;=Summary!$D$3,1,0)</f>
        <v/>
      </c>
      <c r="V689" s="17">
        <f>IF(N689&gt;0,P689/N689,"")</f>
        <v/>
      </c>
      <c r="W689" s="17">
        <f>IF(O689&gt;0,H689/O689,"")</f>
        <v/>
      </c>
    </row>
    <row r="690">
      <c r="A690" s="13" t="inlineStr">
        <is>
          <t>T25_B3</t>
        </is>
      </c>
      <c r="B690" s="13" t="inlineStr">
        <is>
          <t>T25</t>
        </is>
      </c>
      <c r="C690" s="13" t="inlineStr">
        <is>
          <t>B3</t>
        </is>
      </c>
      <c r="D690" s="13" t="n">
        <v>1</v>
      </c>
      <c r="E690" s="13" t="inlineStr">
        <is>
          <t>S1</t>
        </is>
      </c>
      <c r="F690" s="13" t="n">
        <v>2022</v>
      </c>
      <c r="G690" s="14" t="n">
        <v>8090623.616418998</v>
      </c>
      <c r="H690" s="14" t="n">
        <v>2540757.231705131</v>
      </c>
      <c r="I690" s="14" t="n">
        <v>120198.5562119727</v>
      </c>
      <c r="J690" s="14" t="n">
        <v>0</v>
      </c>
      <c r="K690" s="14" t="n">
        <v>2406977.372363281</v>
      </c>
      <c r="L690" s="14" t="n">
        <v>3022690.456138611</v>
      </c>
      <c r="M690" s="14" t="n">
        <v>0</v>
      </c>
      <c r="N690" s="14" t="n">
        <v>2947143.104896336</v>
      </c>
      <c r="O690" s="14" t="n">
        <v>5067933.160280385</v>
      </c>
      <c r="P690" s="14" t="n">
        <v>464250.9438306323</v>
      </c>
      <c r="Q690" s="14" t="n">
        <v>38588840.32505897</v>
      </c>
      <c r="R690" s="15">
        <f>IF(D690=1,"Section 1","Control")</f>
        <v/>
      </c>
      <c r="S690" s="16">
        <f>N690/10000</f>
        <v/>
      </c>
      <c r="T690" s="16">
        <f>P690/10000</f>
        <v/>
      </c>
      <c r="U690" s="15">
        <f>IF(N690&gt;=Summary!$D$3,1,0)</f>
        <v/>
      </c>
      <c r="V690" s="17">
        <f>IF(N690&gt;0,P690/N690,"")</f>
        <v/>
      </c>
      <c r="W690" s="17">
        <f>IF(O690&gt;0,H690/O690,"")</f>
        <v/>
      </c>
    </row>
    <row r="691">
      <c r="A691" s="13" t="inlineStr">
        <is>
          <t>T25_B3</t>
        </is>
      </c>
      <c r="B691" s="13" t="inlineStr">
        <is>
          <t>T25</t>
        </is>
      </c>
      <c r="C691" s="13" t="inlineStr">
        <is>
          <t>B3</t>
        </is>
      </c>
      <c r="D691" s="13" t="n">
        <v>1</v>
      </c>
      <c r="E691" s="13" t="inlineStr">
        <is>
          <t>S1</t>
        </is>
      </c>
      <c r="F691" s="13" t="n">
        <v>2023</v>
      </c>
      <c r="G691" s="14" t="n">
        <v>8090623.616418998</v>
      </c>
      <c r="H691" s="14" t="n">
        <v>2467010.217959984</v>
      </c>
      <c r="I691" s="14" t="n">
        <v>221562.8657348333</v>
      </c>
      <c r="J691" s="14" t="n">
        <v>0</v>
      </c>
      <c r="K691" s="14" t="n">
        <v>2379360.076585567</v>
      </c>
      <c r="L691" s="14" t="n">
        <v>3022690.456138611</v>
      </c>
      <c r="M691" s="14" t="n">
        <v>0</v>
      </c>
      <c r="N691" s="14" t="n">
        <v>2947143.104896336</v>
      </c>
      <c r="O691" s="14" t="n">
        <v>5067933.160280386</v>
      </c>
      <c r="P691" s="14" t="n">
        <v>546471.9854837456</v>
      </c>
      <c r="Q691" s="14" t="n">
        <v>38588840.32505897</v>
      </c>
      <c r="R691" s="15">
        <f>IF(D691=1,"Section 1","Control")</f>
        <v/>
      </c>
      <c r="S691" s="16">
        <f>N691/10000</f>
        <v/>
      </c>
      <c r="T691" s="16">
        <f>P691/10000</f>
        <v/>
      </c>
      <c r="U691" s="15">
        <f>IF(N691&gt;=Summary!$D$3,1,0)</f>
        <v/>
      </c>
      <c r="V691" s="17">
        <f>IF(N691&gt;0,P691/N691,"")</f>
        <v/>
      </c>
      <c r="W691" s="17">
        <f>IF(O691&gt;0,H691/O691,"")</f>
        <v/>
      </c>
    </row>
    <row r="692">
      <c r="A692" s="13" t="inlineStr">
        <is>
          <t>T25_B3</t>
        </is>
      </c>
      <c r="B692" s="13" t="inlineStr">
        <is>
          <t>T25</t>
        </is>
      </c>
      <c r="C692" s="13" t="inlineStr">
        <is>
          <t>B3</t>
        </is>
      </c>
      <c r="D692" s="13" t="n">
        <v>1</v>
      </c>
      <c r="E692" s="13" t="inlineStr">
        <is>
          <t>S1</t>
        </is>
      </c>
      <c r="F692" s="13" t="n">
        <v>2024</v>
      </c>
      <c r="G692" s="14" t="n">
        <v>8090623.616418997</v>
      </c>
      <c r="H692" s="14" t="n">
        <v>2448405.796640613</v>
      </c>
      <c r="I692" s="14" t="n">
        <v>183925.667058668</v>
      </c>
      <c r="J692" s="14" t="n">
        <v>0</v>
      </c>
      <c r="K692" s="14" t="n">
        <v>2435601.696581103</v>
      </c>
      <c r="L692" s="14" t="n">
        <v>3022690.456138612</v>
      </c>
      <c r="M692" s="14" t="n">
        <v>0</v>
      </c>
      <c r="N692" s="14" t="n">
        <v>2947143.104896337</v>
      </c>
      <c r="O692" s="14" t="n">
        <v>5067933.160280385</v>
      </c>
      <c r="P692" s="14" t="n">
        <v>597727.524668974</v>
      </c>
      <c r="Q692" s="14" t="n">
        <v>38588840.32505897</v>
      </c>
      <c r="R692" s="15">
        <f>IF(D692=1,"Section 1","Control")</f>
        <v/>
      </c>
      <c r="S692" s="16">
        <f>N692/10000</f>
        <v/>
      </c>
      <c r="T692" s="16">
        <f>P692/10000</f>
        <v/>
      </c>
      <c r="U692" s="15">
        <f>IF(N692&gt;=Summary!$D$3,1,0)</f>
        <v/>
      </c>
      <c r="V692" s="17">
        <f>IF(N692&gt;0,P692/N692,"")</f>
        <v/>
      </c>
      <c r="W692" s="17">
        <f>IF(O692&gt;0,H692/O692,"")</f>
        <v/>
      </c>
    </row>
    <row r="693">
      <c r="A693" s="13" t="inlineStr">
        <is>
          <t>T25_B3</t>
        </is>
      </c>
      <c r="B693" s="13" t="inlineStr">
        <is>
          <t>T25</t>
        </is>
      </c>
      <c r="C693" s="13" t="inlineStr">
        <is>
          <t>B3</t>
        </is>
      </c>
      <c r="D693" s="13" t="n">
        <v>1</v>
      </c>
      <c r="E693" s="13" t="inlineStr">
        <is>
          <t>S1</t>
        </is>
      </c>
      <c r="F693" s="13" t="n">
        <v>2025</v>
      </c>
      <c r="G693" s="14" t="n">
        <v>8090623.616418997</v>
      </c>
      <c r="H693" s="14" t="n">
        <v>2425751.491368702</v>
      </c>
      <c r="I693" s="14" t="n">
        <v>193500.3762260886</v>
      </c>
      <c r="J693" s="14" t="n">
        <v>0</v>
      </c>
      <c r="K693" s="14" t="n">
        <v>2448681.292685594</v>
      </c>
      <c r="L693" s="14" t="n">
        <v>3022690.456138612</v>
      </c>
      <c r="M693" s="14" t="n">
        <v>0</v>
      </c>
      <c r="N693" s="14" t="n">
        <v>2947143.104896336</v>
      </c>
      <c r="O693" s="14" t="n">
        <v>5067933.160280385</v>
      </c>
      <c r="P693" s="14" t="n">
        <v>635914.4140504127</v>
      </c>
      <c r="Q693" s="14" t="n">
        <v>38588840.32505897</v>
      </c>
      <c r="R693" s="15">
        <f>IF(D693=1,"Section 1","Control")</f>
        <v/>
      </c>
      <c r="S693" s="16">
        <f>N693/10000</f>
        <v/>
      </c>
      <c r="T693" s="16">
        <f>P693/10000</f>
        <v/>
      </c>
      <c r="U693" s="15">
        <f>IF(N693&gt;=Summary!$D$3,1,0)</f>
        <v/>
      </c>
      <c r="V693" s="17">
        <f>IF(N693&gt;0,P693/N693,"")</f>
        <v/>
      </c>
      <c r="W693" s="17">
        <f>IF(O693&gt;0,H693/O693,"")</f>
        <v/>
      </c>
    </row>
    <row r="694">
      <c r="A694" s="13" t="inlineStr">
        <is>
          <t>T25_B3</t>
        </is>
      </c>
      <c r="B694" s="13" t="inlineStr">
        <is>
          <t>T25</t>
        </is>
      </c>
      <c r="C694" s="13" t="inlineStr">
        <is>
          <t>B3</t>
        </is>
      </c>
      <c r="D694" s="13" t="n">
        <v>1</v>
      </c>
      <c r="E694" s="13" t="inlineStr">
        <is>
          <t>S1</t>
        </is>
      </c>
      <c r="F694" s="13" t="n">
        <v>2026</v>
      </c>
      <c r="G694" s="14" t="n">
        <v>8090623.616418998</v>
      </c>
      <c r="H694" s="14" t="n">
        <v>2417644.393392885</v>
      </c>
      <c r="I694" s="14" t="n">
        <v>152222.2060105866</v>
      </c>
      <c r="J694" s="14" t="n">
        <v>0</v>
      </c>
      <c r="K694" s="14" t="n">
        <v>2498066.560876913</v>
      </c>
      <c r="L694" s="14" t="n">
        <v>3022690.456138611</v>
      </c>
      <c r="M694" s="14" t="n">
        <v>0</v>
      </c>
      <c r="N694" s="14" t="n">
        <v>2947143.104896336</v>
      </c>
      <c r="O694" s="14" t="n">
        <v>5067933.160280385</v>
      </c>
      <c r="P694" s="14" t="n">
        <v>700593.3000505932</v>
      </c>
      <c r="Q694" s="14" t="n">
        <v>38588840.32505897</v>
      </c>
      <c r="R694" s="15">
        <f>IF(D694=1,"Section 1","Control")</f>
        <v/>
      </c>
      <c r="S694" s="16">
        <f>N694/10000</f>
        <v/>
      </c>
      <c r="T694" s="16">
        <f>P694/10000</f>
        <v/>
      </c>
      <c r="U694" s="15">
        <f>IF(N694&gt;=Summary!$D$3,1,0)</f>
        <v/>
      </c>
      <c r="V694" s="17">
        <f>IF(N694&gt;0,P694/N694,"")</f>
        <v/>
      </c>
      <c r="W694" s="17">
        <f>IF(O694&gt;0,H694/O694,"")</f>
        <v/>
      </c>
    </row>
    <row r="695">
      <c r="A695" s="13" t="inlineStr">
        <is>
          <t>T25_F</t>
        </is>
      </c>
      <c r="B695" s="13" t="inlineStr">
        <is>
          <t>T25</t>
        </is>
      </c>
      <c r="C695" s="13" t="inlineStr">
        <is>
          <t>F</t>
        </is>
      </c>
      <c r="D695" s="13" t="n">
        <v>1</v>
      </c>
      <c r="E695" s="13" t="inlineStr">
        <is>
          <t>S1</t>
        </is>
      </c>
      <c r="F695" s="13" t="n">
        <v>2020</v>
      </c>
      <c r="G695" s="14" t="n">
        <v>76048.78518640854</v>
      </c>
      <c r="H695" s="14" t="n">
        <v>73329.85027005064</v>
      </c>
      <c r="I695" s="14" t="n">
        <v>13.16302185058594</v>
      </c>
      <c r="J695" s="14" t="n">
        <v>0</v>
      </c>
      <c r="K695" s="14" t="n">
        <v>2705.771894507314</v>
      </c>
      <c r="L695" s="14" t="n">
        <v>0</v>
      </c>
      <c r="M695" s="14" t="n">
        <v>0</v>
      </c>
      <c r="N695" s="14" t="n">
        <v>73329.85027005064</v>
      </c>
      <c r="O695" s="14" t="n">
        <v>76048.78518640854</v>
      </c>
      <c r="P695" s="14" t="n">
        <v>0</v>
      </c>
      <c r="Q695" s="14" t="n">
        <v>1004713.814897844</v>
      </c>
      <c r="R695" s="15">
        <f>IF(D695=1,"Section 1","Control")</f>
        <v/>
      </c>
      <c r="S695" s="16">
        <f>N695/10000</f>
        <v/>
      </c>
      <c r="T695" s="16">
        <f>P695/10000</f>
        <v/>
      </c>
      <c r="U695" s="15">
        <f>IF(N695&gt;=Summary!$D$3,1,0)</f>
        <v/>
      </c>
      <c r="V695" s="17">
        <f>IF(N695&gt;0,P695/N695,"")</f>
        <v/>
      </c>
      <c r="W695" s="17">
        <f>IF(O695&gt;0,H695/O695,"")</f>
        <v/>
      </c>
    </row>
    <row r="696">
      <c r="A696" s="13" t="inlineStr">
        <is>
          <t>T25_F</t>
        </is>
      </c>
      <c r="B696" s="13" t="inlineStr">
        <is>
          <t>T25</t>
        </is>
      </c>
      <c r="C696" s="13" t="inlineStr">
        <is>
          <t>F</t>
        </is>
      </c>
      <c r="D696" s="13" t="n">
        <v>1</v>
      </c>
      <c r="E696" s="13" t="inlineStr">
        <is>
          <t>S1</t>
        </is>
      </c>
      <c r="F696" s="13" t="n">
        <v>2021</v>
      </c>
      <c r="G696" s="14" t="n">
        <v>76048.78518640854</v>
      </c>
      <c r="H696" s="14" t="n">
        <v>69886.55996297201</v>
      </c>
      <c r="I696" s="14" t="n">
        <v>2552.851552626666</v>
      </c>
      <c r="J696" s="14" t="n">
        <v>0</v>
      </c>
      <c r="K696" s="14" t="n">
        <v>3609.373670809877</v>
      </c>
      <c r="L696" s="14" t="n">
        <v>0</v>
      </c>
      <c r="M696" s="14" t="n">
        <v>0</v>
      </c>
      <c r="N696" s="14" t="n">
        <v>73329.85027005064</v>
      </c>
      <c r="O696" s="14" t="n">
        <v>76048.78518640854</v>
      </c>
      <c r="P696" s="14" t="n">
        <v>3456.453328929228</v>
      </c>
      <c r="Q696" s="14" t="n">
        <v>1004713.814897844</v>
      </c>
      <c r="R696" s="15">
        <f>IF(D696=1,"Section 1","Control")</f>
        <v/>
      </c>
      <c r="S696" s="16">
        <f>N696/10000</f>
        <v/>
      </c>
      <c r="T696" s="16">
        <f>P696/10000</f>
        <v/>
      </c>
      <c r="U696" s="15">
        <f>IF(N696&gt;=Summary!$D$3,1,0)</f>
        <v/>
      </c>
      <c r="V696" s="17">
        <f>IF(N696&gt;0,P696/N696,"")</f>
        <v/>
      </c>
      <c r="W696" s="17">
        <f>IF(O696&gt;0,H696/O696,"")</f>
        <v/>
      </c>
    </row>
    <row r="697">
      <c r="A697" s="13" t="inlineStr">
        <is>
          <t>T25_F</t>
        </is>
      </c>
      <c r="B697" s="13" t="inlineStr">
        <is>
          <t>T25</t>
        </is>
      </c>
      <c r="C697" s="13" t="inlineStr">
        <is>
          <t>F</t>
        </is>
      </c>
      <c r="D697" s="13" t="n">
        <v>1</v>
      </c>
      <c r="E697" s="13" t="inlineStr">
        <is>
          <t>S1</t>
        </is>
      </c>
      <c r="F697" s="13" t="n">
        <v>2022</v>
      </c>
      <c r="G697" s="14" t="n">
        <v>76048.78518640854</v>
      </c>
      <c r="H697" s="14" t="n">
        <v>70118.46228892008</v>
      </c>
      <c r="I697" s="14" t="n">
        <v>2392.185437101476</v>
      </c>
      <c r="J697" s="14" t="n">
        <v>0</v>
      </c>
      <c r="K697" s="14" t="n">
        <v>3538.137460386987</v>
      </c>
      <c r="L697" s="14" t="n">
        <v>0</v>
      </c>
      <c r="M697" s="14" t="n">
        <v>0</v>
      </c>
      <c r="N697" s="14" t="n">
        <v>73329.85027005064</v>
      </c>
      <c r="O697" s="14" t="n">
        <v>76048.78518640854</v>
      </c>
      <c r="P697" s="14" t="n">
        <v>3224.551002981148</v>
      </c>
      <c r="Q697" s="14" t="n">
        <v>1004713.814897844</v>
      </c>
      <c r="R697" s="15">
        <f>IF(D697=1,"Section 1","Control")</f>
        <v/>
      </c>
      <c r="S697" s="16">
        <f>N697/10000</f>
        <v/>
      </c>
      <c r="T697" s="16">
        <f>P697/10000</f>
        <v/>
      </c>
      <c r="U697" s="15">
        <f>IF(N697&gt;=Summary!$D$3,1,0)</f>
        <v/>
      </c>
      <c r="V697" s="17">
        <f>IF(N697&gt;0,P697/N697,"")</f>
        <v/>
      </c>
      <c r="W697" s="17">
        <f>IF(O697&gt;0,H697/O697,"")</f>
        <v/>
      </c>
    </row>
    <row r="698">
      <c r="A698" s="13" t="inlineStr">
        <is>
          <t>T25_F</t>
        </is>
      </c>
      <c r="B698" s="13" t="inlineStr">
        <is>
          <t>T25</t>
        </is>
      </c>
      <c r="C698" s="13" t="inlineStr">
        <is>
          <t>F</t>
        </is>
      </c>
      <c r="D698" s="13" t="n">
        <v>1</v>
      </c>
      <c r="E698" s="13" t="inlineStr">
        <is>
          <t>S1</t>
        </is>
      </c>
      <c r="F698" s="13" t="n">
        <v>2023</v>
      </c>
      <c r="G698" s="14" t="n">
        <v>76048.78518640854</v>
      </c>
      <c r="H698" s="14" t="n">
        <v>69512.57689565023</v>
      </c>
      <c r="I698" s="14" t="n">
        <v>2907.478823463589</v>
      </c>
      <c r="J698" s="14" t="n">
        <v>0</v>
      </c>
      <c r="K698" s="14" t="n">
        <v>3628.729467294731</v>
      </c>
      <c r="L698" s="14" t="n">
        <v>0</v>
      </c>
      <c r="M698" s="14" t="n">
        <v>0</v>
      </c>
      <c r="N698" s="14" t="n">
        <v>73329.85027005064</v>
      </c>
      <c r="O698" s="14" t="n">
        <v>76048.78518640854</v>
      </c>
      <c r="P698" s="14" t="n">
        <v>3817.273374400419</v>
      </c>
      <c r="Q698" s="14" t="n">
        <v>1004713.814897844</v>
      </c>
      <c r="R698" s="15">
        <f>IF(D698=1,"Section 1","Control")</f>
        <v/>
      </c>
      <c r="S698" s="16">
        <f>N698/10000</f>
        <v/>
      </c>
      <c r="T698" s="16">
        <f>P698/10000</f>
        <v/>
      </c>
      <c r="U698" s="15">
        <f>IF(N698&gt;=Summary!$D$3,1,0)</f>
        <v/>
      </c>
      <c r="V698" s="17">
        <f>IF(N698&gt;0,P698/N698,"")</f>
        <v/>
      </c>
      <c r="W698" s="17">
        <f>IF(O698&gt;0,H698/O698,"")</f>
        <v/>
      </c>
    </row>
    <row r="699">
      <c r="A699" s="13" t="inlineStr">
        <is>
          <t>T25_F</t>
        </is>
      </c>
      <c r="B699" s="13" t="inlineStr">
        <is>
          <t>T25</t>
        </is>
      </c>
      <c r="C699" s="13" t="inlineStr">
        <is>
          <t>F</t>
        </is>
      </c>
      <c r="D699" s="13" t="n">
        <v>1</v>
      </c>
      <c r="E699" s="13" t="inlineStr">
        <is>
          <t>S1</t>
        </is>
      </c>
      <c r="F699" s="13" t="n">
        <v>2024</v>
      </c>
      <c r="G699" s="14" t="n">
        <v>76048.78518640854</v>
      </c>
      <c r="H699" s="14" t="n">
        <v>69410.37694331151</v>
      </c>
      <c r="I699" s="14" t="n">
        <v>708.8666689704446</v>
      </c>
      <c r="J699" s="14" t="n">
        <v>0</v>
      </c>
      <c r="K699" s="14" t="n">
        <v>5929.541574126599</v>
      </c>
      <c r="L699" s="14" t="n">
        <v>0</v>
      </c>
      <c r="M699" s="14" t="n">
        <v>0</v>
      </c>
      <c r="N699" s="14" t="n">
        <v>73329.85027005064</v>
      </c>
      <c r="O699" s="14" t="n">
        <v>76048.78518640854</v>
      </c>
      <c r="P699" s="14" t="n">
        <v>4130.081577166389</v>
      </c>
      <c r="Q699" s="14" t="n">
        <v>1004713.814897844</v>
      </c>
      <c r="R699" s="15">
        <f>IF(D699=1,"Section 1","Control")</f>
        <v/>
      </c>
      <c r="S699" s="16">
        <f>N699/10000</f>
        <v/>
      </c>
      <c r="T699" s="16">
        <f>P699/10000</f>
        <v/>
      </c>
      <c r="U699" s="15">
        <f>IF(N699&gt;=Summary!$D$3,1,0)</f>
        <v/>
      </c>
      <c r="V699" s="17">
        <f>IF(N699&gt;0,P699/N699,"")</f>
        <v/>
      </c>
      <c r="W699" s="17">
        <f>IF(O699&gt;0,H699/O699,"")</f>
        <v/>
      </c>
    </row>
    <row r="700">
      <c r="A700" s="13" t="inlineStr">
        <is>
          <t>T25_F</t>
        </is>
      </c>
      <c r="B700" s="13" t="inlineStr">
        <is>
          <t>T25</t>
        </is>
      </c>
      <c r="C700" s="13" t="inlineStr">
        <is>
          <t>F</t>
        </is>
      </c>
      <c r="D700" s="13" t="n">
        <v>1</v>
      </c>
      <c r="E700" s="13" t="inlineStr">
        <is>
          <t>S1</t>
        </is>
      </c>
      <c r="F700" s="13" t="n">
        <v>2025</v>
      </c>
      <c r="G700" s="14" t="n">
        <v>76048.78518640854</v>
      </c>
      <c r="H700" s="14" t="n">
        <v>54751.44199197805</v>
      </c>
      <c r="I700" s="14" t="n">
        <v>8751.468370714374</v>
      </c>
      <c r="J700" s="14" t="n">
        <v>0</v>
      </c>
      <c r="K700" s="14" t="n">
        <v>12545.87482371611</v>
      </c>
      <c r="L700" s="14" t="n">
        <v>0</v>
      </c>
      <c r="M700" s="14" t="n">
        <v>0</v>
      </c>
      <c r="N700" s="14" t="n">
        <v>73329.85027005064</v>
      </c>
      <c r="O700" s="14" t="n">
        <v>76048.78518640854</v>
      </c>
      <c r="P700" s="14" t="n">
        <v>18591.57129992317</v>
      </c>
      <c r="Q700" s="14" t="n">
        <v>1004713.814897844</v>
      </c>
      <c r="R700" s="15">
        <f>IF(D700=1,"Section 1","Control")</f>
        <v/>
      </c>
      <c r="S700" s="16">
        <f>N700/10000</f>
        <v/>
      </c>
      <c r="T700" s="16">
        <f>P700/10000</f>
        <v/>
      </c>
      <c r="U700" s="15">
        <f>IF(N700&gt;=Summary!$D$3,1,0)</f>
        <v/>
      </c>
      <c r="V700" s="17">
        <f>IF(N700&gt;0,P700/N700,"")</f>
        <v/>
      </c>
      <c r="W700" s="17">
        <f>IF(O700&gt;0,H700/O700,"")</f>
        <v/>
      </c>
    </row>
    <row r="701">
      <c r="A701" s="13" t="inlineStr">
        <is>
          <t>T25_F</t>
        </is>
      </c>
      <c r="B701" s="13" t="inlineStr">
        <is>
          <t>T25</t>
        </is>
      </c>
      <c r="C701" s="13" t="inlineStr">
        <is>
          <t>F</t>
        </is>
      </c>
      <c r="D701" s="13" t="n">
        <v>1</v>
      </c>
      <c r="E701" s="13" t="inlineStr">
        <is>
          <t>S1</t>
        </is>
      </c>
      <c r="F701" s="13" t="n">
        <v>2026</v>
      </c>
      <c r="G701" s="14" t="n">
        <v>76048.78518640854</v>
      </c>
      <c r="H701" s="14" t="n">
        <v>310.49211063759</v>
      </c>
      <c r="I701" s="14" t="n">
        <v>23444.06422107173</v>
      </c>
      <c r="J701" s="14" t="n">
        <v>0</v>
      </c>
      <c r="K701" s="14" t="n">
        <v>52294.22885469922</v>
      </c>
      <c r="L701" s="14" t="n">
        <v>0</v>
      </c>
      <c r="M701" s="14" t="n">
        <v>0</v>
      </c>
      <c r="N701" s="14" t="n">
        <v>73329.85027005064</v>
      </c>
      <c r="O701" s="14" t="n">
        <v>76048.78518640854</v>
      </c>
      <c r="P701" s="14" t="n">
        <v>73019.35815941305</v>
      </c>
      <c r="Q701" s="14" t="n">
        <v>1004713.814897844</v>
      </c>
      <c r="R701" s="15">
        <f>IF(D701=1,"Section 1","Control")</f>
        <v/>
      </c>
      <c r="S701" s="16">
        <f>N701/10000</f>
        <v/>
      </c>
      <c r="T701" s="16">
        <f>P701/10000</f>
        <v/>
      </c>
      <c r="U701" s="15">
        <f>IF(N701&gt;=Summary!$D$3,1,0)</f>
        <v/>
      </c>
      <c r="V701" s="17">
        <f>IF(N701&gt;0,P701/N701,"")</f>
        <v/>
      </c>
      <c r="W701" s="17">
        <f>IF(O701&gt;0,H701/O701,"")</f>
        <v/>
      </c>
    </row>
    <row r="702">
      <c r="A702" s="13" t="inlineStr">
        <is>
          <t>T26_B1</t>
        </is>
      </c>
      <c r="B702" s="13" t="inlineStr">
        <is>
          <t>T26</t>
        </is>
      </c>
      <c r="C702" s="13" t="inlineStr">
        <is>
          <t>B1</t>
        </is>
      </c>
      <c r="D702" s="13" t="n">
        <v>1</v>
      </c>
      <c r="E702" s="13" t="inlineStr">
        <is>
          <t>S1</t>
        </is>
      </c>
      <c r="F702" s="13" t="n">
        <v>2020</v>
      </c>
      <c r="G702" s="14" t="n">
        <v>990738.3301061594</v>
      </c>
      <c r="H702" s="14" t="n">
        <v>519295.3360764746</v>
      </c>
      <c r="I702" s="14" t="n">
        <v>88108.29575240191</v>
      </c>
      <c r="J702" s="14" t="n">
        <v>47229.574982228</v>
      </c>
      <c r="K702" s="14" t="n">
        <v>41370.35840484021</v>
      </c>
      <c r="L702" s="14" t="n">
        <v>294734.7648902145</v>
      </c>
      <c r="M702" s="14" t="n">
        <v>0</v>
      </c>
      <c r="N702" s="14" t="n">
        <v>519295.3360764746</v>
      </c>
      <c r="O702" s="14" t="n">
        <v>696003.5652159447</v>
      </c>
      <c r="P702" s="14" t="n">
        <v>0</v>
      </c>
      <c r="Q702" s="14" t="n">
        <v>7819554.847198368</v>
      </c>
      <c r="R702" s="15">
        <f>IF(D702=1,"Section 1","Control")</f>
        <v/>
      </c>
      <c r="S702" s="16">
        <f>N702/10000</f>
        <v/>
      </c>
      <c r="T702" s="16">
        <f>P702/10000</f>
        <v/>
      </c>
      <c r="U702" s="15">
        <f>IF(N702&gt;=Summary!$D$3,1,0)</f>
        <v/>
      </c>
      <c r="V702" s="17">
        <f>IF(N702&gt;0,P702/N702,"")</f>
        <v/>
      </c>
      <c r="W702" s="17">
        <f>IF(O702&gt;0,H702/O702,"")</f>
        <v/>
      </c>
    </row>
    <row r="703">
      <c r="A703" s="13" t="inlineStr">
        <is>
          <t>T26_B1</t>
        </is>
      </c>
      <c r="B703" s="13" t="inlineStr">
        <is>
          <t>T26</t>
        </is>
      </c>
      <c r="C703" s="13" t="inlineStr">
        <is>
          <t>B1</t>
        </is>
      </c>
      <c r="D703" s="13" t="n">
        <v>1</v>
      </c>
      <c r="E703" s="13" t="inlineStr">
        <is>
          <t>S1</t>
        </is>
      </c>
      <c r="F703" s="13" t="n">
        <v>2021</v>
      </c>
      <c r="G703" s="14" t="n">
        <v>990738.3301061594</v>
      </c>
      <c r="H703" s="14" t="n">
        <v>455565.9876344568</v>
      </c>
      <c r="I703" s="14" t="n">
        <v>143054.0349539065</v>
      </c>
      <c r="J703" s="14" t="n">
        <v>47427.02143913718</v>
      </c>
      <c r="K703" s="14" t="n">
        <v>51905.82246006982</v>
      </c>
      <c r="L703" s="14" t="n">
        <v>292785.4636185889</v>
      </c>
      <c r="M703" s="14" t="n">
        <v>0</v>
      </c>
      <c r="N703" s="14" t="n">
        <v>519295.3360764746</v>
      </c>
      <c r="O703" s="14" t="n">
        <v>696003.5652159447</v>
      </c>
      <c r="P703" s="14" t="n">
        <v>68196.65427123428</v>
      </c>
      <c r="Q703" s="14" t="n">
        <v>7819554.847198368</v>
      </c>
      <c r="R703" s="15">
        <f>IF(D703=1,"Section 1","Control")</f>
        <v/>
      </c>
      <c r="S703" s="16">
        <f>N703/10000</f>
        <v/>
      </c>
      <c r="T703" s="16">
        <f>P703/10000</f>
        <v/>
      </c>
      <c r="U703" s="15">
        <f>IF(N703&gt;=Summary!$D$3,1,0)</f>
        <v/>
      </c>
      <c r="V703" s="17">
        <f>IF(N703&gt;0,P703/N703,"")</f>
        <v/>
      </c>
      <c r="W703" s="17">
        <f>IF(O703&gt;0,H703/O703,"")</f>
        <v/>
      </c>
    </row>
    <row r="704">
      <c r="A704" s="13" t="inlineStr">
        <is>
          <t>T26_B1</t>
        </is>
      </c>
      <c r="B704" s="13" t="inlineStr">
        <is>
          <t>T26</t>
        </is>
      </c>
      <c r="C704" s="13" t="inlineStr">
        <is>
          <t>B1</t>
        </is>
      </c>
      <c r="D704" s="13" t="n">
        <v>1</v>
      </c>
      <c r="E704" s="13" t="inlineStr">
        <is>
          <t>S1</t>
        </is>
      </c>
      <c r="F704" s="13" t="n">
        <v>2022</v>
      </c>
      <c r="G704" s="14" t="n">
        <v>990738.3301061594</v>
      </c>
      <c r="H704" s="14" t="n">
        <v>393625.7448993757</v>
      </c>
      <c r="I704" s="14" t="n">
        <v>209076.7952733058</v>
      </c>
      <c r="J704" s="14" t="n">
        <v>48907.86918693991</v>
      </c>
      <c r="K704" s="14" t="n">
        <v>49428.0459625244</v>
      </c>
      <c r="L704" s="14" t="n">
        <v>289699.8747840134</v>
      </c>
      <c r="M704" s="14" t="n">
        <v>0</v>
      </c>
      <c r="N704" s="14" t="n">
        <v>519295.3360764746</v>
      </c>
      <c r="O704" s="14" t="n">
        <v>696003.5652159447</v>
      </c>
      <c r="P704" s="14" t="n">
        <v>128411.3744752771</v>
      </c>
      <c r="Q704" s="14" t="n">
        <v>7819554.847198368</v>
      </c>
      <c r="R704" s="15">
        <f>IF(D704=1,"Section 1","Control")</f>
        <v/>
      </c>
      <c r="S704" s="16">
        <f>N704/10000</f>
        <v/>
      </c>
      <c r="T704" s="16">
        <f>P704/10000</f>
        <v/>
      </c>
      <c r="U704" s="15">
        <f>IF(N704&gt;=Summary!$D$3,1,0)</f>
        <v/>
      </c>
      <c r="V704" s="17">
        <f>IF(N704&gt;0,P704/N704,"")</f>
        <v/>
      </c>
      <c r="W704" s="17">
        <f>IF(O704&gt;0,H704/O704,"")</f>
        <v/>
      </c>
    </row>
    <row r="705">
      <c r="A705" s="13" t="inlineStr">
        <is>
          <t>T26_B1</t>
        </is>
      </c>
      <c r="B705" s="13" t="inlineStr">
        <is>
          <t>T26</t>
        </is>
      </c>
      <c r="C705" s="13" t="inlineStr">
        <is>
          <t>B1</t>
        </is>
      </c>
      <c r="D705" s="13" t="n">
        <v>1</v>
      </c>
      <c r="E705" s="13" t="inlineStr">
        <is>
          <t>S1</t>
        </is>
      </c>
      <c r="F705" s="13" t="n">
        <v>2023</v>
      </c>
      <c r="G705" s="14" t="n">
        <v>990738.3301061594</v>
      </c>
      <c r="H705" s="14" t="n">
        <v>367602.0018110387</v>
      </c>
      <c r="I705" s="14" t="n">
        <v>220814.75815681</v>
      </c>
      <c r="J705" s="14" t="n">
        <v>48809.14602714987</v>
      </c>
      <c r="K705" s="14" t="n">
        <v>50603.36680815453</v>
      </c>
      <c r="L705" s="14" t="n">
        <v>302909.0573030061</v>
      </c>
      <c r="M705" s="14" t="n">
        <v>0</v>
      </c>
      <c r="N705" s="14" t="n">
        <v>519295.3360764746</v>
      </c>
      <c r="O705" s="14" t="n">
        <v>696003.5652159447</v>
      </c>
      <c r="P705" s="14" t="n">
        <v>155207.8640655816</v>
      </c>
      <c r="Q705" s="14" t="n">
        <v>7819554.847198368</v>
      </c>
      <c r="R705" s="15">
        <f>IF(D705=1,"Section 1","Control")</f>
        <v/>
      </c>
      <c r="S705" s="16">
        <f>N705/10000</f>
        <v/>
      </c>
      <c r="T705" s="16">
        <f>P705/10000</f>
        <v/>
      </c>
      <c r="U705" s="15">
        <f>IF(N705&gt;=Summary!$D$3,1,0)</f>
        <v/>
      </c>
      <c r="V705" s="17">
        <f>IF(N705&gt;0,P705/N705,"")</f>
        <v/>
      </c>
      <c r="W705" s="17">
        <f>IF(O705&gt;0,H705/O705,"")</f>
        <v/>
      </c>
    </row>
    <row r="706">
      <c r="A706" s="13" t="inlineStr">
        <is>
          <t>T26_B1</t>
        </is>
      </c>
      <c r="B706" s="13" t="inlineStr">
        <is>
          <t>T26</t>
        </is>
      </c>
      <c r="C706" s="13" t="inlineStr">
        <is>
          <t>B1</t>
        </is>
      </c>
      <c r="D706" s="13" t="n">
        <v>1</v>
      </c>
      <c r="E706" s="13" t="inlineStr">
        <is>
          <t>S1</t>
        </is>
      </c>
      <c r="F706" s="13" t="n">
        <v>2024</v>
      </c>
      <c r="G706" s="14" t="n">
        <v>990738.3301061594</v>
      </c>
      <c r="H706" s="14" t="n">
        <v>379685.2933505488</v>
      </c>
      <c r="I706" s="14" t="n">
        <v>186839.4248687744</v>
      </c>
      <c r="J706" s="14" t="n">
        <v>49006.59237724753</v>
      </c>
      <c r="K706" s="14" t="n">
        <v>79262.40948291852</v>
      </c>
      <c r="L706" s="14" t="n">
        <v>295944.61002667</v>
      </c>
      <c r="M706" s="14" t="n">
        <v>0</v>
      </c>
      <c r="N706" s="14" t="n">
        <v>519295.3360764746</v>
      </c>
      <c r="O706" s="14" t="n">
        <v>696003.5652159447</v>
      </c>
      <c r="P706" s="14" t="n">
        <v>144907.7785356109</v>
      </c>
      <c r="Q706" s="14" t="n">
        <v>7819554.847198368</v>
      </c>
      <c r="R706" s="15">
        <f>IF(D706=1,"Section 1","Control")</f>
        <v/>
      </c>
      <c r="S706" s="16">
        <f>N706/10000</f>
        <v/>
      </c>
      <c r="T706" s="16">
        <f>P706/10000</f>
        <v/>
      </c>
      <c r="U706" s="15">
        <f>IF(N706&gt;=Summary!$D$3,1,0)</f>
        <v/>
      </c>
      <c r="V706" s="17">
        <f>IF(N706&gt;0,P706/N706,"")</f>
        <v/>
      </c>
      <c r="W706" s="17">
        <f>IF(O706&gt;0,H706/O706,"")</f>
        <v/>
      </c>
    </row>
    <row r="707">
      <c r="A707" s="13" t="inlineStr">
        <is>
          <t>T26_B1</t>
        </is>
      </c>
      <c r="B707" s="13" t="inlineStr">
        <is>
          <t>T26</t>
        </is>
      </c>
      <c r="C707" s="13" t="inlineStr">
        <is>
          <t>B1</t>
        </is>
      </c>
      <c r="D707" s="13" t="n">
        <v>1</v>
      </c>
      <c r="E707" s="13" t="inlineStr">
        <is>
          <t>S1</t>
        </is>
      </c>
      <c r="F707" s="13" t="n">
        <v>2025</v>
      </c>
      <c r="G707" s="14" t="n">
        <v>990738.3301061594</v>
      </c>
      <c r="H707" s="14" t="n">
        <v>370675.5726563996</v>
      </c>
      <c r="I707" s="14" t="n">
        <v>208184.472778769</v>
      </c>
      <c r="J707" s="14" t="n">
        <v>49006.59237724753</v>
      </c>
      <c r="K707" s="14" t="n">
        <v>63767.93537071079</v>
      </c>
      <c r="L707" s="14" t="n">
        <v>299103.7569230323</v>
      </c>
      <c r="M707" s="14" t="n">
        <v>0</v>
      </c>
      <c r="N707" s="14" t="n">
        <v>519295.3360764746</v>
      </c>
      <c r="O707" s="14" t="n">
        <v>696003.5652159447</v>
      </c>
      <c r="P707" s="14" t="n">
        <v>152371.2280578313</v>
      </c>
      <c r="Q707" s="14" t="n">
        <v>7819554.847198368</v>
      </c>
      <c r="R707" s="15">
        <f>IF(D707=1,"Section 1","Control")</f>
        <v/>
      </c>
      <c r="S707" s="16">
        <f>N707/10000</f>
        <v/>
      </c>
      <c r="T707" s="16">
        <f>P707/10000</f>
        <v/>
      </c>
      <c r="U707" s="15">
        <f>IF(N707&gt;=Summary!$D$3,1,0)</f>
        <v/>
      </c>
      <c r="V707" s="17">
        <f>IF(N707&gt;0,P707/N707,"")</f>
        <v/>
      </c>
      <c r="W707" s="17">
        <f>IF(O707&gt;0,H707/O707,"")</f>
        <v/>
      </c>
    </row>
    <row r="708">
      <c r="A708" s="13" t="inlineStr">
        <is>
          <t>T26_B1</t>
        </is>
      </c>
      <c r="B708" s="13" t="inlineStr">
        <is>
          <t>T26</t>
        </is>
      </c>
      <c r="C708" s="13" t="inlineStr">
        <is>
          <t>B1</t>
        </is>
      </c>
      <c r="D708" s="13" t="n">
        <v>1</v>
      </c>
      <c r="E708" s="13" t="inlineStr">
        <is>
          <t>S1</t>
        </is>
      </c>
      <c r="F708" s="13" t="n">
        <v>2026</v>
      </c>
      <c r="G708" s="14" t="n">
        <v>990738.3301061594</v>
      </c>
      <c r="H708" s="14" t="n">
        <v>401251.7860963111</v>
      </c>
      <c r="I708" s="14" t="n">
        <v>133232.487941727</v>
      </c>
      <c r="J708" s="14" t="n">
        <v>49006.59237724753</v>
      </c>
      <c r="K708" s="14" t="n">
        <v>111426.7421813965</v>
      </c>
      <c r="L708" s="14" t="n">
        <v>295820.7215094772</v>
      </c>
      <c r="M708" s="14" t="n">
        <v>0</v>
      </c>
      <c r="N708" s="14" t="n">
        <v>519295.3360764746</v>
      </c>
      <c r="O708" s="14" t="n">
        <v>696003.5652159447</v>
      </c>
      <c r="P708" s="14" t="n">
        <v>127718.3852996825</v>
      </c>
      <c r="Q708" s="14" t="n">
        <v>7819554.847198368</v>
      </c>
      <c r="R708" s="15">
        <f>IF(D708=1,"Section 1","Control")</f>
        <v/>
      </c>
      <c r="S708" s="16">
        <f>N708/10000</f>
        <v/>
      </c>
      <c r="T708" s="16">
        <f>P708/10000</f>
        <v/>
      </c>
      <c r="U708" s="15">
        <f>IF(N708&gt;=Summary!$D$3,1,0)</f>
        <v/>
      </c>
      <c r="V708" s="17">
        <f>IF(N708&gt;0,P708/N708,"")</f>
        <v/>
      </c>
      <c r="W708" s="17">
        <f>IF(O708&gt;0,H708/O708,"")</f>
        <v/>
      </c>
    </row>
    <row r="709">
      <c r="A709" s="13" t="inlineStr">
        <is>
          <t>T26_B2</t>
        </is>
      </c>
      <c r="B709" s="13" t="inlineStr">
        <is>
          <t>T26</t>
        </is>
      </c>
      <c r="C709" s="13" t="inlineStr">
        <is>
          <t>B2</t>
        </is>
      </c>
      <c r="D709" s="13" t="n">
        <v>1</v>
      </c>
      <c r="E709" s="13" t="inlineStr">
        <is>
          <t>S1</t>
        </is>
      </c>
      <c r="F709" s="13" t="n">
        <v>2020</v>
      </c>
      <c r="G709" s="14" t="n">
        <v>987625.3284833718</v>
      </c>
      <c r="H709" s="14" t="n">
        <v>330026.0465264114</v>
      </c>
      <c r="I709" s="14" t="n">
        <v>2764.205757141113</v>
      </c>
      <c r="J709" s="14" t="n">
        <v>0</v>
      </c>
      <c r="K709" s="14" t="n">
        <v>8530.325908825444</v>
      </c>
      <c r="L709" s="14" t="n">
        <v>646304.7502909936</v>
      </c>
      <c r="M709" s="14" t="n">
        <v>0</v>
      </c>
      <c r="N709" s="14" t="n">
        <v>330026.0465264114</v>
      </c>
      <c r="O709" s="14" t="n">
        <v>341320.5781923779</v>
      </c>
      <c r="P709" s="14" t="n">
        <v>0</v>
      </c>
      <c r="Q709" s="14" t="n">
        <v>4405977.471654555</v>
      </c>
      <c r="R709" s="15">
        <f>IF(D709=1,"Section 1","Control")</f>
        <v/>
      </c>
      <c r="S709" s="16">
        <f>N709/10000</f>
        <v/>
      </c>
      <c r="T709" s="16">
        <f>P709/10000</f>
        <v/>
      </c>
      <c r="U709" s="15">
        <f>IF(N709&gt;=Summary!$D$3,1,0)</f>
        <v/>
      </c>
      <c r="V709" s="17">
        <f>IF(N709&gt;0,P709/N709,"")</f>
        <v/>
      </c>
      <c r="W709" s="17">
        <f>IF(O709&gt;0,H709/O709,"")</f>
        <v/>
      </c>
    </row>
    <row r="710">
      <c r="A710" s="13" t="inlineStr">
        <is>
          <t>T26_B2</t>
        </is>
      </c>
      <c r="B710" s="13" t="inlineStr">
        <is>
          <t>T26</t>
        </is>
      </c>
      <c r="C710" s="13" t="inlineStr">
        <is>
          <t>B2</t>
        </is>
      </c>
      <c r="D710" s="13" t="n">
        <v>1</v>
      </c>
      <c r="E710" s="13" t="inlineStr">
        <is>
          <t>S1</t>
        </is>
      </c>
      <c r="F710" s="13" t="n">
        <v>2021</v>
      </c>
      <c r="G710" s="14" t="n">
        <v>987625.3284833716</v>
      </c>
      <c r="H710" s="14" t="n">
        <v>309907.746799095</v>
      </c>
      <c r="I710" s="14" t="n">
        <v>10661.93981933594</v>
      </c>
      <c r="J710" s="14" t="n">
        <v>0</v>
      </c>
      <c r="K710" s="14" t="n">
        <v>20750.89157394708</v>
      </c>
      <c r="L710" s="14" t="n">
        <v>646304.7502909936</v>
      </c>
      <c r="M710" s="14" t="n">
        <v>0</v>
      </c>
      <c r="N710" s="14" t="n">
        <v>330026.0465264114</v>
      </c>
      <c r="O710" s="14" t="n">
        <v>341320.5781923779</v>
      </c>
      <c r="P710" s="14" t="n">
        <v>20118.29972731647</v>
      </c>
      <c r="Q710" s="14" t="n">
        <v>4405977.471654555</v>
      </c>
      <c r="R710" s="15">
        <f>IF(D710=1,"Section 1","Control")</f>
        <v/>
      </c>
      <c r="S710" s="16">
        <f>N710/10000</f>
        <v/>
      </c>
      <c r="T710" s="16">
        <f>P710/10000</f>
        <v/>
      </c>
      <c r="U710" s="15">
        <f>IF(N710&gt;=Summary!$D$3,1,0)</f>
        <v/>
      </c>
      <c r="V710" s="17">
        <f>IF(N710&gt;0,P710/N710,"")</f>
        <v/>
      </c>
      <c r="W710" s="17">
        <f>IF(O710&gt;0,H710/O710,"")</f>
        <v/>
      </c>
    </row>
    <row r="711">
      <c r="A711" s="13" t="inlineStr">
        <is>
          <t>T26_B2</t>
        </is>
      </c>
      <c r="B711" s="13" t="inlineStr">
        <is>
          <t>T26</t>
        </is>
      </c>
      <c r="C711" s="13" t="inlineStr">
        <is>
          <t>B2</t>
        </is>
      </c>
      <c r="D711" s="13" t="n">
        <v>1</v>
      </c>
      <c r="E711" s="13" t="inlineStr">
        <is>
          <t>S1</t>
        </is>
      </c>
      <c r="F711" s="13" t="n">
        <v>2022</v>
      </c>
      <c r="G711" s="14" t="n">
        <v>987625.3284833716</v>
      </c>
      <c r="H711" s="14" t="n">
        <v>308821.8098255232</v>
      </c>
      <c r="I711" s="14" t="n">
        <v>9872.168891906738</v>
      </c>
      <c r="J711" s="14" t="n">
        <v>0</v>
      </c>
      <c r="K711" s="14" t="n">
        <v>22626.59947494806</v>
      </c>
      <c r="L711" s="14" t="n">
        <v>646304.7502909936</v>
      </c>
      <c r="M711" s="14" t="n">
        <v>0</v>
      </c>
      <c r="N711" s="14" t="n">
        <v>330026.0465264114</v>
      </c>
      <c r="O711" s="14" t="n">
        <v>341320.5781923779</v>
      </c>
      <c r="P711" s="14" t="n">
        <v>21401.6802586275</v>
      </c>
      <c r="Q711" s="14" t="n">
        <v>4405977.471654555</v>
      </c>
      <c r="R711" s="15">
        <f>IF(D711=1,"Section 1","Control")</f>
        <v/>
      </c>
      <c r="S711" s="16">
        <f>N711/10000</f>
        <v/>
      </c>
      <c r="T711" s="16">
        <f>P711/10000</f>
        <v/>
      </c>
      <c r="U711" s="15">
        <f>IF(N711&gt;=Summary!$D$3,1,0)</f>
        <v/>
      </c>
      <c r="V711" s="17">
        <f>IF(N711&gt;0,P711/N711,"")</f>
        <v/>
      </c>
      <c r="W711" s="17">
        <f>IF(O711&gt;0,H711/O711,"")</f>
        <v/>
      </c>
    </row>
    <row r="712">
      <c r="A712" s="13" t="inlineStr">
        <is>
          <t>T26_B2</t>
        </is>
      </c>
      <c r="B712" s="13" t="inlineStr">
        <is>
          <t>T26</t>
        </is>
      </c>
      <c r="C712" s="13" t="inlineStr">
        <is>
          <t>B2</t>
        </is>
      </c>
      <c r="D712" s="13" t="n">
        <v>1</v>
      </c>
      <c r="E712" s="13" t="inlineStr">
        <is>
          <t>S1</t>
        </is>
      </c>
      <c r="F712" s="13" t="n">
        <v>2023</v>
      </c>
      <c r="G712" s="14" t="n">
        <v>987625.3284833716</v>
      </c>
      <c r="H712" s="14" t="n">
        <v>304970.1089613073</v>
      </c>
      <c r="I712" s="14" t="n">
        <v>15596.48582581165</v>
      </c>
      <c r="J712" s="14" t="n">
        <v>0</v>
      </c>
      <c r="K712" s="14" t="n">
        <v>20753.98340525908</v>
      </c>
      <c r="L712" s="14" t="n">
        <v>646304.7502909936</v>
      </c>
      <c r="M712" s="14" t="n">
        <v>0</v>
      </c>
      <c r="N712" s="14" t="n">
        <v>330026.0465264114</v>
      </c>
      <c r="O712" s="14" t="n">
        <v>341320.5781923779</v>
      </c>
      <c r="P712" s="14" t="n">
        <v>25549.54648234049</v>
      </c>
      <c r="Q712" s="14" t="n">
        <v>4405977.471654555</v>
      </c>
      <c r="R712" s="15">
        <f>IF(D712=1,"Section 1","Control")</f>
        <v/>
      </c>
      <c r="S712" s="16">
        <f>N712/10000</f>
        <v/>
      </c>
      <c r="T712" s="16">
        <f>P712/10000</f>
        <v/>
      </c>
      <c r="U712" s="15">
        <f>IF(N712&gt;=Summary!$D$3,1,0)</f>
        <v/>
      </c>
      <c r="V712" s="17">
        <f>IF(N712&gt;0,P712/N712,"")</f>
        <v/>
      </c>
      <c r="W712" s="17">
        <f>IF(O712&gt;0,H712/O712,"")</f>
        <v/>
      </c>
    </row>
    <row r="713">
      <c r="A713" s="13" t="inlineStr">
        <is>
          <t>T26_B2</t>
        </is>
      </c>
      <c r="B713" s="13" t="inlineStr">
        <is>
          <t>T26</t>
        </is>
      </c>
      <c r="C713" s="13" t="inlineStr">
        <is>
          <t>B2</t>
        </is>
      </c>
      <c r="D713" s="13" t="n">
        <v>1</v>
      </c>
      <c r="E713" s="13" t="inlineStr">
        <is>
          <t>S1</t>
        </is>
      </c>
      <c r="F713" s="13" t="n">
        <v>2024</v>
      </c>
      <c r="G713" s="14" t="n">
        <v>987625.3284833716</v>
      </c>
      <c r="H713" s="14" t="n">
        <v>312076.5304560643</v>
      </c>
      <c r="I713" s="14" t="n">
        <v>7021.628578604904</v>
      </c>
      <c r="J713" s="14" t="n">
        <v>0</v>
      </c>
      <c r="K713" s="14" t="n">
        <v>22222.41915770886</v>
      </c>
      <c r="L713" s="14" t="n">
        <v>646304.7502909936</v>
      </c>
      <c r="M713" s="14" t="n">
        <v>0</v>
      </c>
      <c r="N713" s="14" t="n">
        <v>330026.0465264114</v>
      </c>
      <c r="O713" s="14" t="n">
        <v>341320.5781923779</v>
      </c>
      <c r="P713" s="14" t="n">
        <v>18936.73354623832</v>
      </c>
      <c r="Q713" s="14" t="n">
        <v>4405977.471654555</v>
      </c>
      <c r="R713" s="15">
        <f>IF(D713=1,"Section 1","Control")</f>
        <v/>
      </c>
      <c r="S713" s="16">
        <f>N713/10000</f>
        <v/>
      </c>
      <c r="T713" s="16">
        <f>P713/10000</f>
        <v/>
      </c>
      <c r="U713" s="15">
        <f>IF(N713&gt;=Summary!$D$3,1,0)</f>
        <v/>
      </c>
      <c r="V713" s="17">
        <f>IF(N713&gt;0,P713/N713,"")</f>
        <v/>
      </c>
      <c r="W713" s="17">
        <f>IF(O713&gt;0,H713/O713,"")</f>
        <v/>
      </c>
    </row>
    <row r="714">
      <c r="A714" s="13" t="inlineStr">
        <is>
          <t>T26_B2</t>
        </is>
      </c>
      <c r="B714" s="13" t="inlineStr">
        <is>
          <t>T26</t>
        </is>
      </c>
      <c r="C714" s="13" t="inlineStr">
        <is>
          <t>B2</t>
        </is>
      </c>
      <c r="D714" s="13" t="n">
        <v>1</v>
      </c>
      <c r="E714" s="13" t="inlineStr">
        <is>
          <t>S1</t>
        </is>
      </c>
      <c r="F714" s="13" t="n">
        <v>2025</v>
      </c>
      <c r="G714" s="14" t="n">
        <v>987625.3284833716</v>
      </c>
      <c r="H714" s="14" t="n">
        <v>311817.535836044</v>
      </c>
      <c r="I714" s="14" t="n">
        <v>4738.641036987305</v>
      </c>
      <c r="J714" s="14" t="n">
        <v>0</v>
      </c>
      <c r="K714" s="14" t="n">
        <v>24764.40131934671</v>
      </c>
      <c r="L714" s="14" t="n">
        <v>646304.7502909936</v>
      </c>
      <c r="M714" s="14" t="n">
        <v>0</v>
      </c>
      <c r="N714" s="14" t="n">
        <v>330026.0465264114</v>
      </c>
      <c r="O714" s="14" t="n">
        <v>341320.5781923779</v>
      </c>
      <c r="P714" s="14" t="n">
        <v>19590.61492315554</v>
      </c>
      <c r="Q714" s="14" t="n">
        <v>4405977.471654555</v>
      </c>
      <c r="R714" s="15">
        <f>IF(D714=1,"Section 1","Control")</f>
        <v/>
      </c>
      <c r="S714" s="16">
        <f>N714/10000</f>
        <v/>
      </c>
      <c r="T714" s="16">
        <f>P714/10000</f>
        <v/>
      </c>
      <c r="U714" s="15">
        <f>IF(N714&gt;=Summary!$D$3,1,0)</f>
        <v/>
      </c>
      <c r="V714" s="17">
        <f>IF(N714&gt;0,P714/N714,"")</f>
        <v/>
      </c>
      <c r="W714" s="17">
        <f>IF(O714&gt;0,H714/O714,"")</f>
        <v/>
      </c>
    </row>
    <row r="715">
      <c r="A715" s="13" t="inlineStr">
        <is>
          <t>T26_B2</t>
        </is>
      </c>
      <c r="B715" s="13" t="inlineStr">
        <is>
          <t>T26</t>
        </is>
      </c>
      <c r="C715" s="13" t="inlineStr">
        <is>
          <t>B2</t>
        </is>
      </c>
      <c r="D715" s="13" t="n">
        <v>1</v>
      </c>
      <c r="E715" s="13" t="inlineStr">
        <is>
          <t>S1</t>
        </is>
      </c>
      <c r="F715" s="13" t="n">
        <v>2026</v>
      </c>
      <c r="G715" s="14" t="n">
        <v>987625.3284833718</v>
      </c>
      <c r="H715" s="14" t="n">
        <v>313199.6394966275</v>
      </c>
      <c r="I715" s="14" t="n">
        <v>2282.987396659103</v>
      </c>
      <c r="J715" s="14" t="n">
        <v>0</v>
      </c>
      <c r="K715" s="14" t="n">
        <v>25837.95129909141</v>
      </c>
      <c r="L715" s="14" t="n">
        <v>646304.7502909936</v>
      </c>
      <c r="M715" s="14" t="n">
        <v>0</v>
      </c>
      <c r="N715" s="14" t="n">
        <v>330026.0465264114</v>
      </c>
      <c r="O715" s="14" t="n">
        <v>341320.5781923779</v>
      </c>
      <c r="P715" s="14" t="n">
        <v>18899.56340948366</v>
      </c>
      <c r="Q715" s="14" t="n">
        <v>4405977.471654555</v>
      </c>
      <c r="R715" s="15">
        <f>IF(D715=1,"Section 1","Control")</f>
        <v/>
      </c>
      <c r="S715" s="16">
        <f>N715/10000</f>
        <v/>
      </c>
      <c r="T715" s="16">
        <f>P715/10000</f>
        <v/>
      </c>
      <c r="U715" s="15">
        <f>IF(N715&gt;=Summary!$D$3,1,0)</f>
        <v/>
      </c>
      <c r="V715" s="17">
        <f>IF(N715&gt;0,P715/N715,"")</f>
        <v/>
      </c>
      <c r="W715" s="17">
        <f>IF(O715&gt;0,H715/O715,"")</f>
        <v/>
      </c>
    </row>
    <row r="716">
      <c r="A716" s="13" t="inlineStr">
        <is>
          <t>T26_B3</t>
        </is>
      </c>
      <c r="B716" s="13" t="inlineStr">
        <is>
          <t>T26</t>
        </is>
      </c>
      <c r="C716" s="13" t="inlineStr">
        <is>
          <t>B3</t>
        </is>
      </c>
      <c r="D716" s="13" t="n">
        <v>1</v>
      </c>
      <c r="E716" s="13" t="inlineStr">
        <is>
          <t>S1</t>
        </is>
      </c>
      <c r="F716" s="13" t="n">
        <v>2020</v>
      </c>
      <c r="G716" s="14" t="n">
        <v>9008544.269484276</v>
      </c>
      <c r="H716" s="14" t="n">
        <v>261297.0425087125</v>
      </c>
      <c r="I716" s="14" t="n">
        <v>2007.31729888916</v>
      </c>
      <c r="J716" s="14" t="n">
        <v>0</v>
      </c>
      <c r="K716" s="14" t="n">
        <v>197005.217873966</v>
      </c>
      <c r="L716" s="14" t="n">
        <v>8548234.691802708</v>
      </c>
      <c r="M716" s="14" t="n">
        <v>0</v>
      </c>
      <c r="N716" s="14" t="n">
        <v>261297.0425087125</v>
      </c>
      <c r="O716" s="14" t="n">
        <v>460309.5776815678</v>
      </c>
      <c r="P716" s="14" t="n">
        <v>0</v>
      </c>
      <c r="Q716" s="14" t="n">
        <v>2771031.842283751</v>
      </c>
      <c r="R716" s="15">
        <f>IF(D716=1,"Section 1","Control")</f>
        <v/>
      </c>
      <c r="S716" s="16">
        <f>N716/10000</f>
        <v/>
      </c>
      <c r="T716" s="16">
        <f>P716/10000</f>
        <v/>
      </c>
      <c r="U716" s="15">
        <f>IF(N716&gt;=Summary!$D$3,1,0)</f>
        <v/>
      </c>
      <c r="V716" s="17">
        <f>IF(N716&gt;0,P716/N716,"")</f>
        <v/>
      </c>
      <c r="W716" s="17">
        <f>IF(O716&gt;0,H716/O716,"")</f>
        <v/>
      </c>
    </row>
    <row r="717">
      <c r="A717" s="13" t="inlineStr">
        <is>
          <t>T26_B3</t>
        </is>
      </c>
      <c r="B717" s="13" t="inlineStr">
        <is>
          <t>T26</t>
        </is>
      </c>
      <c r="C717" s="13" t="inlineStr">
        <is>
          <t>B3</t>
        </is>
      </c>
      <c r="D717" s="13" t="n">
        <v>1</v>
      </c>
      <c r="E717" s="13" t="inlineStr">
        <is>
          <t>S1</t>
        </is>
      </c>
      <c r="F717" s="13" t="n">
        <v>2021</v>
      </c>
      <c r="G717" s="14" t="n">
        <v>9008544.269484276</v>
      </c>
      <c r="H717" s="14" t="n">
        <v>233856.6930140476</v>
      </c>
      <c r="I717" s="14" t="n">
        <v>987.2054977416992</v>
      </c>
      <c r="J717" s="14" t="n">
        <v>0</v>
      </c>
      <c r="K717" s="14" t="n">
        <v>225465.6791697783</v>
      </c>
      <c r="L717" s="14" t="n">
        <v>8548234.691802708</v>
      </c>
      <c r="M717" s="14" t="n">
        <v>0</v>
      </c>
      <c r="N717" s="14" t="n">
        <v>261297.0425087125</v>
      </c>
      <c r="O717" s="14" t="n">
        <v>460309.5776815678</v>
      </c>
      <c r="P717" s="14" t="n">
        <v>28407.81147586598</v>
      </c>
      <c r="Q717" s="14" t="n">
        <v>2771031.842283751</v>
      </c>
      <c r="R717" s="15">
        <f>IF(D717=1,"Section 1","Control")</f>
        <v/>
      </c>
      <c r="S717" s="16">
        <f>N717/10000</f>
        <v/>
      </c>
      <c r="T717" s="16">
        <f>P717/10000</f>
        <v/>
      </c>
      <c r="U717" s="15">
        <f>IF(N717&gt;=Summary!$D$3,1,0)</f>
        <v/>
      </c>
      <c r="V717" s="17">
        <f>IF(N717&gt;0,P717/N717,"")</f>
        <v/>
      </c>
      <c r="W717" s="17">
        <f>IF(O717&gt;0,H717/O717,"")</f>
        <v/>
      </c>
    </row>
    <row r="718">
      <c r="A718" s="13" t="inlineStr">
        <is>
          <t>T26_B3</t>
        </is>
      </c>
      <c r="B718" s="13" t="inlineStr">
        <is>
          <t>T26</t>
        </is>
      </c>
      <c r="C718" s="13" t="inlineStr">
        <is>
          <t>B3</t>
        </is>
      </c>
      <c r="D718" s="13" t="n">
        <v>1</v>
      </c>
      <c r="E718" s="13" t="inlineStr">
        <is>
          <t>S1</t>
        </is>
      </c>
      <c r="F718" s="13" t="n">
        <v>2022</v>
      </c>
      <c r="G718" s="14" t="n">
        <v>9008544.269484276</v>
      </c>
      <c r="H718" s="14" t="n">
        <v>212720.0613956228</v>
      </c>
      <c r="I718" s="14" t="n">
        <v>3455.223442077637</v>
      </c>
      <c r="J718" s="14" t="n">
        <v>0</v>
      </c>
      <c r="K718" s="14" t="n">
        <v>244134.2928438674</v>
      </c>
      <c r="L718" s="14" t="n">
        <v>8548234.691802708</v>
      </c>
      <c r="M718" s="14" t="n">
        <v>0</v>
      </c>
      <c r="N718" s="14" t="n">
        <v>261297.0425087125</v>
      </c>
      <c r="O718" s="14" t="n">
        <v>460309.5776815678</v>
      </c>
      <c r="P718" s="14" t="n">
        <v>49149.56013683244</v>
      </c>
      <c r="Q718" s="14" t="n">
        <v>2771031.842283751</v>
      </c>
      <c r="R718" s="15">
        <f>IF(D718=1,"Section 1","Control")</f>
        <v/>
      </c>
      <c r="S718" s="16">
        <f>N718/10000</f>
        <v/>
      </c>
      <c r="T718" s="16">
        <f>P718/10000</f>
        <v/>
      </c>
      <c r="U718" s="15">
        <f>IF(N718&gt;=Summary!$D$3,1,0)</f>
        <v/>
      </c>
      <c r="V718" s="17">
        <f>IF(N718&gt;0,P718/N718,"")</f>
        <v/>
      </c>
      <c r="W718" s="17">
        <f>IF(O718&gt;0,H718/O718,"")</f>
        <v/>
      </c>
    </row>
    <row r="719">
      <c r="A719" s="13" t="inlineStr">
        <is>
          <t>T26_B3</t>
        </is>
      </c>
      <c r="B719" s="13" t="inlineStr">
        <is>
          <t>T26</t>
        </is>
      </c>
      <c r="C719" s="13" t="inlineStr">
        <is>
          <t>B3</t>
        </is>
      </c>
      <c r="D719" s="13" t="n">
        <v>1</v>
      </c>
      <c r="E719" s="13" t="inlineStr">
        <is>
          <t>S1</t>
        </is>
      </c>
      <c r="F719" s="13" t="n">
        <v>2023</v>
      </c>
      <c r="G719" s="14" t="n">
        <v>9008544.269484276</v>
      </c>
      <c r="H719" s="14" t="n">
        <v>211520.7333708819</v>
      </c>
      <c r="I719" s="14" t="n">
        <v>2922.882570932426</v>
      </c>
      <c r="J719" s="14" t="n">
        <v>0</v>
      </c>
      <c r="K719" s="14" t="n">
        <v>245865.9617397533</v>
      </c>
      <c r="L719" s="14" t="n">
        <v>8548234.691802708</v>
      </c>
      <c r="M719" s="14" t="n">
        <v>0</v>
      </c>
      <c r="N719" s="14" t="n">
        <v>261297.0425087125</v>
      </c>
      <c r="O719" s="14" t="n">
        <v>460309.5776815678</v>
      </c>
      <c r="P719" s="14" t="n">
        <v>50941.21077052097</v>
      </c>
      <c r="Q719" s="14" t="n">
        <v>2771031.842283751</v>
      </c>
      <c r="R719" s="15">
        <f>IF(D719=1,"Section 1","Control")</f>
        <v/>
      </c>
      <c r="S719" s="16">
        <f>N719/10000</f>
        <v/>
      </c>
      <c r="T719" s="16">
        <f>P719/10000</f>
        <v/>
      </c>
      <c r="U719" s="15">
        <f>IF(N719&gt;=Summary!$D$3,1,0)</f>
        <v/>
      </c>
      <c r="V719" s="17">
        <f>IF(N719&gt;0,P719/N719,"")</f>
        <v/>
      </c>
      <c r="W719" s="17">
        <f>IF(O719&gt;0,H719/O719,"")</f>
        <v/>
      </c>
    </row>
    <row r="720">
      <c r="A720" s="13" t="inlineStr">
        <is>
          <t>T26_B3</t>
        </is>
      </c>
      <c r="B720" s="13" t="inlineStr">
        <is>
          <t>T26</t>
        </is>
      </c>
      <c r="C720" s="13" t="inlineStr">
        <is>
          <t>B3</t>
        </is>
      </c>
      <c r="D720" s="13" t="n">
        <v>1</v>
      </c>
      <c r="E720" s="13" t="inlineStr">
        <is>
          <t>S1</t>
        </is>
      </c>
      <c r="F720" s="13" t="n">
        <v>2024</v>
      </c>
      <c r="G720" s="14" t="n">
        <v>9008544.269484278</v>
      </c>
      <c r="H720" s="14" t="n">
        <v>210531.6008817785</v>
      </c>
      <c r="I720" s="14" t="n">
        <v>2091.307591247559</v>
      </c>
      <c r="J720" s="14" t="n">
        <v>0</v>
      </c>
      <c r="K720" s="14" t="n">
        <v>247686.6692085417</v>
      </c>
      <c r="L720" s="14" t="n">
        <v>8548234.691802708</v>
      </c>
      <c r="M720" s="14" t="n">
        <v>0</v>
      </c>
      <c r="N720" s="14" t="n">
        <v>261297.0425087125</v>
      </c>
      <c r="O720" s="14" t="n">
        <v>460309.5776815678</v>
      </c>
      <c r="P720" s="14" t="n">
        <v>52818.82825260536</v>
      </c>
      <c r="Q720" s="14" t="n">
        <v>2771031.842283751</v>
      </c>
      <c r="R720" s="15">
        <f>IF(D720=1,"Section 1","Control")</f>
        <v/>
      </c>
      <c r="S720" s="16">
        <f>N720/10000</f>
        <v/>
      </c>
      <c r="T720" s="16">
        <f>P720/10000</f>
        <v/>
      </c>
      <c r="U720" s="15">
        <f>IF(N720&gt;=Summary!$D$3,1,0)</f>
        <v/>
      </c>
      <c r="V720" s="17">
        <f>IF(N720&gt;0,P720/N720,"")</f>
        <v/>
      </c>
      <c r="W720" s="17">
        <f>IF(O720&gt;0,H720/O720,"")</f>
        <v/>
      </c>
    </row>
    <row r="721">
      <c r="A721" s="13" t="inlineStr">
        <is>
          <t>T26_B3</t>
        </is>
      </c>
      <c r="B721" s="13" t="inlineStr">
        <is>
          <t>T26</t>
        </is>
      </c>
      <c r="C721" s="13" t="inlineStr">
        <is>
          <t>B3</t>
        </is>
      </c>
      <c r="D721" s="13" t="n">
        <v>1</v>
      </c>
      <c r="E721" s="13" t="inlineStr">
        <is>
          <t>S1</t>
        </is>
      </c>
      <c r="F721" s="13" t="n">
        <v>2025</v>
      </c>
      <c r="G721" s="14" t="n">
        <v>9008544.269484276</v>
      </c>
      <c r="H721" s="14" t="n">
        <v>205371.8150271546</v>
      </c>
      <c r="I721" s="14" t="n">
        <v>1366.585152300666</v>
      </c>
      <c r="J721" s="14" t="n">
        <v>0</v>
      </c>
      <c r="K721" s="14" t="n">
        <v>253571.1775021124</v>
      </c>
      <c r="L721" s="14" t="n">
        <v>8548234.691802708</v>
      </c>
      <c r="M721" s="14" t="n">
        <v>0</v>
      </c>
      <c r="N721" s="14" t="n">
        <v>261297.0425087125</v>
      </c>
      <c r="O721" s="14" t="n">
        <v>460309.5776815678</v>
      </c>
      <c r="P721" s="14" t="n">
        <v>57781.17225084491</v>
      </c>
      <c r="Q721" s="14" t="n">
        <v>2771031.842283751</v>
      </c>
      <c r="R721" s="15">
        <f>IF(D721=1,"Section 1","Control")</f>
        <v/>
      </c>
      <c r="S721" s="16">
        <f>N721/10000</f>
        <v/>
      </c>
      <c r="T721" s="16">
        <f>P721/10000</f>
        <v/>
      </c>
      <c r="U721" s="15">
        <f>IF(N721&gt;=Summary!$D$3,1,0)</f>
        <v/>
      </c>
      <c r="V721" s="17">
        <f>IF(N721&gt;0,P721/N721,"")</f>
        <v/>
      </c>
      <c r="W721" s="17">
        <f>IF(O721&gt;0,H721/O721,"")</f>
        <v/>
      </c>
    </row>
    <row r="722">
      <c r="A722" s="13" t="inlineStr">
        <is>
          <t>T26_B3</t>
        </is>
      </c>
      <c r="B722" s="13" t="inlineStr">
        <is>
          <t>T26</t>
        </is>
      </c>
      <c r="C722" s="13" t="inlineStr">
        <is>
          <t>B3</t>
        </is>
      </c>
      <c r="D722" s="13" t="n">
        <v>1</v>
      </c>
      <c r="E722" s="13" t="inlineStr">
        <is>
          <t>S1</t>
        </is>
      </c>
      <c r="F722" s="13" t="n">
        <v>2026</v>
      </c>
      <c r="G722" s="14" t="n">
        <v>9008544.269484276</v>
      </c>
      <c r="H722" s="14" t="n">
        <v>202578.2303669948</v>
      </c>
      <c r="I722" s="14" t="n">
        <v>1826.897541809082</v>
      </c>
      <c r="J722" s="14" t="n">
        <v>0</v>
      </c>
      <c r="K722" s="14" t="n">
        <v>255904.4497727639</v>
      </c>
      <c r="L722" s="14" t="n">
        <v>8548234.691802708</v>
      </c>
      <c r="M722" s="14" t="n">
        <v>0</v>
      </c>
      <c r="N722" s="14" t="n">
        <v>261297.0425087125</v>
      </c>
      <c r="O722" s="14" t="n">
        <v>460309.5776815678</v>
      </c>
      <c r="P722" s="14" t="n">
        <v>60295.62969659543</v>
      </c>
      <c r="Q722" s="14" t="n">
        <v>2771031.842283751</v>
      </c>
      <c r="R722" s="15">
        <f>IF(D722=1,"Section 1","Control")</f>
        <v/>
      </c>
      <c r="S722" s="16">
        <f>N722/10000</f>
        <v/>
      </c>
      <c r="T722" s="16">
        <f>P722/10000</f>
        <v/>
      </c>
      <c r="U722" s="15">
        <f>IF(N722&gt;=Summary!$D$3,1,0)</f>
        <v/>
      </c>
      <c r="V722" s="17">
        <f>IF(N722&gt;0,P722/N722,"")</f>
        <v/>
      </c>
      <c r="W722" s="17">
        <f>IF(O722&gt;0,H722/O722,"")</f>
        <v/>
      </c>
    </row>
    <row r="723">
      <c r="A723" s="13" t="inlineStr">
        <is>
          <t>T26_F</t>
        </is>
      </c>
      <c r="B723" s="13" t="inlineStr">
        <is>
          <t>T26</t>
        </is>
      </c>
      <c r="C723" s="13" t="inlineStr">
        <is>
          <t>F</t>
        </is>
      </c>
      <c r="D723" s="13" t="n">
        <v>1</v>
      </c>
      <c r="E723" s="13" t="inlineStr">
        <is>
          <t>S1</t>
        </is>
      </c>
      <c r="F723" s="13" t="n">
        <v>2020</v>
      </c>
      <c r="G723" s="14" t="n">
        <v>87995.74394884295</v>
      </c>
      <c r="H723" s="14" t="n">
        <v>67975.51248142018</v>
      </c>
      <c r="I723" s="14" t="n">
        <v>15064.34289437088</v>
      </c>
      <c r="J723" s="14" t="n">
        <v>0</v>
      </c>
      <c r="K723" s="14" t="n">
        <v>4955.888573051901</v>
      </c>
      <c r="L723" s="14" t="n">
        <v>0</v>
      </c>
      <c r="M723" s="14" t="n">
        <v>0</v>
      </c>
      <c r="N723" s="14" t="n">
        <v>67975.51248142018</v>
      </c>
      <c r="O723" s="14" t="n">
        <v>87995.74394884295</v>
      </c>
      <c r="P723" s="14" t="n">
        <v>0</v>
      </c>
      <c r="Q723" s="14" t="n">
        <v>1047837.665513701</v>
      </c>
      <c r="R723" s="15">
        <f>IF(D723=1,"Section 1","Control")</f>
        <v/>
      </c>
      <c r="S723" s="16">
        <f>N723/10000</f>
        <v/>
      </c>
      <c r="T723" s="16">
        <f>P723/10000</f>
        <v/>
      </c>
      <c r="U723" s="15">
        <f>IF(N723&gt;=Summary!$D$3,1,0)</f>
        <v/>
      </c>
      <c r="V723" s="17">
        <f>IF(N723&gt;0,P723/N723,"")</f>
        <v/>
      </c>
      <c r="W723" s="17">
        <f>IF(O723&gt;0,H723/O723,"")</f>
        <v/>
      </c>
    </row>
    <row r="724">
      <c r="A724" s="13" t="inlineStr">
        <is>
          <t>T26_F</t>
        </is>
      </c>
      <c r="B724" s="13" t="inlineStr">
        <is>
          <t>T26</t>
        </is>
      </c>
      <c r="C724" s="13" t="inlineStr">
        <is>
          <t>F</t>
        </is>
      </c>
      <c r="D724" s="13" t="n">
        <v>1</v>
      </c>
      <c r="E724" s="13" t="inlineStr">
        <is>
          <t>S1</t>
        </is>
      </c>
      <c r="F724" s="13" t="n">
        <v>2021</v>
      </c>
      <c r="G724" s="14" t="n">
        <v>87995.74394884295</v>
      </c>
      <c r="H724" s="14" t="n">
        <v>45798.11921440573</v>
      </c>
      <c r="I724" s="14" t="n">
        <v>23448.0288088331</v>
      </c>
      <c r="J724" s="14" t="n">
        <v>0</v>
      </c>
      <c r="K724" s="14" t="n">
        <v>18749.59592560413</v>
      </c>
      <c r="L724" s="14" t="n">
        <v>0</v>
      </c>
      <c r="M724" s="14" t="n">
        <v>0</v>
      </c>
      <c r="N724" s="14" t="n">
        <v>67975.51248142018</v>
      </c>
      <c r="O724" s="14" t="n">
        <v>87995.74394884295</v>
      </c>
      <c r="P724" s="14" t="n">
        <v>24520.02996033313</v>
      </c>
      <c r="Q724" s="14" t="n">
        <v>1047837.665513701</v>
      </c>
      <c r="R724" s="15">
        <f>IF(D724=1,"Section 1","Control")</f>
        <v/>
      </c>
      <c r="S724" s="16">
        <f>N724/10000</f>
        <v/>
      </c>
      <c r="T724" s="16">
        <f>P724/10000</f>
        <v/>
      </c>
      <c r="U724" s="15">
        <f>IF(N724&gt;=Summary!$D$3,1,0)</f>
        <v/>
      </c>
      <c r="V724" s="17">
        <f>IF(N724&gt;0,P724/N724,"")</f>
        <v/>
      </c>
      <c r="W724" s="17">
        <f>IF(O724&gt;0,H724/O724,"")</f>
        <v/>
      </c>
    </row>
    <row r="725">
      <c r="A725" s="13" t="inlineStr">
        <is>
          <t>T26_F</t>
        </is>
      </c>
      <c r="B725" s="13" t="inlineStr">
        <is>
          <t>T26</t>
        </is>
      </c>
      <c r="C725" s="13" t="inlineStr">
        <is>
          <t>F</t>
        </is>
      </c>
      <c r="D725" s="13" t="n">
        <v>1</v>
      </c>
      <c r="E725" s="13" t="inlineStr">
        <is>
          <t>S1</t>
        </is>
      </c>
      <c r="F725" s="13" t="n">
        <v>2022</v>
      </c>
      <c r="G725" s="14" t="n">
        <v>87995.74394884295</v>
      </c>
      <c r="H725" s="14" t="n">
        <v>17346.96803403368</v>
      </c>
      <c r="I725" s="14" t="n">
        <v>57961.53313580681</v>
      </c>
      <c r="J725" s="14" t="n">
        <v>0</v>
      </c>
      <c r="K725" s="14" t="n">
        <v>12687.24277900247</v>
      </c>
      <c r="L725" s="14" t="n">
        <v>0</v>
      </c>
      <c r="M725" s="14" t="n">
        <v>0</v>
      </c>
      <c r="N725" s="14" t="n">
        <v>67975.51248142018</v>
      </c>
      <c r="O725" s="14" t="n">
        <v>87995.74394884295</v>
      </c>
      <c r="P725" s="14" t="n">
        <v>52623.90842461681</v>
      </c>
      <c r="Q725" s="14" t="n">
        <v>1047837.665513701</v>
      </c>
      <c r="R725" s="15">
        <f>IF(D725=1,"Section 1","Control")</f>
        <v/>
      </c>
      <c r="S725" s="16">
        <f>N725/10000</f>
        <v/>
      </c>
      <c r="T725" s="16">
        <f>P725/10000</f>
        <v/>
      </c>
      <c r="U725" s="15">
        <f>IF(N725&gt;=Summary!$D$3,1,0)</f>
        <v/>
      </c>
      <c r="V725" s="17">
        <f>IF(N725&gt;0,P725/N725,"")</f>
        <v/>
      </c>
      <c r="W725" s="17">
        <f>IF(O725&gt;0,H725/O725,"")</f>
        <v/>
      </c>
    </row>
    <row r="726">
      <c r="A726" s="13" t="inlineStr">
        <is>
          <t>T26_F</t>
        </is>
      </c>
      <c r="B726" s="13" t="inlineStr">
        <is>
          <t>T26</t>
        </is>
      </c>
      <c r="C726" s="13" t="inlineStr">
        <is>
          <t>F</t>
        </is>
      </c>
      <c r="D726" s="13" t="n">
        <v>1</v>
      </c>
      <c r="E726" s="13" t="inlineStr">
        <is>
          <t>S1</t>
        </is>
      </c>
      <c r="F726" s="13" t="n">
        <v>2023</v>
      </c>
      <c r="G726" s="14" t="n">
        <v>87995.74394884295</v>
      </c>
      <c r="H726" s="14" t="n">
        <v>10423.97336946375</v>
      </c>
      <c r="I726" s="14" t="n">
        <v>64788.51489233878</v>
      </c>
      <c r="J726" s="14" t="n">
        <v>0</v>
      </c>
      <c r="K726" s="14" t="n">
        <v>12783.25568704044</v>
      </c>
      <c r="L726" s="14" t="n">
        <v>0</v>
      </c>
      <c r="M726" s="14" t="n">
        <v>0</v>
      </c>
      <c r="N726" s="14" t="n">
        <v>67975.51248142018</v>
      </c>
      <c r="O726" s="14" t="n">
        <v>87995.74394884295</v>
      </c>
      <c r="P726" s="14" t="n">
        <v>58379.64999030619</v>
      </c>
      <c r="Q726" s="14" t="n">
        <v>1047837.665513701</v>
      </c>
      <c r="R726" s="15">
        <f>IF(D726=1,"Section 1","Control")</f>
        <v/>
      </c>
      <c r="S726" s="16">
        <f>N726/10000</f>
        <v/>
      </c>
      <c r="T726" s="16">
        <f>P726/10000</f>
        <v/>
      </c>
      <c r="U726" s="15">
        <f>IF(N726&gt;=Summary!$D$3,1,0)</f>
        <v/>
      </c>
      <c r="V726" s="17">
        <f>IF(N726&gt;0,P726/N726,"")</f>
        <v/>
      </c>
      <c r="W726" s="17">
        <f>IF(O726&gt;0,H726/O726,"")</f>
        <v/>
      </c>
    </row>
    <row r="727">
      <c r="A727" s="13" t="inlineStr">
        <is>
          <t>T26_F</t>
        </is>
      </c>
      <c r="B727" s="13" t="inlineStr">
        <is>
          <t>T26</t>
        </is>
      </c>
      <c r="C727" s="13" t="inlineStr">
        <is>
          <t>F</t>
        </is>
      </c>
      <c r="D727" s="13" t="n">
        <v>1</v>
      </c>
      <c r="E727" s="13" t="inlineStr">
        <is>
          <t>S1</t>
        </is>
      </c>
      <c r="F727" s="13" t="n">
        <v>2024</v>
      </c>
      <c r="G727" s="14" t="n">
        <v>87995.74394884295</v>
      </c>
      <c r="H727" s="14" t="n">
        <v>27796.09684597838</v>
      </c>
      <c r="I727" s="14" t="n">
        <v>36272.32478975783</v>
      </c>
      <c r="J727" s="14" t="n">
        <v>0</v>
      </c>
      <c r="K727" s="14" t="n">
        <v>23927.32231310676</v>
      </c>
      <c r="L727" s="14" t="n">
        <v>0</v>
      </c>
      <c r="M727" s="14" t="n">
        <v>0</v>
      </c>
      <c r="N727" s="14" t="n">
        <v>67975.51248142018</v>
      </c>
      <c r="O727" s="14" t="n">
        <v>87995.74394884295</v>
      </c>
      <c r="P727" s="14" t="n">
        <v>43567.35358808929</v>
      </c>
      <c r="Q727" s="14" t="n">
        <v>1047837.665513701</v>
      </c>
      <c r="R727" s="15">
        <f>IF(D727=1,"Section 1","Control")</f>
        <v/>
      </c>
      <c r="S727" s="16">
        <f>N727/10000</f>
        <v/>
      </c>
      <c r="T727" s="16">
        <f>P727/10000</f>
        <v/>
      </c>
      <c r="U727" s="15">
        <f>IF(N727&gt;=Summary!$D$3,1,0)</f>
        <v/>
      </c>
      <c r="V727" s="17">
        <f>IF(N727&gt;0,P727/N727,"")</f>
        <v/>
      </c>
      <c r="W727" s="17">
        <f>IF(O727&gt;0,H727/O727,"")</f>
        <v/>
      </c>
    </row>
    <row r="728">
      <c r="A728" s="13" t="inlineStr">
        <is>
          <t>T26_F</t>
        </is>
      </c>
      <c r="B728" s="13" t="inlineStr">
        <is>
          <t>T26</t>
        </is>
      </c>
      <c r="C728" s="13" t="inlineStr">
        <is>
          <t>F</t>
        </is>
      </c>
      <c r="D728" s="13" t="n">
        <v>1</v>
      </c>
      <c r="E728" s="13" t="inlineStr">
        <is>
          <t>S1</t>
        </is>
      </c>
      <c r="F728" s="13" t="n">
        <v>2025</v>
      </c>
      <c r="G728" s="14" t="n">
        <v>87995.74394884295</v>
      </c>
      <c r="H728" s="14" t="n">
        <v>384.0513146493949</v>
      </c>
      <c r="I728" s="14" t="n">
        <v>49959.1817156025</v>
      </c>
      <c r="J728" s="14" t="n">
        <v>0</v>
      </c>
      <c r="K728" s="14" t="n">
        <v>37652.51091859107</v>
      </c>
      <c r="L728" s="14" t="n">
        <v>0</v>
      </c>
      <c r="M728" s="14" t="n">
        <v>0</v>
      </c>
      <c r="N728" s="14" t="n">
        <v>67975.51248142018</v>
      </c>
      <c r="O728" s="14" t="n">
        <v>87995.74394884295</v>
      </c>
      <c r="P728" s="14" t="n">
        <v>67591.46116677079</v>
      </c>
      <c r="Q728" s="14" t="n">
        <v>1047837.665513701</v>
      </c>
      <c r="R728" s="15">
        <f>IF(D728=1,"Section 1","Control")</f>
        <v/>
      </c>
      <c r="S728" s="16">
        <f>N728/10000</f>
        <v/>
      </c>
      <c r="T728" s="16">
        <f>P728/10000</f>
        <v/>
      </c>
      <c r="U728" s="15">
        <f>IF(N728&gt;=Summary!$D$3,1,0)</f>
        <v/>
      </c>
      <c r="V728" s="17">
        <f>IF(N728&gt;0,P728/N728,"")</f>
        <v/>
      </c>
      <c r="W728" s="17">
        <f>IF(O728&gt;0,H728/O728,"")</f>
        <v/>
      </c>
    </row>
    <row r="729">
      <c r="A729" s="13" t="inlineStr">
        <is>
          <t>T26_F</t>
        </is>
      </c>
      <c r="B729" s="13" t="inlineStr">
        <is>
          <t>T26</t>
        </is>
      </c>
      <c r="C729" s="13" t="inlineStr">
        <is>
          <t>F</t>
        </is>
      </c>
      <c r="D729" s="13" t="n">
        <v>1</v>
      </c>
      <c r="E729" s="13" t="inlineStr">
        <is>
          <t>S1</t>
        </is>
      </c>
      <c r="F729" s="13" t="n">
        <v>2026</v>
      </c>
      <c r="G729" s="14" t="n">
        <v>87995.74394884295</v>
      </c>
      <c r="H729" s="14" t="n">
        <v>1009.681801859538</v>
      </c>
      <c r="I729" s="14" t="n">
        <v>37239.42496062634</v>
      </c>
      <c r="J729" s="14" t="n">
        <v>0</v>
      </c>
      <c r="K729" s="14" t="n">
        <v>49746.63718635709</v>
      </c>
      <c r="L729" s="14" t="n">
        <v>0</v>
      </c>
      <c r="M729" s="14" t="n">
        <v>0</v>
      </c>
      <c r="N729" s="14" t="n">
        <v>67975.51248142018</v>
      </c>
      <c r="O729" s="14" t="n">
        <v>87995.74394884295</v>
      </c>
      <c r="P729" s="14" t="n">
        <v>66965.83067956065</v>
      </c>
      <c r="Q729" s="14" t="n">
        <v>1047837.665513701</v>
      </c>
      <c r="R729" s="15">
        <f>IF(D729=1,"Section 1","Control")</f>
        <v/>
      </c>
      <c r="S729" s="16">
        <f>N729/10000</f>
        <v/>
      </c>
      <c r="T729" s="16">
        <f>P729/10000</f>
        <v/>
      </c>
      <c r="U729" s="15">
        <f>IF(N729&gt;=Summary!$D$3,1,0)</f>
        <v/>
      </c>
      <c r="V729" s="17">
        <f>IF(N729&gt;0,P729/N729,"")</f>
        <v/>
      </c>
      <c r="W729" s="17">
        <f>IF(O729&gt;0,H729/O729,"")</f>
        <v/>
      </c>
    </row>
    <row r="730">
      <c r="A730" s="13" t="inlineStr">
        <is>
          <t>T27_B1</t>
        </is>
      </c>
      <c r="B730" s="13" t="inlineStr">
        <is>
          <t>T27</t>
        </is>
      </c>
      <c r="C730" s="13" t="inlineStr">
        <is>
          <t>B1</t>
        </is>
      </c>
      <c r="D730" s="13" t="n">
        <v>1</v>
      </c>
      <c r="E730" s="13" t="inlineStr">
        <is>
          <t>S1</t>
        </is>
      </c>
      <c r="F730" s="13" t="n">
        <v>2020</v>
      </c>
      <c r="G730" s="14" t="n">
        <v>1013544.582873475</v>
      </c>
      <c r="H730" s="14" t="n">
        <v>629573.3534909714</v>
      </c>
      <c r="I730" s="14" t="n">
        <v>63918.08565126307</v>
      </c>
      <c r="J730" s="14" t="n">
        <v>39887.66576226926</v>
      </c>
      <c r="K730" s="14" t="n">
        <v>9161.892599337709</v>
      </c>
      <c r="L730" s="14" t="n">
        <v>271003.5853696337</v>
      </c>
      <c r="M730" s="14" t="n">
        <v>0</v>
      </c>
      <c r="N730" s="14" t="n">
        <v>629573.3534909714</v>
      </c>
      <c r="O730" s="14" t="n">
        <v>742540.9975038414</v>
      </c>
      <c r="P730" s="14" t="n">
        <v>0</v>
      </c>
      <c r="Q730" s="14" t="n">
        <v>7994000.275429549</v>
      </c>
      <c r="R730" s="15">
        <f>IF(D730=1,"Section 1","Control")</f>
        <v/>
      </c>
      <c r="S730" s="16">
        <f>N730/10000</f>
        <v/>
      </c>
      <c r="T730" s="16">
        <f>P730/10000</f>
        <v/>
      </c>
      <c r="U730" s="15">
        <f>IF(N730&gt;=Summary!$D$3,1,0)</f>
        <v/>
      </c>
      <c r="V730" s="17">
        <f>IF(N730&gt;0,P730/N730,"")</f>
        <v/>
      </c>
      <c r="W730" s="17">
        <f>IF(O730&gt;0,H730/O730,"")</f>
        <v/>
      </c>
    </row>
    <row r="731">
      <c r="A731" s="13" t="inlineStr">
        <is>
          <t>T27_B1</t>
        </is>
      </c>
      <c r="B731" s="13" t="inlineStr">
        <is>
          <t>T27</t>
        </is>
      </c>
      <c r="C731" s="13" t="inlineStr">
        <is>
          <t>B1</t>
        </is>
      </c>
      <c r="D731" s="13" t="n">
        <v>1</v>
      </c>
      <c r="E731" s="13" t="inlineStr">
        <is>
          <t>S1</t>
        </is>
      </c>
      <c r="F731" s="13" t="n">
        <v>2021</v>
      </c>
      <c r="G731" s="14" t="n">
        <v>1013544.582873475</v>
      </c>
      <c r="H731" s="14" t="n">
        <v>597728.0393792543</v>
      </c>
      <c r="I731" s="14" t="n">
        <v>82043.62503312055</v>
      </c>
      <c r="J731" s="14" t="n">
        <v>39436.6363786286</v>
      </c>
      <c r="K731" s="14" t="n">
        <v>22311.39385124655</v>
      </c>
      <c r="L731" s="14" t="n">
        <v>272024.8882312251</v>
      </c>
      <c r="M731" s="14" t="n">
        <v>0</v>
      </c>
      <c r="N731" s="14" t="n">
        <v>629573.3534909714</v>
      </c>
      <c r="O731" s="14" t="n">
        <v>742540.9975038414</v>
      </c>
      <c r="P731" s="14" t="n">
        <v>33629.28141542322</v>
      </c>
      <c r="Q731" s="14" t="n">
        <v>7994000.275429549</v>
      </c>
      <c r="R731" s="15">
        <f>IF(D731=1,"Section 1","Control")</f>
        <v/>
      </c>
      <c r="S731" s="16">
        <f>N731/10000</f>
        <v/>
      </c>
      <c r="T731" s="16">
        <f>P731/10000</f>
        <v/>
      </c>
      <c r="U731" s="15">
        <f>IF(N731&gt;=Summary!$D$3,1,0)</f>
        <v/>
      </c>
      <c r="V731" s="17">
        <f>IF(N731&gt;0,P731/N731,"")</f>
        <v/>
      </c>
      <c r="W731" s="17">
        <f>IF(O731&gt;0,H731/O731,"")</f>
        <v/>
      </c>
    </row>
    <row r="732">
      <c r="A732" s="13" t="inlineStr">
        <is>
          <t>T27_B1</t>
        </is>
      </c>
      <c r="B732" s="13" t="inlineStr">
        <is>
          <t>T27</t>
        </is>
      </c>
      <c r="C732" s="13" t="inlineStr">
        <is>
          <t>B1</t>
        </is>
      </c>
      <c r="D732" s="13" t="n">
        <v>1</v>
      </c>
      <c r="E732" s="13" t="inlineStr">
        <is>
          <t>S1</t>
        </is>
      </c>
      <c r="F732" s="13" t="n">
        <v>2022</v>
      </c>
      <c r="G732" s="14" t="n">
        <v>1013544.582873475</v>
      </c>
      <c r="H732" s="14" t="n">
        <v>492522.2568960451</v>
      </c>
      <c r="I732" s="14" t="n">
        <v>162705.7142727721</v>
      </c>
      <c r="J732" s="14" t="n">
        <v>40578.72817071653</v>
      </c>
      <c r="K732" s="14" t="n">
        <v>47129.19196313596</v>
      </c>
      <c r="L732" s="14" t="n">
        <v>270608.6915708056</v>
      </c>
      <c r="M732" s="14" t="n">
        <v>0</v>
      </c>
      <c r="N732" s="14" t="n">
        <v>629573.3534909714</v>
      </c>
      <c r="O732" s="14" t="n">
        <v>742540.9975038414</v>
      </c>
      <c r="P732" s="14" t="n">
        <v>138835.0634256101</v>
      </c>
      <c r="Q732" s="14" t="n">
        <v>7994000.275429549</v>
      </c>
      <c r="R732" s="15">
        <f>IF(D732=1,"Section 1","Control")</f>
        <v/>
      </c>
      <c r="S732" s="16">
        <f>N732/10000</f>
        <v/>
      </c>
      <c r="T732" s="16">
        <f>P732/10000</f>
        <v/>
      </c>
      <c r="U732" s="15">
        <f>IF(N732&gt;=Summary!$D$3,1,0)</f>
        <v/>
      </c>
      <c r="V732" s="17">
        <f>IF(N732&gt;0,P732/N732,"")</f>
        <v/>
      </c>
      <c r="W732" s="17">
        <f>IF(O732&gt;0,H732/O732,"")</f>
        <v/>
      </c>
    </row>
    <row r="733">
      <c r="A733" s="13" t="inlineStr">
        <is>
          <t>T27_B1</t>
        </is>
      </c>
      <c r="B733" s="13" t="inlineStr">
        <is>
          <t>T27</t>
        </is>
      </c>
      <c r="C733" s="13" t="inlineStr">
        <is>
          <t>B1</t>
        </is>
      </c>
      <c r="D733" s="13" t="n">
        <v>1</v>
      </c>
      <c r="E733" s="13" t="inlineStr">
        <is>
          <t>S1</t>
        </is>
      </c>
      <c r="F733" s="13" t="n">
        <v>2023</v>
      </c>
      <c r="G733" s="14" t="n">
        <v>1013544.582873475</v>
      </c>
      <c r="H733" s="14" t="n">
        <v>489641.1030316819</v>
      </c>
      <c r="I733" s="14" t="n">
        <v>135981.919245402</v>
      </c>
      <c r="J733" s="14" t="n">
        <v>40578.72817071653</v>
      </c>
      <c r="K733" s="14" t="n">
        <v>62488.5569156123</v>
      </c>
      <c r="L733" s="14" t="n">
        <v>284854.2755100624</v>
      </c>
      <c r="M733" s="14" t="n">
        <v>0</v>
      </c>
      <c r="N733" s="14" t="n">
        <v>629573.3534909713</v>
      </c>
      <c r="O733" s="14" t="n">
        <v>742540.9975038414</v>
      </c>
      <c r="P733" s="14" t="n">
        <v>141617.4945269117</v>
      </c>
      <c r="Q733" s="14" t="n">
        <v>7994000.275429549</v>
      </c>
      <c r="R733" s="15">
        <f>IF(D733=1,"Section 1","Control")</f>
        <v/>
      </c>
      <c r="S733" s="16">
        <f>N733/10000</f>
        <v/>
      </c>
      <c r="T733" s="16">
        <f>P733/10000</f>
        <v/>
      </c>
      <c r="U733" s="15">
        <f>IF(N733&gt;=Summary!$D$3,1,0)</f>
        <v/>
      </c>
      <c r="V733" s="17">
        <f>IF(N733&gt;0,P733/N733,"")</f>
        <v/>
      </c>
      <c r="W733" s="17">
        <f>IF(O733&gt;0,H733/O733,"")</f>
        <v/>
      </c>
    </row>
    <row r="734">
      <c r="A734" s="13" t="inlineStr">
        <is>
          <t>T27_B1</t>
        </is>
      </c>
      <c r="B734" s="13" t="inlineStr">
        <is>
          <t>T27</t>
        </is>
      </c>
      <c r="C734" s="13" t="inlineStr">
        <is>
          <t>B1</t>
        </is>
      </c>
      <c r="D734" s="13" t="n">
        <v>1</v>
      </c>
      <c r="E734" s="13" t="inlineStr">
        <is>
          <t>S1</t>
        </is>
      </c>
      <c r="F734" s="13" t="n">
        <v>2024</v>
      </c>
      <c r="G734" s="14" t="n">
        <v>1013544.582873475</v>
      </c>
      <c r="H734" s="14" t="n">
        <v>445878.2225120695</v>
      </c>
      <c r="I734" s="14" t="n">
        <v>196737.6096628825</v>
      </c>
      <c r="J734" s="14" t="n">
        <v>40578.72817071653</v>
      </c>
      <c r="K734" s="14" t="n">
        <v>49665.3551926856</v>
      </c>
      <c r="L734" s="14" t="n">
        <v>280684.6673351213</v>
      </c>
      <c r="M734" s="14" t="n">
        <v>0</v>
      </c>
      <c r="N734" s="14" t="n">
        <v>629573.3534909714</v>
      </c>
      <c r="O734" s="14" t="n">
        <v>742540.9975038414</v>
      </c>
      <c r="P734" s="14" t="n">
        <v>185269.2636575437</v>
      </c>
      <c r="Q734" s="14" t="n">
        <v>7994000.275429549</v>
      </c>
      <c r="R734" s="15">
        <f>IF(D734=1,"Section 1","Control")</f>
        <v/>
      </c>
      <c r="S734" s="16">
        <f>N734/10000</f>
        <v/>
      </c>
      <c r="T734" s="16">
        <f>P734/10000</f>
        <v/>
      </c>
      <c r="U734" s="15">
        <f>IF(N734&gt;=Summary!$D$3,1,0)</f>
        <v/>
      </c>
      <c r="V734" s="17">
        <f>IF(N734&gt;0,P734/N734,"")</f>
        <v/>
      </c>
      <c r="W734" s="17">
        <f>IF(O734&gt;0,H734/O734,"")</f>
        <v/>
      </c>
    </row>
    <row r="735">
      <c r="A735" s="13" t="inlineStr">
        <is>
          <t>T27_B1</t>
        </is>
      </c>
      <c r="B735" s="13" t="inlineStr">
        <is>
          <t>T27</t>
        </is>
      </c>
      <c r="C735" s="13" t="inlineStr">
        <is>
          <t>B1</t>
        </is>
      </c>
      <c r="D735" s="13" t="n">
        <v>1</v>
      </c>
      <c r="E735" s="13" t="inlineStr">
        <is>
          <t>S1</t>
        </is>
      </c>
      <c r="F735" s="13" t="n">
        <v>2025</v>
      </c>
      <c r="G735" s="14" t="n">
        <v>1013544.582873475</v>
      </c>
      <c r="H735" s="14" t="n">
        <v>434121.3087013993</v>
      </c>
      <c r="I735" s="14" t="n">
        <v>218262.6542522056</v>
      </c>
      <c r="J735" s="14" t="n">
        <v>40578.72817071653</v>
      </c>
      <c r="K735" s="14" t="n">
        <v>39972.71904518277</v>
      </c>
      <c r="L735" s="14" t="n">
        <v>280609.1727039711</v>
      </c>
      <c r="M735" s="14" t="n">
        <v>0</v>
      </c>
      <c r="N735" s="14" t="n">
        <v>629573.3534909714</v>
      </c>
      <c r="O735" s="14" t="n">
        <v>742540.9975038414</v>
      </c>
      <c r="P735" s="14" t="n">
        <v>196841.1206443039</v>
      </c>
      <c r="Q735" s="14" t="n">
        <v>7994000.275429549</v>
      </c>
      <c r="R735" s="15">
        <f>IF(D735=1,"Section 1","Control")</f>
        <v/>
      </c>
      <c r="S735" s="16">
        <f>N735/10000</f>
        <v/>
      </c>
      <c r="T735" s="16">
        <f>P735/10000</f>
        <v/>
      </c>
      <c r="U735" s="15">
        <f>IF(N735&gt;=Summary!$D$3,1,0)</f>
        <v/>
      </c>
      <c r="V735" s="17">
        <f>IF(N735&gt;0,P735/N735,"")</f>
        <v/>
      </c>
      <c r="W735" s="17">
        <f>IF(O735&gt;0,H735/O735,"")</f>
        <v/>
      </c>
    </row>
    <row r="736">
      <c r="A736" s="13" t="inlineStr">
        <is>
          <t>T27_B1</t>
        </is>
      </c>
      <c r="B736" s="13" t="inlineStr">
        <is>
          <t>T27</t>
        </is>
      </c>
      <c r="C736" s="13" t="inlineStr">
        <is>
          <t>B1</t>
        </is>
      </c>
      <c r="D736" s="13" t="n">
        <v>1</v>
      </c>
      <c r="E736" s="13" t="inlineStr">
        <is>
          <t>S1</t>
        </is>
      </c>
      <c r="F736" s="13" t="n">
        <v>2026</v>
      </c>
      <c r="G736" s="14" t="n">
        <v>1013544.582873475</v>
      </c>
      <c r="H736" s="14" t="n">
        <v>451081.1108224906</v>
      </c>
      <c r="I736" s="14" t="n">
        <v>159606.1834351484</v>
      </c>
      <c r="J736" s="14" t="n">
        <v>40578.72817071653</v>
      </c>
      <c r="K736" s="14" t="n">
        <v>84036.81286612117</v>
      </c>
      <c r="L736" s="14" t="n">
        <v>278241.7475789986</v>
      </c>
      <c r="M736" s="14" t="n">
        <v>0</v>
      </c>
      <c r="N736" s="14" t="n">
        <v>629573.3534909714</v>
      </c>
      <c r="O736" s="14" t="n">
        <v>742540.9975038414</v>
      </c>
      <c r="P736" s="14" t="n">
        <v>179881.3185232125</v>
      </c>
      <c r="Q736" s="14" t="n">
        <v>7994000.275429549</v>
      </c>
      <c r="R736" s="15">
        <f>IF(D736=1,"Section 1","Control")</f>
        <v/>
      </c>
      <c r="S736" s="16">
        <f>N736/10000</f>
        <v/>
      </c>
      <c r="T736" s="16">
        <f>P736/10000</f>
        <v/>
      </c>
      <c r="U736" s="15">
        <f>IF(N736&gt;=Summary!$D$3,1,0)</f>
        <v/>
      </c>
      <c r="V736" s="17">
        <f>IF(N736&gt;0,P736/N736,"")</f>
        <v/>
      </c>
      <c r="W736" s="17">
        <f>IF(O736&gt;0,H736/O736,"")</f>
        <v/>
      </c>
    </row>
    <row r="737">
      <c r="A737" s="13" t="inlineStr">
        <is>
          <t>T27_B2</t>
        </is>
      </c>
      <c r="B737" s="13" t="inlineStr">
        <is>
          <t>T27</t>
        </is>
      </c>
      <c r="C737" s="13" t="inlineStr">
        <is>
          <t>B2</t>
        </is>
      </c>
      <c r="D737" s="13" t="n">
        <v>1</v>
      </c>
      <c r="E737" s="13" t="inlineStr">
        <is>
          <t>S1</t>
        </is>
      </c>
      <c r="F737" s="13" t="n">
        <v>2020</v>
      </c>
      <c r="G737" s="14" t="n">
        <v>1013678.179484857</v>
      </c>
      <c r="H737" s="14" t="n">
        <v>470258.7295374253</v>
      </c>
      <c r="I737" s="14" t="n">
        <v>4212.901485188802</v>
      </c>
      <c r="J737" s="14" t="n">
        <v>0</v>
      </c>
      <c r="K737" s="14" t="n">
        <v>14381.9607696234</v>
      </c>
      <c r="L737" s="14" t="n">
        <v>524824.5876926198</v>
      </c>
      <c r="M737" s="14" t="n">
        <v>0</v>
      </c>
      <c r="N737" s="14" t="n">
        <v>470258.7295374253</v>
      </c>
      <c r="O737" s="14" t="n">
        <v>488853.5917922376</v>
      </c>
      <c r="P737" s="14" t="n">
        <v>0</v>
      </c>
      <c r="Q737" s="14" t="n">
        <v>5564482.308576817</v>
      </c>
      <c r="R737" s="15">
        <f>IF(D737=1,"Section 1","Control")</f>
        <v/>
      </c>
      <c r="S737" s="16">
        <f>N737/10000</f>
        <v/>
      </c>
      <c r="T737" s="16">
        <f>P737/10000</f>
        <v/>
      </c>
      <c r="U737" s="15">
        <f>IF(N737&gt;=Summary!$D$3,1,0)</f>
        <v/>
      </c>
      <c r="V737" s="17">
        <f>IF(N737&gt;0,P737/N737,"")</f>
        <v/>
      </c>
      <c r="W737" s="17">
        <f>IF(O737&gt;0,H737/O737,"")</f>
        <v/>
      </c>
    </row>
    <row r="738">
      <c r="A738" s="13" t="inlineStr">
        <is>
          <t>T27_B2</t>
        </is>
      </c>
      <c r="B738" s="13" t="inlineStr">
        <is>
          <t>T27</t>
        </is>
      </c>
      <c r="C738" s="13" t="inlineStr">
        <is>
          <t>B2</t>
        </is>
      </c>
      <c r="D738" s="13" t="n">
        <v>1</v>
      </c>
      <c r="E738" s="13" t="inlineStr">
        <is>
          <t>S1</t>
        </is>
      </c>
      <c r="F738" s="13" t="n">
        <v>2021</v>
      </c>
      <c r="G738" s="14" t="n">
        <v>1013678.179484857</v>
      </c>
      <c r="H738" s="14" t="n">
        <v>466965.3329622755</v>
      </c>
      <c r="I738" s="14" t="n">
        <v>37.55280465518727</v>
      </c>
      <c r="J738" s="14" t="n">
        <v>0</v>
      </c>
      <c r="K738" s="14" t="n">
        <v>21850.70602530685</v>
      </c>
      <c r="L738" s="14" t="n">
        <v>524824.5876926197</v>
      </c>
      <c r="M738" s="14" t="n">
        <v>0</v>
      </c>
      <c r="N738" s="14" t="n">
        <v>470258.7295374253</v>
      </c>
      <c r="O738" s="14" t="n">
        <v>488853.5917922376</v>
      </c>
      <c r="P738" s="14" t="n">
        <v>7506.298060338638</v>
      </c>
      <c r="Q738" s="14" t="n">
        <v>5564482.308576817</v>
      </c>
      <c r="R738" s="15">
        <f>IF(D738=1,"Section 1","Control")</f>
        <v/>
      </c>
      <c r="S738" s="16">
        <f>N738/10000</f>
        <v/>
      </c>
      <c r="T738" s="16">
        <f>P738/10000</f>
        <v/>
      </c>
      <c r="U738" s="15">
        <f>IF(N738&gt;=Summary!$D$3,1,0)</f>
        <v/>
      </c>
      <c r="V738" s="17">
        <f>IF(N738&gt;0,P738/N738,"")</f>
        <v/>
      </c>
      <c r="W738" s="17">
        <f>IF(O738&gt;0,H738/O738,"")</f>
        <v/>
      </c>
    </row>
    <row r="739">
      <c r="A739" s="13" t="inlineStr">
        <is>
          <t>T27_B2</t>
        </is>
      </c>
      <c r="B739" s="13" t="inlineStr">
        <is>
          <t>T27</t>
        </is>
      </c>
      <c r="C739" s="13" t="inlineStr">
        <is>
          <t>B2</t>
        </is>
      </c>
      <c r="D739" s="13" t="n">
        <v>1</v>
      </c>
      <c r="E739" s="13" t="inlineStr">
        <is>
          <t>S1</t>
        </is>
      </c>
      <c r="F739" s="13" t="n">
        <v>2022</v>
      </c>
      <c r="G739" s="14" t="n">
        <v>1013678.179484857</v>
      </c>
      <c r="H739" s="14" t="n">
        <v>465920.8233795765</v>
      </c>
      <c r="I739" s="14" t="n">
        <v>292.2928942512063</v>
      </c>
      <c r="J739" s="14" t="n">
        <v>0</v>
      </c>
      <c r="K739" s="14" t="n">
        <v>22640.47551840988</v>
      </c>
      <c r="L739" s="14" t="n">
        <v>524824.5876926198</v>
      </c>
      <c r="M739" s="14" t="n">
        <v>0</v>
      </c>
      <c r="N739" s="14" t="n">
        <v>470258.7295374253</v>
      </c>
      <c r="O739" s="14" t="n">
        <v>488853.5917922376</v>
      </c>
      <c r="P739" s="14" t="n">
        <v>8452.085909944421</v>
      </c>
      <c r="Q739" s="14" t="n">
        <v>5564482.308576817</v>
      </c>
      <c r="R739" s="15">
        <f>IF(D739=1,"Section 1","Control")</f>
        <v/>
      </c>
      <c r="S739" s="16">
        <f>N739/10000</f>
        <v/>
      </c>
      <c r="T739" s="16">
        <f>P739/10000</f>
        <v/>
      </c>
      <c r="U739" s="15">
        <f>IF(N739&gt;=Summary!$D$3,1,0)</f>
        <v/>
      </c>
      <c r="V739" s="17">
        <f>IF(N739&gt;0,P739/N739,"")</f>
        <v/>
      </c>
      <c r="W739" s="17">
        <f>IF(O739&gt;0,H739/O739,"")</f>
        <v/>
      </c>
    </row>
    <row r="740">
      <c r="A740" s="13" t="inlineStr">
        <is>
          <t>T27_B2</t>
        </is>
      </c>
      <c r="B740" s="13" t="inlineStr">
        <is>
          <t>T27</t>
        </is>
      </c>
      <c r="C740" s="13" t="inlineStr">
        <is>
          <t>B2</t>
        </is>
      </c>
      <c r="D740" s="13" t="n">
        <v>1</v>
      </c>
      <c r="E740" s="13" t="inlineStr">
        <is>
          <t>S1</t>
        </is>
      </c>
      <c r="F740" s="13" t="n">
        <v>2023</v>
      </c>
      <c r="G740" s="14" t="n">
        <v>1013678.179484857</v>
      </c>
      <c r="H740" s="14" t="n">
        <v>462783.4047526041</v>
      </c>
      <c r="I740" s="14" t="n">
        <v>3528.433055952484</v>
      </c>
      <c r="J740" s="14" t="n">
        <v>0</v>
      </c>
      <c r="K740" s="14" t="n">
        <v>22541.75398368087</v>
      </c>
      <c r="L740" s="14" t="n">
        <v>524824.5876926197</v>
      </c>
      <c r="M740" s="14" t="n">
        <v>0</v>
      </c>
      <c r="N740" s="14" t="n">
        <v>470258.7295374253</v>
      </c>
      <c r="O740" s="14" t="n">
        <v>488853.5917922376</v>
      </c>
      <c r="P740" s="14" t="n">
        <v>11688.22627000996</v>
      </c>
      <c r="Q740" s="14" t="n">
        <v>5564482.308576817</v>
      </c>
      <c r="R740" s="15">
        <f>IF(D740=1,"Section 1","Control")</f>
        <v/>
      </c>
      <c r="S740" s="16">
        <f>N740/10000</f>
        <v/>
      </c>
      <c r="T740" s="16">
        <f>P740/10000</f>
        <v/>
      </c>
      <c r="U740" s="15">
        <f>IF(N740&gt;=Summary!$D$3,1,0)</f>
        <v/>
      </c>
      <c r="V740" s="17">
        <f>IF(N740&gt;0,P740/N740,"")</f>
        <v/>
      </c>
      <c r="W740" s="17">
        <f>IF(O740&gt;0,H740/O740,"")</f>
        <v/>
      </c>
    </row>
    <row r="741">
      <c r="A741" s="13" t="inlineStr">
        <is>
          <t>T27_B2</t>
        </is>
      </c>
      <c r="B741" s="13" t="inlineStr">
        <is>
          <t>T27</t>
        </is>
      </c>
      <c r="C741" s="13" t="inlineStr">
        <is>
          <t>B2</t>
        </is>
      </c>
      <c r="D741" s="13" t="n">
        <v>1</v>
      </c>
      <c r="E741" s="13" t="inlineStr">
        <is>
          <t>S1</t>
        </is>
      </c>
      <c r="F741" s="13" t="n">
        <v>2024</v>
      </c>
      <c r="G741" s="14" t="n">
        <v>1013678.179484857</v>
      </c>
      <c r="H741" s="14" t="n">
        <v>458078.0823080324</v>
      </c>
      <c r="I741" s="14" t="n">
        <v>451.4088071935317</v>
      </c>
      <c r="J741" s="14" t="n">
        <v>0</v>
      </c>
      <c r="K741" s="14" t="n">
        <v>30324.10067701153</v>
      </c>
      <c r="L741" s="14" t="n">
        <v>524824.5876926197</v>
      </c>
      <c r="M741" s="14" t="n">
        <v>0</v>
      </c>
      <c r="N741" s="14" t="n">
        <v>470258.7295374253</v>
      </c>
      <c r="O741" s="14" t="n">
        <v>488853.5917922376</v>
      </c>
      <c r="P741" s="14" t="n">
        <v>16307.21547770781</v>
      </c>
      <c r="Q741" s="14" t="n">
        <v>5564482.308576817</v>
      </c>
      <c r="R741" s="15">
        <f>IF(D741=1,"Section 1","Control")</f>
        <v/>
      </c>
      <c r="S741" s="16">
        <f>N741/10000</f>
        <v/>
      </c>
      <c r="T741" s="16">
        <f>P741/10000</f>
        <v/>
      </c>
      <c r="U741" s="15">
        <f>IF(N741&gt;=Summary!$D$3,1,0)</f>
        <v/>
      </c>
      <c r="V741" s="17">
        <f>IF(N741&gt;0,P741/N741,"")</f>
        <v/>
      </c>
      <c r="W741" s="17">
        <f>IF(O741&gt;0,H741/O741,"")</f>
        <v/>
      </c>
    </row>
    <row r="742">
      <c r="A742" s="13" t="inlineStr">
        <is>
          <t>T27_B2</t>
        </is>
      </c>
      <c r="B742" s="13" t="inlineStr">
        <is>
          <t>T27</t>
        </is>
      </c>
      <c r="C742" s="13" t="inlineStr">
        <is>
          <t>B2</t>
        </is>
      </c>
      <c r="D742" s="13" t="n">
        <v>1</v>
      </c>
      <c r="E742" s="13" t="inlineStr">
        <is>
          <t>S1</t>
        </is>
      </c>
      <c r="F742" s="13" t="n">
        <v>2025</v>
      </c>
      <c r="G742" s="14" t="n">
        <v>1013678.179484857</v>
      </c>
      <c r="H742" s="14" t="n">
        <v>457252.6956759883</v>
      </c>
      <c r="I742" s="14" t="n">
        <v>0</v>
      </c>
      <c r="J742" s="14" t="n">
        <v>0</v>
      </c>
      <c r="K742" s="14" t="n">
        <v>31600.89611624924</v>
      </c>
      <c r="L742" s="14" t="n">
        <v>524824.5876926198</v>
      </c>
      <c r="M742" s="14" t="n">
        <v>0</v>
      </c>
      <c r="N742" s="14" t="n">
        <v>470258.7295374253</v>
      </c>
      <c r="O742" s="14" t="n">
        <v>488853.5917922375</v>
      </c>
      <c r="P742" s="14" t="n">
        <v>17218.93534662583</v>
      </c>
      <c r="Q742" s="14" t="n">
        <v>5564482.308576817</v>
      </c>
      <c r="R742" s="15">
        <f>IF(D742=1,"Section 1","Control")</f>
        <v/>
      </c>
      <c r="S742" s="16">
        <f>N742/10000</f>
        <v/>
      </c>
      <c r="T742" s="16">
        <f>P742/10000</f>
        <v/>
      </c>
      <c r="U742" s="15">
        <f>IF(N742&gt;=Summary!$D$3,1,0)</f>
        <v/>
      </c>
      <c r="V742" s="17">
        <f>IF(N742&gt;0,P742/N742,"")</f>
        <v/>
      </c>
      <c r="W742" s="17">
        <f>IF(O742&gt;0,H742/O742,"")</f>
        <v/>
      </c>
    </row>
    <row r="743">
      <c r="A743" s="13" t="inlineStr">
        <is>
          <t>T27_B2</t>
        </is>
      </c>
      <c r="B743" s="13" t="inlineStr">
        <is>
          <t>T27</t>
        </is>
      </c>
      <c r="C743" s="13" t="inlineStr">
        <is>
          <t>B2</t>
        </is>
      </c>
      <c r="D743" s="13" t="n">
        <v>1</v>
      </c>
      <c r="E743" s="13" t="inlineStr">
        <is>
          <t>S1</t>
        </is>
      </c>
      <c r="F743" s="13" t="n">
        <v>2026</v>
      </c>
      <c r="G743" s="14" t="n">
        <v>1013678.179484857</v>
      </c>
      <c r="H743" s="14" t="n">
        <v>456627.0740905462</v>
      </c>
      <c r="I743" s="14" t="n">
        <v>757.2499875236961</v>
      </c>
      <c r="J743" s="14" t="n">
        <v>0</v>
      </c>
      <c r="K743" s="14" t="n">
        <v>31469.26771416758</v>
      </c>
      <c r="L743" s="14" t="n">
        <v>524824.5876926197</v>
      </c>
      <c r="M743" s="14" t="n">
        <v>0</v>
      </c>
      <c r="N743" s="14" t="n">
        <v>470258.7295374253</v>
      </c>
      <c r="O743" s="14" t="n">
        <v>488853.5917922376</v>
      </c>
      <c r="P743" s="14" t="n">
        <v>17844.55693206787</v>
      </c>
      <c r="Q743" s="14" t="n">
        <v>5564482.308576817</v>
      </c>
      <c r="R743" s="15">
        <f>IF(D743=1,"Section 1","Control")</f>
        <v/>
      </c>
      <c r="S743" s="16">
        <f>N743/10000</f>
        <v/>
      </c>
      <c r="T743" s="16">
        <f>P743/10000</f>
        <v/>
      </c>
      <c r="U743" s="15">
        <f>IF(N743&gt;=Summary!$D$3,1,0)</f>
        <v/>
      </c>
      <c r="V743" s="17">
        <f>IF(N743&gt;0,P743/N743,"")</f>
        <v/>
      </c>
      <c r="W743" s="17">
        <f>IF(O743&gt;0,H743/O743,"")</f>
        <v/>
      </c>
    </row>
    <row r="744">
      <c r="A744" s="13" t="inlineStr">
        <is>
          <t>T27_B3</t>
        </is>
      </c>
      <c r="B744" s="13" t="inlineStr">
        <is>
          <t>T27</t>
        </is>
      </c>
      <c r="C744" s="13" t="inlineStr">
        <is>
          <t>B3</t>
        </is>
      </c>
      <c r="D744" s="13" t="n">
        <v>1</v>
      </c>
      <c r="E744" s="13" t="inlineStr">
        <is>
          <t>S1</t>
        </is>
      </c>
      <c r="F744" s="13" t="n">
        <v>2020</v>
      </c>
      <c r="G744" s="14" t="n">
        <v>7486662.099165254</v>
      </c>
      <c r="H744" s="14" t="n">
        <v>1184823.798881291</v>
      </c>
      <c r="I744" s="14" t="n">
        <v>63853.56655955595</v>
      </c>
      <c r="J744" s="14" t="n">
        <v>0</v>
      </c>
      <c r="K744" s="14" t="n">
        <v>1515245.08835898</v>
      </c>
      <c r="L744" s="14" t="n">
        <v>4722739.645365426</v>
      </c>
      <c r="M744" s="14" t="n">
        <v>0</v>
      </c>
      <c r="N744" s="14" t="n">
        <v>1184823.798881291</v>
      </c>
      <c r="O744" s="14" t="n">
        <v>2763922.453799827</v>
      </c>
      <c r="P744" s="14" t="n">
        <v>0</v>
      </c>
      <c r="Q744" s="14" t="n">
        <v>19915720.97942729</v>
      </c>
      <c r="R744" s="15">
        <f>IF(D744=1,"Section 1","Control")</f>
        <v/>
      </c>
      <c r="S744" s="16">
        <f>N744/10000</f>
        <v/>
      </c>
      <c r="T744" s="16">
        <f>P744/10000</f>
        <v/>
      </c>
      <c r="U744" s="15">
        <f>IF(N744&gt;=Summary!$D$3,1,0)</f>
        <v/>
      </c>
      <c r="V744" s="17">
        <f>IF(N744&gt;0,P744/N744,"")</f>
        <v/>
      </c>
      <c r="W744" s="17">
        <f>IF(O744&gt;0,H744/O744,"")</f>
        <v/>
      </c>
    </row>
    <row r="745">
      <c r="A745" s="13" t="inlineStr">
        <is>
          <t>T27_B3</t>
        </is>
      </c>
      <c r="B745" s="13" t="inlineStr">
        <is>
          <t>T27</t>
        </is>
      </c>
      <c r="C745" s="13" t="inlineStr">
        <is>
          <t>B3</t>
        </is>
      </c>
      <c r="D745" s="13" t="n">
        <v>1</v>
      </c>
      <c r="E745" s="13" t="inlineStr">
        <is>
          <t>S1</t>
        </is>
      </c>
      <c r="F745" s="13" t="n">
        <v>2021</v>
      </c>
      <c r="G745" s="14" t="n">
        <v>7486662.099165254</v>
      </c>
      <c r="H745" s="14" t="n">
        <v>1051367.520326413</v>
      </c>
      <c r="I745" s="14" t="n">
        <v>51716.30454852535</v>
      </c>
      <c r="J745" s="14" t="n">
        <v>0</v>
      </c>
      <c r="K745" s="14" t="n">
        <v>1660838.628924889</v>
      </c>
      <c r="L745" s="14" t="n">
        <v>4722739.645365426</v>
      </c>
      <c r="M745" s="14" t="n">
        <v>0</v>
      </c>
      <c r="N745" s="14" t="n">
        <v>1184823.798881291</v>
      </c>
      <c r="O745" s="14" t="n">
        <v>2763922.453799827</v>
      </c>
      <c r="P745" s="14" t="n">
        <v>139155.720270643</v>
      </c>
      <c r="Q745" s="14" t="n">
        <v>19915720.97942729</v>
      </c>
      <c r="R745" s="15">
        <f>IF(D745=1,"Section 1","Control")</f>
        <v/>
      </c>
      <c r="S745" s="16">
        <f>N745/10000</f>
        <v/>
      </c>
      <c r="T745" s="16">
        <f>P745/10000</f>
        <v/>
      </c>
      <c r="U745" s="15">
        <f>IF(N745&gt;=Summary!$D$3,1,0)</f>
        <v/>
      </c>
      <c r="V745" s="17">
        <f>IF(N745&gt;0,P745/N745,"")</f>
        <v/>
      </c>
      <c r="W745" s="17">
        <f>IF(O745&gt;0,H745/O745,"")</f>
        <v/>
      </c>
    </row>
    <row r="746">
      <c r="A746" s="13" t="inlineStr">
        <is>
          <t>T27_B3</t>
        </is>
      </c>
      <c r="B746" s="13" t="inlineStr">
        <is>
          <t>T27</t>
        </is>
      </c>
      <c r="C746" s="13" t="inlineStr">
        <is>
          <t>B3</t>
        </is>
      </c>
      <c r="D746" s="13" t="n">
        <v>1</v>
      </c>
      <c r="E746" s="13" t="inlineStr">
        <is>
          <t>S1</t>
        </is>
      </c>
      <c r="F746" s="13" t="n">
        <v>2022</v>
      </c>
      <c r="G746" s="14" t="n">
        <v>7486662.099165254</v>
      </c>
      <c r="H746" s="14" t="n">
        <v>991081.7517767516</v>
      </c>
      <c r="I746" s="14" t="n">
        <v>59073.92550578398</v>
      </c>
      <c r="J746" s="14" t="n">
        <v>0</v>
      </c>
      <c r="K746" s="14" t="n">
        <v>1713766.776517292</v>
      </c>
      <c r="L746" s="14" t="n">
        <v>4722739.645365426</v>
      </c>
      <c r="M746" s="14" t="n">
        <v>0</v>
      </c>
      <c r="N746" s="14" t="n">
        <v>1184823.798881291</v>
      </c>
      <c r="O746" s="14" t="n">
        <v>2763922.453799828</v>
      </c>
      <c r="P746" s="14" t="n">
        <v>200020.2466525508</v>
      </c>
      <c r="Q746" s="14" t="n">
        <v>19915720.97942729</v>
      </c>
      <c r="R746" s="15">
        <f>IF(D746=1,"Section 1","Control")</f>
        <v/>
      </c>
      <c r="S746" s="16">
        <f>N746/10000</f>
        <v/>
      </c>
      <c r="T746" s="16">
        <f>P746/10000</f>
        <v/>
      </c>
      <c r="U746" s="15">
        <f>IF(N746&gt;=Summary!$D$3,1,0)</f>
        <v/>
      </c>
      <c r="V746" s="17">
        <f>IF(N746&gt;0,P746/N746,"")</f>
        <v/>
      </c>
      <c r="W746" s="17">
        <f>IF(O746&gt;0,H746/O746,"")</f>
        <v/>
      </c>
    </row>
    <row r="747">
      <c r="A747" s="13" t="inlineStr">
        <is>
          <t>T27_B3</t>
        </is>
      </c>
      <c r="B747" s="13" t="inlineStr">
        <is>
          <t>T27</t>
        </is>
      </c>
      <c r="C747" s="13" t="inlineStr">
        <is>
          <t>B3</t>
        </is>
      </c>
      <c r="D747" s="13" t="n">
        <v>1</v>
      </c>
      <c r="E747" s="13" t="inlineStr">
        <is>
          <t>S1</t>
        </is>
      </c>
      <c r="F747" s="13" t="n">
        <v>2023</v>
      </c>
      <c r="G747" s="14" t="n">
        <v>7486662.099165254</v>
      </c>
      <c r="H747" s="14" t="n">
        <v>964563.1549553964</v>
      </c>
      <c r="I747" s="14" t="n">
        <v>58239.46959695256</v>
      </c>
      <c r="J747" s="14" t="n">
        <v>0</v>
      </c>
      <c r="K747" s="14" t="n">
        <v>1741119.829247478</v>
      </c>
      <c r="L747" s="14" t="n">
        <v>4722739.645365426</v>
      </c>
      <c r="M747" s="14" t="n">
        <v>0</v>
      </c>
      <c r="N747" s="14" t="n">
        <v>1184823.798881291</v>
      </c>
      <c r="O747" s="14" t="n">
        <v>2763922.453799827</v>
      </c>
      <c r="P747" s="14" t="n">
        <v>226341.414953703</v>
      </c>
      <c r="Q747" s="14" t="n">
        <v>19915720.97942729</v>
      </c>
      <c r="R747" s="15">
        <f>IF(D747=1,"Section 1","Control")</f>
        <v/>
      </c>
      <c r="S747" s="16">
        <f>N747/10000</f>
        <v/>
      </c>
      <c r="T747" s="16">
        <f>P747/10000</f>
        <v/>
      </c>
      <c r="U747" s="15">
        <f>IF(N747&gt;=Summary!$D$3,1,0)</f>
        <v/>
      </c>
      <c r="V747" s="17">
        <f>IF(N747&gt;0,P747/N747,"")</f>
        <v/>
      </c>
      <c r="W747" s="17">
        <f>IF(O747&gt;0,H747/O747,"")</f>
        <v/>
      </c>
    </row>
    <row r="748">
      <c r="A748" s="13" t="inlineStr">
        <is>
          <t>T27_B3</t>
        </is>
      </c>
      <c r="B748" s="13" t="inlineStr">
        <is>
          <t>T27</t>
        </is>
      </c>
      <c r="C748" s="13" t="inlineStr">
        <is>
          <t>B3</t>
        </is>
      </c>
      <c r="D748" s="13" t="n">
        <v>1</v>
      </c>
      <c r="E748" s="13" t="inlineStr">
        <is>
          <t>S1</t>
        </is>
      </c>
      <c r="F748" s="13" t="n">
        <v>2024</v>
      </c>
      <c r="G748" s="14" t="n">
        <v>7486662.099165255</v>
      </c>
      <c r="H748" s="14" t="n">
        <v>935052.7190456016</v>
      </c>
      <c r="I748" s="14" t="n">
        <v>62336.30021329394</v>
      </c>
      <c r="J748" s="14" t="n">
        <v>0</v>
      </c>
      <c r="K748" s="14" t="n">
        <v>1766533.434540932</v>
      </c>
      <c r="L748" s="14" t="n">
        <v>4722739.645365426</v>
      </c>
      <c r="M748" s="14" t="n">
        <v>0</v>
      </c>
      <c r="N748" s="14" t="n">
        <v>1184823.798881291</v>
      </c>
      <c r="O748" s="14" t="n">
        <v>2763922.453799827</v>
      </c>
      <c r="P748" s="14" t="n">
        <v>257322.5504231771</v>
      </c>
      <c r="Q748" s="14" t="n">
        <v>19915720.97942729</v>
      </c>
      <c r="R748" s="15">
        <f>IF(D748=1,"Section 1","Control")</f>
        <v/>
      </c>
      <c r="S748" s="16">
        <f>N748/10000</f>
        <v/>
      </c>
      <c r="T748" s="16">
        <f>P748/10000</f>
        <v/>
      </c>
      <c r="U748" s="15">
        <f>IF(N748&gt;=Summary!$D$3,1,0)</f>
        <v/>
      </c>
      <c r="V748" s="17">
        <f>IF(N748&gt;0,P748/N748,"")</f>
        <v/>
      </c>
      <c r="W748" s="17">
        <f>IF(O748&gt;0,H748/O748,"")</f>
        <v/>
      </c>
    </row>
    <row r="749">
      <c r="A749" s="13" t="inlineStr">
        <is>
          <t>T27_B3</t>
        </is>
      </c>
      <c r="B749" s="13" t="inlineStr">
        <is>
          <t>T27</t>
        </is>
      </c>
      <c r="C749" s="13" t="inlineStr">
        <is>
          <t>B3</t>
        </is>
      </c>
      <c r="D749" s="13" t="n">
        <v>1</v>
      </c>
      <c r="E749" s="13" t="inlineStr">
        <is>
          <t>S1</t>
        </is>
      </c>
      <c r="F749" s="13" t="n">
        <v>2025</v>
      </c>
      <c r="G749" s="14" t="n">
        <v>7486662.099165254</v>
      </c>
      <c r="H749" s="14" t="n">
        <v>940051.2805975222</v>
      </c>
      <c r="I749" s="14" t="n">
        <v>42513.07194450229</v>
      </c>
      <c r="J749" s="14" t="n">
        <v>0</v>
      </c>
      <c r="K749" s="14" t="n">
        <v>1781358.101257803</v>
      </c>
      <c r="L749" s="14" t="n">
        <v>4722739.645365425</v>
      </c>
      <c r="M749" s="14" t="n">
        <v>0</v>
      </c>
      <c r="N749" s="14" t="n">
        <v>1184823.798881291</v>
      </c>
      <c r="O749" s="14" t="n">
        <v>2763922.453799828</v>
      </c>
      <c r="P749" s="14" t="n">
        <v>274569.8478480321</v>
      </c>
      <c r="Q749" s="14" t="n">
        <v>19915720.97942729</v>
      </c>
      <c r="R749" s="15">
        <f>IF(D749=1,"Section 1","Control")</f>
        <v/>
      </c>
      <c r="S749" s="16">
        <f>N749/10000</f>
        <v/>
      </c>
      <c r="T749" s="16">
        <f>P749/10000</f>
        <v/>
      </c>
      <c r="U749" s="15">
        <f>IF(N749&gt;=Summary!$D$3,1,0)</f>
        <v/>
      </c>
      <c r="V749" s="17">
        <f>IF(N749&gt;0,P749/N749,"")</f>
        <v/>
      </c>
      <c r="W749" s="17">
        <f>IF(O749&gt;0,H749/O749,"")</f>
        <v/>
      </c>
    </row>
    <row r="750">
      <c r="A750" s="13" t="inlineStr">
        <is>
          <t>T27_B3</t>
        </is>
      </c>
      <c r="B750" s="13" t="inlineStr">
        <is>
          <t>T27</t>
        </is>
      </c>
      <c r="C750" s="13" t="inlineStr">
        <is>
          <t>B3</t>
        </is>
      </c>
      <c r="D750" s="13" t="n">
        <v>1</v>
      </c>
      <c r="E750" s="13" t="inlineStr">
        <is>
          <t>S1</t>
        </is>
      </c>
      <c r="F750" s="13" t="n">
        <v>2026</v>
      </c>
      <c r="G750" s="14" t="n">
        <v>7486662.099165254</v>
      </c>
      <c r="H750" s="14" t="n">
        <v>902695.8346172556</v>
      </c>
      <c r="I750" s="14" t="n">
        <v>60110.17357689353</v>
      </c>
      <c r="J750" s="14" t="n">
        <v>0</v>
      </c>
      <c r="K750" s="14" t="n">
        <v>1800721.56163351</v>
      </c>
      <c r="L750" s="14" t="n">
        <v>4723134.529337593</v>
      </c>
      <c r="M750" s="14" t="n">
        <v>0</v>
      </c>
      <c r="N750" s="14" t="n">
        <v>1184823.798881291</v>
      </c>
      <c r="O750" s="14" t="n">
        <v>2763922.453799827</v>
      </c>
      <c r="P750" s="14" t="n">
        <v>293059.0114916932</v>
      </c>
      <c r="Q750" s="14" t="n">
        <v>19915720.97942729</v>
      </c>
      <c r="R750" s="15">
        <f>IF(D750=1,"Section 1","Control")</f>
        <v/>
      </c>
      <c r="S750" s="16">
        <f>N750/10000</f>
        <v/>
      </c>
      <c r="T750" s="16">
        <f>P750/10000</f>
        <v/>
      </c>
      <c r="U750" s="15">
        <f>IF(N750&gt;=Summary!$D$3,1,0)</f>
        <v/>
      </c>
      <c r="V750" s="17">
        <f>IF(N750&gt;0,P750/N750,"")</f>
        <v/>
      </c>
      <c r="W750" s="17">
        <f>IF(O750&gt;0,H750/O750,"")</f>
        <v/>
      </c>
    </row>
    <row r="751">
      <c r="A751" s="13" t="inlineStr">
        <is>
          <t>T27_F</t>
        </is>
      </c>
      <c r="B751" s="13" t="inlineStr">
        <is>
          <t>T27</t>
        </is>
      </c>
      <c r="C751" s="13" t="inlineStr">
        <is>
          <t>F</t>
        </is>
      </c>
      <c r="D751" s="13" t="n">
        <v>1</v>
      </c>
      <c r="E751" s="13" t="inlineStr">
        <is>
          <t>S1</t>
        </is>
      </c>
      <c r="F751" s="13" t="n">
        <v>2020</v>
      </c>
      <c r="G751" s="14" t="n">
        <v>74547.78237514124</v>
      </c>
      <c r="H751" s="14" t="n">
        <v>72014.66708837771</v>
      </c>
      <c r="I751" s="14" t="n">
        <v>1018.588730486702</v>
      </c>
      <c r="J751" s="14" t="n">
        <v>0</v>
      </c>
      <c r="K751" s="14" t="n">
        <v>1514.526556276807</v>
      </c>
      <c r="L751" s="14" t="n">
        <v>0</v>
      </c>
      <c r="M751" s="14" t="n">
        <v>0</v>
      </c>
      <c r="N751" s="14" t="n">
        <v>72014.66708837771</v>
      </c>
      <c r="O751" s="14" t="n">
        <v>74547.78237514124</v>
      </c>
      <c r="P751" s="14" t="n">
        <v>0</v>
      </c>
      <c r="Q751" s="14" t="n">
        <v>851984.7462076824</v>
      </c>
      <c r="R751" s="15">
        <f>IF(D751=1,"Section 1","Control")</f>
        <v/>
      </c>
      <c r="S751" s="16">
        <f>N751/10000</f>
        <v/>
      </c>
      <c r="T751" s="16">
        <f>P751/10000</f>
        <v/>
      </c>
      <c r="U751" s="15">
        <f>IF(N751&gt;=Summary!$D$3,1,0)</f>
        <v/>
      </c>
      <c r="V751" s="17">
        <f>IF(N751&gt;0,P751/N751,"")</f>
        <v/>
      </c>
      <c r="W751" s="17">
        <f>IF(O751&gt;0,H751/O751,"")</f>
        <v/>
      </c>
    </row>
    <row r="752">
      <c r="A752" s="13" t="inlineStr">
        <is>
          <t>T27_F</t>
        </is>
      </c>
      <c r="B752" s="13" t="inlineStr">
        <is>
          <t>T27</t>
        </is>
      </c>
      <c r="C752" s="13" t="inlineStr">
        <is>
          <t>F</t>
        </is>
      </c>
      <c r="D752" s="13" t="n">
        <v>1</v>
      </c>
      <c r="E752" s="13" t="inlineStr">
        <is>
          <t>S1</t>
        </is>
      </c>
      <c r="F752" s="13" t="n">
        <v>2021</v>
      </c>
      <c r="G752" s="14" t="n">
        <v>74547.78237514124</v>
      </c>
      <c r="H752" s="14" t="n">
        <v>63852.41100490795</v>
      </c>
      <c r="I752" s="14" t="n">
        <v>6109.59481419582</v>
      </c>
      <c r="J752" s="14" t="n">
        <v>0</v>
      </c>
      <c r="K752" s="14" t="n">
        <v>4585.776556037454</v>
      </c>
      <c r="L752" s="14" t="n">
        <v>0</v>
      </c>
      <c r="M752" s="14" t="n">
        <v>0</v>
      </c>
      <c r="N752" s="14" t="n">
        <v>72014.66708837771</v>
      </c>
      <c r="O752" s="14" t="n">
        <v>74547.78237514124</v>
      </c>
      <c r="P752" s="14" t="n">
        <v>8162.256083469765</v>
      </c>
      <c r="Q752" s="14" t="n">
        <v>851984.7462076824</v>
      </c>
      <c r="R752" s="15">
        <f>IF(D752=1,"Section 1","Control")</f>
        <v/>
      </c>
      <c r="S752" s="16">
        <f>N752/10000</f>
        <v/>
      </c>
      <c r="T752" s="16">
        <f>P752/10000</f>
        <v/>
      </c>
      <c r="U752" s="15">
        <f>IF(N752&gt;=Summary!$D$3,1,0)</f>
        <v/>
      </c>
      <c r="V752" s="17">
        <f>IF(N752&gt;0,P752/N752,"")</f>
        <v/>
      </c>
      <c r="W752" s="17">
        <f>IF(O752&gt;0,H752/O752,"")</f>
        <v/>
      </c>
    </row>
    <row r="753">
      <c r="A753" s="13" t="inlineStr">
        <is>
          <t>T27_F</t>
        </is>
      </c>
      <c r="B753" s="13" t="inlineStr">
        <is>
          <t>T27</t>
        </is>
      </c>
      <c r="C753" s="13" t="inlineStr">
        <is>
          <t>F</t>
        </is>
      </c>
      <c r="D753" s="13" t="n">
        <v>1</v>
      </c>
      <c r="E753" s="13" t="inlineStr">
        <is>
          <t>S1</t>
        </is>
      </c>
      <c r="F753" s="13" t="n">
        <v>2022</v>
      </c>
      <c r="G753" s="14" t="n">
        <v>74547.78237514122</v>
      </c>
      <c r="H753" s="14" t="n">
        <v>15202.551923505</v>
      </c>
      <c r="I753" s="14" t="n">
        <v>49644.45150044759</v>
      </c>
      <c r="J753" s="14" t="n">
        <v>0</v>
      </c>
      <c r="K753" s="14" t="n">
        <v>9700.778951188628</v>
      </c>
      <c r="L753" s="14" t="n">
        <v>0</v>
      </c>
      <c r="M753" s="14" t="n">
        <v>0</v>
      </c>
      <c r="N753" s="14" t="n">
        <v>72014.66708837771</v>
      </c>
      <c r="O753" s="14" t="n">
        <v>74547.78237514122</v>
      </c>
      <c r="P753" s="14" t="n">
        <v>56812.11516487271</v>
      </c>
      <c r="Q753" s="14" t="n">
        <v>851984.7462076823</v>
      </c>
      <c r="R753" s="15">
        <f>IF(D753=1,"Section 1","Control")</f>
        <v/>
      </c>
      <c r="S753" s="16">
        <f>N753/10000</f>
        <v/>
      </c>
      <c r="T753" s="16">
        <f>P753/10000</f>
        <v/>
      </c>
      <c r="U753" s="15">
        <f>IF(N753&gt;=Summary!$D$3,1,0)</f>
        <v/>
      </c>
      <c r="V753" s="17">
        <f>IF(N753&gt;0,P753/N753,"")</f>
        <v/>
      </c>
      <c r="W753" s="17">
        <f>IF(O753&gt;0,H753/O753,"")</f>
        <v/>
      </c>
    </row>
    <row r="754">
      <c r="A754" s="13" t="inlineStr">
        <is>
          <t>T27_F</t>
        </is>
      </c>
      <c r="B754" s="13" t="inlineStr">
        <is>
          <t>T27</t>
        </is>
      </c>
      <c r="C754" s="13" t="inlineStr">
        <is>
          <t>F</t>
        </is>
      </c>
      <c r="D754" s="13" t="n">
        <v>1</v>
      </c>
      <c r="E754" s="13" t="inlineStr">
        <is>
          <t>S1</t>
        </is>
      </c>
      <c r="F754" s="13" t="n">
        <v>2023</v>
      </c>
      <c r="G754" s="14" t="n">
        <v>74547.78237514124</v>
      </c>
      <c r="H754" s="14" t="n">
        <v>18240.88760815788</v>
      </c>
      <c r="I754" s="14" t="n">
        <v>47314.20989191392</v>
      </c>
      <c r="J754" s="14" t="n">
        <v>0</v>
      </c>
      <c r="K754" s="14" t="n">
        <v>8992.684875069412</v>
      </c>
      <c r="L754" s="14" t="n">
        <v>0</v>
      </c>
      <c r="M754" s="14" t="n">
        <v>0</v>
      </c>
      <c r="N754" s="14" t="n">
        <v>72014.66708837771</v>
      </c>
      <c r="O754" s="14" t="n">
        <v>74547.78237514124</v>
      </c>
      <c r="P754" s="14" t="n">
        <v>53773.77948021982</v>
      </c>
      <c r="Q754" s="14" t="n">
        <v>851984.7462076824</v>
      </c>
      <c r="R754" s="15">
        <f>IF(D754=1,"Section 1","Control")</f>
        <v/>
      </c>
      <c r="S754" s="16">
        <f>N754/10000</f>
        <v/>
      </c>
      <c r="T754" s="16">
        <f>P754/10000</f>
        <v/>
      </c>
      <c r="U754" s="15">
        <f>IF(N754&gt;=Summary!$D$3,1,0)</f>
        <v/>
      </c>
      <c r="V754" s="17">
        <f>IF(N754&gt;0,P754/N754,"")</f>
        <v/>
      </c>
      <c r="W754" s="17">
        <f>IF(O754&gt;0,H754/O754,"")</f>
        <v/>
      </c>
    </row>
    <row r="755">
      <c r="A755" s="13" t="inlineStr">
        <is>
          <t>T27_F</t>
        </is>
      </c>
      <c r="B755" s="13" t="inlineStr">
        <is>
          <t>T27</t>
        </is>
      </c>
      <c r="C755" s="13" t="inlineStr">
        <is>
          <t>F</t>
        </is>
      </c>
      <c r="D755" s="13" t="n">
        <v>1</v>
      </c>
      <c r="E755" s="13" t="inlineStr">
        <is>
          <t>S1</t>
        </is>
      </c>
      <c r="F755" s="13" t="n">
        <v>2024</v>
      </c>
      <c r="G755" s="14" t="n">
        <v>74547.78237514124</v>
      </c>
      <c r="H755" s="14" t="n">
        <v>6959.768636097628</v>
      </c>
      <c r="I755" s="14" t="n">
        <v>55058.34024400896</v>
      </c>
      <c r="J755" s="14" t="n">
        <v>0</v>
      </c>
      <c r="K755" s="14" t="n">
        <v>12529.67349503461</v>
      </c>
      <c r="L755" s="14" t="n">
        <v>0</v>
      </c>
      <c r="M755" s="14" t="n">
        <v>0</v>
      </c>
      <c r="N755" s="14" t="n">
        <v>72014.66708837771</v>
      </c>
      <c r="O755" s="14" t="n">
        <v>74547.78237514124</v>
      </c>
      <c r="P755" s="14" t="n">
        <v>65153.62128400615</v>
      </c>
      <c r="Q755" s="14" t="n">
        <v>851984.7462076824</v>
      </c>
      <c r="R755" s="15">
        <f>IF(D755=1,"Section 1","Control")</f>
        <v/>
      </c>
      <c r="S755" s="16">
        <f>N755/10000</f>
        <v/>
      </c>
      <c r="T755" s="16">
        <f>P755/10000</f>
        <v/>
      </c>
      <c r="U755" s="15">
        <f>IF(N755&gt;=Summary!$D$3,1,0)</f>
        <v/>
      </c>
      <c r="V755" s="17">
        <f>IF(N755&gt;0,P755/N755,"")</f>
        <v/>
      </c>
      <c r="W755" s="17">
        <f>IF(O755&gt;0,H755/O755,"")</f>
        <v/>
      </c>
    </row>
    <row r="756">
      <c r="A756" s="13" t="inlineStr">
        <is>
          <t>T27_F</t>
        </is>
      </c>
      <c r="B756" s="13" t="inlineStr">
        <is>
          <t>T27</t>
        </is>
      </c>
      <c r="C756" s="13" t="inlineStr">
        <is>
          <t>F</t>
        </is>
      </c>
      <c r="D756" s="13" t="n">
        <v>1</v>
      </c>
      <c r="E756" s="13" t="inlineStr">
        <is>
          <t>S1</t>
        </is>
      </c>
      <c r="F756" s="13" t="n">
        <v>2025</v>
      </c>
      <c r="G756" s="14" t="n">
        <v>74547.78237514124</v>
      </c>
      <c r="H756" s="14" t="n">
        <v>0</v>
      </c>
      <c r="I756" s="14" t="n">
        <v>25329.96988420673</v>
      </c>
      <c r="J756" s="14" t="n">
        <v>0</v>
      </c>
      <c r="K756" s="14" t="n">
        <v>49217.81249093448</v>
      </c>
      <c r="L756" s="14" t="n">
        <v>0</v>
      </c>
      <c r="M756" s="14" t="n">
        <v>0</v>
      </c>
      <c r="N756" s="14" t="n">
        <v>72014.66708837771</v>
      </c>
      <c r="O756" s="14" t="n">
        <v>74547.78237514124</v>
      </c>
      <c r="P756" s="14" t="n">
        <v>72014.66708837771</v>
      </c>
      <c r="Q756" s="14" t="n">
        <v>851984.7462076824</v>
      </c>
      <c r="R756" s="15">
        <f>IF(D756=1,"Section 1","Control")</f>
        <v/>
      </c>
      <c r="S756" s="16">
        <f>N756/10000</f>
        <v/>
      </c>
      <c r="T756" s="16">
        <f>P756/10000</f>
        <v/>
      </c>
      <c r="U756" s="15">
        <f>IF(N756&gt;=Summary!$D$3,1,0)</f>
        <v/>
      </c>
      <c r="V756" s="17">
        <f>IF(N756&gt;0,P756/N756,"")</f>
        <v/>
      </c>
      <c r="W756" s="17">
        <f>IF(O756&gt;0,H756/O756,"")</f>
        <v/>
      </c>
    </row>
    <row r="757">
      <c r="A757" s="13" t="inlineStr">
        <is>
          <t>T27_F</t>
        </is>
      </c>
      <c r="B757" s="13" t="inlineStr">
        <is>
          <t>T27</t>
        </is>
      </c>
      <c r="C757" s="13" t="inlineStr">
        <is>
          <t>F</t>
        </is>
      </c>
      <c r="D757" s="13" t="n">
        <v>1</v>
      </c>
      <c r="E757" s="13" t="inlineStr">
        <is>
          <t>S1</t>
        </is>
      </c>
      <c r="F757" s="13" t="n">
        <v>2026</v>
      </c>
      <c r="G757" s="14" t="n">
        <v>74547.78237514124</v>
      </c>
      <c r="H757" s="14" t="n">
        <v>0</v>
      </c>
      <c r="I757" s="14" t="n">
        <v>31262.24696077832</v>
      </c>
      <c r="J757" s="14" t="n">
        <v>0</v>
      </c>
      <c r="K757" s="14" t="n">
        <v>43285.53541436289</v>
      </c>
      <c r="L757" s="14" t="n">
        <v>0</v>
      </c>
      <c r="M757" s="14" t="n">
        <v>0</v>
      </c>
      <c r="N757" s="14" t="n">
        <v>72014.66708837771</v>
      </c>
      <c r="O757" s="14" t="n">
        <v>74547.78237514124</v>
      </c>
      <c r="P757" s="14" t="n">
        <v>72014.66708837771</v>
      </c>
      <c r="Q757" s="14" t="n">
        <v>851984.7462076824</v>
      </c>
      <c r="R757" s="15">
        <f>IF(D757=1,"Section 1","Control")</f>
        <v/>
      </c>
      <c r="S757" s="16">
        <f>N757/10000</f>
        <v/>
      </c>
      <c r="T757" s="16">
        <f>P757/10000</f>
        <v/>
      </c>
      <c r="U757" s="15">
        <f>IF(N757&gt;=Summary!$D$3,1,0)</f>
        <v/>
      </c>
      <c r="V757" s="17">
        <f>IF(N757&gt;0,P757/N757,"")</f>
        <v/>
      </c>
      <c r="W757" s="17">
        <f>IF(O757&gt;0,H757/O757,"")</f>
        <v/>
      </c>
    </row>
    <row r="758">
      <c r="A758" s="13" t="inlineStr">
        <is>
          <t>T28_B1</t>
        </is>
      </c>
      <c r="B758" s="13" t="inlineStr">
        <is>
          <t>T28</t>
        </is>
      </c>
      <c r="C758" s="13" t="inlineStr">
        <is>
          <t>B1</t>
        </is>
      </c>
      <c r="D758" s="13" t="n">
        <v>1</v>
      </c>
      <c r="E758" s="13" t="inlineStr">
        <is>
          <t>S1</t>
        </is>
      </c>
      <c r="F758" s="13" t="n">
        <v>2020</v>
      </c>
      <c r="G758" s="14" t="n">
        <v>1002989.603194831</v>
      </c>
      <c r="H758" s="14" t="n">
        <v>647357.9799442067</v>
      </c>
      <c r="I758" s="14" t="n">
        <v>98172.05977268594</v>
      </c>
      <c r="J758" s="14" t="n">
        <v>40858.22181139179</v>
      </c>
      <c r="K758" s="14" t="n">
        <v>18831.61483429553</v>
      </c>
      <c r="L758" s="14" t="n">
        <v>197769.7268322514</v>
      </c>
      <c r="M758" s="14" t="n">
        <v>0</v>
      </c>
      <c r="N758" s="14" t="n">
        <v>647357.9799442067</v>
      </c>
      <c r="O758" s="14" t="n">
        <v>805219.8763625798</v>
      </c>
      <c r="P758" s="14" t="n">
        <v>0</v>
      </c>
      <c r="Q758" s="14" t="n">
        <v>6064304.159519807</v>
      </c>
      <c r="R758" s="15">
        <f>IF(D758=1,"Section 1","Control")</f>
        <v/>
      </c>
      <c r="S758" s="16">
        <f>N758/10000</f>
        <v/>
      </c>
      <c r="T758" s="16">
        <f>P758/10000</f>
        <v/>
      </c>
      <c r="U758" s="15">
        <f>IF(N758&gt;=Summary!$D$3,1,0)</f>
        <v/>
      </c>
      <c r="V758" s="17">
        <f>IF(N758&gt;0,P758/N758,"")</f>
        <v/>
      </c>
      <c r="W758" s="17">
        <f>IF(O758&gt;0,H758/O758,"")</f>
        <v/>
      </c>
    </row>
    <row r="759">
      <c r="A759" s="13" t="inlineStr">
        <is>
          <t>T28_B1</t>
        </is>
      </c>
      <c r="B759" s="13" t="inlineStr">
        <is>
          <t>T28</t>
        </is>
      </c>
      <c r="C759" s="13" t="inlineStr">
        <is>
          <t>B1</t>
        </is>
      </c>
      <c r="D759" s="13" t="n">
        <v>1</v>
      </c>
      <c r="E759" s="13" t="inlineStr">
        <is>
          <t>S1</t>
        </is>
      </c>
      <c r="F759" s="13" t="n">
        <v>2021</v>
      </c>
      <c r="G759" s="14" t="n">
        <v>1002989.603194831</v>
      </c>
      <c r="H759" s="14" t="n">
        <v>663011.5145620906</v>
      </c>
      <c r="I759" s="14" t="n">
        <v>75072.16088648778</v>
      </c>
      <c r="J759" s="14" t="n">
        <v>38545.00355251537</v>
      </c>
      <c r="K759" s="14" t="n">
        <v>34239.69138985428</v>
      </c>
      <c r="L759" s="14" t="n">
        <v>192121.2328038833</v>
      </c>
      <c r="M759" s="14" t="n">
        <v>0</v>
      </c>
      <c r="N759" s="14" t="n">
        <v>647357.9799442067</v>
      </c>
      <c r="O759" s="14" t="n">
        <v>805219.8763625798</v>
      </c>
      <c r="P759" s="14" t="n">
        <v>7130.464967944576</v>
      </c>
      <c r="Q759" s="14" t="n">
        <v>6064304.159519807</v>
      </c>
      <c r="R759" s="15">
        <f>IF(D759=1,"Section 1","Control")</f>
        <v/>
      </c>
      <c r="S759" s="16">
        <f>N759/10000</f>
        <v/>
      </c>
      <c r="T759" s="16">
        <f>P759/10000</f>
        <v/>
      </c>
      <c r="U759" s="15">
        <f>IF(N759&gt;=Summary!$D$3,1,0)</f>
        <v/>
      </c>
      <c r="V759" s="17">
        <f>IF(N759&gt;0,P759/N759,"")</f>
        <v/>
      </c>
      <c r="W759" s="17">
        <f>IF(O759&gt;0,H759/O759,"")</f>
        <v/>
      </c>
    </row>
    <row r="760">
      <c r="A760" s="13" t="inlineStr">
        <is>
          <t>T28_B1</t>
        </is>
      </c>
      <c r="B760" s="13" t="inlineStr">
        <is>
          <t>T28</t>
        </is>
      </c>
      <c r="C760" s="13" t="inlineStr">
        <is>
          <t>B1</t>
        </is>
      </c>
      <c r="D760" s="13" t="n">
        <v>1</v>
      </c>
      <c r="E760" s="13" t="inlineStr">
        <is>
          <t>S1</t>
        </is>
      </c>
      <c r="F760" s="13" t="n">
        <v>2022</v>
      </c>
      <c r="G760" s="14" t="n">
        <v>1002989.603194831</v>
      </c>
      <c r="H760" s="14" t="n">
        <v>581853.5234216128</v>
      </c>
      <c r="I760" s="14" t="n">
        <v>141386.0809372546</v>
      </c>
      <c r="J760" s="14" t="n">
        <v>41154.39117632099</v>
      </c>
      <c r="K760" s="14" t="n">
        <v>43749.60488658231</v>
      </c>
      <c r="L760" s="14" t="n">
        <v>194846.0027730605</v>
      </c>
      <c r="M760" s="14" t="n">
        <v>0</v>
      </c>
      <c r="N760" s="14" t="n">
        <v>647357.9799442067</v>
      </c>
      <c r="O760" s="14" t="n">
        <v>805219.8763625798</v>
      </c>
      <c r="P760" s="14" t="n">
        <v>79111.10320691875</v>
      </c>
      <c r="Q760" s="14" t="n">
        <v>6064304.159519807</v>
      </c>
      <c r="R760" s="15">
        <f>IF(D760=1,"Section 1","Control")</f>
        <v/>
      </c>
      <c r="S760" s="16">
        <f>N760/10000</f>
        <v/>
      </c>
      <c r="T760" s="16">
        <f>P760/10000</f>
        <v/>
      </c>
      <c r="U760" s="15">
        <f>IF(N760&gt;=Summary!$D$3,1,0)</f>
        <v/>
      </c>
      <c r="V760" s="17">
        <f>IF(N760&gt;0,P760/N760,"")</f>
        <v/>
      </c>
      <c r="W760" s="17">
        <f>IF(O760&gt;0,H760/O760,"")</f>
        <v/>
      </c>
    </row>
    <row r="761">
      <c r="A761" s="13" t="inlineStr">
        <is>
          <t>T28_B1</t>
        </is>
      </c>
      <c r="B761" s="13" t="inlineStr">
        <is>
          <t>T28</t>
        </is>
      </c>
      <c r="C761" s="13" t="inlineStr">
        <is>
          <t>B1</t>
        </is>
      </c>
      <c r="D761" s="13" t="n">
        <v>1</v>
      </c>
      <c r="E761" s="13" t="inlineStr">
        <is>
          <t>S1</t>
        </is>
      </c>
      <c r="F761" s="13" t="n">
        <v>2023</v>
      </c>
      <c r="G761" s="14" t="n">
        <v>1002989.603194831</v>
      </c>
      <c r="H761" s="14" t="n">
        <v>553455.5371817197</v>
      </c>
      <c r="I761" s="14" t="n">
        <v>134640.742747707</v>
      </c>
      <c r="J761" s="14" t="n">
        <v>41845.45292101093</v>
      </c>
      <c r="K761" s="14" t="n">
        <v>60717.43560099883</v>
      </c>
      <c r="L761" s="14" t="n">
        <v>212330.434743395</v>
      </c>
      <c r="M761" s="14" t="n">
        <v>0</v>
      </c>
      <c r="N761" s="14" t="n">
        <v>647357.9799442067</v>
      </c>
      <c r="O761" s="14" t="n">
        <v>805219.8763625798</v>
      </c>
      <c r="P761" s="14" t="n">
        <v>106464.1723399742</v>
      </c>
      <c r="Q761" s="14" t="n">
        <v>6064304.159519807</v>
      </c>
      <c r="R761" s="15">
        <f>IF(D761=1,"Section 1","Control")</f>
        <v/>
      </c>
      <c r="S761" s="16">
        <f>N761/10000</f>
        <v/>
      </c>
      <c r="T761" s="16">
        <f>P761/10000</f>
        <v/>
      </c>
      <c r="U761" s="15">
        <f>IF(N761&gt;=Summary!$D$3,1,0)</f>
        <v/>
      </c>
      <c r="V761" s="17">
        <f>IF(N761&gt;0,P761/N761,"")</f>
        <v/>
      </c>
      <c r="W761" s="17">
        <f>IF(O761&gt;0,H761/O761,"")</f>
        <v/>
      </c>
    </row>
    <row r="762">
      <c r="A762" s="13" t="inlineStr">
        <is>
          <t>T28_B1</t>
        </is>
      </c>
      <c r="B762" s="13" t="inlineStr">
        <is>
          <t>T28</t>
        </is>
      </c>
      <c r="C762" s="13" t="inlineStr">
        <is>
          <t>B1</t>
        </is>
      </c>
      <c r="D762" s="13" t="n">
        <v>1</v>
      </c>
      <c r="E762" s="13" t="inlineStr">
        <is>
          <t>S1</t>
        </is>
      </c>
      <c r="F762" s="13" t="n">
        <v>2024</v>
      </c>
      <c r="G762" s="14" t="n">
        <v>1002989.603194831</v>
      </c>
      <c r="H762" s="14" t="n">
        <v>540524.9132164749</v>
      </c>
      <c r="I762" s="14" t="n">
        <v>145448.0284067789</v>
      </c>
      <c r="J762" s="14" t="n">
        <v>42141.62224016376</v>
      </c>
      <c r="K762" s="14" t="n">
        <v>69363.84234245151</v>
      </c>
      <c r="L762" s="14" t="n">
        <v>205511.1969889622</v>
      </c>
      <c r="M762" s="14" t="n">
        <v>0</v>
      </c>
      <c r="N762" s="14" t="n">
        <v>647357.9799442067</v>
      </c>
      <c r="O762" s="14" t="n">
        <v>805219.8763625798</v>
      </c>
      <c r="P762" s="14" t="n">
        <v>143553.6507811004</v>
      </c>
      <c r="Q762" s="14" t="n">
        <v>6064304.159519807</v>
      </c>
      <c r="R762" s="15">
        <f>IF(D762=1,"Section 1","Control")</f>
        <v/>
      </c>
      <c r="S762" s="16">
        <f>N762/10000</f>
        <v/>
      </c>
      <c r="T762" s="16">
        <f>P762/10000</f>
        <v/>
      </c>
      <c r="U762" s="15">
        <f>IF(N762&gt;=Summary!$D$3,1,0)</f>
        <v/>
      </c>
      <c r="V762" s="17">
        <f>IF(N762&gt;0,P762/N762,"")</f>
        <v/>
      </c>
      <c r="W762" s="17">
        <f>IF(O762&gt;0,H762/O762,"")</f>
        <v/>
      </c>
    </row>
    <row r="763">
      <c r="A763" s="13" t="inlineStr">
        <is>
          <t>T28_B1</t>
        </is>
      </c>
      <c r="B763" s="13" t="inlineStr">
        <is>
          <t>T28</t>
        </is>
      </c>
      <c r="C763" s="13" t="inlineStr">
        <is>
          <t>B1</t>
        </is>
      </c>
      <c r="D763" s="13" t="n">
        <v>1</v>
      </c>
      <c r="E763" s="13" t="inlineStr">
        <is>
          <t>S1</t>
        </is>
      </c>
      <c r="F763" s="13" t="n">
        <v>2025</v>
      </c>
      <c r="G763" s="14" t="n">
        <v>1002989.603194831</v>
      </c>
      <c r="H763" s="14" t="n">
        <v>481249.8048565135</v>
      </c>
      <c r="I763" s="14" t="n">
        <v>201763.417010528</v>
      </c>
      <c r="J763" s="14" t="n">
        <v>42141.62224016376</v>
      </c>
      <c r="K763" s="14" t="n">
        <v>68959.68600804945</v>
      </c>
      <c r="L763" s="14" t="n">
        <v>208875.0730795766</v>
      </c>
      <c r="M763" s="14" t="n">
        <v>0</v>
      </c>
      <c r="N763" s="14" t="n">
        <v>647357.9799442067</v>
      </c>
      <c r="O763" s="14" t="n">
        <v>805219.8763625798</v>
      </c>
      <c r="P763" s="14" t="n">
        <v>178104.6736194685</v>
      </c>
      <c r="Q763" s="14" t="n">
        <v>6064304.159519807</v>
      </c>
      <c r="R763" s="15">
        <f>IF(D763=1,"Section 1","Control")</f>
        <v/>
      </c>
      <c r="S763" s="16">
        <f>N763/10000</f>
        <v/>
      </c>
      <c r="T763" s="16">
        <f>P763/10000</f>
        <v/>
      </c>
      <c r="U763" s="15">
        <f>IF(N763&gt;=Summary!$D$3,1,0)</f>
        <v/>
      </c>
      <c r="V763" s="17">
        <f>IF(N763&gt;0,P763/N763,"")</f>
        <v/>
      </c>
      <c r="W763" s="17">
        <f>IF(O763&gt;0,H763/O763,"")</f>
        <v/>
      </c>
    </row>
    <row r="764">
      <c r="A764" s="13" t="inlineStr">
        <is>
          <t>T28_B1</t>
        </is>
      </c>
      <c r="B764" s="13" t="inlineStr">
        <is>
          <t>T28</t>
        </is>
      </c>
      <c r="C764" s="13" t="inlineStr">
        <is>
          <t>B1</t>
        </is>
      </c>
      <c r="D764" s="13" t="n">
        <v>1</v>
      </c>
      <c r="E764" s="13" t="inlineStr">
        <is>
          <t>S1</t>
        </is>
      </c>
      <c r="F764" s="13" t="n">
        <v>2026</v>
      </c>
      <c r="G764" s="14" t="n">
        <v>1002989.603194831</v>
      </c>
      <c r="H764" s="14" t="n">
        <v>528820.2764353434</v>
      </c>
      <c r="I764" s="14" t="n">
        <v>117135.4827379713</v>
      </c>
      <c r="J764" s="14" t="n">
        <v>42141.62224016376</v>
      </c>
      <c r="K764" s="14" t="n">
        <v>115076.4063791911</v>
      </c>
      <c r="L764" s="14" t="n">
        <v>199815.8154021619</v>
      </c>
      <c r="M764" s="14" t="n">
        <v>0</v>
      </c>
      <c r="N764" s="14" t="n">
        <v>647357.9799442067</v>
      </c>
      <c r="O764" s="14" t="n">
        <v>805219.8763625798</v>
      </c>
      <c r="P764" s="14" t="n">
        <v>153307.4419018913</v>
      </c>
      <c r="Q764" s="14" t="n">
        <v>6064304.159519807</v>
      </c>
      <c r="R764" s="15">
        <f>IF(D764=1,"Section 1","Control")</f>
        <v/>
      </c>
      <c r="S764" s="16">
        <f>N764/10000</f>
        <v/>
      </c>
      <c r="T764" s="16">
        <f>P764/10000</f>
        <v/>
      </c>
      <c r="U764" s="15">
        <f>IF(N764&gt;=Summary!$D$3,1,0)</f>
        <v/>
      </c>
      <c r="V764" s="17">
        <f>IF(N764&gt;0,P764/N764,"")</f>
        <v/>
      </c>
      <c r="W764" s="17">
        <f>IF(O764&gt;0,H764/O764,"")</f>
        <v/>
      </c>
    </row>
    <row r="765">
      <c r="A765" s="13" t="inlineStr">
        <is>
          <t>T28_B2</t>
        </is>
      </c>
      <c r="B765" s="13" t="inlineStr">
        <is>
          <t>T28</t>
        </is>
      </c>
      <c r="C765" s="13" t="inlineStr">
        <is>
          <t>B2</t>
        </is>
      </c>
      <c r="D765" s="13" t="n">
        <v>1</v>
      </c>
      <c r="E765" s="13" t="inlineStr">
        <is>
          <t>S1</t>
        </is>
      </c>
      <c r="F765" s="13" t="n">
        <v>2020</v>
      </c>
      <c r="G765" s="14" t="n">
        <v>1002231.129568601</v>
      </c>
      <c r="H765" s="14" t="n">
        <v>429210.5908998676</v>
      </c>
      <c r="I765" s="14" t="n">
        <v>29574.67461209765</v>
      </c>
      <c r="J765" s="14" t="n">
        <v>0</v>
      </c>
      <c r="K765" s="14" t="n">
        <v>57425.2021636963</v>
      </c>
      <c r="L765" s="14" t="n">
        <v>486020.6618929397</v>
      </c>
      <c r="M765" s="14" t="n">
        <v>0</v>
      </c>
      <c r="N765" s="14" t="n">
        <v>429210.5908998676</v>
      </c>
      <c r="O765" s="14" t="n">
        <v>516210.4676756617</v>
      </c>
      <c r="P765" s="14" t="n">
        <v>0</v>
      </c>
      <c r="Q765" s="14" t="n">
        <v>3820643.346562377</v>
      </c>
      <c r="R765" s="15">
        <f>IF(D765=1,"Section 1","Control")</f>
        <v/>
      </c>
      <c r="S765" s="16">
        <f>N765/10000</f>
        <v/>
      </c>
      <c r="T765" s="16">
        <f>P765/10000</f>
        <v/>
      </c>
      <c r="U765" s="15">
        <f>IF(N765&gt;=Summary!$D$3,1,0)</f>
        <v/>
      </c>
      <c r="V765" s="17">
        <f>IF(N765&gt;0,P765/N765,"")</f>
        <v/>
      </c>
      <c r="W765" s="17">
        <f>IF(O765&gt;0,H765/O765,"")</f>
        <v/>
      </c>
    </row>
    <row r="766">
      <c r="A766" s="13" t="inlineStr">
        <is>
          <t>T28_B2</t>
        </is>
      </c>
      <c r="B766" s="13" t="inlineStr">
        <is>
          <t>T28</t>
        </is>
      </c>
      <c r="C766" s="13" t="inlineStr">
        <is>
          <t>B2</t>
        </is>
      </c>
      <c r="D766" s="13" t="n">
        <v>1</v>
      </c>
      <c r="E766" s="13" t="inlineStr">
        <is>
          <t>S1</t>
        </is>
      </c>
      <c r="F766" s="13" t="n">
        <v>2021</v>
      </c>
      <c r="G766" s="14" t="n">
        <v>1002231.129568601</v>
      </c>
      <c r="H766" s="14" t="n">
        <v>431991.9148583805</v>
      </c>
      <c r="I766" s="14" t="n">
        <v>11004.92183831907</v>
      </c>
      <c r="J766" s="14" t="n">
        <v>0</v>
      </c>
      <c r="K766" s="14" t="n">
        <v>75582.94469203576</v>
      </c>
      <c r="L766" s="14" t="n">
        <v>483651.3481798659</v>
      </c>
      <c r="M766" s="14" t="n">
        <v>0</v>
      </c>
      <c r="N766" s="14" t="n">
        <v>429210.5908998676</v>
      </c>
      <c r="O766" s="14" t="n">
        <v>516210.4676756617</v>
      </c>
      <c r="P766" s="14" t="n">
        <v>18724.13482058656</v>
      </c>
      <c r="Q766" s="14" t="n">
        <v>3820643.346562377</v>
      </c>
      <c r="R766" s="15">
        <f>IF(D766=1,"Section 1","Control")</f>
        <v/>
      </c>
      <c r="S766" s="16">
        <f>N766/10000</f>
        <v/>
      </c>
      <c r="T766" s="16">
        <f>P766/10000</f>
        <v/>
      </c>
      <c r="U766" s="15">
        <f>IF(N766&gt;=Summary!$D$3,1,0)</f>
        <v/>
      </c>
      <c r="V766" s="17">
        <f>IF(N766&gt;0,P766/N766,"")</f>
        <v/>
      </c>
      <c r="W766" s="17">
        <f>IF(O766&gt;0,H766/O766,"")</f>
        <v/>
      </c>
    </row>
    <row r="767">
      <c r="A767" s="13" t="inlineStr">
        <is>
          <t>T28_B2</t>
        </is>
      </c>
      <c r="B767" s="13" t="inlineStr">
        <is>
          <t>T28</t>
        </is>
      </c>
      <c r="C767" s="13" t="inlineStr">
        <is>
          <t>B2</t>
        </is>
      </c>
      <c r="D767" s="13" t="n">
        <v>1</v>
      </c>
      <c r="E767" s="13" t="inlineStr">
        <is>
          <t>S1</t>
        </is>
      </c>
      <c r="F767" s="13" t="n">
        <v>2022</v>
      </c>
      <c r="G767" s="14" t="n">
        <v>1002231.129568601</v>
      </c>
      <c r="H767" s="14" t="n">
        <v>419391.9507280835</v>
      </c>
      <c r="I767" s="14" t="n">
        <v>24231.2827241187</v>
      </c>
      <c r="J767" s="14" t="n">
        <v>0</v>
      </c>
      <c r="K767" s="14" t="n">
        <v>75746.31926832013</v>
      </c>
      <c r="L767" s="14" t="n">
        <v>482861.5768480788</v>
      </c>
      <c r="M767" s="14" t="n">
        <v>0</v>
      </c>
      <c r="N767" s="14" t="n">
        <v>429210.5908998676</v>
      </c>
      <c r="O767" s="14" t="n">
        <v>516210.4676756617</v>
      </c>
      <c r="P767" s="14" t="n">
        <v>28706.61799361285</v>
      </c>
      <c r="Q767" s="14" t="n">
        <v>3820643.346562377</v>
      </c>
      <c r="R767" s="15">
        <f>IF(D767=1,"Section 1","Control")</f>
        <v/>
      </c>
      <c r="S767" s="16">
        <f>N767/10000</f>
        <v/>
      </c>
      <c r="T767" s="16">
        <f>P767/10000</f>
        <v/>
      </c>
      <c r="U767" s="15">
        <f>IF(N767&gt;=Summary!$D$3,1,0)</f>
        <v/>
      </c>
      <c r="V767" s="17">
        <f>IF(N767&gt;0,P767/N767,"")</f>
        <v/>
      </c>
      <c r="W767" s="17">
        <f>IF(O767&gt;0,H767/O767,"")</f>
        <v/>
      </c>
    </row>
    <row r="768">
      <c r="A768" s="13" t="inlineStr">
        <is>
          <t>T28_B2</t>
        </is>
      </c>
      <c r="B768" s="13" t="inlineStr">
        <is>
          <t>T28</t>
        </is>
      </c>
      <c r="C768" s="13" t="inlineStr">
        <is>
          <t>B2</t>
        </is>
      </c>
      <c r="D768" s="13" t="n">
        <v>1</v>
      </c>
      <c r="E768" s="13" t="inlineStr">
        <is>
          <t>S1</t>
        </is>
      </c>
      <c r="F768" s="13" t="n">
        <v>2023</v>
      </c>
      <c r="G768" s="14" t="n">
        <v>1002231.129568601</v>
      </c>
      <c r="H768" s="14" t="n">
        <v>422873.1646525064</v>
      </c>
      <c r="I768" s="14" t="n">
        <v>14864.7257226383</v>
      </c>
      <c r="J768" s="14" t="n">
        <v>0</v>
      </c>
      <c r="K768" s="14" t="n">
        <v>80052.11946818033</v>
      </c>
      <c r="L768" s="14" t="n">
        <v>484441.1197252761</v>
      </c>
      <c r="M768" s="14" t="n">
        <v>0</v>
      </c>
      <c r="N768" s="14" t="n">
        <v>429210.5908998676</v>
      </c>
      <c r="O768" s="14" t="n">
        <v>516210.4676756617</v>
      </c>
      <c r="P768" s="14" t="n">
        <v>32292.32330462886</v>
      </c>
      <c r="Q768" s="14" t="n">
        <v>3820643.346562377</v>
      </c>
      <c r="R768" s="15">
        <f>IF(D768=1,"Section 1","Control")</f>
        <v/>
      </c>
      <c r="S768" s="16">
        <f>N768/10000</f>
        <v/>
      </c>
      <c r="T768" s="16">
        <f>P768/10000</f>
        <v/>
      </c>
      <c r="U768" s="15">
        <f>IF(N768&gt;=Summary!$D$3,1,0)</f>
        <v/>
      </c>
      <c r="V768" s="17">
        <f>IF(N768&gt;0,P768/N768,"")</f>
        <v/>
      </c>
      <c r="W768" s="17">
        <f>IF(O768&gt;0,H768/O768,"")</f>
        <v/>
      </c>
    </row>
    <row r="769">
      <c r="A769" s="13" t="inlineStr">
        <is>
          <t>T28_B2</t>
        </is>
      </c>
      <c r="B769" s="13" t="inlineStr">
        <is>
          <t>T28</t>
        </is>
      </c>
      <c r="C769" s="13" t="inlineStr">
        <is>
          <t>B2</t>
        </is>
      </c>
      <c r="D769" s="13" t="n">
        <v>1</v>
      </c>
      <c r="E769" s="13" t="inlineStr">
        <is>
          <t>S1</t>
        </is>
      </c>
      <c r="F769" s="13" t="n">
        <v>2024</v>
      </c>
      <c r="G769" s="14" t="n">
        <v>1002231.129568601</v>
      </c>
      <c r="H769" s="14" t="n">
        <v>421099.6441096286</v>
      </c>
      <c r="I769" s="14" t="n">
        <v>16291.75553164014</v>
      </c>
      <c r="J769" s="14" t="n">
        <v>0</v>
      </c>
      <c r="K769" s="14" t="n">
        <v>81978.15307925355</v>
      </c>
      <c r="L769" s="14" t="n">
        <v>482861.5768480788</v>
      </c>
      <c r="M769" s="14" t="n">
        <v>0</v>
      </c>
      <c r="N769" s="14" t="n">
        <v>429210.5908998676</v>
      </c>
      <c r="O769" s="14" t="n">
        <v>516210.4676756617</v>
      </c>
      <c r="P769" s="14" t="n">
        <v>37944.22603960225</v>
      </c>
      <c r="Q769" s="14" t="n">
        <v>3820643.346562377</v>
      </c>
      <c r="R769" s="15">
        <f>IF(D769=1,"Section 1","Control")</f>
        <v/>
      </c>
      <c r="S769" s="16">
        <f>N769/10000</f>
        <v/>
      </c>
      <c r="T769" s="16">
        <f>P769/10000</f>
        <v/>
      </c>
      <c r="U769" s="15">
        <f>IF(N769&gt;=Summary!$D$3,1,0)</f>
        <v/>
      </c>
      <c r="V769" s="17">
        <f>IF(N769&gt;0,P769/N769,"")</f>
        <v/>
      </c>
      <c r="W769" s="17">
        <f>IF(O769&gt;0,H769/O769,"")</f>
        <v/>
      </c>
    </row>
    <row r="770">
      <c r="A770" s="13" t="inlineStr">
        <is>
          <t>T28_B2</t>
        </is>
      </c>
      <c r="B770" s="13" t="inlineStr">
        <is>
          <t>T28</t>
        </is>
      </c>
      <c r="C770" s="13" t="inlineStr">
        <is>
          <t>B2</t>
        </is>
      </c>
      <c r="D770" s="13" t="n">
        <v>1</v>
      </c>
      <c r="E770" s="13" t="inlineStr">
        <is>
          <t>S1</t>
        </is>
      </c>
      <c r="F770" s="13" t="n">
        <v>2025</v>
      </c>
      <c r="G770" s="14" t="n">
        <v>1002231.129568601</v>
      </c>
      <c r="H770" s="14" t="n">
        <v>421318.3762400009</v>
      </c>
      <c r="I770" s="14" t="n">
        <v>8881.844990928501</v>
      </c>
      <c r="J770" s="14" t="n">
        <v>0</v>
      </c>
      <c r="K770" s="14" t="n">
        <v>82456.27624514711</v>
      </c>
      <c r="L770" s="14" t="n">
        <v>489574.6320925246</v>
      </c>
      <c r="M770" s="14" t="n">
        <v>0</v>
      </c>
      <c r="N770" s="14" t="n">
        <v>429210.5908998676</v>
      </c>
      <c r="O770" s="14" t="n">
        <v>516210.4676756617</v>
      </c>
      <c r="P770" s="14" t="n">
        <v>42859.00587212059</v>
      </c>
      <c r="Q770" s="14" t="n">
        <v>3820643.346562377</v>
      </c>
      <c r="R770" s="15">
        <f>IF(D770=1,"Section 1","Control")</f>
        <v/>
      </c>
      <c r="S770" s="16">
        <f>N770/10000</f>
        <v/>
      </c>
      <c r="T770" s="16">
        <f>P770/10000</f>
        <v/>
      </c>
      <c r="U770" s="15">
        <f>IF(N770&gt;=Summary!$D$3,1,0)</f>
        <v/>
      </c>
      <c r="V770" s="17">
        <f>IF(N770&gt;0,P770/N770,"")</f>
        <v/>
      </c>
      <c r="W770" s="17">
        <f>IF(O770&gt;0,H770/O770,"")</f>
        <v/>
      </c>
    </row>
    <row r="771">
      <c r="A771" s="13" t="inlineStr">
        <is>
          <t>T28_B2</t>
        </is>
      </c>
      <c r="B771" s="13" t="inlineStr">
        <is>
          <t>T28</t>
        </is>
      </c>
      <c r="C771" s="13" t="inlineStr">
        <is>
          <t>B2</t>
        </is>
      </c>
      <c r="D771" s="13" t="n">
        <v>1</v>
      </c>
      <c r="E771" s="13" t="inlineStr">
        <is>
          <t>S1</t>
        </is>
      </c>
      <c r="F771" s="13" t="n">
        <v>2026</v>
      </c>
      <c r="G771" s="14" t="n">
        <v>1002231.129568601</v>
      </c>
      <c r="H771" s="14" t="n">
        <v>424172.0151191561</v>
      </c>
      <c r="I771" s="14" t="n">
        <v>7353.397998046876</v>
      </c>
      <c r="J771" s="14" t="n">
        <v>0</v>
      </c>
      <c r="K771" s="14" t="n">
        <v>78860.48935002346</v>
      </c>
      <c r="L771" s="14" t="n">
        <v>491845.2271013747</v>
      </c>
      <c r="M771" s="14" t="n">
        <v>0</v>
      </c>
      <c r="N771" s="14" t="n">
        <v>429210.5908998676</v>
      </c>
      <c r="O771" s="14" t="n">
        <v>516210.4676756617</v>
      </c>
      <c r="P771" s="14" t="n">
        <v>42372.36090207568</v>
      </c>
      <c r="Q771" s="14" t="n">
        <v>3820643.346562377</v>
      </c>
      <c r="R771" s="15">
        <f>IF(D771=1,"Section 1","Control")</f>
        <v/>
      </c>
      <c r="S771" s="16">
        <f>N771/10000</f>
        <v/>
      </c>
      <c r="T771" s="16">
        <f>P771/10000</f>
        <v/>
      </c>
      <c r="U771" s="15">
        <f>IF(N771&gt;=Summary!$D$3,1,0)</f>
        <v/>
      </c>
      <c r="V771" s="17">
        <f>IF(N771&gt;0,P771/N771,"")</f>
        <v/>
      </c>
      <c r="W771" s="17">
        <f>IF(O771&gt;0,H771/O771,"")</f>
        <v/>
      </c>
    </row>
    <row r="772">
      <c r="A772" s="13" t="inlineStr">
        <is>
          <t>T28_B3</t>
        </is>
      </c>
      <c r="B772" s="13" t="inlineStr">
        <is>
          <t>T28</t>
        </is>
      </c>
      <c r="C772" s="13" t="inlineStr">
        <is>
          <t>B3</t>
        </is>
      </c>
      <c r="D772" s="13" t="n">
        <v>1</v>
      </c>
      <c r="E772" s="13" t="inlineStr">
        <is>
          <t>S1</t>
        </is>
      </c>
      <c r="F772" s="13" t="n">
        <v>2020</v>
      </c>
      <c r="G772" s="14" t="n">
        <v>7893320.931776638</v>
      </c>
      <c r="H772" s="14" t="n">
        <v>2642932.843935529</v>
      </c>
      <c r="I772" s="14" t="n">
        <v>115060.6674477072</v>
      </c>
      <c r="J772" s="14" t="n">
        <v>0</v>
      </c>
      <c r="K772" s="14" t="n">
        <v>1808787.652748407</v>
      </c>
      <c r="L772" s="14" t="n">
        <v>3326539.767644994</v>
      </c>
      <c r="M772" s="14" t="n">
        <v>0</v>
      </c>
      <c r="N772" s="14" t="n">
        <v>2642932.843935529</v>
      </c>
      <c r="O772" s="14" t="n">
        <v>4566781.164131643</v>
      </c>
      <c r="P772" s="14" t="n">
        <v>0</v>
      </c>
      <c r="Q772" s="14" t="n">
        <v>36155498.4111244</v>
      </c>
      <c r="R772" s="15">
        <f>IF(D772=1,"Section 1","Control")</f>
        <v/>
      </c>
      <c r="S772" s="16">
        <f>N772/10000</f>
        <v/>
      </c>
      <c r="T772" s="16">
        <f>P772/10000</f>
        <v/>
      </c>
      <c r="U772" s="15">
        <f>IF(N772&gt;=Summary!$D$3,1,0)</f>
        <v/>
      </c>
      <c r="V772" s="17">
        <f>IF(N772&gt;0,P772/N772,"")</f>
        <v/>
      </c>
      <c r="W772" s="17">
        <f>IF(O772&gt;0,H772/O772,"")</f>
        <v/>
      </c>
    </row>
    <row r="773">
      <c r="A773" s="13" t="inlineStr">
        <is>
          <t>T28_B3</t>
        </is>
      </c>
      <c r="B773" s="13" t="inlineStr">
        <is>
          <t>T28</t>
        </is>
      </c>
      <c r="C773" s="13" t="inlineStr">
        <is>
          <t>B3</t>
        </is>
      </c>
      <c r="D773" s="13" t="n">
        <v>1</v>
      </c>
      <c r="E773" s="13" t="inlineStr">
        <is>
          <t>S1</t>
        </is>
      </c>
      <c r="F773" s="13" t="n">
        <v>2021</v>
      </c>
      <c r="G773" s="14" t="n">
        <v>7893320.931776639</v>
      </c>
      <c r="H773" s="14" t="n">
        <v>2218151.846073913</v>
      </c>
      <c r="I773" s="14" t="n">
        <v>83191.2693304623</v>
      </c>
      <c r="J773" s="14" t="n">
        <v>0</v>
      </c>
      <c r="K773" s="14" t="n">
        <v>2265438.048727267</v>
      </c>
      <c r="L773" s="14" t="n">
        <v>3326539.767644993</v>
      </c>
      <c r="M773" s="14" t="n">
        <v>0</v>
      </c>
      <c r="N773" s="14" t="n">
        <v>2642932.843935529</v>
      </c>
      <c r="O773" s="14" t="n">
        <v>4566781.164131644</v>
      </c>
      <c r="P773" s="14" t="n">
        <v>456514.707700692</v>
      </c>
      <c r="Q773" s="14" t="n">
        <v>36155498.41112441</v>
      </c>
      <c r="R773" s="15">
        <f>IF(D773=1,"Section 1","Control")</f>
        <v/>
      </c>
      <c r="S773" s="16">
        <f>N773/10000</f>
        <v/>
      </c>
      <c r="T773" s="16">
        <f>P773/10000</f>
        <v/>
      </c>
      <c r="U773" s="15">
        <f>IF(N773&gt;=Summary!$D$3,1,0)</f>
        <v/>
      </c>
      <c r="V773" s="17">
        <f>IF(N773&gt;0,P773/N773,"")</f>
        <v/>
      </c>
      <c r="W773" s="17">
        <f>IF(O773&gt;0,H773/O773,"")</f>
        <v/>
      </c>
    </row>
    <row r="774">
      <c r="A774" s="13" t="inlineStr">
        <is>
          <t>T28_B3</t>
        </is>
      </c>
      <c r="B774" s="13" t="inlineStr">
        <is>
          <t>T28</t>
        </is>
      </c>
      <c r="C774" s="13" t="inlineStr">
        <is>
          <t>B3</t>
        </is>
      </c>
      <c r="D774" s="13" t="n">
        <v>1</v>
      </c>
      <c r="E774" s="13" t="inlineStr">
        <is>
          <t>S1</t>
        </is>
      </c>
      <c r="F774" s="13" t="n">
        <v>2022</v>
      </c>
      <c r="G774" s="14" t="n">
        <v>7893320.931776638</v>
      </c>
      <c r="H774" s="14" t="n">
        <v>1719544.153644188</v>
      </c>
      <c r="I774" s="14" t="n">
        <v>162174.5163523955</v>
      </c>
      <c r="J774" s="14" t="n">
        <v>0</v>
      </c>
      <c r="K774" s="14" t="n">
        <v>2685062.494135059</v>
      </c>
      <c r="L774" s="14" t="n">
        <v>3326539.767644993</v>
      </c>
      <c r="M774" s="14" t="n">
        <v>0</v>
      </c>
      <c r="N774" s="14" t="n">
        <v>2642932.843935528</v>
      </c>
      <c r="O774" s="14" t="n">
        <v>4566781.164131644</v>
      </c>
      <c r="P774" s="14" t="n">
        <v>942456.4847685868</v>
      </c>
      <c r="Q774" s="14" t="n">
        <v>36155498.41112441</v>
      </c>
      <c r="R774" s="15">
        <f>IF(D774=1,"Section 1","Control")</f>
        <v/>
      </c>
      <c r="S774" s="16">
        <f>N774/10000</f>
        <v/>
      </c>
      <c r="T774" s="16">
        <f>P774/10000</f>
        <v/>
      </c>
      <c r="U774" s="15">
        <f>IF(N774&gt;=Summary!$D$3,1,0)</f>
        <v/>
      </c>
      <c r="V774" s="17">
        <f>IF(N774&gt;0,P774/N774,"")</f>
        <v/>
      </c>
      <c r="W774" s="17">
        <f>IF(O774&gt;0,H774/O774,"")</f>
        <v/>
      </c>
    </row>
    <row r="775">
      <c r="A775" s="13" t="inlineStr">
        <is>
          <t>T28_B3</t>
        </is>
      </c>
      <c r="B775" s="13" t="inlineStr">
        <is>
          <t>T28</t>
        </is>
      </c>
      <c r="C775" s="13" t="inlineStr">
        <is>
          <t>B3</t>
        </is>
      </c>
      <c r="D775" s="13" t="n">
        <v>1</v>
      </c>
      <c r="E775" s="13" t="inlineStr">
        <is>
          <t>S1</t>
        </is>
      </c>
      <c r="F775" s="13" t="n">
        <v>2023</v>
      </c>
      <c r="G775" s="14" t="n">
        <v>7893320.931776638</v>
      </c>
      <c r="H775" s="14" t="n">
        <v>1682081.522646556</v>
      </c>
      <c r="I775" s="14" t="n">
        <v>145430.2059243894</v>
      </c>
      <c r="J775" s="14" t="n">
        <v>0</v>
      </c>
      <c r="K775" s="14" t="n">
        <v>2739269.435560698</v>
      </c>
      <c r="L775" s="14" t="n">
        <v>3326539.767644993</v>
      </c>
      <c r="M775" s="14" t="n">
        <v>0</v>
      </c>
      <c r="N775" s="14" t="n">
        <v>2642932.843935528</v>
      </c>
      <c r="O775" s="14" t="n">
        <v>4566781.164131642</v>
      </c>
      <c r="P775" s="14" t="n">
        <v>989747.2468288346</v>
      </c>
      <c r="Q775" s="14" t="n">
        <v>36155498.4111244</v>
      </c>
      <c r="R775" s="15">
        <f>IF(D775=1,"Section 1","Control")</f>
        <v/>
      </c>
      <c r="S775" s="16">
        <f>N775/10000</f>
        <v/>
      </c>
      <c r="T775" s="16">
        <f>P775/10000</f>
        <v/>
      </c>
      <c r="U775" s="15">
        <f>IF(N775&gt;=Summary!$D$3,1,0)</f>
        <v/>
      </c>
      <c r="V775" s="17">
        <f>IF(N775&gt;0,P775/N775,"")</f>
        <v/>
      </c>
      <c r="W775" s="17">
        <f>IF(O775&gt;0,H775/O775,"")</f>
        <v/>
      </c>
    </row>
    <row r="776">
      <c r="A776" s="13" t="inlineStr">
        <is>
          <t>T28_B3</t>
        </is>
      </c>
      <c r="B776" s="13" t="inlineStr">
        <is>
          <t>T28</t>
        </is>
      </c>
      <c r="C776" s="13" t="inlineStr">
        <is>
          <t>B3</t>
        </is>
      </c>
      <c r="D776" s="13" t="n">
        <v>1</v>
      </c>
      <c r="E776" s="13" t="inlineStr">
        <is>
          <t>S1</t>
        </is>
      </c>
      <c r="F776" s="13" t="n">
        <v>2024</v>
      </c>
      <c r="G776" s="14" t="n">
        <v>7893320.931776638</v>
      </c>
      <c r="H776" s="14" t="n">
        <v>1619074.202389676</v>
      </c>
      <c r="I776" s="14" t="n">
        <v>119517.3131100524</v>
      </c>
      <c r="J776" s="14" t="n">
        <v>0</v>
      </c>
      <c r="K776" s="14" t="n">
        <v>2828189.648631915</v>
      </c>
      <c r="L776" s="14" t="n">
        <v>3326539.767644993</v>
      </c>
      <c r="M776" s="14" t="n">
        <v>0</v>
      </c>
      <c r="N776" s="14" t="n">
        <v>2642932.843935529</v>
      </c>
      <c r="O776" s="14" t="n">
        <v>4566781.164131644</v>
      </c>
      <c r="P776" s="14" t="n">
        <v>1056067.702624063</v>
      </c>
      <c r="Q776" s="14" t="n">
        <v>36155498.41112441</v>
      </c>
      <c r="R776" s="15">
        <f>IF(D776=1,"Section 1","Control")</f>
        <v/>
      </c>
      <c r="S776" s="16">
        <f>N776/10000</f>
        <v/>
      </c>
      <c r="T776" s="16">
        <f>P776/10000</f>
        <v/>
      </c>
      <c r="U776" s="15">
        <f>IF(N776&gt;=Summary!$D$3,1,0)</f>
        <v/>
      </c>
      <c r="V776" s="17">
        <f>IF(N776&gt;0,P776/N776,"")</f>
        <v/>
      </c>
      <c r="W776" s="17">
        <f>IF(O776&gt;0,H776/O776,"")</f>
        <v/>
      </c>
    </row>
    <row r="777">
      <c r="A777" s="13" t="inlineStr">
        <is>
          <t>T28_B3</t>
        </is>
      </c>
      <c r="B777" s="13" t="inlineStr">
        <is>
          <t>T28</t>
        </is>
      </c>
      <c r="C777" s="13" t="inlineStr">
        <is>
          <t>B3</t>
        </is>
      </c>
      <c r="D777" s="13" t="n">
        <v>1</v>
      </c>
      <c r="E777" s="13" t="inlineStr">
        <is>
          <t>S1</t>
        </is>
      </c>
      <c r="F777" s="13" t="n">
        <v>2025</v>
      </c>
      <c r="G777" s="14" t="n">
        <v>7893320.931776638</v>
      </c>
      <c r="H777" s="14" t="n">
        <v>1589160.26291477</v>
      </c>
      <c r="I777" s="14" t="n">
        <v>114264.0186214372</v>
      </c>
      <c r="J777" s="14" t="n">
        <v>0</v>
      </c>
      <c r="K777" s="14" t="n">
        <v>2863356.882595436</v>
      </c>
      <c r="L777" s="14" t="n">
        <v>3326539.767644993</v>
      </c>
      <c r="M777" s="14" t="n">
        <v>0</v>
      </c>
      <c r="N777" s="14" t="n">
        <v>2642932.843935528</v>
      </c>
      <c r="O777" s="14" t="n">
        <v>4566781.164131643</v>
      </c>
      <c r="P777" s="14" t="n">
        <v>1085193.767363066</v>
      </c>
      <c r="Q777" s="14" t="n">
        <v>36155498.41112441</v>
      </c>
      <c r="R777" s="15">
        <f>IF(D777=1,"Section 1","Control")</f>
        <v/>
      </c>
      <c r="S777" s="16">
        <f>N777/10000</f>
        <v/>
      </c>
      <c r="T777" s="16">
        <f>P777/10000</f>
        <v/>
      </c>
      <c r="U777" s="15">
        <f>IF(N777&gt;=Summary!$D$3,1,0)</f>
        <v/>
      </c>
      <c r="V777" s="17">
        <f>IF(N777&gt;0,P777/N777,"")</f>
        <v/>
      </c>
      <c r="W777" s="17">
        <f>IF(O777&gt;0,H777/O777,"")</f>
        <v/>
      </c>
    </row>
    <row r="778">
      <c r="A778" s="13" t="inlineStr">
        <is>
          <t>T28_B3</t>
        </is>
      </c>
      <c r="B778" s="13" t="inlineStr">
        <is>
          <t>T28</t>
        </is>
      </c>
      <c r="C778" s="13" t="inlineStr">
        <is>
          <t>B3</t>
        </is>
      </c>
      <c r="D778" s="13" t="n">
        <v>1</v>
      </c>
      <c r="E778" s="13" t="inlineStr">
        <is>
          <t>S1</t>
        </is>
      </c>
      <c r="F778" s="13" t="n">
        <v>2026</v>
      </c>
      <c r="G778" s="14" t="n">
        <v>7893320.931776639</v>
      </c>
      <c r="H778" s="14" t="n">
        <v>1520269.555148076</v>
      </c>
      <c r="I778" s="14" t="n">
        <v>123289.3936088113</v>
      </c>
      <c r="J778" s="14" t="n">
        <v>0</v>
      </c>
      <c r="K778" s="14" t="n">
        <v>2923222.215374756</v>
      </c>
      <c r="L778" s="14" t="n">
        <v>3326539.767644993</v>
      </c>
      <c r="M778" s="14" t="n">
        <v>0</v>
      </c>
      <c r="N778" s="14" t="n">
        <v>2642932.843935529</v>
      </c>
      <c r="O778" s="14" t="n">
        <v>4566781.164131644</v>
      </c>
      <c r="P778" s="14" t="n">
        <v>1156808.704345194</v>
      </c>
      <c r="Q778" s="14" t="n">
        <v>36155498.41112441</v>
      </c>
      <c r="R778" s="15">
        <f>IF(D778=1,"Section 1","Control")</f>
        <v/>
      </c>
      <c r="S778" s="16">
        <f>N778/10000</f>
        <v/>
      </c>
      <c r="T778" s="16">
        <f>P778/10000</f>
        <v/>
      </c>
      <c r="U778" s="15">
        <f>IF(N778&gt;=Summary!$D$3,1,0)</f>
        <v/>
      </c>
      <c r="V778" s="17">
        <f>IF(N778&gt;0,P778/N778,"")</f>
        <v/>
      </c>
      <c r="W778" s="17">
        <f>IF(O778&gt;0,H778/O778,"")</f>
        <v/>
      </c>
    </row>
    <row r="779">
      <c r="A779" s="13" t="inlineStr">
        <is>
          <t>T28_F</t>
        </is>
      </c>
      <c r="B779" s="13" t="inlineStr">
        <is>
          <t>T28</t>
        </is>
      </c>
      <c r="C779" s="13" t="inlineStr">
        <is>
          <t>F</t>
        </is>
      </c>
      <c r="D779" s="13" t="n">
        <v>1</v>
      </c>
      <c r="E779" s="13" t="inlineStr">
        <is>
          <t>S1</t>
        </is>
      </c>
      <c r="F779" s="13" t="n">
        <v>2020</v>
      </c>
      <c r="G779" s="14" t="n">
        <v>69650.60441095689</v>
      </c>
      <c r="H779" s="14" t="n">
        <v>69650.60441095689</v>
      </c>
      <c r="I779" s="14" t="n">
        <v>0</v>
      </c>
      <c r="J779" s="14" t="n">
        <v>0</v>
      </c>
      <c r="K779" s="14" t="n">
        <v>0</v>
      </c>
      <c r="L779" s="14" t="n">
        <v>0</v>
      </c>
      <c r="M779" s="14" t="n">
        <v>0</v>
      </c>
      <c r="N779" s="14" t="n">
        <v>69650.60441095689</v>
      </c>
      <c r="O779" s="14" t="n">
        <v>69650.60441095689</v>
      </c>
      <c r="P779" s="14" t="n">
        <v>0</v>
      </c>
      <c r="Q779" s="14" t="n">
        <v>710423.9952744428</v>
      </c>
      <c r="R779" s="15">
        <f>IF(D779=1,"Section 1","Control")</f>
        <v/>
      </c>
      <c r="S779" s="16">
        <f>N779/10000</f>
        <v/>
      </c>
      <c r="T779" s="16">
        <f>P779/10000</f>
        <v/>
      </c>
      <c r="U779" s="15">
        <f>IF(N779&gt;=Summary!$D$3,1,0)</f>
        <v/>
      </c>
      <c r="V779" s="17">
        <f>IF(N779&gt;0,P779/N779,"")</f>
        <v/>
      </c>
      <c r="W779" s="17">
        <f>IF(O779&gt;0,H779/O779,"")</f>
        <v/>
      </c>
    </row>
    <row r="780">
      <c r="A780" s="13" t="inlineStr">
        <is>
          <t>T28_F</t>
        </is>
      </c>
      <c r="B780" s="13" t="inlineStr">
        <is>
          <t>T28</t>
        </is>
      </c>
      <c r="C780" s="13" t="inlineStr">
        <is>
          <t>F</t>
        </is>
      </c>
      <c r="D780" s="13" t="n">
        <v>1</v>
      </c>
      <c r="E780" s="13" t="inlineStr">
        <is>
          <t>S1</t>
        </is>
      </c>
      <c r="F780" s="13" t="n">
        <v>2021</v>
      </c>
      <c r="G780" s="14" t="n">
        <v>69650.60441095689</v>
      </c>
      <c r="H780" s="14" t="n">
        <v>69650.60441095689</v>
      </c>
      <c r="I780" s="14" t="n">
        <v>0</v>
      </c>
      <c r="J780" s="14" t="n">
        <v>0</v>
      </c>
      <c r="K780" s="14" t="n">
        <v>0</v>
      </c>
      <c r="L780" s="14" t="n">
        <v>0</v>
      </c>
      <c r="M780" s="14" t="n">
        <v>0</v>
      </c>
      <c r="N780" s="14" t="n">
        <v>69650.60441095689</v>
      </c>
      <c r="O780" s="14" t="n">
        <v>69650.60441095689</v>
      </c>
      <c r="P780" s="14" t="n">
        <v>0</v>
      </c>
      <c r="Q780" s="14" t="n">
        <v>710423.9952744428</v>
      </c>
      <c r="R780" s="15">
        <f>IF(D780=1,"Section 1","Control")</f>
        <v/>
      </c>
      <c r="S780" s="16">
        <f>N780/10000</f>
        <v/>
      </c>
      <c r="T780" s="16">
        <f>P780/10000</f>
        <v/>
      </c>
      <c r="U780" s="15">
        <f>IF(N780&gt;=Summary!$D$3,1,0)</f>
        <v/>
      </c>
      <c r="V780" s="17">
        <f>IF(N780&gt;0,P780/N780,"")</f>
        <v/>
      </c>
      <c r="W780" s="17">
        <f>IF(O780&gt;0,H780/O780,"")</f>
        <v/>
      </c>
    </row>
    <row r="781">
      <c r="A781" s="13" t="inlineStr">
        <is>
          <t>T28_F</t>
        </is>
      </c>
      <c r="B781" s="13" t="inlineStr">
        <is>
          <t>T28</t>
        </is>
      </c>
      <c r="C781" s="13" t="inlineStr">
        <is>
          <t>F</t>
        </is>
      </c>
      <c r="D781" s="13" t="n">
        <v>1</v>
      </c>
      <c r="E781" s="13" t="inlineStr">
        <is>
          <t>S1</t>
        </is>
      </c>
      <c r="F781" s="13" t="n">
        <v>2022</v>
      </c>
      <c r="G781" s="14" t="n">
        <v>69650.60441095689</v>
      </c>
      <c r="H781" s="14" t="n">
        <v>48014.06122753665</v>
      </c>
      <c r="I781" s="14" t="n">
        <v>12660.12981310078</v>
      </c>
      <c r="J781" s="14" t="n">
        <v>0</v>
      </c>
      <c r="K781" s="14" t="n">
        <v>8976.41337031944</v>
      </c>
      <c r="L781" s="14" t="n">
        <v>0</v>
      </c>
      <c r="M781" s="14" t="n">
        <v>0</v>
      </c>
      <c r="N781" s="14" t="n">
        <v>69650.60441095689</v>
      </c>
      <c r="O781" s="14" t="n">
        <v>69650.60441095689</v>
      </c>
      <c r="P781" s="14" t="n">
        <v>21636.54318342022</v>
      </c>
      <c r="Q781" s="14" t="n">
        <v>710423.9952744428</v>
      </c>
      <c r="R781" s="15">
        <f>IF(D781=1,"Section 1","Control")</f>
        <v/>
      </c>
      <c r="S781" s="16">
        <f>N781/10000</f>
        <v/>
      </c>
      <c r="T781" s="16">
        <f>P781/10000</f>
        <v/>
      </c>
      <c r="U781" s="15">
        <f>IF(N781&gt;=Summary!$D$3,1,0)</f>
        <v/>
      </c>
      <c r="V781" s="17">
        <f>IF(N781&gt;0,P781/N781,"")</f>
        <v/>
      </c>
      <c r="W781" s="17">
        <f>IF(O781&gt;0,H781/O781,"")</f>
        <v/>
      </c>
    </row>
    <row r="782">
      <c r="A782" s="13" t="inlineStr">
        <is>
          <t>T28_F</t>
        </is>
      </c>
      <c r="B782" s="13" t="inlineStr">
        <is>
          <t>T28</t>
        </is>
      </c>
      <c r="C782" s="13" t="inlineStr">
        <is>
          <t>F</t>
        </is>
      </c>
      <c r="D782" s="13" t="n">
        <v>1</v>
      </c>
      <c r="E782" s="13" t="inlineStr">
        <is>
          <t>S1</t>
        </is>
      </c>
      <c r="F782" s="13" t="n">
        <v>2023</v>
      </c>
      <c r="G782" s="14" t="n">
        <v>69650.60441095689</v>
      </c>
      <c r="H782" s="14" t="n">
        <v>46900.23740901571</v>
      </c>
      <c r="I782" s="14" t="n">
        <v>20044.59020131429</v>
      </c>
      <c r="J782" s="14" t="n">
        <v>0</v>
      </c>
      <c r="K782" s="14" t="n">
        <v>2705.776800626867</v>
      </c>
      <c r="L782" s="14" t="n">
        <v>0</v>
      </c>
      <c r="M782" s="14" t="n">
        <v>0</v>
      </c>
      <c r="N782" s="14" t="n">
        <v>69650.60441095689</v>
      </c>
      <c r="O782" s="14" t="n">
        <v>69650.60441095689</v>
      </c>
      <c r="P782" s="14" t="n">
        <v>22750.36700194116</v>
      </c>
      <c r="Q782" s="14" t="n">
        <v>710423.9952744428</v>
      </c>
      <c r="R782" s="15">
        <f>IF(D782=1,"Section 1","Control")</f>
        <v/>
      </c>
      <c r="S782" s="16">
        <f>N782/10000</f>
        <v/>
      </c>
      <c r="T782" s="16">
        <f>P782/10000</f>
        <v/>
      </c>
      <c r="U782" s="15">
        <f>IF(N782&gt;=Summary!$D$3,1,0)</f>
        <v/>
      </c>
      <c r="V782" s="17">
        <f>IF(N782&gt;0,P782/N782,"")</f>
        <v/>
      </c>
      <c r="W782" s="17">
        <f>IF(O782&gt;0,H782/O782,"")</f>
        <v/>
      </c>
    </row>
    <row r="783">
      <c r="A783" s="13" t="inlineStr">
        <is>
          <t>T28_F</t>
        </is>
      </c>
      <c r="B783" s="13" t="inlineStr">
        <is>
          <t>T28</t>
        </is>
      </c>
      <c r="C783" s="13" t="inlineStr">
        <is>
          <t>F</t>
        </is>
      </c>
      <c r="D783" s="13" t="n">
        <v>1</v>
      </c>
      <c r="E783" s="13" t="inlineStr">
        <is>
          <t>S1</t>
        </is>
      </c>
      <c r="F783" s="13" t="n">
        <v>2024</v>
      </c>
      <c r="G783" s="14" t="n">
        <v>69650.60441095689</v>
      </c>
      <c r="H783" s="14" t="n">
        <v>51081.05149957995</v>
      </c>
      <c r="I783" s="14" t="n">
        <v>9104.559721643784</v>
      </c>
      <c r="J783" s="14" t="n">
        <v>0</v>
      </c>
      <c r="K783" s="14" t="n">
        <v>9464.99318973317</v>
      </c>
      <c r="L783" s="14" t="n">
        <v>0</v>
      </c>
      <c r="M783" s="14" t="n">
        <v>0</v>
      </c>
      <c r="N783" s="14" t="n">
        <v>69650.60441095689</v>
      </c>
      <c r="O783" s="14" t="n">
        <v>69650.60441095689</v>
      </c>
      <c r="P783" s="14" t="n">
        <v>18569.55291137695</v>
      </c>
      <c r="Q783" s="14" t="n">
        <v>710423.9952744428</v>
      </c>
      <c r="R783" s="15">
        <f>IF(D783=1,"Section 1","Control")</f>
        <v/>
      </c>
      <c r="S783" s="16">
        <f>N783/10000</f>
        <v/>
      </c>
      <c r="T783" s="16">
        <f>P783/10000</f>
        <v/>
      </c>
      <c r="U783" s="15">
        <f>IF(N783&gt;=Summary!$D$3,1,0)</f>
        <v/>
      </c>
      <c r="V783" s="17">
        <f>IF(N783&gt;0,P783/N783,"")</f>
        <v/>
      </c>
      <c r="W783" s="17">
        <f>IF(O783&gt;0,H783/O783,"")</f>
        <v/>
      </c>
    </row>
    <row r="784">
      <c r="A784" s="13" t="inlineStr">
        <is>
          <t>T28_F</t>
        </is>
      </c>
      <c r="B784" s="13" t="inlineStr">
        <is>
          <t>T28</t>
        </is>
      </c>
      <c r="C784" s="13" t="inlineStr">
        <is>
          <t>F</t>
        </is>
      </c>
      <c r="D784" s="13" t="n">
        <v>1</v>
      </c>
      <c r="E784" s="13" t="inlineStr">
        <is>
          <t>S1</t>
        </is>
      </c>
      <c r="F784" s="13" t="n">
        <v>2025</v>
      </c>
      <c r="G784" s="14" t="n">
        <v>69650.60441095689</v>
      </c>
      <c r="H784" s="14" t="n">
        <v>0</v>
      </c>
      <c r="I784" s="14" t="n">
        <v>32502.22286460727</v>
      </c>
      <c r="J784" s="14" t="n">
        <v>0</v>
      </c>
      <c r="K784" s="14" t="n">
        <v>37148.38154634963</v>
      </c>
      <c r="L784" s="14" t="n">
        <v>0</v>
      </c>
      <c r="M784" s="14" t="n">
        <v>0</v>
      </c>
      <c r="N784" s="14" t="n">
        <v>69650.60441095689</v>
      </c>
      <c r="O784" s="14" t="n">
        <v>69650.60441095689</v>
      </c>
      <c r="P784" s="14" t="n">
        <v>69650.60441095689</v>
      </c>
      <c r="Q784" s="14" t="n">
        <v>710423.9952744428</v>
      </c>
      <c r="R784" s="15">
        <f>IF(D784=1,"Section 1","Control")</f>
        <v/>
      </c>
      <c r="S784" s="16">
        <f>N784/10000</f>
        <v/>
      </c>
      <c r="T784" s="16">
        <f>P784/10000</f>
        <v/>
      </c>
      <c r="U784" s="15">
        <f>IF(N784&gt;=Summary!$D$3,1,0)</f>
        <v/>
      </c>
      <c r="V784" s="17">
        <f>IF(N784&gt;0,P784/N784,"")</f>
        <v/>
      </c>
      <c r="W784" s="17">
        <f>IF(O784&gt;0,H784/O784,"")</f>
        <v/>
      </c>
    </row>
    <row r="785">
      <c r="A785" s="13" t="inlineStr">
        <is>
          <t>T28_F</t>
        </is>
      </c>
      <c r="B785" s="13" t="inlineStr">
        <is>
          <t>T28</t>
        </is>
      </c>
      <c r="C785" s="13" t="inlineStr">
        <is>
          <t>F</t>
        </is>
      </c>
      <c r="D785" s="13" t="n">
        <v>1</v>
      </c>
      <c r="E785" s="13" t="inlineStr">
        <is>
          <t>S1</t>
        </is>
      </c>
      <c r="F785" s="13" t="n">
        <v>2026</v>
      </c>
      <c r="G785" s="14" t="n">
        <v>69650.60441095689</v>
      </c>
      <c r="H785" s="14" t="n">
        <v>0</v>
      </c>
      <c r="I785" s="14" t="n">
        <v>30514.9933355294</v>
      </c>
      <c r="J785" s="14" t="n">
        <v>0</v>
      </c>
      <c r="K785" s="14" t="n">
        <v>39135.61107542749</v>
      </c>
      <c r="L785" s="14" t="n">
        <v>0</v>
      </c>
      <c r="M785" s="14" t="n">
        <v>0</v>
      </c>
      <c r="N785" s="14" t="n">
        <v>69650.60441095689</v>
      </c>
      <c r="O785" s="14" t="n">
        <v>69650.60441095689</v>
      </c>
      <c r="P785" s="14" t="n">
        <v>69650.60441095689</v>
      </c>
      <c r="Q785" s="14" t="n">
        <v>710423.9952744428</v>
      </c>
      <c r="R785" s="15">
        <f>IF(D785=1,"Section 1","Control")</f>
        <v/>
      </c>
      <c r="S785" s="16">
        <f>N785/10000</f>
        <v/>
      </c>
      <c r="T785" s="16">
        <f>P785/10000</f>
        <v/>
      </c>
      <c r="U785" s="15">
        <f>IF(N785&gt;=Summary!$D$3,1,0)</f>
        <v/>
      </c>
      <c r="V785" s="17">
        <f>IF(N785&gt;0,P785/N785,"")</f>
        <v/>
      </c>
      <c r="W785" s="17">
        <f>IF(O785&gt;0,H785/O785,"")</f>
        <v/>
      </c>
    </row>
    <row r="786">
      <c r="A786" s="13" t="inlineStr">
        <is>
          <t>T29_B1</t>
        </is>
      </c>
      <c r="B786" s="13" t="inlineStr">
        <is>
          <t>T29</t>
        </is>
      </c>
      <c r="C786" s="13" t="inlineStr">
        <is>
          <t>B1</t>
        </is>
      </c>
      <c r="D786" s="13" t="n">
        <v>1</v>
      </c>
      <c r="E786" s="13" t="inlineStr">
        <is>
          <t>S1</t>
        </is>
      </c>
      <c r="F786" s="13" t="n">
        <v>2020</v>
      </c>
      <c r="G786" s="14" t="n">
        <v>991155.3370209635</v>
      </c>
      <c r="H786" s="14" t="n">
        <v>476776.9916581097</v>
      </c>
      <c r="I786" s="14" t="n">
        <v>74501.00082310697</v>
      </c>
      <c r="J786" s="14" t="n">
        <v>49496.63549517463</v>
      </c>
      <c r="K786" s="14" t="n">
        <v>144940.7203434065</v>
      </c>
      <c r="L786" s="14" t="n">
        <v>245439.9887011659</v>
      </c>
      <c r="M786" s="14" t="n">
        <v>0</v>
      </c>
      <c r="N786" s="14" t="n">
        <v>476776.9916581097</v>
      </c>
      <c r="O786" s="14" t="n">
        <v>745715.3483197979</v>
      </c>
      <c r="P786" s="14" t="n">
        <v>0</v>
      </c>
      <c r="Q786" s="14" t="n">
        <v>6149440.764641616</v>
      </c>
      <c r="R786" s="15">
        <f>IF(D786=1,"Section 1","Control")</f>
        <v/>
      </c>
      <c r="S786" s="16">
        <f>N786/10000</f>
        <v/>
      </c>
      <c r="T786" s="16">
        <f>P786/10000</f>
        <v/>
      </c>
      <c r="U786" s="15">
        <f>IF(N786&gt;=Summary!$D$3,1,0)</f>
        <v/>
      </c>
      <c r="V786" s="17">
        <f>IF(N786&gt;0,P786/N786,"")</f>
        <v/>
      </c>
      <c r="W786" s="17">
        <f>IF(O786&gt;0,H786/O786,"")</f>
        <v/>
      </c>
    </row>
    <row r="787">
      <c r="A787" s="13" t="inlineStr">
        <is>
          <t>T29_B1</t>
        </is>
      </c>
      <c r="B787" s="13" t="inlineStr">
        <is>
          <t>T29</t>
        </is>
      </c>
      <c r="C787" s="13" t="inlineStr">
        <is>
          <t>B1</t>
        </is>
      </c>
      <c r="D787" s="13" t="n">
        <v>1</v>
      </c>
      <c r="E787" s="13" t="inlineStr">
        <is>
          <t>S1</t>
        </is>
      </c>
      <c r="F787" s="13" t="n">
        <v>2021</v>
      </c>
      <c r="G787" s="14" t="n">
        <v>991155.3370209635</v>
      </c>
      <c r="H787" s="14" t="n">
        <v>480981.792400764</v>
      </c>
      <c r="I787" s="14" t="n">
        <v>68750.28473271389</v>
      </c>
      <c r="J787" s="14" t="n">
        <v>49990.25078295539</v>
      </c>
      <c r="K787" s="14" t="n">
        <v>137330.1839282167</v>
      </c>
      <c r="L787" s="14" t="n">
        <v>254102.8251763137</v>
      </c>
      <c r="M787" s="14" t="n">
        <v>0</v>
      </c>
      <c r="N787" s="14" t="n">
        <v>476776.9916581097</v>
      </c>
      <c r="O787" s="14" t="n">
        <v>745715.3483197979</v>
      </c>
      <c r="P787" s="14" t="n">
        <v>1791.719333873076</v>
      </c>
      <c r="Q787" s="14" t="n">
        <v>6149440.764641616</v>
      </c>
      <c r="R787" s="15">
        <f>IF(D787=1,"Section 1","Control")</f>
        <v/>
      </c>
      <c r="S787" s="16">
        <f>N787/10000</f>
        <v/>
      </c>
      <c r="T787" s="16">
        <f>P787/10000</f>
        <v/>
      </c>
      <c r="U787" s="15">
        <f>IF(N787&gt;=Summary!$D$3,1,0)</f>
        <v/>
      </c>
      <c r="V787" s="17">
        <f>IF(N787&gt;0,P787/N787,"")</f>
        <v/>
      </c>
      <c r="W787" s="17">
        <f>IF(O787&gt;0,H787/O787,"")</f>
        <v/>
      </c>
    </row>
    <row r="788">
      <c r="A788" s="13" t="inlineStr">
        <is>
          <t>T29_B1</t>
        </is>
      </c>
      <c r="B788" s="13" t="inlineStr">
        <is>
          <t>T29</t>
        </is>
      </c>
      <c r="C788" s="13" t="inlineStr">
        <is>
          <t>B1</t>
        </is>
      </c>
      <c r="D788" s="13" t="n">
        <v>1</v>
      </c>
      <c r="E788" s="13" t="inlineStr">
        <is>
          <t>S1</t>
        </is>
      </c>
      <c r="F788" s="13" t="n">
        <v>2022</v>
      </c>
      <c r="G788" s="14" t="n">
        <v>991155.3370209635</v>
      </c>
      <c r="H788" s="14" t="n">
        <v>473565.9844847436</v>
      </c>
      <c r="I788" s="14" t="n">
        <v>79437.50542617499</v>
      </c>
      <c r="J788" s="14" t="n">
        <v>50780.03461169075</v>
      </c>
      <c r="K788" s="14" t="n">
        <v>147788.0934352202</v>
      </c>
      <c r="L788" s="14" t="n">
        <v>239583.7190631343</v>
      </c>
      <c r="M788" s="14" t="n">
        <v>0</v>
      </c>
      <c r="N788" s="14" t="n">
        <v>476776.9916581097</v>
      </c>
      <c r="O788" s="14" t="n">
        <v>745715.3483197979</v>
      </c>
      <c r="P788" s="14" t="n">
        <v>6814.180693951776</v>
      </c>
      <c r="Q788" s="14" t="n">
        <v>6149440.764641616</v>
      </c>
      <c r="R788" s="15">
        <f>IF(D788=1,"Section 1","Control")</f>
        <v/>
      </c>
      <c r="S788" s="16">
        <f>N788/10000</f>
        <v/>
      </c>
      <c r="T788" s="16">
        <f>P788/10000</f>
        <v/>
      </c>
      <c r="U788" s="15">
        <f>IF(N788&gt;=Summary!$D$3,1,0)</f>
        <v/>
      </c>
      <c r="V788" s="17">
        <f>IF(N788&gt;0,P788/N788,"")</f>
        <v/>
      </c>
      <c r="W788" s="17">
        <f>IF(O788&gt;0,H788/O788,"")</f>
        <v/>
      </c>
    </row>
    <row r="789">
      <c r="A789" s="13" t="inlineStr">
        <is>
          <t>T29_B1</t>
        </is>
      </c>
      <c r="B789" s="13" t="inlineStr">
        <is>
          <t>T29</t>
        </is>
      </c>
      <c r="C789" s="13" t="inlineStr">
        <is>
          <t>B1</t>
        </is>
      </c>
      <c r="D789" s="13" t="n">
        <v>1</v>
      </c>
      <c r="E789" s="13" t="inlineStr">
        <is>
          <t>S1</t>
        </is>
      </c>
      <c r="F789" s="13" t="n">
        <v>2023</v>
      </c>
      <c r="G789" s="14" t="n">
        <v>991155.3370209635</v>
      </c>
      <c r="H789" s="14" t="n">
        <v>458898.1877981746</v>
      </c>
      <c r="I789" s="14" t="n">
        <v>73590.73473848829</v>
      </c>
      <c r="J789" s="14" t="n">
        <v>50780.03461169075</v>
      </c>
      <c r="K789" s="14" t="n">
        <v>129917.8328820921</v>
      </c>
      <c r="L789" s="14" t="n">
        <v>277968.546990518</v>
      </c>
      <c r="M789" s="14" t="n">
        <v>0</v>
      </c>
      <c r="N789" s="14" t="n">
        <v>476776.9916581097</v>
      </c>
      <c r="O789" s="14" t="n">
        <v>745715.3483197979</v>
      </c>
      <c r="P789" s="14" t="n">
        <v>22916.73106058158</v>
      </c>
      <c r="Q789" s="14" t="n">
        <v>6149440.764641616</v>
      </c>
      <c r="R789" s="15">
        <f>IF(D789=1,"Section 1","Control")</f>
        <v/>
      </c>
      <c r="S789" s="16">
        <f>N789/10000</f>
        <v/>
      </c>
      <c r="T789" s="16">
        <f>P789/10000</f>
        <v/>
      </c>
      <c r="U789" s="15">
        <f>IF(N789&gt;=Summary!$D$3,1,0)</f>
        <v/>
      </c>
      <c r="V789" s="17">
        <f>IF(N789&gt;0,P789/N789,"")</f>
        <v/>
      </c>
      <c r="W789" s="17">
        <f>IF(O789&gt;0,H789/O789,"")</f>
        <v/>
      </c>
    </row>
    <row r="790">
      <c r="A790" s="13" t="inlineStr">
        <is>
          <t>T29_B1</t>
        </is>
      </c>
      <c r="B790" s="13" t="inlineStr">
        <is>
          <t>T29</t>
        </is>
      </c>
      <c r="C790" s="13" t="inlineStr">
        <is>
          <t>B1</t>
        </is>
      </c>
      <c r="D790" s="13" t="n">
        <v>1</v>
      </c>
      <c r="E790" s="13" t="inlineStr">
        <is>
          <t>S1</t>
        </is>
      </c>
      <c r="F790" s="13" t="n">
        <v>2024</v>
      </c>
      <c r="G790" s="14" t="n">
        <v>991155.3370209635</v>
      </c>
      <c r="H790" s="14" t="n">
        <v>461610.5469121297</v>
      </c>
      <c r="I790" s="14" t="n">
        <v>76970.15012787463</v>
      </c>
      <c r="J790" s="14" t="n">
        <v>50780.03461169075</v>
      </c>
      <c r="K790" s="14" t="n">
        <v>151536.0512364407</v>
      </c>
      <c r="L790" s="14" t="n">
        <v>250258.554132828</v>
      </c>
      <c r="M790" s="14" t="n">
        <v>0</v>
      </c>
      <c r="N790" s="14" t="n">
        <v>476776.9916581097</v>
      </c>
      <c r="O790" s="14" t="n">
        <v>745715.3483197979</v>
      </c>
      <c r="P790" s="14" t="n">
        <v>40884.2776304058</v>
      </c>
      <c r="Q790" s="14" t="n">
        <v>6149440.764641616</v>
      </c>
      <c r="R790" s="15">
        <f>IF(D790=1,"Section 1","Control")</f>
        <v/>
      </c>
      <c r="S790" s="16">
        <f>N790/10000</f>
        <v/>
      </c>
      <c r="T790" s="16">
        <f>P790/10000</f>
        <v/>
      </c>
      <c r="U790" s="15">
        <f>IF(N790&gt;=Summary!$D$3,1,0)</f>
        <v/>
      </c>
      <c r="V790" s="17">
        <f>IF(N790&gt;0,P790/N790,"")</f>
        <v/>
      </c>
      <c r="W790" s="17">
        <f>IF(O790&gt;0,H790/O790,"")</f>
        <v/>
      </c>
    </row>
    <row r="791">
      <c r="A791" s="13" t="inlineStr">
        <is>
          <t>T29_B1</t>
        </is>
      </c>
      <c r="B791" s="13" t="inlineStr">
        <is>
          <t>T29</t>
        </is>
      </c>
      <c r="C791" s="13" t="inlineStr">
        <is>
          <t>B1</t>
        </is>
      </c>
      <c r="D791" s="13" t="n">
        <v>1</v>
      </c>
      <c r="E791" s="13" t="inlineStr">
        <is>
          <t>S1</t>
        </is>
      </c>
      <c r="F791" s="13" t="n">
        <v>2025</v>
      </c>
      <c r="G791" s="14" t="n">
        <v>991155.3370209635</v>
      </c>
      <c r="H791" s="14" t="n">
        <v>394884.8132189881</v>
      </c>
      <c r="I791" s="14" t="n">
        <v>108532.4889541626</v>
      </c>
      <c r="J791" s="14" t="n">
        <v>50681.31152056526</v>
      </c>
      <c r="K791" s="14" t="n">
        <v>169296.9275128832</v>
      </c>
      <c r="L791" s="14" t="n">
        <v>267759.7958143645</v>
      </c>
      <c r="M791" s="14" t="n">
        <v>0</v>
      </c>
      <c r="N791" s="14" t="n">
        <v>476776.9916581097</v>
      </c>
      <c r="O791" s="14" t="n">
        <v>745715.3483197979</v>
      </c>
      <c r="P791" s="14" t="n">
        <v>86325.76220912556</v>
      </c>
      <c r="Q791" s="14" t="n">
        <v>6149440.764641616</v>
      </c>
      <c r="R791" s="15">
        <f>IF(D791=1,"Section 1","Control")</f>
        <v/>
      </c>
      <c r="S791" s="16">
        <f>N791/10000</f>
        <v/>
      </c>
      <c r="T791" s="16">
        <f>P791/10000</f>
        <v/>
      </c>
      <c r="U791" s="15">
        <f>IF(N791&gt;=Summary!$D$3,1,0)</f>
        <v/>
      </c>
      <c r="V791" s="17">
        <f>IF(N791&gt;0,P791/N791,"")</f>
        <v/>
      </c>
      <c r="W791" s="17">
        <f>IF(O791&gt;0,H791/O791,"")</f>
        <v/>
      </c>
    </row>
    <row r="792">
      <c r="A792" s="13" t="inlineStr">
        <is>
          <t>T29_B1</t>
        </is>
      </c>
      <c r="B792" s="13" t="inlineStr">
        <is>
          <t>T29</t>
        </is>
      </c>
      <c r="C792" s="13" t="inlineStr">
        <is>
          <t>B1</t>
        </is>
      </c>
      <c r="D792" s="13" t="n">
        <v>1</v>
      </c>
      <c r="E792" s="13" t="inlineStr">
        <is>
          <t>S1</t>
        </is>
      </c>
      <c r="F792" s="13" t="n">
        <v>2026</v>
      </c>
      <c r="G792" s="14" t="n">
        <v>991155.3370209638</v>
      </c>
      <c r="H792" s="14" t="n">
        <v>403400.9714647181</v>
      </c>
      <c r="I792" s="14" t="n">
        <v>74444.05978211047</v>
      </c>
      <c r="J792" s="14" t="n">
        <v>50780.03461169075</v>
      </c>
      <c r="K792" s="14" t="n">
        <v>200949.6767704982</v>
      </c>
      <c r="L792" s="14" t="n">
        <v>261580.5943919462</v>
      </c>
      <c r="M792" s="14" t="n">
        <v>0</v>
      </c>
      <c r="N792" s="14" t="n">
        <v>476776.9916581097</v>
      </c>
      <c r="O792" s="14" t="n">
        <v>745715.3483197979</v>
      </c>
      <c r="P792" s="14" t="n">
        <v>91685.40916502709</v>
      </c>
      <c r="Q792" s="14" t="n">
        <v>6149440.764641615</v>
      </c>
      <c r="R792" s="15">
        <f>IF(D792=1,"Section 1","Control")</f>
        <v/>
      </c>
      <c r="S792" s="16">
        <f>N792/10000</f>
        <v/>
      </c>
      <c r="T792" s="16">
        <f>P792/10000</f>
        <v/>
      </c>
      <c r="U792" s="15">
        <f>IF(N792&gt;=Summary!$D$3,1,0)</f>
        <v/>
      </c>
      <c r="V792" s="17">
        <f>IF(N792&gt;0,P792/N792,"")</f>
        <v/>
      </c>
      <c r="W792" s="17">
        <f>IF(O792&gt;0,H792/O792,"")</f>
        <v/>
      </c>
    </row>
    <row r="793">
      <c r="A793" s="13" t="inlineStr">
        <is>
          <t>T29_B2</t>
        </is>
      </c>
      <c r="B793" s="13" t="inlineStr">
        <is>
          <t>T29</t>
        </is>
      </c>
      <c r="C793" s="13" t="inlineStr">
        <is>
          <t>B2</t>
        </is>
      </c>
      <c r="D793" s="13" t="n">
        <v>1</v>
      </c>
      <c r="E793" s="13" t="inlineStr">
        <is>
          <t>S1</t>
        </is>
      </c>
      <c r="F793" s="13" t="n">
        <v>2020</v>
      </c>
      <c r="G793" s="14" t="n">
        <v>989274.15995277</v>
      </c>
      <c r="H793" s="14" t="n">
        <v>402409.9483941173</v>
      </c>
      <c r="I793" s="14" t="n">
        <v>4448.644249830058</v>
      </c>
      <c r="J793" s="14" t="n">
        <v>0</v>
      </c>
      <c r="K793" s="14" t="n">
        <v>88379.49670248592</v>
      </c>
      <c r="L793" s="14" t="n">
        <v>494036.0706063364</v>
      </c>
      <c r="M793" s="14" t="n">
        <v>0</v>
      </c>
      <c r="N793" s="14" t="n">
        <v>402409.9483941173</v>
      </c>
      <c r="O793" s="14" t="n">
        <v>495238.0893464334</v>
      </c>
      <c r="P793" s="14" t="n">
        <v>0</v>
      </c>
      <c r="Q793" s="14" t="n">
        <v>5445019.418691271</v>
      </c>
      <c r="R793" s="15">
        <f>IF(D793=1,"Section 1","Control")</f>
        <v/>
      </c>
      <c r="S793" s="16">
        <f>N793/10000</f>
        <v/>
      </c>
      <c r="T793" s="16">
        <f>P793/10000</f>
        <v/>
      </c>
      <c r="U793" s="15">
        <f>IF(N793&gt;=Summary!$D$3,1,0)</f>
        <v/>
      </c>
      <c r="V793" s="17">
        <f>IF(N793&gt;0,P793/N793,"")</f>
        <v/>
      </c>
      <c r="W793" s="17">
        <f>IF(O793&gt;0,H793/O793,"")</f>
        <v/>
      </c>
    </row>
    <row r="794">
      <c r="A794" s="13" t="inlineStr">
        <is>
          <t>T29_B2</t>
        </is>
      </c>
      <c r="B794" s="13" t="inlineStr">
        <is>
          <t>T29</t>
        </is>
      </c>
      <c r="C794" s="13" t="inlineStr">
        <is>
          <t>B2</t>
        </is>
      </c>
      <c r="D794" s="13" t="n">
        <v>1</v>
      </c>
      <c r="E794" s="13" t="inlineStr">
        <is>
          <t>S1</t>
        </is>
      </c>
      <c r="F794" s="13" t="n">
        <v>2021</v>
      </c>
      <c r="G794" s="14" t="n">
        <v>989274.15995277</v>
      </c>
      <c r="H794" s="14" t="n">
        <v>384682.3061893538</v>
      </c>
      <c r="I794" s="14" t="n">
        <v>3483.515927363377</v>
      </c>
      <c r="J794" s="14" t="n">
        <v>0</v>
      </c>
      <c r="K794" s="14" t="n">
        <v>107072.267229716</v>
      </c>
      <c r="L794" s="14" t="n">
        <v>494036.0706063364</v>
      </c>
      <c r="M794" s="14" t="n">
        <v>0</v>
      </c>
      <c r="N794" s="14" t="n">
        <v>402409.9483941173</v>
      </c>
      <c r="O794" s="14" t="n">
        <v>495238.0893464334</v>
      </c>
      <c r="P794" s="14" t="n">
        <v>22077.56511822869</v>
      </c>
      <c r="Q794" s="14" t="n">
        <v>5445019.418691271</v>
      </c>
      <c r="R794" s="15">
        <f>IF(D794=1,"Section 1","Control")</f>
        <v/>
      </c>
      <c r="S794" s="16">
        <f>N794/10000</f>
        <v/>
      </c>
      <c r="T794" s="16">
        <f>P794/10000</f>
        <v/>
      </c>
      <c r="U794" s="15">
        <f>IF(N794&gt;=Summary!$D$3,1,0)</f>
        <v/>
      </c>
      <c r="V794" s="17">
        <f>IF(N794&gt;0,P794/N794,"")</f>
        <v/>
      </c>
      <c r="W794" s="17">
        <f>IF(O794&gt;0,H794/O794,"")</f>
        <v/>
      </c>
    </row>
    <row r="795">
      <c r="A795" s="13" t="inlineStr">
        <is>
          <t>T29_B2</t>
        </is>
      </c>
      <c r="B795" s="13" t="inlineStr">
        <is>
          <t>T29</t>
        </is>
      </c>
      <c r="C795" s="13" t="inlineStr">
        <is>
          <t>B2</t>
        </is>
      </c>
      <c r="D795" s="13" t="n">
        <v>1</v>
      </c>
      <c r="E795" s="13" t="inlineStr">
        <is>
          <t>S1</t>
        </is>
      </c>
      <c r="F795" s="13" t="n">
        <v>2022</v>
      </c>
      <c r="G795" s="14" t="n">
        <v>989274.15995277</v>
      </c>
      <c r="H795" s="14" t="n">
        <v>381784.1514848598</v>
      </c>
      <c r="I795" s="14" t="n">
        <v>5093.256793422325</v>
      </c>
      <c r="J795" s="14" t="n">
        <v>0</v>
      </c>
      <c r="K795" s="14" t="n">
        <v>108360.6810681511</v>
      </c>
      <c r="L795" s="14" t="n">
        <v>494036.0706063364</v>
      </c>
      <c r="M795" s="14" t="n">
        <v>0</v>
      </c>
      <c r="N795" s="14" t="n">
        <v>402409.9483941173</v>
      </c>
      <c r="O795" s="14" t="n">
        <v>495238.0893464334</v>
      </c>
      <c r="P795" s="14" t="n">
        <v>24975.71982272279</v>
      </c>
      <c r="Q795" s="14" t="n">
        <v>5445019.418691271</v>
      </c>
      <c r="R795" s="15">
        <f>IF(D795=1,"Section 1","Control")</f>
        <v/>
      </c>
      <c r="S795" s="16">
        <f>N795/10000</f>
        <v/>
      </c>
      <c r="T795" s="16">
        <f>P795/10000</f>
        <v/>
      </c>
      <c r="U795" s="15">
        <f>IF(N795&gt;=Summary!$D$3,1,0)</f>
        <v/>
      </c>
      <c r="V795" s="17">
        <f>IF(N795&gt;0,P795/N795,"")</f>
        <v/>
      </c>
      <c r="W795" s="17">
        <f>IF(O795&gt;0,H795/O795,"")</f>
        <v/>
      </c>
    </row>
    <row r="796">
      <c r="A796" s="13" t="inlineStr">
        <is>
          <t>T29_B2</t>
        </is>
      </c>
      <c r="B796" s="13" t="inlineStr">
        <is>
          <t>T29</t>
        </is>
      </c>
      <c r="C796" s="13" t="inlineStr">
        <is>
          <t>B2</t>
        </is>
      </c>
      <c r="D796" s="13" t="n">
        <v>1</v>
      </c>
      <c r="E796" s="13" t="inlineStr">
        <is>
          <t>S1</t>
        </is>
      </c>
      <c r="F796" s="13" t="n">
        <v>2023</v>
      </c>
      <c r="G796" s="14" t="n">
        <v>989274.15995277</v>
      </c>
      <c r="H796" s="14" t="n">
        <v>377143.8452468273</v>
      </c>
      <c r="I796" s="14" t="n">
        <v>4955.048011779785</v>
      </c>
      <c r="J796" s="14" t="n">
        <v>0</v>
      </c>
      <c r="K796" s="14" t="n">
        <v>113139.196087826</v>
      </c>
      <c r="L796" s="14" t="n">
        <v>494036.0706063364</v>
      </c>
      <c r="M796" s="14" t="n">
        <v>0</v>
      </c>
      <c r="N796" s="14" t="n">
        <v>402409.9483941173</v>
      </c>
      <c r="O796" s="14" t="n">
        <v>495238.0893464334</v>
      </c>
      <c r="P796" s="14" t="n">
        <v>30010.91102474437</v>
      </c>
      <c r="Q796" s="14" t="n">
        <v>5445019.418691271</v>
      </c>
      <c r="R796" s="15">
        <f>IF(D796=1,"Section 1","Control")</f>
        <v/>
      </c>
      <c r="S796" s="16">
        <f>N796/10000</f>
        <v/>
      </c>
      <c r="T796" s="16">
        <f>P796/10000</f>
        <v/>
      </c>
      <c r="U796" s="15">
        <f>IF(N796&gt;=Summary!$D$3,1,0)</f>
        <v/>
      </c>
      <c r="V796" s="17">
        <f>IF(N796&gt;0,P796/N796,"")</f>
        <v/>
      </c>
      <c r="W796" s="17">
        <f>IF(O796&gt;0,H796/O796,"")</f>
        <v/>
      </c>
    </row>
    <row r="797">
      <c r="A797" s="13" t="inlineStr">
        <is>
          <t>T29_B2</t>
        </is>
      </c>
      <c r="B797" s="13" t="inlineStr">
        <is>
          <t>T29</t>
        </is>
      </c>
      <c r="C797" s="13" t="inlineStr">
        <is>
          <t>B2</t>
        </is>
      </c>
      <c r="D797" s="13" t="n">
        <v>1</v>
      </c>
      <c r="E797" s="13" t="inlineStr">
        <is>
          <t>S1</t>
        </is>
      </c>
      <c r="F797" s="13" t="n">
        <v>2024</v>
      </c>
      <c r="G797" s="14" t="n">
        <v>989274.15995277</v>
      </c>
      <c r="H797" s="14" t="n">
        <v>374330.4735984353</v>
      </c>
      <c r="I797" s="14" t="n">
        <v>2220.267584408031</v>
      </c>
      <c r="J797" s="14" t="n">
        <v>0</v>
      </c>
      <c r="K797" s="14" t="n">
        <v>118687.3481635898</v>
      </c>
      <c r="L797" s="14" t="n">
        <v>494036.0706063364</v>
      </c>
      <c r="M797" s="14" t="n">
        <v>0</v>
      </c>
      <c r="N797" s="14" t="n">
        <v>402409.9483941173</v>
      </c>
      <c r="O797" s="14" t="n">
        <v>495238.0893464334</v>
      </c>
      <c r="P797" s="14" t="n">
        <v>33021.72498728434</v>
      </c>
      <c r="Q797" s="14" t="n">
        <v>5445019.418691271</v>
      </c>
      <c r="R797" s="15">
        <f>IF(D797=1,"Section 1","Control")</f>
        <v/>
      </c>
      <c r="S797" s="16">
        <f>N797/10000</f>
        <v/>
      </c>
      <c r="T797" s="16">
        <f>P797/10000</f>
        <v/>
      </c>
      <c r="U797" s="15">
        <f>IF(N797&gt;=Summary!$D$3,1,0)</f>
        <v/>
      </c>
      <c r="V797" s="17">
        <f>IF(N797&gt;0,P797/N797,"")</f>
        <v/>
      </c>
      <c r="W797" s="17">
        <f>IF(O797&gt;0,H797/O797,"")</f>
        <v/>
      </c>
    </row>
    <row r="798">
      <c r="A798" s="13" t="inlineStr">
        <is>
          <t>T29_B2</t>
        </is>
      </c>
      <c r="B798" s="13" t="inlineStr">
        <is>
          <t>T29</t>
        </is>
      </c>
      <c r="C798" s="13" t="inlineStr">
        <is>
          <t>B2</t>
        </is>
      </c>
      <c r="D798" s="13" t="n">
        <v>1</v>
      </c>
      <c r="E798" s="13" t="inlineStr">
        <is>
          <t>S1</t>
        </is>
      </c>
      <c r="F798" s="13" t="n">
        <v>2025</v>
      </c>
      <c r="G798" s="14" t="n">
        <v>989274.15995277</v>
      </c>
      <c r="H798" s="14" t="n">
        <v>375268.1369490979</v>
      </c>
      <c r="I798" s="14" t="n">
        <v>507.157683727788</v>
      </c>
      <c r="J798" s="14" t="n">
        <v>0</v>
      </c>
      <c r="K798" s="14" t="n">
        <v>119462.7947136075</v>
      </c>
      <c r="L798" s="14" t="n">
        <v>494036.0706063364</v>
      </c>
      <c r="M798" s="14" t="n">
        <v>0</v>
      </c>
      <c r="N798" s="14" t="n">
        <v>402409.9483941173</v>
      </c>
      <c r="O798" s="14" t="n">
        <v>495238.0893464334</v>
      </c>
      <c r="P798" s="14" t="n">
        <v>32084.06163662181</v>
      </c>
      <c r="Q798" s="14" t="n">
        <v>5445019.418691271</v>
      </c>
      <c r="R798" s="15">
        <f>IF(D798=1,"Section 1","Control")</f>
        <v/>
      </c>
      <c r="S798" s="16">
        <f>N798/10000</f>
        <v/>
      </c>
      <c r="T798" s="16">
        <f>P798/10000</f>
        <v/>
      </c>
      <c r="U798" s="15">
        <f>IF(N798&gt;=Summary!$D$3,1,0)</f>
        <v/>
      </c>
      <c r="V798" s="17">
        <f>IF(N798&gt;0,P798/N798,"")</f>
        <v/>
      </c>
      <c r="W798" s="17">
        <f>IF(O798&gt;0,H798/O798,"")</f>
        <v/>
      </c>
    </row>
    <row r="799">
      <c r="A799" s="13" t="inlineStr">
        <is>
          <t>T29_B2</t>
        </is>
      </c>
      <c r="B799" s="13" t="inlineStr">
        <is>
          <t>T29</t>
        </is>
      </c>
      <c r="C799" s="13" t="inlineStr">
        <is>
          <t>B2</t>
        </is>
      </c>
      <c r="D799" s="13" t="n">
        <v>1</v>
      </c>
      <c r="E799" s="13" t="inlineStr">
        <is>
          <t>S1</t>
        </is>
      </c>
      <c r="F799" s="13" t="n">
        <v>2026</v>
      </c>
      <c r="G799" s="14" t="n">
        <v>989274.15995277</v>
      </c>
      <c r="H799" s="14" t="n">
        <v>374577.0878463147</v>
      </c>
      <c r="I799" s="14" t="n">
        <v>2227.618944773954</v>
      </c>
      <c r="J799" s="14" t="n">
        <v>0</v>
      </c>
      <c r="K799" s="14" t="n">
        <v>118433.3825553445</v>
      </c>
      <c r="L799" s="14" t="n">
        <v>494036.0706063364</v>
      </c>
      <c r="M799" s="14" t="n">
        <v>0</v>
      </c>
      <c r="N799" s="14" t="n">
        <v>402409.9483941173</v>
      </c>
      <c r="O799" s="14" t="n">
        <v>495238.0893464334</v>
      </c>
      <c r="P799" s="14" t="n">
        <v>32676.38931911693</v>
      </c>
      <c r="Q799" s="14" t="n">
        <v>5445019.418691271</v>
      </c>
      <c r="R799" s="15">
        <f>IF(D799=1,"Section 1","Control")</f>
        <v/>
      </c>
      <c r="S799" s="16">
        <f>N799/10000</f>
        <v/>
      </c>
      <c r="T799" s="16">
        <f>P799/10000</f>
        <v/>
      </c>
      <c r="U799" s="15">
        <f>IF(N799&gt;=Summary!$D$3,1,0)</f>
        <v/>
      </c>
      <c r="V799" s="17">
        <f>IF(N799&gt;0,P799/N799,"")</f>
        <v/>
      </c>
      <c r="W799" s="17">
        <f>IF(O799&gt;0,H799/O799,"")</f>
        <v/>
      </c>
    </row>
    <row r="800">
      <c r="A800" s="13" t="inlineStr">
        <is>
          <t>T29_B3</t>
        </is>
      </c>
      <c r="B800" s="13" t="inlineStr">
        <is>
          <t>T29</t>
        </is>
      </c>
      <c r="C800" s="13" t="inlineStr">
        <is>
          <t>B3</t>
        </is>
      </c>
      <c r="D800" s="13" t="n">
        <v>1</v>
      </c>
      <c r="E800" s="13" t="inlineStr">
        <is>
          <t>S1</t>
        </is>
      </c>
      <c r="F800" s="13" t="n">
        <v>2020</v>
      </c>
      <c r="G800" s="14" t="n">
        <v>7908451.812865167</v>
      </c>
      <c r="H800" s="14" t="n">
        <v>2319562.761581152</v>
      </c>
      <c r="I800" s="14" t="n">
        <v>293721.052079414</v>
      </c>
      <c r="J800" s="14" t="n">
        <v>0</v>
      </c>
      <c r="K800" s="14" t="n">
        <v>1343396.575847341</v>
      </c>
      <c r="L800" s="14" t="n">
        <v>3951771.423357256</v>
      </c>
      <c r="M800" s="14" t="n">
        <v>0</v>
      </c>
      <c r="N800" s="14" t="n">
        <v>2319562.761581152</v>
      </c>
      <c r="O800" s="14" t="n">
        <v>3956680.389507907</v>
      </c>
      <c r="P800" s="14" t="n">
        <v>0</v>
      </c>
      <c r="Q800" s="14" t="n">
        <v>31224375.55141003</v>
      </c>
      <c r="R800" s="15">
        <f>IF(D800=1,"Section 1","Control")</f>
        <v/>
      </c>
      <c r="S800" s="16">
        <f>N800/10000</f>
        <v/>
      </c>
      <c r="T800" s="16">
        <f>P800/10000</f>
        <v/>
      </c>
      <c r="U800" s="15">
        <f>IF(N800&gt;=Summary!$D$3,1,0)</f>
        <v/>
      </c>
      <c r="V800" s="17">
        <f>IF(N800&gt;0,P800/N800,"")</f>
        <v/>
      </c>
      <c r="W800" s="17">
        <f>IF(O800&gt;0,H800/O800,"")</f>
        <v/>
      </c>
    </row>
    <row r="801">
      <c r="A801" s="13" t="inlineStr">
        <is>
          <t>T29_B3</t>
        </is>
      </c>
      <c r="B801" s="13" t="inlineStr">
        <is>
          <t>T29</t>
        </is>
      </c>
      <c r="C801" s="13" t="inlineStr">
        <is>
          <t>B3</t>
        </is>
      </c>
      <c r="D801" s="13" t="n">
        <v>1</v>
      </c>
      <c r="E801" s="13" t="inlineStr">
        <is>
          <t>S1</t>
        </is>
      </c>
      <c r="F801" s="13" t="n">
        <v>2021</v>
      </c>
      <c r="G801" s="14" t="n">
        <v>7908451.812865166</v>
      </c>
      <c r="H801" s="14" t="n">
        <v>2063235.626408326</v>
      </c>
      <c r="I801" s="14" t="n">
        <v>158770.3284006754</v>
      </c>
      <c r="J801" s="14" t="n">
        <v>0</v>
      </c>
      <c r="K801" s="14" t="n">
        <v>1734674.434698906</v>
      </c>
      <c r="L801" s="14" t="n">
        <v>3951771.423357256</v>
      </c>
      <c r="M801" s="14" t="n">
        <v>0</v>
      </c>
      <c r="N801" s="14" t="n">
        <v>2319562.761581152</v>
      </c>
      <c r="O801" s="14" t="n">
        <v>3956680.389507907</v>
      </c>
      <c r="P801" s="14" t="n">
        <v>369911.0731118594</v>
      </c>
      <c r="Q801" s="14" t="n">
        <v>31224375.55141003</v>
      </c>
      <c r="R801" s="15">
        <f>IF(D801=1,"Section 1","Control")</f>
        <v/>
      </c>
      <c r="S801" s="16">
        <f>N801/10000</f>
        <v/>
      </c>
      <c r="T801" s="16">
        <f>P801/10000</f>
        <v/>
      </c>
      <c r="U801" s="15">
        <f>IF(N801&gt;=Summary!$D$3,1,0)</f>
        <v/>
      </c>
      <c r="V801" s="17">
        <f>IF(N801&gt;0,P801/N801,"")</f>
        <v/>
      </c>
      <c r="W801" s="17">
        <f>IF(O801&gt;0,H801/O801,"")</f>
        <v/>
      </c>
    </row>
    <row r="802">
      <c r="A802" s="13" t="inlineStr">
        <is>
          <t>T29_B3</t>
        </is>
      </c>
      <c r="B802" s="13" t="inlineStr">
        <is>
          <t>T29</t>
        </is>
      </c>
      <c r="C802" s="13" t="inlineStr">
        <is>
          <t>B3</t>
        </is>
      </c>
      <c r="D802" s="13" t="n">
        <v>1</v>
      </c>
      <c r="E802" s="13" t="inlineStr">
        <is>
          <t>S1</t>
        </is>
      </c>
      <c r="F802" s="13" t="n">
        <v>2022</v>
      </c>
      <c r="G802" s="14" t="n">
        <v>7908451.812865165</v>
      </c>
      <c r="H802" s="14" t="n">
        <v>1717381.065439261</v>
      </c>
      <c r="I802" s="14" t="n">
        <v>202233.2810415529</v>
      </c>
      <c r="J802" s="14" t="n">
        <v>0</v>
      </c>
      <c r="K802" s="14" t="n">
        <v>2037066.043027092</v>
      </c>
      <c r="L802" s="14" t="n">
        <v>3951771.423357256</v>
      </c>
      <c r="M802" s="14" t="n">
        <v>0</v>
      </c>
      <c r="N802" s="14" t="n">
        <v>2319562.761581152</v>
      </c>
      <c r="O802" s="14" t="n">
        <v>3956680.389507907</v>
      </c>
      <c r="P802" s="14" t="n">
        <v>688711.5452090395</v>
      </c>
      <c r="Q802" s="14" t="n">
        <v>31224375.55141003</v>
      </c>
      <c r="R802" s="15">
        <f>IF(D802=1,"Section 1","Control")</f>
        <v/>
      </c>
      <c r="S802" s="16">
        <f>N802/10000</f>
        <v/>
      </c>
      <c r="T802" s="16">
        <f>P802/10000</f>
        <v/>
      </c>
      <c r="U802" s="15">
        <f>IF(N802&gt;=Summary!$D$3,1,0)</f>
        <v/>
      </c>
      <c r="V802" s="17">
        <f>IF(N802&gt;0,P802/N802,"")</f>
        <v/>
      </c>
      <c r="W802" s="17">
        <f>IF(O802&gt;0,H802/O802,"")</f>
        <v/>
      </c>
    </row>
    <row r="803">
      <c r="A803" s="13" t="inlineStr">
        <is>
          <t>T29_B3</t>
        </is>
      </c>
      <c r="B803" s="13" t="inlineStr">
        <is>
          <t>T29</t>
        </is>
      </c>
      <c r="C803" s="13" t="inlineStr">
        <is>
          <t>B3</t>
        </is>
      </c>
      <c r="D803" s="13" t="n">
        <v>1</v>
      </c>
      <c r="E803" s="13" t="inlineStr">
        <is>
          <t>S1</t>
        </is>
      </c>
      <c r="F803" s="13" t="n">
        <v>2023</v>
      </c>
      <c r="G803" s="14" t="n">
        <v>7908451.812865166</v>
      </c>
      <c r="H803" s="14" t="n">
        <v>1637846.539093167</v>
      </c>
      <c r="I803" s="14" t="n">
        <v>251172.4735432045</v>
      </c>
      <c r="J803" s="14" t="n">
        <v>0</v>
      </c>
      <c r="K803" s="14" t="n">
        <v>2067661.376871536</v>
      </c>
      <c r="L803" s="14" t="n">
        <v>3951771.423357256</v>
      </c>
      <c r="M803" s="14" t="n">
        <v>0</v>
      </c>
      <c r="N803" s="14" t="n">
        <v>2319562.761581152</v>
      </c>
      <c r="O803" s="14" t="n">
        <v>3956680.389507907</v>
      </c>
      <c r="P803" s="14" t="n">
        <v>785952.1076215558</v>
      </c>
      <c r="Q803" s="14" t="n">
        <v>31224375.55141003</v>
      </c>
      <c r="R803" s="15">
        <f>IF(D803=1,"Section 1","Control")</f>
        <v/>
      </c>
      <c r="S803" s="16">
        <f>N803/10000</f>
        <v/>
      </c>
      <c r="T803" s="16">
        <f>P803/10000</f>
        <v/>
      </c>
      <c r="U803" s="15">
        <f>IF(N803&gt;=Summary!$D$3,1,0)</f>
        <v/>
      </c>
      <c r="V803" s="17">
        <f>IF(N803&gt;0,P803/N803,"")</f>
        <v/>
      </c>
      <c r="W803" s="17">
        <f>IF(O803&gt;0,H803/O803,"")</f>
        <v/>
      </c>
    </row>
    <row r="804">
      <c r="A804" s="13" t="inlineStr">
        <is>
          <t>T29_B3</t>
        </is>
      </c>
      <c r="B804" s="13" t="inlineStr">
        <is>
          <t>T29</t>
        </is>
      </c>
      <c r="C804" s="13" t="inlineStr">
        <is>
          <t>B3</t>
        </is>
      </c>
      <c r="D804" s="13" t="n">
        <v>1</v>
      </c>
      <c r="E804" s="13" t="inlineStr">
        <is>
          <t>S1</t>
        </is>
      </c>
      <c r="F804" s="13" t="n">
        <v>2024</v>
      </c>
      <c r="G804" s="14" t="n">
        <v>7908451.812865167</v>
      </c>
      <c r="H804" s="14" t="n">
        <v>1627055.199363888</v>
      </c>
      <c r="I804" s="14" t="n">
        <v>161148.0809925453</v>
      </c>
      <c r="J804" s="14" t="n">
        <v>0</v>
      </c>
      <c r="K804" s="14" t="n">
        <v>2168477.109151474</v>
      </c>
      <c r="L804" s="14" t="n">
        <v>3951771.423357256</v>
      </c>
      <c r="M804" s="14" t="n">
        <v>0</v>
      </c>
      <c r="N804" s="14" t="n">
        <v>2319562.761581152</v>
      </c>
      <c r="O804" s="14" t="n">
        <v>3956680.389507907</v>
      </c>
      <c r="P804" s="14" t="n">
        <v>827476.9011542225</v>
      </c>
      <c r="Q804" s="14" t="n">
        <v>31224375.55141003</v>
      </c>
      <c r="R804" s="15">
        <f>IF(D804=1,"Section 1","Control")</f>
        <v/>
      </c>
      <c r="S804" s="16">
        <f>N804/10000</f>
        <v/>
      </c>
      <c r="T804" s="16">
        <f>P804/10000</f>
        <v/>
      </c>
      <c r="U804" s="15">
        <f>IF(N804&gt;=Summary!$D$3,1,0)</f>
        <v/>
      </c>
      <c r="V804" s="17">
        <f>IF(N804&gt;0,P804/N804,"")</f>
        <v/>
      </c>
      <c r="W804" s="17">
        <f>IF(O804&gt;0,H804/O804,"")</f>
        <v/>
      </c>
    </row>
    <row r="805">
      <c r="A805" s="13" t="inlineStr">
        <is>
          <t>T29_B3</t>
        </is>
      </c>
      <c r="B805" s="13" t="inlineStr">
        <is>
          <t>T29</t>
        </is>
      </c>
      <c r="C805" s="13" t="inlineStr">
        <is>
          <t>B3</t>
        </is>
      </c>
      <c r="D805" s="13" t="n">
        <v>1</v>
      </c>
      <c r="E805" s="13" t="inlineStr">
        <is>
          <t>S1</t>
        </is>
      </c>
      <c r="F805" s="13" t="n">
        <v>2025</v>
      </c>
      <c r="G805" s="14" t="n">
        <v>7908451.812865167</v>
      </c>
      <c r="H805" s="14" t="n">
        <v>1597093.186658613</v>
      </c>
      <c r="I805" s="14" t="n">
        <v>153108.6081020579</v>
      </c>
      <c r="J805" s="14" t="n">
        <v>0</v>
      </c>
      <c r="K805" s="14" t="n">
        <v>2206478.594747237</v>
      </c>
      <c r="L805" s="14" t="n">
        <v>3951771.423357256</v>
      </c>
      <c r="M805" s="14" t="n">
        <v>0</v>
      </c>
      <c r="N805" s="14" t="n">
        <v>2319562.761581152</v>
      </c>
      <c r="O805" s="14" t="n">
        <v>3956680.389507907</v>
      </c>
      <c r="P805" s="14" t="n">
        <v>853584.3146914014</v>
      </c>
      <c r="Q805" s="14" t="n">
        <v>31224375.55141004</v>
      </c>
      <c r="R805" s="15">
        <f>IF(D805=1,"Section 1","Control")</f>
        <v/>
      </c>
      <c r="S805" s="16">
        <f>N805/10000</f>
        <v/>
      </c>
      <c r="T805" s="16">
        <f>P805/10000</f>
        <v/>
      </c>
      <c r="U805" s="15">
        <f>IF(N805&gt;=Summary!$D$3,1,0)</f>
        <v/>
      </c>
      <c r="V805" s="17">
        <f>IF(N805&gt;0,P805/N805,"")</f>
        <v/>
      </c>
      <c r="W805" s="17">
        <f>IF(O805&gt;0,H805/O805,"")</f>
        <v/>
      </c>
    </row>
    <row r="806">
      <c r="A806" s="13" t="inlineStr">
        <is>
          <t>T29_B3</t>
        </is>
      </c>
      <c r="B806" s="13" t="inlineStr">
        <is>
          <t>T29</t>
        </is>
      </c>
      <c r="C806" s="13" t="inlineStr">
        <is>
          <t>B3</t>
        </is>
      </c>
      <c r="D806" s="13" t="n">
        <v>1</v>
      </c>
      <c r="E806" s="13" t="inlineStr">
        <is>
          <t>S1</t>
        </is>
      </c>
      <c r="F806" s="13" t="n">
        <v>2026</v>
      </c>
      <c r="G806" s="14" t="n">
        <v>7908451.812865166</v>
      </c>
      <c r="H806" s="14" t="n">
        <v>1509889.270399266</v>
      </c>
      <c r="I806" s="14" t="n">
        <v>155741.2704513849</v>
      </c>
      <c r="J806" s="14" t="n">
        <v>0</v>
      </c>
      <c r="K806" s="14" t="n">
        <v>2291049.848657256</v>
      </c>
      <c r="L806" s="14" t="n">
        <v>3951771.423357256</v>
      </c>
      <c r="M806" s="14" t="n">
        <v>0</v>
      </c>
      <c r="N806" s="14" t="n">
        <v>2319562.761581152</v>
      </c>
      <c r="O806" s="14" t="n">
        <v>3956680.389507907</v>
      </c>
      <c r="P806" s="14" t="n">
        <v>925854.1140490364</v>
      </c>
      <c r="Q806" s="14" t="n">
        <v>31224375.55141003</v>
      </c>
      <c r="R806" s="15">
        <f>IF(D806=1,"Section 1","Control")</f>
        <v/>
      </c>
      <c r="S806" s="16">
        <f>N806/10000</f>
        <v/>
      </c>
      <c r="T806" s="16">
        <f>P806/10000</f>
        <v/>
      </c>
      <c r="U806" s="15">
        <f>IF(N806&gt;=Summary!$D$3,1,0)</f>
        <v/>
      </c>
      <c r="V806" s="17">
        <f>IF(N806&gt;0,P806/N806,"")</f>
        <v/>
      </c>
      <c r="W806" s="17">
        <f>IF(O806&gt;0,H806/O806,"")</f>
        <v/>
      </c>
    </row>
    <row r="807">
      <c r="A807" s="13" t="inlineStr">
        <is>
          <t>T29_F</t>
        </is>
      </c>
      <c r="B807" s="13" t="inlineStr">
        <is>
          <t>T29</t>
        </is>
      </c>
      <c r="C807" s="13" t="inlineStr">
        <is>
          <t>F</t>
        </is>
      </c>
      <c r="D807" s="13" t="n">
        <v>1</v>
      </c>
      <c r="E807" s="13" t="inlineStr">
        <is>
          <t>S1</t>
        </is>
      </c>
      <c r="F807" s="13" t="n">
        <v>2020</v>
      </c>
      <c r="G807" s="14" t="n">
        <v>86973.85140036789</v>
      </c>
      <c r="H807" s="14" t="n">
        <v>86587.47800272025</v>
      </c>
      <c r="I807" s="14" t="n">
        <v>0</v>
      </c>
      <c r="J807" s="14" t="n">
        <v>0</v>
      </c>
      <c r="K807" s="14" t="n">
        <v>386.3733976476333</v>
      </c>
      <c r="L807" s="14" t="n">
        <v>0</v>
      </c>
      <c r="M807" s="14" t="n">
        <v>0</v>
      </c>
      <c r="N807" s="14" t="n">
        <v>86587.47800272025</v>
      </c>
      <c r="O807" s="14" t="n">
        <v>86973.85140036789</v>
      </c>
      <c r="P807" s="14" t="n">
        <v>0</v>
      </c>
      <c r="Q807" s="14" t="n">
        <v>997329.9425474874</v>
      </c>
      <c r="R807" s="15">
        <f>IF(D807=1,"Section 1","Control")</f>
        <v/>
      </c>
      <c r="S807" s="16">
        <f>N807/10000</f>
        <v/>
      </c>
      <c r="T807" s="16">
        <f>P807/10000</f>
        <v/>
      </c>
      <c r="U807" s="15">
        <f>IF(N807&gt;=Summary!$D$3,1,0)</f>
        <v/>
      </c>
      <c r="V807" s="17">
        <f>IF(N807&gt;0,P807/N807,"")</f>
        <v/>
      </c>
      <c r="W807" s="17">
        <f>IF(O807&gt;0,H807/O807,"")</f>
        <v/>
      </c>
    </row>
    <row r="808">
      <c r="A808" s="13" t="inlineStr">
        <is>
          <t>T29_F</t>
        </is>
      </c>
      <c r="B808" s="13" t="inlineStr">
        <is>
          <t>T29</t>
        </is>
      </c>
      <c r="C808" s="13" t="inlineStr">
        <is>
          <t>F</t>
        </is>
      </c>
      <c r="D808" s="13" t="n">
        <v>1</v>
      </c>
      <c r="E808" s="13" t="inlineStr">
        <is>
          <t>S1</t>
        </is>
      </c>
      <c r="F808" s="13" t="n">
        <v>2021</v>
      </c>
      <c r="G808" s="14" t="n">
        <v>86973.85140036789</v>
      </c>
      <c r="H808" s="14" t="n">
        <v>86587.47800272025</v>
      </c>
      <c r="I808" s="14" t="n">
        <v>0</v>
      </c>
      <c r="J808" s="14" t="n">
        <v>0</v>
      </c>
      <c r="K808" s="14" t="n">
        <v>386.3733976476333</v>
      </c>
      <c r="L808" s="14" t="n">
        <v>0</v>
      </c>
      <c r="M808" s="14" t="n">
        <v>0</v>
      </c>
      <c r="N808" s="14" t="n">
        <v>86587.47800272025</v>
      </c>
      <c r="O808" s="14" t="n">
        <v>86973.85140036789</v>
      </c>
      <c r="P808" s="14" t="n">
        <v>0</v>
      </c>
      <c r="Q808" s="14" t="n">
        <v>997329.9425474874</v>
      </c>
      <c r="R808" s="15">
        <f>IF(D808=1,"Section 1","Control")</f>
        <v/>
      </c>
      <c r="S808" s="16">
        <f>N808/10000</f>
        <v/>
      </c>
      <c r="T808" s="16">
        <f>P808/10000</f>
        <v/>
      </c>
      <c r="U808" s="15">
        <f>IF(N808&gt;=Summary!$D$3,1,0)</f>
        <v/>
      </c>
      <c r="V808" s="17">
        <f>IF(N808&gt;0,P808/N808,"")</f>
        <v/>
      </c>
      <c r="W808" s="17">
        <f>IF(O808&gt;0,H808/O808,"")</f>
        <v/>
      </c>
    </row>
    <row r="809">
      <c r="A809" s="13" t="inlineStr">
        <is>
          <t>T29_F</t>
        </is>
      </c>
      <c r="B809" s="13" t="inlineStr">
        <is>
          <t>T29</t>
        </is>
      </c>
      <c r="C809" s="13" t="inlineStr">
        <is>
          <t>F</t>
        </is>
      </c>
      <c r="D809" s="13" t="n">
        <v>1</v>
      </c>
      <c r="E809" s="13" t="inlineStr">
        <is>
          <t>S1</t>
        </is>
      </c>
      <c r="F809" s="13" t="n">
        <v>2022</v>
      </c>
      <c r="G809" s="14" t="n">
        <v>86973.85140036789</v>
      </c>
      <c r="H809" s="14" t="n">
        <v>86576.63788550881</v>
      </c>
      <c r="I809" s="14" t="n">
        <v>0</v>
      </c>
      <c r="J809" s="14" t="n">
        <v>0</v>
      </c>
      <c r="K809" s="14" t="n">
        <v>397.2135148590687</v>
      </c>
      <c r="L809" s="14" t="n">
        <v>0</v>
      </c>
      <c r="M809" s="14" t="n">
        <v>0</v>
      </c>
      <c r="N809" s="14" t="n">
        <v>86587.47800272025</v>
      </c>
      <c r="O809" s="14" t="n">
        <v>86973.85140036789</v>
      </c>
      <c r="P809" s="14" t="n">
        <v>10.84011721143536</v>
      </c>
      <c r="Q809" s="14" t="n">
        <v>997329.9425474874</v>
      </c>
      <c r="R809" s="15">
        <f>IF(D809=1,"Section 1","Control")</f>
        <v/>
      </c>
      <c r="S809" s="16">
        <f>N809/10000</f>
        <v/>
      </c>
      <c r="T809" s="16">
        <f>P809/10000</f>
        <v/>
      </c>
      <c r="U809" s="15">
        <f>IF(N809&gt;=Summary!$D$3,1,0)</f>
        <v/>
      </c>
      <c r="V809" s="17">
        <f>IF(N809&gt;0,P809/N809,"")</f>
        <v/>
      </c>
      <c r="W809" s="17">
        <f>IF(O809&gt;0,H809/O809,"")</f>
        <v/>
      </c>
    </row>
    <row r="810">
      <c r="A810" s="13" t="inlineStr">
        <is>
          <t>T29_F</t>
        </is>
      </c>
      <c r="B810" s="13" t="inlineStr">
        <is>
          <t>T29</t>
        </is>
      </c>
      <c r="C810" s="13" t="inlineStr">
        <is>
          <t>F</t>
        </is>
      </c>
      <c r="D810" s="13" t="n">
        <v>1</v>
      </c>
      <c r="E810" s="13" t="inlineStr">
        <is>
          <t>S1</t>
        </is>
      </c>
      <c r="F810" s="13" t="n">
        <v>2023</v>
      </c>
      <c r="G810" s="14" t="n">
        <v>86973.85140036789</v>
      </c>
      <c r="H810" s="14" t="n">
        <v>84806.21283533433</v>
      </c>
      <c r="I810" s="14" t="n">
        <v>0</v>
      </c>
      <c r="J810" s="14" t="n">
        <v>0</v>
      </c>
      <c r="K810" s="14" t="n">
        <v>2167.638565033558</v>
      </c>
      <c r="L810" s="14" t="n">
        <v>0</v>
      </c>
      <c r="M810" s="14" t="n">
        <v>0</v>
      </c>
      <c r="N810" s="14" t="n">
        <v>86587.47800272025</v>
      </c>
      <c r="O810" s="14" t="n">
        <v>86973.85140036789</v>
      </c>
      <c r="P810" s="14" t="n">
        <v>1781.265167385924</v>
      </c>
      <c r="Q810" s="14" t="n">
        <v>997329.9425474874</v>
      </c>
      <c r="R810" s="15">
        <f>IF(D810=1,"Section 1","Control")</f>
        <v/>
      </c>
      <c r="S810" s="16">
        <f>N810/10000</f>
        <v/>
      </c>
      <c r="T810" s="16">
        <f>P810/10000</f>
        <v/>
      </c>
      <c r="U810" s="15">
        <f>IF(N810&gt;=Summary!$D$3,1,0)</f>
        <v/>
      </c>
      <c r="V810" s="17">
        <f>IF(N810&gt;0,P810/N810,"")</f>
        <v/>
      </c>
      <c r="W810" s="17">
        <f>IF(O810&gt;0,H810/O810,"")</f>
        <v/>
      </c>
    </row>
    <row r="811">
      <c r="A811" s="13" t="inlineStr">
        <is>
          <t>T29_F</t>
        </is>
      </c>
      <c r="B811" s="13" t="inlineStr">
        <is>
          <t>T29</t>
        </is>
      </c>
      <c r="C811" s="13" t="inlineStr">
        <is>
          <t>F</t>
        </is>
      </c>
      <c r="D811" s="13" t="n">
        <v>1</v>
      </c>
      <c r="E811" s="13" t="inlineStr">
        <is>
          <t>S1</t>
        </is>
      </c>
      <c r="F811" s="13" t="n">
        <v>2024</v>
      </c>
      <c r="G811" s="14" t="n">
        <v>86973.85140036789</v>
      </c>
      <c r="H811" s="14" t="n">
        <v>84411.32243921616</v>
      </c>
      <c r="I811" s="14" t="n">
        <v>98.72266387939452</v>
      </c>
      <c r="J811" s="14" t="n">
        <v>0</v>
      </c>
      <c r="K811" s="14" t="n">
        <v>2463.806297272328</v>
      </c>
      <c r="L811" s="14" t="n">
        <v>0</v>
      </c>
      <c r="M811" s="14" t="n">
        <v>0</v>
      </c>
      <c r="N811" s="14" t="n">
        <v>86587.47800272025</v>
      </c>
      <c r="O811" s="14" t="n">
        <v>86973.85140036789</v>
      </c>
      <c r="P811" s="14" t="n">
        <v>2176.155563504089</v>
      </c>
      <c r="Q811" s="14" t="n">
        <v>997329.9425474874</v>
      </c>
      <c r="R811" s="15">
        <f>IF(D811=1,"Section 1","Control")</f>
        <v/>
      </c>
      <c r="S811" s="16">
        <f>N811/10000</f>
        <v/>
      </c>
      <c r="T811" s="16">
        <f>P811/10000</f>
        <v/>
      </c>
      <c r="U811" s="15">
        <f>IF(N811&gt;=Summary!$D$3,1,0)</f>
        <v/>
      </c>
      <c r="V811" s="17">
        <f>IF(N811&gt;0,P811/N811,"")</f>
        <v/>
      </c>
      <c r="W811" s="17">
        <f>IF(O811&gt;0,H811/O811,"")</f>
        <v/>
      </c>
    </row>
    <row r="812">
      <c r="A812" s="13" t="inlineStr">
        <is>
          <t>T29_F</t>
        </is>
      </c>
      <c r="B812" s="13" t="inlineStr">
        <is>
          <t>T29</t>
        </is>
      </c>
      <c r="C812" s="13" t="inlineStr">
        <is>
          <t>F</t>
        </is>
      </c>
      <c r="D812" s="13" t="n">
        <v>1</v>
      </c>
      <c r="E812" s="13" t="inlineStr">
        <is>
          <t>S1</t>
        </is>
      </c>
      <c r="F812" s="13" t="n">
        <v>2025</v>
      </c>
      <c r="G812" s="14" t="n">
        <v>86973.85140036789</v>
      </c>
      <c r="H812" s="14" t="n">
        <v>236.9341498580633</v>
      </c>
      <c r="I812" s="14" t="n">
        <v>45293.54941654579</v>
      </c>
      <c r="J812" s="14" t="n">
        <v>0</v>
      </c>
      <c r="K812" s="14" t="n">
        <v>41443.36783396403</v>
      </c>
      <c r="L812" s="14" t="n">
        <v>0</v>
      </c>
      <c r="M812" s="14" t="n">
        <v>0</v>
      </c>
      <c r="N812" s="14" t="n">
        <v>86587.47800272025</v>
      </c>
      <c r="O812" s="14" t="n">
        <v>86973.85140036789</v>
      </c>
      <c r="P812" s="14" t="n">
        <v>86350.54385286219</v>
      </c>
      <c r="Q812" s="14" t="n">
        <v>997329.9425474874</v>
      </c>
      <c r="R812" s="15">
        <f>IF(D812=1,"Section 1","Control")</f>
        <v/>
      </c>
      <c r="S812" s="16">
        <f>N812/10000</f>
        <v/>
      </c>
      <c r="T812" s="16">
        <f>P812/10000</f>
        <v/>
      </c>
      <c r="U812" s="15">
        <f>IF(N812&gt;=Summary!$D$3,1,0)</f>
        <v/>
      </c>
      <c r="V812" s="17">
        <f>IF(N812&gt;0,P812/N812,"")</f>
        <v/>
      </c>
      <c r="W812" s="17">
        <f>IF(O812&gt;0,H812/O812,"")</f>
        <v/>
      </c>
    </row>
    <row r="813">
      <c r="A813" s="13" t="inlineStr">
        <is>
          <t>T29_F</t>
        </is>
      </c>
      <c r="B813" s="13" t="inlineStr">
        <is>
          <t>T29</t>
        </is>
      </c>
      <c r="C813" s="13" t="inlineStr">
        <is>
          <t>F</t>
        </is>
      </c>
      <c r="D813" s="13" t="n">
        <v>1</v>
      </c>
      <c r="E813" s="13" t="inlineStr">
        <is>
          <t>S1</t>
        </is>
      </c>
      <c r="F813" s="13" t="n">
        <v>2026</v>
      </c>
      <c r="G813" s="14" t="n">
        <v>86973.85140036789</v>
      </c>
      <c r="H813" s="14" t="n">
        <v>25.55171401079963</v>
      </c>
      <c r="I813" s="14" t="n">
        <v>34581.17797420726</v>
      </c>
      <c r="J813" s="14" t="n">
        <v>0</v>
      </c>
      <c r="K813" s="14" t="n">
        <v>52367.12171214981</v>
      </c>
      <c r="L813" s="14" t="n">
        <v>0</v>
      </c>
      <c r="M813" s="14" t="n">
        <v>0</v>
      </c>
      <c r="N813" s="14" t="n">
        <v>86587.47800272025</v>
      </c>
      <c r="O813" s="14" t="n">
        <v>86973.85140036789</v>
      </c>
      <c r="P813" s="14" t="n">
        <v>86561.92628870945</v>
      </c>
      <c r="Q813" s="14" t="n">
        <v>997329.9425474874</v>
      </c>
      <c r="R813" s="15">
        <f>IF(D813=1,"Section 1","Control")</f>
        <v/>
      </c>
      <c r="S813" s="16">
        <f>N813/10000</f>
        <v/>
      </c>
      <c r="T813" s="16">
        <f>P813/10000</f>
        <v/>
      </c>
      <c r="U813" s="15">
        <f>IF(N813&gt;=Summary!$D$3,1,0)</f>
        <v/>
      </c>
      <c r="V813" s="17">
        <f>IF(N813&gt;0,P813/N813,"")</f>
        <v/>
      </c>
      <c r="W813" s="17">
        <f>IF(O813&gt;0,H813/O813,"")</f>
        <v/>
      </c>
    </row>
    <row r="814">
      <c r="A814" s="13" t="inlineStr">
        <is>
          <t>T30_B1</t>
        </is>
      </c>
      <c r="B814" s="13" t="inlineStr">
        <is>
          <t>T30</t>
        </is>
      </c>
      <c r="C814" s="13" t="inlineStr">
        <is>
          <t>B1</t>
        </is>
      </c>
      <c r="D814" s="13" t="n">
        <v>1</v>
      </c>
      <c r="E814" s="13" t="inlineStr">
        <is>
          <t>S1</t>
        </is>
      </c>
      <c r="F814" s="13" t="n">
        <v>2020</v>
      </c>
      <c r="G814" s="14" t="n">
        <v>1002023.8570644</v>
      </c>
      <c r="H814" s="14" t="n">
        <v>348319.4537969252</v>
      </c>
      <c r="I814" s="14" t="n">
        <v>80150.50234138638</v>
      </c>
      <c r="J814" s="14" t="n">
        <v>52119.90464510451</v>
      </c>
      <c r="K814" s="14" t="n">
        <v>173827.4404349533</v>
      </c>
      <c r="L814" s="14" t="n">
        <v>347606.555846031</v>
      </c>
      <c r="M814" s="14" t="n">
        <v>0</v>
      </c>
      <c r="N814" s="14" t="n">
        <v>348319.4537969252</v>
      </c>
      <c r="O814" s="14" t="n">
        <v>654417.3012183694</v>
      </c>
      <c r="P814" s="14" t="n">
        <v>0</v>
      </c>
      <c r="Q814" s="14" t="n">
        <v>4284651.418684925</v>
      </c>
      <c r="R814" s="15">
        <f>IF(D814=1,"Section 1","Control")</f>
        <v/>
      </c>
      <c r="S814" s="16">
        <f>N814/10000</f>
        <v/>
      </c>
      <c r="T814" s="16">
        <f>P814/10000</f>
        <v/>
      </c>
      <c r="U814" s="15">
        <f>IF(N814&gt;=Summary!$D$3,1,0)</f>
        <v/>
      </c>
      <c r="V814" s="17">
        <f>IF(N814&gt;0,P814/N814,"")</f>
        <v/>
      </c>
      <c r="W814" s="17">
        <f>IF(O814&gt;0,H814/O814,"")</f>
        <v/>
      </c>
    </row>
    <row r="815">
      <c r="A815" s="13" t="inlineStr">
        <is>
          <t>T30_B1</t>
        </is>
      </c>
      <c r="B815" s="13" t="inlineStr">
        <is>
          <t>T30</t>
        </is>
      </c>
      <c r="C815" s="13" t="inlineStr">
        <is>
          <t>B1</t>
        </is>
      </c>
      <c r="D815" s="13" t="n">
        <v>1</v>
      </c>
      <c r="E815" s="13" t="inlineStr">
        <is>
          <t>S1</t>
        </is>
      </c>
      <c r="F815" s="13" t="n">
        <v>2021</v>
      </c>
      <c r="G815" s="14" t="n">
        <v>1002023.8570644</v>
      </c>
      <c r="H815" s="14" t="n">
        <v>342083.349630079</v>
      </c>
      <c r="I815" s="14" t="n">
        <v>71244.91043174594</v>
      </c>
      <c r="J815" s="14" t="n">
        <v>51527.56747164259</v>
      </c>
      <c r="K815" s="14" t="n">
        <v>174123.9543871412</v>
      </c>
      <c r="L815" s="14" t="n">
        <v>363044.0751437916</v>
      </c>
      <c r="M815" s="14" t="n">
        <v>0</v>
      </c>
      <c r="N815" s="14" t="n">
        <v>348319.4537969252</v>
      </c>
      <c r="O815" s="14" t="n">
        <v>654417.3012183694</v>
      </c>
      <c r="P815" s="14" t="n">
        <v>14157.50397057627</v>
      </c>
      <c r="Q815" s="14" t="n">
        <v>4284651.418684925</v>
      </c>
      <c r="R815" s="15">
        <f>IF(D815=1,"Section 1","Control")</f>
        <v/>
      </c>
      <c r="S815" s="16">
        <f>N815/10000</f>
        <v/>
      </c>
      <c r="T815" s="16">
        <f>P815/10000</f>
        <v/>
      </c>
      <c r="U815" s="15">
        <f>IF(N815&gt;=Summary!$D$3,1,0)</f>
        <v/>
      </c>
      <c r="V815" s="17">
        <f>IF(N815&gt;0,P815/N815,"")</f>
        <v/>
      </c>
      <c r="W815" s="17">
        <f>IF(O815&gt;0,H815/O815,"")</f>
        <v/>
      </c>
    </row>
    <row r="816">
      <c r="A816" s="13" t="inlineStr">
        <is>
          <t>T30_B1</t>
        </is>
      </c>
      <c r="B816" s="13" t="inlineStr">
        <is>
          <t>T30</t>
        </is>
      </c>
      <c r="C816" s="13" t="inlineStr">
        <is>
          <t>B1</t>
        </is>
      </c>
      <c r="D816" s="13" t="n">
        <v>1</v>
      </c>
      <c r="E816" s="13" t="inlineStr">
        <is>
          <t>S1</t>
        </is>
      </c>
      <c r="F816" s="13" t="n">
        <v>2022</v>
      </c>
      <c r="G816" s="14" t="n">
        <v>1002023.8570644</v>
      </c>
      <c r="H816" s="14" t="n">
        <v>340869.6617448395</v>
      </c>
      <c r="I816" s="14" t="n">
        <v>89681.96762102914</v>
      </c>
      <c r="J816" s="14" t="n">
        <v>53403.30221285353</v>
      </c>
      <c r="K816" s="14" t="n">
        <v>223794.6639969769</v>
      </c>
      <c r="L816" s="14" t="n">
        <v>294274.2614887013</v>
      </c>
      <c r="M816" s="14" t="n">
        <v>0</v>
      </c>
      <c r="N816" s="14" t="n">
        <v>348319.4537969252</v>
      </c>
      <c r="O816" s="14" t="n">
        <v>654417.3012183694</v>
      </c>
      <c r="P816" s="14" t="n">
        <v>17996.82374970679</v>
      </c>
      <c r="Q816" s="14" t="n">
        <v>4284651.418684925</v>
      </c>
      <c r="R816" s="15">
        <f>IF(D816=1,"Section 1","Control")</f>
        <v/>
      </c>
      <c r="S816" s="16">
        <f>N816/10000</f>
        <v/>
      </c>
      <c r="T816" s="16">
        <f>P816/10000</f>
        <v/>
      </c>
      <c r="U816" s="15">
        <f>IF(N816&gt;=Summary!$D$3,1,0)</f>
        <v/>
      </c>
      <c r="V816" s="17">
        <f>IF(N816&gt;0,P816/N816,"")</f>
        <v/>
      </c>
      <c r="W816" s="17">
        <f>IF(O816&gt;0,H816/O816,"")</f>
        <v/>
      </c>
    </row>
    <row r="817">
      <c r="A817" s="13" t="inlineStr">
        <is>
          <t>T30_B1</t>
        </is>
      </c>
      <c r="B817" s="13" t="inlineStr">
        <is>
          <t>T30</t>
        </is>
      </c>
      <c r="C817" s="13" t="inlineStr">
        <is>
          <t>B1</t>
        </is>
      </c>
      <c r="D817" s="13" t="n">
        <v>1</v>
      </c>
      <c r="E817" s="13" t="inlineStr">
        <is>
          <t>S1</t>
        </is>
      </c>
      <c r="F817" s="13" t="n">
        <v>2023</v>
      </c>
      <c r="G817" s="14" t="n">
        <v>1002023.8570644</v>
      </c>
      <c r="H817" s="14" t="n">
        <v>291164.6244701311</v>
      </c>
      <c r="I817" s="14" t="n">
        <v>148333.20943053</v>
      </c>
      <c r="J817" s="14" t="n">
        <v>53798.19375338088</v>
      </c>
      <c r="K817" s="14" t="n">
        <v>164525.6223819807</v>
      </c>
      <c r="L817" s="14" t="n">
        <v>344202.2070283778</v>
      </c>
      <c r="M817" s="14" t="n">
        <v>0</v>
      </c>
      <c r="N817" s="14" t="n">
        <v>348319.4537969252</v>
      </c>
      <c r="O817" s="14" t="n">
        <v>654417.3012183694</v>
      </c>
      <c r="P817" s="14" t="n">
        <v>65545.82080900902</v>
      </c>
      <c r="Q817" s="14" t="n">
        <v>4284651.418684925</v>
      </c>
      <c r="R817" s="15">
        <f>IF(D817=1,"Section 1","Control")</f>
        <v/>
      </c>
      <c r="S817" s="16">
        <f>N817/10000</f>
        <v/>
      </c>
      <c r="T817" s="16">
        <f>P817/10000</f>
        <v/>
      </c>
      <c r="U817" s="15">
        <f>IF(N817&gt;=Summary!$D$3,1,0)</f>
        <v/>
      </c>
      <c r="V817" s="17">
        <f>IF(N817&gt;0,P817/N817,"")</f>
        <v/>
      </c>
      <c r="W817" s="17">
        <f>IF(O817&gt;0,H817/O817,"")</f>
        <v/>
      </c>
    </row>
    <row r="818">
      <c r="A818" s="13" t="inlineStr">
        <is>
          <t>T30_B1</t>
        </is>
      </c>
      <c r="B818" s="13" t="inlineStr">
        <is>
          <t>T30</t>
        </is>
      </c>
      <c r="C818" s="13" t="inlineStr">
        <is>
          <t>B1</t>
        </is>
      </c>
      <c r="D818" s="13" t="n">
        <v>1</v>
      </c>
      <c r="E818" s="13" t="inlineStr">
        <is>
          <t>S1</t>
        </is>
      </c>
      <c r="F818" s="13" t="n">
        <v>2024</v>
      </c>
      <c r="G818" s="14" t="n">
        <v>1002023.8570644</v>
      </c>
      <c r="H818" s="14" t="n">
        <v>274228.3546738268</v>
      </c>
      <c r="I818" s="14" t="n">
        <v>199904.6731739418</v>
      </c>
      <c r="J818" s="14" t="n">
        <v>54094.36239351759</v>
      </c>
      <c r="K818" s="14" t="n">
        <v>190797.75308425</v>
      </c>
      <c r="L818" s="14" t="n">
        <v>282998.7137388641</v>
      </c>
      <c r="M818" s="14" t="n">
        <v>0</v>
      </c>
      <c r="N818" s="14" t="n">
        <v>348319.4537969253</v>
      </c>
      <c r="O818" s="14" t="n">
        <v>654417.3012183694</v>
      </c>
      <c r="P818" s="14" t="n">
        <v>95157.23677831911</v>
      </c>
      <c r="Q818" s="14" t="n">
        <v>4284651.418684925</v>
      </c>
      <c r="R818" s="15">
        <f>IF(D818=1,"Section 1","Control")</f>
        <v/>
      </c>
      <c r="S818" s="16">
        <f>N818/10000</f>
        <v/>
      </c>
      <c r="T818" s="16">
        <f>P818/10000</f>
        <v/>
      </c>
      <c r="U818" s="15">
        <f>IF(N818&gt;=Summary!$D$3,1,0)</f>
        <v/>
      </c>
      <c r="V818" s="17">
        <f>IF(N818&gt;0,P818/N818,"")</f>
        <v/>
      </c>
      <c r="W818" s="17">
        <f>IF(O818&gt;0,H818/O818,"")</f>
        <v/>
      </c>
    </row>
    <row r="819">
      <c r="A819" s="13" t="inlineStr">
        <is>
          <t>T30_B1</t>
        </is>
      </c>
      <c r="B819" s="13" t="inlineStr">
        <is>
          <t>T30</t>
        </is>
      </c>
      <c r="C819" s="13" t="inlineStr">
        <is>
          <t>B1</t>
        </is>
      </c>
      <c r="D819" s="13" t="n">
        <v>1</v>
      </c>
      <c r="E819" s="13" t="inlineStr">
        <is>
          <t>S1</t>
        </is>
      </c>
      <c r="F819" s="13" t="n">
        <v>2025</v>
      </c>
      <c r="G819" s="14" t="n">
        <v>1002023.8570644</v>
      </c>
      <c r="H819" s="14" t="n">
        <v>239091.3235876345</v>
      </c>
      <c r="I819" s="14" t="n">
        <v>190536.2828437954</v>
      </c>
      <c r="J819" s="14" t="n">
        <v>54094.36239351759</v>
      </c>
      <c r="K819" s="14" t="n">
        <v>185421.8239729339</v>
      </c>
      <c r="L819" s="14" t="n">
        <v>332880.064266519</v>
      </c>
      <c r="M819" s="14" t="n">
        <v>0</v>
      </c>
      <c r="N819" s="14" t="n">
        <v>348319.4537969253</v>
      </c>
      <c r="O819" s="14" t="n">
        <v>654417.3012183694</v>
      </c>
      <c r="P819" s="14" t="n">
        <v>119482.8289011637</v>
      </c>
      <c r="Q819" s="14" t="n">
        <v>4284651.418684925</v>
      </c>
      <c r="R819" s="15">
        <f>IF(D819=1,"Section 1","Control")</f>
        <v/>
      </c>
      <c r="S819" s="16">
        <f>N819/10000</f>
        <v/>
      </c>
      <c r="T819" s="16">
        <f>P819/10000</f>
        <v/>
      </c>
      <c r="U819" s="15">
        <f>IF(N819&gt;=Summary!$D$3,1,0)</f>
        <v/>
      </c>
      <c r="V819" s="17">
        <f>IF(N819&gt;0,P819/N819,"")</f>
        <v/>
      </c>
      <c r="W819" s="17">
        <f>IF(O819&gt;0,H819/O819,"")</f>
        <v/>
      </c>
    </row>
    <row r="820">
      <c r="A820" s="13" t="inlineStr">
        <is>
          <t>T30_B1</t>
        </is>
      </c>
      <c r="B820" s="13" t="inlineStr">
        <is>
          <t>T30</t>
        </is>
      </c>
      <c r="C820" s="13" t="inlineStr">
        <is>
          <t>B1</t>
        </is>
      </c>
      <c r="D820" s="13" t="n">
        <v>1</v>
      </c>
      <c r="E820" s="13" t="inlineStr">
        <is>
          <t>S1</t>
        </is>
      </c>
      <c r="F820" s="13" t="n">
        <v>2026</v>
      </c>
      <c r="G820" s="14" t="n">
        <v>1002023.8570644</v>
      </c>
      <c r="H820" s="14" t="n">
        <v>213461.5669645721</v>
      </c>
      <c r="I820" s="14" t="n">
        <v>208330.5440944297</v>
      </c>
      <c r="J820" s="14" t="n">
        <v>54094.36239351759</v>
      </c>
      <c r="K820" s="14" t="n">
        <v>221308.2719090181</v>
      </c>
      <c r="L820" s="14" t="n">
        <v>304829.1117028629</v>
      </c>
      <c r="M820" s="14" t="n">
        <v>0</v>
      </c>
      <c r="N820" s="14" t="n">
        <v>348319.4537969252</v>
      </c>
      <c r="O820" s="14" t="n">
        <v>654417.3012183694</v>
      </c>
      <c r="P820" s="14" t="n">
        <v>140920.2034224566</v>
      </c>
      <c r="Q820" s="14" t="n">
        <v>4284651.418684925</v>
      </c>
      <c r="R820" s="15">
        <f>IF(D820=1,"Section 1","Control")</f>
        <v/>
      </c>
      <c r="S820" s="16">
        <f>N820/10000</f>
        <v/>
      </c>
      <c r="T820" s="16">
        <f>P820/10000</f>
        <v/>
      </c>
      <c r="U820" s="15">
        <f>IF(N820&gt;=Summary!$D$3,1,0)</f>
        <v/>
      </c>
      <c r="V820" s="17">
        <f>IF(N820&gt;0,P820/N820,"")</f>
        <v/>
      </c>
      <c r="W820" s="17">
        <f>IF(O820&gt;0,H820/O820,"")</f>
        <v/>
      </c>
    </row>
    <row r="821">
      <c r="A821" s="13" t="inlineStr">
        <is>
          <t>T30_B2</t>
        </is>
      </c>
      <c r="B821" s="13" t="inlineStr">
        <is>
          <t>T30</t>
        </is>
      </c>
      <c r="C821" s="13" t="inlineStr">
        <is>
          <t>B2</t>
        </is>
      </c>
      <c r="D821" s="13" t="n">
        <v>1</v>
      </c>
      <c r="E821" s="13" t="inlineStr">
        <is>
          <t>S1</t>
        </is>
      </c>
      <c r="F821" s="13" t="n">
        <v>2020</v>
      </c>
      <c r="G821" s="14" t="n">
        <v>1001277.132742998</v>
      </c>
      <c r="H821" s="14" t="n">
        <v>433498.5141968972</v>
      </c>
      <c r="I821" s="14" t="n">
        <v>3624.818538441377</v>
      </c>
      <c r="J821" s="14" t="n">
        <v>0</v>
      </c>
      <c r="K821" s="14" t="n">
        <v>22944.01727989047</v>
      </c>
      <c r="L821" s="14" t="n">
        <v>541209.7827277689</v>
      </c>
      <c r="M821" s="14" t="n">
        <v>0</v>
      </c>
      <c r="N821" s="14" t="n">
        <v>433498.5141968972</v>
      </c>
      <c r="O821" s="14" t="n">
        <v>460067.3500152291</v>
      </c>
      <c r="P821" s="14" t="n">
        <v>0</v>
      </c>
      <c r="Q821" s="14" t="n">
        <v>4162051.244226016</v>
      </c>
      <c r="R821" s="15">
        <f>IF(D821=1,"Section 1","Control")</f>
        <v/>
      </c>
      <c r="S821" s="16">
        <f>N821/10000</f>
        <v/>
      </c>
      <c r="T821" s="16">
        <f>P821/10000</f>
        <v/>
      </c>
      <c r="U821" s="15">
        <f>IF(N821&gt;=Summary!$D$3,1,0)</f>
        <v/>
      </c>
      <c r="V821" s="17">
        <f>IF(N821&gt;0,P821/N821,"")</f>
        <v/>
      </c>
      <c r="W821" s="17">
        <f>IF(O821&gt;0,H821/O821,"")</f>
        <v/>
      </c>
    </row>
    <row r="822">
      <c r="A822" s="13" t="inlineStr">
        <is>
          <t>T30_B2</t>
        </is>
      </c>
      <c r="B822" s="13" t="inlineStr">
        <is>
          <t>T30</t>
        </is>
      </c>
      <c r="C822" s="13" t="inlineStr">
        <is>
          <t>B2</t>
        </is>
      </c>
      <c r="D822" s="13" t="n">
        <v>1</v>
      </c>
      <c r="E822" s="13" t="inlineStr">
        <is>
          <t>S1</t>
        </is>
      </c>
      <c r="F822" s="13" t="n">
        <v>2021</v>
      </c>
      <c r="G822" s="14" t="n">
        <v>1001277.132742998</v>
      </c>
      <c r="H822" s="14" t="n">
        <v>411650.9604769839</v>
      </c>
      <c r="I822" s="14" t="n">
        <v>11129.98066208783</v>
      </c>
      <c r="J822" s="14" t="n">
        <v>0</v>
      </c>
      <c r="K822" s="14" t="n">
        <v>66741.80081649481</v>
      </c>
      <c r="L822" s="14" t="n">
        <v>511754.3907874313</v>
      </c>
      <c r="M822" s="14" t="n">
        <v>0</v>
      </c>
      <c r="N822" s="14" t="n">
        <v>433498.5141968972</v>
      </c>
      <c r="O822" s="14" t="n">
        <v>460067.3500152291</v>
      </c>
      <c r="P822" s="14" t="n">
        <v>24997.73387795243</v>
      </c>
      <c r="Q822" s="14" t="n">
        <v>4162051.244226016</v>
      </c>
      <c r="R822" s="15">
        <f>IF(D822=1,"Section 1","Control")</f>
        <v/>
      </c>
      <c r="S822" s="16">
        <f>N822/10000</f>
        <v/>
      </c>
      <c r="T822" s="16">
        <f>P822/10000</f>
        <v/>
      </c>
      <c r="U822" s="15">
        <f>IF(N822&gt;=Summary!$D$3,1,0)</f>
        <v/>
      </c>
      <c r="V822" s="17">
        <f>IF(N822&gt;0,P822/N822,"")</f>
        <v/>
      </c>
      <c r="W822" s="17">
        <f>IF(O822&gt;0,H822/O822,"")</f>
        <v/>
      </c>
    </row>
    <row r="823">
      <c r="A823" s="13" t="inlineStr">
        <is>
          <t>T30_B2</t>
        </is>
      </c>
      <c r="B823" s="13" t="inlineStr">
        <is>
          <t>T30</t>
        </is>
      </c>
      <c r="C823" s="13" t="inlineStr">
        <is>
          <t>B2</t>
        </is>
      </c>
      <c r="D823" s="13" t="n">
        <v>1</v>
      </c>
      <c r="E823" s="13" t="inlineStr">
        <is>
          <t>S1</t>
        </is>
      </c>
      <c r="F823" s="13" t="n">
        <v>2022</v>
      </c>
      <c r="G823" s="14" t="n">
        <v>1001277.132742998</v>
      </c>
      <c r="H823" s="14" t="n">
        <v>407614.2282800116</v>
      </c>
      <c r="I823" s="14" t="n">
        <v>17668.43719180238</v>
      </c>
      <c r="J823" s="14" t="n">
        <v>0</v>
      </c>
      <c r="K823" s="14" t="n">
        <v>70653.49051202512</v>
      </c>
      <c r="L823" s="14" t="n">
        <v>505340.9767591588</v>
      </c>
      <c r="M823" s="14" t="n">
        <v>0</v>
      </c>
      <c r="N823" s="14" t="n">
        <v>433498.5141968972</v>
      </c>
      <c r="O823" s="14" t="n">
        <v>460067.3500152291</v>
      </c>
      <c r="P823" s="14" t="n">
        <v>29231.91006753959</v>
      </c>
      <c r="Q823" s="14" t="n">
        <v>4162051.244226016</v>
      </c>
      <c r="R823" s="15">
        <f>IF(D823=1,"Section 1","Control")</f>
        <v/>
      </c>
      <c r="S823" s="16">
        <f>N823/10000</f>
        <v/>
      </c>
      <c r="T823" s="16">
        <f>P823/10000</f>
        <v/>
      </c>
      <c r="U823" s="15">
        <f>IF(N823&gt;=Summary!$D$3,1,0)</f>
        <v/>
      </c>
      <c r="V823" s="17">
        <f>IF(N823&gt;0,P823/N823,"")</f>
        <v/>
      </c>
      <c r="W823" s="17">
        <f>IF(O823&gt;0,H823/O823,"")</f>
        <v/>
      </c>
    </row>
    <row r="824">
      <c r="A824" s="13" t="inlineStr">
        <is>
          <t>T30_B2</t>
        </is>
      </c>
      <c r="B824" s="13" t="inlineStr">
        <is>
          <t>T30</t>
        </is>
      </c>
      <c r="C824" s="13" t="inlineStr">
        <is>
          <t>B2</t>
        </is>
      </c>
      <c r="D824" s="13" t="n">
        <v>1</v>
      </c>
      <c r="E824" s="13" t="inlineStr">
        <is>
          <t>S1</t>
        </is>
      </c>
      <c r="F824" s="13" t="n">
        <v>2023</v>
      </c>
      <c r="G824" s="14" t="n">
        <v>1001277.132742998</v>
      </c>
      <c r="H824" s="14" t="n">
        <v>392775.4319254858</v>
      </c>
      <c r="I824" s="14" t="n">
        <v>27402.76663955988</v>
      </c>
      <c r="J824" s="14" t="n">
        <v>0</v>
      </c>
      <c r="K824" s="14" t="n">
        <v>70097.92388685638</v>
      </c>
      <c r="L824" s="14" t="n">
        <v>511001.0102910958</v>
      </c>
      <c r="M824" s="14" t="n">
        <v>0</v>
      </c>
      <c r="N824" s="14" t="n">
        <v>433498.5141968972</v>
      </c>
      <c r="O824" s="14" t="n">
        <v>460067.3500152291</v>
      </c>
      <c r="P824" s="14" t="n">
        <v>43984.37316885554</v>
      </c>
      <c r="Q824" s="14" t="n">
        <v>4162051.244226016</v>
      </c>
      <c r="R824" s="15">
        <f>IF(D824=1,"Section 1","Control")</f>
        <v/>
      </c>
      <c r="S824" s="16">
        <f>N824/10000</f>
        <v/>
      </c>
      <c r="T824" s="16">
        <f>P824/10000</f>
        <v/>
      </c>
      <c r="U824" s="15">
        <f>IF(N824&gt;=Summary!$D$3,1,0)</f>
        <v/>
      </c>
      <c r="V824" s="17">
        <f>IF(N824&gt;0,P824/N824,"")</f>
        <v/>
      </c>
      <c r="W824" s="17">
        <f>IF(O824&gt;0,H824/O824,"")</f>
        <v/>
      </c>
    </row>
    <row r="825">
      <c r="A825" s="13" t="inlineStr">
        <is>
          <t>T30_B2</t>
        </is>
      </c>
      <c r="B825" s="13" t="inlineStr">
        <is>
          <t>T30</t>
        </is>
      </c>
      <c r="C825" s="13" t="inlineStr">
        <is>
          <t>B2</t>
        </is>
      </c>
      <c r="D825" s="13" t="n">
        <v>1</v>
      </c>
      <c r="E825" s="13" t="inlineStr">
        <is>
          <t>S1</t>
        </is>
      </c>
      <c r="F825" s="13" t="n">
        <v>2024</v>
      </c>
      <c r="G825" s="14" t="n">
        <v>1001277.132742998</v>
      </c>
      <c r="H825" s="14" t="n">
        <v>395712.3039563649</v>
      </c>
      <c r="I825" s="14" t="n">
        <v>35485.52622905058</v>
      </c>
      <c r="J825" s="14" t="n">
        <v>0</v>
      </c>
      <c r="K825" s="14" t="n">
        <v>64663.99492091759</v>
      </c>
      <c r="L825" s="14" t="n">
        <v>505415.3076366649</v>
      </c>
      <c r="M825" s="14" t="n">
        <v>0</v>
      </c>
      <c r="N825" s="14" t="n">
        <v>433498.5141968972</v>
      </c>
      <c r="O825" s="14" t="n">
        <v>460067.3500152291</v>
      </c>
      <c r="P825" s="14" t="n">
        <v>43040.12898990406</v>
      </c>
      <c r="Q825" s="14" t="n">
        <v>4162051.244226016</v>
      </c>
      <c r="R825" s="15">
        <f>IF(D825=1,"Section 1","Control")</f>
        <v/>
      </c>
      <c r="S825" s="16">
        <f>N825/10000</f>
        <v/>
      </c>
      <c r="T825" s="16">
        <f>P825/10000</f>
        <v/>
      </c>
      <c r="U825" s="15">
        <f>IF(N825&gt;=Summary!$D$3,1,0)</f>
        <v/>
      </c>
      <c r="V825" s="17">
        <f>IF(N825&gt;0,P825/N825,"")</f>
        <v/>
      </c>
      <c r="W825" s="17">
        <f>IF(O825&gt;0,H825/O825,"")</f>
        <v/>
      </c>
    </row>
    <row r="826">
      <c r="A826" s="13" t="inlineStr">
        <is>
          <t>T30_B2</t>
        </is>
      </c>
      <c r="B826" s="13" t="inlineStr">
        <is>
          <t>T30</t>
        </is>
      </c>
      <c r="C826" s="13" t="inlineStr">
        <is>
          <t>B2</t>
        </is>
      </c>
      <c r="D826" s="13" t="n">
        <v>1</v>
      </c>
      <c r="E826" s="13" t="inlineStr">
        <is>
          <t>S1</t>
        </is>
      </c>
      <c r="F826" s="13" t="n">
        <v>2025</v>
      </c>
      <c r="G826" s="14" t="n">
        <v>1001277.132742998</v>
      </c>
      <c r="H826" s="14" t="n">
        <v>387857.1851116406</v>
      </c>
      <c r="I826" s="14" t="n">
        <v>25272.29576308307</v>
      </c>
      <c r="J826" s="14" t="n">
        <v>0</v>
      </c>
      <c r="K826" s="14" t="n">
        <v>62654.32809373444</v>
      </c>
      <c r="L826" s="14" t="n">
        <v>525493.3237745397</v>
      </c>
      <c r="M826" s="14" t="n">
        <v>0</v>
      </c>
      <c r="N826" s="14" t="n">
        <v>433498.5141968972</v>
      </c>
      <c r="O826" s="14" t="n">
        <v>460067.3500152291</v>
      </c>
      <c r="P826" s="14" t="n">
        <v>49142.65014005175</v>
      </c>
      <c r="Q826" s="14" t="n">
        <v>4162051.244226016</v>
      </c>
      <c r="R826" s="15">
        <f>IF(D826=1,"Section 1","Control")</f>
        <v/>
      </c>
      <c r="S826" s="16">
        <f>N826/10000</f>
        <v/>
      </c>
      <c r="T826" s="16">
        <f>P826/10000</f>
        <v/>
      </c>
      <c r="U826" s="15">
        <f>IF(N826&gt;=Summary!$D$3,1,0)</f>
        <v/>
      </c>
      <c r="V826" s="17">
        <f>IF(N826&gt;0,P826/N826,"")</f>
        <v/>
      </c>
      <c r="W826" s="17">
        <f>IF(O826&gt;0,H826/O826,"")</f>
        <v/>
      </c>
    </row>
    <row r="827">
      <c r="A827" s="13" t="inlineStr">
        <is>
          <t>T30_B2</t>
        </is>
      </c>
      <c r="B827" s="13" t="inlineStr">
        <is>
          <t>T30</t>
        </is>
      </c>
      <c r="C827" s="13" t="inlineStr">
        <is>
          <t>B2</t>
        </is>
      </c>
      <c r="D827" s="13" t="n">
        <v>1</v>
      </c>
      <c r="E827" s="13" t="inlineStr">
        <is>
          <t>S1</t>
        </is>
      </c>
      <c r="F827" s="13" t="n">
        <v>2026</v>
      </c>
      <c r="G827" s="14" t="n">
        <v>1001277.132742998</v>
      </c>
      <c r="H827" s="14" t="n">
        <v>370620.0554048427</v>
      </c>
      <c r="I827" s="14" t="n">
        <v>35405.365281767</v>
      </c>
      <c r="J827" s="14" t="n">
        <v>0</v>
      </c>
      <c r="K827" s="14" t="n">
        <v>74055.31994601979</v>
      </c>
      <c r="L827" s="14" t="n">
        <v>521196.3921103683</v>
      </c>
      <c r="M827" s="14" t="n">
        <v>0</v>
      </c>
      <c r="N827" s="14" t="n">
        <v>433498.5141968972</v>
      </c>
      <c r="O827" s="14" t="n">
        <v>460067.3500152291</v>
      </c>
      <c r="P827" s="14" t="n">
        <v>65744.86639634674</v>
      </c>
      <c r="Q827" s="14" t="n">
        <v>4162051.244226016</v>
      </c>
      <c r="R827" s="15">
        <f>IF(D827=1,"Section 1","Control")</f>
        <v/>
      </c>
      <c r="S827" s="16">
        <f>N827/10000</f>
        <v/>
      </c>
      <c r="T827" s="16">
        <f>P827/10000</f>
        <v/>
      </c>
      <c r="U827" s="15">
        <f>IF(N827&gt;=Summary!$D$3,1,0)</f>
        <v/>
      </c>
      <c r="V827" s="17">
        <f>IF(N827&gt;0,P827/N827,"")</f>
        <v/>
      </c>
      <c r="W827" s="17">
        <f>IF(O827&gt;0,H827/O827,"")</f>
        <v/>
      </c>
    </row>
    <row r="828">
      <c r="A828" s="13" t="inlineStr">
        <is>
          <t>T30_B3</t>
        </is>
      </c>
      <c r="B828" s="13" t="inlineStr">
        <is>
          <t>T30</t>
        </is>
      </c>
      <c r="C828" s="13" t="inlineStr">
        <is>
          <t>B3</t>
        </is>
      </c>
      <c r="D828" s="13" t="n">
        <v>1</v>
      </c>
      <c r="E828" s="13" t="inlineStr">
        <is>
          <t>S1</t>
        </is>
      </c>
      <c r="F828" s="13" t="n">
        <v>2020</v>
      </c>
      <c r="G828" s="14" t="n">
        <v>8006255.23608536</v>
      </c>
      <c r="H828" s="14" t="n">
        <v>2193986.415739381</v>
      </c>
      <c r="I828" s="14" t="n">
        <v>720911.0251430436</v>
      </c>
      <c r="J828" s="14" t="n">
        <v>0</v>
      </c>
      <c r="K828" s="14" t="n">
        <v>970972.6828983382</v>
      </c>
      <c r="L828" s="14" t="n">
        <v>4120385.112304598</v>
      </c>
      <c r="M828" s="14" t="n">
        <v>0</v>
      </c>
      <c r="N828" s="14" t="n">
        <v>2193986.415739381</v>
      </c>
      <c r="O828" s="14" t="n">
        <v>3885870.123780763</v>
      </c>
      <c r="P828" s="14" t="n">
        <v>0</v>
      </c>
      <c r="Q828" s="14" t="n">
        <v>34254674.6774654</v>
      </c>
      <c r="R828" s="15">
        <f>IF(D828=1,"Section 1","Control")</f>
        <v/>
      </c>
      <c r="S828" s="16">
        <f>N828/10000</f>
        <v/>
      </c>
      <c r="T828" s="16">
        <f>P828/10000</f>
        <v/>
      </c>
      <c r="U828" s="15">
        <f>IF(N828&gt;=Summary!$D$3,1,0)</f>
        <v/>
      </c>
      <c r="V828" s="17">
        <f>IF(N828&gt;0,P828/N828,"")</f>
        <v/>
      </c>
      <c r="W828" s="17">
        <f>IF(O828&gt;0,H828/O828,"")</f>
        <v/>
      </c>
    </row>
    <row r="829">
      <c r="A829" s="13" t="inlineStr">
        <is>
          <t>T30_B3</t>
        </is>
      </c>
      <c r="B829" s="13" t="inlineStr">
        <is>
          <t>T30</t>
        </is>
      </c>
      <c r="C829" s="13" t="inlineStr">
        <is>
          <t>B3</t>
        </is>
      </c>
      <c r="D829" s="13" t="n">
        <v>1</v>
      </c>
      <c r="E829" s="13" t="inlineStr">
        <is>
          <t>S1</t>
        </is>
      </c>
      <c r="F829" s="13" t="n">
        <v>2021</v>
      </c>
      <c r="G829" s="14" t="n">
        <v>8006255.23608536</v>
      </c>
      <c r="H829" s="14" t="n">
        <v>2267121.724060926</v>
      </c>
      <c r="I829" s="14" t="n">
        <v>409017.7707281973</v>
      </c>
      <c r="J829" s="14" t="n">
        <v>0</v>
      </c>
      <c r="K829" s="14" t="n">
        <v>1209730.628991639</v>
      </c>
      <c r="L829" s="14" t="n">
        <v>4120385.112304598</v>
      </c>
      <c r="M829" s="14" t="n">
        <v>0</v>
      </c>
      <c r="N829" s="14" t="n">
        <v>2193986.415739381</v>
      </c>
      <c r="O829" s="14" t="n">
        <v>3885870.123780763</v>
      </c>
      <c r="P829" s="14" t="n">
        <v>165773.2778424132</v>
      </c>
      <c r="Q829" s="14" t="n">
        <v>34254674.6774654</v>
      </c>
      <c r="R829" s="15">
        <f>IF(D829=1,"Section 1","Control")</f>
        <v/>
      </c>
      <c r="S829" s="16">
        <f>N829/10000</f>
        <v/>
      </c>
      <c r="T829" s="16">
        <f>P829/10000</f>
        <v/>
      </c>
      <c r="U829" s="15">
        <f>IF(N829&gt;=Summary!$D$3,1,0)</f>
        <v/>
      </c>
      <c r="V829" s="17">
        <f>IF(N829&gt;0,P829/N829,"")</f>
        <v/>
      </c>
      <c r="W829" s="17">
        <f>IF(O829&gt;0,H829/O829,"")</f>
        <v/>
      </c>
    </row>
    <row r="830">
      <c r="A830" s="13" t="inlineStr">
        <is>
          <t>T30_B3</t>
        </is>
      </c>
      <c r="B830" s="13" t="inlineStr">
        <is>
          <t>T30</t>
        </is>
      </c>
      <c r="C830" s="13" t="inlineStr">
        <is>
          <t>B3</t>
        </is>
      </c>
      <c r="D830" s="13" t="n">
        <v>1</v>
      </c>
      <c r="E830" s="13" t="inlineStr">
        <is>
          <t>S1</t>
        </is>
      </c>
      <c r="F830" s="13" t="n">
        <v>2022</v>
      </c>
      <c r="G830" s="14" t="n">
        <v>8006255.23608536</v>
      </c>
      <c r="H830" s="14" t="n">
        <v>1987490.942509371</v>
      </c>
      <c r="I830" s="14" t="n">
        <v>386867.0704548855</v>
      </c>
      <c r="J830" s="14" t="n">
        <v>0</v>
      </c>
      <c r="K830" s="14" t="n">
        <v>1511512.110816507</v>
      </c>
      <c r="L830" s="14" t="n">
        <v>4120385.112304598</v>
      </c>
      <c r="M830" s="14" t="n">
        <v>0</v>
      </c>
      <c r="N830" s="14" t="n">
        <v>2193986.415739381</v>
      </c>
      <c r="O830" s="14" t="n">
        <v>3885870.123780761</v>
      </c>
      <c r="P830" s="14" t="n">
        <v>349240.122788822</v>
      </c>
      <c r="Q830" s="14" t="n">
        <v>34254674.6774654</v>
      </c>
      <c r="R830" s="15">
        <f>IF(D830=1,"Section 1","Control")</f>
        <v/>
      </c>
      <c r="S830" s="16">
        <f>N830/10000</f>
        <v/>
      </c>
      <c r="T830" s="16">
        <f>P830/10000</f>
        <v/>
      </c>
      <c r="U830" s="15">
        <f>IF(N830&gt;=Summary!$D$3,1,0)</f>
        <v/>
      </c>
      <c r="V830" s="17">
        <f>IF(N830&gt;0,P830/N830,"")</f>
        <v/>
      </c>
      <c r="W830" s="17">
        <f>IF(O830&gt;0,H830/O830,"")</f>
        <v/>
      </c>
    </row>
    <row r="831">
      <c r="A831" s="13" t="inlineStr">
        <is>
          <t>T30_B3</t>
        </is>
      </c>
      <c r="B831" s="13" t="inlineStr">
        <is>
          <t>T30</t>
        </is>
      </c>
      <c r="C831" s="13" t="inlineStr">
        <is>
          <t>B3</t>
        </is>
      </c>
      <c r="D831" s="13" t="n">
        <v>1</v>
      </c>
      <c r="E831" s="13" t="inlineStr">
        <is>
          <t>S1</t>
        </is>
      </c>
      <c r="F831" s="13" t="n">
        <v>2023</v>
      </c>
      <c r="G831" s="14" t="n">
        <v>8006255.23608536</v>
      </c>
      <c r="H831" s="14" t="n">
        <v>1974862.214385837</v>
      </c>
      <c r="I831" s="14" t="n">
        <v>552499.519768599</v>
      </c>
      <c r="J831" s="14" t="n">
        <v>0</v>
      </c>
      <c r="K831" s="14" t="n">
        <v>1358508.389626327</v>
      </c>
      <c r="L831" s="14" t="n">
        <v>4120385.112304598</v>
      </c>
      <c r="M831" s="14" t="n">
        <v>0</v>
      </c>
      <c r="N831" s="14" t="n">
        <v>2193986.415739382</v>
      </c>
      <c r="O831" s="14" t="n">
        <v>3885870.123780763</v>
      </c>
      <c r="P831" s="14" t="n">
        <v>382198.7048658184</v>
      </c>
      <c r="Q831" s="14" t="n">
        <v>34254674.6774654</v>
      </c>
      <c r="R831" s="15">
        <f>IF(D831=1,"Section 1","Control")</f>
        <v/>
      </c>
      <c r="S831" s="16">
        <f>N831/10000</f>
        <v/>
      </c>
      <c r="T831" s="16">
        <f>P831/10000</f>
        <v/>
      </c>
      <c r="U831" s="15">
        <f>IF(N831&gt;=Summary!$D$3,1,0)</f>
        <v/>
      </c>
      <c r="V831" s="17">
        <f>IF(N831&gt;0,P831/N831,"")</f>
        <v/>
      </c>
      <c r="W831" s="17">
        <f>IF(O831&gt;0,H831/O831,"")</f>
        <v/>
      </c>
    </row>
    <row r="832">
      <c r="A832" s="13" t="inlineStr">
        <is>
          <t>T30_B3</t>
        </is>
      </c>
      <c r="B832" s="13" t="inlineStr">
        <is>
          <t>T30</t>
        </is>
      </c>
      <c r="C832" s="13" t="inlineStr">
        <is>
          <t>B3</t>
        </is>
      </c>
      <c r="D832" s="13" t="n">
        <v>1</v>
      </c>
      <c r="E832" s="13" t="inlineStr">
        <is>
          <t>S1</t>
        </is>
      </c>
      <c r="F832" s="13" t="n">
        <v>2024</v>
      </c>
      <c r="G832" s="14" t="n">
        <v>8006255.23608536</v>
      </c>
      <c r="H832" s="14" t="n">
        <v>2196622.364944099</v>
      </c>
      <c r="I832" s="14" t="n">
        <v>263204.6429398481</v>
      </c>
      <c r="J832" s="14" t="n">
        <v>0</v>
      </c>
      <c r="K832" s="14" t="n">
        <v>1426043.115896816</v>
      </c>
      <c r="L832" s="14" t="n">
        <v>4120385.112304598</v>
      </c>
      <c r="M832" s="14" t="n">
        <v>0</v>
      </c>
      <c r="N832" s="14" t="n">
        <v>2193986.415739381</v>
      </c>
      <c r="O832" s="14" t="n">
        <v>3885870.123780763</v>
      </c>
      <c r="P832" s="14" t="n">
        <v>346530.5111253626</v>
      </c>
      <c r="Q832" s="14" t="n">
        <v>34254674.6774654</v>
      </c>
      <c r="R832" s="15">
        <f>IF(D832=1,"Section 1","Control")</f>
        <v/>
      </c>
      <c r="S832" s="16">
        <f>N832/10000</f>
        <v/>
      </c>
      <c r="T832" s="16">
        <f>P832/10000</f>
        <v/>
      </c>
      <c r="U832" s="15">
        <f>IF(N832&gt;=Summary!$D$3,1,0)</f>
        <v/>
      </c>
      <c r="V832" s="17">
        <f>IF(N832&gt;0,P832/N832,"")</f>
        <v/>
      </c>
      <c r="W832" s="17">
        <f>IF(O832&gt;0,H832/O832,"")</f>
        <v/>
      </c>
    </row>
    <row r="833">
      <c r="A833" s="13" t="inlineStr">
        <is>
          <t>T30_B3</t>
        </is>
      </c>
      <c r="B833" s="13" t="inlineStr">
        <is>
          <t>T30</t>
        </is>
      </c>
      <c r="C833" s="13" t="inlineStr">
        <is>
          <t>B3</t>
        </is>
      </c>
      <c r="D833" s="13" t="n">
        <v>1</v>
      </c>
      <c r="E833" s="13" t="inlineStr">
        <is>
          <t>S1</t>
        </is>
      </c>
      <c r="F833" s="13" t="n">
        <v>2025</v>
      </c>
      <c r="G833" s="14" t="n">
        <v>8006255.23608536</v>
      </c>
      <c r="H833" s="14" t="n">
        <v>2218322.5703236</v>
      </c>
      <c r="I833" s="14" t="n">
        <v>238815.7949258841</v>
      </c>
      <c r="J833" s="14" t="n">
        <v>0</v>
      </c>
      <c r="K833" s="14" t="n">
        <v>1428731.758531279</v>
      </c>
      <c r="L833" s="14" t="n">
        <v>4120385.112304598</v>
      </c>
      <c r="M833" s="14" t="n">
        <v>0</v>
      </c>
      <c r="N833" s="14" t="n">
        <v>2193986.415739381</v>
      </c>
      <c r="O833" s="14" t="n">
        <v>3885870.123780761</v>
      </c>
      <c r="P833" s="14" t="n">
        <v>360994.6481654747</v>
      </c>
      <c r="Q833" s="14" t="n">
        <v>34254674.6774654</v>
      </c>
      <c r="R833" s="15">
        <f>IF(D833=1,"Section 1","Control")</f>
        <v/>
      </c>
      <c r="S833" s="16">
        <f>N833/10000</f>
        <v/>
      </c>
      <c r="T833" s="16">
        <f>P833/10000</f>
        <v/>
      </c>
      <c r="U833" s="15">
        <f>IF(N833&gt;=Summary!$D$3,1,0)</f>
        <v/>
      </c>
      <c r="V833" s="17">
        <f>IF(N833&gt;0,P833/N833,"")</f>
        <v/>
      </c>
      <c r="W833" s="17">
        <f>IF(O833&gt;0,H833/O833,"")</f>
        <v/>
      </c>
    </row>
    <row r="834">
      <c r="A834" s="13" t="inlineStr">
        <is>
          <t>T30_B3</t>
        </is>
      </c>
      <c r="B834" s="13" t="inlineStr">
        <is>
          <t>T30</t>
        </is>
      </c>
      <c r="C834" s="13" t="inlineStr">
        <is>
          <t>B3</t>
        </is>
      </c>
      <c r="D834" s="13" t="n">
        <v>1</v>
      </c>
      <c r="E834" s="13" t="inlineStr">
        <is>
          <t>S1</t>
        </is>
      </c>
      <c r="F834" s="13" t="n">
        <v>2026</v>
      </c>
      <c r="G834" s="14" t="n">
        <v>8006255.23608536</v>
      </c>
      <c r="H834" s="14" t="n">
        <v>2120557.663837837</v>
      </c>
      <c r="I834" s="14" t="n">
        <v>188745.7720827888</v>
      </c>
      <c r="J834" s="14" t="n">
        <v>0</v>
      </c>
      <c r="K834" s="14" t="n">
        <v>1576566.687860138</v>
      </c>
      <c r="L834" s="14" t="n">
        <v>4120385.112304598</v>
      </c>
      <c r="M834" s="14" t="n">
        <v>0</v>
      </c>
      <c r="N834" s="14" t="n">
        <v>2193986.415739381</v>
      </c>
      <c r="O834" s="14" t="n">
        <v>3885870.123780763</v>
      </c>
      <c r="P834" s="14" t="n">
        <v>426764.3095696542</v>
      </c>
      <c r="Q834" s="14" t="n">
        <v>34254674.6774654</v>
      </c>
      <c r="R834" s="15">
        <f>IF(D834=1,"Section 1","Control")</f>
        <v/>
      </c>
      <c r="S834" s="16">
        <f>N834/10000</f>
        <v/>
      </c>
      <c r="T834" s="16">
        <f>P834/10000</f>
        <v/>
      </c>
      <c r="U834" s="15">
        <f>IF(N834&gt;=Summary!$D$3,1,0)</f>
        <v/>
      </c>
      <c r="V834" s="17">
        <f>IF(N834&gt;0,P834/N834,"")</f>
        <v/>
      </c>
      <c r="W834" s="17">
        <f>IF(O834&gt;0,H834/O834,"")</f>
        <v/>
      </c>
    </row>
    <row r="835">
      <c r="A835" s="13" t="inlineStr">
        <is>
          <t>T30_F</t>
        </is>
      </c>
      <c r="B835" s="13" t="inlineStr">
        <is>
          <t>T30</t>
        </is>
      </c>
      <c r="C835" s="13" t="inlineStr">
        <is>
          <t>F</t>
        </is>
      </c>
      <c r="D835" s="13" t="n">
        <v>1</v>
      </c>
      <c r="E835" s="13" t="inlineStr">
        <is>
          <t>S1</t>
        </is>
      </c>
      <c r="F835" s="13" t="n">
        <v>2020</v>
      </c>
      <c r="G835" s="14" t="n">
        <v>92430.63649941236</v>
      </c>
      <c r="H835" s="14" t="n">
        <v>81871.97258665794</v>
      </c>
      <c r="I835" s="14" t="n">
        <v>3032.137485459272</v>
      </c>
      <c r="J835" s="14" t="n">
        <v>0</v>
      </c>
      <c r="K835" s="14" t="n">
        <v>7526.526427295162</v>
      </c>
      <c r="L835" s="14" t="n">
        <v>0</v>
      </c>
      <c r="M835" s="14" t="n">
        <v>0</v>
      </c>
      <c r="N835" s="14" t="n">
        <v>81871.97258665794</v>
      </c>
      <c r="O835" s="14" t="n">
        <v>92430.63649941236</v>
      </c>
      <c r="P835" s="14" t="n">
        <v>0</v>
      </c>
      <c r="Q835" s="14" t="n">
        <v>1304425.340346632</v>
      </c>
      <c r="R835" s="15">
        <f>IF(D835=1,"Section 1","Control")</f>
        <v/>
      </c>
      <c r="S835" s="16">
        <f>N835/10000</f>
        <v/>
      </c>
      <c r="T835" s="16">
        <f>P835/10000</f>
        <v/>
      </c>
      <c r="U835" s="15">
        <f>IF(N835&gt;=Summary!$D$3,1,0)</f>
        <v/>
      </c>
      <c r="V835" s="17">
        <f>IF(N835&gt;0,P835/N835,"")</f>
        <v/>
      </c>
      <c r="W835" s="17">
        <f>IF(O835&gt;0,H835/O835,"")</f>
        <v/>
      </c>
    </row>
    <row r="836">
      <c r="A836" s="13" t="inlineStr">
        <is>
          <t>T30_F</t>
        </is>
      </c>
      <c r="B836" s="13" t="inlineStr">
        <is>
          <t>T30</t>
        </is>
      </c>
      <c r="C836" s="13" t="inlineStr">
        <is>
          <t>F</t>
        </is>
      </c>
      <c r="D836" s="13" t="n">
        <v>1</v>
      </c>
      <c r="E836" s="13" t="inlineStr">
        <is>
          <t>S1</t>
        </is>
      </c>
      <c r="F836" s="13" t="n">
        <v>2021</v>
      </c>
      <c r="G836" s="14" t="n">
        <v>92430.63649941236</v>
      </c>
      <c r="H836" s="14" t="n">
        <v>82409.33307372447</v>
      </c>
      <c r="I836" s="14" t="n">
        <v>1855.983432006836</v>
      </c>
      <c r="J836" s="14" t="n">
        <v>0</v>
      </c>
      <c r="K836" s="14" t="n">
        <v>8165.319993681067</v>
      </c>
      <c r="L836" s="14" t="n">
        <v>0</v>
      </c>
      <c r="M836" s="14" t="n">
        <v>0</v>
      </c>
      <c r="N836" s="14" t="n">
        <v>81871.97258665794</v>
      </c>
      <c r="O836" s="14" t="n">
        <v>92430.63649941236</v>
      </c>
      <c r="P836" s="14" t="n">
        <v>0</v>
      </c>
      <c r="Q836" s="14" t="n">
        <v>1304425.340346632</v>
      </c>
      <c r="R836" s="15">
        <f>IF(D836=1,"Section 1","Control")</f>
        <v/>
      </c>
      <c r="S836" s="16">
        <f>N836/10000</f>
        <v/>
      </c>
      <c r="T836" s="16">
        <f>P836/10000</f>
        <v/>
      </c>
      <c r="U836" s="15">
        <f>IF(N836&gt;=Summary!$D$3,1,0)</f>
        <v/>
      </c>
      <c r="V836" s="17">
        <f>IF(N836&gt;0,P836/N836,"")</f>
        <v/>
      </c>
      <c r="W836" s="17">
        <f>IF(O836&gt;0,H836/O836,"")</f>
        <v/>
      </c>
    </row>
    <row r="837">
      <c r="A837" s="13" t="inlineStr">
        <is>
          <t>T30_F</t>
        </is>
      </c>
      <c r="B837" s="13" t="inlineStr">
        <is>
          <t>T30</t>
        </is>
      </c>
      <c r="C837" s="13" t="inlineStr">
        <is>
          <t>F</t>
        </is>
      </c>
      <c r="D837" s="13" t="n">
        <v>1</v>
      </c>
      <c r="E837" s="13" t="inlineStr">
        <is>
          <t>S1</t>
        </is>
      </c>
      <c r="F837" s="13" t="n">
        <v>2022</v>
      </c>
      <c r="G837" s="14" t="n">
        <v>92430.63649941236</v>
      </c>
      <c r="H837" s="14" t="n">
        <v>82322.9991963405</v>
      </c>
      <c r="I837" s="14" t="n">
        <v>1859.468178513471</v>
      </c>
      <c r="J837" s="14" t="n">
        <v>0</v>
      </c>
      <c r="K837" s="14" t="n">
        <v>8248.169124558393</v>
      </c>
      <c r="L837" s="14" t="n">
        <v>0</v>
      </c>
      <c r="M837" s="14" t="n">
        <v>0</v>
      </c>
      <c r="N837" s="14" t="n">
        <v>81871.97258665794</v>
      </c>
      <c r="O837" s="14" t="n">
        <v>92430.63649941236</v>
      </c>
      <c r="P837" s="14" t="n">
        <v>0</v>
      </c>
      <c r="Q837" s="14" t="n">
        <v>1304425.340346632</v>
      </c>
      <c r="R837" s="15">
        <f>IF(D837=1,"Section 1","Control")</f>
        <v/>
      </c>
      <c r="S837" s="16">
        <f>N837/10000</f>
        <v/>
      </c>
      <c r="T837" s="16">
        <f>P837/10000</f>
        <v/>
      </c>
      <c r="U837" s="15">
        <f>IF(N837&gt;=Summary!$D$3,1,0)</f>
        <v/>
      </c>
      <c r="V837" s="17">
        <f>IF(N837&gt;0,P837/N837,"")</f>
        <v/>
      </c>
      <c r="W837" s="17">
        <f>IF(O837&gt;0,H837/O837,"")</f>
        <v/>
      </c>
    </row>
    <row r="838">
      <c r="A838" s="13" t="inlineStr">
        <is>
          <t>T30_F</t>
        </is>
      </c>
      <c r="B838" s="13" t="inlineStr">
        <is>
          <t>T30</t>
        </is>
      </c>
      <c r="C838" s="13" t="inlineStr">
        <is>
          <t>F</t>
        </is>
      </c>
      <c r="D838" s="13" t="n">
        <v>1</v>
      </c>
      <c r="E838" s="13" t="inlineStr">
        <is>
          <t>S1</t>
        </is>
      </c>
      <c r="F838" s="13" t="n">
        <v>2023</v>
      </c>
      <c r="G838" s="14" t="n">
        <v>92430.63649941236</v>
      </c>
      <c r="H838" s="14" t="n">
        <v>82636.58850582346</v>
      </c>
      <c r="I838" s="14" t="n">
        <v>2260.939909243117</v>
      </c>
      <c r="J838" s="14" t="n">
        <v>0</v>
      </c>
      <c r="K838" s="14" t="n">
        <v>7533.108084345799</v>
      </c>
      <c r="L838" s="14" t="n">
        <v>0</v>
      </c>
      <c r="M838" s="14" t="n">
        <v>0</v>
      </c>
      <c r="N838" s="14" t="n">
        <v>81871.97258665794</v>
      </c>
      <c r="O838" s="14" t="n">
        <v>92430.63649941236</v>
      </c>
      <c r="P838" s="14" t="n">
        <v>197.8323226629519</v>
      </c>
      <c r="Q838" s="14" t="n">
        <v>1304425.340346632</v>
      </c>
      <c r="R838" s="15">
        <f>IF(D838=1,"Section 1","Control")</f>
        <v/>
      </c>
      <c r="S838" s="16">
        <f>N838/10000</f>
        <v/>
      </c>
      <c r="T838" s="16">
        <f>P838/10000</f>
        <v/>
      </c>
      <c r="U838" s="15">
        <f>IF(N838&gt;=Summary!$D$3,1,0)</f>
        <v/>
      </c>
      <c r="V838" s="17">
        <f>IF(N838&gt;0,P838/N838,"")</f>
        <v/>
      </c>
      <c r="W838" s="17">
        <f>IF(O838&gt;0,H838/O838,"")</f>
        <v/>
      </c>
    </row>
    <row r="839">
      <c r="A839" s="13" t="inlineStr">
        <is>
          <t>T30_F</t>
        </is>
      </c>
      <c r="B839" s="13" t="inlineStr">
        <is>
          <t>T30</t>
        </is>
      </c>
      <c r="C839" s="13" t="inlineStr">
        <is>
          <t>F</t>
        </is>
      </c>
      <c r="D839" s="13" t="n">
        <v>1</v>
      </c>
      <c r="E839" s="13" t="inlineStr">
        <is>
          <t>S1</t>
        </is>
      </c>
      <c r="F839" s="13" t="n">
        <v>2024</v>
      </c>
      <c r="G839" s="14" t="n">
        <v>92430.63649941236</v>
      </c>
      <c r="H839" s="14" t="n">
        <v>83419.78737819893</v>
      </c>
      <c r="I839" s="14" t="n">
        <v>405.3431013817881</v>
      </c>
      <c r="J839" s="14" t="n">
        <v>0</v>
      </c>
      <c r="K839" s="14" t="n">
        <v>8605.506019831639</v>
      </c>
      <c r="L839" s="14" t="n">
        <v>0</v>
      </c>
      <c r="M839" s="14" t="n">
        <v>0</v>
      </c>
      <c r="N839" s="14" t="n">
        <v>81871.97258665792</v>
      </c>
      <c r="O839" s="14" t="n">
        <v>92430.63649941236</v>
      </c>
      <c r="P839" s="14" t="n">
        <v>355.7886138616824</v>
      </c>
      <c r="Q839" s="14" t="n">
        <v>1304425.340346632</v>
      </c>
      <c r="R839" s="15">
        <f>IF(D839=1,"Section 1","Control")</f>
        <v/>
      </c>
      <c r="S839" s="16">
        <f>N839/10000</f>
        <v/>
      </c>
      <c r="T839" s="16">
        <f>P839/10000</f>
        <v/>
      </c>
      <c r="U839" s="15">
        <f>IF(N839&gt;=Summary!$D$3,1,0)</f>
        <v/>
      </c>
      <c r="V839" s="17">
        <f>IF(N839&gt;0,P839/N839,"")</f>
        <v/>
      </c>
      <c r="W839" s="17">
        <f>IF(O839&gt;0,H839/O839,"")</f>
        <v/>
      </c>
    </row>
    <row r="840">
      <c r="A840" s="13" t="inlineStr">
        <is>
          <t>T30_F</t>
        </is>
      </c>
      <c r="B840" s="13" t="inlineStr">
        <is>
          <t>T30</t>
        </is>
      </c>
      <c r="C840" s="13" t="inlineStr">
        <is>
          <t>F</t>
        </is>
      </c>
      <c r="D840" s="13" t="n">
        <v>1</v>
      </c>
      <c r="E840" s="13" t="inlineStr">
        <is>
          <t>S1</t>
        </is>
      </c>
      <c r="F840" s="13" t="n">
        <v>2025</v>
      </c>
      <c r="G840" s="14" t="n">
        <v>92430.63649941236</v>
      </c>
      <c r="H840" s="14" t="n">
        <v>217.1894263473212</v>
      </c>
      <c r="I840" s="14" t="n">
        <v>31988.43553155636</v>
      </c>
      <c r="J840" s="14" t="n">
        <v>0</v>
      </c>
      <c r="K840" s="14" t="n">
        <v>60225.01154150871</v>
      </c>
      <c r="L840" s="14" t="n">
        <v>0</v>
      </c>
      <c r="M840" s="14" t="n">
        <v>0</v>
      </c>
      <c r="N840" s="14" t="n">
        <v>81871.97258665792</v>
      </c>
      <c r="O840" s="14" t="n">
        <v>92430.63649941236</v>
      </c>
      <c r="P840" s="14" t="n">
        <v>81654.78316031063</v>
      </c>
      <c r="Q840" s="14" t="n">
        <v>1304425.340346632</v>
      </c>
      <c r="R840" s="15">
        <f>IF(D840=1,"Section 1","Control")</f>
        <v/>
      </c>
      <c r="S840" s="16">
        <f>N840/10000</f>
        <v/>
      </c>
      <c r="T840" s="16">
        <f>P840/10000</f>
        <v/>
      </c>
      <c r="U840" s="15">
        <f>IF(N840&gt;=Summary!$D$3,1,0)</f>
        <v/>
      </c>
      <c r="V840" s="17">
        <f>IF(N840&gt;0,P840/N840,"")</f>
        <v/>
      </c>
      <c r="W840" s="17">
        <f>IF(O840&gt;0,H840/O840,"")</f>
        <v/>
      </c>
    </row>
    <row r="841">
      <c r="A841" s="13" t="inlineStr">
        <is>
          <t>T30_F</t>
        </is>
      </c>
      <c r="B841" s="13" t="inlineStr">
        <is>
          <t>T30</t>
        </is>
      </c>
      <c r="C841" s="13" t="inlineStr">
        <is>
          <t>F</t>
        </is>
      </c>
      <c r="D841" s="13" t="n">
        <v>1</v>
      </c>
      <c r="E841" s="13" t="inlineStr">
        <is>
          <t>S1</t>
        </is>
      </c>
      <c r="F841" s="13" t="n">
        <v>2026</v>
      </c>
      <c r="G841" s="14" t="n">
        <v>92430.63649941236</v>
      </c>
      <c r="H841" s="14" t="n">
        <v>41.03757072897518</v>
      </c>
      <c r="I841" s="14" t="n">
        <v>48166.93182818842</v>
      </c>
      <c r="J841" s="14" t="n">
        <v>0</v>
      </c>
      <c r="K841" s="14" t="n">
        <v>44222.66710049499</v>
      </c>
      <c r="L841" s="14" t="n">
        <v>0</v>
      </c>
      <c r="M841" s="14" t="n">
        <v>0</v>
      </c>
      <c r="N841" s="14" t="n">
        <v>81871.97258665794</v>
      </c>
      <c r="O841" s="14" t="n">
        <v>92430.63649941236</v>
      </c>
      <c r="P841" s="14" t="n">
        <v>81830.93501592896</v>
      </c>
      <c r="Q841" s="14" t="n">
        <v>1304425.340346632</v>
      </c>
      <c r="R841" s="15">
        <f>IF(D841=1,"Section 1","Control")</f>
        <v/>
      </c>
      <c r="S841" s="16">
        <f>N841/10000</f>
        <v/>
      </c>
      <c r="T841" s="16">
        <f>P841/10000</f>
        <v/>
      </c>
      <c r="U841" s="15">
        <f>IF(N841&gt;=Summary!$D$3,1,0)</f>
        <v/>
      </c>
      <c r="V841" s="17">
        <f>IF(N841&gt;0,P841/N841,"")</f>
        <v/>
      </c>
      <c r="W841" s="17">
        <f>IF(O841&gt;0,H841/O841,"")</f>
        <v/>
      </c>
    </row>
    <row r="842">
      <c r="A842" s="13" t="inlineStr">
        <is>
          <t>T31_B1</t>
        </is>
      </c>
      <c r="B842" s="13" t="inlineStr">
        <is>
          <t>T31</t>
        </is>
      </c>
      <c r="C842" s="13" t="inlineStr">
        <is>
          <t>B1</t>
        </is>
      </c>
      <c r="D842" s="13" t="n">
        <v>1</v>
      </c>
      <c r="E842" s="13" t="inlineStr">
        <is>
          <t>S1</t>
        </is>
      </c>
      <c r="F842" s="13" t="n">
        <v>2020</v>
      </c>
      <c r="G842" s="14" t="n">
        <v>1014616.968634363</v>
      </c>
      <c r="H842" s="14" t="n">
        <v>429629.614409772</v>
      </c>
      <c r="I842" s="14" t="n">
        <v>113400.3632961797</v>
      </c>
      <c r="J842" s="14" t="n">
        <v>31614.54010673972</v>
      </c>
      <c r="K842" s="14" t="n">
        <v>107092.4644732307</v>
      </c>
      <c r="L842" s="14" t="n">
        <v>332879.9863484401</v>
      </c>
      <c r="M842" s="14" t="n">
        <v>0</v>
      </c>
      <c r="N842" s="14" t="n">
        <v>429629.614409772</v>
      </c>
      <c r="O842" s="14" t="n">
        <v>681736.9822859223</v>
      </c>
      <c r="P842" s="14" t="n">
        <v>0</v>
      </c>
      <c r="Q842" s="14" t="n">
        <v>5747061.090038793</v>
      </c>
      <c r="R842" s="15">
        <f>IF(D842=1,"Section 1","Control")</f>
        <v/>
      </c>
      <c r="S842" s="16">
        <f>N842/10000</f>
        <v/>
      </c>
      <c r="T842" s="16">
        <f>P842/10000</f>
        <v/>
      </c>
      <c r="U842" s="15">
        <f>IF(N842&gt;=Summary!$D$3,1,0)</f>
        <v/>
      </c>
      <c r="V842" s="17">
        <f>IF(N842&gt;0,P842/N842,"")</f>
        <v/>
      </c>
      <c r="W842" s="17">
        <f>IF(O842&gt;0,H842/O842,"")</f>
        <v/>
      </c>
    </row>
    <row r="843">
      <c r="A843" s="13" t="inlineStr">
        <is>
          <t>T31_B1</t>
        </is>
      </c>
      <c r="B843" s="13" t="inlineStr">
        <is>
          <t>T31</t>
        </is>
      </c>
      <c r="C843" s="13" t="inlineStr">
        <is>
          <t>B1</t>
        </is>
      </c>
      <c r="D843" s="13" t="n">
        <v>1</v>
      </c>
      <c r="E843" s="13" t="inlineStr">
        <is>
          <t>S1</t>
        </is>
      </c>
      <c r="F843" s="13" t="n">
        <v>2021</v>
      </c>
      <c r="G843" s="14" t="n">
        <v>1014616.968634363</v>
      </c>
      <c r="H843" s="14" t="n">
        <v>413595.664810779</v>
      </c>
      <c r="I843" s="14" t="n">
        <v>95046.45739868762</v>
      </c>
      <c r="J843" s="14" t="n">
        <v>31120.92605492087</v>
      </c>
      <c r="K843" s="14" t="n">
        <v>150376.5394966275</v>
      </c>
      <c r="L843" s="14" t="n">
        <v>324477.3808733473</v>
      </c>
      <c r="M843" s="14" t="n">
        <v>0</v>
      </c>
      <c r="N843" s="14" t="n">
        <v>429629.614409772</v>
      </c>
      <c r="O843" s="14" t="n">
        <v>681736.9822859223</v>
      </c>
      <c r="P843" s="14" t="n">
        <v>23370.77714029948</v>
      </c>
      <c r="Q843" s="14" t="n">
        <v>5747061.090038793</v>
      </c>
      <c r="R843" s="15">
        <f>IF(D843=1,"Section 1","Control")</f>
        <v/>
      </c>
      <c r="S843" s="16">
        <f>N843/10000</f>
        <v/>
      </c>
      <c r="T843" s="16">
        <f>P843/10000</f>
        <v/>
      </c>
      <c r="U843" s="15">
        <f>IF(N843&gt;=Summary!$D$3,1,0)</f>
        <v/>
      </c>
      <c r="V843" s="17">
        <f>IF(N843&gt;0,P843/N843,"")</f>
        <v/>
      </c>
      <c r="W843" s="17">
        <f>IF(O843&gt;0,H843/O843,"")</f>
        <v/>
      </c>
    </row>
    <row r="844">
      <c r="A844" s="13" t="inlineStr">
        <is>
          <t>T31_B1</t>
        </is>
      </c>
      <c r="B844" s="13" t="inlineStr">
        <is>
          <t>T31</t>
        </is>
      </c>
      <c r="C844" s="13" t="inlineStr">
        <is>
          <t>B1</t>
        </is>
      </c>
      <c r="D844" s="13" t="n">
        <v>1</v>
      </c>
      <c r="E844" s="13" t="inlineStr">
        <is>
          <t>S1</t>
        </is>
      </c>
      <c r="F844" s="13" t="n">
        <v>2022</v>
      </c>
      <c r="G844" s="14" t="n">
        <v>1014616.968634363</v>
      </c>
      <c r="H844" s="14" t="n">
        <v>410648.7064258651</v>
      </c>
      <c r="I844" s="14" t="n">
        <v>110700.7850746005</v>
      </c>
      <c r="J844" s="14" t="n">
        <v>31713.26290794821</v>
      </c>
      <c r="K844" s="14" t="n">
        <v>188351.4761351342</v>
      </c>
      <c r="L844" s="14" t="n">
        <v>273202.7380908143</v>
      </c>
      <c r="M844" s="14" t="n">
        <v>0</v>
      </c>
      <c r="N844" s="14" t="n">
        <v>429629.614409772</v>
      </c>
      <c r="O844" s="14" t="n">
        <v>681736.9822859223</v>
      </c>
      <c r="P844" s="14" t="n">
        <v>28588.34206970814</v>
      </c>
      <c r="Q844" s="14" t="n">
        <v>5747061.090038793</v>
      </c>
      <c r="R844" s="15">
        <f>IF(D844=1,"Section 1","Control")</f>
        <v/>
      </c>
      <c r="S844" s="16">
        <f>N844/10000</f>
        <v/>
      </c>
      <c r="T844" s="16">
        <f>P844/10000</f>
        <v/>
      </c>
      <c r="U844" s="15">
        <f>IF(N844&gt;=Summary!$D$3,1,0)</f>
        <v/>
      </c>
      <c r="V844" s="17">
        <f>IF(N844&gt;0,P844/N844,"")</f>
        <v/>
      </c>
      <c r="W844" s="17">
        <f>IF(O844&gt;0,H844/O844,"")</f>
        <v/>
      </c>
    </row>
    <row r="845">
      <c r="A845" s="13" t="inlineStr">
        <is>
          <t>T31_B1</t>
        </is>
      </c>
      <c r="B845" s="13" t="inlineStr">
        <is>
          <t>T31</t>
        </is>
      </c>
      <c r="C845" s="13" t="inlineStr">
        <is>
          <t>B1</t>
        </is>
      </c>
      <c r="D845" s="13" t="n">
        <v>1</v>
      </c>
      <c r="E845" s="13" t="inlineStr">
        <is>
          <t>S1</t>
        </is>
      </c>
      <c r="F845" s="13" t="n">
        <v>2023</v>
      </c>
      <c r="G845" s="14" t="n">
        <v>1014616.968634363</v>
      </c>
      <c r="H845" s="14" t="n">
        <v>390755.5887701595</v>
      </c>
      <c r="I845" s="14" t="n">
        <v>116079.7661046047</v>
      </c>
      <c r="J845" s="14" t="n">
        <v>31713.26290794821</v>
      </c>
      <c r="K845" s="14" t="n">
        <v>132403.1139850093</v>
      </c>
      <c r="L845" s="14" t="n">
        <v>343665.2368666406</v>
      </c>
      <c r="M845" s="14" t="n">
        <v>0</v>
      </c>
      <c r="N845" s="14" t="n">
        <v>429629.614409772</v>
      </c>
      <c r="O845" s="14" t="n">
        <v>681736.9822859223</v>
      </c>
      <c r="P845" s="14" t="n">
        <v>44137.66774848489</v>
      </c>
      <c r="Q845" s="14" t="n">
        <v>5747061.090038793</v>
      </c>
      <c r="R845" s="15">
        <f>IF(D845=1,"Section 1","Control")</f>
        <v/>
      </c>
      <c r="S845" s="16">
        <f>N845/10000</f>
        <v/>
      </c>
      <c r="T845" s="16">
        <f>P845/10000</f>
        <v/>
      </c>
      <c r="U845" s="15">
        <f>IF(N845&gt;=Summary!$D$3,1,0)</f>
        <v/>
      </c>
      <c r="V845" s="17">
        <f>IF(N845&gt;0,P845/N845,"")</f>
        <v/>
      </c>
      <c r="W845" s="17">
        <f>IF(O845&gt;0,H845/O845,"")</f>
        <v/>
      </c>
    </row>
    <row r="846">
      <c r="A846" s="13" t="inlineStr">
        <is>
          <t>T31_B1</t>
        </is>
      </c>
      <c r="B846" s="13" t="inlineStr">
        <is>
          <t>T31</t>
        </is>
      </c>
      <c r="C846" s="13" t="inlineStr">
        <is>
          <t>B1</t>
        </is>
      </c>
      <c r="D846" s="13" t="n">
        <v>1</v>
      </c>
      <c r="E846" s="13" t="inlineStr">
        <is>
          <t>S1</t>
        </is>
      </c>
      <c r="F846" s="13" t="n">
        <v>2024</v>
      </c>
      <c r="G846" s="14" t="n">
        <v>1014616.968634363</v>
      </c>
      <c r="H846" s="14" t="n">
        <v>385371.2321652581</v>
      </c>
      <c r="I846" s="14" t="n">
        <v>125698.3935113346</v>
      </c>
      <c r="J846" s="14" t="n">
        <v>31713.26290794821</v>
      </c>
      <c r="K846" s="14" t="n">
        <v>150491.3479816811</v>
      </c>
      <c r="L846" s="14" t="n">
        <v>321342.7320681404</v>
      </c>
      <c r="M846" s="14" t="n">
        <v>0</v>
      </c>
      <c r="N846" s="14" t="n">
        <v>429629.614409772</v>
      </c>
      <c r="O846" s="14" t="n">
        <v>681736.9822859223</v>
      </c>
      <c r="P846" s="14" t="n">
        <v>57456.59722233193</v>
      </c>
      <c r="Q846" s="14" t="n">
        <v>5747061.090038793</v>
      </c>
      <c r="R846" s="15">
        <f>IF(D846=1,"Section 1","Control")</f>
        <v/>
      </c>
      <c r="S846" s="16">
        <f>N846/10000</f>
        <v/>
      </c>
      <c r="T846" s="16">
        <f>P846/10000</f>
        <v/>
      </c>
      <c r="U846" s="15">
        <f>IF(N846&gt;=Summary!$D$3,1,0)</f>
        <v/>
      </c>
      <c r="V846" s="17">
        <f>IF(N846&gt;0,P846/N846,"")</f>
        <v/>
      </c>
      <c r="W846" s="17">
        <f>IF(O846&gt;0,H846/O846,"")</f>
        <v/>
      </c>
    </row>
    <row r="847">
      <c r="A847" s="13" t="inlineStr">
        <is>
          <t>T31_B1</t>
        </is>
      </c>
      <c r="B847" s="13" t="inlineStr">
        <is>
          <t>T31</t>
        </is>
      </c>
      <c r="C847" s="13" t="inlineStr">
        <is>
          <t>B1</t>
        </is>
      </c>
      <c r="D847" s="13" t="n">
        <v>1</v>
      </c>
      <c r="E847" s="13" t="inlineStr">
        <is>
          <t>S1</t>
        </is>
      </c>
      <c r="F847" s="13" t="n">
        <v>2025</v>
      </c>
      <c r="G847" s="14" t="n">
        <v>1014616.968634363</v>
      </c>
      <c r="H847" s="14" t="n">
        <v>339833.1455245971</v>
      </c>
      <c r="I847" s="14" t="n">
        <v>130837.0667527741</v>
      </c>
      <c r="J847" s="14" t="n">
        <v>31713.26290794821</v>
      </c>
      <c r="K847" s="14" t="n">
        <v>133987.7347881841</v>
      </c>
      <c r="L847" s="14" t="n">
        <v>378245.7586608587</v>
      </c>
      <c r="M847" s="14" t="n">
        <v>0</v>
      </c>
      <c r="N847" s="14" t="n">
        <v>429629.614409772</v>
      </c>
      <c r="O847" s="14" t="n">
        <v>681736.9822859223</v>
      </c>
      <c r="P847" s="14" t="n">
        <v>92592.04917306339</v>
      </c>
      <c r="Q847" s="14" t="n">
        <v>5747061.090038793</v>
      </c>
      <c r="R847" s="15">
        <f>IF(D847=1,"Section 1","Control")</f>
        <v/>
      </c>
      <c r="S847" s="16">
        <f>N847/10000</f>
        <v/>
      </c>
      <c r="T847" s="16">
        <f>P847/10000</f>
        <v/>
      </c>
      <c r="U847" s="15">
        <f>IF(N847&gt;=Summary!$D$3,1,0)</f>
        <v/>
      </c>
      <c r="V847" s="17">
        <f>IF(N847&gt;0,P847/N847,"")</f>
        <v/>
      </c>
      <c r="W847" s="17">
        <f>IF(O847&gt;0,H847/O847,"")</f>
        <v/>
      </c>
    </row>
    <row r="848">
      <c r="A848" s="13" t="inlineStr">
        <is>
          <t>T31_B1</t>
        </is>
      </c>
      <c r="B848" s="13" t="inlineStr">
        <is>
          <t>T31</t>
        </is>
      </c>
      <c r="C848" s="13" t="inlineStr">
        <is>
          <t>B1</t>
        </is>
      </c>
      <c r="D848" s="13" t="n">
        <v>1</v>
      </c>
      <c r="E848" s="13" t="inlineStr">
        <is>
          <t>S1</t>
        </is>
      </c>
      <c r="F848" s="13" t="n">
        <v>2026</v>
      </c>
      <c r="G848" s="14" t="n">
        <v>1014616.968634363</v>
      </c>
      <c r="H848" s="14" t="n">
        <v>305898.3781992894</v>
      </c>
      <c r="I848" s="14" t="n">
        <v>124865.6801525041</v>
      </c>
      <c r="J848" s="14" t="n">
        <v>31713.26290794821</v>
      </c>
      <c r="K848" s="14" t="n">
        <v>193672.7766019634</v>
      </c>
      <c r="L848" s="14" t="n">
        <v>358466.8707726572</v>
      </c>
      <c r="M848" s="14" t="n">
        <v>0</v>
      </c>
      <c r="N848" s="14" t="n">
        <v>429629.614409772</v>
      </c>
      <c r="O848" s="14" t="n">
        <v>681736.9822859223</v>
      </c>
      <c r="P848" s="14" t="n">
        <v>133307.3224150115</v>
      </c>
      <c r="Q848" s="14" t="n">
        <v>5747061.090038793</v>
      </c>
      <c r="R848" s="15">
        <f>IF(D848=1,"Section 1","Control")</f>
        <v/>
      </c>
      <c r="S848" s="16">
        <f>N848/10000</f>
        <v/>
      </c>
      <c r="T848" s="16">
        <f>P848/10000</f>
        <v/>
      </c>
      <c r="U848" s="15">
        <f>IF(N848&gt;=Summary!$D$3,1,0)</f>
        <v/>
      </c>
      <c r="V848" s="17">
        <f>IF(N848&gt;0,P848/N848,"")</f>
        <v/>
      </c>
      <c r="W848" s="17">
        <f>IF(O848&gt;0,H848/O848,"")</f>
        <v/>
      </c>
    </row>
    <row r="849">
      <c r="A849" s="13" t="inlineStr">
        <is>
          <t>T31_B2</t>
        </is>
      </c>
      <c r="B849" s="13" t="inlineStr">
        <is>
          <t>T31</t>
        </is>
      </c>
      <c r="C849" s="13" t="inlineStr">
        <is>
          <t>B2</t>
        </is>
      </c>
      <c r="D849" s="13" t="n">
        <v>1</v>
      </c>
      <c r="E849" s="13" t="inlineStr">
        <is>
          <t>S1</t>
        </is>
      </c>
      <c r="F849" s="13" t="n">
        <v>2020</v>
      </c>
      <c r="G849" s="14" t="n">
        <v>1013574.751511129</v>
      </c>
      <c r="H849" s="14" t="n">
        <v>425863.8041418638</v>
      </c>
      <c r="I849" s="14" t="n">
        <v>296.1637802124023</v>
      </c>
      <c r="J849" s="14" t="n">
        <v>0</v>
      </c>
      <c r="K849" s="14" t="n">
        <v>30363.9588046504</v>
      </c>
      <c r="L849" s="14" t="n">
        <v>557050.8247844024</v>
      </c>
      <c r="M849" s="14" t="n">
        <v>0</v>
      </c>
      <c r="N849" s="14" t="n">
        <v>425863.8041418638</v>
      </c>
      <c r="O849" s="14" t="n">
        <v>456523.9267267264</v>
      </c>
      <c r="P849" s="14" t="n">
        <v>0</v>
      </c>
      <c r="Q849" s="14" t="n">
        <v>4259597.204100483</v>
      </c>
      <c r="R849" s="15">
        <f>IF(D849=1,"Section 1","Control")</f>
        <v/>
      </c>
      <c r="S849" s="16">
        <f>N849/10000</f>
        <v/>
      </c>
      <c r="T849" s="16">
        <f>P849/10000</f>
        <v/>
      </c>
      <c r="U849" s="15">
        <f>IF(N849&gt;=Summary!$D$3,1,0)</f>
        <v/>
      </c>
      <c r="V849" s="17">
        <f>IF(N849&gt;0,P849/N849,"")</f>
        <v/>
      </c>
      <c r="W849" s="17">
        <f>IF(O849&gt;0,H849/O849,"")</f>
        <v/>
      </c>
    </row>
    <row r="850">
      <c r="A850" s="13" t="inlineStr">
        <is>
          <t>T31_B2</t>
        </is>
      </c>
      <c r="B850" s="13" t="inlineStr">
        <is>
          <t>T31</t>
        </is>
      </c>
      <c r="C850" s="13" t="inlineStr">
        <is>
          <t>B2</t>
        </is>
      </c>
      <c r="D850" s="13" t="n">
        <v>1</v>
      </c>
      <c r="E850" s="13" t="inlineStr">
        <is>
          <t>S1</t>
        </is>
      </c>
      <c r="F850" s="13" t="n">
        <v>2021</v>
      </c>
      <c r="G850" s="14" t="n">
        <v>1013574.751511129</v>
      </c>
      <c r="H850" s="14" t="n">
        <v>417316.4765339872</v>
      </c>
      <c r="I850" s="14" t="n">
        <v>1184.654441833496</v>
      </c>
      <c r="J850" s="14" t="n">
        <v>0</v>
      </c>
      <c r="K850" s="14" t="n">
        <v>40042.524253187</v>
      </c>
      <c r="L850" s="14" t="n">
        <v>555031.0962821214</v>
      </c>
      <c r="M850" s="14" t="n">
        <v>0</v>
      </c>
      <c r="N850" s="14" t="n">
        <v>425863.8041418638</v>
      </c>
      <c r="O850" s="14" t="n">
        <v>456523.9267267264</v>
      </c>
      <c r="P850" s="14" t="n">
        <v>8843.491624600279</v>
      </c>
      <c r="Q850" s="14" t="n">
        <v>4259597.204100483</v>
      </c>
      <c r="R850" s="15">
        <f>IF(D850=1,"Section 1","Control")</f>
        <v/>
      </c>
      <c r="S850" s="16">
        <f>N850/10000</f>
        <v/>
      </c>
      <c r="T850" s="16">
        <f>P850/10000</f>
        <v/>
      </c>
      <c r="U850" s="15">
        <f>IF(N850&gt;=Summary!$D$3,1,0)</f>
        <v/>
      </c>
      <c r="V850" s="17">
        <f>IF(N850&gt;0,P850/N850,"")</f>
        <v/>
      </c>
      <c r="W850" s="17">
        <f>IF(O850&gt;0,H850/O850,"")</f>
        <v/>
      </c>
    </row>
    <row r="851">
      <c r="A851" s="13" t="inlineStr">
        <is>
          <t>T31_B2</t>
        </is>
      </c>
      <c r="B851" s="13" t="inlineStr">
        <is>
          <t>T31</t>
        </is>
      </c>
      <c r="C851" s="13" t="inlineStr">
        <is>
          <t>B2</t>
        </is>
      </c>
      <c r="D851" s="13" t="n">
        <v>1</v>
      </c>
      <c r="E851" s="13" t="inlineStr">
        <is>
          <t>S1</t>
        </is>
      </c>
      <c r="F851" s="13" t="n">
        <v>2022</v>
      </c>
      <c r="G851" s="14" t="n">
        <v>1013574.751511129</v>
      </c>
      <c r="H851" s="14" t="n">
        <v>399370.916591091</v>
      </c>
      <c r="I851" s="14" t="n">
        <v>13400.95139970966</v>
      </c>
      <c r="J851" s="14" t="n">
        <v>0</v>
      </c>
      <c r="K851" s="14" t="n">
        <v>94237.40950012208</v>
      </c>
      <c r="L851" s="14" t="n">
        <v>506565.4740202064</v>
      </c>
      <c r="M851" s="14" t="n">
        <v>0</v>
      </c>
      <c r="N851" s="14" t="n">
        <v>425863.8041418638</v>
      </c>
      <c r="O851" s="14" t="n">
        <v>456523.9267267264</v>
      </c>
      <c r="P851" s="14" t="n">
        <v>26986.49410289689</v>
      </c>
      <c r="Q851" s="14" t="n">
        <v>4259597.204100483</v>
      </c>
      <c r="R851" s="15">
        <f>IF(D851=1,"Section 1","Control")</f>
        <v/>
      </c>
      <c r="S851" s="16">
        <f>N851/10000</f>
        <v/>
      </c>
      <c r="T851" s="16">
        <f>P851/10000</f>
        <v/>
      </c>
      <c r="U851" s="15">
        <f>IF(N851&gt;=Summary!$D$3,1,0)</f>
        <v/>
      </c>
      <c r="V851" s="17">
        <f>IF(N851&gt;0,P851/N851,"")</f>
        <v/>
      </c>
      <c r="W851" s="17">
        <f>IF(O851&gt;0,H851/O851,"")</f>
        <v/>
      </c>
    </row>
    <row r="852">
      <c r="A852" s="13" t="inlineStr">
        <is>
          <t>T31_B2</t>
        </is>
      </c>
      <c r="B852" s="13" t="inlineStr">
        <is>
          <t>T31</t>
        </is>
      </c>
      <c r="C852" s="13" t="inlineStr">
        <is>
          <t>B2</t>
        </is>
      </c>
      <c r="D852" s="13" t="n">
        <v>1</v>
      </c>
      <c r="E852" s="13" t="inlineStr">
        <is>
          <t>S1</t>
        </is>
      </c>
      <c r="F852" s="13" t="n">
        <v>2023</v>
      </c>
      <c r="G852" s="14" t="n">
        <v>1013574.751511129</v>
      </c>
      <c r="H852" s="14" t="n">
        <v>395357.0256205243</v>
      </c>
      <c r="I852" s="14" t="n">
        <v>12895.34294092515</v>
      </c>
      <c r="J852" s="14" t="n">
        <v>0</v>
      </c>
      <c r="K852" s="14" t="n">
        <v>58217.28564821131</v>
      </c>
      <c r="L852" s="14" t="n">
        <v>547105.0973014683</v>
      </c>
      <c r="M852" s="14" t="n">
        <v>0</v>
      </c>
      <c r="N852" s="14" t="n">
        <v>425863.8041418638</v>
      </c>
      <c r="O852" s="14" t="n">
        <v>456523.9267267264</v>
      </c>
      <c r="P852" s="14" t="n">
        <v>31592.71240500656</v>
      </c>
      <c r="Q852" s="14" t="n">
        <v>4259597.204100483</v>
      </c>
      <c r="R852" s="15">
        <f>IF(D852=1,"Section 1","Control")</f>
        <v/>
      </c>
      <c r="S852" s="16">
        <f>N852/10000</f>
        <v/>
      </c>
      <c r="T852" s="16">
        <f>P852/10000</f>
        <v/>
      </c>
      <c r="U852" s="15">
        <f>IF(N852&gt;=Summary!$D$3,1,0)</f>
        <v/>
      </c>
      <c r="V852" s="17">
        <f>IF(N852&gt;0,P852/N852,"")</f>
        <v/>
      </c>
      <c r="W852" s="17">
        <f>IF(O852&gt;0,H852/O852,"")</f>
        <v/>
      </c>
    </row>
    <row r="853">
      <c r="A853" s="13" t="inlineStr">
        <is>
          <t>T31_B2</t>
        </is>
      </c>
      <c r="B853" s="13" t="inlineStr">
        <is>
          <t>T31</t>
        </is>
      </c>
      <c r="C853" s="13" t="inlineStr">
        <is>
          <t>B2</t>
        </is>
      </c>
      <c r="D853" s="13" t="n">
        <v>1</v>
      </c>
      <c r="E853" s="13" t="inlineStr">
        <is>
          <t>S1</t>
        </is>
      </c>
      <c r="F853" s="13" t="n">
        <v>2024</v>
      </c>
      <c r="G853" s="14" t="n">
        <v>1013574.751511129</v>
      </c>
      <c r="H853" s="14" t="n">
        <v>395295.0822576487</v>
      </c>
      <c r="I853" s="14" t="n">
        <v>14130.32573676016</v>
      </c>
      <c r="J853" s="14" t="n">
        <v>0</v>
      </c>
      <c r="K853" s="14" t="n">
        <v>72024.72140571743</v>
      </c>
      <c r="L853" s="14" t="n">
        <v>532124.6221110027</v>
      </c>
      <c r="M853" s="14" t="n">
        <v>0</v>
      </c>
      <c r="N853" s="14" t="n">
        <v>425863.8041418638</v>
      </c>
      <c r="O853" s="14" t="n">
        <v>456523.9267267264</v>
      </c>
      <c r="P853" s="14" t="n">
        <v>33727.80355688357</v>
      </c>
      <c r="Q853" s="14" t="n">
        <v>4259597.204100483</v>
      </c>
      <c r="R853" s="15">
        <f>IF(D853=1,"Section 1","Control")</f>
        <v/>
      </c>
      <c r="S853" s="16">
        <f>N853/10000</f>
        <v/>
      </c>
      <c r="T853" s="16">
        <f>P853/10000</f>
        <v/>
      </c>
      <c r="U853" s="15">
        <f>IF(N853&gt;=Summary!$D$3,1,0)</f>
        <v/>
      </c>
      <c r="V853" s="17">
        <f>IF(N853&gt;0,P853/N853,"")</f>
        <v/>
      </c>
      <c r="W853" s="17">
        <f>IF(O853&gt;0,H853/O853,"")</f>
        <v/>
      </c>
    </row>
    <row r="854">
      <c r="A854" s="13" t="inlineStr">
        <is>
          <t>T31_B2</t>
        </is>
      </c>
      <c r="B854" s="13" t="inlineStr">
        <is>
          <t>T31</t>
        </is>
      </c>
      <c r="C854" s="13" t="inlineStr">
        <is>
          <t>B2</t>
        </is>
      </c>
      <c r="D854" s="13" t="n">
        <v>1</v>
      </c>
      <c r="E854" s="13" t="inlineStr">
        <is>
          <t>S1</t>
        </is>
      </c>
      <c r="F854" s="13" t="n">
        <v>2025</v>
      </c>
      <c r="G854" s="14" t="n">
        <v>1013574.751511129</v>
      </c>
      <c r="H854" s="14" t="n">
        <v>388899.879344716</v>
      </c>
      <c r="I854" s="14" t="n">
        <v>10427.30843317368</v>
      </c>
      <c r="J854" s="14" t="n">
        <v>0</v>
      </c>
      <c r="K854" s="14" t="n">
        <v>53890.58133637671</v>
      </c>
      <c r="L854" s="14" t="n">
        <v>560356.9823968626</v>
      </c>
      <c r="M854" s="14" t="n">
        <v>0</v>
      </c>
      <c r="N854" s="14" t="n">
        <v>425863.8041418638</v>
      </c>
      <c r="O854" s="14" t="n">
        <v>456523.9267267264</v>
      </c>
      <c r="P854" s="14" t="n">
        <v>38938.34976205265</v>
      </c>
      <c r="Q854" s="14" t="n">
        <v>4259597.204100483</v>
      </c>
      <c r="R854" s="15">
        <f>IF(D854=1,"Section 1","Control")</f>
        <v/>
      </c>
      <c r="S854" s="16">
        <f>N854/10000</f>
        <v/>
      </c>
      <c r="T854" s="16">
        <f>P854/10000</f>
        <v/>
      </c>
      <c r="U854" s="15">
        <f>IF(N854&gt;=Summary!$D$3,1,0)</f>
        <v/>
      </c>
      <c r="V854" s="17">
        <f>IF(N854&gt;0,P854/N854,"")</f>
        <v/>
      </c>
      <c r="W854" s="17">
        <f>IF(O854&gt;0,H854/O854,"")</f>
        <v/>
      </c>
    </row>
    <row r="855">
      <c r="A855" s="13" t="inlineStr">
        <is>
          <t>T31_B2</t>
        </is>
      </c>
      <c r="B855" s="13" t="inlineStr">
        <is>
          <t>T31</t>
        </is>
      </c>
      <c r="C855" s="13" t="inlineStr">
        <is>
          <t>B2</t>
        </is>
      </c>
      <c r="D855" s="13" t="n">
        <v>1</v>
      </c>
      <c r="E855" s="13" t="inlineStr">
        <is>
          <t>S1</t>
        </is>
      </c>
      <c r="F855" s="13" t="n">
        <v>2026</v>
      </c>
      <c r="G855" s="14" t="n">
        <v>1013574.751511129</v>
      </c>
      <c r="H855" s="14" t="n">
        <v>376572.8759992414</v>
      </c>
      <c r="I855" s="14" t="n">
        <v>10973.18136605656</v>
      </c>
      <c r="J855" s="14" t="n">
        <v>0</v>
      </c>
      <c r="K855" s="14" t="n">
        <v>78490.39067179362</v>
      </c>
      <c r="L855" s="14" t="n">
        <v>547538.3034740374</v>
      </c>
      <c r="M855" s="14" t="n">
        <v>0</v>
      </c>
      <c r="N855" s="14" t="n">
        <v>425863.8041418638</v>
      </c>
      <c r="O855" s="14" t="n">
        <v>456523.9267267264</v>
      </c>
      <c r="P855" s="14" t="n">
        <v>50080.69816978305</v>
      </c>
      <c r="Q855" s="14" t="n">
        <v>4259597.204100483</v>
      </c>
      <c r="R855" s="15">
        <f>IF(D855=1,"Section 1","Control")</f>
        <v/>
      </c>
      <c r="S855" s="16">
        <f>N855/10000</f>
        <v/>
      </c>
      <c r="T855" s="16">
        <f>P855/10000</f>
        <v/>
      </c>
      <c r="U855" s="15">
        <f>IF(N855&gt;=Summary!$D$3,1,0)</f>
        <v/>
      </c>
      <c r="V855" s="17">
        <f>IF(N855&gt;0,P855/N855,"")</f>
        <v/>
      </c>
      <c r="W855" s="17">
        <f>IF(O855&gt;0,H855/O855,"")</f>
        <v/>
      </c>
    </row>
    <row r="856">
      <c r="A856" s="13" t="inlineStr">
        <is>
          <t>T31_B3</t>
        </is>
      </c>
      <c r="B856" s="13" t="inlineStr">
        <is>
          <t>T31</t>
        </is>
      </c>
      <c r="C856" s="13" t="inlineStr">
        <is>
          <t>B3</t>
        </is>
      </c>
      <c r="D856" s="13" t="n">
        <v>1</v>
      </c>
      <c r="E856" s="13" t="inlineStr">
        <is>
          <t>S1</t>
        </is>
      </c>
      <c r="F856" s="13" t="n">
        <v>2020</v>
      </c>
      <c r="G856" s="14" t="n">
        <v>8105065.895950167</v>
      </c>
      <c r="H856" s="14" t="n">
        <v>2070680.608440294</v>
      </c>
      <c r="I856" s="14" t="n">
        <v>473628.4863785388</v>
      </c>
      <c r="J856" s="14" t="n">
        <v>0</v>
      </c>
      <c r="K856" s="14" t="n">
        <v>1508179.471409876</v>
      </c>
      <c r="L856" s="14" t="n">
        <v>4052577.329721459</v>
      </c>
      <c r="M856" s="14" t="n">
        <v>0</v>
      </c>
      <c r="N856" s="14" t="n">
        <v>2070680.608440294</v>
      </c>
      <c r="O856" s="14" t="n">
        <v>4052488.566228709</v>
      </c>
      <c r="P856" s="14" t="n">
        <v>0</v>
      </c>
      <c r="Q856" s="14" t="n">
        <v>32048635.18959312</v>
      </c>
      <c r="R856" s="15">
        <f>IF(D856=1,"Section 1","Control")</f>
        <v/>
      </c>
      <c r="S856" s="16">
        <f>N856/10000</f>
        <v/>
      </c>
      <c r="T856" s="16">
        <f>P856/10000</f>
        <v/>
      </c>
      <c r="U856" s="15">
        <f>IF(N856&gt;=Summary!$D$3,1,0)</f>
        <v/>
      </c>
      <c r="V856" s="17">
        <f>IF(N856&gt;0,P856/N856,"")</f>
        <v/>
      </c>
      <c r="W856" s="17">
        <f>IF(O856&gt;0,H856/O856,"")</f>
        <v/>
      </c>
    </row>
    <row r="857">
      <c r="A857" s="13" t="inlineStr">
        <is>
          <t>T31_B3</t>
        </is>
      </c>
      <c r="B857" s="13" t="inlineStr">
        <is>
          <t>T31</t>
        </is>
      </c>
      <c r="C857" s="13" t="inlineStr">
        <is>
          <t>B3</t>
        </is>
      </c>
      <c r="D857" s="13" t="n">
        <v>1</v>
      </c>
      <c r="E857" s="13" t="inlineStr">
        <is>
          <t>S1</t>
        </is>
      </c>
      <c r="F857" s="13" t="n">
        <v>2021</v>
      </c>
      <c r="G857" s="14" t="n">
        <v>8105065.895950168</v>
      </c>
      <c r="H857" s="14" t="n">
        <v>2047822.495068868</v>
      </c>
      <c r="I857" s="14" t="n">
        <v>198165.1807440964</v>
      </c>
      <c r="J857" s="14" t="n">
        <v>0</v>
      </c>
      <c r="K857" s="14" t="n">
        <v>1806500.890415746</v>
      </c>
      <c r="L857" s="14" t="n">
        <v>4052577.329721459</v>
      </c>
      <c r="M857" s="14" t="n">
        <v>0</v>
      </c>
      <c r="N857" s="14" t="n">
        <v>2070680.608440294</v>
      </c>
      <c r="O857" s="14" t="n">
        <v>4052488.566228709</v>
      </c>
      <c r="P857" s="14" t="n">
        <v>205465.0035865335</v>
      </c>
      <c r="Q857" s="14" t="n">
        <v>32048635.18959312</v>
      </c>
      <c r="R857" s="15">
        <f>IF(D857=1,"Section 1","Control")</f>
        <v/>
      </c>
      <c r="S857" s="16">
        <f>N857/10000</f>
        <v/>
      </c>
      <c r="T857" s="16">
        <f>P857/10000</f>
        <v/>
      </c>
      <c r="U857" s="15">
        <f>IF(N857&gt;=Summary!$D$3,1,0)</f>
        <v/>
      </c>
      <c r="V857" s="17">
        <f>IF(N857&gt;0,P857/N857,"")</f>
        <v/>
      </c>
      <c r="W857" s="17">
        <f>IF(O857&gt;0,H857/O857,"")</f>
        <v/>
      </c>
    </row>
    <row r="858">
      <c r="A858" s="13" t="inlineStr">
        <is>
          <t>T31_B3</t>
        </is>
      </c>
      <c r="B858" s="13" t="inlineStr">
        <is>
          <t>T31</t>
        </is>
      </c>
      <c r="C858" s="13" t="inlineStr">
        <is>
          <t>B3</t>
        </is>
      </c>
      <c r="D858" s="13" t="n">
        <v>1</v>
      </c>
      <c r="E858" s="13" t="inlineStr">
        <is>
          <t>S1</t>
        </is>
      </c>
      <c r="F858" s="13" t="n">
        <v>2022</v>
      </c>
      <c r="G858" s="14" t="n">
        <v>8105065.895950167</v>
      </c>
      <c r="H858" s="14" t="n">
        <v>1725509.336686527</v>
      </c>
      <c r="I858" s="14" t="n">
        <v>237060.8052639232</v>
      </c>
      <c r="J858" s="14" t="n">
        <v>0</v>
      </c>
      <c r="K858" s="14" t="n">
        <v>2089918.42427826</v>
      </c>
      <c r="L858" s="14" t="n">
        <v>4052577.329721458</v>
      </c>
      <c r="M858" s="14" t="n">
        <v>0</v>
      </c>
      <c r="N858" s="14" t="n">
        <v>2070680.608440294</v>
      </c>
      <c r="O858" s="14" t="n">
        <v>4052488.566228709</v>
      </c>
      <c r="P858" s="14" t="n">
        <v>452912.4524637559</v>
      </c>
      <c r="Q858" s="14" t="n">
        <v>32048635.18959312</v>
      </c>
      <c r="R858" s="15">
        <f>IF(D858=1,"Section 1","Control")</f>
        <v/>
      </c>
      <c r="S858" s="16">
        <f>N858/10000</f>
        <v/>
      </c>
      <c r="T858" s="16">
        <f>P858/10000</f>
        <v/>
      </c>
      <c r="U858" s="15">
        <f>IF(N858&gt;=Summary!$D$3,1,0)</f>
        <v/>
      </c>
      <c r="V858" s="17">
        <f>IF(N858&gt;0,P858/N858,"")</f>
        <v/>
      </c>
      <c r="W858" s="17">
        <f>IF(O858&gt;0,H858/O858,"")</f>
        <v/>
      </c>
    </row>
    <row r="859">
      <c r="A859" s="13" t="inlineStr">
        <is>
          <t>T31_B3</t>
        </is>
      </c>
      <c r="B859" s="13" t="inlineStr">
        <is>
          <t>T31</t>
        </is>
      </c>
      <c r="C859" s="13" t="inlineStr">
        <is>
          <t>B3</t>
        </is>
      </c>
      <c r="D859" s="13" t="n">
        <v>1</v>
      </c>
      <c r="E859" s="13" t="inlineStr">
        <is>
          <t>S1</t>
        </is>
      </c>
      <c r="F859" s="13" t="n">
        <v>2023</v>
      </c>
      <c r="G859" s="14" t="n">
        <v>8105065.895950168</v>
      </c>
      <c r="H859" s="14" t="n">
        <v>1622285.639307987</v>
      </c>
      <c r="I859" s="14" t="n">
        <v>250417.7644326603</v>
      </c>
      <c r="J859" s="14" t="n">
        <v>0</v>
      </c>
      <c r="K859" s="14" t="n">
        <v>2179785.162488063</v>
      </c>
      <c r="L859" s="14" t="n">
        <v>4052577.329721458</v>
      </c>
      <c r="M859" s="14" t="n">
        <v>0</v>
      </c>
      <c r="N859" s="14" t="n">
        <v>2070680.608440294</v>
      </c>
      <c r="O859" s="14" t="n">
        <v>4052488.566228709</v>
      </c>
      <c r="P859" s="14" t="n">
        <v>562813.7178394094</v>
      </c>
      <c r="Q859" s="14" t="n">
        <v>32048635.18959312</v>
      </c>
      <c r="R859" s="15">
        <f>IF(D859=1,"Section 1","Control")</f>
        <v/>
      </c>
      <c r="S859" s="16">
        <f>N859/10000</f>
        <v/>
      </c>
      <c r="T859" s="16">
        <f>P859/10000</f>
        <v/>
      </c>
      <c r="U859" s="15">
        <f>IF(N859&gt;=Summary!$D$3,1,0)</f>
        <v/>
      </c>
      <c r="V859" s="17">
        <f>IF(N859&gt;0,P859/N859,"")</f>
        <v/>
      </c>
      <c r="W859" s="17">
        <f>IF(O859&gt;0,H859/O859,"")</f>
        <v/>
      </c>
    </row>
    <row r="860">
      <c r="A860" s="13" t="inlineStr">
        <is>
          <t>T31_B3</t>
        </is>
      </c>
      <c r="B860" s="13" t="inlineStr">
        <is>
          <t>T31</t>
        </is>
      </c>
      <c r="C860" s="13" t="inlineStr">
        <is>
          <t>B3</t>
        </is>
      </c>
      <c r="D860" s="13" t="n">
        <v>1</v>
      </c>
      <c r="E860" s="13" t="inlineStr">
        <is>
          <t>S1</t>
        </is>
      </c>
      <c r="F860" s="13" t="n">
        <v>2024</v>
      </c>
      <c r="G860" s="14" t="n">
        <v>8105065.895950168</v>
      </c>
      <c r="H860" s="14" t="n">
        <v>1587935.294204742</v>
      </c>
      <c r="I860" s="14" t="n">
        <v>172881.7033183079</v>
      </c>
      <c r="J860" s="14" t="n">
        <v>0</v>
      </c>
      <c r="K860" s="14" t="n">
        <v>2291671.56870566</v>
      </c>
      <c r="L860" s="14" t="n">
        <v>4052577.329721459</v>
      </c>
      <c r="M860" s="14" t="n">
        <v>0</v>
      </c>
      <c r="N860" s="14" t="n">
        <v>2070680.608440294</v>
      </c>
      <c r="O860" s="14" t="n">
        <v>4052488.566228709</v>
      </c>
      <c r="P860" s="14" t="n">
        <v>615426.9389955109</v>
      </c>
      <c r="Q860" s="14" t="n">
        <v>32048635.18959312</v>
      </c>
      <c r="R860" s="15">
        <f>IF(D860=1,"Section 1","Control")</f>
        <v/>
      </c>
      <c r="S860" s="16">
        <f>N860/10000</f>
        <v/>
      </c>
      <c r="T860" s="16">
        <f>P860/10000</f>
        <v/>
      </c>
      <c r="U860" s="15">
        <f>IF(N860&gt;=Summary!$D$3,1,0)</f>
        <v/>
      </c>
      <c r="V860" s="17">
        <f>IF(N860&gt;0,P860/N860,"")</f>
        <v/>
      </c>
      <c r="W860" s="17">
        <f>IF(O860&gt;0,H860/O860,"")</f>
        <v/>
      </c>
    </row>
    <row r="861">
      <c r="A861" s="13" t="inlineStr">
        <is>
          <t>T31_B3</t>
        </is>
      </c>
      <c r="B861" s="13" t="inlineStr">
        <is>
          <t>T31</t>
        </is>
      </c>
      <c r="C861" s="13" t="inlineStr">
        <is>
          <t>B3</t>
        </is>
      </c>
      <c r="D861" s="13" t="n">
        <v>1</v>
      </c>
      <c r="E861" s="13" t="inlineStr">
        <is>
          <t>S1</t>
        </is>
      </c>
      <c r="F861" s="13" t="n">
        <v>2025</v>
      </c>
      <c r="G861" s="14" t="n">
        <v>8105065.895950167</v>
      </c>
      <c r="H861" s="14" t="n">
        <v>1551130.178339341</v>
      </c>
      <c r="I861" s="14" t="n">
        <v>236685.7695962045</v>
      </c>
      <c r="J861" s="14" t="n">
        <v>0</v>
      </c>
      <c r="K861" s="14" t="n">
        <v>2264672.618293164</v>
      </c>
      <c r="L861" s="14" t="n">
        <v>4052577.329721459</v>
      </c>
      <c r="M861" s="14" t="n">
        <v>0</v>
      </c>
      <c r="N861" s="14" t="n">
        <v>2070680.608440294</v>
      </c>
      <c r="O861" s="14" t="n">
        <v>4052488.566228709</v>
      </c>
      <c r="P861" s="14" t="n">
        <v>662155.0648106593</v>
      </c>
      <c r="Q861" s="14" t="n">
        <v>32048635.18959312</v>
      </c>
      <c r="R861" s="15">
        <f>IF(D861=1,"Section 1","Control")</f>
        <v/>
      </c>
      <c r="S861" s="16">
        <f>N861/10000</f>
        <v/>
      </c>
      <c r="T861" s="16">
        <f>P861/10000</f>
        <v/>
      </c>
      <c r="U861" s="15">
        <f>IF(N861&gt;=Summary!$D$3,1,0)</f>
        <v/>
      </c>
      <c r="V861" s="17">
        <f>IF(N861&gt;0,P861/N861,"")</f>
        <v/>
      </c>
      <c r="W861" s="17">
        <f>IF(O861&gt;0,H861/O861,"")</f>
        <v/>
      </c>
    </row>
    <row r="862">
      <c r="A862" s="13" t="inlineStr">
        <is>
          <t>T31_B3</t>
        </is>
      </c>
      <c r="B862" s="13" t="inlineStr">
        <is>
          <t>T31</t>
        </is>
      </c>
      <c r="C862" s="13" t="inlineStr">
        <is>
          <t>B3</t>
        </is>
      </c>
      <c r="D862" s="13" t="n">
        <v>1</v>
      </c>
      <c r="E862" s="13" t="inlineStr">
        <is>
          <t>S1</t>
        </is>
      </c>
      <c r="F862" s="13" t="n">
        <v>2026</v>
      </c>
      <c r="G862" s="14" t="n">
        <v>8105065.895950169</v>
      </c>
      <c r="H862" s="14" t="n">
        <v>1576556.018518036</v>
      </c>
      <c r="I862" s="14" t="n">
        <v>175671.2866425159</v>
      </c>
      <c r="J862" s="14" t="n">
        <v>0</v>
      </c>
      <c r="K862" s="14" t="n">
        <v>2300063.829168133</v>
      </c>
      <c r="L862" s="14" t="n">
        <v>4052774.761621484</v>
      </c>
      <c r="M862" s="14" t="n">
        <v>0</v>
      </c>
      <c r="N862" s="14" t="n">
        <v>2070680.608440294</v>
      </c>
      <c r="O862" s="14" t="n">
        <v>4052488.566228709</v>
      </c>
      <c r="P862" s="14" t="n">
        <v>656754.9329617071</v>
      </c>
      <c r="Q862" s="14" t="n">
        <v>32048635.18959312</v>
      </c>
      <c r="R862" s="15">
        <f>IF(D862=1,"Section 1","Control")</f>
        <v/>
      </c>
      <c r="S862" s="16">
        <f>N862/10000</f>
        <v/>
      </c>
      <c r="T862" s="16">
        <f>P862/10000</f>
        <v/>
      </c>
      <c r="U862" s="15">
        <f>IF(N862&gt;=Summary!$D$3,1,0)</f>
        <v/>
      </c>
      <c r="V862" s="17">
        <f>IF(N862&gt;0,P862/N862,"")</f>
        <v/>
      </c>
      <c r="W862" s="17">
        <f>IF(O862&gt;0,H862/O862,"")</f>
        <v/>
      </c>
    </row>
    <row r="863">
      <c r="A863" s="13" t="inlineStr">
        <is>
          <t>T31_F</t>
        </is>
      </c>
      <c r="B863" s="13" t="inlineStr">
        <is>
          <t>T31</t>
        </is>
      </c>
      <c r="C863" s="13" t="inlineStr">
        <is>
          <t>F</t>
        </is>
      </c>
      <c r="D863" s="13" t="n">
        <v>1</v>
      </c>
      <c r="E863" s="13" t="inlineStr">
        <is>
          <t>S1</t>
        </is>
      </c>
      <c r="F863" s="13" t="n">
        <v>2020</v>
      </c>
      <c r="G863" s="14" t="n">
        <v>73814.99125904754</v>
      </c>
      <c r="H863" s="14" t="n">
        <v>60945.83800072765</v>
      </c>
      <c r="I863" s="14" t="n">
        <v>0</v>
      </c>
      <c r="J863" s="14" t="n">
        <v>0</v>
      </c>
      <c r="K863" s="14" t="n">
        <v>12869.15325831993</v>
      </c>
      <c r="L863" s="14" t="n">
        <v>0</v>
      </c>
      <c r="M863" s="14" t="n">
        <v>0</v>
      </c>
      <c r="N863" s="14" t="n">
        <v>60945.83800072765</v>
      </c>
      <c r="O863" s="14" t="n">
        <v>73814.99125904754</v>
      </c>
      <c r="P863" s="14" t="n">
        <v>0</v>
      </c>
      <c r="Q863" s="14" t="n">
        <v>966009.5182875684</v>
      </c>
      <c r="R863" s="15">
        <f>IF(D863=1,"Section 1","Control")</f>
        <v/>
      </c>
      <c r="S863" s="16">
        <f>N863/10000</f>
        <v/>
      </c>
      <c r="T863" s="16">
        <f>P863/10000</f>
        <v/>
      </c>
      <c r="U863" s="15">
        <f>IF(N863&gt;=Summary!$D$3,1,0)</f>
        <v/>
      </c>
      <c r="V863" s="17">
        <f>IF(N863&gt;0,P863/N863,"")</f>
        <v/>
      </c>
      <c r="W863" s="17">
        <f>IF(O863&gt;0,H863/O863,"")</f>
        <v/>
      </c>
    </row>
    <row r="864">
      <c r="A864" s="13" t="inlineStr">
        <is>
          <t>T31_F</t>
        </is>
      </c>
      <c r="B864" s="13" t="inlineStr">
        <is>
          <t>T31</t>
        </is>
      </c>
      <c r="C864" s="13" t="inlineStr">
        <is>
          <t>F</t>
        </is>
      </c>
      <c r="D864" s="13" t="n">
        <v>1</v>
      </c>
      <c r="E864" s="13" t="inlineStr">
        <is>
          <t>S1</t>
        </is>
      </c>
      <c r="F864" s="13" t="n">
        <v>2021</v>
      </c>
      <c r="G864" s="14" t="n">
        <v>73814.99125904754</v>
      </c>
      <c r="H864" s="14" t="n">
        <v>60945.83800072765</v>
      </c>
      <c r="I864" s="14" t="n">
        <v>0</v>
      </c>
      <c r="J864" s="14" t="n">
        <v>0</v>
      </c>
      <c r="K864" s="14" t="n">
        <v>12869.15325831993</v>
      </c>
      <c r="L864" s="14" t="n">
        <v>0</v>
      </c>
      <c r="M864" s="14" t="n">
        <v>0</v>
      </c>
      <c r="N864" s="14" t="n">
        <v>60945.83800072765</v>
      </c>
      <c r="O864" s="14" t="n">
        <v>73814.99125904754</v>
      </c>
      <c r="P864" s="14" t="n">
        <v>0</v>
      </c>
      <c r="Q864" s="14" t="n">
        <v>966009.5182875684</v>
      </c>
      <c r="R864" s="15">
        <f>IF(D864=1,"Section 1","Control")</f>
        <v/>
      </c>
      <c r="S864" s="16">
        <f>N864/10000</f>
        <v/>
      </c>
      <c r="T864" s="16">
        <f>P864/10000</f>
        <v/>
      </c>
      <c r="U864" s="15">
        <f>IF(N864&gt;=Summary!$D$3,1,0)</f>
        <v/>
      </c>
      <c r="V864" s="17">
        <f>IF(N864&gt;0,P864/N864,"")</f>
        <v/>
      </c>
      <c r="W864" s="17">
        <f>IF(O864&gt;0,H864/O864,"")</f>
        <v/>
      </c>
    </row>
    <row r="865">
      <c r="A865" s="13" t="inlineStr">
        <is>
          <t>T31_F</t>
        </is>
      </c>
      <c r="B865" s="13" t="inlineStr">
        <is>
          <t>T31</t>
        </is>
      </c>
      <c r="C865" s="13" t="inlineStr">
        <is>
          <t>F</t>
        </is>
      </c>
      <c r="D865" s="13" t="n">
        <v>1</v>
      </c>
      <c r="E865" s="13" t="inlineStr">
        <is>
          <t>S1</t>
        </is>
      </c>
      <c r="F865" s="13" t="n">
        <v>2022</v>
      </c>
      <c r="G865" s="14" t="n">
        <v>73814.99125904754</v>
      </c>
      <c r="H865" s="14" t="n">
        <v>60945.83800072765</v>
      </c>
      <c r="I865" s="14" t="n">
        <v>0</v>
      </c>
      <c r="J865" s="14" t="n">
        <v>0</v>
      </c>
      <c r="K865" s="14" t="n">
        <v>12869.15325831993</v>
      </c>
      <c r="L865" s="14" t="n">
        <v>0</v>
      </c>
      <c r="M865" s="14" t="n">
        <v>0</v>
      </c>
      <c r="N865" s="14" t="n">
        <v>60945.83800072765</v>
      </c>
      <c r="O865" s="14" t="n">
        <v>73814.99125904754</v>
      </c>
      <c r="P865" s="14" t="n">
        <v>0</v>
      </c>
      <c r="Q865" s="14" t="n">
        <v>966009.5182875684</v>
      </c>
      <c r="R865" s="15">
        <f>IF(D865=1,"Section 1","Control")</f>
        <v/>
      </c>
      <c r="S865" s="16">
        <f>N865/10000</f>
        <v/>
      </c>
      <c r="T865" s="16">
        <f>P865/10000</f>
        <v/>
      </c>
      <c r="U865" s="15">
        <f>IF(N865&gt;=Summary!$D$3,1,0)</f>
        <v/>
      </c>
      <c r="V865" s="17">
        <f>IF(N865&gt;0,P865/N865,"")</f>
        <v/>
      </c>
      <c r="W865" s="17">
        <f>IF(O865&gt;0,H865/O865,"")</f>
        <v/>
      </c>
    </row>
    <row r="866">
      <c r="A866" s="13" t="inlineStr">
        <is>
          <t>T31_F</t>
        </is>
      </c>
      <c r="B866" s="13" t="inlineStr">
        <is>
          <t>T31</t>
        </is>
      </c>
      <c r="C866" s="13" t="inlineStr">
        <is>
          <t>F</t>
        </is>
      </c>
      <c r="D866" s="13" t="n">
        <v>1</v>
      </c>
      <c r="E866" s="13" t="inlineStr">
        <is>
          <t>S1</t>
        </is>
      </c>
      <c r="F866" s="13" t="n">
        <v>2023</v>
      </c>
      <c r="G866" s="14" t="n">
        <v>73814.99125904754</v>
      </c>
      <c r="H866" s="14" t="n">
        <v>57368.98647344254</v>
      </c>
      <c r="I866" s="14" t="n">
        <v>1308.169962235993</v>
      </c>
      <c r="J866" s="14" t="n">
        <v>0</v>
      </c>
      <c r="K866" s="14" t="n">
        <v>15137.83482336905</v>
      </c>
      <c r="L866" s="14" t="n">
        <v>0</v>
      </c>
      <c r="M866" s="14" t="n">
        <v>0</v>
      </c>
      <c r="N866" s="14" t="n">
        <v>60945.83800072765</v>
      </c>
      <c r="O866" s="14" t="n">
        <v>73814.99125904754</v>
      </c>
      <c r="P866" s="14" t="n">
        <v>3576.851527285108</v>
      </c>
      <c r="Q866" s="14" t="n">
        <v>966009.5182875684</v>
      </c>
      <c r="R866" s="15">
        <f>IF(D866=1,"Section 1","Control")</f>
        <v/>
      </c>
      <c r="S866" s="16">
        <f>N866/10000</f>
        <v/>
      </c>
      <c r="T866" s="16">
        <f>P866/10000</f>
        <v/>
      </c>
      <c r="U866" s="15">
        <f>IF(N866&gt;=Summary!$D$3,1,0)</f>
        <v/>
      </c>
      <c r="V866" s="17">
        <f>IF(N866&gt;0,P866/N866,"")</f>
        <v/>
      </c>
      <c r="W866" s="17">
        <f>IF(O866&gt;0,H866/O866,"")</f>
        <v/>
      </c>
    </row>
    <row r="867">
      <c r="A867" s="13" t="inlineStr">
        <is>
          <t>T31_F</t>
        </is>
      </c>
      <c r="B867" s="13" t="inlineStr">
        <is>
          <t>T31</t>
        </is>
      </c>
      <c r="C867" s="13" t="inlineStr">
        <is>
          <t>F</t>
        </is>
      </c>
      <c r="D867" s="13" t="n">
        <v>1</v>
      </c>
      <c r="E867" s="13" t="inlineStr">
        <is>
          <t>S1</t>
        </is>
      </c>
      <c r="F867" s="13" t="n">
        <v>2024</v>
      </c>
      <c r="G867" s="14" t="n">
        <v>73814.99125904754</v>
      </c>
      <c r="H867" s="14" t="n">
        <v>57801.04248414883</v>
      </c>
      <c r="I867" s="14" t="n">
        <v>521.1000855688956</v>
      </c>
      <c r="J867" s="14" t="n">
        <v>0</v>
      </c>
      <c r="K867" s="14" t="n">
        <v>15492.84868932986</v>
      </c>
      <c r="L867" s="14" t="n">
        <v>0</v>
      </c>
      <c r="M867" s="14" t="n">
        <v>0</v>
      </c>
      <c r="N867" s="14" t="n">
        <v>60945.83800072765</v>
      </c>
      <c r="O867" s="14" t="n">
        <v>73814.99125904754</v>
      </c>
      <c r="P867" s="14" t="n">
        <v>3144.795516578823</v>
      </c>
      <c r="Q867" s="14" t="n">
        <v>966009.5182875684</v>
      </c>
      <c r="R867" s="15">
        <f>IF(D867=1,"Section 1","Control")</f>
        <v/>
      </c>
      <c r="S867" s="16">
        <f>N867/10000</f>
        <v/>
      </c>
      <c r="T867" s="16">
        <f>P867/10000</f>
        <v/>
      </c>
      <c r="U867" s="15">
        <f>IF(N867&gt;=Summary!$D$3,1,0)</f>
        <v/>
      </c>
      <c r="V867" s="17">
        <f>IF(N867&gt;0,P867/N867,"")</f>
        <v/>
      </c>
      <c r="W867" s="17">
        <f>IF(O867&gt;0,H867/O867,"")</f>
        <v/>
      </c>
    </row>
    <row r="868">
      <c r="A868" s="13" t="inlineStr">
        <is>
          <t>T31_F</t>
        </is>
      </c>
      <c r="B868" s="13" t="inlineStr">
        <is>
          <t>T31</t>
        </is>
      </c>
      <c r="C868" s="13" t="inlineStr">
        <is>
          <t>F</t>
        </is>
      </c>
      <c r="D868" s="13" t="n">
        <v>1</v>
      </c>
      <c r="E868" s="13" t="inlineStr">
        <is>
          <t>S1</t>
        </is>
      </c>
      <c r="F868" s="13" t="n">
        <v>2025</v>
      </c>
      <c r="G868" s="14" t="n">
        <v>73814.99125904754</v>
      </c>
      <c r="H868" s="14" t="n">
        <v>526.9064743640376</v>
      </c>
      <c r="I868" s="14" t="n">
        <v>22601.64286552879</v>
      </c>
      <c r="J868" s="14" t="n">
        <v>0</v>
      </c>
      <c r="K868" s="14" t="n">
        <v>50686.44191915475</v>
      </c>
      <c r="L868" s="14" t="n">
        <v>0</v>
      </c>
      <c r="M868" s="14" t="n">
        <v>0</v>
      </c>
      <c r="N868" s="14" t="n">
        <v>60945.83800072765</v>
      </c>
      <c r="O868" s="14" t="n">
        <v>73814.99125904754</v>
      </c>
      <c r="P868" s="14" t="n">
        <v>60418.93152636361</v>
      </c>
      <c r="Q868" s="14" t="n">
        <v>966009.5182875684</v>
      </c>
      <c r="R868" s="15">
        <f>IF(D868=1,"Section 1","Control")</f>
        <v/>
      </c>
      <c r="S868" s="16">
        <f>N868/10000</f>
        <v/>
      </c>
      <c r="T868" s="16">
        <f>P868/10000</f>
        <v/>
      </c>
      <c r="U868" s="15">
        <f>IF(N868&gt;=Summary!$D$3,1,0)</f>
        <v/>
      </c>
      <c r="V868" s="17">
        <f>IF(N868&gt;0,P868/N868,"")</f>
        <v/>
      </c>
      <c r="W868" s="17">
        <f>IF(O868&gt;0,H868/O868,"")</f>
        <v/>
      </c>
    </row>
    <row r="869">
      <c r="A869" s="13" t="inlineStr">
        <is>
          <t>T31_F</t>
        </is>
      </c>
      <c r="B869" s="13" t="inlineStr">
        <is>
          <t>T31</t>
        </is>
      </c>
      <c r="C869" s="13" t="inlineStr">
        <is>
          <t>F</t>
        </is>
      </c>
      <c r="D869" s="13" t="n">
        <v>1</v>
      </c>
      <c r="E869" s="13" t="inlineStr">
        <is>
          <t>S1</t>
        </is>
      </c>
      <c r="F869" s="13" t="n">
        <v>2026</v>
      </c>
      <c r="G869" s="14" t="n">
        <v>73814.99125904754</v>
      </c>
      <c r="H869" s="14" t="n">
        <v>140.9213494992724</v>
      </c>
      <c r="I869" s="14" t="n">
        <v>29058.4785851273</v>
      </c>
      <c r="J869" s="14" t="n">
        <v>0</v>
      </c>
      <c r="K869" s="14" t="n">
        <v>44615.591324421</v>
      </c>
      <c r="L869" s="14" t="n">
        <v>0</v>
      </c>
      <c r="M869" s="14" t="n">
        <v>0</v>
      </c>
      <c r="N869" s="14" t="n">
        <v>60945.83800072765</v>
      </c>
      <c r="O869" s="14" t="n">
        <v>73814.99125904754</v>
      </c>
      <c r="P869" s="14" t="n">
        <v>60804.91665122838</v>
      </c>
      <c r="Q869" s="14" t="n">
        <v>966009.5182875684</v>
      </c>
      <c r="R869" s="15">
        <f>IF(D869=1,"Section 1","Control")</f>
        <v/>
      </c>
      <c r="S869" s="16">
        <f>N869/10000</f>
        <v/>
      </c>
      <c r="T869" s="16">
        <f>P869/10000</f>
        <v/>
      </c>
      <c r="U869" s="15">
        <f>IF(N869&gt;=Summary!$D$3,1,0)</f>
        <v/>
      </c>
      <c r="V869" s="17">
        <f>IF(N869&gt;0,P869/N869,"")</f>
        <v/>
      </c>
      <c r="W869" s="17">
        <f>IF(O869&gt;0,H869/O869,"")</f>
        <v/>
      </c>
    </row>
    <row r="870">
      <c r="A870" s="13" t="inlineStr">
        <is>
          <t>T32_B1</t>
        </is>
      </c>
      <c r="B870" s="13" t="inlineStr">
        <is>
          <t>T32</t>
        </is>
      </c>
      <c r="C870" s="13" t="inlineStr">
        <is>
          <t>B1</t>
        </is>
      </c>
      <c r="D870" s="13" t="n">
        <v>1</v>
      </c>
      <c r="E870" s="13" t="inlineStr">
        <is>
          <t>S1</t>
        </is>
      </c>
      <c r="F870" s="13" t="n">
        <v>2020</v>
      </c>
      <c r="G870" s="14" t="n">
        <v>991531.2463325351</v>
      </c>
      <c r="H870" s="14" t="n">
        <v>596863.5357250139</v>
      </c>
      <c r="I870" s="14" t="n">
        <v>66169.64700646495</v>
      </c>
      <c r="J870" s="14" t="n">
        <v>41908.77900001676</v>
      </c>
      <c r="K870" s="14" t="n">
        <v>35806.72788854861</v>
      </c>
      <c r="L870" s="14" t="n">
        <v>250782.5567124909</v>
      </c>
      <c r="M870" s="14" t="n">
        <v>0</v>
      </c>
      <c r="N870" s="14" t="n">
        <v>596863.5357250139</v>
      </c>
      <c r="O870" s="14" t="n">
        <v>740748.6896200442</v>
      </c>
      <c r="P870" s="14" t="n">
        <v>0</v>
      </c>
      <c r="Q870" s="14" t="n">
        <v>5242229.942187171</v>
      </c>
      <c r="R870" s="15">
        <f>IF(D870=1,"Section 1","Control")</f>
        <v/>
      </c>
      <c r="S870" s="16">
        <f>N870/10000</f>
        <v/>
      </c>
      <c r="T870" s="16">
        <f>P870/10000</f>
        <v/>
      </c>
      <c r="U870" s="15">
        <f>IF(N870&gt;=Summary!$D$3,1,0)</f>
        <v/>
      </c>
      <c r="V870" s="17">
        <f>IF(N870&gt;0,P870/N870,"")</f>
        <v/>
      </c>
      <c r="W870" s="17">
        <f>IF(O870&gt;0,H870/O870,"")</f>
        <v/>
      </c>
    </row>
    <row r="871">
      <c r="A871" s="13" t="inlineStr">
        <is>
          <t>T32_B1</t>
        </is>
      </c>
      <c r="B871" s="13" t="inlineStr">
        <is>
          <t>T32</t>
        </is>
      </c>
      <c r="C871" s="13" t="inlineStr">
        <is>
          <t>B1</t>
        </is>
      </c>
      <c r="D871" s="13" t="n">
        <v>1</v>
      </c>
      <c r="E871" s="13" t="inlineStr">
        <is>
          <t>S1</t>
        </is>
      </c>
      <c r="F871" s="13" t="n">
        <v>2021</v>
      </c>
      <c r="G871" s="14" t="n">
        <v>991531.2463325351</v>
      </c>
      <c r="H871" s="14" t="n">
        <v>573298.0489524691</v>
      </c>
      <c r="I871" s="14" t="n">
        <v>60262.23018981335</v>
      </c>
      <c r="J871" s="14" t="n">
        <v>41433.3613736321</v>
      </c>
      <c r="K871" s="14" t="n">
        <v>47337.07970835368</v>
      </c>
      <c r="L871" s="14" t="n">
        <v>269200.5261082668</v>
      </c>
      <c r="M871" s="14" t="n">
        <v>0</v>
      </c>
      <c r="N871" s="14" t="n">
        <v>596863.5357250139</v>
      </c>
      <c r="O871" s="14" t="n">
        <v>740748.6896200442</v>
      </c>
      <c r="P871" s="14" t="n">
        <v>35592.89634581922</v>
      </c>
      <c r="Q871" s="14" t="n">
        <v>5242229.942187171</v>
      </c>
      <c r="R871" s="15">
        <f>IF(D871=1,"Section 1","Control")</f>
        <v/>
      </c>
      <c r="S871" s="16">
        <f>N871/10000</f>
        <v/>
      </c>
      <c r="T871" s="16">
        <f>P871/10000</f>
        <v/>
      </c>
      <c r="U871" s="15">
        <f>IF(N871&gt;=Summary!$D$3,1,0)</f>
        <v/>
      </c>
      <c r="V871" s="17">
        <f>IF(N871&gt;0,P871/N871,"")</f>
        <v/>
      </c>
      <c r="W871" s="17">
        <f>IF(O871&gt;0,H871/O871,"")</f>
        <v/>
      </c>
    </row>
    <row r="872">
      <c r="A872" s="13" t="inlineStr">
        <is>
          <t>T32_B1</t>
        </is>
      </c>
      <c r="B872" s="13" t="inlineStr">
        <is>
          <t>T32</t>
        </is>
      </c>
      <c r="C872" s="13" t="inlineStr">
        <is>
          <t>B1</t>
        </is>
      </c>
      <c r="D872" s="13" t="n">
        <v>1</v>
      </c>
      <c r="E872" s="13" t="inlineStr">
        <is>
          <t>S1</t>
        </is>
      </c>
      <c r="F872" s="13" t="n">
        <v>2022</v>
      </c>
      <c r="G872" s="14" t="n">
        <v>991531.2463325351</v>
      </c>
      <c r="H872" s="14" t="n">
        <v>524986.355974923</v>
      </c>
      <c r="I872" s="14" t="n">
        <v>90233.50882122564</v>
      </c>
      <c r="J872" s="14" t="n">
        <v>42223.14299747243</v>
      </c>
      <c r="K872" s="14" t="n">
        <v>96128.80819103763</v>
      </c>
      <c r="L872" s="14" t="n">
        <v>237959.4303478764</v>
      </c>
      <c r="M872" s="14" t="n">
        <v>0</v>
      </c>
      <c r="N872" s="14" t="n">
        <v>596863.5357250138</v>
      </c>
      <c r="O872" s="14" t="n">
        <v>740748.6896200442</v>
      </c>
      <c r="P872" s="14" t="n">
        <v>77783.83910211302</v>
      </c>
      <c r="Q872" s="14" t="n">
        <v>5242229.942187171</v>
      </c>
      <c r="R872" s="15">
        <f>IF(D872=1,"Section 1","Control")</f>
        <v/>
      </c>
      <c r="S872" s="16">
        <f>N872/10000</f>
        <v/>
      </c>
      <c r="T872" s="16">
        <f>P872/10000</f>
        <v/>
      </c>
      <c r="U872" s="15">
        <f>IF(N872&gt;=Summary!$D$3,1,0)</f>
        <v/>
      </c>
      <c r="V872" s="17">
        <f>IF(N872&gt;0,P872/N872,"")</f>
        <v/>
      </c>
      <c r="W872" s="17">
        <f>IF(O872&gt;0,H872/O872,"")</f>
        <v/>
      </c>
    </row>
    <row r="873">
      <c r="A873" s="13" t="inlineStr">
        <is>
          <t>T32_B1</t>
        </is>
      </c>
      <c r="B873" s="13" t="inlineStr">
        <is>
          <t>T32</t>
        </is>
      </c>
      <c r="C873" s="13" t="inlineStr">
        <is>
          <t>B1</t>
        </is>
      </c>
      <c r="D873" s="13" t="n">
        <v>1</v>
      </c>
      <c r="E873" s="13" t="inlineStr">
        <is>
          <t>S1</t>
        </is>
      </c>
      <c r="F873" s="13" t="n">
        <v>2023</v>
      </c>
      <c r="G873" s="14" t="n">
        <v>991531.2463325351</v>
      </c>
      <c r="H873" s="14" t="n">
        <v>516789.2851074219</v>
      </c>
      <c r="I873" s="14" t="n">
        <v>52976.83779326794</v>
      </c>
      <c r="J873" s="14" t="n">
        <v>42223.14299747243</v>
      </c>
      <c r="K873" s="14" t="n">
        <v>71101.86851782705</v>
      </c>
      <c r="L873" s="14" t="n">
        <v>308440.1119165458</v>
      </c>
      <c r="M873" s="14" t="n">
        <v>0</v>
      </c>
      <c r="N873" s="14" t="n">
        <v>596863.5357250139</v>
      </c>
      <c r="O873" s="14" t="n">
        <v>740748.6896200442</v>
      </c>
      <c r="P873" s="14" t="n">
        <v>90818.27003125958</v>
      </c>
      <c r="Q873" s="14" t="n">
        <v>5242229.942187171</v>
      </c>
      <c r="R873" s="15">
        <f>IF(D873=1,"Section 1","Control")</f>
        <v/>
      </c>
      <c r="S873" s="16">
        <f>N873/10000</f>
        <v/>
      </c>
      <c r="T873" s="16">
        <f>P873/10000</f>
        <v/>
      </c>
      <c r="U873" s="15">
        <f>IF(N873&gt;=Summary!$D$3,1,0)</f>
        <v/>
      </c>
      <c r="V873" s="17">
        <f>IF(N873&gt;0,P873/N873,"")</f>
        <v/>
      </c>
      <c r="W873" s="17">
        <f>IF(O873&gt;0,H873/O873,"")</f>
        <v/>
      </c>
    </row>
    <row r="874">
      <c r="A874" s="13" t="inlineStr">
        <is>
          <t>T32_B1</t>
        </is>
      </c>
      <c r="B874" s="13" t="inlineStr">
        <is>
          <t>T32</t>
        </is>
      </c>
      <c r="C874" s="13" t="inlineStr">
        <is>
          <t>B1</t>
        </is>
      </c>
      <c r="D874" s="13" t="n">
        <v>1</v>
      </c>
      <c r="E874" s="13" t="inlineStr">
        <is>
          <t>S1</t>
        </is>
      </c>
      <c r="F874" s="13" t="n">
        <v>2024</v>
      </c>
      <c r="G874" s="14" t="n">
        <v>991531.2463325351</v>
      </c>
      <c r="H874" s="14" t="n">
        <v>502500.17283768</v>
      </c>
      <c r="I874" s="14" t="n">
        <v>70650.10329604804</v>
      </c>
      <c r="J874" s="14" t="n">
        <v>42223.14299747243</v>
      </c>
      <c r="K874" s="14" t="n">
        <v>104931.3048013126</v>
      </c>
      <c r="L874" s="14" t="n">
        <v>271226.522400022</v>
      </c>
      <c r="M874" s="14" t="n">
        <v>0</v>
      </c>
      <c r="N874" s="14" t="n">
        <v>596863.5357250138</v>
      </c>
      <c r="O874" s="14" t="n">
        <v>740748.6896200442</v>
      </c>
      <c r="P874" s="14" t="n">
        <v>111129.4140545415</v>
      </c>
      <c r="Q874" s="14" t="n">
        <v>5242229.942187171</v>
      </c>
      <c r="R874" s="15">
        <f>IF(D874=1,"Section 1","Control")</f>
        <v/>
      </c>
      <c r="S874" s="16">
        <f>N874/10000</f>
        <v/>
      </c>
      <c r="T874" s="16">
        <f>P874/10000</f>
        <v/>
      </c>
      <c r="U874" s="15">
        <f>IF(N874&gt;=Summary!$D$3,1,0)</f>
        <v/>
      </c>
      <c r="V874" s="17">
        <f>IF(N874&gt;0,P874/N874,"")</f>
        <v/>
      </c>
      <c r="W874" s="17">
        <f>IF(O874&gt;0,H874/O874,"")</f>
        <v/>
      </c>
    </row>
    <row r="875">
      <c r="A875" s="13" t="inlineStr">
        <is>
          <t>T32_B1</t>
        </is>
      </c>
      <c r="B875" s="13" t="inlineStr">
        <is>
          <t>T32</t>
        </is>
      </c>
      <c r="C875" s="13" t="inlineStr">
        <is>
          <t>B1</t>
        </is>
      </c>
      <c r="D875" s="13" t="n">
        <v>1</v>
      </c>
      <c r="E875" s="13" t="inlineStr">
        <is>
          <t>S1</t>
        </is>
      </c>
      <c r="F875" s="13" t="n">
        <v>2025</v>
      </c>
      <c r="G875" s="14" t="n">
        <v>991531.2463325351</v>
      </c>
      <c r="H875" s="14" t="n">
        <v>445745.0271076876</v>
      </c>
      <c r="I875" s="14" t="n">
        <v>67071.74149382347</v>
      </c>
      <c r="J875" s="14" t="n">
        <v>42223.14299747243</v>
      </c>
      <c r="K875" s="14" t="n">
        <v>105808.2444224339</v>
      </c>
      <c r="L875" s="14" t="n">
        <v>330683.0903111177</v>
      </c>
      <c r="M875" s="14" t="n">
        <v>0</v>
      </c>
      <c r="N875" s="14" t="n">
        <v>596863.5357250139</v>
      </c>
      <c r="O875" s="14" t="n">
        <v>740748.6896200442</v>
      </c>
      <c r="P875" s="14" t="n">
        <v>161566.3560797</v>
      </c>
      <c r="Q875" s="14" t="n">
        <v>5242229.942187171</v>
      </c>
      <c r="R875" s="15">
        <f>IF(D875=1,"Section 1","Control")</f>
        <v/>
      </c>
      <c r="S875" s="16">
        <f>N875/10000</f>
        <v/>
      </c>
      <c r="T875" s="16">
        <f>P875/10000</f>
        <v/>
      </c>
      <c r="U875" s="15">
        <f>IF(N875&gt;=Summary!$D$3,1,0)</f>
        <v/>
      </c>
      <c r="V875" s="17">
        <f>IF(N875&gt;0,P875/N875,"")</f>
        <v/>
      </c>
      <c r="W875" s="17">
        <f>IF(O875&gt;0,H875/O875,"")</f>
        <v/>
      </c>
    </row>
    <row r="876">
      <c r="A876" s="13" t="inlineStr">
        <is>
          <t>T32_B1</t>
        </is>
      </c>
      <c r="B876" s="13" t="inlineStr">
        <is>
          <t>T32</t>
        </is>
      </c>
      <c r="C876" s="13" t="inlineStr">
        <is>
          <t>B1</t>
        </is>
      </c>
      <c r="D876" s="13" t="n">
        <v>1</v>
      </c>
      <c r="E876" s="13" t="inlineStr">
        <is>
          <t>S1</t>
        </is>
      </c>
      <c r="F876" s="13" t="n">
        <v>2026</v>
      </c>
      <c r="G876" s="14" t="n">
        <v>991531.2463325351</v>
      </c>
      <c r="H876" s="14" t="n">
        <v>362810.9701284072</v>
      </c>
      <c r="I876" s="14" t="n">
        <v>95300.14370509132</v>
      </c>
      <c r="J876" s="14" t="n">
        <v>42223.14299747243</v>
      </c>
      <c r="K876" s="14" t="n">
        <v>164132.927939142</v>
      </c>
      <c r="L876" s="14" t="n">
        <v>327064.0615624222</v>
      </c>
      <c r="M876" s="14" t="n">
        <v>0</v>
      </c>
      <c r="N876" s="14" t="n">
        <v>596863.5357250138</v>
      </c>
      <c r="O876" s="14" t="n">
        <v>740748.6896200442</v>
      </c>
      <c r="P876" s="14" t="n">
        <v>241440.0420415242</v>
      </c>
      <c r="Q876" s="14" t="n">
        <v>5242229.942187171</v>
      </c>
      <c r="R876" s="15">
        <f>IF(D876=1,"Section 1","Control")</f>
        <v/>
      </c>
      <c r="S876" s="16">
        <f>N876/10000</f>
        <v/>
      </c>
      <c r="T876" s="16">
        <f>P876/10000</f>
        <v/>
      </c>
      <c r="U876" s="15">
        <f>IF(N876&gt;=Summary!$D$3,1,0)</f>
        <v/>
      </c>
      <c r="V876" s="17">
        <f>IF(N876&gt;0,P876/N876,"")</f>
        <v/>
      </c>
      <c r="W876" s="17">
        <f>IF(O876&gt;0,H876/O876,"")</f>
        <v/>
      </c>
    </row>
    <row r="877">
      <c r="A877" s="13" t="inlineStr">
        <is>
          <t>T32_B2</t>
        </is>
      </c>
      <c r="B877" s="13" t="inlineStr">
        <is>
          <t>T32</t>
        </is>
      </c>
      <c r="C877" s="13" t="inlineStr">
        <is>
          <t>B2</t>
        </is>
      </c>
      <c r="D877" s="13" t="n">
        <v>1</v>
      </c>
      <c r="E877" s="13" t="inlineStr">
        <is>
          <t>S1</t>
        </is>
      </c>
      <c r="F877" s="13" t="n">
        <v>2020</v>
      </c>
      <c r="G877" s="14" t="n">
        <v>989220.8737799252</v>
      </c>
      <c r="H877" s="14" t="n">
        <v>453834.4798600738</v>
      </c>
      <c r="I877" s="14" t="n">
        <v>10536.46549942914</v>
      </c>
      <c r="J877" s="14" t="n">
        <v>0</v>
      </c>
      <c r="K877" s="14" t="n">
        <v>7228.718653031891</v>
      </c>
      <c r="L877" s="14" t="n">
        <v>517621.2097673904</v>
      </c>
      <c r="M877" s="14" t="n">
        <v>0</v>
      </c>
      <c r="N877" s="14" t="n">
        <v>453834.4798600738</v>
      </c>
      <c r="O877" s="14" t="n">
        <v>471599.6640125348</v>
      </c>
      <c r="P877" s="14" t="n">
        <v>0</v>
      </c>
      <c r="Q877" s="14" t="n">
        <v>5540811.378846083</v>
      </c>
      <c r="R877" s="15">
        <f>IF(D877=1,"Section 1","Control")</f>
        <v/>
      </c>
      <c r="S877" s="16">
        <f>N877/10000</f>
        <v/>
      </c>
      <c r="T877" s="16">
        <f>P877/10000</f>
        <v/>
      </c>
      <c r="U877" s="15">
        <f>IF(N877&gt;=Summary!$D$3,1,0)</f>
        <v/>
      </c>
      <c r="V877" s="17">
        <f>IF(N877&gt;0,P877/N877,"")</f>
        <v/>
      </c>
      <c r="W877" s="17">
        <f>IF(O877&gt;0,H877/O877,"")</f>
        <v/>
      </c>
    </row>
    <row r="878">
      <c r="A878" s="13" t="inlineStr">
        <is>
          <t>T32_B2</t>
        </is>
      </c>
      <c r="B878" s="13" t="inlineStr">
        <is>
          <t>T32</t>
        </is>
      </c>
      <c r="C878" s="13" t="inlineStr">
        <is>
          <t>B2</t>
        </is>
      </c>
      <c r="D878" s="13" t="n">
        <v>1</v>
      </c>
      <c r="E878" s="13" t="inlineStr">
        <is>
          <t>S1</t>
        </is>
      </c>
      <c r="F878" s="13" t="n">
        <v>2021</v>
      </c>
      <c r="G878" s="14" t="n">
        <v>989220.8737799252</v>
      </c>
      <c r="H878" s="14" t="n">
        <v>440847.0357037113</v>
      </c>
      <c r="I878" s="14" t="n">
        <v>11781.88333940693</v>
      </c>
      <c r="J878" s="14" t="n">
        <v>0</v>
      </c>
      <c r="K878" s="14" t="n">
        <v>18413.25894350538</v>
      </c>
      <c r="L878" s="14" t="n">
        <v>518178.6957933016</v>
      </c>
      <c r="M878" s="14" t="n">
        <v>0</v>
      </c>
      <c r="N878" s="14" t="n">
        <v>453834.4798600738</v>
      </c>
      <c r="O878" s="14" t="n">
        <v>471599.6640125348</v>
      </c>
      <c r="P878" s="14" t="n">
        <v>20901.41312602922</v>
      </c>
      <c r="Q878" s="14" t="n">
        <v>5540811.378846083</v>
      </c>
      <c r="R878" s="15">
        <f>IF(D878=1,"Section 1","Control")</f>
        <v/>
      </c>
      <c r="S878" s="16">
        <f>N878/10000</f>
        <v/>
      </c>
      <c r="T878" s="16">
        <f>P878/10000</f>
        <v/>
      </c>
      <c r="U878" s="15">
        <f>IF(N878&gt;=Summary!$D$3,1,0)</f>
        <v/>
      </c>
      <c r="V878" s="17">
        <f>IF(N878&gt;0,P878/N878,"")</f>
        <v/>
      </c>
      <c r="W878" s="17">
        <f>IF(O878&gt;0,H878/O878,"")</f>
        <v/>
      </c>
    </row>
    <row r="879">
      <c r="A879" s="13" t="inlineStr">
        <is>
          <t>T32_B2</t>
        </is>
      </c>
      <c r="B879" s="13" t="inlineStr">
        <is>
          <t>T32</t>
        </is>
      </c>
      <c r="C879" s="13" t="inlineStr">
        <is>
          <t>B2</t>
        </is>
      </c>
      <c r="D879" s="13" t="n">
        <v>1</v>
      </c>
      <c r="E879" s="13" t="inlineStr">
        <is>
          <t>S1</t>
        </is>
      </c>
      <c r="F879" s="13" t="n">
        <v>2022</v>
      </c>
      <c r="G879" s="14" t="n">
        <v>989220.8737799252</v>
      </c>
      <c r="H879" s="14" t="n">
        <v>412137.3326830696</v>
      </c>
      <c r="I879" s="14" t="n">
        <v>28622.95827846153</v>
      </c>
      <c r="J879" s="14" t="n">
        <v>0</v>
      </c>
      <c r="K879" s="14" t="n">
        <v>31782.84009043376</v>
      </c>
      <c r="L879" s="14" t="n">
        <v>516677.7427279605</v>
      </c>
      <c r="M879" s="14" t="n">
        <v>0</v>
      </c>
      <c r="N879" s="14" t="n">
        <v>453834.4798600738</v>
      </c>
      <c r="O879" s="14" t="n">
        <v>471599.6640125348</v>
      </c>
      <c r="P879" s="14" t="n">
        <v>48821.34566937616</v>
      </c>
      <c r="Q879" s="14" t="n">
        <v>5540811.378846083</v>
      </c>
      <c r="R879" s="15">
        <f>IF(D879=1,"Section 1","Control")</f>
        <v/>
      </c>
      <c r="S879" s="16">
        <f>N879/10000</f>
        <v/>
      </c>
      <c r="T879" s="16">
        <f>P879/10000</f>
        <v/>
      </c>
      <c r="U879" s="15">
        <f>IF(N879&gt;=Summary!$D$3,1,0)</f>
        <v/>
      </c>
      <c r="V879" s="17">
        <f>IF(N879&gt;0,P879/N879,"")</f>
        <v/>
      </c>
      <c r="W879" s="17">
        <f>IF(O879&gt;0,H879/O879,"")</f>
        <v/>
      </c>
    </row>
    <row r="880">
      <c r="A880" s="13" t="inlineStr">
        <is>
          <t>T32_B2</t>
        </is>
      </c>
      <c r="B880" s="13" t="inlineStr">
        <is>
          <t>T32</t>
        </is>
      </c>
      <c r="C880" s="13" t="inlineStr">
        <is>
          <t>B2</t>
        </is>
      </c>
      <c r="D880" s="13" t="n">
        <v>1</v>
      </c>
      <c r="E880" s="13" t="inlineStr">
        <is>
          <t>S1</t>
        </is>
      </c>
      <c r="F880" s="13" t="n">
        <v>2023</v>
      </c>
      <c r="G880" s="14" t="n">
        <v>989220.8737799252</v>
      </c>
      <c r="H880" s="14" t="n">
        <v>415022.3162333769</v>
      </c>
      <c r="I880" s="14" t="n">
        <v>23979.57544447956</v>
      </c>
      <c r="J880" s="14" t="n">
        <v>0</v>
      </c>
      <c r="K880" s="14" t="n">
        <v>27528.14149406283</v>
      </c>
      <c r="L880" s="14" t="n">
        <v>522690.8406080061</v>
      </c>
      <c r="M880" s="14" t="n">
        <v>0</v>
      </c>
      <c r="N880" s="14" t="n">
        <v>453834.4798600738</v>
      </c>
      <c r="O880" s="14" t="n">
        <v>471599.6640125349</v>
      </c>
      <c r="P880" s="14" t="n">
        <v>46875.18246477912</v>
      </c>
      <c r="Q880" s="14" t="n">
        <v>5540811.378846083</v>
      </c>
      <c r="R880" s="15">
        <f>IF(D880=1,"Section 1","Control")</f>
        <v/>
      </c>
      <c r="S880" s="16">
        <f>N880/10000</f>
        <v/>
      </c>
      <c r="T880" s="16">
        <f>P880/10000</f>
        <v/>
      </c>
      <c r="U880" s="15">
        <f>IF(N880&gt;=Summary!$D$3,1,0)</f>
        <v/>
      </c>
      <c r="V880" s="17">
        <f>IF(N880&gt;0,P880/N880,"")</f>
        <v/>
      </c>
      <c r="W880" s="17">
        <f>IF(O880&gt;0,H880/O880,"")</f>
        <v/>
      </c>
    </row>
    <row r="881">
      <c r="A881" s="13" t="inlineStr">
        <is>
          <t>T32_B2</t>
        </is>
      </c>
      <c r="B881" s="13" t="inlineStr">
        <is>
          <t>T32</t>
        </is>
      </c>
      <c r="C881" s="13" t="inlineStr">
        <is>
          <t>B2</t>
        </is>
      </c>
      <c r="D881" s="13" t="n">
        <v>1</v>
      </c>
      <c r="E881" s="13" t="inlineStr">
        <is>
          <t>S1</t>
        </is>
      </c>
      <c r="F881" s="13" t="n">
        <v>2024</v>
      </c>
      <c r="G881" s="14" t="n">
        <v>989220.8737799252</v>
      </c>
      <c r="H881" s="14" t="n">
        <v>413637.5059531717</v>
      </c>
      <c r="I881" s="14" t="n">
        <v>16304.09583037133</v>
      </c>
      <c r="J881" s="14" t="n">
        <v>0</v>
      </c>
      <c r="K881" s="14" t="n">
        <v>39699.50778967165</v>
      </c>
      <c r="L881" s="14" t="n">
        <v>519579.7642067106</v>
      </c>
      <c r="M881" s="14" t="n">
        <v>0</v>
      </c>
      <c r="N881" s="14" t="n">
        <v>453834.4798600738</v>
      </c>
      <c r="O881" s="14" t="n">
        <v>471599.6640125348</v>
      </c>
      <c r="P881" s="14" t="n">
        <v>49148.48509270163</v>
      </c>
      <c r="Q881" s="14" t="n">
        <v>5540811.378846083</v>
      </c>
      <c r="R881" s="15">
        <f>IF(D881=1,"Section 1","Control")</f>
        <v/>
      </c>
      <c r="S881" s="16">
        <f>N881/10000</f>
        <v/>
      </c>
      <c r="T881" s="16">
        <f>P881/10000</f>
        <v/>
      </c>
      <c r="U881" s="15">
        <f>IF(N881&gt;=Summary!$D$3,1,0)</f>
        <v/>
      </c>
      <c r="V881" s="17">
        <f>IF(N881&gt;0,P881/N881,"")</f>
        <v/>
      </c>
      <c r="W881" s="17">
        <f>IF(O881&gt;0,H881/O881,"")</f>
        <v/>
      </c>
    </row>
    <row r="882">
      <c r="A882" s="13" t="inlineStr">
        <is>
          <t>T32_B2</t>
        </is>
      </c>
      <c r="B882" s="13" t="inlineStr">
        <is>
          <t>T32</t>
        </is>
      </c>
      <c r="C882" s="13" t="inlineStr">
        <is>
          <t>B2</t>
        </is>
      </c>
      <c r="D882" s="13" t="n">
        <v>1</v>
      </c>
      <c r="E882" s="13" t="inlineStr">
        <is>
          <t>S1</t>
        </is>
      </c>
      <c r="F882" s="13" t="n">
        <v>2025</v>
      </c>
      <c r="G882" s="14" t="n">
        <v>989220.8737799252</v>
      </c>
      <c r="H882" s="14" t="n">
        <v>412240.6905221378</v>
      </c>
      <c r="I882" s="14" t="n">
        <v>12538.36188833199</v>
      </c>
      <c r="J882" s="14" t="n">
        <v>0</v>
      </c>
      <c r="K882" s="14" t="n">
        <v>33520.32854443719</v>
      </c>
      <c r="L882" s="14" t="n">
        <v>530921.4928250184</v>
      </c>
      <c r="M882" s="14" t="n">
        <v>0</v>
      </c>
      <c r="N882" s="14" t="n">
        <v>453834.4798600738</v>
      </c>
      <c r="O882" s="14" t="n">
        <v>471599.6640125348</v>
      </c>
      <c r="P882" s="14" t="n">
        <v>50210.80893473906</v>
      </c>
      <c r="Q882" s="14" t="n">
        <v>5540811.378846083</v>
      </c>
      <c r="R882" s="15">
        <f>IF(D882=1,"Section 1","Control")</f>
        <v/>
      </c>
      <c r="S882" s="16">
        <f>N882/10000</f>
        <v/>
      </c>
      <c r="T882" s="16">
        <f>P882/10000</f>
        <v/>
      </c>
      <c r="U882" s="15">
        <f>IF(N882&gt;=Summary!$D$3,1,0)</f>
        <v/>
      </c>
      <c r="V882" s="17">
        <f>IF(N882&gt;0,P882/N882,"")</f>
        <v/>
      </c>
      <c r="W882" s="17">
        <f>IF(O882&gt;0,H882/O882,"")</f>
        <v/>
      </c>
    </row>
    <row r="883">
      <c r="A883" s="13" t="inlineStr">
        <is>
          <t>T32_B2</t>
        </is>
      </c>
      <c r="B883" s="13" t="inlineStr">
        <is>
          <t>T32</t>
        </is>
      </c>
      <c r="C883" s="13" t="inlineStr">
        <is>
          <t>B2</t>
        </is>
      </c>
      <c r="D883" s="13" t="n">
        <v>1</v>
      </c>
      <c r="E883" s="13" t="inlineStr">
        <is>
          <t>S1</t>
        </is>
      </c>
      <c r="F883" s="13" t="n">
        <v>2026</v>
      </c>
      <c r="G883" s="14" t="n">
        <v>989220.8737799252</v>
      </c>
      <c r="H883" s="14" t="n">
        <v>411070.7441248276</v>
      </c>
      <c r="I883" s="14" t="n">
        <v>14612.2848823697</v>
      </c>
      <c r="J883" s="14" t="n">
        <v>0</v>
      </c>
      <c r="K883" s="14" t="n">
        <v>37536.93315501494</v>
      </c>
      <c r="L883" s="14" t="n">
        <v>526000.911617713</v>
      </c>
      <c r="M883" s="14" t="n">
        <v>0</v>
      </c>
      <c r="N883" s="14" t="n">
        <v>453834.4798600738</v>
      </c>
      <c r="O883" s="14" t="n">
        <v>471599.6640125348</v>
      </c>
      <c r="P883" s="14" t="n">
        <v>51045.10250917323</v>
      </c>
      <c r="Q883" s="14" t="n">
        <v>5540811.378846083</v>
      </c>
      <c r="R883" s="15">
        <f>IF(D883=1,"Section 1","Control")</f>
        <v/>
      </c>
      <c r="S883" s="16">
        <f>N883/10000</f>
        <v/>
      </c>
      <c r="T883" s="16">
        <f>P883/10000</f>
        <v/>
      </c>
      <c r="U883" s="15">
        <f>IF(N883&gt;=Summary!$D$3,1,0)</f>
        <v/>
      </c>
      <c r="V883" s="17">
        <f>IF(N883&gt;0,P883/N883,"")</f>
        <v/>
      </c>
      <c r="W883" s="17">
        <f>IF(O883&gt;0,H883/O883,"")</f>
        <v/>
      </c>
    </row>
    <row r="884">
      <c r="A884" s="13" t="inlineStr">
        <is>
          <t>T32_B3</t>
        </is>
      </c>
      <c r="B884" s="13" t="inlineStr">
        <is>
          <t>T32</t>
        </is>
      </c>
      <c r="C884" s="13" t="inlineStr">
        <is>
          <t>B3</t>
        </is>
      </c>
      <c r="D884" s="13" t="n">
        <v>1</v>
      </c>
      <c r="E884" s="13" t="inlineStr">
        <is>
          <t>S1</t>
        </is>
      </c>
      <c r="F884" s="13" t="n">
        <v>2020</v>
      </c>
      <c r="G884" s="14" t="n">
        <v>7903528.899775038</v>
      </c>
      <c r="H884" s="14" t="n">
        <v>1240951.550680812</v>
      </c>
      <c r="I884" s="14" t="n">
        <v>111509.5838513842</v>
      </c>
      <c r="J884" s="14" t="n">
        <v>0</v>
      </c>
      <c r="K884" s="14" t="n">
        <v>1897574.704071494</v>
      </c>
      <c r="L884" s="14" t="n">
        <v>4653493.061171348</v>
      </c>
      <c r="M884" s="14" t="n">
        <v>0</v>
      </c>
      <c r="N884" s="14" t="n">
        <v>1240951.550680812</v>
      </c>
      <c r="O884" s="14" t="n">
        <v>3250035.838603689</v>
      </c>
      <c r="P884" s="14" t="n">
        <v>0</v>
      </c>
      <c r="Q884" s="14" t="n">
        <v>27749371.24184774</v>
      </c>
      <c r="R884" s="15">
        <f>IF(D884=1,"Section 1","Control")</f>
        <v/>
      </c>
      <c r="S884" s="16">
        <f>N884/10000</f>
        <v/>
      </c>
      <c r="T884" s="16">
        <f>P884/10000</f>
        <v/>
      </c>
      <c r="U884" s="15">
        <f>IF(N884&gt;=Summary!$D$3,1,0)</f>
        <v/>
      </c>
      <c r="V884" s="17">
        <f>IF(N884&gt;0,P884/N884,"")</f>
        <v/>
      </c>
      <c r="W884" s="17">
        <f>IF(O884&gt;0,H884/O884,"")</f>
        <v/>
      </c>
    </row>
    <row r="885">
      <c r="A885" s="13" t="inlineStr">
        <is>
          <t>T32_B3</t>
        </is>
      </c>
      <c r="B885" s="13" t="inlineStr">
        <is>
          <t>T32</t>
        </is>
      </c>
      <c r="C885" s="13" t="inlineStr">
        <is>
          <t>B3</t>
        </is>
      </c>
      <c r="D885" s="13" t="n">
        <v>1</v>
      </c>
      <c r="E885" s="13" t="inlineStr">
        <is>
          <t>S1</t>
        </is>
      </c>
      <c r="F885" s="13" t="n">
        <v>2021</v>
      </c>
      <c r="G885" s="14" t="n">
        <v>7903528.899775039</v>
      </c>
      <c r="H885" s="14" t="n">
        <v>1006248.117863584</v>
      </c>
      <c r="I885" s="14" t="n">
        <v>42706.01301006242</v>
      </c>
      <c r="J885" s="14" t="n">
        <v>0</v>
      </c>
      <c r="K885" s="14" t="n">
        <v>2201081.707730043</v>
      </c>
      <c r="L885" s="14" t="n">
        <v>4653493.061171348</v>
      </c>
      <c r="M885" s="14" t="n">
        <v>0</v>
      </c>
      <c r="N885" s="14" t="n">
        <v>1240951.550680812</v>
      </c>
      <c r="O885" s="14" t="n">
        <v>3250035.838603689</v>
      </c>
      <c r="P885" s="14" t="n">
        <v>243201.7092675003</v>
      </c>
      <c r="Q885" s="14" t="n">
        <v>27749371.24184774</v>
      </c>
      <c r="R885" s="15">
        <f>IF(D885=1,"Section 1","Control")</f>
        <v/>
      </c>
      <c r="S885" s="16">
        <f>N885/10000</f>
        <v/>
      </c>
      <c r="T885" s="16">
        <f>P885/10000</f>
        <v/>
      </c>
      <c r="U885" s="15">
        <f>IF(N885&gt;=Summary!$D$3,1,0)</f>
        <v/>
      </c>
      <c r="V885" s="17">
        <f>IF(N885&gt;0,P885/N885,"")</f>
        <v/>
      </c>
      <c r="W885" s="17">
        <f>IF(O885&gt;0,H885/O885,"")</f>
        <v/>
      </c>
    </row>
    <row r="886">
      <c r="A886" s="13" t="inlineStr">
        <is>
          <t>T32_B3</t>
        </is>
      </c>
      <c r="B886" s="13" t="inlineStr">
        <is>
          <t>T32</t>
        </is>
      </c>
      <c r="C886" s="13" t="inlineStr">
        <is>
          <t>B3</t>
        </is>
      </c>
      <c r="D886" s="13" t="n">
        <v>1</v>
      </c>
      <c r="E886" s="13" t="inlineStr">
        <is>
          <t>S1</t>
        </is>
      </c>
      <c r="F886" s="13" t="n">
        <v>2022</v>
      </c>
      <c r="G886" s="14" t="n">
        <v>7903528.899775038</v>
      </c>
      <c r="H886" s="14" t="n">
        <v>933928.2295966654</v>
      </c>
      <c r="I886" s="14" t="n">
        <v>47122.34122380275</v>
      </c>
      <c r="J886" s="14" t="n">
        <v>0</v>
      </c>
      <c r="K886" s="14" t="n">
        <v>2268985.267783221</v>
      </c>
      <c r="L886" s="14" t="n">
        <v>4653493.061171348</v>
      </c>
      <c r="M886" s="14" t="n">
        <v>0</v>
      </c>
      <c r="N886" s="14" t="n">
        <v>1240951.550680812</v>
      </c>
      <c r="O886" s="14" t="n">
        <v>3250035.83860369</v>
      </c>
      <c r="P886" s="14" t="n">
        <v>312960.3913860545</v>
      </c>
      <c r="Q886" s="14" t="n">
        <v>27749371.24184773</v>
      </c>
      <c r="R886" s="15">
        <f>IF(D886=1,"Section 1","Control")</f>
        <v/>
      </c>
      <c r="S886" s="16">
        <f>N886/10000</f>
        <v/>
      </c>
      <c r="T886" s="16">
        <f>P886/10000</f>
        <v/>
      </c>
      <c r="U886" s="15">
        <f>IF(N886&gt;=Summary!$D$3,1,0)</f>
        <v/>
      </c>
      <c r="V886" s="17">
        <f>IF(N886&gt;0,P886/N886,"")</f>
        <v/>
      </c>
      <c r="W886" s="17">
        <f>IF(O886&gt;0,H886/O886,"")</f>
        <v/>
      </c>
    </row>
    <row r="887">
      <c r="A887" s="13" t="inlineStr">
        <is>
          <t>T32_B3</t>
        </is>
      </c>
      <c r="B887" s="13" t="inlineStr">
        <is>
          <t>T32</t>
        </is>
      </c>
      <c r="C887" s="13" t="inlineStr">
        <is>
          <t>B3</t>
        </is>
      </c>
      <c r="D887" s="13" t="n">
        <v>1</v>
      </c>
      <c r="E887" s="13" t="inlineStr">
        <is>
          <t>S1</t>
        </is>
      </c>
      <c r="F887" s="13" t="n">
        <v>2023</v>
      </c>
      <c r="G887" s="14" t="n">
        <v>7903528.899775039</v>
      </c>
      <c r="H887" s="14" t="n">
        <v>921533.2800786636</v>
      </c>
      <c r="I887" s="14" t="n">
        <v>48359.41777286904</v>
      </c>
      <c r="J887" s="14" t="n">
        <v>0</v>
      </c>
      <c r="K887" s="14" t="n">
        <v>2280143.140752157</v>
      </c>
      <c r="L887" s="14" t="n">
        <v>4653493.061171348</v>
      </c>
      <c r="M887" s="14" t="n">
        <v>0</v>
      </c>
      <c r="N887" s="14" t="n">
        <v>1240951.550680812</v>
      </c>
      <c r="O887" s="14" t="n">
        <v>3250035.838603689</v>
      </c>
      <c r="P887" s="14" t="n">
        <v>328909.124061405</v>
      </c>
      <c r="Q887" s="14" t="n">
        <v>27749371.24184774</v>
      </c>
      <c r="R887" s="15">
        <f>IF(D887=1,"Section 1","Control")</f>
        <v/>
      </c>
      <c r="S887" s="16">
        <f>N887/10000</f>
        <v/>
      </c>
      <c r="T887" s="16">
        <f>P887/10000</f>
        <v/>
      </c>
      <c r="U887" s="15">
        <f>IF(N887&gt;=Summary!$D$3,1,0)</f>
        <v/>
      </c>
      <c r="V887" s="17">
        <f>IF(N887&gt;0,P887/N887,"")</f>
        <v/>
      </c>
      <c r="W887" s="17">
        <f>IF(O887&gt;0,H887/O887,"")</f>
        <v/>
      </c>
    </row>
    <row r="888">
      <c r="A888" s="13" t="inlineStr">
        <is>
          <t>T32_B3</t>
        </is>
      </c>
      <c r="B888" s="13" t="inlineStr">
        <is>
          <t>T32</t>
        </is>
      </c>
      <c r="C888" s="13" t="inlineStr">
        <is>
          <t>B3</t>
        </is>
      </c>
      <c r="D888" s="13" t="n">
        <v>1</v>
      </c>
      <c r="E888" s="13" t="inlineStr">
        <is>
          <t>S1</t>
        </is>
      </c>
      <c r="F888" s="13" t="n">
        <v>2024</v>
      </c>
      <c r="G888" s="14" t="n">
        <v>7903528.899775039</v>
      </c>
      <c r="H888" s="14" t="n">
        <v>919414.1367548924</v>
      </c>
      <c r="I888" s="14" t="n">
        <v>29682.13127617929</v>
      </c>
      <c r="J888" s="14" t="n">
        <v>0</v>
      </c>
      <c r="K888" s="14" t="n">
        <v>2300939.570572617</v>
      </c>
      <c r="L888" s="14" t="n">
        <v>4653493.061171348</v>
      </c>
      <c r="M888" s="14" t="n">
        <v>0</v>
      </c>
      <c r="N888" s="14" t="n">
        <v>1240951.550680811</v>
      </c>
      <c r="O888" s="14" t="n">
        <v>3250035.838603689</v>
      </c>
      <c r="P888" s="14" t="n">
        <v>340505.1680275711</v>
      </c>
      <c r="Q888" s="14" t="n">
        <v>27749371.24184774</v>
      </c>
      <c r="R888" s="15">
        <f>IF(D888=1,"Section 1","Control")</f>
        <v/>
      </c>
      <c r="S888" s="16">
        <f>N888/10000</f>
        <v/>
      </c>
      <c r="T888" s="16">
        <f>P888/10000</f>
        <v/>
      </c>
      <c r="U888" s="15">
        <f>IF(N888&gt;=Summary!$D$3,1,0)</f>
        <v/>
      </c>
      <c r="V888" s="17">
        <f>IF(N888&gt;0,P888/N888,"")</f>
        <v/>
      </c>
      <c r="W888" s="17">
        <f>IF(O888&gt;0,H888/O888,"")</f>
        <v/>
      </c>
    </row>
    <row r="889">
      <c r="A889" s="13" t="inlineStr">
        <is>
          <t>T32_B3</t>
        </is>
      </c>
      <c r="B889" s="13" t="inlineStr">
        <is>
          <t>T32</t>
        </is>
      </c>
      <c r="C889" s="13" t="inlineStr">
        <is>
          <t>B3</t>
        </is>
      </c>
      <c r="D889" s="13" t="n">
        <v>1</v>
      </c>
      <c r="E889" s="13" t="inlineStr">
        <is>
          <t>S1</t>
        </is>
      </c>
      <c r="F889" s="13" t="n">
        <v>2025</v>
      </c>
      <c r="G889" s="14" t="n">
        <v>7903528.899775038</v>
      </c>
      <c r="H889" s="14" t="n">
        <v>912815.759542398</v>
      </c>
      <c r="I889" s="14" t="n">
        <v>44168.68804500805</v>
      </c>
      <c r="J889" s="14" t="n">
        <v>0</v>
      </c>
      <c r="K889" s="14" t="n">
        <v>2293051.391016284</v>
      </c>
      <c r="L889" s="14" t="n">
        <v>4653493.061171348</v>
      </c>
      <c r="M889" s="14" t="n">
        <v>0</v>
      </c>
      <c r="N889" s="14" t="n">
        <v>1240951.550680812</v>
      </c>
      <c r="O889" s="14" t="n">
        <v>3250035.83860369</v>
      </c>
      <c r="P889" s="14" t="n">
        <v>349656.9411483167</v>
      </c>
      <c r="Q889" s="14" t="n">
        <v>27749371.24184774</v>
      </c>
      <c r="R889" s="15">
        <f>IF(D889=1,"Section 1","Control")</f>
        <v/>
      </c>
      <c r="S889" s="16">
        <f>N889/10000</f>
        <v/>
      </c>
      <c r="T889" s="16">
        <f>P889/10000</f>
        <v/>
      </c>
      <c r="U889" s="15">
        <f>IF(N889&gt;=Summary!$D$3,1,0)</f>
        <v/>
      </c>
      <c r="V889" s="17">
        <f>IF(N889&gt;0,P889/N889,"")</f>
        <v/>
      </c>
      <c r="W889" s="17">
        <f>IF(O889&gt;0,H889/O889,"")</f>
        <v/>
      </c>
    </row>
    <row r="890">
      <c r="A890" s="13" t="inlineStr">
        <is>
          <t>T32_B3</t>
        </is>
      </c>
      <c r="B890" s="13" t="inlineStr">
        <is>
          <t>T32</t>
        </is>
      </c>
      <c r="C890" s="13" t="inlineStr">
        <is>
          <t>B3</t>
        </is>
      </c>
      <c r="D890" s="13" t="n">
        <v>1</v>
      </c>
      <c r="E890" s="13" t="inlineStr">
        <is>
          <t>S1</t>
        </is>
      </c>
      <c r="F890" s="13" t="n">
        <v>2026</v>
      </c>
      <c r="G890" s="14" t="n">
        <v>7903528.899775039</v>
      </c>
      <c r="H890" s="14" t="n">
        <v>920599.8902628582</v>
      </c>
      <c r="I890" s="14" t="n">
        <v>40993.92934977214</v>
      </c>
      <c r="J890" s="14" t="n">
        <v>0</v>
      </c>
      <c r="K890" s="14" t="n">
        <v>2288442.018991059</v>
      </c>
      <c r="L890" s="14" t="n">
        <v>4653493.061171348</v>
      </c>
      <c r="M890" s="14" t="n">
        <v>0</v>
      </c>
      <c r="N890" s="14" t="n">
        <v>1240951.550680812</v>
      </c>
      <c r="O890" s="14" t="n">
        <v>3250035.83860369</v>
      </c>
      <c r="P890" s="14" t="n">
        <v>352776.1093010398</v>
      </c>
      <c r="Q890" s="14" t="n">
        <v>27749371.24184774</v>
      </c>
      <c r="R890" s="15">
        <f>IF(D890=1,"Section 1","Control")</f>
        <v/>
      </c>
      <c r="S890" s="16">
        <f>N890/10000</f>
        <v/>
      </c>
      <c r="T890" s="16">
        <f>P890/10000</f>
        <v/>
      </c>
      <c r="U890" s="15">
        <f>IF(N890&gt;=Summary!$D$3,1,0)</f>
        <v/>
      </c>
      <c r="V890" s="17">
        <f>IF(N890&gt;0,P890/N890,"")</f>
        <v/>
      </c>
      <c r="W890" s="17">
        <f>IF(O890&gt;0,H890/O890,"")</f>
        <v/>
      </c>
    </row>
    <row r="891">
      <c r="A891" s="13" t="inlineStr">
        <is>
          <t>T32_F</t>
        </is>
      </c>
      <c r="B891" s="13" t="inlineStr">
        <is>
          <t>T32</t>
        </is>
      </c>
      <c r="C891" s="13" t="inlineStr">
        <is>
          <t>F</t>
        </is>
      </c>
      <c r="D891" s="13" t="n">
        <v>1</v>
      </c>
      <c r="E891" s="13" t="inlineStr">
        <is>
          <t>S1</t>
        </is>
      </c>
      <c r="F891" s="13" t="n">
        <v>2020</v>
      </c>
      <c r="G891" s="14" t="n">
        <v>69558.23823311002</v>
      </c>
      <c r="H891" s="14" t="n">
        <v>69558.23823311002</v>
      </c>
      <c r="I891" s="14" t="n">
        <v>0</v>
      </c>
      <c r="J891" s="14" t="n">
        <v>0</v>
      </c>
      <c r="K891" s="14" t="n">
        <v>0</v>
      </c>
      <c r="L891" s="14" t="n">
        <v>0</v>
      </c>
      <c r="M891" s="14" t="n">
        <v>0</v>
      </c>
      <c r="N891" s="14" t="n">
        <v>69558.23823311002</v>
      </c>
      <c r="O891" s="14" t="n">
        <v>69558.23823311002</v>
      </c>
      <c r="P891" s="14" t="n">
        <v>0</v>
      </c>
      <c r="Q891" s="14" t="n">
        <v>1040879.927566588</v>
      </c>
      <c r="R891" s="15">
        <f>IF(D891=1,"Section 1","Control")</f>
        <v/>
      </c>
      <c r="S891" s="16">
        <f>N891/10000</f>
        <v/>
      </c>
      <c r="T891" s="16">
        <f>P891/10000</f>
        <v/>
      </c>
      <c r="U891" s="15">
        <f>IF(N891&gt;=Summary!$D$3,1,0)</f>
        <v/>
      </c>
      <c r="V891" s="17">
        <f>IF(N891&gt;0,P891/N891,"")</f>
        <v/>
      </c>
      <c r="W891" s="17">
        <f>IF(O891&gt;0,H891/O891,"")</f>
        <v/>
      </c>
    </row>
    <row r="892">
      <c r="A892" s="13" t="inlineStr">
        <is>
          <t>T32_F</t>
        </is>
      </c>
      <c r="B892" s="13" t="inlineStr">
        <is>
          <t>T32</t>
        </is>
      </c>
      <c r="C892" s="13" t="inlineStr">
        <is>
          <t>F</t>
        </is>
      </c>
      <c r="D892" s="13" t="n">
        <v>1</v>
      </c>
      <c r="E892" s="13" t="inlineStr">
        <is>
          <t>S1</t>
        </is>
      </c>
      <c r="F892" s="13" t="n">
        <v>2021</v>
      </c>
      <c r="G892" s="14" t="n">
        <v>69558.23823311002</v>
      </c>
      <c r="H892" s="14" t="n">
        <v>69558.23823311002</v>
      </c>
      <c r="I892" s="14" t="n">
        <v>0</v>
      </c>
      <c r="J892" s="14" t="n">
        <v>0</v>
      </c>
      <c r="K892" s="14" t="n">
        <v>0</v>
      </c>
      <c r="L892" s="14" t="n">
        <v>0</v>
      </c>
      <c r="M892" s="14" t="n">
        <v>0</v>
      </c>
      <c r="N892" s="14" t="n">
        <v>69558.23823311002</v>
      </c>
      <c r="O892" s="14" t="n">
        <v>69558.23823311002</v>
      </c>
      <c r="P892" s="14" t="n">
        <v>0</v>
      </c>
      <c r="Q892" s="14" t="n">
        <v>1040879.927566588</v>
      </c>
      <c r="R892" s="15">
        <f>IF(D892=1,"Section 1","Control")</f>
        <v/>
      </c>
      <c r="S892" s="16">
        <f>N892/10000</f>
        <v/>
      </c>
      <c r="T892" s="16">
        <f>P892/10000</f>
        <v/>
      </c>
      <c r="U892" s="15">
        <f>IF(N892&gt;=Summary!$D$3,1,0)</f>
        <v/>
      </c>
      <c r="V892" s="17">
        <f>IF(N892&gt;0,P892/N892,"")</f>
        <v/>
      </c>
      <c r="W892" s="17">
        <f>IF(O892&gt;0,H892/O892,"")</f>
        <v/>
      </c>
    </row>
    <row r="893">
      <c r="A893" s="13" t="inlineStr">
        <is>
          <t>T32_F</t>
        </is>
      </c>
      <c r="B893" s="13" t="inlineStr">
        <is>
          <t>T32</t>
        </is>
      </c>
      <c r="C893" s="13" t="inlineStr">
        <is>
          <t>F</t>
        </is>
      </c>
      <c r="D893" s="13" t="n">
        <v>1</v>
      </c>
      <c r="E893" s="13" t="inlineStr">
        <is>
          <t>S1</t>
        </is>
      </c>
      <c r="F893" s="13" t="n">
        <v>2022</v>
      </c>
      <c r="G893" s="14" t="n">
        <v>69558.23823311002</v>
      </c>
      <c r="H893" s="14" t="n">
        <v>69558.23823311002</v>
      </c>
      <c r="I893" s="14" t="n">
        <v>0</v>
      </c>
      <c r="J893" s="14" t="n">
        <v>0</v>
      </c>
      <c r="K893" s="14" t="n">
        <v>0</v>
      </c>
      <c r="L893" s="14" t="n">
        <v>0</v>
      </c>
      <c r="M893" s="14" t="n">
        <v>0</v>
      </c>
      <c r="N893" s="14" t="n">
        <v>69558.23823311002</v>
      </c>
      <c r="O893" s="14" t="n">
        <v>69558.23823311002</v>
      </c>
      <c r="P893" s="14" t="n">
        <v>0</v>
      </c>
      <c r="Q893" s="14" t="n">
        <v>1040879.927566588</v>
      </c>
      <c r="R893" s="15">
        <f>IF(D893=1,"Section 1","Control")</f>
        <v/>
      </c>
      <c r="S893" s="16">
        <f>N893/10000</f>
        <v/>
      </c>
      <c r="T893" s="16">
        <f>P893/10000</f>
        <v/>
      </c>
      <c r="U893" s="15">
        <f>IF(N893&gt;=Summary!$D$3,1,0)</f>
        <v/>
      </c>
      <c r="V893" s="17">
        <f>IF(N893&gt;0,P893/N893,"")</f>
        <v/>
      </c>
      <c r="W893" s="17">
        <f>IF(O893&gt;0,H893/O893,"")</f>
        <v/>
      </c>
    </row>
    <row r="894">
      <c r="A894" s="13" t="inlineStr">
        <is>
          <t>T32_F</t>
        </is>
      </c>
      <c r="B894" s="13" t="inlineStr">
        <is>
          <t>T32</t>
        </is>
      </c>
      <c r="C894" s="13" t="inlineStr">
        <is>
          <t>F</t>
        </is>
      </c>
      <c r="D894" s="13" t="n">
        <v>1</v>
      </c>
      <c r="E894" s="13" t="inlineStr">
        <is>
          <t>S1</t>
        </is>
      </c>
      <c r="F894" s="13" t="n">
        <v>2023</v>
      </c>
      <c r="G894" s="14" t="n">
        <v>69558.23823311002</v>
      </c>
      <c r="H894" s="14" t="n">
        <v>69558.23823311002</v>
      </c>
      <c r="I894" s="14" t="n">
        <v>0</v>
      </c>
      <c r="J894" s="14" t="n">
        <v>0</v>
      </c>
      <c r="K894" s="14" t="n">
        <v>0</v>
      </c>
      <c r="L894" s="14" t="n">
        <v>0</v>
      </c>
      <c r="M894" s="14" t="n">
        <v>0</v>
      </c>
      <c r="N894" s="14" t="n">
        <v>69558.23823311002</v>
      </c>
      <c r="O894" s="14" t="n">
        <v>69558.23823311002</v>
      </c>
      <c r="P894" s="14" t="n">
        <v>0</v>
      </c>
      <c r="Q894" s="14" t="n">
        <v>1040879.927566588</v>
      </c>
      <c r="R894" s="15">
        <f>IF(D894=1,"Section 1","Control")</f>
        <v/>
      </c>
      <c r="S894" s="16">
        <f>N894/10000</f>
        <v/>
      </c>
      <c r="T894" s="16">
        <f>P894/10000</f>
        <v/>
      </c>
      <c r="U894" s="15">
        <f>IF(N894&gt;=Summary!$D$3,1,0)</f>
        <v/>
      </c>
      <c r="V894" s="17">
        <f>IF(N894&gt;0,P894/N894,"")</f>
        <v/>
      </c>
      <c r="W894" s="17">
        <f>IF(O894&gt;0,H894/O894,"")</f>
        <v/>
      </c>
    </row>
    <row r="895">
      <c r="A895" s="13" t="inlineStr">
        <is>
          <t>T32_F</t>
        </is>
      </c>
      <c r="B895" s="13" t="inlineStr">
        <is>
          <t>T32</t>
        </is>
      </c>
      <c r="C895" s="13" t="inlineStr">
        <is>
          <t>F</t>
        </is>
      </c>
      <c r="D895" s="13" t="n">
        <v>1</v>
      </c>
      <c r="E895" s="13" t="inlineStr">
        <is>
          <t>S1</t>
        </is>
      </c>
      <c r="F895" s="13" t="n">
        <v>2024</v>
      </c>
      <c r="G895" s="14" t="n">
        <v>69558.23823311002</v>
      </c>
      <c r="H895" s="14" t="n">
        <v>69558.23823311002</v>
      </c>
      <c r="I895" s="14" t="n">
        <v>0</v>
      </c>
      <c r="J895" s="14" t="n">
        <v>0</v>
      </c>
      <c r="K895" s="14" t="n">
        <v>0</v>
      </c>
      <c r="L895" s="14" t="n">
        <v>0</v>
      </c>
      <c r="M895" s="14" t="n">
        <v>0</v>
      </c>
      <c r="N895" s="14" t="n">
        <v>69558.23823311002</v>
      </c>
      <c r="O895" s="14" t="n">
        <v>69558.23823311002</v>
      </c>
      <c r="P895" s="14" t="n">
        <v>0</v>
      </c>
      <c r="Q895" s="14" t="n">
        <v>1040879.927566588</v>
      </c>
      <c r="R895" s="15">
        <f>IF(D895=1,"Section 1","Control")</f>
        <v/>
      </c>
      <c r="S895" s="16">
        <f>N895/10000</f>
        <v/>
      </c>
      <c r="T895" s="16">
        <f>P895/10000</f>
        <v/>
      </c>
      <c r="U895" s="15">
        <f>IF(N895&gt;=Summary!$D$3,1,0)</f>
        <v/>
      </c>
      <c r="V895" s="17">
        <f>IF(N895&gt;0,P895/N895,"")</f>
        <v/>
      </c>
      <c r="W895" s="17">
        <f>IF(O895&gt;0,H895/O895,"")</f>
        <v/>
      </c>
    </row>
    <row r="896">
      <c r="A896" s="13" t="inlineStr">
        <is>
          <t>T32_F</t>
        </is>
      </c>
      <c r="B896" s="13" t="inlineStr">
        <is>
          <t>T32</t>
        </is>
      </c>
      <c r="C896" s="13" t="inlineStr">
        <is>
          <t>F</t>
        </is>
      </c>
      <c r="D896" s="13" t="n">
        <v>1</v>
      </c>
      <c r="E896" s="13" t="inlineStr">
        <is>
          <t>S1</t>
        </is>
      </c>
      <c r="F896" s="13" t="n">
        <v>2025</v>
      </c>
      <c r="G896" s="14" t="n">
        <v>69558.23823311002</v>
      </c>
      <c r="H896" s="14" t="n">
        <v>50445.57605958825</v>
      </c>
      <c r="I896" s="14" t="n">
        <v>4669.764627015356</v>
      </c>
      <c r="J896" s="14" t="n">
        <v>0</v>
      </c>
      <c r="K896" s="14" t="n">
        <v>14442.8975465064</v>
      </c>
      <c r="L896" s="14" t="n">
        <v>0</v>
      </c>
      <c r="M896" s="14" t="n">
        <v>0</v>
      </c>
      <c r="N896" s="14" t="n">
        <v>69558.23823311002</v>
      </c>
      <c r="O896" s="14" t="n">
        <v>69558.23823311002</v>
      </c>
      <c r="P896" s="14" t="n">
        <v>19112.66217352176</v>
      </c>
      <c r="Q896" s="14" t="n">
        <v>1040879.927566588</v>
      </c>
      <c r="R896" s="15">
        <f>IF(D896=1,"Section 1","Control")</f>
        <v/>
      </c>
      <c r="S896" s="16">
        <f>N896/10000</f>
        <v/>
      </c>
      <c r="T896" s="16">
        <f>P896/10000</f>
        <v/>
      </c>
      <c r="U896" s="15">
        <f>IF(N896&gt;=Summary!$D$3,1,0)</f>
        <v/>
      </c>
      <c r="V896" s="17">
        <f>IF(N896&gt;0,P896/N896,"")</f>
        <v/>
      </c>
      <c r="W896" s="17">
        <f>IF(O896&gt;0,H896/O896,"")</f>
        <v/>
      </c>
    </row>
    <row r="897">
      <c r="A897" s="13" t="inlineStr">
        <is>
          <t>T32_F</t>
        </is>
      </c>
      <c r="B897" s="13" t="inlineStr">
        <is>
          <t>T32</t>
        </is>
      </c>
      <c r="C897" s="13" t="inlineStr">
        <is>
          <t>F</t>
        </is>
      </c>
      <c r="D897" s="13" t="n">
        <v>1</v>
      </c>
      <c r="E897" s="13" t="inlineStr">
        <is>
          <t>S1</t>
        </is>
      </c>
      <c r="F897" s="13" t="n">
        <v>2026</v>
      </c>
      <c r="G897" s="14" t="n">
        <v>69558.23823311002</v>
      </c>
      <c r="H897" s="14" t="n">
        <v>135.8884536743164</v>
      </c>
      <c r="I897" s="14" t="n">
        <v>17077.80934110155</v>
      </c>
      <c r="J897" s="14" t="n">
        <v>0</v>
      </c>
      <c r="K897" s="14" t="n">
        <v>52344.54043833415</v>
      </c>
      <c r="L897" s="14" t="n">
        <v>0</v>
      </c>
      <c r="M897" s="14" t="n">
        <v>0</v>
      </c>
      <c r="N897" s="14" t="n">
        <v>69558.23823311002</v>
      </c>
      <c r="O897" s="14" t="n">
        <v>69558.23823311002</v>
      </c>
      <c r="P897" s="14" t="n">
        <v>69422.34977943571</v>
      </c>
      <c r="Q897" s="14" t="n">
        <v>1040879.927566588</v>
      </c>
      <c r="R897" s="15">
        <f>IF(D897=1,"Section 1","Control")</f>
        <v/>
      </c>
      <c r="S897" s="16">
        <f>N897/10000</f>
        <v/>
      </c>
      <c r="T897" s="16">
        <f>P897/10000</f>
        <v/>
      </c>
      <c r="U897" s="15">
        <f>IF(N897&gt;=Summary!$D$3,1,0)</f>
        <v/>
      </c>
      <c r="V897" s="17">
        <f>IF(N897&gt;0,P897/N897,"")</f>
        <v/>
      </c>
      <c r="W897" s="17">
        <f>IF(O897&gt;0,H897/O897,"")</f>
        <v/>
      </c>
    </row>
    <row r="898">
      <c r="A898" s="13" t="inlineStr">
        <is>
          <t>T33_B1</t>
        </is>
      </c>
      <c r="B898" s="13" t="inlineStr">
        <is>
          <t>T33</t>
        </is>
      </c>
      <c r="C898" s="13" t="inlineStr">
        <is>
          <t>B1</t>
        </is>
      </c>
      <c r="D898" s="13" t="n">
        <v>1</v>
      </c>
      <c r="E898" s="13" t="inlineStr">
        <is>
          <t>S1</t>
        </is>
      </c>
      <c r="F898" s="13" t="n">
        <v>2020</v>
      </c>
      <c r="G898" s="14" t="n">
        <v>1019185.635118043</v>
      </c>
      <c r="H898" s="14" t="n">
        <v>577352.6179064284</v>
      </c>
      <c r="I898" s="14" t="n">
        <v>64041.48250220804</v>
      </c>
      <c r="J898" s="14" t="n">
        <v>37098.77768171721</v>
      </c>
      <c r="K898" s="14" t="n">
        <v>75013.59549001057</v>
      </c>
      <c r="L898" s="14" t="n">
        <v>265679.161537679</v>
      </c>
      <c r="M898" s="14" t="n">
        <v>0</v>
      </c>
      <c r="N898" s="14" t="n">
        <v>577352.6179064284</v>
      </c>
      <c r="O898" s="14" t="n">
        <v>753506.4735803644</v>
      </c>
      <c r="P898" s="14" t="n">
        <v>0</v>
      </c>
      <c r="Q898" s="14" t="n">
        <v>5012391.615808375</v>
      </c>
      <c r="R898" s="15">
        <f>IF(D898=1,"Section 1","Control")</f>
        <v/>
      </c>
      <c r="S898" s="16">
        <f>N898/10000</f>
        <v/>
      </c>
      <c r="T898" s="16">
        <f>P898/10000</f>
        <v/>
      </c>
      <c r="U898" s="15">
        <f>IF(N898&gt;=Summary!$D$3,1,0)</f>
        <v/>
      </c>
      <c r="V898" s="17">
        <f>IF(N898&gt;0,P898/N898,"")</f>
        <v/>
      </c>
      <c r="W898" s="17">
        <f>IF(O898&gt;0,H898/O898,"")</f>
        <v/>
      </c>
    </row>
    <row r="899">
      <c r="A899" s="13" t="inlineStr">
        <is>
          <t>T33_B1</t>
        </is>
      </c>
      <c r="B899" s="13" t="inlineStr">
        <is>
          <t>T33</t>
        </is>
      </c>
      <c r="C899" s="13" t="inlineStr">
        <is>
          <t>B1</t>
        </is>
      </c>
      <c r="D899" s="13" t="n">
        <v>1</v>
      </c>
      <c r="E899" s="13" t="inlineStr">
        <is>
          <t>S1</t>
        </is>
      </c>
      <c r="F899" s="13" t="n">
        <v>2021</v>
      </c>
      <c r="G899" s="14" t="n">
        <v>1019185.635118043</v>
      </c>
      <c r="H899" s="14" t="n">
        <v>522227.553902959</v>
      </c>
      <c r="I899" s="14" t="n">
        <v>69768.90933849858</v>
      </c>
      <c r="J899" s="14" t="n">
        <v>36290.80125750373</v>
      </c>
      <c r="K899" s="14" t="n">
        <v>125809.2440559836</v>
      </c>
      <c r="L899" s="14" t="n">
        <v>265089.1265630984</v>
      </c>
      <c r="M899" s="14" t="n">
        <v>0</v>
      </c>
      <c r="N899" s="14" t="n">
        <v>577352.6179064284</v>
      </c>
      <c r="O899" s="14" t="n">
        <v>753506.4735803644</v>
      </c>
      <c r="P899" s="14" t="n">
        <v>58481.59776354023</v>
      </c>
      <c r="Q899" s="14" t="n">
        <v>5012391.615808375</v>
      </c>
      <c r="R899" s="15">
        <f>IF(D899=1,"Section 1","Control")</f>
        <v/>
      </c>
      <c r="S899" s="16">
        <f>N899/10000</f>
        <v/>
      </c>
      <c r="T899" s="16">
        <f>P899/10000</f>
        <v/>
      </c>
      <c r="U899" s="15">
        <f>IF(N899&gt;=Summary!$D$3,1,0)</f>
        <v/>
      </c>
      <c r="V899" s="17">
        <f>IF(N899&gt;0,P899/N899,"")</f>
        <v/>
      </c>
      <c r="W899" s="17">
        <f>IF(O899&gt;0,H899/O899,"")</f>
        <v/>
      </c>
    </row>
    <row r="900">
      <c r="A900" s="13" t="inlineStr">
        <is>
          <t>T33_B1</t>
        </is>
      </c>
      <c r="B900" s="13" t="inlineStr">
        <is>
          <t>T33</t>
        </is>
      </c>
      <c r="C900" s="13" t="inlineStr">
        <is>
          <t>B1</t>
        </is>
      </c>
      <c r="D900" s="13" t="n">
        <v>1</v>
      </c>
      <c r="E900" s="13" t="inlineStr">
        <is>
          <t>S1</t>
        </is>
      </c>
      <c r="F900" s="13" t="n">
        <v>2022</v>
      </c>
      <c r="G900" s="14" t="n">
        <v>1019185.635118043</v>
      </c>
      <c r="H900" s="14" t="n">
        <v>449710.3168360991</v>
      </c>
      <c r="I900" s="14" t="n">
        <v>90879.9730659036</v>
      </c>
      <c r="J900" s="14" t="n">
        <v>37672.91767443488</v>
      </c>
      <c r="K900" s="14" t="n">
        <v>182941.3202961342</v>
      </c>
      <c r="L900" s="14" t="n">
        <v>257981.1072454714</v>
      </c>
      <c r="M900" s="14" t="n">
        <v>0</v>
      </c>
      <c r="N900" s="14" t="n">
        <v>577352.6179064284</v>
      </c>
      <c r="O900" s="14" t="n">
        <v>753506.4735803644</v>
      </c>
      <c r="P900" s="14" t="n">
        <v>128629.5185996261</v>
      </c>
      <c r="Q900" s="14" t="n">
        <v>5012391.615808375</v>
      </c>
      <c r="R900" s="15">
        <f>IF(D900=1,"Section 1","Control")</f>
        <v/>
      </c>
      <c r="S900" s="16">
        <f>N900/10000</f>
        <v/>
      </c>
      <c r="T900" s="16">
        <f>P900/10000</f>
        <v/>
      </c>
      <c r="U900" s="15">
        <f>IF(N900&gt;=Summary!$D$3,1,0)</f>
        <v/>
      </c>
      <c r="V900" s="17">
        <f>IF(N900&gt;0,P900/N900,"")</f>
        <v/>
      </c>
      <c r="W900" s="17">
        <f>IF(O900&gt;0,H900/O900,"")</f>
        <v/>
      </c>
    </row>
    <row r="901">
      <c r="A901" s="13" t="inlineStr">
        <is>
          <t>T33_B1</t>
        </is>
      </c>
      <c r="B901" s="13" t="inlineStr">
        <is>
          <t>T33</t>
        </is>
      </c>
      <c r="C901" s="13" t="inlineStr">
        <is>
          <t>B1</t>
        </is>
      </c>
      <c r="D901" s="13" t="n">
        <v>1</v>
      </c>
      <c r="E901" s="13" t="inlineStr">
        <is>
          <t>S1</t>
        </is>
      </c>
      <c r="F901" s="13" t="n">
        <v>2023</v>
      </c>
      <c r="G901" s="14" t="n">
        <v>1019185.635118043</v>
      </c>
      <c r="H901" s="14" t="n">
        <v>438606.1842952354</v>
      </c>
      <c r="I901" s="14" t="n">
        <v>64216.10838587144</v>
      </c>
      <c r="J901" s="14" t="n">
        <v>37672.91767443488</v>
      </c>
      <c r="K901" s="14" t="n">
        <v>113593.3527901444</v>
      </c>
      <c r="L901" s="14" t="n">
        <v>365097.071972357</v>
      </c>
      <c r="M901" s="14" t="n">
        <v>0</v>
      </c>
      <c r="N901" s="14" t="n">
        <v>577352.6179064284</v>
      </c>
      <c r="O901" s="14" t="n">
        <v>753506.4735803644</v>
      </c>
      <c r="P901" s="14" t="n">
        <v>143287.620920458</v>
      </c>
      <c r="Q901" s="14" t="n">
        <v>5012391.615808375</v>
      </c>
      <c r="R901" s="15">
        <f>IF(D901=1,"Section 1","Control")</f>
        <v/>
      </c>
      <c r="S901" s="16">
        <f>N901/10000</f>
        <v/>
      </c>
      <c r="T901" s="16">
        <f>P901/10000</f>
        <v/>
      </c>
      <c r="U901" s="15">
        <f>IF(N901&gt;=Summary!$D$3,1,0)</f>
        <v/>
      </c>
      <c r="V901" s="17">
        <f>IF(N901&gt;0,P901/N901,"")</f>
        <v/>
      </c>
      <c r="W901" s="17">
        <f>IF(O901&gt;0,H901/O901,"")</f>
        <v/>
      </c>
    </row>
    <row r="902">
      <c r="A902" s="13" t="inlineStr">
        <is>
          <t>T33_B1</t>
        </is>
      </c>
      <c r="B902" s="13" t="inlineStr">
        <is>
          <t>T33</t>
        </is>
      </c>
      <c r="C902" s="13" t="inlineStr">
        <is>
          <t>B1</t>
        </is>
      </c>
      <c r="D902" s="13" t="n">
        <v>1</v>
      </c>
      <c r="E902" s="13" t="inlineStr">
        <is>
          <t>S1</t>
        </is>
      </c>
      <c r="F902" s="13" t="n">
        <v>2024</v>
      </c>
      <c r="G902" s="14" t="n">
        <v>1019185.635118043</v>
      </c>
      <c r="H902" s="14" t="n">
        <v>432442.0608349669</v>
      </c>
      <c r="I902" s="14" t="n">
        <v>84820.82122327019</v>
      </c>
      <c r="J902" s="14" t="n">
        <v>37672.91767443488</v>
      </c>
      <c r="K902" s="14" t="n">
        <v>136746.8912991692</v>
      </c>
      <c r="L902" s="14" t="n">
        <v>327502.944086202</v>
      </c>
      <c r="M902" s="14" t="n">
        <v>0</v>
      </c>
      <c r="N902" s="14" t="n">
        <v>577352.6179064284</v>
      </c>
      <c r="O902" s="14" t="n">
        <v>753506.4735803644</v>
      </c>
      <c r="P902" s="14" t="n">
        <v>151929.8595584944</v>
      </c>
      <c r="Q902" s="14" t="n">
        <v>5012391.615808375</v>
      </c>
      <c r="R902" s="15">
        <f>IF(D902=1,"Section 1","Control")</f>
        <v/>
      </c>
      <c r="S902" s="16">
        <f>N902/10000</f>
        <v/>
      </c>
      <c r="T902" s="16">
        <f>P902/10000</f>
        <v/>
      </c>
      <c r="U902" s="15">
        <f>IF(N902&gt;=Summary!$D$3,1,0)</f>
        <v/>
      </c>
      <c r="V902" s="17">
        <f>IF(N902&gt;0,P902/N902,"")</f>
        <v/>
      </c>
      <c r="W902" s="17">
        <f>IF(O902&gt;0,H902/O902,"")</f>
        <v/>
      </c>
    </row>
    <row r="903">
      <c r="A903" s="13" t="inlineStr">
        <is>
          <t>T33_B1</t>
        </is>
      </c>
      <c r="B903" s="13" t="inlineStr">
        <is>
          <t>T33</t>
        </is>
      </c>
      <c r="C903" s="13" t="inlineStr">
        <is>
          <t>B1</t>
        </is>
      </c>
      <c r="D903" s="13" t="n">
        <v>1</v>
      </c>
      <c r="E903" s="13" t="inlineStr">
        <is>
          <t>S1</t>
        </is>
      </c>
      <c r="F903" s="13" t="n">
        <v>2025</v>
      </c>
      <c r="G903" s="14" t="n">
        <v>1019185.635118043</v>
      </c>
      <c r="H903" s="14" t="n">
        <v>388518.974708557</v>
      </c>
      <c r="I903" s="14" t="n">
        <v>76872.70643412272</v>
      </c>
      <c r="J903" s="14" t="n">
        <v>37672.91767443488</v>
      </c>
      <c r="K903" s="14" t="n">
        <v>107801.2921198527</v>
      </c>
      <c r="L903" s="14" t="n">
        <v>408319.7441810757</v>
      </c>
      <c r="M903" s="14" t="n">
        <v>0</v>
      </c>
      <c r="N903" s="14" t="n">
        <v>577352.6179064284</v>
      </c>
      <c r="O903" s="14" t="n">
        <v>753506.4735803644</v>
      </c>
      <c r="P903" s="14" t="n">
        <v>193483.6221680585</v>
      </c>
      <c r="Q903" s="14" t="n">
        <v>5012391.615808375</v>
      </c>
      <c r="R903" s="15">
        <f>IF(D903=1,"Section 1","Control")</f>
        <v/>
      </c>
      <c r="S903" s="16">
        <f>N903/10000</f>
        <v/>
      </c>
      <c r="T903" s="16">
        <f>P903/10000</f>
        <v/>
      </c>
      <c r="U903" s="15">
        <f>IF(N903&gt;=Summary!$D$3,1,0)</f>
        <v/>
      </c>
      <c r="V903" s="17">
        <f>IF(N903&gt;0,P903/N903,"")</f>
        <v/>
      </c>
      <c r="W903" s="17">
        <f>IF(O903&gt;0,H903/O903,"")</f>
        <v/>
      </c>
    </row>
    <row r="904">
      <c r="A904" s="13" t="inlineStr">
        <is>
          <t>T33_B1</t>
        </is>
      </c>
      <c r="B904" s="13" t="inlineStr">
        <is>
          <t>T33</t>
        </is>
      </c>
      <c r="C904" s="13" t="inlineStr">
        <is>
          <t>B1</t>
        </is>
      </c>
      <c r="D904" s="13" t="n">
        <v>1</v>
      </c>
      <c r="E904" s="13" t="inlineStr">
        <is>
          <t>S1</t>
        </is>
      </c>
      <c r="F904" s="13" t="n">
        <v>2026</v>
      </c>
      <c r="G904" s="14" t="n">
        <v>1019185.635118043</v>
      </c>
      <c r="H904" s="14" t="n">
        <v>340102.9462412217</v>
      </c>
      <c r="I904" s="14" t="n">
        <v>79213.01713867187</v>
      </c>
      <c r="J904" s="14" t="n">
        <v>37672.91767443488</v>
      </c>
      <c r="K904" s="14" t="n">
        <v>150505.7748632992</v>
      </c>
      <c r="L904" s="14" t="n">
        <v>411690.9792004156</v>
      </c>
      <c r="M904" s="14" t="n">
        <v>0</v>
      </c>
      <c r="N904" s="14" t="n">
        <v>577352.6179064284</v>
      </c>
      <c r="O904" s="14" t="n">
        <v>753506.4735803644</v>
      </c>
      <c r="P904" s="14" t="n">
        <v>242689.4322592343</v>
      </c>
      <c r="Q904" s="14" t="n">
        <v>5012391.615808375</v>
      </c>
      <c r="R904" s="15">
        <f>IF(D904=1,"Section 1","Control")</f>
        <v/>
      </c>
      <c r="S904" s="16">
        <f>N904/10000</f>
        <v/>
      </c>
      <c r="T904" s="16">
        <f>P904/10000</f>
        <v/>
      </c>
      <c r="U904" s="15">
        <f>IF(N904&gt;=Summary!$D$3,1,0)</f>
        <v/>
      </c>
      <c r="V904" s="17">
        <f>IF(N904&gt;0,P904/N904,"")</f>
        <v/>
      </c>
      <c r="W904" s="17">
        <f>IF(O904&gt;0,H904/O904,"")</f>
        <v/>
      </c>
    </row>
    <row r="905">
      <c r="A905" s="13" t="inlineStr">
        <is>
          <t>T33_B2</t>
        </is>
      </c>
      <c r="B905" s="13" t="inlineStr">
        <is>
          <t>T33</t>
        </is>
      </c>
      <c r="C905" s="13" t="inlineStr">
        <is>
          <t>B2</t>
        </is>
      </c>
      <c r="D905" s="13" t="n">
        <v>1</v>
      </c>
      <c r="E905" s="13" t="inlineStr">
        <is>
          <t>S1</t>
        </is>
      </c>
      <c r="F905" s="13" t="n">
        <v>2020</v>
      </c>
      <c r="G905" s="14" t="n">
        <v>1015242.503142563</v>
      </c>
      <c r="H905" s="14" t="n">
        <v>443535.2970578661</v>
      </c>
      <c r="I905" s="14" t="n">
        <v>14849.96031721526</v>
      </c>
      <c r="J905" s="14" t="n">
        <v>0</v>
      </c>
      <c r="K905" s="14" t="n">
        <v>46307.90968771542</v>
      </c>
      <c r="L905" s="14" t="n">
        <v>510549.3360797658</v>
      </c>
      <c r="M905" s="14" t="n">
        <v>0</v>
      </c>
      <c r="N905" s="14" t="n">
        <v>443535.2970578661</v>
      </c>
      <c r="O905" s="14" t="n">
        <v>504693.1670627968</v>
      </c>
      <c r="P905" s="14" t="n">
        <v>0</v>
      </c>
      <c r="Q905" s="14" t="n">
        <v>5850755.587514959</v>
      </c>
      <c r="R905" s="15">
        <f>IF(D905=1,"Section 1","Control")</f>
        <v/>
      </c>
      <c r="S905" s="16">
        <f>N905/10000</f>
        <v/>
      </c>
      <c r="T905" s="16">
        <f>P905/10000</f>
        <v/>
      </c>
      <c r="U905" s="15">
        <f>IF(N905&gt;=Summary!$D$3,1,0)</f>
        <v/>
      </c>
      <c r="V905" s="17">
        <f>IF(N905&gt;0,P905/N905,"")</f>
        <v/>
      </c>
      <c r="W905" s="17">
        <f>IF(O905&gt;0,H905/O905,"")</f>
        <v/>
      </c>
    </row>
    <row r="906">
      <c r="A906" s="13" t="inlineStr">
        <is>
          <t>T33_B2</t>
        </is>
      </c>
      <c r="B906" s="13" t="inlineStr">
        <is>
          <t>T33</t>
        </is>
      </c>
      <c r="C906" s="13" t="inlineStr">
        <is>
          <t>B2</t>
        </is>
      </c>
      <c r="D906" s="13" t="n">
        <v>1</v>
      </c>
      <c r="E906" s="13" t="inlineStr">
        <is>
          <t>S1</t>
        </is>
      </c>
      <c r="F906" s="13" t="n">
        <v>2021</v>
      </c>
      <c r="G906" s="14" t="n">
        <v>1015242.503142563</v>
      </c>
      <c r="H906" s="14" t="n">
        <v>435202.0722196691</v>
      </c>
      <c r="I906" s="14" t="n">
        <v>16644.36350932402</v>
      </c>
      <c r="J906" s="14" t="n">
        <v>0</v>
      </c>
      <c r="K906" s="14" t="n">
        <v>46305.57861411899</v>
      </c>
      <c r="L906" s="14" t="n">
        <v>517090.4887994505</v>
      </c>
      <c r="M906" s="14" t="n">
        <v>0</v>
      </c>
      <c r="N906" s="14" t="n">
        <v>443535.2970578661</v>
      </c>
      <c r="O906" s="14" t="n">
        <v>504693.1670627968</v>
      </c>
      <c r="P906" s="14" t="n">
        <v>11788.46361535764</v>
      </c>
      <c r="Q906" s="14" t="n">
        <v>5850755.587514959</v>
      </c>
      <c r="R906" s="15">
        <f>IF(D906=1,"Section 1","Control")</f>
        <v/>
      </c>
      <c r="S906" s="16">
        <f>N906/10000</f>
        <v/>
      </c>
      <c r="T906" s="16">
        <f>P906/10000</f>
        <v/>
      </c>
      <c r="U906" s="15">
        <f>IF(N906&gt;=Summary!$D$3,1,0)</f>
        <v/>
      </c>
      <c r="V906" s="17">
        <f>IF(N906&gt;0,P906/N906,"")</f>
        <v/>
      </c>
      <c r="W906" s="17">
        <f>IF(O906&gt;0,H906/O906,"")</f>
        <v/>
      </c>
    </row>
    <row r="907">
      <c r="A907" s="13" t="inlineStr">
        <is>
          <t>T33_B2</t>
        </is>
      </c>
      <c r="B907" s="13" t="inlineStr">
        <is>
          <t>T33</t>
        </is>
      </c>
      <c r="C907" s="13" t="inlineStr">
        <is>
          <t>B2</t>
        </is>
      </c>
      <c r="D907" s="13" t="n">
        <v>1</v>
      </c>
      <c r="E907" s="13" t="inlineStr">
        <is>
          <t>S1</t>
        </is>
      </c>
      <c r="F907" s="13" t="n">
        <v>2022</v>
      </c>
      <c r="G907" s="14" t="n">
        <v>1015242.503142563</v>
      </c>
      <c r="H907" s="14" t="n">
        <v>423477.8675024893</v>
      </c>
      <c r="I907" s="14" t="n">
        <v>20154.96854260015</v>
      </c>
      <c r="J907" s="14" t="n">
        <v>0</v>
      </c>
      <c r="K907" s="14" t="n">
        <v>65798.94918176987</v>
      </c>
      <c r="L907" s="14" t="n">
        <v>505810.7179157033</v>
      </c>
      <c r="M907" s="14" t="n">
        <v>0</v>
      </c>
      <c r="N907" s="14" t="n">
        <v>443535.2970578661</v>
      </c>
      <c r="O907" s="14" t="n">
        <v>504693.1670627968</v>
      </c>
      <c r="P907" s="14" t="n">
        <v>22722.89930482752</v>
      </c>
      <c r="Q907" s="14" t="n">
        <v>5850755.587514958</v>
      </c>
      <c r="R907" s="15">
        <f>IF(D907=1,"Section 1","Control")</f>
        <v/>
      </c>
      <c r="S907" s="16">
        <f>N907/10000</f>
        <v/>
      </c>
      <c r="T907" s="16">
        <f>P907/10000</f>
        <v/>
      </c>
      <c r="U907" s="15">
        <f>IF(N907&gt;=Summary!$D$3,1,0)</f>
        <v/>
      </c>
      <c r="V907" s="17">
        <f>IF(N907&gt;0,P907/N907,"")</f>
        <v/>
      </c>
      <c r="W907" s="17">
        <f>IF(O907&gt;0,H907/O907,"")</f>
        <v/>
      </c>
    </row>
    <row r="908">
      <c r="A908" s="13" t="inlineStr">
        <is>
          <t>T33_B2</t>
        </is>
      </c>
      <c r="B908" s="13" t="inlineStr">
        <is>
          <t>T33</t>
        </is>
      </c>
      <c r="C908" s="13" t="inlineStr">
        <is>
          <t>B2</t>
        </is>
      </c>
      <c r="D908" s="13" t="n">
        <v>1</v>
      </c>
      <c r="E908" s="13" t="inlineStr">
        <is>
          <t>S1</t>
        </is>
      </c>
      <c r="F908" s="13" t="n">
        <v>2023</v>
      </c>
      <c r="G908" s="14" t="n">
        <v>1015242.503142563</v>
      </c>
      <c r="H908" s="14" t="n">
        <v>428794.4896548402</v>
      </c>
      <c r="I908" s="14" t="n">
        <v>16834.83678903019</v>
      </c>
      <c r="J908" s="14" t="n">
        <v>0</v>
      </c>
      <c r="K908" s="14" t="n">
        <v>44170.87734826779</v>
      </c>
      <c r="L908" s="14" t="n">
        <v>525442.2993504243</v>
      </c>
      <c r="M908" s="14" t="n">
        <v>0</v>
      </c>
      <c r="N908" s="14" t="n">
        <v>443535.2970578661</v>
      </c>
      <c r="O908" s="14" t="n">
        <v>504693.1670627968</v>
      </c>
      <c r="P908" s="14" t="n">
        <v>19725.25616131952</v>
      </c>
      <c r="Q908" s="14" t="n">
        <v>5850755.587514959</v>
      </c>
      <c r="R908" s="15">
        <f>IF(D908=1,"Section 1","Control")</f>
        <v/>
      </c>
      <c r="S908" s="16">
        <f>N908/10000</f>
        <v/>
      </c>
      <c r="T908" s="16">
        <f>P908/10000</f>
        <v/>
      </c>
      <c r="U908" s="15">
        <f>IF(N908&gt;=Summary!$D$3,1,0)</f>
        <v/>
      </c>
      <c r="V908" s="17">
        <f>IF(N908&gt;0,P908/N908,"")</f>
        <v/>
      </c>
      <c r="W908" s="17">
        <f>IF(O908&gt;0,H908/O908,"")</f>
        <v/>
      </c>
    </row>
    <row r="909">
      <c r="A909" s="13" t="inlineStr">
        <is>
          <t>T33_B2</t>
        </is>
      </c>
      <c r="B909" s="13" t="inlineStr">
        <is>
          <t>T33</t>
        </is>
      </c>
      <c r="C909" s="13" t="inlineStr">
        <is>
          <t>B2</t>
        </is>
      </c>
      <c r="D909" s="13" t="n">
        <v>1</v>
      </c>
      <c r="E909" s="13" t="inlineStr">
        <is>
          <t>S1</t>
        </is>
      </c>
      <c r="F909" s="13" t="n">
        <v>2024</v>
      </c>
      <c r="G909" s="14" t="n">
        <v>1015242.503142563</v>
      </c>
      <c r="H909" s="14" t="n">
        <v>431369.7547193939</v>
      </c>
      <c r="I909" s="14" t="n">
        <v>17304.44341511446</v>
      </c>
      <c r="J909" s="14" t="n">
        <v>0</v>
      </c>
      <c r="K909" s="14" t="n">
        <v>55426.64365668203</v>
      </c>
      <c r="L909" s="14" t="n">
        <v>511141.6613513722</v>
      </c>
      <c r="M909" s="14" t="n">
        <v>0</v>
      </c>
      <c r="N909" s="14" t="n">
        <v>443535.2970578661</v>
      </c>
      <c r="O909" s="14" t="n">
        <v>504693.1670627968</v>
      </c>
      <c r="P909" s="14" t="n">
        <v>18719.07491984648</v>
      </c>
      <c r="Q909" s="14" t="n">
        <v>5850755.587514959</v>
      </c>
      <c r="R909" s="15">
        <f>IF(D909=1,"Section 1","Control")</f>
        <v/>
      </c>
      <c r="S909" s="16">
        <f>N909/10000</f>
        <v/>
      </c>
      <c r="T909" s="16">
        <f>P909/10000</f>
        <v/>
      </c>
      <c r="U909" s="15">
        <f>IF(N909&gt;=Summary!$D$3,1,0)</f>
        <v/>
      </c>
      <c r="V909" s="17">
        <f>IF(N909&gt;0,P909/N909,"")</f>
        <v/>
      </c>
      <c r="W909" s="17">
        <f>IF(O909&gt;0,H909/O909,"")</f>
        <v/>
      </c>
    </row>
    <row r="910">
      <c r="A910" s="13" t="inlineStr">
        <is>
          <t>T33_B2</t>
        </is>
      </c>
      <c r="B910" s="13" t="inlineStr">
        <is>
          <t>T33</t>
        </is>
      </c>
      <c r="C910" s="13" t="inlineStr">
        <is>
          <t>B2</t>
        </is>
      </c>
      <c r="D910" s="13" t="n">
        <v>1</v>
      </c>
      <c r="E910" s="13" t="inlineStr">
        <is>
          <t>S1</t>
        </is>
      </c>
      <c r="F910" s="13" t="n">
        <v>2025</v>
      </c>
      <c r="G910" s="14" t="n">
        <v>1015242.503142563</v>
      </c>
      <c r="H910" s="14" t="n">
        <v>433038.3358113607</v>
      </c>
      <c r="I910" s="14" t="n">
        <v>15099.6701202991</v>
      </c>
      <c r="J910" s="14" t="n">
        <v>0</v>
      </c>
      <c r="K910" s="14" t="n">
        <v>39722.617404474</v>
      </c>
      <c r="L910" s="14" t="n">
        <v>527381.8798064288</v>
      </c>
      <c r="M910" s="14" t="n">
        <v>0</v>
      </c>
      <c r="N910" s="14" t="n">
        <v>443535.2970578661</v>
      </c>
      <c r="O910" s="14" t="n">
        <v>504693.1670627968</v>
      </c>
      <c r="P910" s="14" t="n">
        <v>18766.69302529728</v>
      </c>
      <c r="Q910" s="14" t="n">
        <v>5850755.587514958</v>
      </c>
      <c r="R910" s="15">
        <f>IF(D910=1,"Section 1","Control")</f>
        <v/>
      </c>
      <c r="S910" s="16">
        <f>N910/10000</f>
        <v/>
      </c>
      <c r="T910" s="16">
        <f>P910/10000</f>
        <v/>
      </c>
      <c r="U910" s="15">
        <f>IF(N910&gt;=Summary!$D$3,1,0)</f>
        <v/>
      </c>
      <c r="V910" s="17">
        <f>IF(N910&gt;0,P910/N910,"")</f>
        <v/>
      </c>
      <c r="W910" s="17">
        <f>IF(O910&gt;0,H910/O910,"")</f>
        <v/>
      </c>
    </row>
    <row r="911">
      <c r="A911" s="13" t="inlineStr">
        <is>
          <t>T33_B2</t>
        </is>
      </c>
      <c r="B911" s="13" t="inlineStr">
        <is>
          <t>T33</t>
        </is>
      </c>
      <c r="C911" s="13" t="inlineStr">
        <is>
          <t>B2</t>
        </is>
      </c>
      <c r="D911" s="13" t="n">
        <v>1</v>
      </c>
      <c r="E911" s="13" t="inlineStr">
        <is>
          <t>S1</t>
        </is>
      </c>
      <c r="F911" s="13" t="n">
        <v>2026</v>
      </c>
      <c r="G911" s="14" t="n">
        <v>1015242.503142563</v>
      </c>
      <c r="H911" s="14" t="n">
        <v>432247.0164598653</v>
      </c>
      <c r="I911" s="14" t="n">
        <v>14436.88480520809</v>
      </c>
      <c r="J911" s="14" t="n">
        <v>0</v>
      </c>
      <c r="K911" s="14" t="n">
        <v>39395.09306957768</v>
      </c>
      <c r="L911" s="14" t="n">
        <v>529163.5088079115</v>
      </c>
      <c r="M911" s="14" t="n">
        <v>0</v>
      </c>
      <c r="N911" s="14" t="n">
        <v>443535.2970578661</v>
      </c>
      <c r="O911" s="14" t="n">
        <v>504693.1670627968</v>
      </c>
      <c r="P911" s="14" t="n">
        <v>19794.93959847245</v>
      </c>
      <c r="Q911" s="14" t="n">
        <v>5850755.587514959</v>
      </c>
      <c r="R911" s="15">
        <f>IF(D911=1,"Section 1","Control")</f>
        <v/>
      </c>
      <c r="S911" s="16">
        <f>N911/10000</f>
        <v/>
      </c>
      <c r="T911" s="16">
        <f>P911/10000</f>
        <v/>
      </c>
      <c r="U911" s="15">
        <f>IF(N911&gt;=Summary!$D$3,1,0)</f>
        <v/>
      </c>
      <c r="V911" s="17">
        <f>IF(N911&gt;0,P911/N911,"")</f>
        <v/>
      </c>
      <c r="W911" s="17">
        <f>IF(O911&gt;0,H911/O911,"")</f>
        <v/>
      </c>
    </row>
    <row r="912">
      <c r="A912" s="13" t="inlineStr">
        <is>
          <t>T33_B3</t>
        </is>
      </c>
      <c r="B912" s="13" t="inlineStr">
        <is>
          <t>T33</t>
        </is>
      </c>
      <c r="C912" s="13" t="inlineStr">
        <is>
          <t>B3</t>
        </is>
      </c>
      <c r="D912" s="13" t="n">
        <v>1</v>
      </c>
      <c r="E912" s="13" t="inlineStr">
        <is>
          <t>S1</t>
        </is>
      </c>
      <c r="F912" s="13" t="n">
        <v>2020</v>
      </c>
      <c r="G912" s="14" t="n">
        <v>8108031.031531807</v>
      </c>
      <c r="H912" s="14" t="n">
        <v>1199615.209965276</v>
      </c>
      <c r="I912" s="14" t="n">
        <v>283692.1574638815</v>
      </c>
      <c r="J912" s="14" t="n">
        <v>0</v>
      </c>
      <c r="K912" s="14" t="n">
        <v>2626708.385120886</v>
      </c>
      <c r="L912" s="14" t="n">
        <v>3998015.278981766</v>
      </c>
      <c r="M912" s="14" t="n">
        <v>0</v>
      </c>
      <c r="N912" s="14" t="n">
        <v>1199615.209965276</v>
      </c>
      <c r="O912" s="14" t="n">
        <v>4110015.752550043</v>
      </c>
      <c r="P912" s="14" t="n">
        <v>0</v>
      </c>
      <c r="Q912" s="14" t="n">
        <v>34582801.62092534</v>
      </c>
      <c r="R912" s="15">
        <f>IF(D912=1,"Section 1","Control")</f>
        <v/>
      </c>
      <c r="S912" s="16">
        <f>N912/10000</f>
        <v/>
      </c>
      <c r="T912" s="16">
        <f>P912/10000</f>
        <v/>
      </c>
      <c r="U912" s="15">
        <f>IF(N912&gt;=Summary!$D$3,1,0)</f>
        <v/>
      </c>
      <c r="V912" s="17">
        <f>IF(N912&gt;0,P912/N912,"")</f>
        <v/>
      </c>
      <c r="W912" s="17">
        <f>IF(O912&gt;0,H912/O912,"")</f>
        <v/>
      </c>
    </row>
    <row r="913">
      <c r="A913" s="13" t="inlineStr">
        <is>
          <t>T33_B3</t>
        </is>
      </c>
      <c r="B913" s="13" t="inlineStr">
        <is>
          <t>T33</t>
        </is>
      </c>
      <c r="C913" s="13" t="inlineStr">
        <is>
          <t>B3</t>
        </is>
      </c>
      <c r="D913" s="13" t="n">
        <v>1</v>
      </c>
      <c r="E913" s="13" t="inlineStr">
        <is>
          <t>S1</t>
        </is>
      </c>
      <c r="F913" s="13" t="n">
        <v>2021</v>
      </c>
      <c r="G913" s="14" t="n">
        <v>8108031.031531808</v>
      </c>
      <c r="H913" s="14" t="n">
        <v>857987.8417253683</v>
      </c>
      <c r="I913" s="14" t="n">
        <v>68105.25455247468</v>
      </c>
      <c r="J913" s="14" t="n">
        <v>0</v>
      </c>
      <c r="K913" s="14" t="n">
        <v>3183922.6562722</v>
      </c>
      <c r="L913" s="14" t="n">
        <v>3998015.278981766</v>
      </c>
      <c r="M913" s="14" t="n">
        <v>0</v>
      </c>
      <c r="N913" s="14" t="n">
        <v>1199615.209965276</v>
      </c>
      <c r="O913" s="14" t="n">
        <v>4110015.752550043</v>
      </c>
      <c r="P913" s="14" t="n">
        <v>344194.0245509428</v>
      </c>
      <c r="Q913" s="14" t="n">
        <v>34582801.62092534</v>
      </c>
      <c r="R913" s="15">
        <f>IF(D913=1,"Section 1","Control")</f>
        <v/>
      </c>
      <c r="S913" s="16">
        <f>N913/10000</f>
        <v/>
      </c>
      <c r="T913" s="16">
        <f>P913/10000</f>
        <v/>
      </c>
      <c r="U913" s="15">
        <f>IF(N913&gt;=Summary!$D$3,1,0)</f>
        <v/>
      </c>
      <c r="V913" s="17">
        <f>IF(N913&gt;0,P913/N913,"")</f>
        <v/>
      </c>
      <c r="W913" s="17">
        <f>IF(O913&gt;0,H913/O913,"")</f>
        <v/>
      </c>
    </row>
    <row r="914">
      <c r="A914" s="13" t="inlineStr">
        <is>
          <t>T33_B3</t>
        </is>
      </c>
      <c r="B914" s="13" t="inlineStr">
        <is>
          <t>T33</t>
        </is>
      </c>
      <c r="C914" s="13" t="inlineStr">
        <is>
          <t>B3</t>
        </is>
      </c>
      <c r="D914" s="13" t="n">
        <v>1</v>
      </c>
      <c r="E914" s="13" t="inlineStr">
        <is>
          <t>S1</t>
        </is>
      </c>
      <c r="F914" s="13" t="n">
        <v>2022</v>
      </c>
      <c r="G914" s="14" t="n">
        <v>8108031.031531808</v>
      </c>
      <c r="H914" s="14" t="n">
        <v>805853.4760837333</v>
      </c>
      <c r="I914" s="14" t="n">
        <v>117663.7481289733</v>
      </c>
      <c r="J914" s="14" t="n">
        <v>0</v>
      </c>
      <c r="K914" s="14" t="n">
        <v>3186498.528337337</v>
      </c>
      <c r="L914" s="14" t="n">
        <v>3998015.278981766</v>
      </c>
      <c r="M914" s="14" t="n">
        <v>0</v>
      </c>
      <c r="N914" s="14" t="n">
        <v>1199615.209965276</v>
      </c>
      <c r="O914" s="14" t="n">
        <v>4110015.752550043</v>
      </c>
      <c r="P914" s="14" t="n">
        <v>396032.2332177854</v>
      </c>
      <c r="Q914" s="14" t="n">
        <v>34582801.62092534</v>
      </c>
      <c r="R914" s="15">
        <f>IF(D914=1,"Section 1","Control")</f>
        <v/>
      </c>
      <c r="S914" s="16">
        <f>N914/10000</f>
        <v/>
      </c>
      <c r="T914" s="16">
        <f>P914/10000</f>
        <v/>
      </c>
      <c r="U914" s="15">
        <f>IF(N914&gt;=Summary!$D$3,1,0)</f>
        <v/>
      </c>
      <c r="V914" s="17">
        <f>IF(N914&gt;0,P914/N914,"")</f>
        <v/>
      </c>
      <c r="W914" s="17">
        <f>IF(O914&gt;0,H914/O914,"")</f>
        <v/>
      </c>
    </row>
    <row r="915">
      <c r="A915" s="13" t="inlineStr">
        <is>
          <t>T33_B3</t>
        </is>
      </c>
      <c r="B915" s="13" t="inlineStr">
        <is>
          <t>T33</t>
        </is>
      </c>
      <c r="C915" s="13" t="inlineStr">
        <is>
          <t>B3</t>
        </is>
      </c>
      <c r="D915" s="13" t="n">
        <v>1</v>
      </c>
      <c r="E915" s="13" t="inlineStr">
        <is>
          <t>S1</t>
        </is>
      </c>
      <c r="F915" s="13" t="n">
        <v>2023</v>
      </c>
      <c r="G915" s="14" t="n">
        <v>8108031.031531808</v>
      </c>
      <c r="H915" s="14" t="n">
        <v>789513.2335885741</v>
      </c>
      <c r="I915" s="14" t="n">
        <v>128066.6165249394</v>
      </c>
      <c r="J915" s="14" t="n">
        <v>0</v>
      </c>
      <c r="K915" s="14" t="n">
        <v>3192435.90243653</v>
      </c>
      <c r="L915" s="14" t="n">
        <v>3998015.278981766</v>
      </c>
      <c r="M915" s="14" t="n">
        <v>0</v>
      </c>
      <c r="N915" s="14" t="n">
        <v>1199615.209965276</v>
      </c>
      <c r="O915" s="14" t="n">
        <v>4110015.752550043</v>
      </c>
      <c r="P915" s="14" t="n">
        <v>417050.5430489933</v>
      </c>
      <c r="Q915" s="14" t="n">
        <v>34582801.62092534</v>
      </c>
      <c r="R915" s="15">
        <f>IF(D915=1,"Section 1","Control")</f>
        <v/>
      </c>
      <c r="S915" s="16">
        <f>N915/10000</f>
        <v/>
      </c>
      <c r="T915" s="16">
        <f>P915/10000</f>
        <v/>
      </c>
      <c r="U915" s="15">
        <f>IF(N915&gt;=Summary!$D$3,1,0)</f>
        <v/>
      </c>
      <c r="V915" s="17">
        <f>IF(N915&gt;0,P915/N915,"")</f>
        <v/>
      </c>
      <c r="W915" s="17">
        <f>IF(O915&gt;0,H915/O915,"")</f>
        <v/>
      </c>
    </row>
    <row r="916">
      <c r="A916" s="13" t="inlineStr">
        <is>
          <t>T33_B3</t>
        </is>
      </c>
      <c r="B916" s="13" t="inlineStr">
        <is>
          <t>T33</t>
        </is>
      </c>
      <c r="C916" s="13" t="inlineStr">
        <is>
          <t>B3</t>
        </is>
      </c>
      <c r="D916" s="13" t="n">
        <v>1</v>
      </c>
      <c r="E916" s="13" t="inlineStr">
        <is>
          <t>S1</t>
        </is>
      </c>
      <c r="F916" s="13" t="n">
        <v>2024</v>
      </c>
      <c r="G916" s="14" t="n">
        <v>8108031.031531808</v>
      </c>
      <c r="H916" s="14" t="n">
        <v>807747.4942360374</v>
      </c>
      <c r="I916" s="14" t="n">
        <v>78420.73642374674</v>
      </c>
      <c r="J916" s="14" t="n">
        <v>0</v>
      </c>
      <c r="K916" s="14" t="n">
        <v>3223847.521890259</v>
      </c>
      <c r="L916" s="14" t="n">
        <v>3998015.278981766</v>
      </c>
      <c r="M916" s="14" t="n">
        <v>0</v>
      </c>
      <c r="N916" s="14" t="n">
        <v>1199615.209965276</v>
      </c>
      <c r="O916" s="14" t="n">
        <v>4110015.752550043</v>
      </c>
      <c r="P916" s="14" t="n">
        <v>423593.5536538817</v>
      </c>
      <c r="Q916" s="14" t="n">
        <v>34582801.62092534</v>
      </c>
      <c r="R916" s="15">
        <f>IF(D916=1,"Section 1","Control")</f>
        <v/>
      </c>
      <c r="S916" s="16">
        <f>N916/10000</f>
        <v/>
      </c>
      <c r="T916" s="16">
        <f>P916/10000</f>
        <v/>
      </c>
      <c r="U916" s="15">
        <f>IF(N916&gt;=Summary!$D$3,1,0)</f>
        <v/>
      </c>
      <c r="V916" s="17">
        <f>IF(N916&gt;0,P916/N916,"")</f>
        <v/>
      </c>
      <c r="W916" s="17">
        <f>IF(O916&gt;0,H916/O916,"")</f>
        <v/>
      </c>
    </row>
    <row r="917">
      <c r="A917" s="13" t="inlineStr">
        <is>
          <t>T33_B3</t>
        </is>
      </c>
      <c r="B917" s="13" t="inlineStr">
        <is>
          <t>T33</t>
        </is>
      </c>
      <c r="C917" s="13" t="inlineStr">
        <is>
          <t>B3</t>
        </is>
      </c>
      <c r="D917" s="13" t="n">
        <v>1</v>
      </c>
      <c r="E917" s="13" t="inlineStr">
        <is>
          <t>S1</t>
        </is>
      </c>
      <c r="F917" s="13" t="n">
        <v>2025</v>
      </c>
      <c r="G917" s="14" t="n">
        <v>8108031.031531808</v>
      </c>
      <c r="H917" s="14" t="n">
        <v>811340.6271308152</v>
      </c>
      <c r="I917" s="14" t="n">
        <v>94133.74889176313</v>
      </c>
      <c r="J917" s="14" t="n">
        <v>0</v>
      </c>
      <c r="K917" s="14" t="n">
        <v>3204541.376527465</v>
      </c>
      <c r="L917" s="14" t="n">
        <v>3998015.278981766</v>
      </c>
      <c r="M917" s="14" t="n">
        <v>0</v>
      </c>
      <c r="N917" s="14" t="n">
        <v>1199615.209965276</v>
      </c>
      <c r="O917" s="14" t="n">
        <v>4110015.752550043</v>
      </c>
      <c r="P917" s="14" t="n">
        <v>431619.2161376355</v>
      </c>
      <c r="Q917" s="14" t="n">
        <v>34582801.62092534</v>
      </c>
      <c r="R917" s="15">
        <f>IF(D917=1,"Section 1","Control")</f>
        <v/>
      </c>
      <c r="S917" s="16">
        <f>N917/10000</f>
        <v/>
      </c>
      <c r="T917" s="16">
        <f>P917/10000</f>
        <v/>
      </c>
      <c r="U917" s="15">
        <f>IF(N917&gt;=Summary!$D$3,1,0)</f>
        <v/>
      </c>
      <c r="V917" s="17">
        <f>IF(N917&gt;0,P917/N917,"")</f>
        <v/>
      </c>
      <c r="W917" s="17">
        <f>IF(O917&gt;0,H917/O917,"")</f>
        <v/>
      </c>
    </row>
    <row r="918">
      <c r="A918" s="13" t="inlineStr">
        <is>
          <t>T33_B3</t>
        </is>
      </c>
      <c r="B918" s="13" t="inlineStr">
        <is>
          <t>T33</t>
        </is>
      </c>
      <c r="C918" s="13" t="inlineStr">
        <is>
          <t>B3</t>
        </is>
      </c>
      <c r="D918" s="13" t="n">
        <v>1</v>
      </c>
      <c r="E918" s="13" t="inlineStr">
        <is>
          <t>S1</t>
        </is>
      </c>
      <c r="F918" s="13" t="n">
        <v>2026</v>
      </c>
      <c r="G918" s="14" t="n">
        <v>8108031.031531808</v>
      </c>
      <c r="H918" s="14" t="n">
        <v>810481.2904798022</v>
      </c>
      <c r="I918" s="14" t="n">
        <v>77743.17724711102</v>
      </c>
      <c r="J918" s="14" t="n">
        <v>0</v>
      </c>
      <c r="K918" s="14" t="n">
        <v>3221791.28482313</v>
      </c>
      <c r="L918" s="14" t="n">
        <v>3998015.278981767</v>
      </c>
      <c r="M918" s="14" t="n">
        <v>0</v>
      </c>
      <c r="N918" s="14" t="n">
        <v>1199615.209965275</v>
      </c>
      <c r="O918" s="14" t="n">
        <v>4110015.752550043</v>
      </c>
      <c r="P918" s="14" t="n">
        <v>445030.0788251092</v>
      </c>
      <c r="Q918" s="14" t="n">
        <v>34582801.62092533</v>
      </c>
      <c r="R918" s="15">
        <f>IF(D918=1,"Section 1","Control")</f>
        <v/>
      </c>
      <c r="S918" s="16">
        <f>N918/10000</f>
        <v/>
      </c>
      <c r="T918" s="16">
        <f>P918/10000</f>
        <v/>
      </c>
      <c r="U918" s="15">
        <f>IF(N918&gt;=Summary!$D$3,1,0)</f>
        <v/>
      </c>
      <c r="V918" s="17">
        <f>IF(N918&gt;0,P918/N918,"")</f>
        <v/>
      </c>
      <c r="W918" s="17">
        <f>IF(O918&gt;0,H918/O918,"")</f>
        <v/>
      </c>
    </row>
    <row r="919">
      <c r="A919" s="13" t="inlineStr">
        <is>
          <t>T33_F</t>
        </is>
      </c>
      <c r="B919" s="13" t="inlineStr">
        <is>
          <t>T33</t>
        </is>
      </c>
      <c r="C919" s="13" t="inlineStr">
        <is>
          <t>F</t>
        </is>
      </c>
      <c r="D919" s="13" t="n">
        <v>1</v>
      </c>
      <c r="E919" s="13" t="inlineStr">
        <is>
          <t>S1</t>
        </is>
      </c>
      <c r="F919" s="13" t="n">
        <v>2020</v>
      </c>
      <c r="G919" s="14" t="n">
        <v>76763.68099840949</v>
      </c>
      <c r="H919" s="14" t="n">
        <v>76763.68099840949</v>
      </c>
      <c r="I919" s="14" t="n">
        <v>0</v>
      </c>
      <c r="J919" s="14" t="n">
        <v>0</v>
      </c>
      <c r="K919" s="14" t="n">
        <v>0</v>
      </c>
      <c r="L919" s="14" t="n">
        <v>0</v>
      </c>
      <c r="M919" s="14" t="n">
        <v>0</v>
      </c>
      <c r="N919" s="14" t="n">
        <v>76763.68099840949</v>
      </c>
      <c r="O919" s="14" t="n">
        <v>76763.68099840949</v>
      </c>
      <c r="P919" s="14" t="n">
        <v>0</v>
      </c>
      <c r="Q919" s="14" t="n">
        <v>831401.7813249177</v>
      </c>
      <c r="R919" s="15">
        <f>IF(D919=1,"Section 1","Control")</f>
        <v/>
      </c>
      <c r="S919" s="16">
        <f>N919/10000</f>
        <v/>
      </c>
      <c r="T919" s="16">
        <f>P919/10000</f>
        <v/>
      </c>
      <c r="U919" s="15">
        <f>IF(N919&gt;=Summary!$D$3,1,0)</f>
        <v/>
      </c>
      <c r="V919" s="17">
        <f>IF(N919&gt;0,P919/N919,"")</f>
        <v/>
      </c>
      <c r="W919" s="17">
        <f>IF(O919&gt;0,H919/O919,"")</f>
        <v/>
      </c>
    </row>
    <row r="920">
      <c r="A920" s="13" t="inlineStr">
        <is>
          <t>T33_F</t>
        </is>
      </c>
      <c r="B920" s="13" t="inlineStr">
        <is>
          <t>T33</t>
        </is>
      </c>
      <c r="C920" s="13" t="inlineStr">
        <is>
          <t>F</t>
        </is>
      </c>
      <c r="D920" s="13" t="n">
        <v>1</v>
      </c>
      <c r="E920" s="13" t="inlineStr">
        <is>
          <t>S1</t>
        </is>
      </c>
      <c r="F920" s="13" t="n">
        <v>2021</v>
      </c>
      <c r="G920" s="14" t="n">
        <v>76763.68099840949</v>
      </c>
      <c r="H920" s="14" t="n">
        <v>76763.68099840949</v>
      </c>
      <c r="I920" s="14" t="n">
        <v>0</v>
      </c>
      <c r="J920" s="14" t="n">
        <v>0</v>
      </c>
      <c r="K920" s="14" t="n">
        <v>0</v>
      </c>
      <c r="L920" s="14" t="n">
        <v>0</v>
      </c>
      <c r="M920" s="14" t="n">
        <v>0</v>
      </c>
      <c r="N920" s="14" t="n">
        <v>76763.68099840949</v>
      </c>
      <c r="O920" s="14" t="n">
        <v>76763.68099840949</v>
      </c>
      <c r="P920" s="14" t="n">
        <v>0</v>
      </c>
      <c r="Q920" s="14" t="n">
        <v>831401.7813249177</v>
      </c>
      <c r="R920" s="15">
        <f>IF(D920=1,"Section 1","Control")</f>
        <v/>
      </c>
      <c r="S920" s="16">
        <f>N920/10000</f>
        <v/>
      </c>
      <c r="T920" s="16">
        <f>P920/10000</f>
        <v/>
      </c>
      <c r="U920" s="15">
        <f>IF(N920&gt;=Summary!$D$3,1,0)</f>
        <v/>
      </c>
      <c r="V920" s="17">
        <f>IF(N920&gt;0,P920/N920,"")</f>
        <v/>
      </c>
      <c r="W920" s="17">
        <f>IF(O920&gt;0,H920/O920,"")</f>
        <v/>
      </c>
    </row>
    <row r="921">
      <c r="A921" s="13" t="inlineStr">
        <is>
          <t>T33_F</t>
        </is>
      </c>
      <c r="B921" s="13" t="inlineStr">
        <is>
          <t>T33</t>
        </is>
      </c>
      <c r="C921" s="13" t="inlineStr">
        <is>
          <t>F</t>
        </is>
      </c>
      <c r="D921" s="13" t="n">
        <v>1</v>
      </c>
      <c r="E921" s="13" t="inlineStr">
        <is>
          <t>S1</t>
        </is>
      </c>
      <c r="F921" s="13" t="n">
        <v>2022</v>
      </c>
      <c r="G921" s="14" t="n">
        <v>76763.68099840949</v>
      </c>
      <c r="H921" s="14" t="n">
        <v>76763.68099840949</v>
      </c>
      <c r="I921" s="14" t="n">
        <v>0</v>
      </c>
      <c r="J921" s="14" t="n">
        <v>0</v>
      </c>
      <c r="K921" s="14" t="n">
        <v>0</v>
      </c>
      <c r="L921" s="14" t="n">
        <v>0</v>
      </c>
      <c r="M921" s="14" t="n">
        <v>0</v>
      </c>
      <c r="N921" s="14" t="n">
        <v>76763.68099840949</v>
      </c>
      <c r="O921" s="14" t="n">
        <v>76763.68099840949</v>
      </c>
      <c r="P921" s="14" t="n">
        <v>0</v>
      </c>
      <c r="Q921" s="14" t="n">
        <v>831401.7813249177</v>
      </c>
      <c r="R921" s="15">
        <f>IF(D921=1,"Section 1","Control")</f>
        <v/>
      </c>
      <c r="S921" s="16">
        <f>N921/10000</f>
        <v/>
      </c>
      <c r="T921" s="16">
        <f>P921/10000</f>
        <v/>
      </c>
      <c r="U921" s="15">
        <f>IF(N921&gt;=Summary!$D$3,1,0)</f>
        <v/>
      </c>
      <c r="V921" s="17">
        <f>IF(N921&gt;0,P921/N921,"")</f>
        <v/>
      </c>
      <c r="W921" s="17">
        <f>IF(O921&gt;0,H921/O921,"")</f>
        <v/>
      </c>
    </row>
    <row r="922">
      <c r="A922" s="13" t="inlineStr">
        <is>
          <t>T33_F</t>
        </is>
      </c>
      <c r="B922" s="13" t="inlineStr">
        <is>
          <t>T33</t>
        </is>
      </c>
      <c r="C922" s="13" t="inlineStr">
        <is>
          <t>F</t>
        </is>
      </c>
      <c r="D922" s="13" t="n">
        <v>1</v>
      </c>
      <c r="E922" s="13" t="inlineStr">
        <is>
          <t>S1</t>
        </is>
      </c>
      <c r="F922" s="13" t="n">
        <v>2023</v>
      </c>
      <c r="G922" s="14" t="n">
        <v>76763.68099840949</v>
      </c>
      <c r="H922" s="14" t="n">
        <v>76763.68099840949</v>
      </c>
      <c r="I922" s="14" t="n">
        <v>0</v>
      </c>
      <c r="J922" s="14" t="n">
        <v>0</v>
      </c>
      <c r="K922" s="14" t="n">
        <v>0</v>
      </c>
      <c r="L922" s="14" t="n">
        <v>0</v>
      </c>
      <c r="M922" s="14" t="n">
        <v>0</v>
      </c>
      <c r="N922" s="14" t="n">
        <v>76763.68099840949</v>
      </c>
      <c r="O922" s="14" t="n">
        <v>76763.68099840949</v>
      </c>
      <c r="P922" s="14" t="n">
        <v>0</v>
      </c>
      <c r="Q922" s="14" t="n">
        <v>831401.7813249177</v>
      </c>
      <c r="R922" s="15">
        <f>IF(D922=1,"Section 1","Control")</f>
        <v/>
      </c>
      <c r="S922" s="16">
        <f>N922/10000</f>
        <v/>
      </c>
      <c r="T922" s="16">
        <f>P922/10000</f>
        <v/>
      </c>
      <c r="U922" s="15">
        <f>IF(N922&gt;=Summary!$D$3,1,0)</f>
        <v/>
      </c>
      <c r="V922" s="17">
        <f>IF(N922&gt;0,P922/N922,"")</f>
        <v/>
      </c>
      <c r="W922" s="17">
        <f>IF(O922&gt;0,H922/O922,"")</f>
        <v/>
      </c>
    </row>
    <row r="923">
      <c r="A923" s="13" t="inlineStr">
        <is>
          <t>T33_F</t>
        </is>
      </c>
      <c r="B923" s="13" t="inlineStr">
        <is>
          <t>T33</t>
        </is>
      </c>
      <c r="C923" s="13" t="inlineStr">
        <is>
          <t>F</t>
        </is>
      </c>
      <c r="D923" s="13" t="n">
        <v>1</v>
      </c>
      <c r="E923" s="13" t="inlineStr">
        <is>
          <t>S1</t>
        </is>
      </c>
      <c r="F923" s="13" t="n">
        <v>2024</v>
      </c>
      <c r="G923" s="14" t="n">
        <v>76763.68099840949</v>
      </c>
      <c r="H923" s="14" t="n">
        <v>76763.68099840949</v>
      </c>
      <c r="I923" s="14" t="n">
        <v>0</v>
      </c>
      <c r="J923" s="14" t="n">
        <v>0</v>
      </c>
      <c r="K923" s="14" t="n">
        <v>0</v>
      </c>
      <c r="L923" s="14" t="n">
        <v>0</v>
      </c>
      <c r="M923" s="14" t="n">
        <v>0</v>
      </c>
      <c r="N923" s="14" t="n">
        <v>76763.68099840949</v>
      </c>
      <c r="O923" s="14" t="n">
        <v>76763.68099840949</v>
      </c>
      <c r="P923" s="14" t="n">
        <v>0</v>
      </c>
      <c r="Q923" s="14" t="n">
        <v>831401.7813249177</v>
      </c>
      <c r="R923" s="15">
        <f>IF(D923=1,"Section 1","Control")</f>
        <v/>
      </c>
      <c r="S923" s="16">
        <f>N923/10000</f>
        <v/>
      </c>
      <c r="T923" s="16">
        <f>P923/10000</f>
        <v/>
      </c>
      <c r="U923" s="15">
        <f>IF(N923&gt;=Summary!$D$3,1,0)</f>
        <v/>
      </c>
      <c r="V923" s="17">
        <f>IF(N923&gt;0,P923/N923,"")</f>
        <v/>
      </c>
      <c r="W923" s="17">
        <f>IF(O923&gt;0,H923/O923,"")</f>
        <v/>
      </c>
    </row>
    <row r="924">
      <c r="A924" s="13" t="inlineStr">
        <is>
          <t>T33_F</t>
        </is>
      </c>
      <c r="B924" s="13" t="inlineStr">
        <is>
          <t>T33</t>
        </is>
      </c>
      <c r="C924" s="13" t="inlineStr">
        <is>
          <t>F</t>
        </is>
      </c>
      <c r="D924" s="13" t="n">
        <v>1</v>
      </c>
      <c r="E924" s="13" t="inlineStr">
        <is>
          <t>S1</t>
        </is>
      </c>
      <c r="F924" s="13" t="n">
        <v>2025</v>
      </c>
      <c r="G924" s="14" t="n">
        <v>76763.68099840949</v>
      </c>
      <c r="H924" s="14" t="n">
        <v>71687.04138372085</v>
      </c>
      <c r="I924" s="14" t="n">
        <v>324.0409357706706</v>
      </c>
      <c r="J924" s="14" t="n">
        <v>0</v>
      </c>
      <c r="K924" s="14" t="n">
        <v>4752.598678917979</v>
      </c>
      <c r="L924" s="14" t="n">
        <v>0</v>
      </c>
      <c r="M924" s="14" t="n">
        <v>0</v>
      </c>
      <c r="N924" s="14" t="n">
        <v>76763.68099840949</v>
      </c>
      <c r="O924" s="14" t="n">
        <v>76763.68099840949</v>
      </c>
      <c r="P924" s="14" t="n">
        <v>5076.639614688649</v>
      </c>
      <c r="Q924" s="14" t="n">
        <v>831401.7813249177</v>
      </c>
      <c r="R924" s="15">
        <f>IF(D924=1,"Section 1","Control")</f>
        <v/>
      </c>
      <c r="S924" s="16">
        <f>N924/10000</f>
        <v/>
      </c>
      <c r="T924" s="16">
        <f>P924/10000</f>
        <v/>
      </c>
      <c r="U924" s="15">
        <f>IF(N924&gt;=Summary!$D$3,1,0)</f>
        <v/>
      </c>
      <c r="V924" s="17">
        <f>IF(N924&gt;0,P924/N924,"")</f>
        <v/>
      </c>
      <c r="W924" s="17">
        <f>IF(O924&gt;0,H924/O924,"")</f>
        <v/>
      </c>
    </row>
    <row r="925">
      <c r="A925" s="13" t="inlineStr">
        <is>
          <t>T33_F</t>
        </is>
      </c>
      <c r="B925" s="13" t="inlineStr">
        <is>
          <t>T33</t>
        </is>
      </c>
      <c r="C925" s="13" t="inlineStr">
        <is>
          <t>F</t>
        </is>
      </c>
      <c r="D925" s="13" t="n">
        <v>1</v>
      </c>
      <c r="E925" s="13" t="inlineStr">
        <is>
          <t>S1</t>
        </is>
      </c>
      <c r="F925" s="13" t="n">
        <v>2026</v>
      </c>
      <c r="G925" s="14" t="n">
        <v>76763.68099840949</v>
      </c>
      <c r="H925" s="14" t="n">
        <v>317.8472287346335</v>
      </c>
      <c r="I925" s="14" t="n">
        <v>27819.52804353003</v>
      </c>
      <c r="J925" s="14" t="n">
        <v>0</v>
      </c>
      <c r="K925" s="14" t="n">
        <v>48626.30572614483</v>
      </c>
      <c r="L925" s="14" t="n">
        <v>0</v>
      </c>
      <c r="M925" s="14" t="n">
        <v>0</v>
      </c>
      <c r="N925" s="14" t="n">
        <v>76763.68099840949</v>
      </c>
      <c r="O925" s="14" t="n">
        <v>76763.68099840949</v>
      </c>
      <c r="P925" s="14" t="n">
        <v>76445.83376967486</v>
      </c>
      <c r="Q925" s="14" t="n">
        <v>831401.7813249177</v>
      </c>
      <c r="R925" s="15">
        <f>IF(D925=1,"Section 1","Control")</f>
        <v/>
      </c>
      <c r="S925" s="16">
        <f>N925/10000</f>
        <v/>
      </c>
      <c r="T925" s="16">
        <f>P925/10000</f>
        <v/>
      </c>
      <c r="U925" s="15">
        <f>IF(N925&gt;=Summary!$D$3,1,0)</f>
        <v/>
      </c>
      <c r="V925" s="17">
        <f>IF(N925&gt;0,P925/N925,"")</f>
        <v/>
      </c>
      <c r="W925" s="17">
        <f>IF(O925&gt;0,H925/O925,"")</f>
        <v/>
      </c>
    </row>
    <row r="926">
      <c r="A926" s="13" t="inlineStr">
        <is>
          <t>T34_B1</t>
        </is>
      </c>
      <c r="B926" s="13" t="inlineStr">
        <is>
          <t>T34</t>
        </is>
      </c>
      <c r="C926" s="13" t="inlineStr">
        <is>
          <t>B1</t>
        </is>
      </c>
      <c r="D926" s="13" t="n">
        <v>1</v>
      </c>
      <c r="E926" s="13" t="inlineStr">
        <is>
          <t>S1</t>
        </is>
      </c>
      <c r="F926" s="13" t="n">
        <v>2020</v>
      </c>
      <c r="G926" s="14" t="n">
        <v>1005799.33376414</v>
      </c>
      <c r="H926" s="14" t="n">
        <v>560315.9333330041</v>
      </c>
      <c r="I926" s="14" t="n">
        <v>65879.55450681798</v>
      </c>
      <c r="J926" s="14" t="n">
        <v>36351.12153592577</v>
      </c>
      <c r="K926" s="14" t="n">
        <v>69042.08488479315</v>
      </c>
      <c r="L926" s="14" t="n">
        <v>274210.6395035987</v>
      </c>
      <c r="M926" s="14" t="n">
        <v>0</v>
      </c>
      <c r="N926" s="14" t="n">
        <v>560315.9333330041</v>
      </c>
      <c r="O926" s="14" t="n">
        <v>731588.6942605409</v>
      </c>
      <c r="P926" s="14" t="n">
        <v>0</v>
      </c>
      <c r="Q926" s="14" t="n">
        <v>7055698.862207087</v>
      </c>
      <c r="R926" s="15">
        <f>IF(D926=1,"Section 1","Control")</f>
        <v/>
      </c>
      <c r="S926" s="16">
        <f>N926/10000</f>
        <v/>
      </c>
      <c r="T926" s="16">
        <f>P926/10000</f>
        <v/>
      </c>
      <c r="U926" s="15">
        <f>IF(N926&gt;=Summary!$D$3,1,0)</f>
        <v/>
      </c>
      <c r="V926" s="17">
        <f>IF(N926&gt;0,P926/N926,"")</f>
        <v/>
      </c>
      <c r="W926" s="17">
        <f>IF(O926&gt;0,H926/O926,"")</f>
        <v/>
      </c>
    </row>
    <row r="927">
      <c r="A927" s="13" t="inlineStr">
        <is>
          <t>T34_B1</t>
        </is>
      </c>
      <c r="B927" s="13" t="inlineStr">
        <is>
          <t>T34</t>
        </is>
      </c>
      <c r="C927" s="13" t="inlineStr">
        <is>
          <t>B1</t>
        </is>
      </c>
      <c r="D927" s="13" t="n">
        <v>1</v>
      </c>
      <c r="E927" s="13" t="inlineStr">
        <is>
          <t>S1</t>
        </is>
      </c>
      <c r="F927" s="13" t="n">
        <v>2021</v>
      </c>
      <c r="G927" s="14" t="n">
        <v>1005799.33376414</v>
      </c>
      <c r="H927" s="14" t="n">
        <v>557233.4811611698</v>
      </c>
      <c r="I927" s="14" t="n">
        <v>74548.95470610974</v>
      </c>
      <c r="J927" s="14" t="n">
        <v>36844.73339810839</v>
      </c>
      <c r="K927" s="14" t="n">
        <v>74909.26730992935</v>
      </c>
      <c r="L927" s="14" t="n">
        <v>262262.8971888224</v>
      </c>
      <c r="M927" s="14" t="n">
        <v>0</v>
      </c>
      <c r="N927" s="14" t="n">
        <v>560315.9333330041</v>
      </c>
      <c r="O927" s="14" t="n">
        <v>731588.6942605409</v>
      </c>
      <c r="P927" s="14" t="n">
        <v>5649.222252400717</v>
      </c>
      <c r="Q927" s="14" t="n">
        <v>7055698.862207087</v>
      </c>
      <c r="R927" s="15">
        <f>IF(D927=1,"Section 1","Control")</f>
        <v/>
      </c>
      <c r="S927" s="16">
        <f>N927/10000</f>
        <v/>
      </c>
      <c r="T927" s="16">
        <f>P927/10000</f>
        <v/>
      </c>
      <c r="U927" s="15">
        <f>IF(N927&gt;=Summary!$D$3,1,0)</f>
        <v/>
      </c>
      <c r="V927" s="17">
        <f>IF(N927&gt;0,P927/N927,"")</f>
        <v/>
      </c>
      <c r="W927" s="17">
        <f>IF(O927&gt;0,H927/O927,"")</f>
        <v/>
      </c>
    </row>
    <row r="928">
      <c r="A928" s="13" t="inlineStr">
        <is>
          <t>T34_B1</t>
        </is>
      </c>
      <c r="B928" s="13" t="inlineStr">
        <is>
          <t>T34</t>
        </is>
      </c>
      <c r="C928" s="13" t="inlineStr">
        <is>
          <t>B1</t>
        </is>
      </c>
      <c r="D928" s="13" t="n">
        <v>1</v>
      </c>
      <c r="E928" s="13" t="inlineStr">
        <is>
          <t>S1</t>
        </is>
      </c>
      <c r="F928" s="13" t="n">
        <v>2022</v>
      </c>
      <c r="G928" s="14" t="n">
        <v>1005799.33376414</v>
      </c>
      <c r="H928" s="14" t="n">
        <v>538530.9498816995</v>
      </c>
      <c r="I928" s="14" t="n">
        <v>79902.00802872602</v>
      </c>
      <c r="J928" s="14" t="n">
        <v>39905.1259609746</v>
      </c>
      <c r="K928" s="14" t="n">
        <v>82625.37406999177</v>
      </c>
      <c r="L928" s="14" t="n">
        <v>264835.8758227479</v>
      </c>
      <c r="M928" s="14" t="n">
        <v>0</v>
      </c>
      <c r="N928" s="14" t="n">
        <v>560315.9333330041</v>
      </c>
      <c r="O928" s="14" t="n">
        <v>731588.6942605409</v>
      </c>
      <c r="P928" s="14" t="n">
        <v>22772.2001337388</v>
      </c>
      <c r="Q928" s="14" t="n">
        <v>7055698.862207088</v>
      </c>
      <c r="R928" s="15">
        <f>IF(D928=1,"Section 1","Control")</f>
        <v/>
      </c>
      <c r="S928" s="16">
        <f>N928/10000</f>
        <v/>
      </c>
      <c r="T928" s="16">
        <f>P928/10000</f>
        <v/>
      </c>
      <c r="U928" s="15">
        <f>IF(N928&gt;=Summary!$D$3,1,0)</f>
        <v/>
      </c>
      <c r="V928" s="17">
        <f>IF(N928&gt;0,P928/N928,"")</f>
        <v/>
      </c>
      <c r="W928" s="17">
        <f>IF(O928&gt;0,H928/O928,"")</f>
        <v/>
      </c>
    </row>
    <row r="929">
      <c r="A929" s="13" t="inlineStr">
        <is>
          <t>T34_B1</t>
        </is>
      </c>
      <c r="B929" s="13" t="inlineStr">
        <is>
          <t>T34</t>
        </is>
      </c>
      <c r="C929" s="13" t="inlineStr">
        <is>
          <t>B1</t>
        </is>
      </c>
      <c r="D929" s="13" t="n">
        <v>1</v>
      </c>
      <c r="E929" s="13" t="inlineStr">
        <is>
          <t>S1</t>
        </is>
      </c>
      <c r="F929" s="13" t="n">
        <v>2023</v>
      </c>
      <c r="G929" s="14" t="n">
        <v>1005799.33376414</v>
      </c>
      <c r="H929" s="14" t="n">
        <v>513123.5394844204</v>
      </c>
      <c r="I929" s="14" t="n">
        <v>75993.27865830963</v>
      </c>
      <c r="J929" s="14" t="n">
        <v>39905.12594571581</v>
      </c>
      <c r="K929" s="14" t="n">
        <v>92387.15363993926</v>
      </c>
      <c r="L929" s="14" t="n">
        <v>284390.2360357547</v>
      </c>
      <c r="M929" s="14" t="n">
        <v>0</v>
      </c>
      <c r="N929" s="14" t="n">
        <v>560315.9333330041</v>
      </c>
      <c r="O929" s="14" t="n">
        <v>731588.6942605409</v>
      </c>
      <c r="P929" s="14" t="n">
        <v>48771.94041077857</v>
      </c>
      <c r="Q929" s="14" t="n">
        <v>7055698.862207088</v>
      </c>
      <c r="R929" s="15">
        <f>IF(D929=1,"Section 1","Control")</f>
        <v/>
      </c>
      <c r="S929" s="16">
        <f>N929/10000</f>
        <v/>
      </c>
      <c r="T929" s="16">
        <f>P929/10000</f>
        <v/>
      </c>
      <c r="U929" s="15">
        <f>IF(N929&gt;=Summary!$D$3,1,0)</f>
        <v/>
      </c>
      <c r="V929" s="17">
        <f>IF(N929&gt;0,P929/N929,"")</f>
        <v/>
      </c>
      <c r="W929" s="17">
        <f>IF(O929&gt;0,H929/O929,"")</f>
        <v/>
      </c>
    </row>
    <row r="930">
      <c r="A930" s="13" t="inlineStr">
        <is>
          <t>T34_B1</t>
        </is>
      </c>
      <c r="B930" s="13" t="inlineStr">
        <is>
          <t>T34</t>
        </is>
      </c>
      <c r="C930" s="13" t="inlineStr">
        <is>
          <t>B1</t>
        </is>
      </c>
      <c r="D930" s="13" t="n">
        <v>1</v>
      </c>
      <c r="E930" s="13" t="inlineStr">
        <is>
          <t>S1</t>
        </is>
      </c>
      <c r="F930" s="13" t="n">
        <v>2024</v>
      </c>
      <c r="G930" s="14" t="n">
        <v>1005799.33376414</v>
      </c>
      <c r="H930" s="14" t="n">
        <v>514906.7249776204</v>
      </c>
      <c r="I930" s="14" t="n">
        <v>79097.88277480181</v>
      </c>
      <c r="J930" s="14" t="n">
        <v>40398.7377087163</v>
      </c>
      <c r="K930" s="14" t="n">
        <v>95627.89870066922</v>
      </c>
      <c r="L930" s="14" t="n">
        <v>275768.089602332</v>
      </c>
      <c r="M930" s="14" t="n">
        <v>0</v>
      </c>
      <c r="N930" s="14" t="n">
        <v>560315.9333330041</v>
      </c>
      <c r="O930" s="14" t="n">
        <v>731588.6942605409</v>
      </c>
      <c r="P930" s="14" t="n">
        <v>48568.3093151616</v>
      </c>
      <c r="Q930" s="14" t="n">
        <v>7055698.862207087</v>
      </c>
      <c r="R930" s="15">
        <f>IF(D930=1,"Section 1","Control")</f>
        <v/>
      </c>
      <c r="S930" s="16">
        <f>N930/10000</f>
        <v/>
      </c>
      <c r="T930" s="16">
        <f>P930/10000</f>
        <v/>
      </c>
      <c r="U930" s="15">
        <f>IF(N930&gt;=Summary!$D$3,1,0)</f>
        <v/>
      </c>
      <c r="V930" s="17">
        <f>IF(N930&gt;0,P930/N930,"")</f>
        <v/>
      </c>
      <c r="W930" s="17">
        <f>IF(O930&gt;0,H930/O930,"")</f>
        <v/>
      </c>
    </row>
    <row r="931">
      <c r="A931" s="13" t="inlineStr">
        <is>
          <t>T34_B1</t>
        </is>
      </c>
      <c r="B931" s="13" t="inlineStr">
        <is>
          <t>T34</t>
        </is>
      </c>
      <c r="C931" s="13" t="inlineStr">
        <is>
          <t>B1</t>
        </is>
      </c>
      <c r="D931" s="13" t="n">
        <v>1</v>
      </c>
      <c r="E931" s="13" t="inlineStr">
        <is>
          <t>S1</t>
        </is>
      </c>
      <c r="F931" s="13" t="n">
        <v>2025</v>
      </c>
      <c r="G931" s="14" t="n">
        <v>1005799.33376414</v>
      </c>
      <c r="H931" s="14" t="n">
        <v>451175.3772580015</v>
      </c>
      <c r="I931" s="14" t="n">
        <v>95579.44779408773</v>
      </c>
      <c r="J931" s="14" t="n">
        <v>40497.45998349657</v>
      </c>
      <c r="K931" s="14" t="n">
        <v>126010.1823892631</v>
      </c>
      <c r="L931" s="14" t="n">
        <v>292536.8663392909</v>
      </c>
      <c r="M931" s="14" t="n">
        <v>0</v>
      </c>
      <c r="N931" s="14" t="n">
        <v>560315.9333330041</v>
      </c>
      <c r="O931" s="14" t="n">
        <v>731588.6942605409</v>
      </c>
      <c r="P931" s="14" t="n">
        <v>110226.4934910793</v>
      </c>
      <c r="Q931" s="14" t="n">
        <v>7055698.862207088</v>
      </c>
      <c r="R931" s="15">
        <f>IF(D931=1,"Section 1","Control")</f>
        <v/>
      </c>
      <c r="S931" s="16">
        <f>N931/10000</f>
        <v/>
      </c>
      <c r="T931" s="16">
        <f>P931/10000</f>
        <v/>
      </c>
      <c r="U931" s="15">
        <f>IF(N931&gt;=Summary!$D$3,1,0)</f>
        <v/>
      </c>
      <c r="V931" s="17">
        <f>IF(N931&gt;0,P931/N931,"")</f>
        <v/>
      </c>
      <c r="W931" s="17">
        <f>IF(O931&gt;0,H931/O931,"")</f>
        <v/>
      </c>
    </row>
    <row r="932">
      <c r="A932" s="13" t="inlineStr">
        <is>
          <t>T34_B1</t>
        </is>
      </c>
      <c r="B932" s="13" t="inlineStr">
        <is>
          <t>T34</t>
        </is>
      </c>
      <c r="C932" s="13" t="inlineStr">
        <is>
          <t>B1</t>
        </is>
      </c>
      <c r="D932" s="13" t="n">
        <v>1</v>
      </c>
      <c r="E932" s="13" t="inlineStr">
        <is>
          <t>S1</t>
        </is>
      </c>
      <c r="F932" s="13" t="n">
        <v>2026</v>
      </c>
      <c r="G932" s="14" t="n">
        <v>1005799.33376414</v>
      </c>
      <c r="H932" s="14" t="n">
        <v>396423.5699040431</v>
      </c>
      <c r="I932" s="14" t="n">
        <v>102219.6234146717</v>
      </c>
      <c r="J932" s="14" t="n">
        <v>40991.07163205614</v>
      </c>
      <c r="K932" s="14" t="n">
        <v>170390.8649520275</v>
      </c>
      <c r="L932" s="14" t="n">
        <v>295774.2038613413</v>
      </c>
      <c r="M932" s="14" t="n">
        <v>0</v>
      </c>
      <c r="N932" s="14" t="n">
        <v>560315.9333330041</v>
      </c>
      <c r="O932" s="14" t="n">
        <v>731588.6942605409</v>
      </c>
      <c r="P932" s="14" t="n">
        <v>166064.2442425597</v>
      </c>
      <c r="Q932" s="14" t="n">
        <v>7055698.862207087</v>
      </c>
      <c r="R932" s="15">
        <f>IF(D932=1,"Section 1","Control")</f>
        <v/>
      </c>
      <c r="S932" s="16">
        <f>N932/10000</f>
        <v/>
      </c>
      <c r="T932" s="16">
        <f>P932/10000</f>
        <v/>
      </c>
      <c r="U932" s="15">
        <f>IF(N932&gt;=Summary!$D$3,1,0)</f>
        <v/>
      </c>
      <c r="V932" s="17">
        <f>IF(N932&gt;0,P932/N932,"")</f>
        <v/>
      </c>
      <c r="W932" s="17">
        <f>IF(O932&gt;0,H932/O932,"")</f>
        <v/>
      </c>
    </row>
    <row r="933">
      <c r="A933" s="13" t="inlineStr">
        <is>
          <t>T34_B2</t>
        </is>
      </c>
      <c r="B933" s="13" t="inlineStr">
        <is>
          <t>T34</t>
        </is>
      </c>
      <c r="C933" s="13" t="inlineStr">
        <is>
          <t>B2</t>
        </is>
      </c>
      <c r="D933" s="13" t="n">
        <v>1</v>
      </c>
      <c r="E933" s="13" t="inlineStr">
        <is>
          <t>S1</t>
        </is>
      </c>
      <c r="F933" s="13" t="n">
        <v>2020</v>
      </c>
      <c r="G933" s="14" t="n">
        <v>1002897.30508387</v>
      </c>
      <c r="H933" s="14" t="n">
        <v>500101.9384184594</v>
      </c>
      <c r="I933" s="14" t="n">
        <v>0</v>
      </c>
      <c r="J933" s="14" t="n">
        <v>0</v>
      </c>
      <c r="K933" s="14" t="n">
        <v>789.7675628662109</v>
      </c>
      <c r="L933" s="14" t="n">
        <v>502005.599102544</v>
      </c>
      <c r="M933" s="14" t="n">
        <v>0</v>
      </c>
      <c r="N933" s="14" t="n">
        <v>500101.9384184594</v>
      </c>
      <c r="O933" s="14" t="n">
        <v>500891.7059813256</v>
      </c>
      <c r="P933" s="14" t="n">
        <v>0</v>
      </c>
      <c r="Q933" s="14" t="n">
        <v>7486216.959705426</v>
      </c>
      <c r="R933" s="15">
        <f>IF(D933=1,"Section 1","Control")</f>
        <v/>
      </c>
      <c r="S933" s="16">
        <f>N933/10000</f>
        <v/>
      </c>
      <c r="T933" s="16">
        <f>P933/10000</f>
        <v/>
      </c>
      <c r="U933" s="15">
        <f>IF(N933&gt;=Summary!$D$3,1,0)</f>
        <v/>
      </c>
      <c r="V933" s="17">
        <f>IF(N933&gt;0,P933/N933,"")</f>
        <v/>
      </c>
      <c r="W933" s="17">
        <f>IF(O933&gt;0,H933/O933,"")</f>
        <v/>
      </c>
    </row>
    <row r="934">
      <c r="A934" s="13" t="inlineStr">
        <is>
          <t>T34_B2</t>
        </is>
      </c>
      <c r="B934" s="13" t="inlineStr">
        <is>
          <t>T34</t>
        </is>
      </c>
      <c r="C934" s="13" t="inlineStr">
        <is>
          <t>B2</t>
        </is>
      </c>
      <c r="D934" s="13" t="n">
        <v>1</v>
      </c>
      <c r="E934" s="13" t="inlineStr">
        <is>
          <t>S1</t>
        </is>
      </c>
      <c r="F934" s="13" t="n">
        <v>2021</v>
      </c>
      <c r="G934" s="14" t="n">
        <v>1002897.30508387</v>
      </c>
      <c r="H934" s="14" t="n">
        <v>499805.7760267968</v>
      </c>
      <c r="I934" s="14" t="n">
        <v>0</v>
      </c>
      <c r="J934" s="14" t="n">
        <v>0</v>
      </c>
      <c r="K934" s="14" t="n">
        <v>1085.929954528809</v>
      </c>
      <c r="L934" s="14" t="n">
        <v>502005.599102544</v>
      </c>
      <c r="M934" s="14" t="n">
        <v>0</v>
      </c>
      <c r="N934" s="14" t="n">
        <v>500101.9384184594</v>
      </c>
      <c r="O934" s="14" t="n">
        <v>500891.7059813256</v>
      </c>
      <c r="P934" s="14" t="n">
        <v>296.1623916625977</v>
      </c>
      <c r="Q934" s="14" t="n">
        <v>7486216.959705426</v>
      </c>
      <c r="R934" s="15">
        <f>IF(D934=1,"Section 1","Control")</f>
        <v/>
      </c>
      <c r="S934" s="16">
        <f>N934/10000</f>
        <v/>
      </c>
      <c r="T934" s="16">
        <f>P934/10000</f>
        <v/>
      </c>
      <c r="U934" s="15">
        <f>IF(N934&gt;=Summary!$D$3,1,0)</f>
        <v/>
      </c>
      <c r="V934" s="17">
        <f>IF(N934&gt;0,P934/N934,"")</f>
        <v/>
      </c>
      <c r="W934" s="17">
        <f>IF(O934&gt;0,H934/O934,"")</f>
        <v/>
      </c>
    </row>
    <row r="935">
      <c r="A935" s="13" t="inlineStr">
        <is>
          <t>T34_B2</t>
        </is>
      </c>
      <c r="B935" s="13" t="inlineStr">
        <is>
          <t>T34</t>
        </is>
      </c>
      <c r="C935" s="13" t="inlineStr">
        <is>
          <t>B2</t>
        </is>
      </c>
      <c r="D935" s="13" t="n">
        <v>1</v>
      </c>
      <c r="E935" s="13" t="inlineStr">
        <is>
          <t>S1</t>
        </is>
      </c>
      <c r="F935" s="13" t="n">
        <v>2022</v>
      </c>
      <c r="G935" s="14" t="n">
        <v>1002897.30508387</v>
      </c>
      <c r="H935" s="14" t="n">
        <v>486480.4241660024</v>
      </c>
      <c r="I935" s="14" t="n">
        <v>0</v>
      </c>
      <c r="J935" s="14" t="n">
        <v>0</v>
      </c>
      <c r="K935" s="14" t="n">
        <v>14411.28181532318</v>
      </c>
      <c r="L935" s="14" t="n">
        <v>502005.599102544</v>
      </c>
      <c r="M935" s="14" t="n">
        <v>0</v>
      </c>
      <c r="N935" s="14" t="n">
        <v>500101.9384184594</v>
      </c>
      <c r="O935" s="14" t="n">
        <v>500891.7059813256</v>
      </c>
      <c r="P935" s="14" t="n">
        <v>13621.51425245696</v>
      </c>
      <c r="Q935" s="14" t="n">
        <v>7486216.959705426</v>
      </c>
      <c r="R935" s="15">
        <f>IF(D935=1,"Section 1","Control")</f>
        <v/>
      </c>
      <c r="S935" s="16">
        <f>N935/10000</f>
        <v/>
      </c>
      <c r="T935" s="16">
        <f>P935/10000</f>
        <v/>
      </c>
      <c r="U935" s="15">
        <f>IF(N935&gt;=Summary!$D$3,1,0)</f>
        <v/>
      </c>
      <c r="V935" s="17">
        <f>IF(N935&gt;0,P935/N935,"")</f>
        <v/>
      </c>
      <c r="W935" s="17">
        <f>IF(O935&gt;0,H935/O935,"")</f>
        <v/>
      </c>
    </row>
    <row r="936">
      <c r="A936" s="13" t="inlineStr">
        <is>
          <t>T34_B2</t>
        </is>
      </c>
      <c r="B936" s="13" t="inlineStr">
        <is>
          <t>T34</t>
        </is>
      </c>
      <c r="C936" s="13" t="inlineStr">
        <is>
          <t>B2</t>
        </is>
      </c>
      <c r="D936" s="13" t="n">
        <v>1</v>
      </c>
      <c r="E936" s="13" t="inlineStr">
        <is>
          <t>S1</t>
        </is>
      </c>
      <c r="F936" s="13" t="n">
        <v>2023</v>
      </c>
      <c r="G936" s="14" t="n">
        <v>1002897.30508387</v>
      </c>
      <c r="H936" s="14" t="n">
        <v>485197.0530035879</v>
      </c>
      <c r="I936" s="14" t="n">
        <v>296.1622085571289</v>
      </c>
      <c r="J936" s="14" t="n">
        <v>0</v>
      </c>
      <c r="K936" s="14" t="n">
        <v>15398.4907691806</v>
      </c>
      <c r="L936" s="14" t="n">
        <v>502005.599102544</v>
      </c>
      <c r="M936" s="14" t="n">
        <v>0</v>
      </c>
      <c r="N936" s="14" t="n">
        <v>500101.9384184594</v>
      </c>
      <c r="O936" s="14" t="n">
        <v>500891.7059813256</v>
      </c>
      <c r="P936" s="14" t="n">
        <v>14904.88541487152</v>
      </c>
      <c r="Q936" s="14" t="n">
        <v>7486216.959705426</v>
      </c>
      <c r="R936" s="15">
        <f>IF(D936=1,"Section 1","Control")</f>
        <v/>
      </c>
      <c r="S936" s="16">
        <f>N936/10000</f>
        <v/>
      </c>
      <c r="T936" s="16">
        <f>P936/10000</f>
        <v/>
      </c>
      <c r="U936" s="15">
        <f>IF(N936&gt;=Summary!$D$3,1,0)</f>
        <v/>
      </c>
      <c r="V936" s="17">
        <f>IF(N936&gt;0,P936/N936,"")</f>
        <v/>
      </c>
      <c r="W936" s="17">
        <f>IF(O936&gt;0,H936/O936,"")</f>
        <v/>
      </c>
    </row>
    <row r="937">
      <c r="A937" s="13" t="inlineStr">
        <is>
          <t>T34_B2</t>
        </is>
      </c>
      <c r="B937" s="13" t="inlineStr">
        <is>
          <t>T34</t>
        </is>
      </c>
      <c r="C937" s="13" t="inlineStr">
        <is>
          <t>B2</t>
        </is>
      </c>
      <c r="D937" s="13" t="n">
        <v>1</v>
      </c>
      <c r="E937" s="13" t="inlineStr">
        <is>
          <t>S1</t>
        </is>
      </c>
      <c r="F937" s="13" t="n">
        <v>2024</v>
      </c>
      <c r="G937" s="14" t="n">
        <v>1002897.30508387</v>
      </c>
      <c r="H937" s="14" t="n">
        <v>483307.4296951593</v>
      </c>
      <c r="I937" s="14" t="n">
        <v>0</v>
      </c>
      <c r="J937" s="14" t="n">
        <v>0</v>
      </c>
      <c r="K937" s="14" t="n">
        <v>17584.27628616632</v>
      </c>
      <c r="L937" s="14" t="n">
        <v>502005.599102544</v>
      </c>
      <c r="M937" s="14" t="n">
        <v>0</v>
      </c>
      <c r="N937" s="14" t="n">
        <v>500101.9384184594</v>
      </c>
      <c r="O937" s="14" t="n">
        <v>500891.7059813256</v>
      </c>
      <c r="P937" s="14" t="n">
        <v>16794.50872330011</v>
      </c>
      <c r="Q937" s="14" t="n">
        <v>7486216.959705426</v>
      </c>
      <c r="R937" s="15">
        <f>IF(D937=1,"Section 1","Control")</f>
        <v/>
      </c>
      <c r="S937" s="16">
        <f>N937/10000</f>
        <v/>
      </c>
      <c r="T937" s="16">
        <f>P937/10000</f>
        <v/>
      </c>
      <c r="U937" s="15">
        <f>IF(N937&gt;=Summary!$D$3,1,0)</f>
        <v/>
      </c>
      <c r="V937" s="17">
        <f>IF(N937&gt;0,P937/N937,"")</f>
        <v/>
      </c>
      <c r="W937" s="17">
        <f>IF(O937&gt;0,H937/O937,"")</f>
        <v/>
      </c>
    </row>
    <row r="938">
      <c r="A938" s="13" t="inlineStr">
        <is>
          <t>T34_B2</t>
        </is>
      </c>
      <c r="B938" s="13" t="inlineStr">
        <is>
          <t>T34</t>
        </is>
      </c>
      <c r="C938" s="13" t="inlineStr">
        <is>
          <t>B2</t>
        </is>
      </c>
      <c r="D938" s="13" t="n">
        <v>1</v>
      </c>
      <c r="E938" s="13" t="inlineStr">
        <is>
          <t>S1</t>
        </is>
      </c>
      <c r="F938" s="13" t="n">
        <v>2025</v>
      </c>
      <c r="G938" s="14" t="n">
        <v>1002897.30508387</v>
      </c>
      <c r="H938" s="14" t="n">
        <v>483221.0978060255</v>
      </c>
      <c r="I938" s="14" t="n">
        <v>0</v>
      </c>
      <c r="J938" s="14" t="n">
        <v>0</v>
      </c>
      <c r="K938" s="14" t="n">
        <v>17670.60817530015</v>
      </c>
      <c r="L938" s="14" t="n">
        <v>502005.599102544</v>
      </c>
      <c r="M938" s="14" t="n">
        <v>0</v>
      </c>
      <c r="N938" s="14" t="n">
        <v>500101.9384184594</v>
      </c>
      <c r="O938" s="14" t="n">
        <v>500891.7059813256</v>
      </c>
      <c r="P938" s="14" t="n">
        <v>16880.84061243394</v>
      </c>
      <c r="Q938" s="14" t="n">
        <v>7486216.959705426</v>
      </c>
      <c r="R938" s="15">
        <f>IF(D938=1,"Section 1","Control")</f>
        <v/>
      </c>
      <c r="S938" s="16">
        <f>N938/10000</f>
        <v/>
      </c>
      <c r="T938" s="16">
        <f>P938/10000</f>
        <v/>
      </c>
      <c r="U938" s="15">
        <f>IF(N938&gt;=Summary!$D$3,1,0)</f>
        <v/>
      </c>
      <c r="V938" s="17">
        <f>IF(N938&gt;0,P938/N938,"")</f>
        <v/>
      </c>
      <c r="W938" s="17">
        <f>IF(O938&gt;0,H938/O938,"")</f>
        <v/>
      </c>
    </row>
    <row r="939">
      <c r="A939" s="13" t="inlineStr">
        <is>
          <t>T34_B2</t>
        </is>
      </c>
      <c r="B939" s="13" t="inlineStr">
        <is>
          <t>T34</t>
        </is>
      </c>
      <c r="C939" s="13" t="inlineStr">
        <is>
          <t>B2</t>
        </is>
      </c>
      <c r="D939" s="13" t="n">
        <v>1</v>
      </c>
      <c r="E939" s="13" t="inlineStr">
        <is>
          <t>S1</t>
        </is>
      </c>
      <c r="F939" s="13" t="n">
        <v>2026</v>
      </c>
      <c r="G939" s="14" t="n">
        <v>1002897.30508387</v>
      </c>
      <c r="H939" s="14" t="n">
        <v>483221.0978060255</v>
      </c>
      <c r="I939" s="14" t="n">
        <v>0</v>
      </c>
      <c r="J939" s="14" t="n">
        <v>0</v>
      </c>
      <c r="K939" s="14" t="n">
        <v>17670.60817530015</v>
      </c>
      <c r="L939" s="14" t="n">
        <v>502005.599102544</v>
      </c>
      <c r="M939" s="14" t="n">
        <v>0</v>
      </c>
      <c r="N939" s="14" t="n">
        <v>500101.9384184594</v>
      </c>
      <c r="O939" s="14" t="n">
        <v>500891.7059813256</v>
      </c>
      <c r="P939" s="14" t="n">
        <v>16880.84061243394</v>
      </c>
      <c r="Q939" s="14" t="n">
        <v>7486216.959705426</v>
      </c>
      <c r="R939" s="15">
        <f>IF(D939=1,"Section 1","Control")</f>
        <v/>
      </c>
      <c r="S939" s="16">
        <f>N939/10000</f>
        <v/>
      </c>
      <c r="T939" s="16">
        <f>P939/10000</f>
        <v/>
      </c>
      <c r="U939" s="15">
        <f>IF(N939&gt;=Summary!$D$3,1,0)</f>
        <v/>
      </c>
      <c r="V939" s="17">
        <f>IF(N939&gt;0,P939/N939,"")</f>
        <v/>
      </c>
      <c r="W939" s="17">
        <f>IF(O939&gt;0,H939/O939,"")</f>
        <v/>
      </c>
    </row>
    <row r="940">
      <c r="A940" s="13" t="inlineStr">
        <is>
          <t>T34_B3</t>
        </is>
      </c>
      <c r="B940" s="13" t="inlineStr">
        <is>
          <t>T34</t>
        </is>
      </c>
      <c r="C940" s="13" t="inlineStr">
        <is>
          <t>B3</t>
        </is>
      </c>
      <c r="D940" s="13" t="n">
        <v>1</v>
      </c>
      <c r="E940" s="13" t="inlineStr">
        <is>
          <t>S1</t>
        </is>
      </c>
      <c r="F940" s="13" t="n">
        <v>2020</v>
      </c>
      <c r="G940" s="14" t="n">
        <v>8012507.487787462</v>
      </c>
      <c r="H940" s="14" t="n">
        <v>1795637.180267155</v>
      </c>
      <c r="I940" s="14" t="n">
        <v>457225.6454351987</v>
      </c>
      <c r="J940" s="14" t="n">
        <v>0</v>
      </c>
      <c r="K940" s="14" t="n">
        <v>1752228.359562294</v>
      </c>
      <c r="L940" s="14" t="n">
        <v>4007416.302522817</v>
      </c>
      <c r="M940" s="14" t="n">
        <v>0</v>
      </c>
      <c r="N940" s="14" t="n">
        <v>1795637.180267155</v>
      </c>
      <c r="O940" s="14" t="n">
        <v>4005091.185264648</v>
      </c>
      <c r="P940" s="14" t="n">
        <v>0</v>
      </c>
      <c r="Q940" s="14" t="n">
        <v>38075251.6028511</v>
      </c>
      <c r="R940" s="15">
        <f>IF(D940=1,"Section 1","Control")</f>
        <v/>
      </c>
      <c r="S940" s="16">
        <f>N940/10000</f>
        <v/>
      </c>
      <c r="T940" s="16">
        <f>P940/10000</f>
        <v/>
      </c>
      <c r="U940" s="15">
        <f>IF(N940&gt;=Summary!$D$3,1,0)</f>
        <v/>
      </c>
      <c r="V940" s="17">
        <f>IF(N940&gt;0,P940/N940,"")</f>
        <v/>
      </c>
      <c r="W940" s="17">
        <f>IF(O940&gt;0,H940/O940,"")</f>
        <v/>
      </c>
    </row>
    <row r="941">
      <c r="A941" s="13" t="inlineStr">
        <is>
          <t>T34_B3</t>
        </is>
      </c>
      <c r="B941" s="13" t="inlineStr">
        <is>
          <t>T34</t>
        </is>
      </c>
      <c r="C941" s="13" t="inlineStr">
        <is>
          <t>B3</t>
        </is>
      </c>
      <c r="D941" s="13" t="n">
        <v>1</v>
      </c>
      <c r="E941" s="13" t="inlineStr">
        <is>
          <t>S1</t>
        </is>
      </c>
      <c r="F941" s="13" t="n">
        <v>2021</v>
      </c>
      <c r="G941" s="14" t="n">
        <v>8012507.487787462</v>
      </c>
      <c r="H941" s="14" t="n">
        <v>1275668.597808539</v>
      </c>
      <c r="I941" s="14" t="n">
        <v>290730.0850547042</v>
      </c>
      <c r="J941" s="14" t="n">
        <v>0</v>
      </c>
      <c r="K941" s="14" t="n">
        <v>2438692.502401405</v>
      </c>
      <c r="L941" s="14" t="n">
        <v>4007416.302522817</v>
      </c>
      <c r="M941" s="14" t="n">
        <v>0</v>
      </c>
      <c r="N941" s="14" t="n">
        <v>1795637.180267155</v>
      </c>
      <c r="O941" s="14" t="n">
        <v>4005091.185264648</v>
      </c>
      <c r="P941" s="14" t="n">
        <v>534183.9080201392</v>
      </c>
      <c r="Q941" s="14" t="n">
        <v>38075251.60285109</v>
      </c>
      <c r="R941" s="15">
        <f>IF(D941=1,"Section 1","Control")</f>
        <v/>
      </c>
      <c r="S941" s="16">
        <f>N941/10000</f>
        <v/>
      </c>
      <c r="T941" s="16">
        <f>P941/10000</f>
        <v/>
      </c>
      <c r="U941" s="15">
        <f>IF(N941&gt;=Summary!$D$3,1,0)</f>
        <v/>
      </c>
      <c r="V941" s="17">
        <f>IF(N941&gt;0,P941/N941,"")</f>
        <v/>
      </c>
      <c r="W941" s="17">
        <f>IF(O941&gt;0,H941/O941,"")</f>
        <v/>
      </c>
    </row>
    <row r="942">
      <c r="A942" s="13" t="inlineStr">
        <is>
          <t>T34_B3</t>
        </is>
      </c>
      <c r="B942" s="13" t="inlineStr">
        <is>
          <t>T34</t>
        </is>
      </c>
      <c r="C942" s="13" t="inlineStr">
        <is>
          <t>B3</t>
        </is>
      </c>
      <c r="D942" s="13" t="n">
        <v>1</v>
      </c>
      <c r="E942" s="13" t="inlineStr">
        <is>
          <t>S1</t>
        </is>
      </c>
      <c r="F942" s="13" t="n">
        <v>2022</v>
      </c>
      <c r="G942" s="14" t="n">
        <v>8012507.487787462</v>
      </c>
      <c r="H942" s="14" t="n">
        <v>1146664.806699267</v>
      </c>
      <c r="I942" s="14" t="n">
        <v>294011.9293877695</v>
      </c>
      <c r="J942" s="14" t="n">
        <v>0</v>
      </c>
      <c r="K942" s="14" t="n">
        <v>2564414.449177611</v>
      </c>
      <c r="L942" s="14" t="n">
        <v>4007416.302522817</v>
      </c>
      <c r="M942" s="14" t="n">
        <v>0</v>
      </c>
      <c r="N942" s="14" t="n">
        <v>1795637.180267155</v>
      </c>
      <c r="O942" s="14" t="n">
        <v>4005091.185264648</v>
      </c>
      <c r="P942" s="14" t="n">
        <v>661213.4098532882</v>
      </c>
      <c r="Q942" s="14" t="n">
        <v>38075251.60285109</v>
      </c>
      <c r="R942" s="15">
        <f>IF(D942=1,"Section 1","Control")</f>
        <v/>
      </c>
      <c r="S942" s="16">
        <f>N942/10000</f>
        <v/>
      </c>
      <c r="T942" s="16">
        <f>P942/10000</f>
        <v/>
      </c>
      <c r="U942" s="15">
        <f>IF(N942&gt;=Summary!$D$3,1,0)</f>
        <v/>
      </c>
      <c r="V942" s="17">
        <f>IF(N942&gt;0,P942/N942,"")</f>
        <v/>
      </c>
      <c r="W942" s="17">
        <f>IF(O942&gt;0,H942/O942,"")</f>
        <v/>
      </c>
    </row>
    <row r="943">
      <c r="A943" s="13" t="inlineStr">
        <is>
          <t>T34_B3</t>
        </is>
      </c>
      <c r="B943" s="13" t="inlineStr">
        <is>
          <t>T34</t>
        </is>
      </c>
      <c r="C943" s="13" t="inlineStr">
        <is>
          <t>B3</t>
        </is>
      </c>
      <c r="D943" s="13" t="n">
        <v>1</v>
      </c>
      <c r="E943" s="13" t="inlineStr">
        <is>
          <t>S1</t>
        </is>
      </c>
      <c r="F943" s="13" t="n">
        <v>2023</v>
      </c>
      <c r="G943" s="14" t="n">
        <v>8012507.487787462</v>
      </c>
      <c r="H943" s="14" t="n">
        <v>1114984.810646266</v>
      </c>
      <c r="I943" s="14" t="n">
        <v>320391.0372332704</v>
      </c>
      <c r="J943" s="14" t="n">
        <v>0</v>
      </c>
      <c r="K943" s="14" t="n">
        <v>2569715.33738511</v>
      </c>
      <c r="L943" s="14" t="n">
        <v>4007416.302522817</v>
      </c>
      <c r="M943" s="14" t="n">
        <v>0</v>
      </c>
      <c r="N943" s="14" t="n">
        <v>1795637.180267155</v>
      </c>
      <c r="O943" s="14" t="n">
        <v>4005091.185264648</v>
      </c>
      <c r="P943" s="14" t="n">
        <v>708353.0620889702</v>
      </c>
      <c r="Q943" s="14" t="n">
        <v>38075251.60285109</v>
      </c>
      <c r="R943" s="15">
        <f>IF(D943=1,"Section 1","Control")</f>
        <v/>
      </c>
      <c r="S943" s="16">
        <f>N943/10000</f>
        <v/>
      </c>
      <c r="T943" s="16">
        <f>P943/10000</f>
        <v/>
      </c>
      <c r="U943" s="15">
        <f>IF(N943&gt;=Summary!$D$3,1,0)</f>
        <v/>
      </c>
      <c r="V943" s="17">
        <f>IF(N943&gt;0,P943/N943,"")</f>
        <v/>
      </c>
      <c r="W943" s="17">
        <f>IF(O943&gt;0,H943/O943,"")</f>
        <v/>
      </c>
    </row>
    <row r="944">
      <c r="A944" s="13" t="inlineStr">
        <is>
          <t>T34_B3</t>
        </is>
      </c>
      <c r="B944" s="13" t="inlineStr">
        <is>
          <t>T34</t>
        </is>
      </c>
      <c r="C944" s="13" t="inlineStr">
        <is>
          <t>B3</t>
        </is>
      </c>
      <c r="D944" s="13" t="n">
        <v>1</v>
      </c>
      <c r="E944" s="13" t="inlineStr">
        <is>
          <t>S1</t>
        </is>
      </c>
      <c r="F944" s="13" t="n">
        <v>2024</v>
      </c>
      <c r="G944" s="14" t="n">
        <v>8012507.487787462</v>
      </c>
      <c r="H944" s="14" t="n">
        <v>1181111.565244487</v>
      </c>
      <c r="I944" s="14" t="n">
        <v>143339.9735460767</v>
      </c>
      <c r="J944" s="14" t="n">
        <v>0</v>
      </c>
      <c r="K944" s="14" t="n">
        <v>2680639.646474083</v>
      </c>
      <c r="L944" s="14" t="n">
        <v>4007416.302522817</v>
      </c>
      <c r="M944" s="14" t="n">
        <v>0</v>
      </c>
      <c r="N944" s="14" t="n">
        <v>1795637.180267155</v>
      </c>
      <c r="O944" s="14" t="n">
        <v>4005091.185264648</v>
      </c>
      <c r="P944" s="14" t="n">
        <v>705336.1773471308</v>
      </c>
      <c r="Q944" s="14" t="n">
        <v>38075251.60285109</v>
      </c>
      <c r="R944" s="15">
        <f>IF(D944=1,"Section 1","Control")</f>
        <v/>
      </c>
      <c r="S944" s="16">
        <f>N944/10000</f>
        <v/>
      </c>
      <c r="T944" s="16">
        <f>P944/10000</f>
        <v/>
      </c>
      <c r="U944" s="15">
        <f>IF(N944&gt;=Summary!$D$3,1,0)</f>
        <v/>
      </c>
      <c r="V944" s="17">
        <f>IF(N944&gt;0,P944/N944,"")</f>
        <v/>
      </c>
      <c r="W944" s="17">
        <f>IF(O944&gt;0,H944/O944,"")</f>
        <v/>
      </c>
    </row>
    <row r="945">
      <c r="A945" s="13" t="inlineStr">
        <is>
          <t>T34_B3</t>
        </is>
      </c>
      <c r="B945" s="13" t="inlineStr">
        <is>
          <t>T34</t>
        </is>
      </c>
      <c r="C945" s="13" t="inlineStr">
        <is>
          <t>B3</t>
        </is>
      </c>
      <c r="D945" s="13" t="n">
        <v>1</v>
      </c>
      <c r="E945" s="13" t="inlineStr">
        <is>
          <t>S1</t>
        </is>
      </c>
      <c r="F945" s="13" t="n">
        <v>2025</v>
      </c>
      <c r="G945" s="14" t="n">
        <v>8012507.48778746</v>
      </c>
      <c r="H945" s="14" t="n">
        <v>1176312.982458018</v>
      </c>
      <c r="I945" s="14" t="n">
        <v>150482.8033909517</v>
      </c>
      <c r="J945" s="14" t="n">
        <v>0</v>
      </c>
      <c r="K945" s="14" t="n">
        <v>2678295.399415678</v>
      </c>
      <c r="L945" s="14" t="n">
        <v>4007416.302522817</v>
      </c>
      <c r="M945" s="14" t="n">
        <v>0</v>
      </c>
      <c r="N945" s="14" t="n">
        <v>1795637.180267154</v>
      </c>
      <c r="O945" s="14" t="n">
        <v>4005091.185264648</v>
      </c>
      <c r="P945" s="14" t="n">
        <v>716422.3975156897</v>
      </c>
      <c r="Q945" s="14" t="n">
        <v>38075251.60285109</v>
      </c>
      <c r="R945" s="15">
        <f>IF(D945=1,"Section 1","Control")</f>
        <v/>
      </c>
      <c r="S945" s="16">
        <f>N945/10000</f>
        <v/>
      </c>
      <c r="T945" s="16">
        <f>P945/10000</f>
        <v/>
      </c>
      <c r="U945" s="15">
        <f>IF(N945&gt;=Summary!$D$3,1,0)</f>
        <v/>
      </c>
      <c r="V945" s="17">
        <f>IF(N945&gt;0,P945/N945,"")</f>
        <v/>
      </c>
      <c r="W945" s="17">
        <f>IF(O945&gt;0,H945/O945,"")</f>
        <v/>
      </c>
    </row>
    <row r="946">
      <c r="A946" s="13" t="inlineStr">
        <is>
          <t>T34_B3</t>
        </is>
      </c>
      <c r="B946" s="13" t="inlineStr">
        <is>
          <t>T34</t>
        </is>
      </c>
      <c r="C946" s="13" t="inlineStr">
        <is>
          <t>B3</t>
        </is>
      </c>
      <c r="D946" s="13" t="n">
        <v>1</v>
      </c>
      <c r="E946" s="13" t="inlineStr">
        <is>
          <t>S1</t>
        </is>
      </c>
      <c r="F946" s="13" t="n">
        <v>2026</v>
      </c>
      <c r="G946" s="14" t="n">
        <v>8012507.487787461</v>
      </c>
      <c r="H946" s="14" t="n">
        <v>1147824.612530787</v>
      </c>
      <c r="I946" s="14" t="n">
        <v>94328.86544686112</v>
      </c>
      <c r="J946" s="14" t="n">
        <v>0</v>
      </c>
      <c r="K946" s="14" t="n">
        <v>2762937.707287</v>
      </c>
      <c r="L946" s="14" t="n">
        <v>4007416.302522817</v>
      </c>
      <c r="M946" s="14" t="n">
        <v>0</v>
      </c>
      <c r="N946" s="14" t="n">
        <v>1795637.180267155</v>
      </c>
      <c r="O946" s="14" t="n">
        <v>4005091.185264648</v>
      </c>
      <c r="P946" s="14" t="n">
        <v>731879.4883224189</v>
      </c>
      <c r="Q946" s="14" t="n">
        <v>38075251.6028511</v>
      </c>
      <c r="R946" s="15">
        <f>IF(D946=1,"Section 1","Control")</f>
        <v/>
      </c>
      <c r="S946" s="16">
        <f>N946/10000</f>
        <v/>
      </c>
      <c r="T946" s="16">
        <f>P946/10000</f>
        <v/>
      </c>
      <c r="U946" s="15">
        <f>IF(N946&gt;=Summary!$D$3,1,0)</f>
        <v/>
      </c>
      <c r="V946" s="17">
        <f>IF(N946&gt;0,P946/N946,"")</f>
        <v/>
      </c>
      <c r="W946" s="17">
        <f>IF(O946&gt;0,H946/O946,"")</f>
        <v/>
      </c>
    </row>
    <row r="947">
      <c r="A947" s="13" t="inlineStr">
        <is>
          <t>T34_F</t>
        </is>
      </c>
      <c r="B947" s="13" t="inlineStr">
        <is>
          <t>T34</t>
        </is>
      </c>
      <c r="C947" s="13" t="inlineStr">
        <is>
          <t>F</t>
        </is>
      </c>
      <c r="D947" s="13" t="n">
        <v>1</v>
      </c>
      <c r="E947" s="13" t="inlineStr">
        <is>
          <t>S1</t>
        </is>
      </c>
      <c r="F947" s="13" t="n">
        <v>2020</v>
      </c>
      <c r="G947" s="14" t="n">
        <v>69954.42489860384</v>
      </c>
      <c r="H947" s="14" t="n">
        <v>69892.48164933147</v>
      </c>
      <c r="I947" s="14" t="n">
        <v>0</v>
      </c>
      <c r="J947" s="14" t="n">
        <v>0</v>
      </c>
      <c r="K947" s="14" t="n">
        <v>61.94324927236519</v>
      </c>
      <c r="L947" s="14" t="n">
        <v>0</v>
      </c>
      <c r="M947" s="14" t="n">
        <v>0</v>
      </c>
      <c r="N947" s="14" t="n">
        <v>69892.48164933147</v>
      </c>
      <c r="O947" s="14" t="n">
        <v>69954.42489860384</v>
      </c>
      <c r="P947" s="14" t="n">
        <v>0</v>
      </c>
      <c r="Q947" s="14" t="n">
        <v>588138.949546425</v>
      </c>
      <c r="R947" s="15">
        <f>IF(D947=1,"Section 1","Control")</f>
        <v/>
      </c>
      <c r="S947" s="16">
        <f>N947/10000</f>
        <v/>
      </c>
      <c r="T947" s="16">
        <f>P947/10000</f>
        <v/>
      </c>
      <c r="U947" s="15">
        <f>IF(N947&gt;=Summary!$D$3,1,0)</f>
        <v/>
      </c>
      <c r="V947" s="17">
        <f>IF(N947&gt;0,P947/N947,"")</f>
        <v/>
      </c>
      <c r="W947" s="17">
        <f>IF(O947&gt;0,H947/O947,"")</f>
        <v/>
      </c>
    </row>
    <row r="948">
      <c r="A948" s="13" t="inlineStr">
        <is>
          <t>T34_F</t>
        </is>
      </c>
      <c r="B948" s="13" t="inlineStr">
        <is>
          <t>T34</t>
        </is>
      </c>
      <c r="C948" s="13" t="inlineStr">
        <is>
          <t>F</t>
        </is>
      </c>
      <c r="D948" s="13" t="n">
        <v>1</v>
      </c>
      <c r="E948" s="13" t="inlineStr">
        <is>
          <t>S1</t>
        </is>
      </c>
      <c r="F948" s="13" t="n">
        <v>2021</v>
      </c>
      <c r="G948" s="14" t="n">
        <v>69954.42489860384</v>
      </c>
      <c r="H948" s="14" t="n">
        <v>69892.48164933147</v>
      </c>
      <c r="I948" s="14" t="n">
        <v>0</v>
      </c>
      <c r="J948" s="14" t="n">
        <v>0</v>
      </c>
      <c r="K948" s="14" t="n">
        <v>61.94324927236519</v>
      </c>
      <c r="L948" s="14" t="n">
        <v>0</v>
      </c>
      <c r="M948" s="14" t="n">
        <v>0</v>
      </c>
      <c r="N948" s="14" t="n">
        <v>69892.48164933147</v>
      </c>
      <c r="O948" s="14" t="n">
        <v>69954.42489860384</v>
      </c>
      <c r="P948" s="14" t="n">
        <v>0</v>
      </c>
      <c r="Q948" s="14" t="n">
        <v>588138.949546425</v>
      </c>
      <c r="R948" s="15">
        <f>IF(D948=1,"Section 1","Control")</f>
        <v/>
      </c>
      <c r="S948" s="16">
        <f>N948/10000</f>
        <v/>
      </c>
      <c r="T948" s="16">
        <f>P948/10000</f>
        <v/>
      </c>
      <c r="U948" s="15">
        <f>IF(N948&gt;=Summary!$D$3,1,0)</f>
        <v/>
      </c>
      <c r="V948" s="17">
        <f>IF(N948&gt;0,P948/N948,"")</f>
        <v/>
      </c>
      <c r="W948" s="17">
        <f>IF(O948&gt;0,H948/O948,"")</f>
        <v/>
      </c>
    </row>
    <row r="949">
      <c r="A949" s="13" t="inlineStr">
        <is>
          <t>T34_F</t>
        </is>
      </c>
      <c r="B949" s="13" t="inlineStr">
        <is>
          <t>T34</t>
        </is>
      </c>
      <c r="C949" s="13" t="inlineStr">
        <is>
          <t>F</t>
        </is>
      </c>
      <c r="D949" s="13" t="n">
        <v>1</v>
      </c>
      <c r="E949" s="13" t="inlineStr">
        <is>
          <t>S1</t>
        </is>
      </c>
      <c r="F949" s="13" t="n">
        <v>2022</v>
      </c>
      <c r="G949" s="14" t="n">
        <v>69954.42489860384</v>
      </c>
      <c r="H949" s="14" t="n">
        <v>69892.48164933147</v>
      </c>
      <c r="I949" s="14" t="n">
        <v>0</v>
      </c>
      <c r="J949" s="14" t="n">
        <v>0</v>
      </c>
      <c r="K949" s="14" t="n">
        <v>61.94324927236519</v>
      </c>
      <c r="L949" s="14" t="n">
        <v>0</v>
      </c>
      <c r="M949" s="14" t="n">
        <v>0</v>
      </c>
      <c r="N949" s="14" t="n">
        <v>69892.48164933147</v>
      </c>
      <c r="O949" s="14" t="n">
        <v>69954.42489860384</v>
      </c>
      <c r="P949" s="14" t="n">
        <v>0</v>
      </c>
      <c r="Q949" s="14" t="n">
        <v>588138.949546425</v>
      </c>
      <c r="R949" s="15">
        <f>IF(D949=1,"Section 1","Control")</f>
        <v/>
      </c>
      <c r="S949" s="16">
        <f>N949/10000</f>
        <v/>
      </c>
      <c r="T949" s="16">
        <f>P949/10000</f>
        <v/>
      </c>
      <c r="U949" s="15">
        <f>IF(N949&gt;=Summary!$D$3,1,0)</f>
        <v/>
      </c>
      <c r="V949" s="17">
        <f>IF(N949&gt;0,P949/N949,"")</f>
        <v/>
      </c>
      <c r="W949" s="17">
        <f>IF(O949&gt;0,H949/O949,"")</f>
        <v/>
      </c>
    </row>
    <row r="950">
      <c r="A950" s="13" t="inlineStr">
        <is>
          <t>T34_F</t>
        </is>
      </c>
      <c r="B950" s="13" t="inlineStr">
        <is>
          <t>T34</t>
        </is>
      </c>
      <c r="C950" s="13" t="inlineStr">
        <is>
          <t>F</t>
        </is>
      </c>
      <c r="D950" s="13" t="n">
        <v>1</v>
      </c>
      <c r="E950" s="13" t="inlineStr">
        <is>
          <t>S1</t>
        </is>
      </c>
      <c r="F950" s="13" t="n">
        <v>2023</v>
      </c>
      <c r="G950" s="14" t="n">
        <v>69954.42489860384</v>
      </c>
      <c r="H950" s="14" t="n">
        <v>69661.35597920135</v>
      </c>
      <c r="I950" s="14" t="n">
        <v>0</v>
      </c>
      <c r="J950" s="14" t="n">
        <v>0</v>
      </c>
      <c r="K950" s="14" t="n">
        <v>293.0689194024778</v>
      </c>
      <c r="L950" s="14" t="n">
        <v>0</v>
      </c>
      <c r="M950" s="14" t="n">
        <v>0</v>
      </c>
      <c r="N950" s="14" t="n">
        <v>69892.48164933147</v>
      </c>
      <c r="O950" s="14" t="n">
        <v>69954.42489860384</v>
      </c>
      <c r="P950" s="14" t="n">
        <v>231.1256701301126</v>
      </c>
      <c r="Q950" s="14" t="n">
        <v>588138.949546425</v>
      </c>
      <c r="R950" s="15">
        <f>IF(D950=1,"Section 1","Control")</f>
        <v/>
      </c>
      <c r="S950" s="16">
        <f>N950/10000</f>
        <v/>
      </c>
      <c r="T950" s="16">
        <f>P950/10000</f>
        <v/>
      </c>
      <c r="U950" s="15">
        <f>IF(N950&gt;=Summary!$D$3,1,0)</f>
        <v/>
      </c>
      <c r="V950" s="17">
        <f>IF(N950&gt;0,P950/N950,"")</f>
        <v/>
      </c>
      <c r="W950" s="17">
        <f>IF(O950&gt;0,H950/O950,"")</f>
        <v/>
      </c>
    </row>
    <row r="951">
      <c r="A951" s="13" t="inlineStr">
        <is>
          <t>T34_F</t>
        </is>
      </c>
      <c r="B951" s="13" t="inlineStr">
        <is>
          <t>T34</t>
        </is>
      </c>
      <c r="C951" s="13" t="inlineStr">
        <is>
          <t>F</t>
        </is>
      </c>
      <c r="D951" s="13" t="n">
        <v>1</v>
      </c>
      <c r="E951" s="13" t="inlineStr">
        <is>
          <t>S1</t>
        </is>
      </c>
      <c r="F951" s="13" t="n">
        <v>2024</v>
      </c>
      <c r="G951" s="14" t="n">
        <v>69954.42489860384</v>
      </c>
      <c r="H951" s="14" t="n">
        <v>69661.35597920135</v>
      </c>
      <c r="I951" s="14" t="n">
        <v>0</v>
      </c>
      <c r="J951" s="14" t="n">
        <v>0</v>
      </c>
      <c r="K951" s="14" t="n">
        <v>293.0689194024778</v>
      </c>
      <c r="L951" s="14" t="n">
        <v>0</v>
      </c>
      <c r="M951" s="14" t="n">
        <v>0</v>
      </c>
      <c r="N951" s="14" t="n">
        <v>69892.48164933147</v>
      </c>
      <c r="O951" s="14" t="n">
        <v>69954.42489860384</v>
      </c>
      <c r="P951" s="14" t="n">
        <v>231.1256701301126</v>
      </c>
      <c r="Q951" s="14" t="n">
        <v>588138.949546425</v>
      </c>
      <c r="R951" s="15">
        <f>IF(D951=1,"Section 1","Control")</f>
        <v/>
      </c>
      <c r="S951" s="16">
        <f>N951/10000</f>
        <v/>
      </c>
      <c r="T951" s="16">
        <f>P951/10000</f>
        <v/>
      </c>
      <c r="U951" s="15">
        <f>IF(N951&gt;=Summary!$D$3,1,0)</f>
        <v/>
      </c>
      <c r="V951" s="17">
        <f>IF(N951&gt;0,P951/N951,"")</f>
        <v/>
      </c>
      <c r="W951" s="17">
        <f>IF(O951&gt;0,H951/O951,"")</f>
        <v/>
      </c>
    </row>
    <row r="952">
      <c r="A952" s="13" t="inlineStr">
        <is>
          <t>T34_F</t>
        </is>
      </c>
      <c r="B952" s="13" t="inlineStr">
        <is>
          <t>T34</t>
        </is>
      </c>
      <c r="C952" s="13" t="inlineStr">
        <is>
          <t>F</t>
        </is>
      </c>
      <c r="D952" s="13" t="n">
        <v>1</v>
      </c>
      <c r="E952" s="13" t="inlineStr">
        <is>
          <t>S1</t>
        </is>
      </c>
      <c r="F952" s="13" t="n">
        <v>2025</v>
      </c>
      <c r="G952" s="14" t="n">
        <v>69954.42489860384</v>
      </c>
      <c r="H952" s="14" t="n">
        <v>35228.64767465031</v>
      </c>
      <c r="I952" s="14" t="n">
        <v>25597.27728573668</v>
      </c>
      <c r="J952" s="14" t="n">
        <v>0</v>
      </c>
      <c r="K952" s="14" t="n">
        <v>9128.499938216866</v>
      </c>
      <c r="L952" s="14" t="n">
        <v>0</v>
      </c>
      <c r="M952" s="14" t="n">
        <v>0</v>
      </c>
      <c r="N952" s="14" t="n">
        <v>69892.48164933147</v>
      </c>
      <c r="O952" s="14" t="n">
        <v>69954.42489860384</v>
      </c>
      <c r="P952" s="14" t="n">
        <v>34663.83397468118</v>
      </c>
      <c r="Q952" s="14" t="n">
        <v>588138.949546425</v>
      </c>
      <c r="R952" s="15">
        <f>IF(D952=1,"Section 1","Control")</f>
        <v/>
      </c>
      <c r="S952" s="16">
        <f>N952/10000</f>
        <v/>
      </c>
      <c r="T952" s="16">
        <f>P952/10000</f>
        <v/>
      </c>
      <c r="U952" s="15">
        <f>IF(N952&gt;=Summary!$D$3,1,0)</f>
        <v/>
      </c>
      <c r="V952" s="17">
        <f>IF(N952&gt;0,P952/N952,"")</f>
        <v/>
      </c>
      <c r="W952" s="17">
        <f>IF(O952&gt;0,H952/O952,"")</f>
        <v/>
      </c>
    </row>
    <row r="953">
      <c r="A953" s="13" t="inlineStr">
        <is>
          <t>T34_F</t>
        </is>
      </c>
      <c r="B953" s="13" t="inlineStr">
        <is>
          <t>T34</t>
        </is>
      </c>
      <c r="C953" s="13" t="inlineStr">
        <is>
          <t>F</t>
        </is>
      </c>
      <c r="D953" s="13" t="n">
        <v>1</v>
      </c>
      <c r="E953" s="13" t="inlineStr">
        <is>
          <t>S1</t>
        </is>
      </c>
      <c r="F953" s="13" t="n">
        <v>2026</v>
      </c>
      <c r="G953" s="14" t="n">
        <v>69954.42489860384</v>
      </c>
      <c r="H953" s="14" t="n">
        <v>739.8345089183135</v>
      </c>
      <c r="I953" s="14" t="n">
        <v>36228.65746615542</v>
      </c>
      <c r="J953" s="14" t="n">
        <v>0</v>
      </c>
      <c r="K953" s="14" t="n">
        <v>32985.93292353013</v>
      </c>
      <c r="L953" s="14" t="n">
        <v>0</v>
      </c>
      <c r="M953" s="14" t="n">
        <v>0</v>
      </c>
      <c r="N953" s="14" t="n">
        <v>69892.48164933147</v>
      </c>
      <c r="O953" s="14" t="n">
        <v>69954.42489860384</v>
      </c>
      <c r="P953" s="14" t="n">
        <v>69152.64714041316</v>
      </c>
      <c r="Q953" s="14" t="n">
        <v>588138.949546425</v>
      </c>
      <c r="R953" s="15">
        <f>IF(D953=1,"Section 1","Control")</f>
        <v/>
      </c>
      <c r="S953" s="16">
        <f>N953/10000</f>
        <v/>
      </c>
      <c r="T953" s="16">
        <f>P953/10000</f>
        <v/>
      </c>
      <c r="U953" s="15">
        <f>IF(N953&gt;=Summary!$D$3,1,0)</f>
        <v/>
      </c>
      <c r="V953" s="17">
        <f>IF(N953&gt;0,P953/N953,"")</f>
        <v/>
      </c>
      <c r="W953" s="17">
        <f>IF(O953&gt;0,H953/O953,"")</f>
        <v/>
      </c>
    </row>
    <row r="954">
      <c r="A954" s="13" t="inlineStr">
        <is>
          <t>T35_B1</t>
        </is>
      </c>
      <c r="B954" s="13" t="inlineStr">
        <is>
          <t>T35</t>
        </is>
      </c>
      <c r="C954" s="13" t="inlineStr">
        <is>
          <t>B1</t>
        </is>
      </c>
      <c r="D954" s="13" t="n">
        <v>1</v>
      </c>
      <c r="E954" s="13" t="inlineStr">
        <is>
          <t>S1</t>
        </is>
      </c>
      <c r="F954" s="13" t="n">
        <v>2020</v>
      </c>
      <c r="G954" s="14" t="n">
        <v>988062.1095589732</v>
      </c>
      <c r="H954" s="14" t="n">
        <v>580562.9483936984</v>
      </c>
      <c r="I954" s="14" t="n">
        <v>62552.33722734638</v>
      </c>
      <c r="J954" s="14" t="n">
        <v>34713.80999094645</v>
      </c>
      <c r="K954" s="14" t="n">
        <v>8679.804392795937</v>
      </c>
      <c r="L954" s="14" t="n">
        <v>301553.2095541862</v>
      </c>
      <c r="M954" s="14" t="n">
        <v>0</v>
      </c>
      <c r="N954" s="14" t="n">
        <v>580562.9483936984</v>
      </c>
      <c r="O954" s="14" t="n">
        <v>686508.9000047871</v>
      </c>
      <c r="P954" s="14" t="n">
        <v>0</v>
      </c>
      <c r="Q954" s="14" t="n">
        <v>7701506.092222685</v>
      </c>
      <c r="R954" s="15">
        <f>IF(D954=1,"Section 1","Control")</f>
        <v/>
      </c>
      <c r="S954" s="16">
        <f>N954/10000</f>
        <v/>
      </c>
      <c r="T954" s="16">
        <f>P954/10000</f>
        <v/>
      </c>
      <c r="U954" s="15">
        <f>IF(N954&gt;=Summary!$D$3,1,0)</f>
        <v/>
      </c>
      <c r="V954" s="17">
        <f>IF(N954&gt;0,P954/N954,"")</f>
        <v/>
      </c>
      <c r="W954" s="17">
        <f>IF(O954&gt;0,H954/O954,"")</f>
        <v/>
      </c>
    </row>
    <row r="955">
      <c r="A955" s="13" t="inlineStr">
        <is>
          <t>T35_B1</t>
        </is>
      </c>
      <c r="B955" s="13" t="inlineStr">
        <is>
          <t>T35</t>
        </is>
      </c>
      <c r="C955" s="13" t="inlineStr">
        <is>
          <t>B1</t>
        </is>
      </c>
      <c r="D955" s="13" t="n">
        <v>1</v>
      </c>
      <c r="E955" s="13" t="inlineStr">
        <is>
          <t>S1</t>
        </is>
      </c>
      <c r="F955" s="13" t="n">
        <v>2021</v>
      </c>
      <c r="G955" s="14" t="n">
        <v>988062.1095589732</v>
      </c>
      <c r="H955" s="14" t="n">
        <v>554868.1132640166</v>
      </c>
      <c r="I955" s="14" t="n">
        <v>78769.49891195858</v>
      </c>
      <c r="J955" s="14" t="n">
        <v>34318.92202097575</v>
      </c>
      <c r="K955" s="14" t="n">
        <v>32081.96538642434</v>
      </c>
      <c r="L955" s="14" t="n">
        <v>288023.609975598</v>
      </c>
      <c r="M955" s="14" t="n">
        <v>0</v>
      </c>
      <c r="N955" s="14" t="n">
        <v>580562.9483936984</v>
      </c>
      <c r="O955" s="14" t="n">
        <v>686508.9000047871</v>
      </c>
      <c r="P955" s="14" t="n">
        <v>27274.38894743078</v>
      </c>
      <c r="Q955" s="14" t="n">
        <v>7701506.092222685</v>
      </c>
      <c r="R955" s="15">
        <f>IF(D955=1,"Section 1","Control")</f>
        <v/>
      </c>
      <c r="S955" s="16">
        <f>N955/10000</f>
        <v/>
      </c>
      <c r="T955" s="16">
        <f>P955/10000</f>
        <v/>
      </c>
      <c r="U955" s="15">
        <f>IF(N955&gt;=Summary!$D$3,1,0)</f>
        <v/>
      </c>
      <c r="V955" s="17">
        <f>IF(N955&gt;0,P955/N955,"")</f>
        <v/>
      </c>
      <c r="W955" s="17">
        <f>IF(O955&gt;0,H955/O955,"")</f>
        <v/>
      </c>
    </row>
    <row r="956">
      <c r="A956" s="13" t="inlineStr">
        <is>
          <t>T35_B1</t>
        </is>
      </c>
      <c r="B956" s="13" t="inlineStr">
        <is>
          <t>T35</t>
        </is>
      </c>
      <c r="C956" s="13" t="inlineStr">
        <is>
          <t>B1</t>
        </is>
      </c>
      <c r="D956" s="13" t="n">
        <v>1</v>
      </c>
      <c r="E956" s="13" t="inlineStr">
        <is>
          <t>S1</t>
        </is>
      </c>
      <c r="F956" s="13" t="n">
        <v>2022</v>
      </c>
      <c r="G956" s="14" t="n">
        <v>988062.1095589732</v>
      </c>
      <c r="H956" s="14" t="n">
        <v>527809.0352051379</v>
      </c>
      <c r="I956" s="14" t="n">
        <v>85952.19008789063</v>
      </c>
      <c r="J956" s="14" t="n">
        <v>35009.97667032878</v>
      </c>
      <c r="K956" s="14" t="n">
        <v>45244.46444328158</v>
      </c>
      <c r="L956" s="14" t="n">
        <v>294046.4431523343</v>
      </c>
      <c r="M956" s="14" t="n">
        <v>0</v>
      </c>
      <c r="N956" s="14" t="n">
        <v>580562.9483936984</v>
      </c>
      <c r="O956" s="14" t="n">
        <v>686508.9000047871</v>
      </c>
      <c r="P956" s="14" t="n">
        <v>53839.85609017167</v>
      </c>
      <c r="Q956" s="14" t="n">
        <v>7701506.092222685</v>
      </c>
      <c r="R956" s="15">
        <f>IF(D956=1,"Section 1","Control")</f>
        <v/>
      </c>
      <c r="S956" s="16">
        <f>N956/10000</f>
        <v/>
      </c>
      <c r="T956" s="16">
        <f>P956/10000</f>
        <v/>
      </c>
      <c r="U956" s="15">
        <f>IF(N956&gt;=Summary!$D$3,1,0)</f>
        <v/>
      </c>
      <c r="V956" s="17">
        <f>IF(N956&gt;0,P956/N956,"")</f>
        <v/>
      </c>
      <c r="W956" s="17">
        <f>IF(O956&gt;0,H956/O956,"")</f>
        <v/>
      </c>
    </row>
    <row r="957">
      <c r="A957" s="13" t="inlineStr">
        <is>
          <t>T35_B1</t>
        </is>
      </c>
      <c r="B957" s="13" t="inlineStr">
        <is>
          <t>T35</t>
        </is>
      </c>
      <c r="C957" s="13" t="inlineStr">
        <is>
          <t>B1</t>
        </is>
      </c>
      <c r="D957" s="13" t="n">
        <v>1</v>
      </c>
      <c r="E957" s="13" t="inlineStr">
        <is>
          <t>S1</t>
        </is>
      </c>
      <c r="F957" s="13" t="n">
        <v>2023</v>
      </c>
      <c r="G957" s="14" t="n">
        <v>988062.1095589732</v>
      </c>
      <c r="H957" s="14" t="n">
        <v>510175.8202426388</v>
      </c>
      <c r="I957" s="14" t="n">
        <v>74362.19203278785</v>
      </c>
      <c r="J957" s="14" t="n">
        <v>35306.14308268229</v>
      </c>
      <c r="K957" s="14" t="n">
        <v>61531.18693793802</v>
      </c>
      <c r="L957" s="14" t="n">
        <v>306686.7672629264</v>
      </c>
      <c r="M957" s="14" t="n">
        <v>0</v>
      </c>
      <c r="N957" s="14" t="n">
        <v>580562.9483936984</v>
      </c>
      <c r="O957" s="14" t="n">
        <v>686508.9000047871</v>
      </c>
      <c r="P957" s="14" t="n">
        <v>71176.90506756354</v>
      </c>
      <c r="Q957" s="14" t="n">
        <v>7701506.092222686</v>
      </c>
      <c r="R957" s="15">
        <f>IF(D957=1,"Section 1","Control")</f>
        <v/>
      </c>
      <c r="S957" s="16">
        <f>N957/10000</f>
        <v/>
      </c>
      <c r="T957" s="16">
        <f>P957/10000</f>
        <v/>
      </c>
      <c r="U957" s="15">
        <f>IF(N957&gt;=Summary!$D$3,1,0)</f>
        <v/>
      </c>
      <c r="V957" s="17">
        <f>IF(N957&gt;0,P957/N957,"")</f>
        <v/>
      </c>
      <c r="W957" s="17">
        <f>IF(O957&gt;0,H957/O957,"")</f>
        <v/>
      </c>
    </row>
    <row r="958">
      <c r="A958" s="13" t="inlineStr">
        <is>
          <t>T35_B1</t>
        </is>
      </c>
      <c r="B958" s="13" t="inlineStr">
        <is>
          <t>T35</t>
        </is>
      </c>
      <c r="C958" s="13" t="inlineStr">
        <is>
          <t>B1</t>
        </is>
      </c>
      <c r="D958" s="13" t="n">
        <v>1</v>
      </c>
      <c r="E958" s="13" t="inlineStr">
        <is>
          <t>S1</t>
        </is>
      </c>
      <c r="F958" s="13" t="n">
        <v>2024</v>
      </c>
      <c r="G958" s="14" t="n">
        <v>988062.1095589732</v>
      </c>
      <c r="H958" s="14" t="n">
        <v>519994.5972347484</v>
      </c>
      <c r="I958" s="14" t="n">
        <v>68117.55777154063</v>
      </c>
      <c r="J958" s="14" t="n">
        <v>35207.42087656657</v>
      </c>
      <c r="K958" s="14" t="n">
        <v>65365.08744150798</v>
      </c>
      <c r="L958" s="14" t="n">
        <v>299377.4462346097</v>
      </c>
      <c r="M958" s="14" t="n">
        <v>0</v>
      </c>
      <c r="N958" s="14" t="n">
        <v>580562.9483936984</v>
      </c>
      <c r="O958" s="14" t="n">
        <v>686508.9000047871</v>
      </c>
      <c r="P958" s="14" t="n">
        <v>62345.34918293673</v>
      </c>
      <c r="Q958" s="14" t="n">
        <v>7701506.092222685</v>
      </c>
      <c r="R958" s="15">
        <f>IF(D958=1,"Section 1","Control")</f>
        <v/>
      </c>
      <c r="S958" s="16">
        <f>N958/10000</f>
        <v/>
      </c>
      <c r="T958" s="16">
        <f>P958/10000</f>
        <v/>
      </c>
      <c r="U958" s="15">
        <f>IF(N958&gt;=Summary!$D$3,1,0)</f>
        <v/>
      </c>
      <c r="V958" s="17">
        <f>IF(N958&gt;0,P958/N958,"")</f>
        <v/>
      </c>
      <c r="W958" s="17">
        <f>IF(O958&gt;0,H958/O958,"")</f>
        <v/>
      </c>
    </row>
    <row r="959">
      <c r="A959" s="13" t="inlineStr">
        <is>
          <t>T35_B1</t>
        </is>
      </c>
      <c r="B959" s="13" t="inlineStr">
        <is>
          <t>T35</t>
        </is>
      </c>
      <c r="C959" s="13" t="inlineStr">
        <is>
          <t>B1</t>
        </is>
      </c>
      <c r="D959" s="13" t="n">
        <v>1</v>
      </c>
      <c r="E959" s="13" t="inlineStr">
        <is>
          <t>S1</t>
        </is>
      </c>
      <c r="F959" s="13" t="n">
        <v>2025</v>
      </c>
      <c r="G959" s="14" t="n">
        <v>988062.1095589732</v>
      </c>
      <c r="H959" s="14" t="n">
        <v>496011.3721391865</v>
      </c>
      <c r="I959" s="14" t="n">
        <v>86138.76962842754</v>
      </c>
      <c r="J959" s="14" t="n">
        <v>34812.53221232096</v>
      </c>
      <c r="K959" s="14" t="n">
        <v>65498.61300300151</v>
      </c>
      <c r="L959" s="14" t="n">
        <v>305600.8225760368</v>
      </c>
      <c r="M959" s="14" t="n">
        <v>0</v>
      </c>
      <c r="N959" s="14" t="n">
        <v>580562.9483936984</v>
      </c>
      <c r="O959" s="14" t="n">
        <v>686508.9000047871</v>
      </c>
      <c r="P959" s="14" t="n">
        <v>84847.74256768318</v>
      </c>
      <c r="Q959" s="14" t="n">
        <v>7701506.092222686</v>
      </c>
      <c r="R959" s="15">
        <f>IF(D959=1,"Section 1","Control")</f>
        <v/>
      </c>
      <c r="S959" s="16">
        <f>N959/10000</f>
        <v/>
      </c>
      <c r="T959" s="16">
        <f>P959/10000</f>
        <v/>
      </c>
      <c r="U959" s="15">
        <f>IF(N959&gt;=Summary!$D$3,1,0)</f>
        <v/>
      </c>
      <c r="V959" s="17">
        <f>IF(N959&gt;0,P959/N959,"")</f>
        <v/>
      </c>
      <c r="W959" s="17">
        <f>IF(O959&gt;0,H959/O959,"")</f>
        <v/>
      </c>
    </row>
    <row r="960">
      <c r="A960" s="13" t="inlineStr">
        <is>
          <t>T35_B1</t>
        </is>
      </c>
      <c r="B960" s="13" t="inlineStr">
        <is>
          <t>T35</t>
        </is>
      </c>
      <c r="C960" s="13" t="inlineStr">
        <is>
          <t>B1</t>
        </is>
      </c>
      <c r="D960" s="13" t="n">
        <v>1</v>
      </c>
      <c r="E960" s="13" t="inlineStr">
        <is>
          <t>S1</t>
        </is>
      </c>
      <c r="F960" s="13" t="n">
        <v>2026</v>
      </c>
      <c r="G960" s="14" t="n">
        <v>988062.1095589732</v>
      </c>
      <c r="H960" s="14" t="n">
        <v>459349.419611942</v>
      </c>
      <c r="I960" s="14" t="n">
        <v>77367.93778860055</v>
      </c>
      <c r="J960" s="14" t="n">
        <v>35306.14308268229</v>
      </c>
      <c r="K960" s="14" t="n">
        <v>112412.2314994064</v>
      </c>
      <c r="L960" s="14" t="n">
        <v>303626.3775763419</v>
      </c>
      <c r="M960" s="14" t="n">
        <v>0</v>
      </c>
      <c r="N960" s="14" t="n">
        <v>580562.9483936984</v>
      </c>
      <c r="O960" s="14" t="n">
        <v>686508.9000047871</v>
      </c>
      <c r="P960" s="14" t="n">
        <v>122694.3604391659</v>
      </c>
      <c r="Q960" s="14" t="n">
        <v>7701506.092222685</v>
      </c>
      <c r="R960" s="15">
        <f>IF(D960=1,"Section 1","Control")</f>
        <v/>
      </c>
      <c r="S960" s="16">
        <f>N960/10000</f>
        <v/>
      </c>
      <c r="T960" s="16">
        <f>P960/10000</f>
        <v/>
      </c>
      <c r="U960" s="15">
        <f>IF(N960&gt;=Summary!$D$3,1,0)</f>
        <v/>
      </c>
      <c r="V960" s="17">
        <f>IF(N960&gt;0,P960/N960,"")</f>
        <v/>
      </c>
      <c r="W960" s="17">
        <f>IF(O960&gt;0,H960/O960,"")</f>
        <v/>
      </c>
    </row>
    <row r="961">
      <c r="A961" s="13" t="inlineStr">
        <is>
          <t>T35_B2</t>
        </is>
      </c>
      <c r="B961" s="13" t="inlineStr">
        <is>
          <t>T35</t>
        </is>
      </c>
      <c r="C961" s="13" t="inlineStr">
        <is>
          <t>B2</t>
        </is>
      </c>
      <c r="D961" s="13" t="n">
        <v>1</v>
      </c>
      <c r="E961" s="13" t="inlineStr">
        <is>
          <t>S1</t>
        </is>
      </c>
      <c r="F961" s="13" t="n">
        <v>2020</v>
      </c>
      <c r="G961" s="14" t="n">
        <v>987685.9323200301</v>
      </c>
      <c r="H961" s="14" t="n">
        <v>451379.7353838153</v>
      </c>
      <c r="I961" s="14" t="n">
        <v>98.72071075439452</v>
      </c>
      <c r="J961" s="14" t="n">
        <v>0</v>
      </c>
      <c r="K961" s="14" t="n">
        <v>3455.227600097656</v>
      </c>
      <c r="L961" s="14" t="n">
        <v>532752.2486253628</v>
      </c>
      <c r="M961" s="14" t="n">
        <v>0</v>
      </c>
      <c r="N961" s="14" t="n">
        <v>451379.7353838153</v>
      </c>
      <c r="O961" s="14" t="n">
        <v>454933.6836946673</v>
      </c>
      <c r="P961" s="14" t="n">
        <v>0</v>
      </c>
      <c r="Q961" s="14" t="n">
        <v>5174859.94108079</v>
      </c>
      <c r="R961" s="15">
        <f>IF(D961=1,"Section 1","Control")</f>
        <v/>
      </c>
      <c r="S961" s="16">
        <f>N961/10000</f>
        <v/>
      </c>
      <c r="T961" s="16">
        <f>P961/10000</f>
        <v/>
      </c>
      <c r="U961" s="15">
        <f>IF(N961&gt;=Summary!$D$3,1,0)</f>
        <v/>
      </c>
      <c r="V961" s="17">
        <f>IF(N961&gt;0,P961/N961,"")</f>
        <v/>
      </c>
      <c r="W961" s="17">
        <f>IF(O961&gt;0,H961/O961,"")</f>
        <v/>
      </c>
    </row>
    <row r="962">
      <c r="A962" s="13" t="inlineStr">
        <is>
          <t>T35_B2</t>
        </is>
      </c>
      <c r="B962" s="13" t="inlineStr">
        <is>
          <t>T35</t>
        </is>
      </c>
      <c r="C962" s="13" t="inlineStr">
        <is>
          <t>B2</t>
        </is>
      </c>
      <c r="D962" s="13" t="n">
        <v>1</v>
      </c>
      <c r="E962" s="13" t="inlineStr">
        <is>
          <t>S1</t>
        </is>
      </c>
      <c r="F962" s="13" t="n">
        <v>2021</v>
      </c>
      <c r="G962" s="14" t="n">
        <v>987685.9323200301</v>
      </c>
      <c r="H962" s="14" t="n">
        <v>451083.5729463763</v>
      </c>
      <c r="I962" s="14" t="n">
        <v>296.1623001098633</v>
      </c>
      <c r="J962" s="14" t="n">
        <v>0</v>
      </c>
      <c r="K962" s="14" t="n">
        <v>3652.669258117676</v>
      </c>
      <c r="L962" s="14" t="n">
        <v>532653.5278154262</v>
      </c>
      <c r="M962" s="14" t="n">
        <v>0</v>
      </c>
      <c r="N962" s="14" t="n">
        <v>451379.7353838153</v>
      </c>
      <c r="O962" s="14" t="n">
        <v>454933.6836946673</v>
      </c>
      <c r="P962" s="14" t="n">
        <v>296.1624374389648</v>
      </c>
      <c r="Q962" s="14" t="n">
        <v>5174859.94108079</v>
      </c>
      <c r="R962" s="15">
        <f>IF(D962=1,"Section 1","Control")</f>
        <v/>
      </c>
      <c r="S962" s="16">
        <f>N962/10000</f>
        <v/>
      </c>
      <c r="T962" s="16">
        <f>P962/10000</f>
        <v/>
      </c>
      <c r="U962" s="15">
        <f>IF(N962&gt;=Summary!$D$3,1,0)</f>
        <v/>
      </c>
      <c r="V962" s="17">
        <f>IF(N962&gt;0,P962/N962,"")</f>
        <v/>
      </c>
      <c r="W962" s="17">
        <f>IF(O962&gt;0,H962/O962,"")</f>
        <v/>
      </c>
    </row>
    <row r="963">
      <c r="A963" s="13" t="inlineStr">
        <is>
          <t>T35_B2</t>
        </is>
      </c>
      <c r="B963" s="13" t="inlineStr">
        <is>
          <t>T35</t>
        </is>
      </c>
      <c r="C963" s="13" t="inlineStr">
        <is>
          <t>B2</t>
        </is>
      </c>
      <c r="D963" s="13" t="n">
        <v>1</v>
      </c>
      <c r="E963" s="13" t="inlineStr">
        <is>
          <t>S1</t>
        </is>
      </c>
      <c r="F963" s="13" t="n">
        <v>2022</v>
      </c>
      <c r="G963" s="14" t="n">
        <v>987685.9323200301</v>
      </c>
      <c r="H963" s="14" t="n">
        <v>450096.3656480975</v>
      </c>
      <c r="I963" s="14" t="n">
        <v>2566.739898681641</v>
      </c>
      <c r="J963" s="14" t="n">
        <v>0</v>
      </c>
      <c r="K963" s="14" t="n">
        <v>2369.298957824707</v>
      </c>
      <c r="L963" s="14" t="n">
        <v>532653.5278154262</v>
      </c>
      <c r="M963" s="14" t="n">
        <v>0</v>
      </c>
      <c r="N963" s="14" t="n">
        <v>451379.7353838153</v>
      </c>
      <c r="O963" s="14" t="n">
        <v>454933.6836946673</v>
      </c>
      <c r="P963" s="14" t="n">
        <v>1283.369735717773</v>
      </c>
      <c r="Q963" s="14" t="n">
        <v>5174859.94108079</v>
      </c>
      <c r="R963" s="15">
        <f>IF(D963=1,"Section 1","Control")</f>
        <v/>
      </c>
      <c r="S963" s="16">
        <f>N963/10000</f>
        <v/>
      </c>
      <c r="T963" s="16">
        <f>P963/10000</f>
        <v/>
      </c>
      <c r="U963" s="15">
        <f>IF(N963&gt;=Summary!$D$3,1,0)</f>
        <v/>
      </c>
      <c r="V963" s="17">
        <f>IF(N963&gt;0,P963/N963,"")</f>
        <v/>
      </c>
      <c r="W963" s="17">
        <f>IF(O963&gt;0,H963/O963,"")</f>
        <v/>
      </c>
    </row>
    <row r="964">
      <c r="A964" s="13" t="inlineStr">
        <is>
          <t>T35_B2</t>
        </is>
      </c>
      <c r="B964" s="13" t="inlineStr">
        <is>
          <t>T35</t>
        </is>
      </c>
      <c r="C964" s="13" t="inlineStr">
        <is>
          <t>B2</t>
        </is>
      </c>
      <c r="D964" s="13" t="n">
        <v>1</v>
      </c>
      <c r="E964" s="13" t="inlineStr">
        <is>
          <t>S1</t>
        </is>
      </c>
      <c r="F964" s="13" t="n">
        <v>2023</v>
      </c>
      <c r="G964" s="14" t="n">
        <v>987685.9323200301</v>
      </c>
      <c r="H964" s="14" t="n">
        <v>448738.2755006976</v>
      </c>
      <c r="I964" s="14" t="n">
        <v>768.0867377786076</v>
      </c>
      <c r="J964" s="14" t="n">
        <v>0</v>
      </c>
      <c r="K964" s="14" t="n">
        <v>5526.042266127643</v>
      </c>
      <c r="L964" s="14" t="n">
        <v>532653.5278154262</v>
      </c>
      <c r="M964" s="14" t="n">
        <v>0</v>
      </c>
      <c r="N964" s="14" t="n">
        <v>451379.7353838153</v>
      </c>
      <c r="O964" s="14" t="n">
        <v>454933.6836946673</v>
      </c>
      <c r="P964" s="14" t="n">
        <v>3036.343092346191</v>
      </c>
      <c r="Q964" s="14" t="n">
        <v>5174859.94108079</v>
      </c>
      <c r="R964" s="15">
        <f>IF(D964=1,"Section 1","Control")</f>
        <v/>
      </c>
      <c r="S964" s="16">
        <f>N964/10000</f>
        <v/>
      </c>
      <c r="T964" s="16">
        <f>P964/10000</f>
        <v/>
      </c>
      <c r="U964" s="15">
        <f>IF(N964&gt;=Summary!$D$3,1,0)</f>
        <v/>
      </c>
      <c r="V964" s="17">
        <f>IF(N964&gt;0,P964/N964,"")</f>
        <v/>
      </c>
      <c r="W964" s="17">
        <f>IF(O964&gt;0,H964/O964,"")</f>
        <v/>
      </c>
    </row>
    <row r="965">
      <c r="A965" s="13" t="inlineStr">
        <is>
          <t>T35_B2</t>
        </is>
      </c>
      <c r="B965" s="13" t="inlineStr">
        <is>
          <t>T35</t>
        </is>
      </c>
      <c r="C965" s="13" t="inlineStr">
        <is>
          <t>B2</t>
        </is>
      </c>
      <c r="D965" s="13" t="n">
        <v>1</v>
      </c>
      <c r="E965" s="13" t="inlineStr">
        <is>
          <t>S1</t>
        </is>
      </c>
      <c r="F965" s="13" t="n">
        <v>2024</v>
      </c>
      <c r="G965" s="14" t="n">
        <v>987685.9323200301</v>
      </c>
      <c r="H965" s="14" t="n">
        <v>448914.0401559566</v>
      </c>
      <c r="I965" s="14" t="n">
        <v>592.3247756958008</v>
      </c>
      <c r="J965" s="14" t="n">
        <v>0</v>
      </c>
      <c r="K965" s="14" t="n">
        <v>5526.039572951373</v>
      </c>
      <c r="L965" s="14" t="n">
        <v>532653.5278154262</v>
      </c>
      <c r="M965" s="14" t="n">
        <v>0</v>
      </c>
      <c r="N965" s="14" t="n">
        <v>451379.7353838153</v>
      </c>
      <c r="O965" s="14" t="n">
        <v>454933.6836946673</v>
      </c>
      <c r="P965" s="14" t="n">
        <v>2959.2993004294</v>
      </c>
      <c r="Q965" s="14" t="n">
        <v>5174859.94108079</v>
      </c>
      <c r="R965" s="15">
        <f>IF(D965=1,"Section 1","Control")</f>
        <v/>
      </c>
      <c r="S965" s="16">
        <f>N965/10000</f>
        <v/>
      </c>
      <c r="T965" s="16">
        <f>P965/10000</f>
        <v/>
      </c>
      <c r="U965" s="15">
        <f>IF(N965&gt;=Summary!$D$3,1,0)</f>
        <v/>
      </c>
      <c r="V965" s="17">
        <f>IF(N965&gt;0,P965/N965,"")</f>
        <v/>
      </c>
      <c r="W965" s="17">
        <f>IF(O965&gt;0,H965/O965,"")</f>
        <v/>
      </c>
    </row>
    <row r="966">
      <c r="A966" s="13" t="inlineStr">
        <is>
          <t>T35_B2</t>
        </is>
      </c>
      <c r="B966" s="13" t="inlineStr">
        <is>
          <t>T35</t>
        </is>
      </c>
      <c r="C966" s="13" t="inlineStr">
        <is>
          <t>B2</t>
        </is>
      </c>
      <c r="D966" s="13" t="n">
        <v>1</v>
      </c>
      <c r="E966" s="13" t="inlineStr">
        <is>
          <t>S1</t>
        </is>
      </c>
      <c r="F966" s="13" t="n">
        <v>2025</v>
      </c>
      <c r="G966" s="14" t="n">
        <v>987685.9323200301</v>
      </c>
      <c r="H966" s="14" t="n">
        <v>449308.9234033321</v>
      </c>
      <c r="I966" s="14" t="n">
        <v>394.8828353881836</v>
      </c>
      <c r="J966" s="14" t="n">
        <v>0</v>
      </c>
      <c r="K966" s="14" t="n">
        <v>5328.598265883502</v>
      </c>
      <c r="L966" s="14" t="n">
        <v>532653.5278154262</v>
      </c>
      <c r="M966" s="14" t="n">
        <v>0</v>
      </c>
      <c r="N966" s="14" t="n">
        <v>451379.7353838153</v>
      </c>
      <c r="O966" s="14" t="n">
        <v>454933.6836946673</v>
      </c>
      <c r="P966" s="14" t="n">
        <v>2959.2993004294</v>
      </c>
      <c r="Q966" s="14" t="n">
        <v>5174859.94108079</v>
      </c>
      <c r="R966" s="15">
        <f>IF(D966=1,"Section 1","Control")</f>
        <v/>
      </c>
      <c r="S966" s="16">
        <f>N966/10000</f>
        <v/>
      </c>
      <c r="T966" s="16">
        <f>P966/10000</f>
        <v/>
      </c>
      <c r="U966" s="15">
        <f>IF(N966&gt;=Summary!$D$3,1,0)</f>
        <v/>
      </c>
      <c r="V966" s="17">
        <f>IF(N966&gt;0,P966/N966,"")</f>
        <v/>
      </c>
      <c r="W966" s="17">
        <f>IF(O966&gt;0,H966/O966,"")</f>
        <v/>
      </c>
    </row>
    <row r="967">
      <c r="A967" s="13" t="inlineStr">
        <is>
          <t>T35_B2</t>
        </is>
      </c>
      <c r="B967" s="13" t="inlineStr">
        <is>
          <t>T35</t>
        </is>
      </c>
      <c r="C967" s="13" t="inlineStr">
        <is>
          <t>B2</t>
        </is>
      </c>
      <c r="D967" s="13" t="n">
        <v>1</v>
      </c>
      <c r="E967" s="13" t="inlineStr">
        <is>
          <t>S1</t>
        </is>
      </c>
      <c r="F967" s="13" t="n">
        <v>2026</v>
      </c>
      <c r="G967" s="14" t="n">
        <v>987685.9323200301</v>
      </c>
      <c r="H967" s="14" t="n">
        <v>428959.2652233946</v>
      </c>
      <c r="I967" s="14" t="n">
        <v>5294.148298076555</v>
      </c>
      <c r="J967" s="14" t="n">
        <v>0</v>
      </c>
      <c r="K967" s="14" t="n">
        <v>20778.99098313276</v>
      </c>
      <c r="L967" s="14" t="n">
        <v>532653.5278154262</v>
      </c>
      <c r="M967" s="14" t="n">
        <v>0</v>
      </c>
      <c r="N967" s="14" t="n">
        <v>451379.7353838153</v>
      </c>
      <c r="O967" s="14" t="n">
        <v>454933.6836946673</v>
      </c>
      <c r="P967" s="14" t="n">
        <v>22420.47016042074</v>
      </c>
      <c r="Q967" s="14" t="n">
        <v>5174859.94108079</v>
      </c>
      <c r="R967" s="15">
        <f>IF(D967=1,"Section 1","Control")</f>
        <v/>
      </c>
      <c r="S967" s="16">
        <f>N967/10000</f>
        <v/>
      </c>
      <c r="T967" s="16">
        <f>P967/10000</f>
        <v/>
      </c>
      <c r="U967" s="15">
        <f>IF(N967&gt;=Summary!$D$3,1,0)</f>
        <v/>
      </c>
      <c r="V967" s="17">
        <f>IF(N967&gt;0,P967/N967,"")</f>
        <v/>
      </c>
      <c r="W967" s="17">
        <f>IF(O967&gt;0,H967/O967,"")</f>
        <v/>
      </c>
    </row>
    <row r="968">
      <c r="A968" s="13" t="inlineStr">
        <is>
          <t>T35_B3</t>
        </is>
      </c>
      <c r="B968" s="13" t="inlineStr">
        <is>
          <t>T35</t>
        </is>
      </c>
      <c r="C968" s="13" t="inlineStr">
        <is>
          <t>B3</t>
        </is>
      </c>
      <c r="D968" s="13" t="n">
        <v>1</v>
      </c>
      <c r="E968" s="13" t="inlineStr">
        <is>
          <t>S1</t>
        </is>
      </c>
      <c r="F968" s="13" t="n">
        <v>2020</v>
      </c>
      <c r="G968" s="14" t="n">
        <v>7974269.770499943</v>
      </c>
      <c r="H968" s="14" t="n">
        <v>1437823.146036514</v>
      </c>
      <c r="I968" s="14" t="n">
        <v>168288.1352060356</v>
      </c>
      <c r="J968" s="14" t="n">
        <v>0</v>
      </c>
      <c r="K968" s="14" t="n">
        <v>1221032.376102313</v>
      </c>
      <c r="L968" s="14" t="n">
        <v>5147126.113155081</v>
      </c>
      <c r="M968" s="14" t="n">
        <v>0</v>
      </c>
      <c r="N968" s="14" t="n">
        <v>1437823.146036514</v>
      </c>
      <c r="O968" s="14" t="n">
        <v>2827143.657344863</v>
      </c>
      <c r="P968" s="14" t="n">
        <v>0</v>
      </c>
      <c r="Q968" s="14" t="n">
        <v>27892792.91075404</v>
      </c>
      <c r="R968" s="15">
        <f>IF(D968=1,"Section 1","Control")</f>
        <v/>
      </c>
      <c r="S968" s="16">
        <f>N968/10000</f>
        <v/>
      </c>
      <c r="T968" s="16">
        <f>P968/10000</f>
        <v/>
      </c>
      <c r="U968" s="15">
        <f>IF(N968&gt;=Summary!$D$3,1,0)</f>
        <v/>
      </c>
      <c r="V968" s="17">
        <f>IF(N968&gt;0,P968/N968,"")</f>
        <v/>
      </c>
      <c r="W968" s="17">
        <f>IF(O968&gt;0,H968/O968,"")</f>
        <v/>
      </c>
    </row>
    <row r="969">
      <c r="A969" s="13" t="inlineStr">
        <is>
          <t>T35_B3</t>
        </is>
      </c>
      <c r="B969" s="13" t="inlineStr">
        <is>
          <t>T35</t>
        </is>
      </c>
      <c r="C969" s="13" t="inlineStr">
        <is>
          <t>B3</t>
        </is>
      </c>
      <c r="D969" s="13" t="n">
        <v>1</v>
      </c>
      <c r="E969" s="13" t="inlineStr">
        <is>
          <t>S1</t>
        </is>
      </c>
      <c r="F969" s="13" t="n">
        <v>2021</v>
      </c>
      <c r="G969" s="14" t="n">
        <v>7974269.770499944</v>
      </c>
      <c r="H969" s="14" t="n">
        <v>1331568.527653533</v>
      </c>
      <c r="I969" s="14" t="n">
        <v>130916.3341866587</v>
      </c>
      <c r="J969" s="14" t="n">
        <v>0</v>
      </c>
      <c r="K969" s="14" t="n">
        <v>1364658.795504671</v>
      </c>
      <c r="L969" s="14" t="n">
        <v>5147126.11315508</v>
      </c>
      <c r="M969" s="14" t="n">
        <v>0</v>
      </c>
      <c r="N969" s="14" t="n">
        <v>1437823.146036514</v>
      </c>
      <c r="O969" s="14" t="n">
        <v>2827143.657344863</v>
      </c>
      <c r="P969" s="14" t="n">
        <v>118495.6478400735</v>
      </c>
      <c r="Q969" s="14" t="n">
        <v>27892792.91075404</v>
      </c>
      <c r="R969" s="15">
        <f>IF(D969=1,"Section 1","Control")</f>
        <v/>
      </c>
      <c r="S969" s="16">
        <f>N969/10000</f>
        <v/>
      </c>
      <c r="T969" s="16">
        <f>P969/10000</f>
        <v/>
      </c>
      <c r="U969" s="15">
        <f>IF(N969&gt;=Summary!$D$3,1,0)</f>
        <v/>
      </c>
      <c r="V969" s="17">
        <f>IF(N969&gt;0,P969/N969,"")</f>
        <v/>
      </c>
      <c r="W969" s="17">
        <f>IF(O969&gt;0,H969/O969,"")</f>
        <v/>
      </c>
    </row>
    <row r="970">
      <c r="A970" s="13" t="inlineStr">
        <is>
          <t>T35_B3</t>
        </is>
      </c>
      <c r="B970" s="13" t="inlineStr">
        <is>
          <t>T35</t>
        </is>
      </c>
      <c r="C970" s="13" t="inlineStr">
        <is>
          <t>B3</t>
        </is>
      </c>
      <c r="D970" s="13" t="n">
        <v>1</v>
      </c>
      <c r="E970" s="13" t="inlineStr">
        <is>
          <t>S1</t>
        </is>
      </c>
      <c r="F970" s="13" t="n">
        <v>2022</v>
      </c>
      <c r="G970" s="14" t="n">
        <v>7974269.770499943</v>
      </c>
      <c r="H970" s="14" t="n">
        <v>1225314.50841205</v>
      </c>
      <c r="I970" s="14" t="n">
        <v>103366.7929180968</v>
      </c>
      <c r="J970" s="14" t="n">
        <v>0</v>
      </c>
      <c r="K970" s="14" t="n">
        <v>1498462.356014715</v>
      </c>
      <c r="L970" s="14" t="n">
        <v>5147126.11315508</v>
      </c>
      <c r="M970" s="14" t="n">
        <v>0</v>
      </c>
      <c r="N970" s="14" t="n">
        <v>1437823.146036514</v>
      </c>
      <c r="O970" s="14" t="n">
        <v>2827143.657344863</v>
      </c>
      <c r="P970" s="14" t="n">
        <v>220603.5354439829</v>
      </c>
      <c r="Q970" s="14" t="n">
        <v>27892792.91075404</v>
      </c>
      <c r="R970" s="15">
        <f>IF(D970=1,"Section 1","Control")</f>
        <v/>
      </c>
      <c r="S970" s="16">
        <f>N970/10000</f>
        <v/>
      </c>
      <c r="T970" s="16">
        <f>P970/10000</f>
        <v/>
      </c>
      <c r="U970" s="15">
        <f>IF(N970&gt;=Summary!$D$3,1,0)</f>
        <v/>
      </c>
      <c r="V970" s="17">
        <f>IF(N970&gt;0,P970/N970,"")</f>
        <v/>
      </c>
      <c r="W970" s="17">
        <f>IF(O970&gt;0,H970/O970,"")</f>
        <v/>
      </c>
    </row>
    <row r="971">
      <c r="A971" s="13" t="inlineStr">
        <is>
          <t>T35_B3</t>
        </is>
      </c>
      <c r="B971" s="13" t="inlineStr">
        <is>
          <t>T35</t>
        </is>
      </c>
      <c r="C971" s="13" t="inlineStr">
        <is>
          <t>B3</t>
        </is>
      </c>
      <c r="D971" s="13" t="n">
        <v>1</v>
      </c>
      <c r="E971" s="13" t="inlineStr">
        <is>
          <t>S1</t>
        </is>
      </c>
      <c r="F971" s="13" t="n">
        <v>2023</v>
      </c>
      <c r="G971" s="14" t="n">
        <v>7974269.770499943</v>
      </c>
      <c r="H971" s="14" t="n">
        <v>1245731.266459566</v>
      </c>
      <c r="I971" s="14" t="n">
        <v>73845.67468698538</v>
      </c>
      <c r="J971" s="14" t="n">
        <v>0</v>
      </c>
      <c r="K971" s="14" t="n">
        <v>1507566.716198312</v>
      </c>
      <c r="L971" s="14" t="n">
        <v>5147126.11315508</v>
      </c>
      <c r="M971" s="14" t="n">
        <v>0</v>
      </c>
      <c r="N971" s="14" t="n">
        <v>1437823.146036514</v>
      </c>
      <c r="O971" s="14" t="n">
        <v>2827143.657344863</v>
      </c>
      <c r="P971" s="14" t="n">
        <v>211736.8310845169</v>
      </c>
      <c r="Q971" s="14" t="n">
        <v>27892792.91075404</v>
      </c>
      <c r="R971" s="15">
        <f>IF(D971=1,"Section 1","Control")</f>
        <v/>
      </c>
      <c r="S971" s="16">
        <f>N971/10000</f>
        <v/>
      </c>
      <c r="T971" s="16">
        <f>P971/10000</f>
        <v/>
      </c>
      <c r="U971" s="15">
        <f>IF(N971&gt;=Summary!$D$3,1,0)</f>
        <v/>
      </c>
      <c r="V971" s="17">
        <f>IF(N971&gt;0,P971/N971,"")</f>
        <v/>
      </c>
      <c r="W971" s="17">
        <f>IF(O971&gt;0,H971/O971,"")</f>
        <v/>
      </c>
    </row>
    <row r="972">
      <c r="A972" s="13" t="inlineStr">
        <is>
          <t>T35_B3</t>
        </is>
      </c>
      <c r="B972" s="13" t="inlineStr">
        <is>
          <t>T35</t>
        </is>
      </c>
      <c r="C972" s="13" t="inlineStr">
        <is>
          <t>B3</t>
        </is>
      </c>
      <c r="D972" s="13" t="n">
        <v>1</v>
      </c>
      <c r="E972" s="13" t="inlineStr">
        <is>
          <t>S1</t>
        </is>
      </c>
      <c r="F972" s="13" t="n">
        <v>2024</v>
      </c>
      <c r="G972" s="14" t="n">
        <v>7974269.770499943</v>
      </c>
      <c r="H972" s="14" t="n">
        <v>1248903.193281914</v>
      </c>
      <c r="I972" s="14" t="n">
        <v>46786.90143498439</v>
      </c>
      <c r="J972" s="14" t="n">
        <v>0</v>
      </c>
      <c r="K972" s="14" t="n">
        <v>1531453.562627964</v>
      </c>
      <c r="L972" s="14" t="n">
        <v>5147126.11315508</v>
      </c>
      <c r="M972" s="14" t="n">
        <v>0</v>
      </c>
      <c r="N972" s="14" t="n">
        <v>1437823.146036514</v>
      </c>
      <c r="O972" s="14" t="n">
        <v>2827143.657344863</v>
      </c>
      <c r="P972" s="14" t="n">
        <v>218406.9233221316</v>
      </c>
      <c r="Q972" s="14" t="n">
        <v>27892792.91075404</v>
      </c>
      <c r="R972" s="15">
        <f>IF(D972=1,"Section 1","Control")</f>
        <v/>
      </c>
      <c r="S972" s="16">
        <f>N972/10000</f>
        <v/>
      </c>
      <c r="T972" s="16">
        <f>P972/10000</f>
        <v/>
      </c>
      <c r="U972" s="15">
        <f>IF(N972&gt;=Summary!$D$3,1,0)</f>
        <v/>
      </c>
      <c r="V972" s="17">
        <f>IF(N972&gt;0,P972/N972,"")</f>
        <v/>
      </c>
      <c r="W972" s="17">
        <f>IF(O972&gt;0,H972/O972,"")</f>
        <v/>
      </c>
    </row>
    <row r="973">
      <c r="A973" s="13" t="inlineStr">
        <is>
          <t>T35_B3</t>
        </is>
      </c>
      <c r="B973" s="13" t="inlineStr">
        <is>
          <t>T35</t>
        </is>
      </c>
      <c r="C973" s="13" t="inlineStr">
        <is>
          <t>B3</t>
        </is>
      </c>
      <c r="D973" s="13" t="n">
        <v>1</v>
      </c>
      <c r="E973" s="13" t="inlineStr">
        <is>
          <t>S1</t>
        </is>
      </c>
      <c r="F973" s="13" t="n">
        <v>2025</v>
      </c>
      <c r="G973" s="14" t="n">
        <v>7974269.770499943</v>
      </c>
      <c r="H973" s="14" t="n">
        <v>1236374.921700272</v>
      </c>
      <c r="I973" s="14" t="n">
        <v>53285.70046129414</v>
      </c>
      <c r="J973" s="14" t="n">
        <v>0</v>
      </c>
      <c r="K973" s="14" t="n">
        <v>1537483.035183297</v>
      </c>
      <c r="L973" s="14" t="n">
        <v>5147126.113155081</v>
      </c>
      <c r="M973" s="14" t="n">
        <v>0</v>
      </c>
      <c r="N973" s="14" t="n">
        <v>1437823.146036514</v>
      </c>
      <c r="O973" s="14" t="n">
        <v>2827143.657344863</v>
      </c>
      <c r="P973" s="14" t="n">
        <v>224972.9913549984</v>
      </c>
      <c r="Q973" s="14" t="n">
        <v>27892792.91075404</v>
      </c>
      <c r="R973" s="15">
        <f>IF(D973=1,"Section 1","Control")</f>
        <v/>
      </c>
      <c r="S973" s="16">
        <f>N973/10000</f>
        <v/>
      </c>
      <c r="T973" s="16">
        <f>P973/10000</f>
        <v/>
      </c>
      <c r="U973" s="15">
        <f>IF(N973&gt;=Summary!$D$3,1,0)</f>
        <v/>
      </c>
      <c r="V973" s="17">
        <f>IF(N973&gt;0,P973/N973,"")</f>
        <v/>
      </c>
      <c r="W973" s="17">
        <f>IF(O973&gt;0,H973/O973,"")</f>
        <v/>
      </c>
    </row>
    <row r="974">
      <c r="A974" s="13" t="inlineStr">
        <is>
          <t>T35_B3</t>
        </is>
      </c>
      <c r="B974" s="13" t="inlineStr">
        <is>
          <t>T35</t>
        </is>
      </c>
      <c r="C974" s="13" t="inlineStr">
        <is>
          <t>B3</t>
        </is>
      </c>
      <c r="D974" s="13" t="n">
        <v>1</v>
      </c>
      <c r="E974" s="13" t="inlineStr">
        <is>
          <t>S1</t>
        </is>
      </c>
      <c r="F974" s="13" t="n">
        <v>2026</v>
      </c>
      <c r="G974" s="14" t="n">
        <v>7974269.770499943</v>
      </c>
      <c r="H974" s="14" t="n">
        <v>1238417.979101024</v>
      </c>
      <c r="I974" s="14" t="n">
        <v>45943.53248916327</v>
      </c>
      <c r="J974" s="14" t="n">
        <v>0</v>
      </c>
      <c r="K974" s="14" t="n">
        <v>1542782.145754676</v>
      </c>
      <c r="L974" s="14" t="n">
        <v>5147126.11315508</v>
      </c>
      <c r="M974" s="14" t="n">
        <v>0</v>
      </c>
      <c r="N974" s="14" t="n">
        <v>1437823.146036514</v>
      </c>
      <c r="O974" s="14" t="n">
        <v>2827143.657344863</v>
      </c>
      <c r="P974" s="14" t="n">
        <v>235507.4223621742</v>
      </c>
      <c r="Q974" s="14" t="n">
        <v>27892792.91075404</v>
      </c>
      <c r="R974" s="15">
        <f>IF(D974=1,"Section 1","Control")</f>
        <v/>
      </c>
      <c r="S974" s="16">
        <f>N974/10000</f>
        <v/>
      </c>
      <c r="T974" s="16">
        <f>P974/10000</f>
        <v/>
      </c>
      <c r="U974" s="15">
        <f>IF(N974&gt;=Summary!$D$3,1,0)</f>
        <v/>
      </c>
      <c r="V974" s="17">
        <f>IF(N974&gt;0,P974/N974,"")</f>
        <v/>
      </c>
      <c r="W974" s="17">
        <f>IF(O974&gt;0,H974/O974,"")</f>
        <v/>
      </c>
    </row>
    <row r="975">
      <c r="A975" s="13" t="inlineStr">
        <is>
          <t>T35_F</t>
        </is>
      </c>
      <c r="B975" s="13" t="inlineStr">
        <is>
          <t>T35</t>
        </is>
      </c>
      <c r="C975" s="13" t="inlineStr">
        <is>
          <t>F</t>
        </is>
      </c>
      <c r="D975" s="13" t="n">
        <v>1</v>
      </c>
      <c r="E975" s="13" t="inlineStr">
        <is>
          <t>S1</t>
        </is>
      </c>
      <c r="F975" s="13" t="n">
        <v>2020</v>
      </c>
      <c r="G975" s="14" t="n">
        <v>74644.96109173349</v>
      </c>
      <c r="H975" s="14" t="n">
        <v>74644.96109173349</v>
      </c>
      <c r="I975" s="14" t="n">
        <v>0</v>
      </c>
      <c r="J975" s="14" t="n">
        <v>0</v>
      </c>
      <c r="K975" s="14" t="n">
        <v>0</v>
      </c>
      <c r="L975" s="14" t="n">
        <v>0</v>
      </c>
      <c r="M975" s="14" t="n">
        <v>0</v>
      </c>
      <c r="N975" s="14" t="n">
        <v>74644.96109173349</v>
      </c>
      <c r="O975" s="14" t="n">
        <v>74644.96109173349</v>
      </c>
      <c r="P975" s="14" t="n">
        <v>0</v>
      </c>
      <c r="Q975" s="14" t="n">
        <v>827219.9982996322</v>
      </c>
      <c r="R975" s="15">
        <f>IF(D975=1,"Section 1","Control")</f>
        <v/>
      </c>
      <c r="S975" s="16">
        <f>N975/10000</f>
        <v/>
      </c>
      <c r="T975" s="16">
        <f>P975/10000</f>
        <v/>
      </c>
      <c r="U975" s="15">
        <f>IF(N975&gt;=Summary!$D$3,1,0)</f>
        <v/>
      </c>
      <c r="V975" s="17">
        <f>IF(N975&gt;0,P975/N975,"")</f>
        <v/>
      </c>
      <c r="W975" s="17">
        <f>IF(O975&gt;0,H975/O975,"")</f>
        <v/>
      </c>
    </row>
    <row r="976">
      <c r="A976" s="13" t="inlineStr">
        <is>
          <t>T35_F</t>
        </is>
      </c>
      <c r="B976" s="13" t="inlineStr">
        <is>
          <t>T35</t>
        </is>
      </c>
      <c r="C976" s="13" t="inlineStr">
        <is>
          <t>F</t>
        </is>
      </c>
      <c r="D976" s="13" t="n">
        <v>1</v>
      </c>
      <c r="E976" s="13" t="inlineStr">
        <is>
          <t>S1</t>
        </is>
      </c>
      <c r="F976" s="13" t="n">
        <v>2021</v>
      </c>
      <c r="G976" s="14" t="n">
        <v>74644.96109173349</v>
      </c>
      <c r="H976" s="14" t="n">
        <v>74546.23916027597</v>
      </c>
      <c r="I976" s="14" t="n">
        <v>0</v>
      </c>
      <c r="J976" s="14" t="n">
        <v>0</v>
      </c>
      <c r="K976" s="14" t="n">
        <v>98.72193145751952</v>
      </c>
      <c r="L976" s="14" t="n">
        <v>0</v>
      </c>
      <c r="M976" s="14" t="n">
        <v>0</v>
      </c>
      <c r="N976" s="14" t="n">
        <v>74644.96109173349</v>
      </c>
      <c r="O976" s="14" t="n">
        <v>74644.96109173349</v>
      </c>
      <c r="P976" s="14" t="n">
        <v>98.72193145751952</v>
      </c>
      <c r="Q976" s="14" t="n">
        <v>827219.9982996322</v>
      </c>
      <c r="R976" s="15">
        <f>IF(D976=1,"Section 1","Control")</f>
        <v/>
      </c>
      <c r="S976" s="16">
        <f>N976/10000</f>
        <v/>
      </c>
      <c r="T976" s="16">
        <f>P976/10000</f>
        <v/>
      </c>
      <c r="U976" s="15">
        <f>IF(N976&gt;=Summary!$D$3,1,0)</f>
        <v/>
      </c>
      <c r="V976" s="17">
        <f>IF(N976&gt;0,P976/N976,"")</f>
        <v/>
      </c>
      <c r="W976" s="17">
        <f>IF(O976&gt;0,H976/O976,"")</f>
        <v/>
      </c>
    </row>
    <row r="977">
      <c r="A977" s="13" t="inlineStr">
        <is>
          <t>T35_F</t>
        </is>
      </c>
      <c r="B977" s="13" t="inlineStr">
        <is>
          <t>T35</t>
        </is>
      </c>
      <c r="C977" s="13" t="inlineStr">
        <is>
          <t>F</t>
        </is>
      </c>
      <c r="D977" s="13" t="n">
        <v>1</v>
      </c>
      <c r="E977" s="13" t="inlineStr">
        <is>
          <t>S1</t>
        </is>
      </c>
      <c r="F977" s="13" t="n">
        <v>2022</v>
      </c>
      <c r="G977" s="14" t="n">
        <v>74644.96109173349</v>
      </c>
      <c r="H977" s="14" t="n">
        <v>70597.36372540049</v>
      </c>
      <c r="I977" s="14" t="n">
        <v>0</v>
      </c>
      <c r="J977" s="14" t="n">
        <v>0</v>
      </c>
      <c r="K977" s="14" t="n">
        <v>4047.597366333008</v>
      </c>
      <c r="L977" s="14" t="n">
        <v>0</v>
      </c>
      <c r="M977" s="14" t="n">
        <v>0</v>
      </c>
      <c r="N977" s="14" t="n">
        <v>74644.96109173349</v>
      </c>
      <c r="O977" s="14" t="n">
        <v>74644.96109173349</v>
      </c>
      <c r="P977" s="14" t="n">
        <v>4047.597366333008</v>
      </c>
      <c r="Q977" s="14" t="n">
        <v>827219.9982996322</v>
      </c>
      <c r="R977" s="15">
        <f>IF(D977=1,"Section 1","Control")</f>
        <v/>
      </c>
      <c r="S977" s="16">
        <f>N977/10000</f>
        <v/>
      </c>
      <c r="T977" s="16">
        <f>P977/10000</f>
        <v/>
      </c>
      <c r="U977" s="15">
        <f>IF(N977&gt;=Summary!$D$3,1,0)</f>
        <v/>
      </c>
      <c r="V977" s="17">
        <f>IF(N977&gt;0,P977/N977,"")</f>
        <v/>
      </c>
      <c r="W977" s="17">
        <f>IF(O977&gt;0,H977/O977,"")</f>
        <v/>
      </c>
    </row>
    <row r="978">
      <c r="A978" s="13" t="inlineStr">
        <is>
          <t>T35_F</t>
        </is>
      </c>
      <c r="B978" s="13" t="inlineStr">
        <is>
          <t>T35</t>
        </is>
      </c>
      <c r="C978" s="13" t="inlineStr">
        <is>
          <t>F</t>
        </is>
      </c>
      <c r="D978" s="13" t="n">
        <v>1</v>
      </c>
      <c r="E978" s="13" t="inlineStr">
        <is>
          <t>S1</t>
        </is>
      </c>
      <c r="F978" s="13" t="n">
        <v>2023</v>
      </c>
      <c r="G978" s="14" t="n">
        <v>74644.96109173349</v>
      </c>
      <c r="H978" s="14" t="n">
        <v>69864.8860989141</v>
      </c>
      <c r="I978" s="14" t="n">
        <v>0</v>
      </c>
      <c r="J978" s="14" t="n">
        <v>0</v>
      </c>
      <c r="K978" s="14" t="n">
        <v>4780.074992819393</v>
      </c>
      <c r="L978" s="14" t="n">
        <v>0</v>
      </c>
      <c r="M978" s="14" t="n">
        <v>0</v>
      </c>
      <c r="N978" s="14" t="n">
        <v>74644.96109173349</v>
      </c>
      <c r="O978" s="14" t="n">
        <v>74644.96109173349</v>
      </c>
      <c r="P978" s="14" t="n">
        <v>4780.074992819393</v>
      </c>
      <c r="Q978" s="14" t="n">
        <v>827219.9982996322</v>
      </c>
      <c r="R978" s="15">
        <f>IF(D978=1,"Section 1","Control")</f>
        <v/>
      </c>
      <c r="S978" s="16">
        <f>N978/10000</f>
        <v/>
      </c>
      <c r="T978" s="16">
        <f>P978/10000</f>
        <v/>
      </c>
      <c r="U978" s="15">
        <f>IF(N978&gt;=Summary!$D$3,1,0)</f>
        <v/>
      </c>
      <c r="V978" s="17">
        <f>IF(N978&gt;0,P978/N978,"")</f>
        <v/>
      </c>
      <c r="W978" s="17">
        <f>IF(O978&gt;0,H978/O978,"")</f>
        <v/>
      </c>
    </row>
    <row r="979">
      <c r="A979" s="13" t="inlineStr">
        <is>
          <t>T35_F</t>
        </is>
      </c>
      <c r="B979" s="13" t="inlineStr">
        <is>
          <t>T35</t>
        </is>
      </c>
      <c r="C979" s="13" t="inlineStr">
        <is>
          <t>F</t>
        </is>
      </c>
      <c r="D979" s="13" t="n">
        <v>1</v>
      </c>
      <c r="E979" s="13" t="inlineStr">
        <is>
          <t>S1</t>
        </is>
      </c>
      <c r="F979" s="13" t="n">
        <v>2024</v>
      </c>
      <c r="G979" s="14" t="n">
        <v>74644.96109173349</v>
      </c>
      <c r="H979" s="14" t="n">
        <v>69864.8860989141</v>
      </c>
      <c r="I979" s="14" t="n">
        <v>0</v>
      </c>
      <c r="J979" s="14" t="n">
        <v>0</v>
      </c>
      <c r="K979" s="14" t="n">
        <v>4780.074992819393</v>
      </c>
      <c r="L979" s="14" t="n">
        <v>0</v>
      </c>
      <c r="M979" s="14" t="n">
        <v>0</v>
      </c>
      <c r="N979" s="14" t="n">
        <v>74644.96109173349</v>
      </c>
      <c r="O979" s="14" t="n">
        <v>74644.96109173349</v>
      </c>
      <c r="P979" s="14" t="n">
        <v>4780.074992819393</v>
      </c>
      <c r="Q979" s="14" t="n">
        <v>827219.9982996322</v>
      </c>
      <c r="R979" s="15">
        <f>IF(D979=1,"Section 1","Control")</f>
        <v/>
      </c>
      <c r="S979" s="16">
        <f>N979/10000</f>
        <v/>
      </c>
      <c r="T979" s="16">
        <f>P979/10000</f>
        <v/>
      </c>
      <c r="U979" s="15">
        <f>IF(N979&gt;=Summary!$D$3,1,0)</f>
        <v/>
      </c>
      <c r="V979" s="17">
        <f>IF(N979&gt;0,P979/N979,"")</f>
        <v/>
      </c>
      <c r="W979" s="17">
        <f>IF(O979&gt;0,H979/O979,"")</f>
        <v/>
      </c>
    </row>
    <row r="980">
      <c r="A980" s="13" t="inlineStr">
        <is>
          <t>T35_F</t>
        </is>
      </c>
      <c r="B980" s="13" t="inlineStr">
        <is>
          <t>T35</t>
        </is>
      </c>
      <c r="C980" s="13" t="inlineStr">
        <is>
          <t>F</t>
        </is>
      </c>
      <c r="D980" s="13" t="n">
        <v>1</v>
      </c>
      <c r="E980" s="13" t="inlineStr">
        <is>
          <t>S1</t>
        </is>
      </c>
      <c r="F980" s="13" t="n">
        <v>2025</v>
      </c>
      <c r="G980" s="14" t="n">
        <v>74644.96109173349</v>
      </c>
      <c r="H980" s="14" t="n">
        <v>39930.87533258177</v>
      </c>
      <c r="I980" s="14" t="n">
        <v>6471.892615912943</v>
      </c>
      <c r="J980" s="14" t="n">
        <v>0</v>
      </c>
      <c r="K980" s="14" t="n">
        <v>28242.19314323874</v>
      </c>
      <c r="L980" s="14" t="n">
        <v>0</v>
      </c>
      <c r="M980" s="14" t="n">
        <v>0</v>
      </c>
      <c r="N980" s="14" t="n">
        <v>74644.96109173349</v>
      </c>
      <c r="O980" s="14" t="n">
        <v>74644.96109173349</v>
      </c>
      <c r="P980" s="14" t="n">
        <v>34714.08575915168</v>
      </c>
      <c r="Q980" s="14" t="n">
        <v>827219.9982996322</v>
      </c>
      <c r="R980" s="15">
        <f>IF(D980=1,"Section 1","Control")</f>
        <v/>
      </c>
      <c r="S980" s="16">
        <f>N980/10000</f>
        <v/>
      </c>
      <c r="T980" s="16">
        <f>P980/10000</f>
        <v/>
      </c>
      <c r="U980" s="15">
        <f>IF(N980&gt;=Summary!$D$3,1,0)</f>
        <v/>
      </c>
      <c r="V980" s="17">
        <f>IF(N980&gt;0,P980/N980,"")</f>
        <v/>
      </c>
      <c r="W980" s="17">
        <f>IF(O980&gt;0,H980/O980,"")</f>
        <v/>
      </c>
    </row>
    <row r="981">
      <c r="A981" s="13" t="inlineStr">
        <is>
          <t>T35_F</t>
        </is>
      </c>
      <c r="B981" s="13" t="inlineStr">
        <is>
          <t>T35</t>
        </is>
      </c>
      <c r="C981" s="13" t="inlineStr">
        <is>
          <t>F</t>
        </is>
      </c>
      <c r="D981" s="13" t="n">
        <v>1</v>
      </c>
      <c r="E981" s="13" t="inlineStr">
        <is>
          <t>S1</t>
        </is>
      </c>
      <c r="F981" s="13" t="n">
        <v>2026</v>
      </c>
      <c r="G981" s="14" t="n">
        <v>74644.96109173349</v>
      </c>
      <c r="H981" s="14" t="n">
        <v>16141.22474036124</v>
      </c>
      <c r="I981" s="14" t="n">
        <v>24137.29616812912</v>
      </c>
      <c r="J981" s="14" t="n">
        <v>0</v>
      </c>
      <c r="K981" s="14" t="n">
        <v>34366.44018324309</v>
      </c>
      <c r="L981" s="14" t="n">
        <v>0</v>
      </c>
      <c r="M981" s="14" t="n">
        <v>0</v>
      </c>
      <c r="N981" s="14" t="n">
        <v>74644.96109173349</v>
      </c>
      <c r="O981" s="14" t="n">
        <v>74644.96109173349</v>
      </c>
      <c r="P981" s="14" t="n">
        <v>58503.73635137223</v>
      </c>
      <c r="Q981" s="14" t="n">
        <v>827219.9982996322</v>
      </c>
      <c r="R981" s="15">
        <f>IF(D981=1,"Section 1","Control")</f>
        <v/>
      </c>
      <c r="S981" s="16">
        <f>N981/10000</f>
        <v/>
      </c>
      <c r="T981" s="16">
        <f>P981/10000</f>
        <v/>
      </c>
      <c r="U981" s="15">
        <f>IF(N981&gt;=Summary!$D$3,1,0)</f>
        <v/>
      </c>
      <c r="V981" s="17">
        <f>IF(N981&gt;0,P981/N981,"")</f>
        <v/>
      </c>
      <c r="W981" s="17">
        <f>IF(O981&gt;0,H981/O981,"")</f>
        <v/>
      </c>
    </row>
    <row r="982">
      <c r="A982" s="13" t="inlineStr">
        <is>
          <t>T36_B1</t>
        </is>
      </c>
      <c r="B982" s="13" t="inlineStr">
        <is>
          <t>T36</t>
        </is>
      </c>
      <c r="C982" s="13" t="inlineStr">
        <is>
          <t>B1</t>
        </is>
      </c>
      <c r="D982" s="13" t="n">
        <v>1</v>
      </c>
      <c r="E982" s="13" t="inlineStr">
        <is>
          <t>S1</t>
        </is>
      </c>
      <c r="F982" s="13" t="n">
        <v>2020</v>
      </c>
      <c r="G982" s="14" t="n">
        <v>1000149.027490593</v>
      </c>
      <c r="H982" s="14" t="n">
        <v>589636.2916994879</v>
      </c>
      <c r="I982" s="14" t="n">
        <v>71364.36616860183</v>
      </c>
      <c r="J982" s="14" t="n">
        <v>32590.24112791174</v>
      </c>
      <c r="K982" s="14" t="n">
        <v>29552.27885879816</v>
      </c>
      <c r="L982" s="14" t="n">
        <v>277005.8496357936</v>
      </c>
      <c r="M982" s="14" t="n">
        <v>0</v>
      </c>
      <c r="N982" s="14" t="n">
        <v>589636.2916994879</v>
      </c>
      <c r="O982" s="14" t="n">
        <v>723143.1778547995</v>
      </c>
      <c r="P982" s="14" t="n">
        <v>0</v>
      </c>
      <c r="Q982" s="14" t="n">
        <v>8863699.998441694</v>
      </c>
      <c r="R982" s="15">
        <f>IF(D982=1,"Section 1","Control")</f>
        <v/>
      </c>
      <c r="S982" s="16">
        <f>N982/10000</f>
        <v/>
      </c>
      <c r="T982" s="16">
        <f>P982/10000</f>
        <v/>
      </c>
      <c r="U982" s="15">
        <f>IF(N982&gt;=Summary!$D$3,1,0)</f>
        <v/>
      </c>
      <c r="V982" s="17">
        <f>IF(N982&gt;0,P982/N982,"")</f>
        <v/>
      </c>
      <c r="W982" s="17">
        <f>IF(O982&gt;0,H982/O982,"")</f>
        <v/>
      </c>
    </row>
    <row r="983">
      <c r="A983" s="13" t="inlineStr">
        <is>
          <t>T36_B1</t>
        </is>
      </c>
      <c r="B983" s="13" t="inlineStr">
        <is>
          <t>T36</t>
        </is>
      </c>
      <c r="C983" s="13" t="inlineStr">
        <is>
          <t>B1</t>
        </is>
      </c>
      <c r="D983" s="13" t="n">
        <v>1</v>
      </c>
      <c r="E983" s="13" t="inlineStr">
        <is>
          <t>S1</t>
        </is>
      </c>
      <c r="F983" s="13" t="n">
        <v>2021</v>
      </c>
      <c r="G983" s="14" t="n">
        <v>1000149.027490593</v>
      </c>
      <c r="H983" s="14" t="n">
        <v>587195.3429622874</v>
      </c>
      <c r="I983" s="14" t="n">
        <v>70764.32185217165</v>
      </c>
      <c r="J983" s="14" t="n">
        <v>32773.36103575463</v>
      </c>
      <c r="K983" s="14" t="n">
        <v>43658.66073952469</v>
      </c>
      <c r="L983" s="14" t="n">
        <v>265757.3409008549</v>
      </c>
      <c r="M983" s="14" t="n">
        <v>0</v>
      </c>
      <c r="N983" s="14" t="n">
        <v>589636.2916994879</v>
      </c>
      <c r="O983" s="14" t="n">
        <v>723143.1778547995</v>
      </c>
      <c r="P983" s="14" t="n">
        <v>3428.166792925666</v>
      </c>
      <c r="Q983" s="14" t="n">
        <v>8863699.998441692</v>
      </c>
      <c r="R983" s="15">
        <f>IF(D983=1,"Section 1","Control")</f>
        <v/>
      </c>
      <c r="S983" s="16">
        <f>N983/10000</f>
        <v/>
      </c>
      <c r="T983" s="16">
        <f>P983/10000</f>
        <v/>
      </c>
      <c r="U983" s="15">
        <f>IF(N983&gt;=Summary!$D$3,1,0)</f>
        <v/>
      </c>
      <c r="V983" s="17">
        <f>IF(N983&gt;0,P983/N983,"")</f>
        <v/>
      </c>
      <c r="W983" s="17">
        <f>IF(O983&gt;0,H983/O983,"")</f>
        <v/>
      </c>
    </row>
    <row r="984">
      <c r="A984" s="13" t="inlineStr">
        <is>
          <t>T36_B1</t>
        </is>
      </c>
      <c r="B984" s="13" t="inlineStr">
        <is>
          <t>T36</t>
        </is>
      </c>
      <c r="C984" s="13" t="inlineStr">
        <is>
          <t>B1</t>
        </is>
      </c>
      <c r="D984" s="13" t="n">
        <v>1</v>
      </c>
      <c r="E984" s="13" t="inlineStr">
        <is>
          <t>S1</t>
        </is>
      </c>
      <c r="F984" s="13" t="n">
        <v>2022</v>
      </c>
      <c r="G984" s="14" t="n">
        <v>1000149.027490593</v>
      </c>
      <c r="H984" s="14" t="n">
        <v>574621.6582273595</v>
      </c>
      <c r="I984" s="14" t="n">
        <v>88725.10757649739</v>
      </c>
      <c r="J984" s="14" t="n">
        <v>33774.90369505041</v>
      </c>
      <c r="K984" s="14" t="n">
        <v>33131.04582028856</v>
      </c>
      <c r="L984" s="14" t="n">
        <v>269896.3121713975</v>
      </c>
      <c r="M984" s="14" t="n">
        <v>0</v>
      </c>
      <c r="N984" s="14" t="n">
        <v>589636.2916994879</v>
      </c>
      <c r="O984" s="14" t="n">
        <v>723143.1778547997</v>
      </c>
      <c r="P984" s="14" t="n">
        <v>15804.40764205035</v>
      </c>
      <c r="Q984" s="14" t="n">
        <v>8863699.998441694</v>
      </c>
      <c r="R984" s="15">
        <f>IF(D984=1,"Section 1","Control")</f>
        <v/>
      </c>
      <c r="S984" s="16">
        <f>N984/10000</f>
        <v/>
      </c>
      <c r="T984" s="16">
        <f>P984/10000</f>
        <v/>
      </c>
      <c r="U984" s="15">
        <f>IF(N984&gt;=Summary!$D$3,1,0)</f>
        <v/>
      </c>
      <c r="V984" s="17">
        <f>IF(N984&gt;0,P984/N984,"")</f>
        <v/>
      </c>
      <c r="W984" s="17">
        <f>IF(O984&gt;0,H984/O984,"")</f>
        <v/>
      </c>
    </row>
    <row r="985">
      <c r="A985" s="13" t="inlineStr">
        <is>
          <t>T36_B1</t>
        </is>
      </c>
      <c r="B985" s="13" t="inlineStr">
        <is>
          <t>T36</t>
        </is>
      </c>
      <c r="C985" s="13" t="inlineStr">
        <is>
          <t>B1</t>
        </is>
      </c>
      <c r="D985" s="13" t="n">
        <v>1</v>
      </c>
      <c r="E985" s="13" t="inlineStr">
        <is>
          <t>S1</t>
        </is>
      </c>
      <c r="F985" s="13" t="n">
        <v>2023</v>
      </c>
      <c r="G985" s="14" t="n">
        <v>1000149.027490593</v>
      </c>
      <c r="H985" s="14" t="n">
        <v>576438.1387052648</v>
      </c>
      <c r="I985" s="14" t="n">
        <v>79415.41784392711</v>
      </c>
      <c r="J985" s="14" t="n">
        <v>33774.90369505041</v>
      </c>
      <c r="K985" s="14" t="n">
        <v>29664.55828591141</v>
      </c>
      <c r="L985" s="14" t="n">
        <v>280856.0089604396</v>
      </c>
      <c r="M985" s="14" t="n">
        <v>0</v>
      </c>
      <c r="N985" s="14" t="n">
        <v>589636.2916994879</v>
      </c>
      <c r="O985" s="14" t="n">
        <v>723143.1778547997</v>
      </c>
      <c r="P985" s="14" t="n">
        <v>14580.25811965045</v>
      </c>
      <c r="Q985" s="14" t="n">
        <v>8863699.998441694</v>
      </c>
      <c r="R985" s="15">
        <f>IF(D985=1,"Section 1","Control")</f>
        <v/>
      </c>
      <c r="S985" s="16">
        <f>N985/10000</f>
        <v/>
      </c>
      <c r="T985" s="16">
        <f>P985/10000</f>
        <v/>
      </c>
      <c r="U985" s="15">
        <f>IF(N985&gt;=Summary!$D$3,1,0)</f>
        <v/>
      </c>
      <c r="V985" s="17">
        <f>IF(N985&gt;0,P985/N985,"")</f>
        <v/>
      </c>
      <c r="W985" s="17">
        <f>IF(O985&gt;0,H985/O985,"")</f>
        <v/>
      </c>
    </row>
    <row r="986">
      <c r="A986" s="13" t="inlineStr">
        <is>
          <t>T36_B1</t>
        </is>
      </c>
      <c r="B986" s="13" t="inlineStr">
        <is>
          <t>T36</t>
        </is>
      </c>
      <c r="C986" s="13" t="inlineStr">
        <is>
          <t>B1</t>
        </is>
      </c>
      <c r="D986" s="13" t="n">
        <v>1</v>
      </c>
      <c r="E986" s="13" t="inlineStr">
        <is>
          <t>S1</t>
        </is>
      </c>
      <c r="F986" s="13" t="n">
        <v>2024</v>
      </c>
      <c r="G986" s="14" t="n">
        <v>1000149.027490593</v>
      </c>
      <c r="H986" s="14" t="n">
        <v>579501.6122669593</v>
      </c>
      <c r="I986" s="14" t="n">
        <v>77024.43632860371</v>
      </c>
      <c r="J986" s="14" t="n">
        <v>33774.90369505041</v>
      </c>
      <c r="K986" s="14" t="n">
        <v>39103.91477679084</v>
      </c>
      <c r="L986" s="14" t="n">
        <v>270744.1604231891</v>
      </c>
      <c r="M986" s="14" t="n">
        <v>0</v>
      </c>
      <c r="N986" s="14" t="n">
        <v>589636.2916994879</v>
      </c>
      <c r="O986" s="14" t="n">
        <v>723143.1778547995</v>
      </c>
      <c r="P986" s="14" t="n">
        <v>13395.59581191119</v>
      </c>
      <c r="Q986" s="14" t="n">
        <v>8863699.998441692</v>
      </c>
      <c r="R986" s="15">
        <f>IF(D986=1,"Section 1","Control")</f>
        <v/>
      </c>
      <c r="S986" s="16">
        <f>N986/10000</f>
        <v/>
      </c>
      <c r="T986" s="16">
        <f>P986/10000</f>
        <v/>
      </c>
      <c r="U986" s="15">
        <f>IF(N986&gt;=Summary!$D$3,1,0)</f>
        <v/>
      </c>
      <c r="V986" s="17">
        <f>IF(N986&gt;0,P986/N986,"")</f>
        <v/>
      </c>
      <c r="W986" s="17">
        <f>IF(O986&gt;0,H986/O986,"")</f>
        <v/>
      </c>
    </row>
    <row r="987">
      <c r="A987" s="13" t="inlineStr">
        <is>
          <t>T36_B1</t>
        </is>
      </c>
      <c r="B987" s="13" t="inlineStr">
        <is>
          <t>T36</t>
        </is>
      </c>
      <c r="C987" s="13" t="inlineStr">
        <is>
          <t>B1</t>
        </is>
      </c>
      <c r="D987" s="13" t="n">
        <v>1</v>
      </c>
      <c r="E987" s="13" t="inlineStr">
        <is>
          <t>S1</t>
        </is>
      </c>
      <c r="F987" s="13" t="n">
        <v>2025</v>
      </c>
      <c r="G987" s="14" t="n">
        <v>1000149.027490593</v>
      </c>
      <c r="H987" s="14" t="n">
        <v>576080.0332343007</v>
      </c>
      <c r="I987" s="14" t="n">
        <v>79457.61909236535</v>
      </c>
      <c r="J987" s="14" t="n">
        <v>33281.29457944982</v>
      </c>
      <c r="K987" s="14" t="n">
        <v>31503.49123672784</v>
      </c>
      <c r="L987" s="14" t="n">
        <v>279826.5893477496</v>
      </c>
      <c r="M987" s="14" t="n">
        <v>0</v>
      </c>
      <c r="N987" s="14" t="n">
        <v>589636.2916994879</v>
      </c>
      <c r="O987" s="14" t="n">
        <v>723143.1778547995</v>
      </c>
      <c r="P987" s="14" t="n">
        <v>15731.23500234566</v>
      </c>
      <c r="Q987" s="14" t="n">
        <v>8863699.998441694</v>
      </c>
      <c r="R987" s="15">
        <f>IF(D987=1,"Section 1","Control")</f>
        <v/>
      </c>
      <c r="S987" s="16">
        <f>N987/10000</f>
        <v/>
      </c>
      <c r="T987" s="16">
        <f>P987/10000</f>
        <v/>
      </c>
      <c r="U987" s="15">
        <f>IF(N987&gt;=Summary!$D$3,1,0)</f>
        <v/>
      </c>
      <c r="V987" s="17">
        <f>IF(N987&gt;0,P987/N987,"")</f>
        <v/>
      </c>
      <c r="W987" s="17">
        <f>IF(O987&gt;0,H987/O987,"")</f>
        <v/>
      </c>
    </row>
    <row r="988">
      <c r="A988" s="13" t="inlineStr">
        <is>
          <t>T36_B1</t>
        </is>
      </c>
      <c r="B988" s="13" t="inlineStr">
        <is>
          <t>T36</t>
        </is>
      </c>
      <c r="C988" s="13" t="inlineStr">
        <is>
          <t>B1</t>
        </is>
      </c>
      <c r="D988" s="13" t="n">
        <v>1</v>
      </c>
      <c r="E988" s="13" t="inlineStr">
        <is>
          <t>S1</t>
        </is>
      </c>
      <c r="F988" s="13" t="n">
        <v>2026</v>
      </c>
      <c r="G988" s="14" t="n">
        <v>1000149.027490593</v>
      </c>
      <c r="H988" s="14" t="n">
        <v>569808.2999232871</v>
      </c>
      <c r="I988" s="14" t="n">
        <v>74288.47494324329</v>
      </c>
      <c r="J988" s="14" t="n">
        <v>33676.18187803381</v>
      </c>
      <c r="K988" s="14" t="n">
        <v>42944.3706728767</v>
      </c>
      <c r="L988" s="14" t="n">
        <v>279431.7000731524</v>
      </c>
      <c r="M988" s="14" t="n">
        <v>0</v>
      </c>
      <c r="N988" s="14" t="n">
        <v>589636.2916994879</v>
      </c>
      <c r="O988" s="14" t="n">
        <v>723143.1778547995</v>
      </c>
      <c r="P988" s="14" t="n">
        <v>22496.57678046133</v>
      </c>
      <c r="Q988" s="14" t="n">
        <v>8863699.998441692</v>
      </c>
      <c r="R988" s="15">
        <f>IF(D988=1,"Section 1","Control")</f>
        <v/>
      </c>
      <c r="S988" s="16">
        <f>N988/10000</f>
        <v/>
      </c>
      <c r="T988" s="16">
        <f>P988/10000</f>
        <v/>
      </c>
      <c r="U988" s="15">
        <f>IF(N988&gt;=Summary!$D$3,1,0)</f>
        <v/>
      </c>
      <c r="V988" s="17">
        <f>IF(N988&gt;0,P988/N988,"")</f>
        <v/>
      </c>
      <c r="W988" s="17">
        <f>IF(O988&gt;0,H988/O988,"")</f>
        <v/>
      </c>
    </row>
    <row r="989">
      <c r="A989" s="13" t="inlineStr">
        <is>
          <t>T36_B2</t>
        </is>
      </c>
      <c r="B989" s="13" t="inlineStr">
        <is>
          <t>T36</t>
        </is>
      </c>
      <c r="C989" s="13" t="inlineStr">
        <is>
          <t>B2</t>
        </is>
      </c>
      <c r="D989" s="13" t="n">
        <v>1</v>
      </c>
      <c r="E989" s="13" t="inlineStr">
        <is>
          <t>S1</t>
        </is>
      </c>
      <c r="F989" s="13" t="n">
        <v>2020</v>
      </c>
      <c r="G989" s="14" t="n">
        <v>1000162.606181246</v>
      </c>
      <c r="H989" s="14" t="n">
        <v>477333.6448352889</v>
      </c>
      <c r="I989" s="14" t="n">
        <v>0</v>
      </c>
      <c r="J989" s="14" t="n">
        <v>0</v>
      </c>
      <c r="K989" s="14" t="n">
        <v>26104.24490670597</v>
      </c>
      <c r="L989" s="14" t="n">
        <v>496724.716439251</v>
      </c>
      <c r="M989" s="14" t="n">
        <v>0</v>
      </c>
      <c r="N989" s="14" t="n">
        <v>477333.6448352889</v>
      </c>
      <c r="O989" s="14" t="n">
        <v>503437.8897419949</v>
      </c>
      <c r="P989" s="14" t="n">
        <v>0</v>
      </c>
      <c r="Q989" s="14" t="n">
        <v>5425949.833119114</v>
      </c>
      <c r="R989" s="15">
        <f>IF(D989=1,"Section 1","Control")</f>
        <v/>
      </c>
      <c r="S989" s="16">
        <f>N989/10000</f>
        <v/>
      </c>
      <c r="T989" s="16">
        <f>P989/10000</f>
        <v/>
      </c>
      <c r="U989" s="15">
        <f>IF(N989&gt;=Summary!$D$3,1,0)</f>
        <v/>
      </c>
      <c r="V989" s="17">
        <f>IF(N989&gt;0,P989/N989,"")</f>
        <v/>
      </c>
      <c r="W989" s="17">
        <f>IF(O989&gt;0,H989/O989,"")</f>
        <v/>
      </c>
    </row>
    <row r="990">
      <c r="A990" s="13" t="inlineStr">
        <is>
          <t>T36_B2</t>
        </is>
      </c>
      <c r="B990" s="13" t="inlineStr">
        <is>
          <t>T36</t>
        </is>
      </c>
      <c r="C990" s="13" t="inlineStr">
        <is>
          <t>B2</t>
        </is>
      </c>
      <c r="D990" s="13" t="n">
        <v>1</v>
      </c>
      <c r="E990" s="13" t="inlineStr">
        <is>
          <t>S1</t>
        </is>
      </c>
      <c r="F990" s="13" t="n">
        <v>2021</v>
      </c>
      <c r="G990" s="14" t="n">
        <v>1000162.606181246</v>
      </c>
      <c r="H990" s="14" t="n">
        <v>477037.4851902083</v>
      </c>
      <c r="I990" s="14" t="n">
        <v>98.71997833251952</v>
      </c>
      <c r="J990" s="14" t="n">
        <v>0</v>
      </c>
      <c r="K990" s="14" t="n">
        <v>37508.51295477177</v>
      </c>
      <c r="L990" s="14" t="n">
        <v>485517.8880579332</v>
      </c>
      <c r="M990" s="14" t="n">
        <v>0</v>
      </c>
      <c r="N990" s="14" t="n">
        <v>477333.6448352889</v>
      </c>
      <c r="O990" s="14" t="n">
        <v>503437.8897419949</v>
      </c>
      <c r="P990" s="14" t="n">
        <v>296.1596450805664</v>
      </c>
      <c r="Q990" s="14" t="n">
        <v>5425949.833119114</v>
      </c>
      <c r="R990" s="15">
        <f>IF(D990=1,"Section 1","Control")</f>
        <v/>
      </c>
      <c r="S990" s="16">
        <f>N990/10000</f>
        <v/>
      </c>
      <c r="T990" s="16">
        <f>P990/10000</f>
        <v/>
      </c>
      <c r="U990" s="15">
        <f>IF(N990&gt;=Summary!$D$3,1,0)</f>
        <v/>
      </c>
      <c r="V990" s="17">
        <f>IF(N990&gt;0,P990/N990,"")</f>
        <v/>
      </c>
      <c r="W990" s="17">
        <f>IF(O990&gt;0,H990/O990,"")</f>
        <v/>
      </c>
    </row>
    <row r="991">
      <c r="A991" s="13" t="inlineStr">
        <is>
          <t>T36_B2</t>
        </is>
      </c>
      <c r="B991" s="13" t="inlineStr">
        <is>
          <t>T36</t>
        </is>
      </c>
      <c r="C991" s="13" t="inlineStr">
        <is>
          <t>B2</t>
        </is>
      </c>
      <c r="D991" s="13" t="n">
        <v>1</v>
      </c>
      <c r="E991" s="13" t="inlineStr">
        <is>
          <t>S1</t>
        </is>
      </c>
      <c r="F991" s="13" t="n">
        <v>2022</v>
      </c>
      <c r="G991" s="14" t="n">
        <v>1000162.606181246</v>
      </c>
      <c r="H991" s="14" t="n">
        <v>476687.9005085066</v>
      </c>
      <c r="I991" s="14" t="n">
        <v>946.5498407700484</v>
      </c>
      <c r="J991" s="14" t="n">
        <v>0</v>
      </c>
      <c r="K991" s="14" t="n">
        <v>37548.38747881722</v>
      </c>
      <c r="L991" s="14" t="n">
        <v>484979.7683531519</v>
      </c>
      <c r="M991" s="14" t="n">
        <v>0</v>
      </c>
      <c r="N991" s="14" t="n">
        <v>477333.6448352889</v>
      </c>
      <c r="O991" s="14" t="n">
        <v>503437.8897419949</v>
      </c>
      <c r="P991" s="14" t="n">
        <v>645.7443267822266</v>
      </c>
      <c r="Q991" s="14" t="n">
        <v>5425949.833119113</v>
      </c>
      <c r="R991" s="15">
        <f>IF(D991=1,"Section 1","Control")</f>
        <v/>
      </c>
      <c r="S991" s="16">
        <f>N991/10000</f>
        <v/>
      </c>
      <c r="T991" s="16">
        <f>P991/10000</f>
        <v/>
      </c>
      <c r="U991" s="15">
        <f>IF(N991&gt;=Summary!$D$3,1,0)</f>
        <v/>
      </c>
      <c r="V991" s="17">
        <f>IF(N991&gt;0,P991/N991,"")</f>
        <v/>
      </c>
      <c r="W991" s="17">
        <f>IF(O991&gt;0,H991/O991,"")</f>
        <v/>
      </c>
    </row>
    <row r="992">
      <c r="A992" s="13" t="inlineStr">
        <is>
          <t>T36_B2</t>
        </is>
      </c>
      <c r="B992" s="13" t="inlineStr">
        <is>
          <t>T36</t>
        </is>
      </c>
      <c r="C992" s="13" t="inlineStr">
        <is>
          <t>B2</t>
        </is>
      </c>
      <c r="D992" s="13" t="n">
        <v>1</v>
      </c>
      <c r="E992" s="13" t="inlineStr">
        <is>
          <t>S1</t>
        </is>
      </c>
      <c r="F992" s="13" t="n">
        <v>2023</v>
      </c>
      <c r="G992" s="14" t="n">
        <v>1000162.606181246</v>
      </c>
      <c r="H992" s="14" t="n">
        <v>477092.846005279</v>
      </c>
      <c r="I992" s="14" t="n">
        <v>98.71978759765624</v>
      </c>
      <c r="J992" s="14" t="n">
        <v>0</v>
      </c>
      <c r="K992" s="14" t="n">
        <v>35997.13236996521</v>
      </c>
      <c r="L992" s="14" t="n">
        <v>486973.908018404</v>
      </c>
      <c r="M992" s="14" t="n">
        <v>0</v>
      </c>
      <c r="N992" s="14" t="n">
        <v>477333.6448352889</v>
      </c>
      <c r="O992" s="14" t="n">
        <v>503437.8897419949</v>
      </c>
      <c r="P992" s="14" t="n">
        <v>541.6043134801528</v>
      </c>
      <c r="Q992" s="14" t="n">
        <v>5425949.833119114</v>
      </c>
      <c r="R992" s="15">
        <f>IF(D992=1,"Section 1","Control")</f>
        <v/>
      </c>
      <c r="S992" s="16">
        <f>N992/10000</f>
        <v/>
      </c>
      <c r="T992" s="16">
        <f>P992/10000</f>
        <v/>
      </c>
      <c r="U992" s="15">
        <f>IF(N992&gt;=Summary!$D$3,1,0)</f>
        <v/>
      </c>
      <c r="V992" s="17">
        <f>IF(N992&gt;0,P992/N992,"")</f>
        <v/>
      </c>
      <c r="W992" s="17">
        <f>IF(O992&gt;0,H992/O992,"")</f>
        <v/>
      </c>
    </row>
    <row r="993">
      <c r="A993" s="13" t="inlineStr">
        <is>
          <t>T36_B2</t>
        </is>
      </c>
      <c r="B993" s="13" t="inlineStr">
        <is>
          <t>T36</t>
        </is>
      </c>
      <c r="C993" s="13" t="inlineStr">
        <is>
          <t>B2</t>
        </is>
      </c>
      <c r="D993" s="13" t="n">
        <v>1</v>
      </c>
      <c r="E993" s="13" t="inlineStr">
        <is>
          <t>S1</t>
        </is>
      </c>
      <c r="F993" s="13" t="n">
        <v>2024</v>
      </c>
      <c r="G993" s="14" t="n">
        <v>1000162.606181246</v>
      </c>
      <c r="H993" s="14" t="n">
        <v>476697.9661758723</v>
      </c>
      <c r="I993" s="14" t="n">
        <v>197.4399719238281</v>
      </c>
      <c r="J993" s="14" t="n">
        <v>0</v>
      </c>
      <c r="K993" s="14" t="n">
        <v>37334.68867229387</v>
      </c>
      <c r="L993" s="14" t="n">
        <v>485932.5113611559</v>
      </c>
      <c r="M993" s="14" t="n">
        <v>0</v>
      </c>
      <c r="N993" s="14" t="n">
        <v>477333.6448352889</v>
      </c>
      <c r="O993" s="14" t="n">
        <v>503437.8897419949</v>
      </c>
      <c r="P993" s="14" t="n">
        <v>837.7641798131606</v>
      </c>
      <c r="Q993" s="14" t="n">
        <v>5425949.833119114</v>
      </c>
      <c r="R993" s="15">
        <f>IF(D993=1,"Section 1","Control")</f>
        <v/>
      </c>
      <c r="S993" s="16">
        <f>N993/10000</f>
        <v/>
      </c>
      <c r="T993" s="16">
        <f>P993/10000</f>
        <v/>
      </c>
      <c r="U993" s="15">
        <f>IF(N993&gt;=Summary!$D$3,1,0)</f>
        <v/>
      </c>
      <c r="V993" s="17">
        <f>IF(N993&gt;0,P993/N993,"")</f>
        <v/>
      </c>
      <c r="W993" s="17">
        <f>IF(O993&gt;0,H993/O993,"")</f>
        <v/>
      </c>
    </row>
    <row r="994">
      <c r="A994" s="13" t="inlineStr">
        <is>
          <t>T36_B2</t>
        </is>
      </c>
      <c r="B994" s="13" t="inlineStr">
        <is>
          <t>T36</t>
        </is>
      </c>
      <c r="C994" s="13" t="inlineStr">
        <is>
          <t>B2</t>
        </is>
      </c>
      <c r="D994" s="13" t="n">
        <v>1</v>
      </c>
      <c r="E994" s="13" t="inlineStr">
        <is>
          <t>S1</t>
        </is>
      </c>
      <c r="F994" s="13" t="n">
        <v>2025</v>
      </c>
      <c r="G994" s="14" t="n">
        <v>1000162.606181246</v>
      </c>
      <c r="H994" s="14" t="n">
        <v>476895.4061477961</v>
      </c>
      <c r="I994" s="14" t="n">
        <v>98.71978759765624</v>
      </c>
      <c r="J994" s="14" t="n">
        <v>0</v>
      </c>
      <c r="K994" s="14" t="n">
        <v>29475.81813462202</v>
      </c>
      <c r="L994" s="14" t="n">
        <v>493692.6621112301</v>
      </c>
      <c r="M994" s="14" t="n">
        <v>0</v>
      </c>
      <c r="N994" s="14" t="n">
        <v>477333.6448352889</v>
      </c>
      <c r="O994" s="14" t="n">
        <v>503437.8897419949</v>
      </c>
      <c r="P994" s="14" t="n">
        <v>640.3242078893325</v>
      </c>
      <c r="Q994" s="14" t="n">
        <v>5425949.833119114</v>
      </c>
      <c r="R994" s="15">
        <f>IF(D994=1,"Section 1","Control")</f>
        <v/>
      </c>
      <c r="S994" s="16">
        <f>N994/10000</f>
        <v/>
      </c>
      <c r="T994" s="16">
        <f>P994/10000</f>
        <v/>
      </c>
      <c r="U994" s="15">
        <f>IF(N994&gt;=Summary!$D$3,1,0)</f>
        <v/>
      </c>
      <c r="V994" s="17">
        <f>IF(N994&gt;0,P994/N994,"")</f>
        <v/>
      </c>
      <c r="W994" s="17">
        <f>IF(O994&gt;0,H994/O994,"")</f>
        <v/>
      </c>
    </row>
    <row r="995">
      <c r="A995" s="13" t="inlineStr">
        <is>
          <t>T36_B2</t>
        </is>
      </c>
      <c r="B995" s="13" t="inlineStr">
        <is>
          <t>T36</t>
        </is>
      </c>
      <c r="C995" s="13" t="inlineStr">
        <is>
          <t>B2</t>
        </is>
      </c>
      <c r="D995" s="13" t="n">
        <v>1</v>
      </c>
      <c r="E995" s="13" t="inlineStr">
        <is>
          <t>S1</t>
        </is>
      </c>
      <c r="F995" s="13" t="n">
        <v>2026</v>
      </c>
      <c r="G995" s="14" t="n">
        <v>1000162.606181246</v>
      </c>
      <c r="H995" s="14" t="n">
        <v>476002.2808019601</v>
      </c>
      <c r="I995" s="14" t="n">
        <v>197.4401931762696</v>
      </c>
      <c r="J995" s="14" t="n">
        <v>0</v>
      </c>
      <c r="K995" s="14" t="n">
        <v>34951.47749373493</v>
      </c>
      <c r="L995" s="14" t="n">
        <v>489011.4076923745</v>
      </c>
      <c r="M995" s="14" t="n">
        <v>0</v>
      </c>
      <c r="N995" s="14" t="n">
        <v>477333.6448352889</v>
      </c>
      <c r="O995" s="14" t="n">
        <v>503437.8897419949</v>
      </c>
      <c r="P995" s="14" t="n">
        <v>1528.803921329274</v>
      </c>
      <c r="Q995" s="14" t="n">
        <v>5425949.833119114</v>
      </c>
      <c r="R995" s="15">
        <f>IF(D995=1,"Section 1","Control")</f>
        <v/>
      </c>
      <c r="S995" s="16">
        <f>N995/10000</f>
        <v/>
      </c>
      <c r="T995" s="16">
        <f>P995/10000</f>
        <v/>
      </c>
      <c r="U995" s="15">
        <f>IF(N995&gt;=Summary!$D$3,1,0)</f>
        <v/>
      </c>
      <c r="V995" s="17">
        <f>IF(N995&gt;0,P995/N995,"")</f>
        <v/>
      </c>
      <c r="W995" s="17">
        <f>IF(O995&gt;0,H995/O995,"")</f>
        <v/>
      </c>
    </row>
    <row r="996">
      <c r="A996" s="13" t="inlineStr">
        <is>
          <t>T36_B3</t>
        </is>
      </c>
      <c r="B996" s="13" t="inlineStr">
        <is>
          <t>T36</t>
        </is>
      </c>
      <c r="C996" s="13" t="inlineStr">
        <is>
          <t>B3</t>
        </is>
      </c>
      <c r="D996" s="13" t="n">
        <v>1</v>
      </c>
      <c r="E996" s="13" t="inlineStr">
        <is>
          <t>S1</t>
        </is>
      </c>
      <c r="F996" s="13" t="n">
        <v>2020</v>
      </c>
      <c r="G996" s="14" t="n">
        <v>7929050.492116023</v>
      </c>
      <c r="H996" s="14" t="n">
        <v>1707894.778678954</v>
      </c>
      <c r="I996" s="14" t="n">
        <v>710453.8614545336</v>
      </c>
      <c r="J996" s="14" t="n">
        <v>0</v>
      </c>
      <c r="K996" s="14" t="n">
        <v>1945581.324104848</v>
      </c>
      <c r="L996" s="14" t="n">
        <v>3565120.527877687</v>
      </c>
      <c r="M996" s="14" t="n">
        <v>0</v>
      </c>
      <c r="N996" s="14" t="n">
        <v>1707894.778678954</v>
      </c>
      <c r="O996" s="14" t="n">
        <v>4363929.964238334</v>
      </c>
      <c r="P996" s="14" t="n">
        <v>0</v>
      </c>
      <c r="Q996" s="14" t="n">
        <v>40638159.61065755</v>
      </c>
      <c r="R996" s="15">
        <f>IF(D996=1,"Section 1","Control")</f>
        <v/>
      </c>
      <c r="S996" s="16">
        <f>N996/10000</f>
        <v/>
      </c>
      <c r="T996" s="16">
        <f>P996/10000</f>
        <v/>
      </c>
      <c r="U996" s="15">
        <f>IF(N996&gt;=Summary!$D$3,1,0)</f>
        <v/>
      </c>
      <c r="V996" s="17">
        <f>IF(N996&gt;0,P996/N996,"")</f>
        <v/>
      </c>
      <c r="W996" s="17">
        <f>IF(O996&gt;0,H996/O996,"")</f>
        <v/>
      </c>
    </row>
    <row r="997">
      <c r="A997" s="13" t="inlineStr">
        <is>
          <t>T36_B3</t>
        </is>
      </c>
      <c r="B997" s="13" t="inlineStr">
        <is>
          <t>T36</t>
        </is>
      </c>
      <c r="C997" s="13" t="inlineStr">
        <is>
          <t>B3</t>
        </is>
      </c>
      <c r="D997" s="13" t="n">
        <v>1</v>
      </c>
      <c r="E997" s="13" t="inlineStr">
        <is>
          <t>S1</t>
        </is>
      </c>
      <c r="F997" s="13" t="n">
        <v>2021</v>
      </c>
      <c r="G997" s="14" t="n">
        <v>7929050.492116023</v>
      </c>
      <c r="H997" s="14" t="n">
        <v>1414978.573117185</v>
      </c>
      <c r="I997" s="14" t="n">
        <v>437872.7509506525</v>
      </c>
      <c r="J997" s="14" t="n">
        <v>0</v>
      </c>
      <c r="K997" s="14" t="n">
        <v>2544584.875468924</v>
      </c>
      <c r="L997" s="14" t="n">
        <v>3531614.292579262</v>
      </c>
      <c r="M997" s="14" t="n">
        <v>0</v>
      </c>
      <c r="N997" s="14" t="n">
        <v>1707894.778678954</v>
      </c>
      <c r="O997" s="14" t="n">
        <v>4363929.964238334</v>
      </c>
      <c r="P997" s="14" t="n">
        <v>342375.4412433999</v>
      </c>
      <c r="Q997" s="14" t="n">
        <v>40638159.61065755</v>
      </c>
      <c r="R997" s="15">
        <f>IF(D997=1,"Section 1","Control")</f>
        <v/>
      </c>
      <c r="S997" s="16">
        <f>N997/10000</f>
        <v/>
      </c>
      <c r="T997" s="16">
        <f>P997/10000</f>
        <v/>
      </c>
      <c r="U997" s="15">
        <f>IF(N997&gt;=Summary!$D$3,1,0)</f>
        <v/>
      </c>
      <c r="V997" s="17">
        <f>IF(N997&gt;0,P997/N997,"")</f>
        <v/>
      </c>
      <c r="W997" s="17">
        <f>IF(O997&gt;0,H997/O997,"")</f>
        <v/>
      </c>
    </row>
    <row r="998">
      <c r="A998" s="13" t="inlineStr">
        <is>
          <t>T36_B3</t>
        </is>
      </c>
      <c r="B998" s="13" t="inlineStr">
        <is>
          <t>T36</t>
        </is>
      </c>
      <c r="C998" s="13" t="inlineStr">
        <is>
          <t>B3</t>
        </is>
      </c>
      <c r="D998" s="13" t="n">
        <v>1</v>
      </c>
      <c r="E998" s="13" t="inlineStr">
        <is>
          <t>S1</t>
        </is>
      </c>
      <c r="F998" s="13" t="n">
        <v>2022</v>
      </c>
      <c r="G998" s="14" t="n">
        <v>7929050.492116023</v>
      </c>
      <c r="H998" s="14" t="n">
        <v>1243621.757863722</v>
      </c>
      <c r="I998" s="14" t="n">
        <v>417787.4294388117</v>
      </c>
      <c r="J998" s="14" t="n">
        <v>0</v>
      </c>
      <c r="K998" s="14" t="n">
        <v>2738054.831948134</v>
      </c>
      <c r="L998" s="14" t="n">
        <v>3529586.472865355</v>
      </c>
      <c r="M998" s="14" t="n">
        <v>0</v>
      </c>
      <c r="N998" s="14" t="n">
        <v>1707894.778678954</v>
      </c>
      <c r="O998" s="14" t="n">
        <v>4363929.964238334</v>
      </c>
      <c r="P998" s="14" t="n">
        <v>487066.8136682549</v>
      </c>
      <c r="Q998" s="14" t="n">
        <v>40638159.61065755</v>
      </c>
      <c r="R998" s="15">
        <f>IF(D998=1,"Section 1","Control")</f>
        <v/>
      </c>
      <c r="S998" s="16">
        <f>N998/10000</f>
        <v/>
      </c>
      <c r="T998" s="16">
        <f>P998/10000</f>
        <v/>
      </c>
      <c r="U998" s="15">
        <f>IF(N998&gt;=Summary!$D$3,1,0)</f>
        <v/>
      </c>
      <c r="V998" s="17">
        <f>IF(N998&gt;0,P998/N998,"")</f>
        <v/>
      </c>
      <c r="W998" s="17">
        <f>IF(O998&gt;0,H998/O998,"")</f>
        <v/>
      </c>
    </row>
    <row r="999">
      <c r="A999" s="13" t="inlineStr">
        <is>
          <t>T36_B3</t>
        </is>
      </c>
      <c r="B999" s="13" t="inlineStr">
        <is>
          <t>T36</t>
        </is>
      </c>
      <c r="C999" s="13" t="inlineStr">
        <is>
          <t>B3</t>
        </is>
      </c>
      <c r="D999" s="13" t="n">
        <v>1</v>
      </c>
      <c r="E999" s="13" t="inlineStr">
        <is>
          <t>S1</t>
        </is>
      </c>
      <c r="F999" s="13" t="n">
        <v>2023</v>
      </c>
      <c r="G999" s="14" t="n">
        <v>7929050.492116023</v>
      </c>
      <c r="H999" s="14" t="n">
        <v>1262926.774875775</v>
      </c>
      <c r="I999" s="14" t="n">
        <v>552241.3393064612</v>
      </c>
      <c r="J999" s="14" t="n">
        <v>0</v>
      </c>
      <c r="K999" s="14" t="n">
        <v>2575926.407402667</v>
      </c>
      <c r="L999" s="14" t="n">
        <v>3537955.970531119</v>
      </c>
      <c r="M999" s="14" t="n">
        <v>0</v>
      </c>
      <c r="N999" s="14" t="n">
        <v>1707894.778678954</v>
      </c>
      <c r="O999" s="14" t="n">
        <v>4363929.964238334</v>
      </c>
      <c r="P999" s="14" t="n">
        <v>497720.274095812</v>
      </c>
      <c r="Q999" s="14" t="n">
        <v>40638159.61065755</v>
      </c>
      <c r="R999" s="15">
        <f>IF(D999=1,"Section 1","Control")</f>
        <v/>
      </c>
      <c r="S999" s="16">
        <f>N999/10000</f>
        <v/>
      </c>
      <c r="T999" s="16">
        <f>P999/10000</f>
        <v/>
      </c>
      <c r="U999" s="15">
        <f>IF(N999&gt;=Summary!$D$3,1,0)</f>
        <v/>
      </c>
      <c r="V999" s="17">
        <f>IF(N999&gt;0,P999/N999,"")</f>
        <v/>
      </c>
      <c r="W999" s="17">
        <f>IF(O999&gt;0,H999/O999,"")</f>
        <v/>
      </c>
    </row>
    <row r="1000">
      <c r="A1000" s="13" t="inlineStr">
        <is>
          <t>T36_B3</t>
        </is>
      </c>
      <c r="B1000" s="13" t="inlineStr">
        <is>
          <t>T36</t>
        </is>
      </c>
      <c r="C1000" s="13" t="inlineStr">
        <is>
          <t>B3</t>
        </is>
      </c>
      <c r="D1000" s="13" t="n">
        <v>1</v>
      </c>
      <c r="E1000" s="13" t="inlineStr">
        <is>
          <t>S1</t>
        </is>
      </c>
      <c r="F1000" s="13" t="n">
        <v>2024</v>
      </c>
      <c r="G1000" s="14" t="n">
        <v>7929050.492116023</v>
      </c>
      <c r="H1000" s="14" t="n">
        <v>1334033.472939495</v>
      </c>
      <c r="I1000" s="14" t="n">
        <v>475431.4891088448</v>
      </c>
      <c r="J1000" s="14" t="n">
        <v>0</v>
      </c>
      <c r="K1000" s="14" t="n">
        <v>2584734.003129547</v>
      </c>
      <c r="L1000" s="14" t="n">
        <v>3534851.526938135</v>
      </c>
      <c r="M1000" s="14" t="n">
        <v>0</v>
      </c>
      <c r="N1000" s="14" t="n">
        <v>1707894.778678954</v>
      </c>
      <c r="O1000" s="14" t="n">
        <v>4363929.964238334</v>
      </c>
      <c r="P1000" s="14" t="n">
        <v>490589.3342991549</v>
      </c>
      <c r="Q1000" s="14" t="n">
        <v>40638159.61065755</v>
      </c>
      <c r="R1000" s="15">
        <f>IF(D1000=1,"Section 1","Control")</f>
        <v/>
      </c>
      <c r="S1000" s="16">
        <f>N1000/10000</f>
        <v/>
      </c>
      <c r="T1000" s="16">
        <f>P1000/10000</f>
        <v/>
      </c>
      <c r="U1000" s="15">
        <f>IF(N1000&gt;=Summary!$D$3,1,0)</f>
        <v/>
      </c>
      <c r="V1000" s="17">
        <f>IF(N1000&gt;0,P1000/N1000,"")</f>
        <v/>
      </c>
      <c r="W1000" s="17">
        <f>IF(O1000&gt;0,H1000/O1000,"")</f>
        <v/>
      </c>
    </row>
    <row r="1001">
      <c r="A1001" s="13" t="inlineStr">
        <is>
          <t>T36_B3</t>
        </is>
      </c>
      <c r="B1001" s="13" t="inlineStr">
        <is>
          <t>T36</t>
        </is>
      </c>
      <c r="C1001" s="13" t="inlineStr">
        <is>
          <t>B3</t>
        </is>
      </c>
      <c r="D1001" s="13" t="n">
        <v>1</v>
      </c>
      <c r="E1001" s="13" t="inlineStr">
        <is>
          <t>S1</t>
        </is>
      </c>
      <c r="F1001" s="13" t="n">
        <v>2025</v>
      </c>
      <c r="G1001" s="14" t="n">
        <v>7929050.492116023</v>
      </c>
      <c r="H1001" s="14" t="n">
        <v>1402426.124571258</v>
      </c>
      <c r="I1001" s="14" t="n">
        <v>397593.4805586273</v>
      </c>
      <c r="J1001" s="14" t="n">
        <v>0</v>
      </c>
      <c r="K1001" s="14" t="n">
        <v>2559888.826428132</v>
      </c>
      <c r="L1001" s="14" t="n">
        <v>3569142.060558004</v>
      </c>
      <c r="M1001" s="14" t="n">
        <v>0</v>
      </c>
      <c r="N1001" s="14" t="n">
        <v>1707894.778678954</v>
      </c>
      <c r="O1001" s="14" t="n">
        <v>4363929.964238334</v>
      </c>
      <c r="P1001" s="14" t="n">
        <v>492250.5096136356</v>
      </c>
      <c r="Q1001" s="14" t="n">
        <v>40638159.61065755</v>
      </c>
      <c r="R1001" s="15">
        <f>IF(D1001=1,"Section 1","Control")</f>
        <v/>
      </c>
      <c r="S1001" s="16">
        <f>N1001/10000</f>
        <v/>
      </c>
      <c r="T1001" s="16">
        <f>P1001/10000</f>
        <v/>
      </c>
      <c r="U1001" s="15">
        <f>IF(N1001&gt;=Summary!$D$3,1,0)</f>
        <v/>
      </c>
      <c r="V1001" s="17">
        <f>IF(N1001&gt;0,P1001/N1001,"")</f>
        <v/>
      </c>
      <c r="W1001" s="17">
        <f>IF(O1001&gt;0,H1001/O1001,"")</f>
        <v/>
      </c>
    </row>
    <row r="1002">
      <c r="A1002" s="13" t="inlineStr">
        <is>
          <t>T36_B3</t>
        </is>
      </c>
      <c r="B1002" s="13" t="inlineStr">
        <is>
          <t>T36</t>
        </is>
      </c>
      <c r="C1002" s="13" t="inlineStr">
        <is>
          <t>B3</t>
        </is>
      </c>
      <c r="D1002" s="13" t="n">
        <v>1</v>
      </c>
      <c r="E1002" s="13" t="inlineStr">
        <is>
          <t>S1</t>
        </is>
      </c>
      <c r="F1002" s="13" t="n">
        <v>2026</v>
      </c>
      <c r="G1002" s="14" t="n">
        <v>7929050.492116022</v>
      </c>
      <c r="H1002" s="14" t="n">
        <v>1376934.664338834</v>
      </c>
      <c r="I1002" s="14" t="n">
        <v>312647.4928214279</v>
      </c>
      <c r="J1002" s="14" t="n">
        <v>0</v>
      </c>
      <c r="K1002" s="14" t="n">
        <v>2694765.393539338</v>
      </c>
      <c r="L1002" s="14" t="n">
        <v>3544702.941416422</v>
      </c>
      <c r="M1002" s="14" t="n">
        <v>0</v>
      </c>
      <c r="N1002" s="14" t="n">
        <v>1707894.778678954</v>
      </c>
      <c r="O1002" s="14" t="n">
        <v>4363929.964238334</v>
      </c>
      <c r="P1002" s="14" t="n">
        <v>541955.8799227547</v>
      </c>
      <c r="Q1002" s="14" t="n">
        <v>40638159.61065754</v>
      </c>
      <c r="R1002" s="15">
        <f>IF(D1002=1,"Section 1","Control")</f>
        <v/>
      </c>
      <c r="S1002" s="16">
        <f>N1002/10000</f>
        <v/>
      </c>
      <c r="T1002" s="16">
        <f>P1002/10000</f>
        <v/>
      </c>
      <c r="U1002" s="15">
        <f>IF(N1002&gt;=Summary!$D$3,1,0)</f>
        <v/>
      </c>
      <c r="V1002" s="17">
        <f>IF(N1002&gt;0,P1002/N1002,"")</f>
        <v/>
      </c>
      <c r="W1002" s="17">
        <f>IF(O1002&gt;0,H1002/O1002,"")</f>
        <v/>
      </c>
    </row>
    <row r="1003">
      <c r="A1003" s="13" t="inlineStr">
        <is>
          <t>T36_F</t>
        </is>
      </c>
      <c r="B1003" s="13" t="inlineStr">
        <is>
          <t>T36</t>
        </is>
      </c>
      <c r="C1003" s="13" t="inlineStr">
        <is>
          <t>F</t>
        </is>
      </c>
      <c r="D1003" s="13" t="n">
        <v>1</v>
      </c>
      <c r="E1003" s="13" t="inlineStr">
        <is>
          <t>S1</t>
        </is>
      </c>
      <c r="F1003" s="13" t="n">
        <v>2020</v>
      </c>
      <c r="G1003" s="14" t="n">
        <v>81460.81663333665</v>
      </c>
      <c r="H1003" s="14" t="n">
        <v>81460.81663333665</v>
      </c>
      <c r="I1003" s="14" t="n">
        <v>0</v>
      </c>
      <c r="J1003" s="14" t="n">
        <v>0</v>
      </c>
      <c r="K1003" s="14" t="n">
        <v>0</v>
      </c>
      <c r="L1003" s="14" t="n">
        <v>0</v>
      </c>
      <c r="M1003" s="14" t="n">
        <v>0</v>
      </c>
      <c r="N1003" s="14" t="n">
        <v>81460.81663333665</v>
      </c>
      <c r="O1003" s="14" t="n">
        <v>81460.81663333665</v>
      </c>
      <c r="P1003" s="14" t="n">
        <v>0</v>
      </c>
      <c r="Q1003" s="14" t="n">
        <v>873152.7175575404</v>
      </c>
      <c r="R1003" s="15">
        <f>IF(D1003=1,"Section 1","Control")</f>
        <v/>
      </c>
      <c r="S1003" s="16">
        <f>N1003/10000</f>
        <v/>
      </c>
      <c r="T1003" s="16">
        <f>P1003/10000</f>
        <v/>
      </c>
      <c r="U1003" s="15">
        <f>IF(N1003&gt;=Summary!$D$3,1,0)</f>
        <v/>
      </c>
      <c r="V1003" s="17">
        <f>IF(N1003&gt;0,P1003/N1003,"")</f>
        <v/>
      </c>
      <c r="W1003" s="17">
        <f>IF(O1003&gt;0,H1003/O1003,"")</f>
        <v/>
      </c>
    </row>
    <row r="1004">
      <c r="A1004" s="13" t="inlineStr">
        <is>
          <t>T36_F</t>
        </is>
      </c>
      <c r="B1004" s="13" t="inlineStr">
        <is>
          <t>T36</t>
        </is>
      </c>
      <c r="C1004" s="13" t="inlineStr">
        <is>
          <t>F</t>
        </is>
      </c>
      <c r="D1004" s="13" t="n">
        <v>1</v>
      </c>
      <c r="E1004" s="13" t="inlineStr">
        <is>
          <t>S1</t>
        </is>
      </c>
      <c r="F1004" s="13" t="n">
        <v>2021</v>
      </c>
      <c r="G1004" s="14" t="n">
        <v>81460.81663333665</v>
      </c>
      <c r="H1004" s="14" t="n">
        <v>81460.81663333665</v>
      </c>
      <c r="I1004" s="14" t="n">
        <v>0</v>
      </c>
      <c r="J1004" s="14" t="n">
        <v>0</v>
      </c>
      <c r="K1004" s="14" t="n">
        <v>0</v>
      </c>
      <c r="L1004" s="14" t="n">
        <v>0</v>
      </c>
      <c r="M1004" s="14" t="n">
        <v>0</v>
      </c>
      <c r="N1004" s="14" t="n">
        <v>81460.81663333665</v>
      </c>
      <c r="O1004" s="14" t="n">
        <v>81460.81663333665</v>
      </c>
      <c r="P1004" s="14" t="n">
        <v>0</v>
      </c>
      <c r="Q1004" s="14" t="n">
        <v>873152.7175575404</v>
      </c>
      <c r="R1004" s="15">
        <f>IF(D1004=1,"Section 1","Control")</f>
        <v/>
      </c>
      <c r="S1004" s="16">
        <f>N1004/10000</f>
        <v/>
      </c>
      <c r="T1004" s="16">
        <f>P1004/10000</f>
        <v/>
      </c>
      <c r="U1004" s="15">
        <f>IF(N1004&gt;=Summary!$D$3,1,0)</f>
        <v/>
      </c>
      <c r="V1004" s="17">
        <f>IF(N1004&gt;0,P1004/N1004,"")</f>
        <v/>
      </c>
      <c r="W1004" s="17">
        <f>IF(O1004&gt;0,H1004/O1004,"")</f>
        <v/>
      </c>
    </row>
    <row r="1005">
      <c r="A1005" s="13" t="inlineStr">
        <is>
          <t>T36_F</t>
        </is>
      </c>
      <c r="B1005" s="13" t="inlineStr">
        <is>
          <t>T36</t>
        </is>
      </c>
      <c r="C1005" s="13" t="inlineStr">
        <is>
          <t>F</t>
        </is>
      </c>
      <c r="D1005" s="13" t="n">
        <v>1</v>
      </c>
      <c r="E1005" s="13" t="inlineStr">
        <is>
          <t>S1</t>
        </is>
      </c>
      <c r="F1005" s="13" t="n">
        <v>2022</v>
      </c>
      <c r="G1005" s="14" t="n">
        <v>81460.81663333665</v>
      </c>
      <c r="H1005" s="14" t="n">
        <v>81303.24896820664</v>
      </c>
      <c r="I1005" s="14" t="n">
        <v>58.84595492493872</v>
      </c>
      <c r="J1005" s="14" t="n">
        <v>0</v>
      </c>
      <c r="K1005" s="14" t="n">
        <v>98.72171020507812</v>
      </c>
      <c r="L1005" s="14" t="n">
        <v>0</v>
      </c>
      <c r="M1005" s="14" t="n">
        <v>0</v>
      </c>
      <c r="N1005" s="14" t="n">
        <v>81460.81663333665</v>
      </c>
      <c r="O1005" s="14" t="n">
        <v>81460.81663333665</v>
      </c>
      <c r="P1005" s="14" t="n">
        <v>157.5676651300168</v>
      </c>
      <c r="Q1005" s="14" t="n">
        <v>873152.7175575404</v>
      </c>
      <c r="R1005" s="15">
        <f>IF(D1005=1,"Section 1","Control")</f>
        <v/>
      </c>
      <c r="S1005" s="16">
        <f>N1005/10000</f>
        <v/>
      </c>
      <c r="T1005" s="16">
        <f>P1005/10000</f>
        <v/>
      </c>
      <c r="U1005" s="15">
        <f>IF(N1005&gt;=Summary!$D$3,1,0)</f>
        <v/>
      </c>
      <c r="V1005" s="17">
        <f>IF(N1005&gt;0,P1005/N1005,"")</f>
        <v/>
      </c>
      <c r="W1005" s="17">
        <f>IF(O1005&gt;0,H1005/O1005,"")</f>
        <v/>
      </c>
    </row>
    <row r="1006">
      <c r="A1006" s="13" t="inlineStr">
        <is>
          <t>T36_F</t>
        </is>
      </c>
      <c r="B1006" s="13" t="inlineStr">
        <is>
          <t>T36</t>
        </is>
      </c>
      <c r="C1006" s="13" t="inlineStr">
        <is>
          <t>F</t>
        </is>
      </c>
      <c r="D1006" s="13" t="n">
        <v>1</v>
      </c>
      <c r="E1006" s="13" t="inlineStr">
        <is>
          <t>S1</t>
        </is>
      </c>
      <c r="F1006" s="13" t="n">
        <v>2023</v>
      </c>
      <c r="G1006" s="14" t="n">
        <v>81460.81663333665</v>
      </c>
      <c r="H1006" s="14" t="n">
        <v>81362.09492313158</v>
      </c>
      <c r="I1006" s="14" t="n">
        <v>0</v>
      </c>
      <c r="J1006" s="14" t="n">
        <v>0</v>
      </c>
      <c r="K1006" s="14" t="n">
        <v>98.72171020507812</v>
      </c>
      <c r="L1006" s="14" t="n">
        <v>0</v>
      </c>
      <c r="M1006" s="14" t="n">
        <v>0</v>
      </c>
      <c r="N1006" s="14" t="n">
        <v>81460.81663333665</v>
      </c>
      <c r="O1006" s="14" t="n">
        <v>81460.81663333665</v>
      </c>
      <c r="P1006" s="14" t="n">
        <v>98.72171020507812</v>
      </c>
      <c r="Q1006" s="14" t="n">
        <v>873152.7175575404</v>
      </c>
      <c r="R1006" s="15">
        <f>IF(D1006=1,"Section 1","Control")</f>
        <v/>
      </c>
      <c r="S1006" s="16">
        <f>N1006/10000</f>
        <v/>
      </c>
      <c r="T1006" s="16">
        <f>P1006/10000</f>
        <v/>
      </c>
      <c r="U1006" s="15">
        <f>IF(N1006&gt;=Summary!$D$3,1,0)</f>
        <v/>
      </c>
      <c r="V1006" s="17">
        <f>IF(N1006&gt;0,P1006/N1006,"")</f>
        <v/>
      </c>
      <c r="W1006" s="17">
        <f>IF(O1006&gt;0,H1006/O1006,"")</f>
        <v/>
      </c>
    </row>
    <row r="1007">
      <c r="A1007" s="13" t="inlineStr">
        <is>
          <t>T36_F</t>
        </is>
      </c>
      <c r="B1007" s="13" t="inlineStr">
        <is>
          <t>T36</t>
        </is>
      </c>
      <c r="C1007" s="13" t="inlineStr">
        <is>
          <t>F</t>
        </is>
      </c>
      <c r="D1007" s="13" t="n">
        <v>1</v>
      </c>
      <c r="E1007" s="13" t="inlineStr">
        <is>
          <t>S1</t>
        </is>
      </c>
      <c r="F1007" s="13" t="n">
        <v>2024</v>
      </c>
      <c r="G1007" s="14" t="n">
        <v>81460.81663333665</v>
      </c>
      <c r="H1007" s="14" t="n">
        <v>81362.09492313158</v>
      </c>
      <c r="I1007" s="14" t="n">
        <v>0</v>
      </c>
      <c r="J1007" s="14" t="n">
        <v>0</v>
      </c>
      <c r="K1007" s="14" t="n">
        <v>98.72171020507812</v>
      </c>
      <c r="L1007" s="14" t="n">
        <v>0</v>
      </c>
      <c r="M1007" s="14" t="n">
        <v>0</v>
      </c>
      <c r="N1007" s="14" t="n">
        <v>81460.81663333665</v>
      </c>
      <c r="O1007" s="14" t="n">
        <v>81460.81663333665</v>
      </c>
      <c r="P1007" s="14" t="n">
        <v>98.72171020507812</v>
      </c>
      <c r="Q1007" s="14" t="n">
        <v>873152.7175575404</v>
      </c>
      <c r="R1007" s="15">
        <f>IF(D1007=1,"Section 1","Control")</f>
        <v/>
      </c>
      <c r="S1007" s="16">
        <f>N1007/10000</f>
        <v/>
      </c>
      <c r="T1007" s="16">
        <f>P1007/10000</f>
        <v/>
      </c>
      <c r="U1007" s="15">
        <f>IF(N1007&gt;=Summary!$D$3,1,0)</f>
        <v/>
      </c>
      <c r="V1007" s="17">
        <f>IF(N1007&gt;0,P1007/N1007,"")</f>
        <v/>
      </c>
      <c r="W1007" s="17">
        <f>IF(O1007&gt;0,H1007/O1007,"")</f>
        <v/>
      </c>
    </row>
    <row r="1008">
      <c r="A1008" s="13" t="inlineStr">
        <is>
          <t>T36_F</t>
        </is>
      </c>
      <c r="B1008" s="13" t="inlineStr">
        <is>
          <t>T36</t>
        </is>
      </c>
      <c r="C1008" s="13" t="inlineStr">
        <is>
          <t>F</t>
        </is>
      </c>
      <c r="D1008" s="13" t="n">
        <v>1</v>
      </c>
      <c r="E1008" s="13" t="inlineStr">
        <is>
          <t>S1</t>
        </is>
      </c>
      <c r="F1008" s="13" t="n">
        <v>2025</v>
      </c>
      <c r="G1008" s="14" t="n">
        <v>81460.81663333667</v>
      </c>
      <c r="H1008" s="14" t="n">
        <v>30485.99867870854</v>
      </c>
      <c r="I1008" s="14" t="n">
        <v>12192.31010670382</v>
      </c>
      <c r="J1008" s="14" t="n">
        <v>0</v>
      </c>
      <c r="K1008" s="14" t="n">
        <v>38782.50784792432</v>
      </c>
      <c r="L1008" s="14" t="n">
        <v>0</v>
      </c>
      <c r="M1008" s="14" t="n">
        <v>0</v>
      </c>
      <c r="N1008" s="14" t="n">
        <v>81460.81663333667</v>
      </c>
      <c r="O1008" s="14" t="n">
        <v>81460.81663333667</v>
      </c>
      <c r="P1008" s="14" t="n">
        <v>50974.81795462813</v>
      </c>
      <c r="Q1008" s="14" t="n">
        <v>873152.7175575404</v>
      </c>
      <c r="R1008" s="15">
        <f>IF(D1008=1,"Section 1","Control")</f>
        <v/>
      </c>
      <c r="S1008" s="16">
        <f>N1008/10000</f>
        <v/>
      </c>
      <c r="T1008" s="16">
        <f>P1008/10000</f>
        <v/>
      </c>
      <c r="U1008" s="15">
        <f>IF(N1008&gt;=Summary!$D$3,1,0)</f>
        <v/>
      </c>
      <c r="V1008" s="17">
        <f>IF(N1008&gt;0,P1008/N1008,"")</f>
        <v/>
      </c>
      <c r="W1008" s="17">
        <f>IF(O1008&gt;0,H1008/O1008,"")</f>
        <v/>
      </c>
    </row>
    <row r="1009">
      <c r="A1009" s="13" t="inlineStr">
        <is>
          <t>T36_F</t>
        </is>
      </c>
      <c r="B1009" s="13" t="inlineStr">
        <is>
          <t>T36</t>
        </is>
      </c>
      <c r="C1009" s="13" t="inlineStr">
        <is>
          <t>F</t>
        </is>
      </c>
      <c r="D1009" s="13" t="n">
        <v>1</v>
      </c>
      <c r="E1009" s="13" t="inlineStr">
        <is>
          <t>S1</t>
        </is>
      </c>
      <c r="F1009" s="13" t="n">
        <v>2026</v>
      </c>
      <c r="G1009" s="14" t="n">
        <v>81460.81663333665</v>
      </c>
      <c r="H1009" s="14" t="n">
        <v>23190.27570133583</v>
      </c>
      <c r="I1009" s="14" t="n">
        <v>29052.80925394694</v>
      </c>
      <c r="J1009" s="14" t="n">
        <v>0</v>
      </c>
      <c r="K1009" s="14" t="n">
        <v>29217.73167805391</v>
      </c>
      <c r="L1009" s="14" t="n">
        <v>0</v>
      </c>
      <c r="M1009" s="14" t="n">
        <v>0</v>
      </c>
      <c r="N1009" s="14" t="n">
        <v>81460.81663333665</v>
      </c>
      <c r="O1009" s="14" t="n">
        <v>81460.81663333665</v>
      </c>
      <c r="P1009" s="14" t="n">
        <v>58270.54093200085</v>
      </c>
      <c r="Q1009" s="14" t="n">
        <v>873152.7175575404</v>
      </c>
      <c r="R1009" s="15">
        <f>IF(D1009=1,"Section 1","Control")</f>
        <v/>
      </c>
      <c r="S1009" s="16">
        <f>N1009/10000</f>
        <v/>
      </c>
      <c r="T1009" s="16">
        <f>P1009/10000</f>
        <v/>
      </c>
      <c r="U1009" s="15">
        <f>IF(N1009&gt;=Summary!$D$3,1,0)</f>
        <v/>
      </c>
      <c r="V1009" s="17">
        <f>IF(N1009&gt;0,P1009/N1009,"")</f>
        <v/>
      </c>
      <c r="W1009" s="17">
        <f>IF(O1009&gt;0,H1009/O1009,"")</f>
        <v/>
      </c>
    </row>
    <row r="1010">
      <c r="A1010" s="13" t="inlineStr">
        <is>
          <t>T37_B1</t>
        </is>
      </c>
      <c r="B1010" s="13" t="inlineStr">
        <is>
          <t>T37</t>
        </is>
      </c>
      <c r="C1010" s="13" t="inlineStr">
        <is>
          <t>B1</t>
        </is>
      </c>
      <c r="D1010" s="13" t="n">
        <v>1</v>
      </c>
      <c r="E1010" s="13" t="inlineStr">
        <is>
          <t>S1</t>
        </is>
      </c>
      <c r="F1010" s="13" t="n">
        <v>2020</v>
      </c>
      <c r="G1010" s="14" t="n">
        <v>1012769.636751362</v>
      </c>
      <c r="H1010" s="14" t="n">
        <v>593127.674623766</v>
      </c>
      <c r="I1010" s="14" t="n">
        <v>85203.39337424483</v>
      </c>
      <c r="J1010" s="14" t="n">
        <v>28114.385775697</v>
      </c>
      <c r="K1010" s="14" t="n">
        <v>44302.76826964733</v>
      </c>
      <c r="L1010" s="14" t="n">
        <v>262021.4147080066</v>
      </c>
      <c r="M1010" s="14" t="n">
        <v>0</v>
      </c>
      <c r="N1010" s="14" t="n">
        <v>593127.674623766</v>
      </c>
      <c r="O1010" s="14" t="n">
        <v>750748.2220433552</v>
      </c>
      <c r="P1010" s="14" t="n">
        <v>0</v>
      </c>
      <c r="Q1010" s="14" t="n">
        <v>9026335.111176642</v>
      </c>
      <c r="R1010" s="15">
        <f>IF(D1010=1,"Section 1","Control")</f>
        <v/>
      </c>
      <c r="S1010" s="16">
        <f>N1010/10000</f>
        <v/>
      </c>
      <c r="T1010" s="16">
        <f>P1010/10000</f>
        <v/>
      </c>
      <c r="U1010" s="15">
        <f>IF(N1010&gt;=Summary!$D$3,1,0)</f>
        <v/>
      </c>
      <c r="V1010" s="17">
        <f>IF(N1010&gt;0,P1010/N1010,"")</f>
        <v/>
      </c>
      <c r="W1010" s="17">
        <f>IF(O1010&gt;0,H1010/O1010,"")</f>
        <v/>
      </c>
    </row>
    <row r="1011">
      <c r="A1011" s="13" t="inlineStr">
        <is>
          <t>T37_B1</t>
        </is>
      </c>
      <c r="B1011" s="13" t="inlineStr">
        <is>
          <t>T37</t>
        </is>
      </c>
      <c r="C1011" s="13" t="inlineStr">
        <is>
          <t>B1</t>
        </is>
      </c>
      <c r="D1011" s="13" t="n">
        <v>1</v>
      </c>
      <c r="E1011" s="13" t="inlineStr">
        <is>
          <t>S1</t>
        </is>
      </c>
      <c r="F1011" s="13" t="n">
        <v>2021</v>
      </c>
      <c r="G1011" s="14" t="n">
        <v>1012769.636751362</v>
      </c>
      <c r="H1011" s="14" t="n">
        <v>586904.7478768443</v>
      </c>
      <c r="I1011" s="14" t="n">
        <v>78208.89700332342</v>
      </c>
      <c r="J1011" s="14" t="n">
        <v>26845.32809319589</v>
      </c>
      <c r="K1011" s="14" t="n">
        <v>67910.75410087436</v>
      </c>
      <c r="L1011" s="14" t="n">
        <v>252899.909677124</v>
      </c>
      <c r="M1011" s="14" t="n">
        <v>0</v>
      </c>
      <c r="N1011" s="14" t="n">
        <v>593127.6746237661</v>
      </c>
      <c r="O1011" s="14" t="n">
        <v>750748.2220433553</v>
      </c>
      <c r="P1011" s="14" t="n">
        <v>11060.28337533988</v>
      </c>
      <c r="Q1011" s="14" t="n">
        <v>9026335.111176644</v>
      </c>
      <c r="R1011" s="15">
        <f>IF(D1011=1,"Section 1","Control")</f>
        <v/>
      </c>
      <c r="S1011" s="16">
        <f>N1011/10000</f>
        <v/>
      </c>
      <c r="T1011" s="16">
        <f>P1011/10000</f>
        <v/>
      </c>
      <c r="U1011" s="15">
        <f>IF(N1011&gt;=Summary!$D$3,1,0)</f>
        <v/>
      </c>
      <c r="V1011" s="17">
        <f>IF(N1011&gt;0,P1011/N1011,"")</f>
        <v/>
      </c>
      <c r="W1011" s="17">
        <f>IF(O1011&gt;0,H1011/O1011,"")</f>
        <v/>
      </c>
    </row>
    <row r="1012">
      <c r="A1012" s="13" t="inlineStr">
        <is>
          <t>T37_B1</t>
        </is>
      </c>
      <c r="B1012" s="13" t="inlineStr">
        <is>
          <t>T37</t>
        </is>
      </c>
      <c r="C1012" s="13" t="inlineStr">
        <is>
          <t>B1</t>
        </is>
      </c>
      <c r="D1012" s="13" t="n">
        <v>1</v>
      </c>
      <c r="E1012" s="13" t="inlineStr">
        <is>
          <t>S1</t>
        </is>
      </c>
      <c r="F1012" s="13" t="n">
        <v>2022</v>
      </c>
      <c r="G1012" s="14" t="n">
        <v>1012769.636751362</v>
      </c>
      <c r="H1012" s="14" t="n">
        <v>574875.8358813716</v>
      </c>
      <c r="I1012" s="14" t="n">
        <v>85122.12729908065</v>
      </c>
      <c r="J1012" s="14" t="n">
        <v>30088.81930841184</v>
      </c>
      <c r="K1012" s="14" t="n">
        <v>72152.27153544707</v>
      </c>
      <c r="L1012" s="14" t="n">
        <v>250530.5827270508</v>
      </c>
      <c r="M1012" s="14" t="n">
        <v>0</v>
      </c>
      <c r="N1012" s="14" t="n">
        <v>593127.6746237661</v>
      </c>
      <c r="O1012" s="14" t="n">
        <v>750748.2220433553</v>
      </c>
      <c r="P1012" s="14" t="n">
        <v>21707.09306063184</v>
      </c>
      <c r="Q1012" s="14" t="n">
        <v>9026335.111176642</v>
      </c>
      <c r="R1012" s="15">
        <f>IF(D1012=1,"Section 1","Control")</f>
        <v/>
      </c>
      <c r="S1012" s="16">
        <f>N1012/10000</f>
        <v/>
      </c>
      <c r="T1012" s="16">
        <f>P1012/10000</f>
        <v/>
      </c>
      <c r="U1012" s="15">
        <f>IF(N1012&gt;=Summary!$D$3,1,0)</f>
        <v/>
      </c>
      <c r="V1012" s="17">
        <f>IF(N1012&gt;0,P1012/N1012,"")</f>
        <v/>
      </c>
      <c r="W1012" s="17">
        <f>IF(O1012&gt;0,H1012/O1012,"")</f>
        <v/>
      </c>
    </row>
    <row r="1013">
      <c r="A1013" s="13" t="inlineStr">
        <is>
          <t>T37_B1</t>
        </is>
      </c>
      <c r="B1013" s="13" t="inlineStr">
        <is>
          <t>T37</t>
        </is>
      </c>
      <c r="C1013" s="13" t="inlineStr">
        <is>
          <t>B1</t>
        </is>
      </c>
      <c r="D1013" s="13" t="n">
        <v>1</v>
      </c>
      <c r="E1013" s="13" t="inlineStr">
        <is>
          <t>S1</t>
        </is>
      </c>
      <c r="F1013" s="13" t="n">
        <v>2023</v>
      </c>
      <c r="G1013" s="14" t="n">
        <v>1012769.636751362</v>
      </c>
      <c r="H1013" s="14" t="n">
        <v>558784.2264605953</v>
      </c>
      <c r="I1013" s="14" t="n">
        <v>92003.16303283093</v>
      </c>
      <c r="J1013" s="14" t="n">
        <v>29990.09757531858</v>
      </c>
      <c r="K1013" s="14" t="n">
        <v>66193.36756522983</v>
      </c>
      <c r="L1013" s="14" t="n">
        <v>265798.7821173873</v>
      </c>
      <c r="M1013" s="14" t="n">
        <v>0</v>
      </c>
      <c r="N1013" s="14" t="n">
        <v>593127.6746237661</v>
      </c>
      <c r="O1013" s="14" t="n">
        <v>750748.2220433553</v>
      </c>
      <c r="P1013" s="14" t="n">
        <v>38094.86800875196</v>
      </c>
      <c r="Q1013" s="14" t="n">
        <v>9026335.111176642</v>
      </c>
      <c r="R1013" s="15">
        <f>IF(D1013=1,"Section 1","Control")</f>
        <v/>
      </c>
      <c r="S1013" s="16">
        <f>N1013/10000</f>
        <v/>
      </c>
      <c r="T1013" s="16">
        <f>P1013/10000</f>
        <v/>
      </c>
      <c r="U1013" s="15">
        <f>IF(N1013&gt;=Summary!$D$3,1,0)</f>
        <v/>
      </c>
      <c r="V1013" s="17">
        <f>IF(N1013&gt;0,P1013/N1013,"")</f>
        <v/>
      </c>
      <c r="W1013" s="17">
        <f>IF(O1013&gt;0,H1013/O1013,"")</f>
        <v/>
      </c>
    </row>
    <row r="1014">
      <c r="A1014" s="13" t="inlineStr">
        <is>
          <t>T37_B1</t>
        </is>
      </c>
      <c r="B1014" s="13" t="inlineStr">
        <is>
          <t>T37</t>
        </is>
      </c>
      <c r="C1014" s="13" t="inlineStr">
        <is>
          <t>B1</t>
        </is>
      </c>
      <c r="D1014" s="13" t="n">
        <v>1</v>
      </c>
      <c r="E1014" s="13" t="inlineStr">
        <is>
          <t>S1</t>
        </is>
      </c>
      <c r="F1014" s="13" t="n">
        <v>2024</v>
      </c>
      <c r="G1014" s="14" t="n">
        <v>1012769.636751362</v>
      </c>
      <c r="H1014" s="14" t="n">
        <v>570331.1575794594</v>
      </c>
      <c r="I1014" s="14" t="n">
        <v>78225.92647016938</v>
      </c>
      <c r="J1014" s="14" t="n">
        <v>30286.26263726926</v>
      </c>
      <c r="K1014" s="14" t="n">
        <v>76107.32825018192</v>
      </c>
      <c r="L1014" s="14" t="n">
        <v>257818.961814282</v>
      </c>
      <c r="M1014" s="14" t="n">
        <v>0</v>
      </c>
      <c r="N1014" s="14" t="n">
        <v>593127.674623766</v>
      </c>
      <c r="O1014" s="14" t="n">
        <v>750748.2220433552</v>
      </c>
      <c r="P1014" s="14" t="n">
        <v>31579.25093569288</v>
      </c>
      <c r="Q1014" s="14" t="n">
        <v>9026335.111176642</v>
      </c>
      <c r="R1014" s="15">
        <f>IF(D1014=1,"Section 1","Control")</f>
        <v/>
      </c>
      <c r="S1014" s="16">
        <f>N1014/10000</f>
        <v/>
      </c>
      <c r="T1014" s="16">
        <f>P1014/10000</f>
        <v/>
      </c>
      <c r="U1014" s="15">
        <f>IF(N1014&gt;=Summary!$D$3,1,0)</f>
        <v/>
      </c>
      <c r="V1014" s="17">
        <f>IF(N1014&gt;0,P1014/N1014,"")</f>
        <v/>
      </c>
      <c r="W1014" s="17">
        <f>IF(O1014&gt;0,H1014/O1014,"")</f>
        <v/>
      </c>
    </row>
    <row r="1015">
      <c r="A1015" s="13" t="inlineStr">
        <is>
          <t>T37_B1</t>
        </is>
      </c>
      <c r="B1015" s="13" t="inlineStr">
        <is>
          <t>T37</t>
        </is>
      </c>
      <c r="C1015" s="13" t="inlineStr">
        <is>
          <t>B1</t>
        </is>
      </c>
      <c r="D1015" s="13" t="n">
        <v>1</v>
      </c>
      <c r="E1015" s="13" t="inlineStr">
        <is>
          <t>S1</t>
        </is>
      </c>
      <c r="F1015" s="13" t="n">
        <v>2025</v>
      </c>
      <c r="G1015" s="14" t="n">
        <v>1012769.636751362</v>
      </c>
      <c r="H1015" s="14" t="n">
        <v>566464.7598003611</v>
      </c>
      <c r="I1015" s="14" t="n">
        <v>89535.51738571466</v>
      </c>
      <c r="J1015" s="14" t="n">
        <v>28904.15832818723</v>
      </c>
      <c r="K1015" s="14" t="n">
        <v>61556.16307546578</v>
      </c>
      <c r="L1015" s="14" t="n">
        <v>266309.0381616331</v>
      </c>
      <c r="M1015" s="14" t="n">
        <v>0</v>
      </c>
      <c r="N1015" s="14" t="n">
        <v>593127.674623766</v>
      </c>
      <c r="O1015" s="14" t="n">
        <v>750748.2220433552</v>
      </c>
      <c r="P1015" s="14" t="n">
        <v>33668.6612575157</v>
      </c>
      <c r="Q1015" s="14" t="n">
        <v>9026335.111176642</v>
      </c>
      <c r="R1015" s="15">
        <f>IF(D1015=1,"Section 1","Control")</f>
        <v/>
      </c>
      <c r="S1015" s="16">
        <f>N1015/10000</f>
        <v/>
      </c>
      <c r="T1015" s="16">
        <f>P1015/10000</f>
        <v/>
      </c>
      <c r="U1015" s="15">
        <f>IF(N1015&gt;=Summary!$D$3,1,0)</f>
        <v/>
      </c>
      <c r="V1015" s="17">
        <f>IF(N1015&gt;0,P1015/N1015,"")</f>
        <v/>
      </c>
      <c r="W1015" s="17">
        <f>IF(O1015&gt;0,H1015/O1015,"")</f>
        <v/>
      </c>
    </row>
    <row r="1016">
      <c r="A1016" s="13" t="inlineStr">
        <is>
          <t>T37_B1</t>
        </is>
      </c>
      <c r="B1016" s="13" t="inlineStr">
        <is>
          <t>T37</t>
        </is>
      </c>
      <c r="C1016" s="13" t="inlineStr">
        <is>
          <t>B1</t>
        </is>
      </c>
      <c r="D1016" s="13" t="n">
        <v>1</v>
      </c>
      <c r="E1016" s="13" t="inlineStr">
        <is>
          <t>S1</t>
        </is>
      </c>
      <c r="F1016" s="13" t="n">
        <v>2026</v>
      </c>
      <c r="G1016" s="14" t="n">
        <v>1012769.636751362</v>
      </c>
      <c r="H1016" s="14" t="n">
        <v>563128.0055489036</v>
      </c>
      <c r="I1016" s="14" t="n">
        <v>76058.68917341046</v>
      </c>
      <c r="J1016" s="14" t="n">
        <v>30681.14879144406</v>
      </c>
      <c r="K1016" s="14" t="n">
        <v>79850.57492307774</v>
      </c>
      <c r="L1016" s="14" t="n">
        <v>263051.2183145261</v>
      </c>
      <c r="M1016" s="14" t="n">
        <v>0</v>
      </c>
      <c r="N1016" s="14" t="n">
        <v>593127.6746237661</v>
      </c>
      <c r="O1016" s="14" t="n">
        <v>750748.2220433553</v>
      </c>
      <c r="P1016" s="14" t="n">
        <v>39670.89320062375</v>
      </c>
      <c r="Q1016" s="14" t="n">
        <v>9026335.111176644</v>
      </c>
      <c r="R1016" s="15">
        <f>IF(D1016=1,"Section 1","Control")</f>
        <v/>
      </c>
      <c r="S1016" s="16">
        <f>N1016/10000</f>
        <v/>
      </c>
      <c r="T1016" s="16">
        <f>P1016/10000</f>
        <v/>
      </c>
      <c r="U1016" s="15">
        <f>IF(N1016&gt;=Summary!$D$3,1,0)</f>
        <v/>
      </c>
      <c r="V1016" s="17">
        <f>IF(N1016&gt;0,P1016/N1016,"")</f>
        <v/>
      </c>
      <c r="W1016" s="17">
        <f>IF(O1016&gt;0,H1016/O1016,"")</f>
        <v/>
      </c>
    </row>
    <row r="1017">
      <c r="A1017" s="13" t="inlineStr">
        <is>
          <t>T37_B2</t>
        </is>
      </c>
      <c r="B1017" s="13" t="inlineStr">
        <is>
          <t>T37</t>
        </is>
      </c>
      <c r="C1017" s="13" t="inlineStr">
        <is>
          <t>B2</t>
        </is>
      </c>
      <c r="D1017" s="13" t="n">
        <v>1</v>
      </c>
      <c r="E1017" s="13" t="inlineStr">
        <is>
          <t>S1</t>
        </is>
      </c>
      <c r="F1017" s="13" t="n">
        <v>2020</v>
      </c>
      <c r="G1017" s="14" t="n">
        <v>1012893.096469864</v>
      </c>
      <c r="H1017" s="14" t="n">
        <v>501533.9079923144</v>
      </c>
      <c r="I1017" s="14" t="n">
        <v>1179.990468642291</v>
      </c>
      <c r="J1017" s="14" t="n">
        <v>0</v>
      </c>
      <c r="K1017" s="14" t="n">
        <v>5150.068875241747</v>
      </c>
      <c r="L1017" s="14" t="n">
        <v>505029.1291336659</v>
      </c>
      <c r="M1017" s="14" t="n">
        <v>0</v>
      </c>
      <c r="N1017" s="14" t="n">
        <v>501533.9079923144</v>
      </c>
      <c r="O1017" s="14" t="n">
        <v>507863.9673361984</v>
      </c>
      <c r="P1017" s="14" t="n">
        <v>0</v>
      </c>
      <c r="Q1017" s="14" t="n">
        <v>4868098.296556959</v>
      </c>
      <c r="R1017" s="15">
        <f>IF(D1017=1,"Section 1","Control")</f>
        <v/>
      </c>
      <c r="S1017" s="16">
        <f>N1017/10000</f>
        <v/>
      </c>
      <c r="T1017" s="16">
        <f>P1017/10000</f>
        <v/>
      </c>
      <c r="U1017" s="15">
        <f>IF(N1017&gt;=Summary!$D$3,1,0)</f>
        <v/>
      </c>
      <c r="V1017" s="17">
        <f>IF(N1017&gt;0,P1017/N1017,"")</f>
        <v/>
      </c>
      <c r="W1017" s="17">
        <f>IF(O1017&gt;0,H1017/O1017,"")</f>
        <v/>
      </c>
    </row>
    <row r="1018">
      <c r="A1018" s="13" t="inlineStr">
        <is>
          <t>T37_B2</t>
        </is>
      </c>
      <c r="B1018" s="13" t="inlineStr">
        <is>
          <t>T37</t>
        </is>
      </c>
      <c r="C1018" s="13" t="inlineStr">
        <is>
          <t>B2</t>
        </is>
      </c>
      <c r="D1018" s="13" t="n">
        <v>1</v>
      </c>
      <c r="E1018" s="13" t="inlineStr">
        <is>
          <t>S1</t>
        </is>
      </c>
      <c r="F1018" s="13" t="n">
        <v>2021</v>
      </c>
      <c r="G1018" s="14" t="n">
        <v>1012893.096469864</v>
      </c>
      <c r="H1018" s="14" t="n">
        <v>497206.8897086649</v>
      </c>
      <c r="I1018" s="14" t="n">
        <v>457.2075899311141</v>
      </c>
      <c r="J1018" s="14" t="n">
        <v>0</v>
      </c>
      <c r="K1018" s="14" t="n">
        <v>10199.87003760244</v>
      </c>
      <c r="L1018" s="14" t="n">
        <v>505029.1291336658</v>
      </c>
      <c r="M1018" s="14" t="n">
        <v>0</v>
      </c>
      <c r="N1018" s="14" t="n">
        <v>501533.9079923144</v>
      </c>
      <c r="O1018" s="14" t="n">
        <v>507863.9673361984</v>
      </c>
      <c r="P1018" s="14" t="n">
        <v>4327.01828364952</v>
      </c>
      <c r="Q1018" s="14" t="n">
        <v>4868098.296556959</v>
      </c>
      <c r="R1018" s="15">
        <f>IF(D1018=1,"Section 1","Control")</f>
        <v/>
      </c>
      <c r="S1018" s="16">
        <f>N1018/10000</f>
        <v/>
      </c>
      <c r="T1018" s="16">
        <f>P1018/10000</f>
        <v/>
      </c>
      <c r="U1018" s="15">
        <f>IF(N1018&gt;=Summary!$D$3,1,0)</f>
        <v/>
      </c>
      <c r="V1018" s="17">
        <f>IF(N1018&gt;0,P1018/N1018,"")</f>
        <v/>
      </c>
      <c r="W1018" s="17">
        <f>IF(O1018&gt;0,H1018/O1018,"")</f>
        <v/>
      </c>
    </row>
    <row r="1019">
      <c r="A1019" s="13" t="inlineStr">
        <is>
          <t>T37_B2</t>
        </is>
      </c>
      <c r="B1019" s="13" t="inlineStr">
        <is>
          <t>T37</t>
        </is>
      </c>
      <c r="C1019" s="13" t="inlineStr">
        <is>
          <t>B2</t>
        </is>
      </c>
      <c r="D1019" s="13" t="n">
        <v>1</v>
      </c>
      <c r="E1019" s="13" t="inlineStr">
        <is>
          <t>S1</t>
        </is>
      </c>
      <c r="F1019" s="13" t="n">
        <v>2022</v>
      </c>
      <c r="G1019" s="14" t="n">
        <v>1012893.096469864</v>
      </c>
      <c r="H1019" s="14" t="n">
        <v>496812.0110160379</v>
      </c>
      <c r="I1019" s="14" t="n">
        <v>439.3993821985581</v>
      </c>
      <c r="J1019" s="14" t="n">
        <v>0</v>
      </c>
      <c r="K1019" s="14" t="n">
        <v>10612.55693796195</v>
      </c>
      <c r="L1019" s="14" t="n">
        <v>505029.1291336658</v>
      </c>
      <c r="M1019" s="14" t="n">
        <v>0</v>
      </c>
      <c r="N1019" s="14" t="n">
        <v>501533.9079923144</v>
      </c>
      <c r="O1019" s="14" t="n">
        <v>507863.9673361984</v>
      </c>
      <c r="P1019" s="14" t="n">
        <v>4721.896976276473</v>
      </c>
      <c r="Q1019" s="14" t="n">
        <v>4868098.296556959</v>
      </c>
      <c r="R1019" s="15">
        <f>IF(D1019=1,"Section 1","Control")</f>
        <v/>
      </c>
      <c r="S1019" s="16">
        <f>N1019/10000</f>
        <v/>
      </c>
      <c r="T1019" s="16">
        <f>P1019/10000</f>
        <v/>
      </c>
      <c r="U1019" s="15">
        <f>IF(N1019&gt;=Summary!$D$3,1,0)</f>
        <v/>
      </c>
      <c r="V1019" s="17">
        <f>IF(N1019&gt;0,P1019/N1019,"")</f>
        <v/>
      </c>
      <c r="W1019" s="17">
        <f>IF(O1019&gt;0,H1019/O1019,"")</f>
        <v/>
      </c>
    </row>
    <row r="1020">
      <c r="A1020" s="13" t="inlineStr">
        <is>
          <t>T37_B2</t>
        </is>
      </c>
      <c r="B1020" s="13" t="inlineStr">
        <is>
          <t>T37</t>
        </is>
      </c>
      <c r="C1020" s="13" t="inlineStr">
        <is>
          <t>B2</t>
        </is>
      </c>
      <c r="D1020" s="13" t="n">
        <v>1</v>
      </c>
      <c r="E1020" s="13" t="inlineStr">
        <is>
          <t>S1</t>
        </is>
      </c>
      <c r="F1020" s="13" t="n">
        <v>2023</v>
      </c>
      <c r="G1020" s="14" t="n">
        <v>1012893.096469864</v>
      </c>
      <c r="H1020" s="14" t="n">
        <v>497152.6907250797</v>
      </c>
      <c r="I1020" s="14" t="n">
        <v>170.7269530352424</v>
      </c>
      <c r="J1020" s="14" t="n">
        <v>0</v>
      </c>
      <c r="K1020" s="14" t="n">
        <v>10540.54965808345</v>
      </c>
      <c r="L1020" s="14" t="n">
        <v>505029.1291336658</v>
      </c>
      <c r="M1020" s="14" t="n">
        <v>0</v>
      </c>
      <c r="N1020" s="14" t="n">
        <v>501533.9079923144</v>
      </c>
      <c r="O1020" s="14" t="n">
        <v>507863.9673361984</v>
      </c>
      <c r="P1020" s="14" t="n">
        <v>4721.896976276473</v>
      </c>
      <c r="Q1020" s="14" t="n">
        <v>4868098.296556959</v>
      </c>
      <c r="R1020" s="15">
        <f>IF(D1020=1,"Section 1","Control")</f>
        <v/>
      </c>
      <c r="S1020" s="16">
        <f>N1020/10000</f>
        <v/>
      </c>
      <c r="T1020" s="16">
        <f>P1020/10000</f>
        <v/>
      </c>
      <c r="U1020" s="15">
        <f>IF(N1020&gt;=Summary!$D$3,1,0)</f>
        <v/>
      </c>
      <c r="V1020" s="17">
        <f>IF(N1020&gt;0,P1020/N1020,"")</f>
        <v/>
      </c>
      <c r="W1020" s="17">
        <f>IF(O1020&gt;0,H1020/O1020,"")</f>
        <v/>
      </c>
    </row>
    <row r="1021">
      <c r="A1021" s="13" t="inlineStr">
        <is>
          <t>T37_B2</t>
        </is>
      </c>
      <c r="B1021" s="13" t="inlineStr">
        <is>
          <t>T37</t>
        </is>
      </c>
      <c r="C1021" s="13" t="inlineStr">
        <is>
          <t>B2</t>
        </is>
      </c>
      <c r="D1021" s="13" t="n">
        <v>1</v>
      </c>
      <c r="E1021" s="13" t="inlineStr">
        <is>
          <t>S1</t>
        </is>
      </c>
      <c r="F1021" s="13" t="n">
        <v>2024</v>
      </c>
      <c r="G1021" s="14" t="n">
        <v>1012893.096469864</v>
      </c>
      <c r="H1021" s="14" t="n">
        <v>497125.9783699485</v>
      </c>
      <c r="I1021" s="14" t="n">
        <v>0</v>
      </c>
      <c r="J1021" s="14" t="n">
        <v>0</v>
      </c>
      <c r="K1021" s="14" t="n">
        <v>10737.98896624995</v>
      </c>
      <c r="L1021" s="14" t="n">
        <v>505029.1291336658</v>
      </c>
      <c r="M1021" s="14" t="n">
        <v>0</v>
      </c>
      <c r="N1021" s="14" t="n">
        <v>501533.9079923144</v>
      </c>
      <c r="O1021" s="14" t="n">
        <v>507863.9673361984</v>
      </c>
      <c r="P1021" s="14" t="n">
        <v>4721.896976276473</v>
      </c>
      <c r="Q1021" s="14" t="n">
        <v>4868098.296556959</v>
      </c>
      <c r="R1021" s="15">
        <f>IF(D1021=1,"Section 1","Control")</f>
        <v/>
      </c>
      <c r="S1021" s="16">
        <f>N1021/10000</f>
        <v/>
      </c>
      <c r="T1021" s="16">
        <f>P1021/10000</f>
        <v/>
      </c>
      <c r="U1021" s="15">
        <f>IF(N1021&gt;=Summary!$D$3,1,0)</f>
        <v/>
      </c>
      <c r="V1021" s="17">
        <f>IF(N1021&gt;0,P1021/N1021,"")</f>
        <v/>
      </c>
      <c r="W1021" s="17">
        <f>IF(O1021&gt;0,H1021/O1021,"")</f>
        <v/>
      </c>
    </row>
    <row r="1022">
      <c r="A1022" s="13" t="inlineStr">
        <is>
          <t>T37_B2</t>
        </is>
      </c>
      <c r="B1022" s="13" t="inlineStr">
        <is>
          <t>T37</t>
        </is>
      </c>
      <c r="C1022" s="13" t="inlineStr">
        <is>
          <t>B2</t>
        </is>
      </c>
      <c r="D1022" s="13" t="n">
        <v>1</v>
      </c>
      <c r="E1022" s="13" t="inlineStr">
        <is>
          <t>S1</t>
        </is>
      </c>
      <c r="F1022" s="13" t="n">
        <v>2025</v>
      </c>
      <c r="G1022" s="14" t="n">
        <v>1012893.096469864</v>
      </c>
      <c r="H1022" s="14" t="n">
        <v>497019.9031191658</v>
      </c>
      <c r="I1022" s="14" t="n">
        <v>234.9914702471565</v>
      </c>
      <c r="J1022" s="14" t="n">
        <v>0</v>
      </c>
      <c r="K1022" s="14" t="n">
        <v>10609.07274678548</v>
      </c>
      <c r="L1022" s="14" t="n">
        <v>505029.1291336658</v>
      </c>
      <c r="M1022" s="14" t="n">
        <v>0</v>
      </c>
      <c r="N1022" s="14" t="n">
        <v>501533.9079923144</v>
      </c>
      <c r="O1022" s="14" t="n">
        <v>507863.9673361984</v>
      </c>
      <c r="P1022" s="14" t="n">
        <v>4721.896976276473</v>
      </c>
      <c r="Q1022" s="14" t="n">
        <v>4868098.296556959</v>
      </c>
      <c r="R1022" s="15">
        <f>IF(D1022=1,"Section 1","Control")</f>
        <v/>
      </c>
      <c r="S1022" s="16">
        <f>N1022/10000</f>
        <v/>
      </c>
      <c r="T1022" s="16">
        <f>P1022/10000</f>
        <v/>
      </c>
      <c r="U1022" s="15">
        <f>IF(N1022&gt;=Summary!$D$3,1,0)</f>
        <v/>
      </c>
      <c r="V1022" s="17">
        <f>IF(N1022&gt;0,P1022/N1022,"")</f>
        <v/>
      </c>
      <c r="W1022" s="17">
        <f>IF(O1022&gt;0,H1022/O1022,"")</f>
        <v/>
      </c>
    </row>
    <row r="1023">
      <c r="A1023" s="13" t="inlineStr">
        <is>
          <t>T37_B2</t>
        </is>
      </c>
      <c r="B1023" s="13" t="inlineStr">
        <is>
          <t>T37</t>
        </is>
      </c>
      <c r="C1023" s="13" t="inlineStr">
        <is>
          <t>B2</t>
        </is>
      </c>
      <c r="D1023" s="13" t="n">
        <v>1</v>
      </c>
      <c r="E1023" s="13" t="inlineStr">
        <is>
          <t>S1</t>
        </is>
      </c>
      <c r="F1023" s="13" t="n">
        <v>2026</v>
      </c>
      <c r="G1023" s="14" t="n">
        <v>1012893.096469864</v>
      </c>
      <c r="H1023" s="14" t="n">
        <v>494308.7892278335</v>
      </c>
      <c r="I1023" s="14" t="n">
        <v>493.5987548828125</v>
      </c>
      <c r="J1023" s="14" t="n">
        <v>0</v>
      </c>
      <c r="K1023" s="14" t="n">
        <v>13061.57935348211</v>
      </c>
      <c r="L1023" s="14" t="n">
        <v>505029.1291336658</v>
      </c>
      <c r="M1023" s="14" t="n">
        <v>0</v>
      </c>
      <c r="N1023" s="14" t="n">
        <v>501533.9079923144</v>
      </c>
      <c r="O1023" s="14" t="n">
        <v>507863.9673361984</v>
      </c>
      <c r="P1023" s="14" t="n">
        <v>7225.118764480891</v>
      </c>
      <c r="Q1023" s="14" t="n">
        <v>4868098.296556959</v>
      </c>
      <c r="R1023" s="15">
        <f>IF(D1023=1,"Section 1","Control")</f>
        <v/>
      </c>
      <c r="S1023" s="16">
        <f>N1023/10000</f>
        <v/>
      </c>
      <c r="T1023" s="16">
        <f>P1023/10000</f>
        <v/>
      </c>
      <c r="U1023" s="15">
        <f>IF(N1023&gt;=Summary!$D$3,1,0)</f>
        <v/>
      </c>
      <c r="V1023" s="17">
        <f>IF(N1023&gt;0,P1023/N1023,"")</f>
        <v/>
      </c>
      <c r="W1023" s="17">
        <f>IF(O1023&gt;0,H1023/O1023,"")</f>
        <v/>
      </c>
    </row>
    <row r="1024">
      <c r="A1024" s="13" t="inlineStr">
        <is>
          <t>T37_B3</t>
        </is>
      </c>
      <c r="B1024" s="13" t="inlineStr">
        <is>
          <t>T37</t>
        </is>
      </c>
      <c r="C1024" s="13" t="inlineStr">
        <is>
          <t>B3</t>
        </is>
      </c>
      <c r="D1024" s="13" t="n">
        <v>1</v>
      </c>
      <c r="E1024" s="13" t="inlineStr">
        <is>
          <t>S1</t>
        </is>
      </c>
      <c r="F1024" s="13" t="n">
        <v>2020</v>
      </c>
      <c r="G1024" s="14" t="n">
        <v>8104629.077254142</v>
      </c>
      <c r="H1024" s="14" t="n">
        <v>2058724.116021459</v>
      </c>
      <c r="I1024" s="14" t="n">
        <v>559495.4910652611</v>
      </c>
      <c r="J1024" s="14" t="n">
        <v>0</v>
      </c>
      <c r="K1024" s="14" t="n">
        <v>1480823.266048147</v>
      </c>
      <c r="L1024" s="14" t="n">
        <v>4005586.204119275</v>
      </c>
      <c r="M1024" s="14" t="n">
        <v>0</v>
      </c>
      <c r="N1024" s="14" t="n">
        <v>2058724.116021459</v>
      </c>
      <c r="O1024" s="14" t="n">
        <v>4099042.873134867</v>
      </c>
      <c r="P1024" s="14" t="n">
        <v>0</v>
      </c>
      <c r="Q1024" s="14" t="n">
        <v>34822643.19511207</v>
      </c>
      <c r="R1024" s="15">
        <f>IF(D1024=1,"Section 1","Control")</f>
        <v/>
      </c>
      <c r="S1024" s="16">
        <f>N1024/10000</f>
        <v/>
      </c>
      <c r="T1024" s="16">
        <f>P1024/10000</f>
        <v/>
      </c>
      <c r="U1024" s="15">
        <f>IF(N1024&gt;=Summary!$D$3,1,0)</f>
        <v/>
      </c>
      <c r="V1024" s="17">
        <f>IF(N1024&gt;0,P1024/N1024,"")</f>
        <v/>
      </c>
      <c r="W1024" s="17">
        <f>IF(O1024&gt;0,H1024/O1024,"")</f>
        <v/>
      </c>
    </row>
    <row r="1025">
      <c r="A1025" s="13" t="inlineStr">
        <is>
          <t>T37_B3</t>
        </is>
      </c>
      <c r="B1025" s="13" t="inlineStr">
        <is>
          <t>T37</t>
        </is>
      </c>
      <c r="C1025" s="13" t="inlineStr">
        <is>
          <t>B3</t>
        </is>
      </c>
      <c r="D1025" s="13" t="n">
        <v>1</v>
      </c>
      <c r="E1025" s="13" t="inlineStr">
        <is>
          <t>S1</t>
        </is>
      </c>
      <c r="F1025" s="13" t="n">
        <v>2021</v>
      </c>
      <c r="G1025" s="14" t="n">
        <v>8104629.077254142</v>
      </c>
      <c r="H1025" s="14" t="n">
        <v>1503017.696994078</v>
      </c>
      <c r="I1025" s="14" t="n">
        <v>447789.5932980407</v>
      </c>
      <c r="J1025" s="14" t="n">
        <v>0</v>
      </c>
      <c r="K1025" s="14" t="n">
        <v>2148235.582842748</v>
      </c>
      <c r="L1025" s="14" t="n">
        <v>4005586.204119273</v>
      </c>
      <c r="M1025" s="14" t="n">
        <v>0</v>
      </c>
      <c r="N1025" s="14" t="n">
        <v>2058724.116021459</v>
      </c>
      <c r="O1025" s="14" t="n">
        <v>4099042.873134865</v>
      </c>
      <c r="P1025" s="14" t="n">
        <v>584134.4761575736</v>
      </c>
      <c r="Q1025" s="14" t="n">
        <v>34822643.19511207</v>
      </c>
      <c r="R1025" s="15">
        <f>IF(D1025=1,"Section 1","Control")</f>
        <v/>
      </c>
      <c r="S1025" s="16">
        <f>N1025/10000</f>
        <v/>
      </c>
      <c r="T1025" s="16">
        <f>P1025/10000</f>
        <v/>
      </c>
      <c r="U1025" s="15">
        <f>IF(N1025&gt;=Summary!$D$3,1,0)</f>
        <v/>
      </c>
      <c r="V1025" s="17">
        <f>IF(N1025&gt;0,P1025/N1025,"")</f>
        <v/>
      </c>
      <c r="W1025" s="17">
        <f>IF(O1025&gt;0,H1025/O1025,"")</f>
        <v/>
      </c>
    </row>
    <row r="1026">
      <c r="A1026" s="13" t="inlineStr">
        <is>
          <t>T37_B3</t>
        </is>
      </c>
      <c r="B1026" s="13" t="inlineStr">
        <is>
          <t>T37</t>
        </is>
      </c>
      <c r="C1026" s="13" t="inlineStr">
        <is>
          <t>B3</t>
        </is>
      </c>
      <c r="D1026" s="13" t="n">
        <v>1</v>
      </c>
      <c r="E1026" s="13" t="inlineStr">
        <is>
          <t>S1</t>
        </is>
      </c>
      <c r="F1026" s="13" t="n">
        <v>2022</v>
      </c>
      <c r="G1026" s="14" t="n">
        <v>8104629.077254144</v>
      </c>
      <c r="H1026" s="14" t="n">
        <v>1473516.453264393</v>
      </c>
      <c r="I1026" s="14" t="n">
        <v>330281.1663443471</v>
      </c>
      <c r="J1026" s="14" t="n">
        <v>0</v>
      </c>
      <c r="K1026" s="14" t="n">
        <v>2295245.253526127</v>
      </c>
      <c r="L1026" s="14" t="n">
        <v>4005586.204119275</v>
      </c>
      <c r="M1026" s="14" t="n">
        <v>0</v>
      </c>
      <c r="N1026" s="14" t="n">
        <v>2058724.116021459</v>
      </c>
      <c r="O1026" s="14" t="n">
        <v>4099042.873134865</v>
      </c>
      <c r="P1026" s="14" t="n">
        <v>618982.1632596783</v>
      </c>
      <c r="Q1026" s="14" t="n">
        <v>34822643.19511207</v>
      </c>
      <c r="R1026" s="15">
        <f>IF(D1026=1,"Section 1","Control")</f>
        <v/>
      </c>
      <c r="S1026" s="16">
        <f>N1026/10000</f>
        <v/>
      </c>
      <c r="T1026" s="16">
        <f>P1026/10000</f>
        <v/>
      </c>
      <c r="U1026" s="15">
        <f>IF(N1026&gt;=Summary!$D$3,1,0)</f>
        <v/>
      </c>
      <c r="V1026" s="17">
        <f>IF(N1026&gt;0,P1026/N1026,"")</f>
        <v/>
      </c>
      <c r="W1026" s="17">
        <f>IF(O1026&gt;0,H1026/O1026,"")</f>
        <v/>
      </c>
    </row>
    <row r="1027">
      <c r="A1027" s="13" t="inlineStr">
        <is>
          <t>T37_B3</t>
        </is>
      </c>
      <c r="B1027" s="13" t="inlineStr">
        <is>
          <t>T37</t>
        </is>
      </c>
      <c r="C1027" s="13" t="inlineStr">
        <is>
          <t>B3</t>
        </is>
      </c>
      <c r="D1027" s="13" t="n">
        <v>1</v>
      </c>
      <c r="E1027" s="13" t="inlineStr">
        <is>
          <t>S1</t>
        </is>
      </c>
      <c r="F1027" s="13" t="n">
        <v>2023</v>
      </c>
      <c r="G1027" s="14" t="n">
        <v>8104629.077254142</v>
      </c>
      <c r="H1027" s="14" t="n">
        <v>1416099.863654881</v>
      </c>
      <c r="I1027" s="14" t="n">
        <v>470505.8807556752</v>
      </c>
      <c r="J1027" s="14" t="n">
        <v>0</v>
      </c>
      <c r="K1027" s="14" t="n">
        <v>2212437.128724311</v>
      </c>
      <c r="L1027" s="14" t="n">
        <v>4005586.204119275</v>
      </c>
      <c r="M1027" s="14" t="n">
        <v>0</v>
      </c>
      <c r="N1027" s="14" t="n">
        <v>2058724.116021459</v>
      </c>
      <c r="O1027" s="14" t="n">
        <v>4099042.873134865</v>
      </c>
      <c r="P1027" s="14" t="n">
        <v>685084.4253863167</v>
      </c>
      <c r="Q1027" s="14" t="n">
        <v>34822643.19511206</v>
      </c>
      <c r="R1027" s="15">
        <f>IF(D1027=1,"Section 1","Control")</f>
        <v/>
      </c>
      <c r="S1027" s="16">
        <f>N1027/10000</f>
        <v/>
      </c>
      <c r="T1027" s="16">
        <f>P1027/10000</f>
        <v/>
      </c>
      <c r="U1027" s="15">
        <f>IF(N1027&gt;=Summary!$D$3,1,0)</f>
        <v/>
      </c>
      <c r="V1027" s="17">
        <f>IF(N1027&gt;0,P1027/N1027,"")</f>
        <v/>
      </c>
      <c r="W1027" s="17">
        <f>IF(O1027&gt;0,H1027/O1027,"")</f>
        <v/>
      </c>
    </row>
    <row r="1028">
      <c r="A1028" s="13" t="inlineStr">
        <is>
          <t>T37_B3</t>
        </is>
      </c>
      <c r="B1028" s="13" t="inlineStr">
        <is>
          <t>T37</t>
        </is>
      </c>
      <c r="C1028" s="13" t="inlineStr">
        <is>
          <t>B3</t>
        </is>
      </c>
      <c r="D1028" s="13" t="n">
        <v>1</v>
      </c>
      <c r="E1028" s="13" t="inlineStr">
        <is>
          <t>S1</t>
        </is>
      </c>
      <c r="F1028" s="13" t="n">
        <v>2024</v>
      </c>
      <c r="G1028" s="14" t="n">
        <v>8104629.077254144</v>
      </c>
      <c r="H1028" s="14" t="n">
        <v>1560334.911116865</v>
      </c>
      <c r="I1028" s="14" t="n">
        <v>295154.8142208922</v>
      </c>
      <c r="J1028" s="14" t="n">
        <v>0</v>
      </c>
      <c r="K1028" s="14" t="n">
        <v>2243553.14779711</v>
      </c>
      <c r="L1028" s="14" t="n">
        <v>4005586.204119275</v>
      </c>
      <c r="M1028" s="14" t="n">
        <v>0</v>
      </c>
      <c r="N1028" s="14" t="n">
        <v>2058724.116021459</v>
      </c>
      <c r="O1028" s="14" t="n">
        <v>4099042.873134865</v>
      </c>
      <c r="P1028" s="14" t="n">
        <v>625932.6571916469</v>
      </c>
      <c r="Q1028" s="14" t="n">
        <v>34822643.19511207</v>
      </c>
      <c r="R1028" s="15">
        <f>IF(D1028=1,"Section 1","Control")</f>
        <v/>
      </c>
      <c r="S1028" s="16">
        <f>N1028/10000</f>
        <v/>
      </c>
      <c r="T1028" s="16">
        <f>P1028/10000</f>
        <v/>
      </c>
      <c r="U1028" s="15">
        <f>IF(N1028&gt;=Summary!$D$3,1,0)</f>
        <v/>
      </c>
      <c r="V1028" s="17">
        <f>IF(N1028&gt;0,P1028/N1028,"")</f>
        <v/>
      </c>
      <c r="W1028" s="17">
        <f>IF(O1028&gt;0,H1028/O1028,"")</f>
        <v/>
      </c>
    </row>
    <row r="1029">
      <c r="A1029" s="13" t="inlineStr">
        <is>
          <t>T37_B3</t>
        </is>
      </c>
      <c r="B1029" s="13" t="inlineStr">
        <is>
          <t>T37</t>
        </is>
      </c>
      <c r="C1029" s="13" t="inlineStr">
        <is>
          <t>B3</t>
        </is>
      </c>
      <c r="D1029" s="13" t="n">
        <v>1</v>
      </c>
      <c r="E1029" s="13" t="inlineStr">
        <is>
          <t>S1</t>
        </is>
      </c>
      <c r="F1029" s="13" t="n">
        <v>2025</v>
      </c>
      <c r="G1029" s="14" t="n">
        <v>8104629.077254142</v>
      </c>
      <c r="H1029" s="14" t="n">
        <v>1451322.25036998</v>
      </c>
      <c r="I1029" s="14" t="n">
        <v>403198.1803590961</v>
      </c>
      <c r="J1029" s="14" t="n">
        <v>0</v>
      </c>
      <c r="K1029" s="14" t="n">
        <v>2244325.003959746</v>
      </c>
      <c r="L1029" s="14" t="n">
        <v>4005783.642565319</v>
      </c>
      <c r="M1029" s="14" t="n">
        <v>0</v>
      </c>
      <c r="N1029" s="14" t="n">
        <v>2058724.116021459</v>
      </c>
      <c r="O1029" s="14" t="n">
        <v>4099042.873134865</v>
      </c>
      <c r="P1029" s="14" t="n">
        <v>736660.5102124084</v>
      </c>
      <c r="Q1029" s="14" t="n">
        <v>34822643.19511206</v>
      </c>
      <c r="R1029" s="15">
        <f>IF(D1029=1,"Section 1","Control")</f>
        <v/>
      </c>
      <c r="S1029" s="16">
        <f>N1029/10000</f>
        <v/>
      </c>
      <c r="T1029" s="16">
        <f>P1029/10000</f>
        <v/>
      </c>
      <c r="U1029" s="15">
        <f>IF(N1029&gt;=Summary!$D$3,1,0)</f>
        <v/>
      </c>
      <c r="V1029" s="17">
        <f>IF(N1029&gt;0,P1029/N1029,"")</f>
        <v/>
      </c>
      <c r="W1029" s="17">
        <f>IF(O1029&gt;0,H1029/O1029,"")</f>
        <v/>
      </c>
    </row>
    <row r="1030">
      <c r="A1030" s="13" t="inlineStr">
        <is>
          <t>T37_B3</t>
        </is>
      </c>
      <c r="B1030" s="13" t="inlineStr">
        <is>
          <t>T37</t>
        </is>
      </c>
      <c r="C1030" s="13" t="inlineStr">
        <is>
          <t>B3</t>
        </is>
      </c>
      <c r="D1030" s="13" t="n">
        <v>1</v>
      </c>
      <c r="E1030" s="13" t="inlineStr">
        <is>
          <t>S1</t>
        </is>
      </c>
      <c r="F1030" s="13" t="n">
        <v>2026</v>
      </c>
      <c r="G1030" s="14" t="n">
        <v>8104629.077254142</v>
      </c>
      <c r="H1030" s="14" t="n">
        <v>1466538.210177582</v>
      </c>
      <c r="I1030" s="14" t="n">
        <v>266026.4012565762</v>
      </c>
      <c r="J1030" s="14" t="n">
        <v>0</v>
      </c>
      <c r="K1030" s="14" t="n">
        <v>2364602.618191797</v>
      </c>
      <c r="L1030" s="14" t="n">
        <v>4007461.847628186</v>
      </c>
      <c r="M1030" s="14" t="n">
        <v>0</v>
      </c>
      <c r="N1030" s="14" t="n">
        <v>2058724.116021459</v>
      </c>
      <c r="O1030" s="14" t="n">
        <v>4099042.873134865</v>
      </c>
      <c r="P1030" s="14" t="n">
        <v>762537.6977506152</v>
      </c>
      <c r="Q1030" s="14" t="n">
        <v>34822643.19511207</v>
      </c>
      <c r="R1030" s="15">
        <f>IF(D1030=1,"Section 1","Control")</f>
        <v/>
      </c>
      <c r="S1030" s="16">
        <f>N1030/10000</f>
        <v/>
      </c>
      <c r="T1030" s="16">
        <f>P1030/10000</f>
        <v/>
      </c>
      <c r="U1030" s="15">
        <f>IF(N1030&gt;=Summary!$D$3,1,0)</f>
        <v/>
      </c>
      <c r="V1030" s="17">
        <f>IF(N1030&gt;0,P1030/N1030,"")</f>
        <v/>
      </c>
      <c r="W1030" s="17">
        <f>IF(O1030&gt;0,H1030/O1030,"")</f>
        <v/>
      </c>
    </row>
    <row r="1031">
      <c r="A1031" s="13" t="inlineStr">
        <is>
          <t>T37_F</t>
        </is>
      </c>
      <c r="B1031" s="13" t="inlineStr">
        <is>
          <t>T37</t>
        </is>
      </c>
      <c r="C1031" s="13" t="inlineStr">
        <is>
          <t>F</t>
        </is>
      </c>
      <c r="D1031" s="13" t="n">
        <v>1</v>
      </c>
      <c r="E1031" s="13" t="inlineStr">
        <is>
          <t>S1</t>
        </is>
      </c>
      <c r="F1031" s="13" t="n">
        <v>2020</v>
      </c>
      <c r="G1031" s="14" t="n">
        <v>87769.4558419321</v>
      </c>
      <c r="H1031" s="14" t="n">
        <v>87769.4558419321</v>
      </c>
      <c r="I1031" s="14" t="n">
        <v>0</v>
      </c>
      <c r="J1031" s="14" t="n">
        <v>0</v>
      </c>
      <c r="K1031" s="14" t="n">
        <v>0</v>
      </c>
      <c r="L1031" s="14" t="n">
        <v>0</v>
      </c>
      <c r="M1031" s="14" t="n">
        <v>0</v>
      </c>
      <c r="N1031" s="14" t="n">
        <v>87769.4558419321</v>
      </c>
      <c r="O1031" s="14" t="n">
        <v>87769.4558419321</v>
      </c>
      <c r="P1031" s="14" t="n">
        <v>0</v>
      </c>
      <c r="Q1031" s="14" t="n">
        <v>1191682.994507075</v>
      </c>
      <c r="R1031" s="15">
        <f>IF(D1031=1,"Section 1","Control")</f>
        <v/>
      </c>
      <c r="S1031" s="16">
        <f>N1031/10000</f>
        <v/>
      </c>
      <c r="T1031" s="16">
        <f>P1031/10000</f>
        <v/>
      </c>
      <c r="U1031" s="15">
        <f>IF(N1031&gt;=Summary!$D$3,1,0)</f>
        <v/>
      </c>
      <c r="V1031" s="17">
        <f>IF(N1031&gt;0,P1031/N1031,"")</f>
        <v/>
      </c>
      <c r="W1031" s="17">
        <f>IF(O1031&gt;0,H1031/O1031,"")</f>
        <v/>
      </c>
    </row>
    <row r="1032">
      <c r="A1032" s="13" t="inlineStr">
        <is>
          <t>T37_F</t>
        </is>
      </c>
      <c r="B1032" s="13" t="inlineStr">
        <is>
          <t>T37</t>
        </is>
      </c>
      <c r="C1032" s="13" t="inlineStr">
        <is>
          <t>F</t>
        </is>
      </c>
      <c r="D1032" s="13" t="n">
        <v>1</v>
      </c>
      <c r="E1032" s="13" t="inlineStr">
        <is>
          <t>S1</t>
        </is>
      </c>
      <c r="F1032" s="13" t="n">
        <v>2021</v>
      </c>
      <c r="G1032" s="14" t="n">
        <v>87769.4558419321</v>
      </c>
      <c r="H1032" s="14" t="n">
        <v>78715.36624492571</v>
      </c>
      <c r="I1032" s="14" t="n">
        <v>0</v>
      </c>
      <c r="J1032" s="14" t="n">
        <v>0</v>
      </c>
      <c r="K1032" s="14" t="n">
        <v>9054.089597006408</v>
      </c>
      <c r="L1032" s="14" t="n">
        <v>0</v>
      </c>
      <c r="M1032" s="14" t="n">
        <v>0</v>
      </c>
      <c r="N1032" s="14" t="n">
        <v>87769.4558419321</v>
      </c>
      <c r="O1032" s="14" t="n">
        <v>87769.4558419321</v>
      </c>
      <c r="P1032" s="14" t="n">
        <v>9054.089597006408</v>
      </c>
      <c r="Q1032" s="14" t="n">
        <v>1191682.994507075</v>
      </c>
      <c r="R1032" s="15">
        <f>IF(D1032=1,"Section 1","Control")</f>
        <v/>
      </c>
      <c r="S1032" s="16">
        <f>N1032/10000</f>
        <v/>
      </c>
      <c r="T1032" s="16">
        <f>P1032/10000</f>
        <v/>
      </c>
      <c r="U1032" s="15">
        <f>IF(N1032&gt;=Summary!$D$3,1,0)</f>
        <v/>
      </c>
      <c r="V1032" s="17">
        <f>IF(N1032&gt;0,P1032/N1032,"")</f>
        <v/>
      </c>
      <c r="W1032" s="17">
        <f>IF(O1032&gt;0,H1032/O1032,"")</f>
        <v/>
      </c>
    </row>
    <row r="1033">
      <c r="A1033" s="13" t="inlineStr">
        <is>
          <t>T37_F</t>
        </is>
      </c>
      <c r="B1033" s="13" t="inlineStr">
        <is>
          <t>T37</t>
        </is>
      </c>
      <c r="C1033" s="13" t="inlineStr">
        <is>
          <t>F</t>
        </is>
      </c>
      <c r="D1033" s="13" t="n">
        <v>1</v>
      </c>
      <c r="E1033" s="13" t="inlineStr">
        <is>
          <t>S1</t>
        </is>
      </c>
      <c r="F1033" s="13" t="n">
        <v>2022</v>
      </c>
      <c r="G1033" s="14" t="n">
        <v>87769.4558419321</v>
      </c>
      <c r="H1033" s="14" t="n">
        <v>78087.03471907074</v>
      </c>
      <c r="I1033" s="14" t="n">
        <v>0</v>
      </c>
      <c r="J1033" s="14" t="n">
        <v>0</v>
      </c>
      <c r="K1033" s="14" t="n">
        <v>9682.42112286138</v>
      </c>
      <c r="L1033" s="14" t="n">
        <v>0</v>
      </c>
      <c r="M1033" s="14" t="n">
        <v>0</v>
      </c>
      <c r="N1033" s="14" t="n">
        <v>87769.4558419321</v>
      </c>
      <c r="O1033" s="14" t="n">
        <v>87769.4558419321</v>
      </c>
      <c r="P1033" s="14" t="n">
        <v>9682.42112286138</v>
      </c>
      <c r="Q1033" s="14" t="n">
        <v>1191682.994507075</v>
      </c>
      <c r="R1033" s="15">
        <f>IF(D1033=1,"Section 1","Control")</f>
        <v/>
      </c>
      <c r="S1033" s="16">
        <f>N1033/10000</f>
        <v/>
      </c>
      <c r="T1033" s="16">
        <f>P1033/10000</f>
        <v/>
      </c>
      <c r="U1033" s="15">
        <f>IF(N1033&gt;=Summary!$D$3,1,0)</f>
        <v/>
      </c>
      <c r="V1033" s="17">
        <f>IF(N1033&gt;0,P1033/N1033,"")</f>
        <v/>
      </c>
      <c r="W1033" s="17">
        <f>IF(O1033&gt;0,H1033/O1033,"")</f>
        <v/>
      </c>
    </row>
    <row r="1034">
      <c r="A1034" s="13" t="inlineStr">
        <is>
          <t>T37_F</t>
        </is>
      </c>
      <c r="B1034" s="13" t="inlineStr">
        <is>
          <t>T37</t>
        </is>
      </c>
      <c r="C1034" s="13" t="inlineStr">
        <is>
          <t>F</t>
        </is>
      </c>
      <c r="D1034" s="13" t="n">
        <v>1</v>
      </c>
      <c r="E1034" s="13" t="inlineStr">
        <is>
          <t>S1</t>
        </is>
      </c>
      <c r="F1034" s="13" t="n">
        <v>2023</v>
      </c>
      <c r="G1034" s="14" t="n">
        <v>87769.4558419321</v>
      </c>
      <c r="H1034" s="14" t="n">
        <v>78087.03471907074</v>
      </c>
      <c r="I1034" s="14" t="n">
        <v>0</v>
      </c>
      <c r="J1034" s="14" t="n">
        <v>0</v>
      </c>
      <c r="K1034" s="14" t="n">
        <v>9682.42112286138</v>
      </c>
      <c r="L1034" s="14" t="n">
        <v>0</v>
      </c>
      <c r="M1034" s="14" t="n">
        <v>0</v>
      </c>
      <c r="N1034" s="14" t="n">
        <v>87769.4558419321</v>
      </c>
      <c r="O1034" s="14" t="n">
        <v>87769.4558419321</v>
      </c>
      <c r="P1034" s="14" t="n">
        <v>9682.42112286138</v>
      </c>
      <c r="Q1034" s="14" t="n">
        <v>1191682.994507075</v>
      </c>
      <c r="R1034" s="15">
        <f>IF(D1034=1,"Section 1","Control")</f>
        <v/>
      </c>
      <c r="S1034" s="16">
        <f>N1034/10000</f>
        <v/>
      </c>
      <c r="T1034" s="16">
        <f>P1034/10000</f>
        <v/>
      </c>
      <c r="U1034" s="15">
        <f>IF(N1034&gt;=Summary!$D$3,1,0)</f>
        <v/>
      </c>
      <c r="V1034" s="17">
        <f>IF(N1034&gt;0,P1034/N1034,"")</f>
        <v/>
      </c>
      <c r="W1034" s="17">
        <f>IF(O1034&gt;0,H1034/O1034,"")</f>
        <v/>
      </c>
    </row>
    <row r="1035">
      <c r="A1035" s="13" t="inlineStr">
        <is>
          <t>T37_F</t>
        </is>
      </c>
      <c r="B1035" s="13" t="inlineStr">
        <is>
          <t>T37</t>
        </is>
      </c>
      <c r="C1035" s="13" t="inlineStr">
        <is>
          <t>F</t>
        </is>
      </c>
      <c r="D1035" s="13" t="n">
        <v>1</v>
      </c>
      <c r="E1035" s="13" t="inlineStr">
        <is>
          <t>S1</t>
        </is>
      </c>
      <c r="F1035" s="13" t="n">
        <v>2024</v>
      </c>
      <c r="G1035" s="14" t="n">
        <v>87769.4558419321</v>
      </c>
      <c r="H1035" s="14" t="n">
        <v>78087.03471907074</v>
      </c>
      <c r="I1035" s="14" t="n">
        <v>0</v>
      </c>
      <c r="J1035" s="14" t="n">
        <v>0</v>
      </c>
      <c r="K1035" s="14" t="n">
        <v>9682.42112286138</v>
      </c>
      <c r="L1035" s="14" t="n">
        <v>0</v>
      </c>
      <c r="M1035" s="14" t="n">
        <v>0</v>
      </c>
      <c r="N1035" s="14" t="n">
        <v>87769.4558419321</v>
      </c>
      <c r="O1035" s="14" t="n">
        <v>87769.4558419321</v>
      </c>
      <c r="P1035" s="14" t="n">
        <v>9682.42112286138</v>
      </c>
      <c r="Q1035" s="14" t="n">
        <v>1191682.994507075</v>
      </c>
      <c r="R1035" s="15">
        <f>IF(D1035=1,"Section 1","Control")</f>
        <v/>
      </c>
      <c r="S1035" s="16">
        <f>N1035/10000</f>
        <v/>
      </c>
      <c r="T1035" s="16">
        <f>P1035/10000</f>
        <v/>
      </c>
      <c r="U1035" s="15">
        <f>IF(N1035&gt;=Summary!$D$3,1,0)</f>
        <v/>
      </c>
      <c r="V1035" s="17">
        <f>IF(N1035&gt;0,P1035/N1035,"")</f>
        <v/>
      </c>
      <c r="W1035" s="17">
        <f>IF(O1035&gt;0,H1035/O1035,"")</f>
        <v/>
      </c>
    </row>
    <row r="1036">
      <c r="A1036" s="13" t="inlineStr">
        <is>
          <t>T37_F</t>
        </is>
      </c>
      <c r="B1036" s="13" t="inlineStr">
        <is>
          <t>T37</t>
        </is>
      </c>
      <c r="C1036" s="13" t="inlineStr">
        <is>
          <t>F</t>
        </is>
      </c>
      <c r="D1036" s="13" t="n">
        <v>1</v>
      </c>
      <c r="E1036" s="13" t="inlineStr">
        <is>
          <t>S1</t>
        </is>
      </c>
      <c r="F1036" s="13" t="n">
        <v>2025</v>
      </c>
      <c r="G1036" s="14" t="n">
        <v>87769.4558419321</v>
      </c>
      <c r="H1036" s="14" t="n">
        <v>48637.87320951575</v>
      </c>
      <c r="I1036" s="14" t="n">
        <v>12802.80618444705</v>
      </c>
      <c r="J1036" s="14" t="n">
        <v>0</v>
      </c>
      <c r="K1036" s="14" t="n">
        <v>26328.77644796932</v>
      </c>
      <c r="L1036" s="14" t="n">
        <v>0</v>
      </c>
      <c r="M1036" s="14" t="n">
        <v>0</v>
      </c>
      <c r="N1036" s="14" t="n">
        <v>87769.4558419321</v>
      </c>
      <c r="O1036" s="14" t="n">
        <v>87769.4558419321</v>
      </c>
      <c r="P1036" s="14" t="n">
        <v>39131.58263241636</v>
      </c>
      <c r="Q1036" s="14" t="n">
        <v>1191682.994507075</v>
      </c>
      <c r="R1036" s="15">
        <f>IF(D1036=1,"Section 1","Control")</f>
        <v/>
      </c>
      <c r="S1036" s="16">
        <f>N1036/10000</f>
        <v/>
      </c>
      <c r="T1036" s="16">
        <f>P1036/10000</f>
        <v/>
      </c>
      <c r="U1036" s="15">
        <f>IF(N1036&gt;=Summary!$D$3,1,0)</f>
        <v/>
      </c>
      <c r="V1036" s="17">
        <f>IF(N1036&gt;0,P1036/N1036,"")</f>
        <v/>
      </c>
      <c r="W1036" s="17">
        <f>IF(O1036&gt;0,H1036/O1036,"")</f>
        <v/>
      </c>
    </row>
    <row r="1037">
      <c r="A1037" s="13" t="inlineStr">
        <is>
          <t>T37_F</t>
        </is>
      </c>
      <c r="B1037" s="13" t="inlineStr">
        <is>
          <t>T37</t>
        </is>
      </c>
      <c r="C1037" s="13" t="inlineStr">
        <is>
          <t>F</t>
        </is>
      </c>
      <c r="D1037" s="13" t="n">
        <v>1</v>
      </c>
      <c r="E1037" s="13" t="inlineStr">
        <is>
          <t>S1</t>
        </is>
      </c>
      <c r="F1037" s="13" t="n">
        <v>2026</v>
      </c>
      <c r="G1037" s="14" t="n">
        <v>87769.4558419321</v>
      </c>
      <c r="H1037" s="14" t="n">
        <v>20851.8886170331</v>
      </c>
      <c r="I1037" s="14" t="n">
        <v>14672.70768555286</v>
      </c>
      <c r="J1037" s="14" t="n">
        <v>0</v>
      </c>
      <c r="K1037" s="14" t="n">
        <v>52244.85953934613</v>
      </c>
      <c r="L1037" s="14" t="n">
        <v>0</v>
      </c>
      <c r="M1037" s="14" t="n">
        <v>0</v>
      </c>
      <c r="N1037" s="14" t="n">
        <v>87769.4558419321</v>
      </c>
      <c r="O1037" s="14" t="n">
        <v>87769.4558419321</v>
      </c>
      <c r="P1037" s="14" t="n">
        <v>66917.567224899</v>
      </c>
      <c r="Q1037" s="14" t="n">
        <v>1191682.994507075</v>
      </c>
      <c r="R1037" s="15">
        <f>IF(D1037=1,"Section 1","Control")</f>
        <v/>
      </c>
      <c r="S1037" s="16">
        <f>N1037/10000</f>
        <v/>
      </c>
      <c r="T1037" s="16">
        <f>P1037/10000</f>
        <v/>
      </c>
      <c r="U1037" s="15">
        <f>IF(N1037&gt;=Summary!$D$3,1,0)</f>
        <v/>
      </c>
      <c r="V1037" s="17">
        <f>IF(N1037&gt;0,P1037/N1037,"")</f>
        <v/>
      </c>
      <c r="W1037" s="17">
        <f>IF(O1037&gt;0,H1037/O1037,"")</f>
        <v/>
      </c>
    </row>
    <row r="1038">
      <c r="A1038" s="13" t="inlineStr">
        <is>
          <t>T38_B1</t>
        </is>
      </c>
      <c r="B1038" s="13" t="inlineStr">
        <is>
          <t>T38</t>
        </is>
      </c>
      <c r="C1038" s="13" t="inlineStr">
        <is>
          <t>B1</t>
        </is>
      </c>
      <c r="D1038" s="13" t="n">
        <v>1</v>
      </c>
      <c r="E1038" s="13" t="inlineStr">
        <is>
          <t>S1</t>
        </is>
      </c>
      <c r="F1038" s="13" t="n">
        <v>2020</v>
      </c>
      <c r="G1038" s="14" t="n">
        <v>988002.9763488172</v>
      </c>
      <c r="H1038" s="14" t="n">
        <v>607786.5086380901</v>
      </c>
      <c r="I1038" s="14" t="n">
        <v>87396.73789526246</v>
      </c>
      <c r="J1038" s="14" t="n">
        <v>21659.48379776898</v>
      </c>
      <c r="K1038" s="14" t="n">
        <v>36049.15147950415</v>
      </c>
      <c r="L1038" s="14" t="n">
        <v>235111.0945381912</v>
      </c>
      <c r="M1038" s="14" t="n">
        <v>0</v>
      </c>
      <c r="N1038" s="14" t="n">
        <v>607786.5086380901</v>
      </c>
      <c r="O1038" s="14" t="n">
        <v>752891.881810626</v>
      </c>
      <c r="P1038" s="14" t="n">
        <v>0</v>
      </c>
      <c r="Q1038" s="14" t="n">
        <v>10488990.3914488</v>
      </c>
      <c r="R1038" s="15">
        <f>IF(D1038=1,"Section 1","Control")</f>
        <v/>
      </c>
      <c r="S1038" s="16">
        <f>N1038/10000</f>
        <v/>
      </c>
      <c r="T1038" s="16">
        <f>P1038/10000</f>
        <v/>
      </c>
      <c r="U1038" s="15">
        <f>IF(N1038&gt;=Summary!$D$3,1,0)</f>
        <v/>
      </c>
      <c r="V1038" s="17">
        <f>IF(N1038&gt;0,P1038/N1038,"")</f>
        <v/>
      </c>
      <c r="W1038" s="17">
        <f>IF(O1038&gt;0,H1038/O1038,"")</f>
        <v/>
      </c>
    </row>
    <row r="1039">
      <c r="A1039" s="13" t="inlineStr">
        <is>
          <t>T38_B1</t>
        </is>
      </c>
      <c r="B1039" s="13" t="inlineStr">
        <is>
          <t>T38</t>
        </is>
      </c>
      <c r="C1039" s="13" t="inlineStr">
        <is>
          <t>B1</t>
        </is>
      </c>
      <c r="D1039" s="13" t="n">
        <v>1</v>
      </c>
      <c r="E1039" s="13" t="inlineStr">
        <is>
          <t>S1</t>
        </is>
      </c>
      <c r="F1039" s="13" t="n">
        <v>2021</v>
      </c>
      <c r="G1039" s="14" t="n">
        <v>988002.9763488172</v>
      </c>
      <c r="H1039" s="14" t="n">
        <v>569001.0979211245</v>
      </c>
      <c r="I1039" s="14" t="n">
        <v>87453.28543632357</v>
      </c>
      <c r="J1039" s="14" t="n">
        <v>22153.09020493452</v>
      </c>
      <c r="K1039" s="14" t="n">
        <v>84213.86274937649</v>
      </c>
      <c r="L1039" s="14" t="n">
        <v>225181.6400370579</v>
      </c>
      <c r="M1039" s="14" t="n">
        <v>0</v>
      </c>
      <c r="N1039" s="14" t="n">
        <v>607786.5086380901</v>
      </c>
      <c r="O1039" s="14" t="n">
        <v>752891.8818106258</v>
      </c>
      <c r="P1039" s="14" t="n">
        <v>40562.3931769876</v>
      </c>
      <c r="Q1039" s="14" t="n">
        <v>10488990.3914488</v>
      </c>
      <c r="R1039" s="15">
        <f>IF(D1039=1,"Section 1","Control")</f>
        <v/>
      </c>
      <c r="S1039" s="16">
        <f>N1039/10000</f>
        <v/>
      </c>
      <c r="T1039" s="16">
        <f>P1039/10000</f>
        <v/>
      </c>
      <c r="U1039" s="15">
        <f>IF(N1039&gt;=Summary!$D$3,1,0)</f>
        <v/>
      </c>
      <c r="V1039" s="17">
        <f>IF(N1039&gt;0,P1039/N1039,"")</f>
        <v/>
      </c>
      <c r="W1039" s="17">
        <f>IF(O1039&gt;0,H1039/O1039,"")</f>
        <v/>
      </c>
    </row>
    <row r="1040">
      <c r="A1040" s="13" t="inlineStr">
        <is>
          <t>T38_B1</t>
        </is>
      </c>
      <c r="B1040" s="13" t="inlineStr">
        <is>
          <t>T38</t>
        </is>
      </c>
      <c r="C1040" s="13" t="inlineStr">
        <is>
          <t>B1</t>
        </is>
      </c>
      <c r="D1040" s="13" t="n">
        <v>1</v>
      </c>
      <c r="E1040" s="13" t="inlineStr">
        <is>
          <t>S1</t>
        </is>
      </c>
      <c r="F1040" s="13" t="n">
        <v>2022</v>
      </c>
      <c r="G1040" s="14" t="n">
        <v>988002.9763488172</v>
      </c>
      <c r="H1040" s="14" t="n">
        <v>536247.7117947447</v>
      </c>
      <c r="I1040" s="14" t="n">
        <v>103384.2069689582</v>
      </c>
      <c r="J1040" s="14" t="n">
        <v>25114.73348496381</v>
      </c>
      <c r="K1040" s="14" t="n">
        <v>103856.2794576308</v>
      </c>
      <c r="L1040" s="14" t="n">
        <v>219400.0446425195</v>
      </c>
      <c r="M1040" s="14" t="n">
        <v>0</v>
      </c>
      <c r="N1040" s="14" t="n">
        <v>607786.5086380901</v>
      </c>
      <c r="O1040" s="14" t="n">
        <v>752891.8818106258</v>
      </c>
      <c r="P1040" s="14" t="n">
        <v>71637.51806526932</v>
      </c>
      <c r="Q1040" s="14" t="n">
        <v>10488990.3914488</v>
      </c>
      <c r="R1040" s="15">
        <f>IF(D1040=1,"Section 1","Control")</f>
        <v/>
      </c>
      <c r="S1040" s="16">
        <f>N1040/10000</f>
        <v/>
      </c>
      <c r="T1040" s="16">
        <f>P1040/10000</f>
        <v/>
      </c>
      <c r="U1040" s="15">
        <f>IF(N1040&gt;=Summary!$D$3,1,0)</f>
        <v/>
      </c>
      <c r="V1040" s="17">
        <f>IF(N1040&gt;0,P1040/N1040,"")</f>
        <v/>
      </c>
      <c r="W1040" s="17">
        <f>IF(O1040&gt;0,H1040/O1040,"")</f>
        <v/>
      </c>
    </row>
    <row r="1041">
      <c r="A1041" s="13" t="inlineStr">
        <is>
          <t>T38_B1</t>
        </is>
      </c>
      <c r="B1041" s="13" t="inlineStr">
        <is>
          <t>T38</t>
        </is>
      </c>
      <c r="C1041" s="13" t="inlineStr">
        <is>
          <t>B1</t>
        </is>
      </c>
      <c r="D1041" s="13" t="n">
        <v>1</v>
      </c>
      <c r="E1041" s="13" t="inlineStr">
        <is>
          <t>S1</t>
        </is>
      </c>
      <c r="F1041" s="13" t="n">
        <v>2023</v>
      </c>
      <c r="G1041" s="14" t="n">
        <v>988002.9763488172</v>
      </c>
      <c r="H1041" s="14" t="n">
        <v>538068.8273864446</v>
      </c>
      <c r="I1041" s="14" t="n">
        <v>86353.38342321059</v>
      </c>
      <c r="J1041" s="14" t="n">
        <v>24621.12667344037</v>
      </c>
      <c r="K1041" s="14" t="n">
        <v>101011.5567106658</v>
      </c>
      <c r="L1041" s="14" t="n">
        <v>237948.0821550556</v>
      </c>
      <c r="M1041" s="14" t="n">
        <v>0</v>
      </c>
      <c r="N1041" s="14" t="n">
        <v>607786.5086380901</v>
      </c>
      <c r="O1041" s="14" t="n">
        <v>752891.8818106258</v>
      </c>
      <c r="P1041" s="14" t="n">
        <v>70013.84512341071</v>
      </c>
      <c r="Q1041" s="14" t="n">
        <v>10488990.3914488</v>
      </c>
      <c r="R1041" s="15">
        <f>IF(D1041=1,"Section 1","Control")</f>
        <v/>
      </c>
      <c r="S1041" s="16">
        <f>N1041/10000</f>
        <v/>
      </c>
      <c r="T1041" s="16">
        <f>P1041/10000</f>
        <v/>
      </c>
      <c r="U1041" s="15">
        <f>IF(N1041&gt;=Summary!$D$3,1,0)</f>
        <v/>
      </c>
      <c r="V1041" s="17">
        <f>IF(N1041&gt;0,P1041/N1041,"")</f>
        <v/>
      </c>
      <c r="W1041" s="17">
        <f>IF(O1041&gt;0,H1041/O1041,"")</f>
        <v/>
      </c>
    </row>
    <row r="1042">
      <c r="A1042" s="13" t="inlineStr">
        <is>
          <t>T38_B1</t>
        </is>
      </c>
      <c r="B1042" s="13" t="inlineStr">
        <is>
          <t>T38</t>
        </is>
      </c>
      <c r="C1042" s="13" t="inlineStr">
        <is>
          <t>B1</t>
        </is>
      </c>
      <c r="D1042" s="13" t="n">
        <v>1</v>
      </c>
      <c r="E1042" s="13" t="inlineStr">
        <is>
          <t>S1</t>
        </is>
      </c>
      <c r="F1042" s="13" t="n">
        <v>2024</v>
      </c>
      <c r="G1042" s="14" t="n">
        <v>988002.9763488172</v>
      </c>
      <c r="H1042" s="14" t="n">
        <v>543637.0951431871</v>
      </c>
      <c r="I1042" s="14" t="n">
        <v>87859.00303676828</v>
      </c>
      <c r="J1042" s="14" t="n">
        <v>24818.56901047651</v>
      </c>
      <c r="K1042" s="14" t="n">
        <v>101809.4566779941</v>
      </c>
      <c r="L1042" s="14" t="n">
        <v>229878.8524803909</v>
      </c>
      <c r="M1042" s="14" t="n">
        <v>0</v>
      </c>
      <c r="N1042" s="14" t="n">
        <v>607786.5086380901</v>
      </c>
      <c r="O1042" s="14" t="n">
        <v>752891.881810626</v>
      </c>
      <c r="P1042" s="14" t="n">
        <v>67407.21554263248</v>
      </c>
      <c r="Q1042" s="14" t="n">
        <v>10488990.3914488</v>
      </c>
      <c r="R1042" s="15">
        <f>IF(D1042=1,"Section 1","Control")</f>
        <v/>
      </c>
      <c r="S1042" s="16">
        <f>N1042/10000</f>
        <v/>
      </c>
      <c r="T1042" s="16">
        <f>P1042/10000</f>
        <v/>
      </c>
      <c r="U1042" s="15">
        <f>IF(N1042&gt;=Summary!$D$3,1,0)</f>
        <v/>
      </c>
      <c r="V1042" s="17">
        <f>IF(N1042&gt;0,P1042/N1042,"")</f>
        <v/>
      </c>
      <c r="W1042" s="17">
        <f>IF(O1042&gt;0,H1042/O1042,"")</f>
        <v/>
      </c>
    </row>
    <row r="1043">
      <c r="A1043" s="13" t="inlineStr">
        <is>
          <t>T38_B1</t>
        </is>
      </c>
      <c r="B1043" s="13" t="inlineStr">
        <is>
          <t>T38</t>
        </is>
      </c>
      <c r="C1043" s="13" t="inlineStr">
        <is>
          <t>B1</t>
        </is>
      </c>
      <c r="D1043" s="13" t="n">
        <v>1</v>
      </c>
      <c r="E1043" s="13" t="inlineStr">
        <is>
          <t>S1</t>
        </is>
      </c>
      <c r="F1043" s="13" t="n">
        <v>2025</v>
      </c>
      <c r="G1043" s="14" t="n">
        <v>988002.9763488172</v>
      </c>
      <c r="H1043" s="14" t="n">
        <v>539262.7770034489</v>
      </c>
      <c r="I1043" s="14" t="n">
        <v>93898.4170703065</v>
      </c>
      <c r="J1043" s="14" t="n">
        <v>23535.19033310834</v>
      </c>
      <c r="K1043" s="14" t="n">
        <v>99255.86780323704</v>
      </c>
      <c r="L1043" s="14" t="n">
        <v>232050.7241387161</v>
      </c>
      <c r="M1043" s="14" t="n">
        <v>0</v>
      </c>
      <c r="N1043" s="14" t="n">
        <v>607786.5086380901</v>
      </c>
      <c r="O1043" s="14" t="n">
        <v>752891.8818106258</v>
      </c>
      <c r="P1043" s="14" t="n">
        <v>69807.10886242437</v>
      </c>
      <c r="Q1043" s="14" t="n">
        <v>10488990.3914488</v>
      </c>
      <c r="R1043" s="15">
        <f>IF(D1043=1,"Section 1","Control")</f>
        <v/>
      </c>
      <c r="S1043" s="16">
        <f>N1043/10000</f>
        <v/>
      </c>
      <c r="T1043" s="16">
        <f>P1043/10000</f>
        <v/>
      </c>
      <c r="U1043" s="15">
        <f>IF(N1043&gt;=Summary!$D$3,1,0)</f>
        <v/>
      </c>
      <c r="V1043" s="17">
        <f>IF(N1043&gt;0,P1043/N1043,"")</f>
        <v/>
      </c>
      <c r="W1043" s="17">
        <f>IF(O1043&gt;0,H1043/O1043,"")</f>
        <v/>
      </c>
    </row>
    <row r="1044">
      <c r="A1044" s="13" t="inlineStr">
        <is>
          <t>T38_B1</t>
        </is>
      </c>
      <c r="B1044" s="13" t="inlineStr">
        <is>
          <t>T38</t>
        </is>
      </c>
      <c r="C1044" s="13" t="inlineStr">
        <is>
          <t>B1</t>
        </is>
      </c>
      <c r="D1044" s="13" t="n">
        <v>1</v>
      </c>
      <c r="E1044" s="13" t="inlineStr">
        <is>
          <t>S1</t>
        </is>
      </c>
      <c r="F1044" s="13" t="n">
        <v>2026</v>
      </c>
      <c r="G1044" s="14" t="n">
        <v>988002.9763488172</v>
      </c>
      <c r="H1044" s="14" t="n">
        <v>533700.3607829075</v>
      </c>
      <c r="I1044" s="14" t="n">
        <v>83317.04376358329</v>
      </c>
      <c r="J1044" s="14" t="n">
        <v>24719.84807084027</v>
      </c>
      <c r="K1044" s="14" t="n">
        <v>114412.4403962977</v>
      </c>
      <c r="L1044" s="14" t="n">
        <v>231853.2833351883</v>
      </c>
      <c r="M1044" s="14" t="n">
        <v>0</v>
      </c>
      <c r="N1044" s="14" t="n">
        <v>607786.5086380901</v>
      </c>
      <c r="O1044" s="14" t="n">
        <v>752891.8818106258</v>
      </c>
      <c r="P1044" s="14" t="n">
        <v>78429.88369502645</v>
      </c>
      <c r="Q1044" s="14" t="n">
        <v>10488990.3914488</v>
      </c>
      <c r="R1044" s="15">
        <f>IF(D1044=1,"Section 1","Control")</f>
        <v/>
      </c>
      <c r="S1044" s="16">
        <f>N1044/10000</f>
        <v/>
      </c>
      <c r="T1044" s="16">
        <f>P1044/10000</f>
        <v/>
      </c>
      <c r="U1044" s="15">
        <f>IF(N1044&gt;=Summary!$D$3,1,0)</f>
        <v/>
      </c>
      <c r="V1044" s="17">
        <f>IF(N1044&gt;0,P1044/N1044,"")</f>
        <v/>
      </c>
      <c r="W1044" s="17">
        <f>IF(O1044&gt;0,H1044/O1044,"")</f>
        <v/>
      </c>
    </row>
    <row r="1045">
      <c r="A1045" s="13" t="inlineStr">
        <is>
          <t>T38_B2</t>
        </is>
      </c>
      <c r="B1045" s="13" t="inlineStr">
        <is>
          <t>T38</t>
        </is>
      </c>
      <c r="C1045" s="13" t="inlineStr">
        <is>
          <t>B2</t>
        </is>
      </c>
      <c r="D1045" s="13" t="n">
        <v>1</v>
      </c>
      <c r="E1045" s="13" t="inlineStr">
        <is>
          <t>S1</t>
        </is>
      </c>
      <c r="F1045" s="13" t="n">
        <v>2020</v>
      </c>
      <c r="G1045" s="14" t="n">
        <v>987897.6687366556</v>
      </c>
      <c r="H1045" s="14" t="n">
        <v>493865.3133336685</v>
      </c>
      <c r="I1045" s="14" t="n">
        <v>0</v>
      </c>
      <c r="J1045" s="14" t="n">
        <v>0</v>
      </c>
      <c r="K1045" s="14" t="n">
        <v>0</v>
      </c>
      <c r="L1045" s="14" t="n">
        <v>494032.3554029875</v>
      </c>
      <c r="M1045" s="14" t="n">
        <v>0</v>
      </c>
      <c r="N1045" s="14" t="n">
        <v>493865.3133336685</v>
      </c>
      <c r="O1045" s="14" t="n">
        <v>493865.3133336685</v>
      </c>
      <c r="P1045" s="14" t="n">
        <v>0</v>
      </c>
      <c r="Q1045" s="14" t="n">
        <v>6491097.051729927</v>
      </c>
      <c r="R1045" s="15">
        <f>IF(D1045=1,"Section 1","Control")</f>
        <v/>
      </c>
      <c r="S1045" s="16">
        <f>N1045/10000</f>
        <v/>
      </c>
      <c r="T1045" s="16">
        <f>P1045/10000</f>
        <v/>
      </c>
      <c r="U1045" s="15">
        <f>IF(N1045&gt;=Summary!$D$3,1,0)</f>
        <v/>
      </c>
      <c r="V1045" s="17">
        <f>IF(N1045&gt;0,P1045/N1045,"")</f>
        <v/>
      </c>
      <c r="W1045" s="17">
        <f>IF(O1045&gt;0,H1045/O1045,"")</f>
        <v/>
      </c>
    </row>
    <row r="1046">
      <c r="A1046" s="13" t="inlineStr">
        <is>
          <t>T38_B2</t>
        </is>
      </c>
      <c r="B1046" s="13" t="inlineStr">
        <is>
          <t>T38</t>
        </is>
      </c>
      <c r="C1046" s="13" t="inlineStr">
        <is>
          <t>B2</t>
        </is>
      </c>
      <c r="D1046" s="13" t="n">
        <v>1</v>
      </c>
      <c r="E1046" s="13" t="inlineStr">
        <is>
          <t>S1</t>
        </is>
      </c>
      <c r="F1046" s="13" t="n">
        <v>2021</v>
      </c>
      <c r="G1046" s="14" t="n">
        <v>987897.6687366558</v>
      </c>
      <c r="H1046" s="14" t="n">
        <v>493865.3133336685</v>
      </c>
      <c r="I1046" s="14" t="n">
        <v>0</v>
      </c>
      <c r="J1046" s="14" t="n">
        <v>0</v>
      </c>
      <c r="K1046" s="14" t="n">
        <v>0</v>
      </c>
      <c r="L1046" s="14" t="n">
        <v>494032.3554029875</v>
      </c>
      <c r="M1046" s="14" t="n">
        <v>0</v>
      </c>
      <c r="N1046" s="14" t="n">
        <v>493865.3133336685</v>
      </c>
      <c r="O1046" s="14" t="n">
        <v>493865.3133336685</v>
      </c>
      <c r="P1046" s="14" t="n">
        <v>0</v>
      </c>
      <c r="Q1046" s="14" t="n">
        <v>6491097.051729927</v>
      </c>
      <c r="R1046" s="15">
        <f>IF(D1046=1,"Section 1","Control")</f>
        <v/>
      </c>
      <c r="S1046" s="16">
        <f>N1046/10000</f>
        <v/>
      </c>
      <c r="T1046" s="16">
        <f>P1046/10000</f>
        <v/>
      </c>
      <c r="U1046" s="15">
        <f>IF(N1046&gt;=Summary!$D$3,1,0)</f>
        <v/>
      </c>
      <c r="V1046" s="17">
        <f>IF(N1046&gt;0,P1046/N1046,"")</f>
        <v/>
      </c>
      <c r="W1046" s="17">
        <f>IF(O1046&gt;0,H1046/O1046,"")</f>
        <v/>
      </c>
    </row>
    <row r="1047">
      <c r="A1047" s="13" t="inlineStr">
        <is>
          <t>T38_B2</t>
        </is>
      </c>
      <c r="B1047" s="13" t="inlineStr">
        <is>
          <t>T38</t>
        </is>
      </c>
      <c r="C1047" s="13" t="inlineStr">
        <is>
          <t>B2</t>
        </is>
      </c>
      <c r="D1047" s="13" t="n">
        <v>1</v>
      </c>
      <c r="E1047" s="13" t="inlineStr">
        <is>
          <t>S1</t>
        </is>
      </c>
      <c r="F1047" s="13" t="n">
        <v>2022</v>
      </c>
      <c r="G1047" s="14" t="n">
        <v>987897.6687366558</v>
      </c>
      <c r="H1047" s="14" t="n">
        <v>493075.5562535903</v>
      </c>
      <c r="I1047" s="14" t="n">
        <v>0</v>
      </c>
      <c r="J1047" s="14" t="n">
        <v>0</v>
      </c>
      <c r="K1047" s="14" t="n">
        <v>789.757080078125</v>
      </c>
      <c r="L1047" s="14" t="n">
        <v>494032.3554029875</v>
      </c>
      <c r="M1047" s="14" t="n">
        <v>0</v>
      </c>
      <c r="N1047" s="14" t="n">
        <v>493865.3133336684</v>
      </c>
      <c r="O1047" s="14" t="n">
        <v>493865.3133336684</v>
      </c>
      <c r="P1047" s="14" t="n">
        <v>789.757080078125</v>
      </c>
      <c r="Q1047" s="14" t="n">
        <v>6491097.051729927</v>
      </c>
      <c r="R1047" s="15">
        <f>IF(D1047=1,"Section 1","Control")</f>
        <v/>
      </c>
      <c r="S1047" s="16">
        <f>N1047/10000</f>
        <v/>
      </c>
      <c r="T1047" s="16">
        <f>P1047/10000</f>
        <v/>
      </c>
      <c r="U1047" s="15">
        <f>IF(N1047&gt;=Summary!$D$3,1,0)</f>
        <v/>
      </c>
      <c r="V1047" s="17">
        <f>IF(N1047&gt;0,P1047/N1047,"")</f>
        <v/>
      </c>
      <c r="W1047" s="17">
        <f>IF(O1047&gt;0,H1047/O1047,"")</f>
        <v/>
      </c>
    </row>
    <row r="1048">
      <c r="A1048" s="13" t="inlineStr">
        <is>
          <t>T38_B2</t>
        </is>
      </c>
      <c r="B1048" s="13" t="inlineStr">
        <is>
          <t>T38</t>
        </is>
      </c>
      <c r="C1048" s="13" t="inlineStr">
        <is>
          <t>B2</t>
        </is>
      </c>
      <c r="D1048" s="13" t="n">
        <v>1</v>
      </c>
      <c r="E1048" s="13" t="inlineStr">
        <is>
          <t>S1</t>
        </is>
      </c>
      <c r="F1048" s="13" t="n">
        <v>2023</v>
      </c>
      <c r="G1048" s="14" t="n">
        <v>987897.6687366558</v>
      </c>
      <c r="H1048" s="14" t="n">
        <v>493075.5562535903</v>
      </c>
      <c r="I1048" s="14" t="n">
        <v>0</v>
      </c>
      <c r="J1048" s="14" t="n">
        <v>0</v>
      </c>
      <c r="K1048" s="14" t="n">
        <v>789.757080078125</v>
      </c>
      <c r="L1048" s="14" t="n">
        <v>494032.3554029875</v>
      </c>
      <c r="M1048" s="14" t="n">
        <v>0</v>
      </c>
      <c r="N1048" s="14" t="n">
        <v>493865.3133336685</v>
      </c>
      <c r="O1048" s="14" t="n">
        <v>493865.3133336685</v>
      </c>
      <c r="P1048" s="14" t="n">
        <v>789.757080078125</v>
      </c>
      <c r="Q1048" s="14" t="n">
        <v>6491097.051729927</v>
      </c>
      <c r="R1048" s="15">
        <f>IF(D1048=1,"Section 1","Control")</f>
        <v/>
      </c>
      <c r="S1048" s="16">
        <f>N1048/10000</f>
        <v/>
      </c>
      <c r="T1048" s="16">
        <f>P1048/10000</f>
        <v/>
      </c>
      <c r="U1048" s="15">
        <f>IF(N1048&gt;=Summary!$D$3,1,0)</f>
        <v/>
      </c>
      <c r="V1048" s="17">
        <f>IF(N1048&gt;0,P1048/N1048,"")</f>
        <v/>
      </c>
      <c r="W1048" s="17">
        <f>IF(O1048&gt;0,H1048/O1048,"")</f>
        <v/>
      </c>
    </row>
    <row r="1049">
      <c r="A1049" s="13" t="inlineStr">
        <is>
          <t>T38_B2</t>
        </is>
      </c>
      <c r="B1049" s="13" t="inlineStr">
        <is>
          <t>T38</t>
        </is>
      </c>
      <c r="C1049" s="13" t="inlineStr">
        <is>
          <t>B2</t>
        </is>
      </c>
      <c r="D1049" s="13" t="n">
        <v>1</v>
      </c>
      <c r="E1049" s="13" t="inlineStr">
        <is>
          <t>S1</t>
        </is>
      </c>
      <c r="F1049" s="13" t="n">
        <v>2024</v>
      </c>
      <c r="G1049" s="14" t="n">
        <v>987897.6687366556</v>
      </c>
      <c r="H1049" s="14" t="n">
        <v>493075.5562535903</v>
      </c>
      <c r="I1049" s="14" t="n">
        <v>0</v>
      </c>
      <c r="J1049" s="14" t="n">
        <v>0</v>
      </c>
      <c r="K1049" s="14" t="n">
        <v>789.757080078125</v>
      </c>
      <c r="L1049" s="14" t="n">
        <v>494032.3554029875</v>
      </c>
      <c r="M1049" s="14" t="n">
        <v>0</v>
      </c>
      <c r="N1049" s="14" t="n">
        <v>493865.3133336684</v>
      </c>
      <c r="O1049" s="14" t="n">
        <v>493865.3133336684</v>
      </c>
      <c r="P1049" s="14" t="n">
        <v>789.757080078125</v>
      </c>
      <c r="Q1049" s="14" t="n">
        <v>6491097.051729927</v>
      </c>
      <c r="R1049" s="15">
        <f>IF(D1049=1,"Section 1","Control")</f>
        <v/>
      </c>
      <c r="S1049" s="16">
        <f>N1049/10000</f>
        <v/>
      </c>
      <c r="T1049" s="16">
        <f>P1049/10000</f>
        <v/>
      </c>
      <c r="U1049" s="15">
        <f>IF(N1049&gt;=Summary!$D$3,1,0)</f>
        <v/>
      </c>
      <c r="V1049" s="17">
        <f>IF(N1049&gt;0,P1049/N1049,"")</f>
        <v/>
      </c>
      <c r="W1049" s="17">
        <f>IF(O1049&gt;0,H1049/O1049,"")</f>
        <v/>
      </c>
    </row>
    <row r="1050">
      <c r="A1050" s="13" t="inlineStr">
        <is>
          <t>T38_B2</t>
        </is>
      </c>
      <c r="B1050" s="13" t="inlineStr">
        <is>
          <t>T38</t>
        </is>
      </c>
      <c r="C1050" s="13" t="inlineStr">
        <is>
          <t>B2</t>
        </is>
      </c>
      <c r="D1050" s="13" t="n">
        <v>1</v>
      </c>
      <c r="E1050" s="13" t="inlineStr">
        <is>
          <t>S1</t>
        </is>
      </c>
      <c r="F1050" s="13" t="n">
        <v>2025</v>
      </c>
      <c r="G1050" s="14" t="n">
        <v>987897.6687366558</v>
      </c>
      <c r="H1050" s="14" t="n">
        <v>493075.5562535903</v>
      </c>
      <c r="I1050" s="14" t="n">
        <v>0</v>
      </c>
      <c r="J1050" s="14" t="n">
        <v>0</v>
      </c>
      <c r="K1050" s="14" t="n">
        <v>789.757080078125</v>
      </c>
      <c r="L1050" s="14" t="n">
        <v>494032.3554029875</v>
      </c>
      <c r="M1050" s="14" t="n">
        <v>0</v>
      </c>
      <c r="N1050" s="14" t="n">
        <v>493865.3133336684</v>
      </c>
      <c r="O1050" s="14" t="n">
        <v>493865.3133336684</v>
      </c>
      <c r="P1050" s="14" t="n">
        <v>789.757080078125</v>
      </c>
      <c r="Q1050" s="14" t="n">
        <v>6491097.051729927</v>
      </c>
      <c r="R1050" s="15">
        <f>IF(D1050=1,"Section 1","Control")</f>
        <v/>
      </c>
      <c r="S1050" s="16">
        <f>N1050/10000</f>
        <v/>
      </c>
      <c r="T1050" s="16">
        <f>P1050/10000</f>
        <v/>
      </c>
      <c r="U1050" s="15">
        <f>IF(N1050&gt;=Summary!$D$3,1,0)</f>
        <v/>
      </c>
      <c r="V1050" s="17">
        <f>IF(N1050&gt;0,P1050/N1050,"")</f>
        <v/>
      </c>
      <c r="W1050" s="17">
        <f>IF(O1050&gt;0,H1050/O1050,"")</f>
        <v/>
      </c>
    </row>
    <row r="1051">
      <c r="A1051" s="13" t="inlineStr">
        <is>
          <t>T38_B2</t>
        </is>
      </c>
      <c r="B1051" s="13" t="inlineStr">
        <is>
          <t>T38</t>
        </is>
      </c>
      <c r="C1051" s="13" t="inlineStr">
        <is>
          <t>B2</t>
        </is>
      </c>
      <c r="D1051" s="13" t="n">
        <v>1</v>
      </c>
      <c r="E1051" s="13" t="inlineStr">
        <is>
          <t>S1</t>
        </is>
      </c>
      <c r="F1051" s="13" t="n">
        <v>2026</v>
      </c>
      <c r="G1051" s="14" t="n">
        <v>987897.6687366558</v>
      </c>
      <c r="H1051" s="14" t="n">
        <v>493075.5562535903</v>
      </c>
      <c r="I1051" s="14" t="n">
        <v>0</v>
      </c>
      <c r="J1051" s="14" t="n">
        <v>0</v>
      </c>
      <c r="K1051" s="14" t="n">
        <v>789.757080078125</v>
      </c>
      <c r="L1051" s="14" t="n">
        <v>494032.3554029875</v>
      </c>
      <c r="M1051" s="14" t="n">
        <v>0</v>
      </c>
      <c r="N1051" s="14" t="n">
        <v>493865.3133336684</v>
      </c>
      <c r="O1051" s="14" t="n">
        <v>493865.3133336684</v>
      </c>
      <c r="P1051" s="14" t="n">
        <v>789.757080078125</v>
      </c>
      <c r="Q1051" s="14" t="n">
        <v>6491097.051729927</v>
      </c>
      <c r="R1051" s="15">
        <f>IF(D1051=1,"Section 1","Control")</f>
        <v/>
      </c>
      <c r="S1051" s="16">
        <f>N1051/10000</f>
        <v/>
      </c>
      <c r="T1051" s="16">
        <f>P1051/10000</f>
        <v/>
      </c>
      <c r="U1051" s="15">
        <f>IF(N1051&gt;=Summary!$D$3,1,0)</f>
        <v/>
      </c>
      <c r="V1051" s="17">
        <f>IF(N1051&gt;0,P1051/N1051,"")</f>
        <v/>
      </c>
      <c r="W1051" s="17">
        <f>IF(O1051&gt;0,H1051/O1051,"")</f>
        <v/>
      </c>
    </row>
    <row r="1052">
      <c r="A1052" s="13" t="inlineStr">
        <is>
          <t>T38_B3</t>
        </is>
      </c>
      <c r="B1052" s="13" t="inlineStr">
        <is>
          <t>T38</t>
        </is>
      </c>
      <c r="C1052" s="13" t="inlineStr">
        <is>
          <t>B3</t>
        </is>
      </c>
      <c r="D1052" s="13" t="n">
        <v>1</v>
      </c>
      <c r="E1052" s="13" t="inlineStr">
        <is>
          <t>S1</t>
        </is>
      </c>
      <c r="F1052" s="13" t="n">
        <v>2020</v>
      </c>
      <c r="G1052" s="14" t="n">
        <v>7732488.893240148</v>
      </c>
      <c r="H1052" s="14" t="n">
        <v>2499367.256262656</v>
      </c>
      <c r="I1052" s="14" t="n">
        <v>156281.0927885766</v>
      </c>
      <c r="J1052" s="14" t="n">
        <v>0</v>
      </c>
      <c r="K1052" s="14" t="n">
        <v>1125672.285705357</v>
      </c>
      <c r="L1052" s="14" t="n">
        <v>3951168.258483558</v>
      </c>
      <c r="M1052" s="14" t="n">
        <v>0</v>
      </c>
      <c r="N1052" s="14" t="n">
        <v>2499367.256262656</v>
      </c>
      <c r="O1052" s="14" t="n">
        <v>3781320.634756589</v>
      </c>
      <c r="P1052" s="14" t="n">
        <v>0</v>
      </c>
      <c r="Q1052" s="14" t="n">
        <v>30792574.21761214</v>
      </c>
      <c r="R1052" s="15">
        <f>IF(D1052=1,"Section 1","Control")</f>
        <v/>
      </c>
      <c r="S1052" s="16">
        <f>N1052/10000</f>
        <v/>
      </c>
      <c r="T1052" s="16">
        <f>P1052/10000</f>
        <v/>
      </c>
      <c r="U1052" s="15">
        <f>IF(N1052&gt;=Summary!$D$3,1,0)</f>
        <v/>
      </c>
      <c r="V1052" s="17">
        <f>IF(N1052&gt;0,P1052/N1052,"")</f>
        <v/>
      </c>
      <c r="W1052" s="17">
        <f>IF(O1052&gt;0,H1052/O1052,"")</f>
        <v/>
      </c>
    </row>
    <row r="1053">
      <c r="A1053" s="13" t="inlineStr">
        <is>
          <t>T38_B3</t>
        </is>
      </c>
      <c r="B1053" s="13" t="inlineStr">
        <is>
          <t>T38</t>
        </is>
      </c>
      <c r="C1053" s="13" t="inlineStr">
        <is>
          <t>B3</t>
        </is>
      </c>
      <c r="D1053" s="13" t="n">
        <v>1</v>
      </c>
      <c r="E1053" s="13" t="inlineStr">
        <is>
          <t>S1</t>
        </is>
      </c>
      <c r="F1053" s="13" t="n">
        <v>2021</v>
      </c>
      <c r="G1053" s="14" t="n">
        <v>7732488.893240148</v>
      </c>
      <c r="H1053" s="14" t="n">
        <v>1834522.221844004</v>
      </c>
      <c r="I1053" s="14" t="n">
        <v>184407.7325090296</v>
      </c>
      <c r="J1053" s="14" t="n">
        <v>0</v>
      </c>
      <c r="K1053" s="14" t="n">
        <v>1762390.680403556</v>
      </c>
      <c r="L1053" s="14" t="n">
        <v>3951168.258483557</v>
      </c>
      <c r="M1053" s="14" t="n">
        <v>0</v>
      </c>
      <c r="N1053" s="14" t="n">
        <v>2499367.256262656</v>
      </c>
      <c r="O1053" s="14" t="n">
        <v>3781320.634756589</v>
      </c>
      <c r="P1053" s="14" t="n">
        <v>680408.3606524001</v>
      </c>
      <c r="Q1053" s="14" t="n">
        <v>30792574.21761214</v>
      </c>
      <c r="R1053" s="15">
        <f>IF(D1053=1,"Section 1","Control")</f>
        <v/>
      </c>
      <c r="S1053" s="16">
        <f>N1053/10000</f>
        <v/>
      </c>
      <c r="T1053" s="16">
        <f>P1053/10000</f>
        <v/>
      </c>
      <c r="U1053" s="15">
        <f>IF(N1053&gt;=Summary!$D$3,1,0)</f>
        <v/>
      </c>
      <c r="V1053" s="17">
        <f>IF(N1053&gt;0,P1053/N1053,"")</f>
        <v/>
      </c>
      <c r="W1053" s="17">
        <f>IF(O1053&gt;0,H1053/O1053,"")</f>
        <v/>
      </c>
    </row>
    <row r="1054">
      <c r="A1054" s="13" t="inlineStr">
        <is>
          <t>T38_B3</t>
        </is>
      </c>
      <c r="B1054" s="13" t="inlineStr">
        <is>
          <t>T38</t>
        </is>
      </c>
      <c r="C1054" s="13" t="inlineStr">
        <is>
          <t>B3</t>
        </is>
      </c>
      <c r="D1054" s="13" t="n">
        <v>1</v>
      </c>
      <c r="E1054" s="13" t="inlineStr">
        <is>
          <t>S1</t>
        </is>
      </c>
      <c r="F1054" s="13" t="n">
        <v>2022</v>
      </c>
      <c r="G1054" s="14" t="n">
        <v>7732488.893240148</v>
      </c>
      <c r="H1054" s="14" t="n">
        <v>1670946.841132758</v>
      </c>
      <c r="I1054" s="14" t="n">
        <v>199828.3119071811</v>
      </c>
      <c r="J1054" s="14" t="n">
        <v>0</v>
      </c>
      <c r="K1054" s="14" t="n">
        <v>1910545.48171665</v>
      </c>
      <c r="L1054" s="14" t="n">
        <v>3951168.258483557</v>
      </c>
      <c r="M1054" s="14" t="n">
        <v>0</v>
      </c>
      <c r="N1054" s="14" t="n">
        <v>2499367.256262656</v>
      </c>
      <c r="O1054" s="14" t="n">
        <v>3781320.634756589</v>
      </c>
      <c r="P1054" s="14" t="n">
        <v>840922.686169314</v>
      </c>
      <c r="Q1054" s="14" t="n">
        <v>30792574.21761214</v>
      </c>
      <c r="R1054" s="15">
        <f>IF(D1054=1,"Section 1","Control")</f>
        <v/>
      </c>
      <c r="S1054" s="16">
        <f>N1054/10000</f>
        <v/>
      </c>
      <c r="T1054" s="16">
        <f>P1054/10000</f>
        <v/>
      </c>
      <c r="U1054" s="15">
        <f>IF(N1054&gt;=Summary!$D$3,1,0)</f>
        <v/>
      </c>
      <c r="V1054" s="17">
        <f>IF(N1054&gt;0,P1054/N1054,"")</f>
        <v/>
      </c>
      <c r="W1054" s="17">
        <f>IF(O1054&gt;0,H1054/O1054,"")</f>
        <v/>
      </c>
    </row>
    <row r="1055">
      <c r="A1055" s="13" t="inlineStr">
        <is>
          <t>T38_B3</t>
        </is>
      </c>
      <c r="B1055" s="13" t="inlineStr">
        <is>
          <t>T38</t>
        </is>
      </c>
      <c r="C1055" s="13" t="inlineStr">
        <is>
          <t>B3</t>
        </is>
      </c>
      <c r="D1055" s="13" t="n">
        <v>1</v>
      </c>
      <c r="E1055" s="13" t="inlineStr">
        <is>
          <t>S1</t>
        </is>
      </c>
      <c r="F1055" s="13" t="n">
        <v>2023</v>
      </c>
      <c r="G1055" s="14" t="n">
        <v>7732488.893240148</v>
      </c>
      <c r="H1055" s="14" t="n">
        <v>1669056.372905507</v>
      </c>
      <c r="I1055" s="14" t="n">
        <v>211854.9891914517</v>
      </c>
      <c r="J1055" s="14" t="n">
        <v>0</v>
      </c>
      <c r="K1055" s="14" t="n">
        <v>1900409.272659631</v>
      </c>
      <c r="L1055" s="14" t="n">
        <v>3951168.258483557</v>
      </c>
      <c r="M1055" s="14" t="n">
        <v>0</v>
      </c>
      <c r="N1055" s="14" t="n">
        <v>2499367.256262656</v>
      </c>
      <c r="O1055" s="14" t="n">
        <v>3781320.634756589</v>
      </c>
      <c r="P1055" s="14" t="n">
        <v>847160.9568120621</v>
      </c>
      <c r="Q1055" s="14" t="n">
        <v>30792574.21761214</v>
      </c>
      <c r="R1055" s="15">
        <f>IF(D1055=1,"Section 1","Control")</f>
        <v/>
      </c>
      <c r="S1055" s="16">
        <f>N1055/10000</f>
        <v/>
      </c>
      <c r="T1055" s="16">
        <f>P1055/10000</f>
        <v/>
      </c>
      <c r="U1055" s="15">
        <f>IF(N1055&gt;=Summary!$D$3,1,0)</f>
        <v/>
      </c>
      <c r="V1055" s="17">
        <f>IF(N1055&gt;0,P1055/N1055,"")</f>
        <v/>
      </c>
      <c r="W1055" s="17">
        <f>IF(O1055&gt;0,H1055/O1055,"")</f>
        <v/>
      </c>
    </row>
    <row r="1056">
      <c r="A1056" s="13" t="inlineStr">
        <is>
          <t>T38_B3</t>
        </is>
      </c>
      <c r="B1056" s="13" t="inlineStr">
        <is>
          <t>T38</t>
        </is>
      </c>
      <c r="C1056" s="13" t="inlineStr">
        <is>
          <t>B3</t>
        </is>
      </c>
      <c r="D1056" s="13" t="n">
        <v>1</v>
      </c>
      <c r="E1056" s="13" t="inlineStr">
        <is>
          <t>S1</t>
        </is>
      </c>
      <c r="F1056" s="13" t="n">
        <v>2024</v>
      </c>
      <c r="G1056" s="14" t="n">
        <v>7732488.893240148</v>
      </c>
      <c r="H1056" s="14" t="n">
        <v>1713066.114569839</v>
      </c>
      <c r="I1056" s="14" t="n">
        <v>145265.5448269713</v>
      </c>
      <c r="J1056" s="14" t="n">
        <v>0</v>
      </c>
      <c r="K1056" s="14" t="n">
        <v>1922988.975359779</v>
      </c>
      <c r="L1056" s="14" t="n">
        <v>3951168.258483557</v>
      </c>
      <c r="M1056" s="14" t="n">
        <v>0</v>
      </c>
      <c r="N1056" s="14" t="n">
        <v>2499367.256262656</v>
      </c>
      <c r="O1056" s="14" t="n">
        <v>3781320.634756589</v>
      </c>
      <c r="P1056" s="14" t="n">
        <v>812451.4896207326</v>
      </c>
      <c r="Q1056" s="14" t="n">
        <v>30792574.21761214</v>
      </c>
      <c r="R1056" s="15">
        <f>IF(D1056=1,"Section 1","Control")</f>
        <v/>
      </c>
      <c r="S1056" s="16">
        <f>N1056/10000</f>
        <v/>
      </c>
      <c r="T1056" s="16">
        <f>P1056/10000</f>
        <v/>
      </c>
      <c r="U1056" s="15">
        <f>IF(N1056&gt;=Summary!$D$3,1,0)</f>
        <v/>
      </c>
      <c r="V1056" s="17">
        <f>IF(N1056&gt;0,P1056/N1056,"")</f>
        <v/>
      </c>
      <c r="W1056" s="17">
        <f>IF(O1056&gt;0,H1056/O1056,"")</f>
        <v/>
      </c>
    </row>
    <row r="1057">
      <c r="A1057" s="13" t="inlineStr">
        <is>
          <t>T38_B3</t>
        </is>
      </c>
      <c r="B1057" s="13" t="inlineStr">
        <is>
          <t>T38</t>
        </is>
      </c>
      <c r="C1057" s="13" t="inlineStr">
        <is>
          <t>B3</t>
        </is>
      </c>
      <c r="D1057" s="13" t="n">
        <v>1</v>
      </c>
      <c r="E1057" s="13" t="inlineStr">
        <is>
          <t>S1</t>
        </is>
      </c>
      <c r="F1057" s="13" t="n">
        <v>2025</v>
      </c>
      <c r="G1057" s="14" t="n">
        <v>7732488.893240148</v>
      </c>
      <c r="H1057" s="14" t="n">
        <v>1723451.748735674</v>
      </c>
      <c r="I1057" s="14" t="n">
        <v>107604.4083692064</v>
      </c>
      <c r="J1057" s="14" t="n">
        <v>0</v>
      </c>
      <c r="K1057" s="14" t="n">
        <v>1950264.477651708</v>
      </c>
      <c r="L1057" s="14" t="n">
        <v>3951168.258483557</v>
      </c>
      <c r="M1057" s="14" t="n">
        <v>0</v>
      </c>
      <c r="N1057" s="14" t="n">
        <v>2499367.256262656</v>
      </c>
      <c r="O1057" s="14" t="n">
        <v>3781320.634756589</v>
      </c>
      <c r="P1057" s="14" t="n">
        <v>810981.1885882211</v>
      </c>
      <c r="Q1057" s="14" t="n">
        <v>30792574.21761214</v>
      </c>
      <c r="R1057" s="15">
        <f>IF(D1057=1,"Section 1","Control")</f>
        <v/>
      </c>
      <c r="S1057" s="16">
        <f>N1057/10000</f>
        <v/>
      </c>
      <c r="T1057" s="16">
        <f>P1057/10000</f>
        <v/>
      </c>
      <c r="U1057" s="15">
        <f>IF(N1057&gt;=Summary!$D$3,1,0)</f>
        <v/>
      </c>
      <c r="V1057" s="17">
        <f>IF(N1057&gt;0,P1057/N1057,"")</f>
        <v/>
      </c>
      <c r="W1057" s="17">
        <f>IF(O1057&gt;0,H1057/O1057,"")</f>
        <v/>
      </c>
    </row>
    <row r="1058">
      <c r="A1058" s="13" t="inlineStr">
        <is>
          <t>T38_B3</t>
        </is>
      </c>
      <c r="B1058" s="13" t="inlineStr">
        <is>
          <t>T38</t>
        </is>
      </c>
      <c r="C1058" s="13" t="inlineStr">
        <is>
          <t>B3</t>
        </is>
      </c>
      <c r="D1058" s="13" t="n">
        <v>1</v>
      </c>
      <c r="E1058" s="13" t="inlineStr">
        <is>
          <t>S1</t>
        </is>
      </c>
      <c r="F1058" s="13" t="n">
        <v>2026</v>
      </c>
      <c r="G1058" s="14" t="n">
        <v>7732488.893240148</v>
      </c>
      <c r="H1058" s="14" t="n">
        <v>1715088.848474988</v>
      </c>
      <c r="I1058" s="14" t="n">
        <v>126859.4942424699</v>
      </c>
      <c r="J1058" s="14" t="n">
        <v>0</v>
      </c>
      <c r="K1058" s="14" t="n">
        <v>1939372.292039131</v>
      </c>
      <c r="L1058" s="14" t="n">
        <v>3951168.258483558</v>
      </c>
      <c r="M1058" s="14" t="n">
        <v>0</v>
      </c>
      <c r="N1058" s="14" t="n">
        <v>2499367.256262656</v>
      </c>
      <c r="O1058" s="14" t="n">
        <v>3781320.634756589</v>
      </c>
      <c r="P1058" s="14" t="n">
        <v>818971.2723569085</v>
      </c>
      <c r="Q1058" s="14" t="n">
        <v>30792574.21761214</v>
      </c>
      <c r="R1058" s="15">
        <f>IF(D1058=1,"Section 1","Control")</f>
        <v/>
      </c>
      <c r="S1058" s="16">
        <f>N1058/10000</f>
        <v/>
      </c>
      <c r="T1058" s="16">
        <f>P1058/10000</f>
        <v/>
      </c>
      <c r="U1058" s="15">
        <f>IF(N1058&gt;=Summary!$D$3,1,0)</f>
        <v/>
      </c>
      <c r="V1058" s="17">
        <f>IF(N1058&gt;0,P1058/N1058,"")</f>
        <v/>
      </c>
      <c r="W1058" s="17">
        <f>IF(O1058&gt;0,H1058/O1058,"")</f>
        <v/>
      </c>
    </row>
    <row r="1059">
      <c r="A1059" s="13" t="inlineStr">
        <is>
          <t>T38_F</t>
        </is>
      </c>
      <c r="B1059" s="13" t="inlineStr">
        <is>
          <t>T38</t>
        </is>
      </c>
      <c r="C1059" s="13" t="inlineStr">
        <is>
          <t>F</t>
        </is>
      </c>
      <c r="D1059" s="13" t="n">
        <v>1</v>
      </c>
      <c r="E1059" s="13" t="inlineStr">
        <is>
          <t>S1</t>
        </is>
      </c>
      <c r="F1059" s="13" t="n">
        <v>2020</v>
      </c>
      <c r="G1059" s="14" t="n">
        <v>76660.95851458382</v>
      </c>
      <c r="H1059" s="14" t="n">
        <v>76660.95851458382</v>
      </c>
      <c r="I1059" s="14" t="n">
        <v>0</v>
      </c>
      <c r="J1059" s="14" t="n">
        <v>0</v>
      </c>
      <c r="K1059" s="14" t="n">
        <v>0</v>
      </c>
      <c r="L1059" s="14" t="n">
        <v>0</v>
      </c>
      <c r="M1059" s="14" t="n">
        <v>0</v>
      </c>
      <c r="N1059" s="14" t="n">
        <v>76660.95851458382</v>
      </c>
      <c r="O1059" s="14" t="n">
        <v>76660.95851458382</v>
      </c>
      <c r="P1059" s="14" t="n">
        <v>0</v>
      </c>
      <c r="Q1059" s="14" t="n">
        <v>1038499.701604387</v>
      </c>
      <c r="R1059" s="15">
        <f>IF(D1059=1,"Section 1","Control")</f>
        <v/>
      </c>
      <c r="S1059" s="16">
        <f>N1059/10000</f>
        <v/>
      </c>
      <c r="T1059" s="16">
        <f>P1059/10000</f>
        <v/>
      </c>
      <c r="U1059" s="15">
        <f>IF(N1059&gt;=Summary!$D$3,1,0)</f>
        <v/>
      </c>
      <c r="V1059" s="17">
        <f>IF(N1059&gt;0,P1059/N1059,"")</f>
        <v/>
      </c>
      <c r="W1059" s="17">
        <f>IF(O1059&gt;0,H1059/O1059,"")</f>
        <v/>
      </c>
    </row>
    <row r="1060">
      <c r="A1060" s="13" t="inlineStr">
        <is>
          <t>T38_F</t>
        </is>
      </c>
      <c r="B1060" s="13" t="inlineStr">
        <is>
          <t>T38</t>
        </is>
      </c>
      <c r="C1060" s="13" t="inlineStr">
        <is>
          <t>F</t>
        </is>
      </c>
      <c r="D1060" s="13" t="n">
        <v>1</v>
      </c>
      <c r="E1060" s="13" t="inlineStr">
        <is>
          <t>S1</t>
        </is>
      </c>
      <c r="F1060" s="13" t="n">
        <v>2021</v>
      </c>
      <c r="G1060" s="14" t="n">
        <v>76660.95851458382</v>
      </c>
      <c r="H1060" s="14" t="n">
        <v>59258.94056154139</v>
      </c>
      <c r="I1060" s="14" t="n">
        <v>0</v>
      </c>
      <c r="J1060" s="14" t="n">
        <v>0</v>
      </c>
      <c r="K1060" s="14" t="n">
        <v>17402.01795304242</v>
      </c>
      <c r="L1060" s="14" t="n">
        <v>0</v>
      </c>
      <c r="M1060" s="14" t="n">
        <v>0</v>
      </c>
      <c r="N1060" s="14" t="n">
        <v>76660.95851458382</v>
      </c>
      <c r="O1060" s="14" t="n">
        <v>76660.95851458382</v>
      </c>
      <c r="P1060" s="14" t="n">
        <v>17402.01795304242</v>
      </c>
      <c r="Q1060" s="14" t="n">
        <v>1038499.701604387</v>
      </c>
      <c r="R1060" s="15">
        <f>IF(D1060=1,"Section 1","Control")</f>
        <v/>
      </c>
      <c r="S1060" s="16">
        <f>N1060/10000</f>
        <v/>
      </c>
      <c r="T1060" s="16">
        <f>P1060/10000</f>
        <v/>
      </c>
      <c r="U1060" s="15">
        <f>IF(N1060&gt;=Summary!$D$3,1,0)</f>
        <v/>
      </c>
      <c r="V1060" s="17">
        <f>IF(N1060&gt;0,P1060/N1060,"")</f>
        <v/>
      </c>
      <c r="W1060" s="17">
        <f>IF(O1060&gt;0,H1060/O1060,"")</f>
        <v/>
      </c>
    </row>
    <row r="1061">
      <c r="A1061" s="13" t="inlineStr">
        <is>
          <t>T38_F</t>
        </is>
      </c>
      <c r="B1061" s="13" t="inlineStr">
        <is>
          <t>T38</t>
        </is>
      </c>
      <c r="C1061" s="13" t="inlineStr">
        <is>
          <t>F</t>
        </is>
      </c>
      <c r="D1061" s="13" t="n">
        <v>1</v>
      </c>
      <c r="E1061" s="13" t="inlineStr">
        <is>
          <t>S1</t>
        </is>
      </c>
      <c r="F1061" s="13" t="n">
        <v>2022</v>
      </c>
      <c r="G1061" s="14" t="n">
        <v>76660.95851458382</v>
      </c>
      <c r="H1061" s="14" t="n">
        <v>56445.19636080872</v>
      </c>
      <c r="I1061" s="14" t="n">
        <v>0</v>
      </c>
      <c r="J1061" s="14" t="n">
        <v>0</v>
      </c>
      <c r="K1061" s="14" t="n">
        <v>20215.76215377508</v>
      </c>
      <c r="L1061" s="14" t="n">
        <v>0</v>
      </c>
      <c r="M1061" s="14" t="n">
        <v>0</v>
      </c>
      <c r="N1061" s="14" t="n">
        <v>76660.95851458382</v>
      </c>
      <c r="O1061" s="14" t="n">
        <v>76660.95851458382</v>
      </c>
      <c r="P1061" s="14" t="n">
        <v>20215.76215377508</v>
      </c>
      <c r="Q1061" s="14" t="n">
        <v>1038499.701604387</v>
      </c>
      <c r="R1061" s="15">
        <f>IF(D1061=1,"Section 1","Control")</f>
        <v/>
      </c>
      <c r="S1061" s="16">
        <f>N1061/10000</f>
        <v/>
      </c>
      <c r="T1061" s="16">
        <f>P1061/10000</f>
        <v/>
      </c>
      <c r="U1061" s="15">
        <f>IF(N1061&gt;=Summary!$D$3,1,0)</f>
        <v/>
      </c>
      <c r="V1061" s="17">
        <f>IF(N1061&gt;0,P1061/N1061,"")</f>
        <v/>
      </c>
      <c r="W1061" s="17">
        <f>IF(O1061&gt;0,H1061/O1061,"")</f>
        <v/>
      </c>
    </row>
    <row r="1062">
      <c r="A1062" s="13" t="inlineStr">
        <is>
          <t>T38_F</t>
        </is>
      </c>
      <c r="B1062" s="13" t="inlineStr">
        <is>
          <t>T38</t>
        </is>
      </c>
      <c r="C1062" s="13" t="inlineStr">
        <is>
          <t>F</t>
        </is>
      </c>
      <c r="D1062" s="13" t="n">
        <v>1</v>
      </c>
      <c r="E1062" s="13" t="inlineStr">
        <is>
          <t>S1</t>
        </is>
      </c>
      <c r="F1062" s="13" t="n">
        <v>2023</v>
      </c>
      <c r="G1062" s="14" t="n">
        <v>76660.95851458382</v>
      </c>
      <c r="H1062" s="14" t="n">
        <v>56105.28617849911</v>
      </c>
      <c r="I1062" s="14" t="n">
        <v>0</v>
      </c>
      <c r="J1062" s="14" t="n">
        <v>0</v>
      </c>
      <c r="K1062" s="14" t="n">
        <v>20555.67233608469</v>
      </c>
      <c r="L1062" s="14" t="n">
        <v>0</v>
      </c>
      <c r="M1062" s="14" t="n">
        <v>0</v>
      </c>
      <c r="N1062" s="14" t="n">
        <v>76660.95851458382</v>
      </c>
      <c r="O1062" s="14" t="n">
        <v>76660.95851458382</v>
      </c>
      <c r="P1062" s="14" t="n">
        <v>20555.67233608469</v>
      </c>
      <c r="Q1062" s="14" t="n">
        <v>1038499.701604387</v>
      </c>
      <c r="R1062" s="15">
        <f>IF(D1062=1,"Section 1","Control")</f>
        <v/>
      </c>
      <c r="S1062" s="16">
        <f>N1062/10000</f>
        <v/>
      </c>
      <c r="T1062" s="16">
        <f>P1062/10000</f>
        <v/>
      </c>
      <c r="U1062" s="15">
        <f>IF(N1062&gt;=Summary!$D$3,1,0)</f>
        <v/>
      </c>
      <c r="V1062" s="17">
        <f>IF(N1062&gt;0,P1062/N1062,"")</f>
        <v/>
      </c>
      <c r="W1062" s="17">
        <f>IF(O1062&gt;0,H1062/O1062,"")</f>
        <v/>
      </c>
    </row>
    <row r="1063">
      <c r="A1063" s="13" t="inlineStr">
        <is>
          <t>T38_F</t>
        </is>
      </c>
      <c r="B1063" s="13" t="inlineStr">
        <is>
          <t>T38</t>
        </is>
      </c>
      <c r="C1063" s="13" t="inlineStr">
        <is>
          <t>F</t>
        </is>
      </c>
      <c r="D1063" s="13" t="n">
        <v>1</v>
      </c>
      <c r="E1063" s="13" t="inlineStr">
        <is>
          <t>S1</t>
        </is>
      </c>
      <c r="F1063" s="13" t="n">
        <v>2024</v>
      </c>
      <c r="G1063" s="14" t="n">
        <v>76660.95851458382</v>
      </c>
      <c r="H1063" s="14" t="n">
        <v>55710.4019850787</v>
      </c>
      <c r="I1063" s="14" t="n">
        <v>0</v>
      </c>
      <c r="J1063" s="14" t="n">
        <v>0</v>
      </c>
      <c r="K1063" s="14" t="n">
        <v>20950.55652950511</v>
      </c>
      <c r="L1063" s="14" t="n">
        <v>0</v>
      </c>
      <c r="M1063" s="14" t="n">
        <v>0</v>
      </c>
      <c r="N1063" s="14" t="n">
        <v>76660.95851458382</v>
      </c>
      <c r="O1063" s="14" t="n">
        <v>76660.95851458382</v>
      </c>
      <c r="P1063" s="14" t="n">
        <v>20950.55652950511</v>
      </c>
      <c r="Q1063" s="14" t="n">
        <v>1038499.701604387</v>
      </c>
      <c r="R1063" s="15">
        <f>IF(D1063=1,"Section 1","Control")</f>
        <v/>
      </c>
      <c r="S1063" s="16">
        <f>N1063/10000</f>
        <v/>
      </c>
      <c r="T1063" s="16">
        <f>P1063/10000</f>
        <v/>
      </c>
      <c r="U1063" s="15">
        <f>IF(N1063&gt;=Summary!$D$3,1,0)</f>
        <v/>
      </c>
      <c r="V1063" s="17">
        <f>IF(N1063&gt;0,P1063/N1063,"")</f>
        <v/>
      </c>
      <c r="W1063" s="17">
        <f>IF(O1063&gt;0,H1063/O1063,"")</f>
        <v/>
      </c>
    </row>
    <row r="1064">
      <c r="A1064" s="13" t="inlineStr">
        <is>
          <t>T38_F</t>
        </is>
      </c>
      <c r="B1064" s="13" t="inlineStr">
        <is>
          <t>T38</t>
        </is>
      </c>
      <c r="C1064" s="13" t="inlineStr">
        <is>
          <t>F</t>
        </is>
      </c>
      <c r="D1064" s="13" t="n">
        <v>1</v>
      </c>
      <c r="E1064" s="13" t="inlineStr">
        <is>
          <t>S1</t>
        </is>
      </c>
      <c r="F1064" s="13" t="n">
        <v>2025</v>
      </c>
      <c r="G1064" s="14" t="n">
        <v>76660.95851458382</v>
      </c>
      <c r="H1064" s="14" t="n">
        <v>53538.53852072323</v>
      </c>
      <c r="I1064" s="14" t="n">
        <v>2764.190139770508</v>
      </c>
      <c r="J1064" s="14" t="n">
        <v>0</v>
      </c>
      <c r="K1064" s="14" t="n">
        <v>20358.22985409007</v>
      </c>
      <c r="L1064" s="14" t="n">
        <v>0</v>
      </c>
      <c r="M1064" s="14" t="n">
        <v>0</v>
      </c>
      <c r="N1064" s="14" t="n">
        <v>76660.95851458382</v>
      </c>
      <c r="O1064" s="14" t="n">
        <v>76660.95851458382</v>
      </c>
      <c r="P1064" s="14" t="n">
        <v>23122.41999386057</v>
      </c>
      <c r="Q1064" s="14" t="n">
        <v>1038499.701604387</v>
      </c>
      <c r="R1064" s="15">
        <f>IF(D1064=1,"Section 1","Control")</f>
        <v/>
      </c>
      <c r="S1064" s="16">
        <f>N1064/10000</f>
        <v/>
      </c>
      <c r="T1064" s="16">
        <f>P1064/10000</f>
        <v/>
      </c>
      <c r="U1064" s="15">
        <f>IF(N1064&gt;=Summary!$D$3,1,0)</f>
        <v/>
      </c>
      <c r="V1064" s="17">
        <f>IF(N1064&gt;0,P1064/N1064,"")</f>
        <v/>
      </c>
      <c r="W1064" s="17">
        <f>IF(O1064&gt;0,H1064/O1064,"")</f>
        <v/>
      </c>
    </row>
    <row r="1065">
      <c r="A1065" s="13" t="inlineStr">
        <is>
          <t>T38_F</t>
        </is>
      </c>
      <c r="B1065" s="13" t="inlineStr">
        <is>
          <t>T38</t>
        </is>
      </c>
      <c r="C1065" s="13" t="inlineStr">
        <is>
          <t>F</t>
        </is>
      </c>
      <c r="D1065" s="13" t="n">
        <v>1</v>
      </c>
      <c r="E1065" s="13" t="inlineStr">
        <is>
          <t>S1</t>
        </is>
      </c>
      <c r="F1065" s="13" t="n">
        <v>2026</v>
      </c>
      <c r="G1065" s="14" t="n">
        <v>76660.95851458384</v>
      </c>
      <c r="H1065" s="14" t="n">
        <v>4293.012439533309</v>
      </c>
      <c r="I1065" s="14" t="n">
        <v>18120.53822907092</v>
      </c>
      <c r="J1065" s="14" t="n">
        <v>0</v>
      </c>
      <c r="K1065" s="14" t="n">
        <v>54247.40784597958</v>
      </c>
      <c r="L1065" s="14" t="n">
        <v>0</v>
      </c>
      <c r="M1065" s="14" t="n">
        <v>0</v>
      </c>
      <c r="N1065" s="14" t="n">
        <v>76660.95851458384</v>
      </c>
      <c r="O1065" s="14" t="n">
        <v>76660.95851458384</v>
      </c>
      <c r="P1065" s="14" t="n">
        <v>72367.94607505051</v>
      </c>
      <c r="Q1065" s="14" t="n">
        <v>1038499.701604387</v>
      </c>
      <c r="R1065" s="15">
        <f>IF(D1065=1,"Section 1","Control")</f>
        <v/>
      </c>
      <c r="S1065" s="16">
        <f>N1065/10000</f>
        <v/>
      </c>
      <c r="T1065" s="16">
        <f>P1065/10000</f>
        <v/>
      </c>
      <c r="U1065" s="15">
        <f>IF(N1065&gt;=Summary!$D$3,1,0)</f>
        <v/>
      </c>
      <c r="V1065" s="17">
        <f>IF(N1065&gt;0,P1065/N1065,"")</f>
        <v/>
      </c>
      <c r="W1065" s="17">
        <f>IF(O1065&gt;0,H1065/O1065,"")</f>
        <v/>
      </c>
    </row>
    <row r="1066">
      <c r="A1066" s="13" t="inlineStr">
        <is>
          <t>T39_B1</t>
        </is>
      </c>
      <c r="B1066" s="13" t="inlineStr">
        <is>
          <t>T39</t>
        </is>
      </c>
      <c r="C1066" s="13" t="inlineStr">
        <is>
          <t>B1</t>
        </is>
      </c>
      <c r="D1066" s="13" t="n">
        <v>1</v>
      </c>
      <c r="E1066" s="13" t="inlineStr">
        <is>
          <t>S1</t>
        </is>
      </c>
      <c r="F1066" s="13" t="n">
        <v>2020</v>
      </c>
      <c r="G1066" s="14" t="n">
        <v>1013442.427171236</v>
      </c>
      <c r="H1066" s="14" t="n">
        <v>664106.0075232713</v>
      </c>
      <c r="I1066" s="14" t="n">
        <v>115936.5361458573</v>
      </c>
      <c r="J1066" s="14" t="n">
        <v>25051.56302768483</v>
      </c>
      <c r="K1066" s="14" t="n">
        <v>23721.69321710924</v>
      </c>
      <c r="L1066" s="14" t="n">
        <v>184626.6272573134</v>
      </c>
      <c r="M1066" s="14" t="n">
        <v>0</v>
      </c>
      <c r="N1066" s="14" t="n">
        <v>664106.0075232713</v>
      </c>
      <c r="O1066" s="14" t="n">
        <v>828815.7999139226</v>
      </c>
      <c r="P1066" s="14" t="n">
        <v>0</v>
      </c>
      <c r="Q1066" s="14" t="n">
        <v>12612713.99813304</v>
      </c>
      <c r="R1066" s="15">
        <f>IF(D1066=1,"Section 1","Control")</f>
        <v/>
      </c>
      <c r="S1066" s="16">
        <f>N1066/10000</f>
        <v/>
      </c>
      <c r="T1066" s="16">
        <f>P1066/10000</f>
        <v/>
      </c>
      <c r="U1066" s="15">
        <f>IF(N1066&gt;=Summary!$D$3,1,0)</f>
        <v/>
      </c>
      <c r="V1066" s="17">
        <f>IF(N1066&gt;0,P1066/N1066,"")</f>
        <v/>
      </c>
      <c r="W1066" s="17">
        <f>IF(O1066&gt;0,H1066/O1066,"")</f>
        <v/>
      </c>
    </row>
    <row r="1067">
      <c r="A1067" s="13" t="inlineStr">
        <is>
          <t>T39_B1</t>
        </is>
      </c>
      <c r="B1067" s="13" t="inlineStr">
        <is>
          <t>T39</t>
        </is>
      </c>
      <c r="C1067" s="13" t="inlineStr">
        <is>
          <t>B1</t>
        </is>
      </c>
      <c r="D1067" s="13" t="n">
        <v>1</v>
      </c>
      <c r="E1067" s="13" t="inlineStr">
        <is>
          <t>S1</t>
        </is>
      </c>
      <c r="F1067" s="13" t="n">
        <v>2021</v>
      </c>
      <c r="G1067" s="14" t="n">
        <v>1013442.427171236</v>
      </c>
      <c r="H1067" s="14" t="n">
        <v>576524.1474553726</v>
      </c>
      <c r="I1067" s="14" t="n">
        <v>123094.003027613</v>
      </c>
      <c r="J1067" s="14" t="n">
        <v>24854.12072116628</v>
      </c>
      <c r="K1067" s="14" t="n">
        <v>106811.5623630299</v>
      </c>
      <c r="L1067" s="14" t="n">
        <v>182158.5936040542</v>
      </c>
      <c r="M1067" s="14" t="n">
        <v>0</v>
      </c>
      <c r="N1067" s="14" t="n">
        <v>664106.0075232711</v>
      </c>
      <c r="O1067" s="14" t="n">
        <v>828815.7999139224</v>
      </c>
      <c r="P1067" s="14" t="n">
        <v>88963.95419936834</v>
      </c>
      <c r="Q1067" s="14" t="n">
        <v>12612713.99813304</v>
      </c>
      <c r="R1067" s="15">
        <f>IF(D1067=1,"Section 1","Control")</f>
        <v/>
      </c>
      <c r="S1067" s="16">
        <f>N1067/10000</f>
        <v/>
      </c>
      <c r="T1067" s="16">
        <f>P1067/10000</f>
        <v/>
      </c>
      <c r="U1067" s="15">
        <f>IF(N1067&gt;=Summary!$D$3,1,0)</f>
        <v/>
      </c>
      <c r="V1067" s="17">
        <f>IF(N1067&gt;0,P1067/N1067,"")</f>
        <v/>
      </c>
      <c r="W1067" s="17">
        <f>IF(O1067&gt;0,H1067/O1067,"")</f>
        <v/>
      </c>
    </row>
    <row r="1068">
      <c r="A1068" s="13" t="inlineStr">
        <is>
          <t>T39_B1</t>
        </is>
      </c>
      <c r="B1068" s="13" t="inlineStr">
        <is>
          <t>T39</t>
        </is>
      </c>
      <c r="C1068" s="13" t="inlineStr">
        <is>
          <t>B1</t>
        </is>
      </c>
      <c r="D1068" s="13" t="n">
        <v>1</v>
      </c>
      <c r="E1068" s="13" t="inlineStr">
        <is>
          <t>S1</t>
        </is>
      </c>
      <c r="F1068" s="13" t="n">
        <v>2022</v>
      </c>
      <c r="G1068" s="14" t="n">
        <v>1013442.427171236</v>
      </c>
      <c r="H1068" s="14" t="n">
        <v>556488.8646449072</v>
      </c>
      <c r="I1068" s="14" t="n">
        <v>142543.2671798706</v>
      </c>
      <c r="J1068" s="14" t="n">
        <v>26236.21701175465</v>
      </c>
      <c r="K1068" s="14" t="n">
        <v>122203.8493498858</v>
      </c>
      <c r="L1068" s="14" t="n">
        <v>165970.2289848178</v>
      </c>
      <c r="M1068" s="14" t="n">
        <v>0</v>
      </c>
      <c r="N1068" s="14" t="n">
        <v>664106.0075232713</v>
      </c>
      <c r="O1068" s="14" t="n">
        <v>828815.7999139226</v>
      </c>
      <c r="P1068" s="14" t="n">
        <v>108110.7482326732</v>
      </c>
      <c r="Q1068" s="14" t="n">
        <v>12612713.99813304</v>
      </c>
      <c r="R1068" s="15">
        <f>IF(D1068=1,"Section 1","Control")</f>
        <v/>
      </c>
      <c r="S1068" s="16">
        <f>N1068/10000</f>
        <v/>
      </c>
      <c r="T1068" s="16">
        <f>P1068/10000</f>
        <v/>
      </c>
      <c r="U1068" s="15">
        <f>IF(N1068&gt;=Summary!$D$3,1,0)</f>
        <v/>
      </c>
      <c r="V1068" s="17">
        <f>IF(N1068&gt;0,P1068/N1068,"")</f>
        <v/>
      </c>
      <c r="W1068" s="17">
        <f>IF(O1068&gt;0,H1068/O1068,"")</f>
        <v/>
      </c>
    </row>
    <row r="1069">
      <c r="A1069" s="13" t="inlineStr">
        <is>
          <t>T39_B1</t>
        </is>
      </c>
      <c r="B1069" s="13" t="inlineStr">
        <is>
          <t>T39</t>
        </is>
      </c>
      <c r="C1069" s="13" t="inlineStr">
        <is>
          <t>B1</t>
        </is>
      </c>
      <c r="D1069" s="13" t="n">
        <v>1</v>
      </c>
      <c r="E1069" s="13" t="inlineStr">
        <is>
          <t>S1</t>
        </is>
      </c>
      <c r="F1069" s="13" t="n">
        <v>2023</v>
      </c>
      <c r="G1069" s="14" t="n">
        <v>1013442.427171236</v>
      </c>
      <c r="H1069" s="14" t="n">
        <v>559746.6524332983</v>
      </c>
      <c r="I1069" s="14" t="n">
        <v>133522.0565997255</v>
      </c>
      <c r="J1069" s="14" t="n">
        <v>26631.1017087151</v>
      </c>
      <c r="K1069" s="14" t="n">
        <v>112524.1565803977</v>
      </c>
      <c r="L1069" s="14" t="n">
        <v>181018.4598490996</v>
      </c>
      <c r="M1069" s="14" t="n">
        <v>0</v>
      </c>
      <c r="N1069" s="14" t="n">
        <v>664106.0075232713</v>
      </c>
      <c r="O1069" s="14" t="n">
        <v>828815.7999139226</v>
      </c>
      <c r="P1069" s="14" t="n">
        <v>107123.5410488353</v>
      </c>
      <c r="Q1069" s="14" t="n">
        <v>12612713.99813304</v>
      </c>
      <c r="R1069" s="15">
        <f>IF(D1069=1,"Section 1","Control")</f>
        <v/>
      </c>
      <c r="S1069" s="16">
        <f>N1069/10000</f>
        <v/>
      </c>
      <c r="T1069" s="16">
        <f>P1069/10000</f>
        <v/>
      </c>
      <c r="U1069" s="15">
        <f>IF(N1069&gt;=Summary!$D$3,1,0)</f>
        <v/>
      </c>
      <c r="V1069" s="17">
        <f>IF(N1069&gt;0,P1069/N1069,"")</f>
        <v/>
      </c>
      <c r="W1069" s="17">
        <f>IF(O1069&gt;0,H1069/O1069,"")</f>
        <v/>
      </c>
    </row>
    <row r="1070">
      <c r="A1070" s="13" t="inlineStr">
        <is>
          <t>T39_B1</t>
        </is>
      </c>
      <c r="B1070" s="13" t="inlineStr">
        <is>
          <t>T39</t>
        </is>
      </c>
      <c r="C1070" s="13" t="inlineStr">
        <is>
          <t>B1</t>
        </is>
      </c>
      <c r="D1070" s="13" t="n">
        <v>1</v>
      </c>
      <c r="E1070" s="13" t="inlineStr">
        <is>
          <t>S1</t>
        </is>
      </c>
      <c r="F1070" s="13" t="n">
        <v>2024</v>
      </c>
      <c r="G1070" s="14" t="n">
        <v>1013442.427171236</v>
      </c>
      <c r="H1070" s="14" t="n">
        <v>581903.8889495551</v>
      </c>
      <c r="I1070" s="14" t="n">
        <v>108632.771923499</v>
      </c>
      <c r="J1070" s="14" t="n">
        <v>26433.65952426686</v>
      </c>
      <c r="K1070" s="14" t="n">
        <v>117033.1874216416</v>
      </c>
      <c r="L1070" s="14" t="n">
        <v>179438.9193522734</v>
      </c>
      <c r="M1070" s="14" t="n">
        <v>0</v>
      </c>
      <c r="N1070" s="14" t="n">
        <v>664106.0075232713</v>
      </c>
      <c r="O1070" s="14" t="n">
        <v>828815.7999139226</v>
      </c>
      <c r="P1070" s="14" t="n">
        <v>95810.50673496022</v>
      </c>
      <c r="Q1070" s="14" t="n">
        <v>12612713.99813304</v>
      </c>
      <c r="R1070" s="15">
        <f>IF(D1070=1,"Section 1","Control")</f>
        <v/>
      </c>
      <c r="S1070" s="16">
        <f>N1070/10000</f>
        <v/>
      </c>
      <c r="T1070" s="16">
        <f>P1070/10000</f>
        <v/>
      </c>
      <c r="U1070" s="15">
        <f>IF(N1070&gt;=Summary!$D$3,1,0)</f>
        <v/>
      </c>
      <c r="V1070" s="17">
        <f>IF(N1070&gt;0,P1070/N1070,"")</f>
        <v/>
      </c>
      <c r="W1070" s="17">
        <f>IF(O1070&gt;0,H1070/O1070,"")</f>
        <v/>
      </c>
    </row>
    <row r="1071">
      <c r="A1071" s="13" t="inlineStr">
        <is>
          <t>T39_B1</t>
        </is>
      </c>
      <c r="B1071" s="13" t="inlineStr">
        <is>
          <t>T39</t>
        </is>
      </c>
      <c r="C1071" s="13" t="inlineStr">
        <is>
          <t>B1</t>
        </is>
      </c>
      <c r="D1071" s="13" t="n">
        <v>1</v>
      </c>
      <c r="E1071" s="13" t="inlineStr">
        <is>
          <t>S1</t>
        </is>
      </c>
      <c r="F1071" s="13" t="n">
        <v>2025</v>
      </c>
      <c r="G1071" s="14" t="n">
        <v>1013442.427171236</v>
      </c>
      <c r="H1071" s="14" t="n">
        <v>549422.3942144953</v>
      </c>
      <c r="I1071" s="14" t="n">
        <v>136873.1372005388</v>
      </c>
      <c r="J1071" s="14" t="n">
        <v>26137.49614078297</v>
      </c>
      <c r="K1071" s="14" t="n">
        <v>114408.3456613279</v>
      </c>
      <c r="L1071" s="14" t="n">
        <v>186601.0539540908</v>
      </c>
      <c r="M1071" s="14" t="n">
        <v>0</v>
      </c>
      <c r="N1071" s="14" t="n">
        <v>664106.0075232713</v>
      </c>
      <c r="O1071" s="14" t="n">
        <v>828815.7999139226</v>
      </c>
      <c r="P1071" s="14" t="n">
        <v>120407.1016530355</v>
      </c>
      <c r="Q1071" s="14" t="n">
        <v>12612713.99813304</v>
      </c>
      <c r="R1071" s="15">
        <f>IF(D1071=1,"Section 1","Control")</f>
        <v/>
      </c>
      <c r="S1071" s="16">
        <f>N1071/10000</f>
        <v/>
      </c>
      <c r="T1071" s="16">
        <f>P1071/10000</f>
        <v/>
      </c>
      <c r="U1071" s="15">
        <f>IF(N1071&gt;=Summary!$D$3,1,0)</f>
        <v/>
      </c>
      <c r="V1071" s="17">
        <f>IF(N1071&gt;0,P1071/N1071,"")</f>
        <v/>
      </c>
      <c r="W1071" s="17">
        <f>IF(O1071&gt;0,H1071/O1071,"")</f>
        <v/>
      </c>
    </row>
    <row r="1072">
      <c r="A1072" s="13" t="inlineStr">
        <is>
          <t>T39_B1</t>
        </is>
      </c>
      <c r="B1072" s="13" t="inlineStr">
        <is>
          <t>T39</t>
        </is>
      </c>
      <c r="C1072" s="13" t="inlineStr">
        <is>
          <t>B1</t>
        </is>
      </c>
      <c r="D1072" s="13" t="n">
        <v>1</v>
      </c>
      <c r="E1072" s="13" t="inlineStr">
        <is>
          <t>S1</t>
        </is>
      </c>
      <c r="F1072" s="13" t="n">
        <v>2026</v>
      </c>
      <c r="G1072" s="14" t="n">
        <v>1013442.427171236</v>
      </c>
      <c r="H1072" s="14" t="n">
        <v>567503.0529927271</v>
      </c>
      <c r="I1072" s="14" t="n">
        <v>101828.0031207814</v>
      </c>
      <c r="J1072" s="14" t="n">
        <v>25841.33261996998</v>
      </c>
      <c r="K1072" s="14" t="n">
        <v>139719.6110212139</v>
      </c>
      <c r="L1072" s="14" t="n">
        <v>178550.4274165434</v>
      </c>
      <c r="M1072" s="14" t="n">
        <v>0</v>
      </c>
      <c r="N1072" s="14" t="n">
        <v>664106.0075232713</v>
      </c>
      <c r="O1072" s="14" t="n">
        <v>828815.7999139226</v>
      </c>
      <c r="P1072" s="14" t="n">
        <v>116198.8593314676</v>
      </c>
      <c r="Q1072" s="14" t="n">
        <v>12612713.99813304</v>
      </c>
      <c r="R1072" s="15">
        <f>IF(D1072=1,"Section 1","Control")</f>
        <v/>
      </c>
      <c r="S1072" s="16">
        <f>N1072/10000</f>
        <v/>
      </c>
      <c r="T1072" s="16">
        <f>P1072/10000</f>
        <v/>
      </c>
      <c r="U1072" s="15">
        <f>IF(N1072&gt;=Summary!$D$3,1,0)</f>
        <v/>
      </c>
      <c r="V1072" s="17">
        <f>IF(N1072&gt;0,P1072/N1072,"")</f>
        <v/>
      </c>
      <c r="W1072" s="17">
        <f>IF(O1072&gt;0,H1072/O1072,"")</f>
        <v/>
      </c>
    </row>
    <row r="1073">
      <c r="A1073" s="13" t="inlineStr">
        <is>
          <t>T39_B2</t>
        </is>
      </c>
      <c r="B1073" s="13" t="inlineStr">
        <is>
          <t>T39</t>
        </is>
      </c>
      <c r="C1073" s="13" t="inlineStr">
        <is>
          <t>B2</t>
        </is>
      </c>
      <c r="D1073" s="13" t="n">
        <v>1</v>
      </c>
      <c r="E1073" s="13" t="inlineStr">
        <is>
          <t>S1</t>
        </is>
      </c>
      <c r="F1073" s="13" t="n">
        <v>2020</v>
      </c>
      <c r="G1073" s="14" t="n">
        <v>1013019.303023335</v>
      </c>
      <c r="H1073" s="14" t="n">
        <v>499800.3935360778</v>
      </c>
      <c r="I1073" s="14" t="n">
        <v>22023.60193158317</v>
      </c>
      <c r="J1073" s="14" t="n">
        <v>0</v>
      </c>
      <c r="K1073" s="14" t="n">
        <v>0</v>
      </c>
      <c r="L1073" s="14" t="n">
        <v>491195.3075556736</v>
      </c>
      <c r="M1073" s="14" t="n">
        <v>0</v>
      </c>
      <c r="N1073" s="14" t="n">
        <v>499800.3935360778</v>
      </c>
      <c r="O1073" s="14" t="n">
        <v>521823.9954676609</v>
      </c>
      <c r="P1073" s="14" t="n">
        <v>0</v>
      </c>
      <c r="Q1073" s="14" t="n">
        <v>6270128.975407083</v>
      </c>
      <c r="R1073" s="15">
        <f>IF(D1073=1,"Section 1","Control")</f>
        <v/>
      </c>
      <c r="S1073" s="16">
        <f>N1073/10000</f>
        <v/>
      </c>
      <c r="T1073" s="16">
        <f>P1073/10000</f>
        <v/>
      </c>
      <c r="U1073" s="15">
        <f>IF(N1073&gt;=Summary!$D$3,1,0)</f>
        <v/>
      </c>
      <c r="V1073" s="17">
        <f>IF(N1073&gt;0,P1073/N1073,"")</f>
        <v/>
      </c>
      <c r="W1073" s="17">
        <f>IF(O1073&gt;0,H1073/O1073,"")</f>
        <v/>
      </c>
    </row>
    <row r="1074">
      <c r="A1074" s="13" t="inlineStr">
        <is>
          <t>T39_B2</t>
        </is>
      </c>
      <c r="B1074" s="13" t="inlineStr">
        <is>
          <t>T39</t>
        </is>
      </c>
      <c r="C1074" s="13" t="inlineStr">
        <is>
          <t>B2</t>
        </is>
      </c>
      <c r="D1074" s="13" t="n">
        <v>1</v>
      </c>
      <c r="E1074" s="13" t="inlineStr">
        <is>
          <t>S1</t>
        </is>
      </c>
      <c r="F1074" s="13" t="n">
        <v>2021</v>
      </c>
      <c r="G1074" s="14" t="n">
        <v>1013019.303023335</v>
      </c>
      <c r="H1074" s="14" t="n">
        <v>504879.9363738116</v>
      </c>
      <c r="I1074" s="14" t="n">
        <v>13686.31090201584</v>
      </c>
      <c r="J1074" s="14" t="n">
        <v>0</v>
      </c>
      <c r="K1074" s="14" t="n">
        <v>3257.748191833496</v>
      </c>
      <c r="L1074" s="14" t="n">
        <v>491195.3075556736</v>
      </c>
      <c r="M1074" s="14" t="n">
        <v>0</v>
      </c>
      <c r="N1074" s="14" t="n">
        <v>499800.3935360777</v>
      </c>
      <c r="O1074" s="14" t="n">
        <v>521823.9954676609</v>
      </c>
      <c r="P1074" s="14" t="n">
        <v>4639.814674377441</v>
      </c>
      <c r="Q1074" s="14" t="n">
        <v>6270128.975407082</v>
      </c>
      <c r="R1074" s="15">
        <f>IF(D1074=1,"Section 1","Control")</f>
        <v/>
      </c>
      <c r="S1074" s="16">
        <f>N1074/10000</f>
        <v/>
      </c>
      <c r="T1074" s="16">
        <f>P1074/10000</f>
        <v/>
      </c>
      <c r="U1074" s="15">
        <f>IF(N1074&gt;=Summary!$D$3,1,0)</f>
        <v/>
      </c>
      <c r="V1074" s="17">
        <f>IF(N1074&gt;0,P1074/N1074,"")</f>
        <v/>
      </c>
      <c r="W1074" s="17">
        <f>IF(O1074&gt;0,H1074/O1074,"")</f>
        <v/>
      </c>
    </row>
    <row r="1075">
      <c r="A1075" s="13" t="inlineStr">
        <is>
          <t>T39_B2</t>
        </is>
      </c>
      <c r="B1075" s="13" t="inlineStr">
        <is>
          <t>T39</t>
        </is>
      </c>
      <c r="C1075" s="13" t="inlineStr">
        <is>
          <t>B2</t>
        </is>
      </c>
      <c r="D1075" s="13" t="n">
        <v>1</v>
      </c>
      <c r="E1075" s="13" t="inlineStr">
        <is>
          <t>S1</t>
        </is>
      </c>
      <c r="F1075" s="13" t="n">
        <v>2022</v>
      </c>
      <c r="G1075" s="14" t="n">
        <v>1013019.303023335</v>
      </c>
      <c r="H1075" s="14" t="n">
        <v>498923.9000259399</v>
      </c>
      <c r="I1075" s="14" t="n">
        <v>19642.34724988749</v>
      </c>
      <c r="J1075" s="14" t="n">
        <v>0</v>
      </c>
      <c r="K1075" s="14" t="n">
        <v>3257.748191833496</v>
      </c>
      <c r="L1075" s="14" t="n">
        <v>491195.3075556736</v>
      </c>
      <c r="M1075" s="14" t="n">
        <v>0</v>
      </c>
      <c r="N1075" s="14" t="n">
        <v>499800.3935360777</v>
      </c>
      <c r="O1075" s="14" t="n">
        <v>521823.9954676609</v>
      </c>
      <c r="P1075" s="14" t="n">
        <v>4759.049023976046</v>
      </c>
      <c r="Q1075" s="14" t="n">
        <v>6270128.975407082</v>
      </c>
      <c r="R1075" s="15">
        <f>IF(D1075=1,"Section 1","Control")</f>
        <v/>
      </c>
      <c r="S1075" s="16">
        <f>N1075/10000</f>
        <v/>
      </c>
      <c r="T1075" s="16">
        <f>P1075/10000</f>
        <v/>
      </c>
      <c r="U1075" s="15">
        <f>IF(N1075&gt;=Summary!$D$3,1,0)</f>
        <v/>
      </c>
      <c r="V1075" s="17">
        <f>IF(N1075&gt;0,P1075/N1075,"")</f>
        <v/>
      </c>
      <c r="W1075" s="17">
        <f>IF(O1075&gt;0,H1075/O1075,"")</f>
        <v/>
      </c>
    </row>
    <row r="1076">
      <c r="A1076" s="13" t="inlineStr">
        <is>
          <t>T39_B2</t>
        </is>
      </c>
      <c r="B1076" s="13" t="inlineStr">
        <is>
          <t>T39</t>
        </is>
      </c>
      <c r="C1076" s="13" t="inlineStr">
        <is>
          <t>B2</t>
        </is>
      </c>
      <c r="D1076" s="13" t="n">
        <v>1</v>
      </c>
      <c r="E1076" s="13" t="inlineStr">
        <is>
          <t>S1</t>
        </is>
      </c>
      <c r="F1076" s="13" t="n">
        <v>2023</v>
      </c>
      <c r="G1076" s="14" t="n">
        <v>1013019.303023335</v>
      </c>
      <c r="H1076" s="14" t="n">
        <v>511075.2265463137</v>
      </c>
      <c r="I1076" s="14" t="n">
        <v>7491.02072951373</v>
      </c>
      <c r="J1076" s="14" t="n">
        <v>0</v>
      </c>
      <c r="K1076" s="14" t="n">
        <v>3257.748191833496</v>
      </c>
      <c r="L1076" s="14" t="n">
        <v>491195.3075556736</v>
      </c>
      <c r="M1076" s="14" t="n">
        <v>0</v>
      </c>
      <c r="N1076" s="14" t="n">
        <v>499800.3935360777</v>
      </c>
      <c r="O1076" s="14" t="n">
        <v>521823.9954676609</v>
      </c>
      <c r="P1076" s="14" t="n">
        <v>3356.467094421387</v>
      </c>
      <c r="Q1076" s="14" t="n">
        <v>6270128.975407082</v>
      </c>
      <c r="R1076" s="15">
        <f>IF(D1076=1,"Section 1","Control")</f>
        <v/>
      </c>
      <c r="S1076" s="16">
        <f>N1076/10000</f>
        <v/>
      </c>
      <c r="T1076" s="16">
        <f>P1076/10000</f>
        <v/>
      </c>
      <c r="U1076" s="15">
        <f>IF(N1076&gt;=Summary!$D$3,1,0)</f>
        <v/>
      </c>
      <c r="V1076" s="17">
        <f>IF(N1076&gt;0,P1076/N1076,"")</f>
        <v/>
      </c>
      <c r="W1076" s="17">
        <f>IF(O1076&gt;0,H1076/O1076,"")</f>
        <v/>
      </c>
    </row>
    <row r="1077">
      <c r="A1077" s="13" t="inlineStr">
        <is>
          <t>T39_B2</t>
        </is>
      </c>
      <c r="B1077" s="13" t="inlineStr">
        <is>
          <t>T39</t>
        </is>
      </c>
      <c r="C1077" s="13" t="inlineStr">
        <is>
          <t>B2</t>
        </is>
      </c>
      <c r="D1077" s="13" t="n">
        <v>1</v>
      </c>
      <c r="E1077" s="13" t="inlineStr">
        <is>
          <t>S1</t>
        </is>
      </c>
      <c r="F1077" s="13" t="n">
        <v>2024</v>
      </c>
      <c r="G1077" s="14" t="n">
        <v>1013019.303023335</v>
      </c>
      <c r="H1077" s="14" t="n">
        <v>517973.9338374119</v>
      </c>
      <c r="I1077" s="14" t="n">
        <v>592.3134384155273</v>
      </c>
      <c r="J1077" s="14" t="n">
        <v>0</v>
      </c>
      <c r="K1077" s="14" t="n">
        <v>3257.748191833496</v>
      </c>
      <c r="L1077" s="14" t="n">
        <v>491195.3075556736</v>
      </c>
      <c r="M1077" s="14" t="n">
        <v>0</v>
      </c>
      <c r="N1077" s="14" t="n">
        <v>499800.3935360777</v>
      </c>
      <c r="O1077" s="14" t="n">
        <v>521823.9954676609</v>
      </c>
      <c r="P1077" s="14" t="n">
        <v>3257.748191833496</v>
      </c>
      <c r="Q1077" s="14" t="n">
        <v>6270128.975407082</v>
      </c>
      <c r="R1077" s="15">
        <f>IF(D1077=1,"Section 1","Control")</f>
        <v/>
      </c>
      <c r="S1077" s="16">
        <f>N1077/10000</f>
        <v/>
      </c>
      <c r="T1077" s="16">
        <f>P1077/10000</f>
        <v/>
      </c>
      <c r="U1077" s="15">
        <f>IF(N1077&gt;=Summary!$D$3,1,0)</f>
        <v/>
      </c>
      <c r="V1077" s="17">
        <f>IF(N1077&gt;0,P1077/N1077,"")</f>
        <v/>
      </c>
      <c r="W1077" s="17">
        <f>IF(O1077&gt;0,H1077/O1077,"")</f>
        <v/>
      </c>
    </row>
    <row r="1078">
      <c r="A1078" s="13" t="inlineStr">
        <is>
          <t>T39_B2</t>
        </is>
      </c>
      <c r="B1078" s="13" t="inlineStr">
        <is>
          <t>T39</t>
        </is>
      </c>
      <c r="C1078" s="13" t="inlineStr">
        <is>
          <t>B2</t>
        </is>
      </c>
      <c r="D1078" s="13" t="n">
        <v>1</v>
      </c>
      <c r="E1078" s="13" t="inlineStr">
        <is>
          <t>S1</t>
        </is>
      </c>
      <c r="F1078" s="13" t="n">
        <v>2025</v>
      </c>
      <c r="G1078" s="14" t="n">
        <v>1013019.303023335</v>
      </c>
      <c r="H1078" s="14" t="n">
        <v>518072.6530604344</v>
      </c>
      <c r="I1078" s="14" t="n">
        <v>493.5942153930664</v>
      </c>
      <c r="J1078" s="14" t="n">
        <v>0</v>
      </c>
      <c r="K1078" s="14" t="n">
        <v>3257.748191833496</v>
      </c>
      <c r="L1078" s="14" t="n">
        <v>491195.3075556736</v>
      </c>
      <c r="M1078" s="14" t="n">
        <v>0</v>
      </c>
      <c r="N1078" s="14" t="n">
        <v>499800.3935360777</v>
      </c>
      <c r="O1078" s="14" t="n">
        <v>521823.9954676609</v>
      </c>
      <c r="P1078" s="14" t="n">
        <v>3257.748191833496</v>
      </c>
      <c r="Q1078" s="14" t="n">
        <v>6270128.975407082</v>
      </c>
      <c r="R1078" s="15">
        <f>IF(D1078=1,"Section 1","Control")</f>
        <v/>
      </c>
      <c r="S1078" s="16">
        <f>N1078/10000</f>
        <v/>
      </c>
      <c r="T1078" s="16">
        <f>P1078/10000</f>
        <v/>
      </c>
      <c r="U1078" s="15">
        <f>IF(N1078&gt;=Summary!$D$3,1,0)</f>
        <v/>
      </c>
      <c r="V1078" s="17">
        <f>IF(N1078&gt;0,P1078/N1078,"")</f>
        <v/>
      </c>
      <c r="W1078" s="17">
        <f>IF(O1078&gt;0,H1078/O1078,"")</f>
        <v/>
      </c>
    </row>
    <row r="1079">
      <c r="A1079" s="13" t="inlineStr">
        <is>
          <t>T39_B2</t>
        </is>
      </c>
      <c r="B1079" s="13" t="inlineStr">
        <is>
          <t>T39</t>
        </is>
      </c>
      <c r="C1079" s="13" t="inlineStr">
        <is>
          <t>B2</t>
        </is>
      </c>
      <c r="D1079" s="13" t="n">
        <v>1</v>
      </c>
      <c r="E1079" s="13" t="inlineStr">
        <is>
          <t>S1</t>
        </is>
      </c>
      <c r="F1079" s="13" t="n">
        <v>2026</v>
      </c>
      <c r="G1079" s="14" t="n">
        <v>1013019.303023335</v>
      </c>
      <c r="H1079" s="14" t="n">
        <v>517973.9335246068</v>
      </c>
      <c r="I1079" s="14" t="n">
        <v>592.3137512207031</v>
      </c>
      <c r="J1079" s="14" t="n">
        <v>0</v>
      </c>
      <c r="K1079" s="14" t="n">
        <v>3257.748191833496</v>
      </c>
      <c r="L1079" s="14" t="n">
        <v>491195.3075556736</v>
      </c>
      <c r="M1079" s="14" t="n">
        <v>0</v>
      </c>
      <c r="N1079" s="14" t="n">
        <v>499800.3935360777</v>
      </c>
      <c r="O1079" s="14" t="n">
        <v>521823.9954676609</v>
      </c>
      <c r="P1079" s="14" t="n">
        <v>3652.624153137207</v>
      </c>
      <c r="Q1079" s="14" t="n">
        <v>6270128.975407082</v>
      </c>
      <c r="R1079" s="15">
        <f>IF(D1079=1,"Section 1","Control")</f>
        <v/>
      </c>
      <c r="S1079" s="16">
        <f>N1079/10000</f>
        <v/>
      </c>
      <c r="T1079" s="16">
        <f>P1079/10000</f>
        <v/>
      </c>
      <c r="U1079" s="15">
        <f>IF(N1079&gt;=Summary!$D$3,1,0)</f>
        <v/>
      </c>
      <c r="V1079" s="17">
        <f>IF(N1079&gt;0,P1079/N1079,"")</f>
        <v/>
      </c>
      <c r="W1079" s="17">
        <f>IF(O1079&gt;0,H1079/O1079,"")</f>
        <v/>
      </c>
    </row>
    <row r="1080">
      <c r="A1080" s="13" t="inlineStr">
        <is>
          <t>T39_B3</t>
        </is>
      </c>
      <c r="B1080" s="13" t="inlineStr">
        <is>
          <t>T39</t>
        </is>
      </c>
      <c r="C1080" s="13" t="inlineStr">
        <is>
          <t>B3</t>
        </is>
      </c>
      <c r="D1080" s="13" t="n">
        <v>1</v>
      </c>
      <c r="E1080" s="13" t="inlineStr">
        <is>
          <t>S1</t>
        </is>
      </c>
      <c r="F1080" s="13" t="n">
        <v>2020</v>
      </c>
      <c r="G1080" s="14" t="n">
        <v>8733182.175974824</v>
      </c>
      <c r="H1080" s="14" t="n">
        <v>2937354.785381841</v>
      </c>
      <c r="I1080" s="14" t="n">
        <v>310600.2425111359</v>
      </c>
      <c r="J1080" s="14" t="n">
        <v>0</v>
      </c>
      <c r="K1080" s="14" t="n">
        <v>1439834.466645065</v>
      </c>
      <c r="L1080" s="14" t="n">
        <v>4045392.681436785</v>
      </c>
      <c r="M1080" s="14" t="n">
        <v>0</v>
      </c>
      <c r="N1080" s="14" t="n">
        <v>2937354.785381841</v>
      </c>
      <c r="O1080" s="14" t="n">
        <v>4687789.494538041</v>
      </c>
      <c r="P1080" s="14" t="n">
        <v>0</v>
      </c>
      <c r="Q1080" s="14" t="n">
        <v>40707209.76436564</v>
      </c>
      <c r="R1080" s="15">
        <f>IF(D1080=1,"Section 1","Control")</f>
        <v/>
      </c>
      <c r="S1080" s="16">
        <f>N1080/10000</f>
        <v/>
      </c>
      <c r="T1080" s="16">
        <f>P1080/10000</f>
        <v/>
      </c>
      <c r="U1080" s="15">
        <f>IF(N1080&gt;=Summary!$D$3,1,0)</f>
        <v/>
      </c>
      <c r="V1080" s="17">
        <f>IF(N1080&gt;0,P1080/N1080,"")</f>
        <v/>
      </c>
      <c r="W1080" s="17">
        <f>IF(O1080&gt;0,H1080/O1080,"")</f>
        <v/>
      </c>
    </row>
    <row r="1081">
      <c r="A1081" s="13" t="inlineStr">
        <is>
          <t>T39_B3</t>
        </is>
      </c>
      <c r="B1081" s="13" t="inlineStr">
        <is>
          <t>T39</t>
        </is>
      </c>
      <c r="C1081" s="13" t="inlineStr">
        <is>
          <t>B3</t>
        </is>
      </c>
      <c r="D1081" s="13" t="n">
        <v>1</v>
      </c>
      <c r="E1081" s="13" t="inlineStr">
        <is>
          <t>S1</t>
        </is>
      </c>
      <c r="F1081" s="13" t="n">
        <v>2021</v>
      </c>
      <c r="G1081" s="14" t="n">
        <v>8733182.175974824</v>
      </c>
      <c r="H1081" s="14" t="n">
        <v>2266612.868091927</v>
      </c>
      <c r="I1081" s="14" t="n">
        <v>301175.6498250625</v>
      </c>
      <c r="J1081" s="14" t="n">
        <v>0</v>
      </c>
      <c r="K1081" s="14" t="n">
        <v>2120000.976621052</v>
      </c>
      <c r="L1081" s="14" t="n">
        <v>4045392.681436785</v>
      </c>
      <c r="M1081" s="14" t="n">
        <v>0</v>
      </c>
      <c r="N1081" s="14" t="n">
        <v>2937354.785381841</v>
      </c>
      <c r="O1081" s="14" t="n">
        <v>4687789.494538041</v>
      </c>
      <c r="P1081" s="14" t="n">
        <v>731359.6545576208</v>
      </c>
      <c r="Q1081" s="14" t="n">
        <v>40707209.76436564</v>
      </c>
      <c r="R1081" s="15">
        <f>IF(D1081=1,"Section 1","Control")</f>
        <v/>
      </c>
      <c r="S1081" s="16">
        <f>N1081/10000</f>
        <v/>
      </c>
      <c r="T1081" s="16">
        <f>P1081/10000</f>
        <v/>
      </c>
      <c r="U1081" s="15">
        <f>IF(N1081&gt;=Summary!$D$3,1,0)</f>
        <v/>
      </c>
      <c r="V1081" s="17">
        <f>IF(N1081&gt;0,P1081/N1081,"")</f>
        <v/>
      </c>
      <c r="W1081" s="17">
        <f>IF(O1081&gt;0,H1081/O1081,"")</f>
        <v/>
      </c>
    </row>
    <row r="1082">
      <c r="A1082" s="13" t="inlineStr">
        <is>
          <t>T39_B3</t>
        </is>
      </c>
      <c r="B1082" s="13" t="inlineStr">
        <is>
          <t>T39</t>
        </is>
      </c>
      <c r="C1082" s="13" t="inlineStr">
        <is>
          <t>B3</t>
        </is>
      </c>
      <c r="D1082" s="13" t="n">
        <v>1</v>
      </c>
      <c r="E1082" s="13" t="inlineStr">
        <is>
          <t>S1</t>
        </is>
      </c>
      <c r="F1082" s="13" t="n">
        <v>2022</v>
      </c>
      <c r="G1082" s="14" t="n">
        <v>8733182.175974825</v>
      </c>
      <c r="H1082" s="14" t="n">
        <v>2204758.192812572</v>
      </c>
      <c r="I1082" s="14" t="n">
        <v>193782.7322479846</v>
      </c>
      <c r="J1082" s="14" t="n">
        <v>0</v>
      </c>
      <c r="K1082" s="14" t="n">
        <v>2289248.569477485</v>
      </c>
      <c r="L1082" s="14" t="n">
        <v>4045392.681436785</v>
      </c>
      <c r="M1082" s="14" t="n">
        <v>0</v>
      </c>
      <c r="N1082" s="14" t="n">
        <v>2937354.785381841</v>
      </c>
      <c r="O1082" s="14" t="n">
        <v>4687789.494538041</v>
      </c>
      <c r="P1082" s="14" t="n">
        <v>775603.8385243135</v>
      </c>
      <c r="Q1082" s="14" t="n">
        <v>40707209.76436564</v>
      </c>
      <c r="R1082" s="15">
        <f>IF(D1082=1,"Section 1","Control")</f>
        <v/>
      </c>
      <c r="S1082" s="16">
        <f>N1082/10000</f>
        <v/>
      </c>
      <c r="T1082" s="16">
        <f>P1082/10000</f>
        <v/>
      </c>
      <c r="U1082" s="15">
        <f>IF(N1082&gt;=Summary!$D$3,1,0)</f>
        <v/>
      </c>
      <c r="V1082" s="17">
        <f>IF(N1082&gt;0,P1082/N1082,"")</f>
        <v/>
      </c>
      <c r="W1082" s="17">
        <f>IF(O1082&gt;0,H1082/O1082,"")</f>
        <v/>
      </c>
    </row>
    <row r="1083">
      <c r="A1083" s="13" t="inlineStr">
        <is>
          <t>T39_B3</t>
        </is>
      </c>
      <c r="B1083" s="13" t="inlineStr">
        <is>
          <t>T39</t>
        </is>
      </c>
      <c r="C1083" s="13" t="inlineStr">
        <is>
          <t>B3</t>
        </is>
      </c>
      <c r="D1083" s="13" t="n">
        <v>1</v>
      </c>
      <c r="E1083" s="13" t="inlineStr">
        <is>
          <t>S1</t>
        </is>
      </c>
      <c r="F1083" s="13" t="n">
        <v>2023</v>
      </c>
      <c r="G1083" s="14" t="n">
        <v>8733182.175974824</v>
      </c>
      <c r="H1083" s="14" t="n">
        <v>2197722.850638416</v>
      </c>
      <c r="I1083" s="14" t="n">
        <v>260070.8089980481</v>
      </c>
      <c r="J1083" s="14" t="n">
        <v>0</v>
      </c>
      <c r="K1083" s="14" t="n">
        <v>2229897.118417508</v>
      </c>
      <c r="L1083" s="14" t="n">
        <v>4045491.397920855</v>
      </c>
      <c r="M1083" s="14" t="n">
        <v>0</v>
      </c>
      <c r="N1083" s="14" t="n">
        <v>2937354.785381841</v>
      </c>
      <c r="O1083" s="14" t="n">
        <v>4687789.494538041</v>
      </c>
      <c r="P1083" s="14" t="n">
        <v>815515.0650317621</v>
      </c>
      <c r="Q1083" s="14" t="n">
        <v>40707209.76436564</v>
      </c>
      <c r="R1083" s="15">
        <f>IF(D1083=1,"Section 1","Control")</f>
        <v/>
      </c>
      <c r="S1083" s="16">
        <f>N1083/10000</f>
        <v/>
      </c>
      <c r="T1083" s="16">
        <f>P1083/10000</f>
        <v/>
      </c>
      <c r="U1083" s="15">
        <f>IF(N1083&gt;=Summary!$D$3,1,0)</f>
        <v/>
      </c>
      <c r="V1083" s="17">
        <f>IF(N1083&gt;0,P1083/N1083,"")</f>
        <v/>
      </c>
      <c r="W1083" s="17">
        <f>IF(O1083&gt;0,H1083/O1083,"")</f>
        <v/>
      </c>
    </row>
    <row r="1084">
      <c r="A1084" s="13" t="inlineStr">
        <is>
          <t>T39_B3</t>
        </is>
      </c>
      <c r="B1084" s="13" t="inlineStr">
        <is>
          <t>T39</t>
        </is>
      </c>
      <c r="C1084" s="13" t="inlineStr">
        <is>
          <t>B3</t>
        </is>
      </c>
      <c r="D1084" s="13" t="n">
        <v>1</v>
      </c>
      <c r="E1084" s="13" t="inlineStr">
        <is>
          <t>S1</t>
        </is>
      </c>
      <c r="F1084" s="13" t="n">
        <v>2024</v>
      </c>
      <c r="G1084" s="14" t="n">
        <v>8733182.175974825</v>
      </c>
      <c r="H1084" s="14" t="n">
        <v>2277172.935344232</v>
      </c>
      <c r="I1084" s="14" t="n">
        <v>143172.9500658821</v>
      </c>
      <c r="J1084" s="14" t="n">
        <v>0</v>
      </c>
      <c r="K1084" s="14" t="n">
        <v>2267443.609127927</v>
      </c>
      <c r="L1084" s="14" t="n">
        <v>4045392.681436785</v>
      </c>
      <c r="M1084" s="14" t="n">
        <v>0</v>
      </c>
      <c r="N1084" s="14" t="n">
        <v>2937354.785381841</v>
      </c>
      <c r="O1084" s="14" t="n">
        <v>4687789.494538041</v>
      </c>
      <c r="P1084" s="14" t="n">
        <v>783575.5324780034</v>
      </c>
      <c r="Q1084" s="14" t="n">
        <v>40707209.76436564</v>
      </c>
      <c r="R1084" s="15">
        <f>IF(D1084=1,"Section 1","Control")</f>
        <v/>
      </c>
      <c r="S1084" s="16">
        <f>N1084/10000</f>
        <v/>
      </c>
      <c r="T1084" s="16">
        <f>P1084/10000</f>
        <v/>
      </c>
      <c r="U1084" s="15">
        <f>IF(N1084&gt;=Summary!$D$3,1,0)</f>
        <v/>
      </c>
      <c r="V1084" s="17">
        <f>IF(N1084&gt;0,P1084/N1084,"")</f>
        <v/>
      </c>
      <c r="W1084" s="17">
        <f>IF(O1084&gt;0,H1084/O1084,"")</f>
        <v/>
      </c>
    </row>
    <row r="1085">
      <c r="A1085" s="13" t="inlineStr">
        <is>
          <t>T39_B3</t>
        </is>
      </c>
      <c r="B1085" s="13" t="inlineStr">
        <is>
          <t>T39</t>
        </is>
      </c>
      <c r="C1085" s="13" t="inlineStr">
        <is>
          <t>B3</t>
        </is>
      </c>
      <c r="D1085" s="13" t="n">
        <v>1</v>
      </c>
      <c r="E1085" s="13" t="inlineStr">
        <is>
          <t>S1</t>
        </is>
      </c>
      <c r="F1085" s="13" t="n">
        <v>2025</v>
      </c>
      <c r="G1085" s="14" t="n">
        <v>8733182.175974824</v>
      </c>
      <c r="H1085" s="14" t="n">
        <v>2250455.789216374</v>
      </c>
      <c r="I1085" s="14" t="n">
        <v>168644.9009045769</v>
      </c>
      <c r="J1085" s="14" t="n">
        <v>0</v>
      </c>
      <c r="K1085" s="14" t="n">
        <v>2268293.938297705</v>
      </c>
      <c r="L1085" s="14" t="n">
        <v>4045787.54755617</v>
      </c>
      <c r="M1085" s="14" t="n">
        <v>0</v>
      </c>
      <c r="N1085" s="14" t="n">
        <v>2937354.785381841</v>
      </c>
      <c r="O1085" s="14" t="n">
        <v>4687789.494538041</v>
      </c>
      <c r="P1085" s="14" t="n">
        <v>817755.5981918932</v>
      </c>
      <c r="Q1085" s="14" t="n">
        <v>40707209.76436564</v>
      </c>
      <c r="R1085" s="15">
        <f>IF(D1085=1,"Section 1","Control")</f>
        <v/>
      </c>
      <c r="S1085" s="16">
        <f>N1085/10000</f>
        <v/>
      </c>
      <c r="T1085" s="16">
        <f>P1085/10000</f>
        <v/>
      </c>
      <c r="U1085" s="15">
        <f>IF(N1085&gt;=Summary!$D$3,1,0)</f>
        <v/>
      </c>
      <c r="V1085" s="17">
        <f>IF(N1085&gt;0,P1085/N1085,"")</f>
        <v/>
      </c>
      <c r="W1085" s="17">
        <f>IF(O1085&gt;0,H1085/O1085,"")</f>
        <v/>
      </c>
    </row>
    <row r="1086">
      <c r="A1086" s="13" t="inlineStr">
        <is>
          <t>T39_B3</t>
        </is>
      </c>
      <c r="B1086" s="13" t="inlineStr">
        <is>
          <t>T39</t>
        </is>
      </c>
      <c r="C1086" s="13" t="inlineStr">
        <is>
          <t>B3</t>
        </is>
      </c>
      <c r="D1086" s="13" t="n">
        <v>1</v>
      </c>
      <c r="E1086" s="13" t="inlineStr">
        <is>
          <t>S1</t>
        </is>
      </c>
      <c r="F1086" s="13" t="n">
        <v>2026</v>
      </c>
      <c r="G1086" s="14" t="n">
        <v>8733182.175974824</v>
      </c>
      <c r="H1086" s="14" t="n">
        <v>2219955.62468908</v>
      </c>
      <c r="I1086" s="14" t="n">
        <v>112093.962457066</v>
      </c>
      <c r="J1086" s="14" t="n">
        <v>0</v>
      </c>
      <c r="K1086" s="14" t="n">
        <v>2353370.716733327</v>
      </c>
      <c r="L1086" s="14" t="n">
        <v>4047761.872095353</v>
      </c>
      <c r="M1086" s="14" t="n">
        <v>0</v>
      </c>
      <c r="N1086" s="14" t="n">
        <v>2937354.785381841</v>
      </c>
      <c r="O1086" s="14" t="n">
        <v>4687789.494538041</v>
      </c>
      <c r="P1086" s="14" t="n">
        <v>862530.3398548799</v>
      </c>
      <c r="Q1086" s="14" t="n">
        <v>40707209.76436564</v>
      </c>
      <c r="R1086" s="15">
        <f>IF(D1086=1,"Section 1","Control")</f>
        <v/>
      </c>
      <c r="S1086" s="16">
        <f>N1086/10000</f>
        <v/>
      </c>
      <c r="T1086" s="16">
        <f>P1086/10000</f>
        <v/>
      </c>
      <c r="U1086" s="15">
        <f>IF(N1086&gt;=Summary!$D$3,1,0)</f>
        <v/>
      </c>
      <c r="V1086" s="17">
        <f>IF(N1086&gt;0,P1086/N1086,"")</f>
        <v/>
      </c>
      <c r="W1086" s="17">
        <f>IF(O1086&gt;0,H1086/O1086,"")</f>
        <v/>
      </c>
    </row>
    <row r="1087">
      <c r="A1087" s="13" t="inlineStr">
        <is>
          <t>T39_F</t>
        </is>
      </c>
      <c r="B1087" s="13" t="inlineStr">
        <is>
          <t>T39</t>
        </is>
      </c>
      <c r="C1087" s="13" t="inlineStr">
        <is>
          <t>F</t>
        </is>
      </c>
      <c r="D1087" s="13" t="n">
        <v>1</v>
      </c>
      <c r="E1087" s="13" t="inlineStr">
        <is>
          <t>S1</t>
        </is>
      </c>
      <c r="F1087" s="13" t="n">
        <v>2020</v>
      </c>
      <c r="G1087" s="14" t="n">
        <v>77635.9056816849</v>
      </c>
      <c r="H1087" s="14" t="n">
        <v>77635.9056816849</v>
      </c>
      <c r="I1087" s="14" t="n">
        <v>0</v>
      </c>
      <c r="J1087" s="14" t="n">
        <v>0</v>
      </c>
      <c r="K1087" s="14" t="n">
        <v>0</v>
      </c>
      <c r="L1087" s="14" t="n">
        <v>0</v>
      </c>
      <c r="M1087" s="14" t="n">
        <v>0</v>
      </c>
      <c r="N1087" s="14" t="n">
        <v>77635.9056816849</v>
      </c>
      <c r="O1087" s="14" t="n">
        <v>77635.9056816849</v>
      </c>
      <c r="P1087" s="14" t="n">
        <v>0</v>
      </c>
      <c r="Q1087" s="14" t="n">
        <v>1298870.249531106</v>
      </c>
      <c r="R1087" s="15">
        <f>IF(D1087=1,"Section 1","Control")</f>
        <v/>
      </c>
      <c r="S1087" s="16">
        <f>N1087/10000</f>
        <v/>
      </c>
      <c r="T1087" s="16">
        <f>P1087/10000</f>
        <v/>
      </c>
      <c r="U1087" s="15">
        <f>IF(N1087&gt;=Summary!$D$3,1,0)</f>
        <v/>
      </c>
      <c r="V1087" s="17">
        <f>IF(N1087&gt;0,P1087/N1087,"")</f>
        <v/>
      </c>
      <c r="W1087" s="17">
        <f>IF(O1087&gt;0,H1087/O1087,"")</f>
        <v/>
      </c>
    </row>
    <row r="1088">
      <c r="A1088" s="13" t="inlineStr">
        <is>
          <t>T39_F</t>
        </is>
      </c>
      <c r="B1088" s="13" t="inlineStr">
        <is>
          <t>T39</t>
        </is>
      </c>
      <c r="C1088" s="13" t="inlineStr">
        <is>
          <t>F</t>
        </is>
      </c>
      <c r="D1088" s="13" t="n">
        <v>1</v>
      </c>
      <c r="E1088" s="13" t="inlineStr">
        <is>
          <t>S1</t>
        </is>
      </c>
      <c r="F1088" s="13" t="n">
        <v>2021</v>
      </c>
      <c r="G1088" s="14" t="n">
        <v>77635.9056816849</v>
      </c>
      <c r="H1088" s="14" t="n">
        <v>60786.4302653593</v>
      </c>
      <c r="I1088" s="14" t="n">
        <v>0</v>
      </c>
      <c r="J1088" s="14" t="n">
        <v>0</v>
      </c>
      <c r="K1088" s="14" t="n">
        <v>16849.47541632559</v>
      </c>
      <c r="L1088" s="14" t="n">
        <v>0</v>
      </c>
      <c r="M1088" s="14" t="n">
        <v>0</v>
      </c>
      <c r="N1088" s="14" t="n">
        <v>77635.9056816849</v>
      </c>
      <c r="O1088" s="14" t="n">
        <v>77635.9056816849</v>
      </c>
      <c r="P1088" s="14" t="n">
        <v>16849.47541632559</v>
      </c>
      <c r="Q1088" s="14" t="n">
        <v>1298870.249531106</v>
      </c>
      <c r="R1088" s="15">
        <f>IF(D1088=1,"Section 1","Control")</f>
        <v/>
      </c>
      <c r="S1088" s="16">
        <f>N1088/10000</f>
        <v/>
      </c>
      <c r="T1088" s="16">
        <f>P1088/10000</f>
        <v/>
      </c>
      <c r="U1088" s="15">
        <f>IF(N1088&gt;=Summary!$D$3,1,0)</f>
        <v/>
      </c>
      <c r="V1088" s="17">
        <f>IF(N1088&gt;0,P1088/N1088,"")</f>
        <v/>
      </c>
      <c r="W1088" s="17">
        <f>IF(O1088&gt;0,H1088/O1088,"")</f>
        <v/>
      </c>
    </row>
    <row r="1089">
      <c r="A1089" s="13" t="inlineStr">
        <is>
          <t>T39_F</t>
        </is>
      </c>
      <c r="B1089" s="13" t="inlineStr">
        <is>
          <t>T39</t>
        </is>
      </c>
      <c r="C1089" s="13" t="inlineStr">
        <is>
          <t>F</t>
        </is>
      </c>
      <c r="D1089" s="13" t="n">
        <v>1</v>
      </c>
      <c r="E1089" s="13" t="inlineStr">
        <is>
          <t>S1</t>
        </is>
      </c>
      <c r="F1089" s="13" t="n">
        <v>2022</v>
      </c>
      <c r="G1089" s="14" t="n">
        <v>77635.9056816849</v>
      </c>
      <c r="H1089" s="14" t="n">
        <v>60786.4302653593</v>
      </c>
      <c r="I1089" s="14" t="n">
        <v>0</v>
      </c>
      <c r="J1089" s="14" t="n">
        <v>0</v>
      </c>
      <c r="K1089" s="14" t="n">
        <v>16849.47541632559</v>
      </c>
      <c r="L1089" s="14" t="n">
        <v>0</v>
      </c>
      <c r="M1089" s="14" t="n">
        <v>0</v>
      </c>
      <c r="N1089" s="14" t="n">
        <v>77635.9056816849</v>
      </c>
      <c r="O1089" s="14" t="n">
        <v>77635.9056816849</v>
      </c>
      <c r="P1089" s="14" t="n">
        <v>16849.47541632559</v>
      </c>
      <c r="Q1089" s="14" t="n">
        <v>1298870.249531106</v>
      </c>
      <c r="R1089" s="15">
        <f>IF(D1089=1,"Section 1","Control")</f>
        <v/>
      </c>
      <c r="S1089" s="16">
        <f>N1089/10000</f>
        <v/>
      </c>
      <c r="T1089" s="16">
        <f>P1089/10000</f>
        <v/>
      </c>
      <c r="U1089" s="15">
        <f>IF(N1089&gt;=Summary!$D$3,1,0)</f>
        <v/>
      </c>
      <c r="V1089" s="17">
        <f>IF(N1089&gt;0,P1089/N1089,"")</f>
        <v/>
      </c>
      <c r="W1089" s="17">
        <f>IF(O1089&gt;0,H1089/O1089,"")</f>
        <v/>
      </c>
    </row>
    <row r="1090">
      <c r="A1090" s="13" t="inlineStr">
        <is>
          <t>T39_F</t>
        </is>
      </c>
      <c r="B1090" s="13" t="inlineStr">
        <is>
          <t>T39</t>
        </is>
      </c>
      <c r="C1090" s="13" t="inlineStr">
        <is>
          <t>F</t>
        </is>
      </c>
      <c r="D1090" s="13" t="n">
        <v>1</v>
      </c>
      <c r="E1090" s="13" t="inlineStr">
        <is>
          <t>S1</t>
        </is>
      </c>
      <c r="F1090" s="13" t="n">
        <v>2023</v>
      </c>
      <c r="G1090" s="14" t="n">
        <v>77635.9056816849</v>
      </c>
      <c r="H1090" s="14" t="n">
        <v>60786.4302653593</v>
      </c>
      <c r="I1090" s="14" t="n">
        <v>0</v>
      </c>
      <c r="J1090" s="14" t="n">
        <v>0</v>
      </c>
      <c r="K1090" s="14" t="n">
        <v>16849.47541632559</v>
      </c>
      <c r="L1090" s="14" t="n">
        <v>0</v>
      </c>
      <c r="M1090" s="14" t="n">
        <v>0</v>
      </c>
      <c r="N1090" s="14" t="n">
        <v>77635.9056816849</v>
      </c>
      <c r="O1090" s="14" t="n">
        <v>77635.9056816849</v>
      </c>
      <c r="P1090" s="14" t="n">
        <v>16849.47541632559</v>
      </c>
      <c r="Q1090" s="14" t="n">
        <v>1298870.249531106</v>
      </c>
      <c r="R1090" s="15">
        <f>IF(D1090=1,"Section 1","Control")</f>
        <v/>
      </c>
      <c r="S1090" s="16">
        <f>N1090/10000</f>
        <v/>
      </c>
      <c r="T1090" s="16">
        <f>P1090/10000</f>
        <v/>
      </c>
      <c r="U1090" s="15">
        <f>IF(N1090&gt;=Summary!$D$3,1,0)</f>
        <v/>
      </c>
      <c r="V1090" s="17">
        <f>IF(N1090&gt;0,P1090/N1090,"")</f>
        <v/>
      </c>
      <c r="W1090" s="17">
        <f>IF(O1090&gt;0,H1090/O1090,"")</f>
        <v/>
      </c>
    </row>
    <row r="1091">
      <c r="A1091" s="13" t="inlineStr">
        <is>
          <t>T39_F</t>
        </is>
      </c>
      <c r="B1091" s="13" t="inlineStr">
        <is>
          <t>T39</t>
        </is>
      </c>
      <c r="C1091" s="13" t="inlineStr">
        <is>
          <t>F</t>
        </is>
      </c>
      <c r="D1091" s="13" t="n">
        <v>1</v>
      </c>
      <c r="E1091" s="13" t="inlineStr">
        <is>
          <t>S1</t>
        </is>
      </c>
      <c r="F1091" s="13" t="n">
        <v>2024</v>
      </c>
      <c r="G1091" s="14" t="n">
        <v>77635.9056816849</v>
      </c>
      <c r="H1091" s="14" t="n">
        <v>60786.4302653593</v>
      </c>
      <c r="I1091" s="14" t="n">
        <v>0</v>
      </c>
      <c r="J1091" s="14" t="n">
        <v>0</v>
      </c>
      <c r="K1091" s="14" t="n">
        <v>16849.47541632559</v>
      </c>
      <c r="L1091" s="14" t="n">
        <v>0</v>
      </c>
      <c r="M1091" s="14" t="n">
        <v>0</v>
      </c>
      <c r="N1091" s="14" t="n">
        <v>77635.9056816849</v>
      </c>
      <c r="O1091" s="14" t="n">
        <v>77635.9056816849</v>
      </c>
      <c r="P1091" s="14" t="n">
        <v>16849.47541632559</v>
      </c>
      <c r="Q1091" s="14" t="n">
        <v>1298870.249531106</v>
      </c>
      <c r="R1091" s="15">
        <f>IF(D1091=1,"Section 1","Control")</f>
        <v/>
      </c>
      <c r="S1091" s="16">
        <f>N1091/10000</f>
        <v/>
      </c>
      <c r="T1091" s="16">
        <f>P1091/10000</f>
        <v/>
      </c>
      <c r="U1091" s="15">
        <f>IF(N1091&gt;=Summary!$D$3,1,0)</f>
        <v/>
      </c>
      <c r="V1091" s="17">
        <f>IF(N1091&gt;0,P1091/N1091,"")</f>
        <v/>
      </c>
      <c r="W1091" s="17">
        <f>IF(O1091&gt;0,H1091/O1091,"")</f>
        <v/>
      </c>
    </row>
    <row r="1092">
      <c r="A1092" s="13" t="inlineStr">
        <is>
          <t>T39_F</t>
        </is>
      </c>
      <c r="B1092" s="13" t="inlineStr">
        <is>
          <t>T39</t>
        </is>
      </c>
      <c r="C1092" s="13" t="inlineStr">
        <is>
          <t>F</t>
        </is>
      </c>
      <c r="D1092" s="13" t="n">
        <v>1</v>
      </c>
      <c r="E1092" s="13" t="inlineStr">
        <is>
          <t>S1</t>
        </is>
      </c>
      <c r="F1092" s="13" t="n">
        <v>2025</v>
      </c>
      <c r="G1092" s="14" t="n">
        <v>77635.9056816849</v>
      </c>
      <c r="H1092" s="14" t="n">
        <v>49483.50203256044</v>
      </c>
      <c r="I1092" s="14" t="n">
        <v>2756.046588314281</v>
      </c>
      <c r="J1092" s="14" t="n">
        <v>0</v>
      </c>
      <c r="K1092" s="14" t="n">
        <v>25396.35706081016</v>
      </c>
      <c r="L1092" s="14" t="n">
        <v>0</v>
      </c>
      <c r="M1092" s="14" t="n">
        <v>0</v>
      </c>
      <c r="N1092" s="14" t="n">
        <v>77635.9056816849</v>
      </c>
      <c r="O1092" s="14" t="n">
        <v>77635.9056816849</v>
      </c>
      <c r="P1092" s="14" t="n">
        <v>28152.40364912444</v>
      </c>
      <c r="Q1092" s="14" t="n">
        <v>1298870.249531106</v>
      </c>
      <c r="R1092" s="15">
        <f>IF(D1092=1,"Section 1","Control")</f>
        <v/>
      </c>
      <c r="S1092" s="16">
        <f>N1092/10000</f>
        <v/>
      </c>
      <c r="T1092" s="16">
        <f>P1092/10000</f>
        <v/>
      </c>
      <c r="U1092" s="15">
        <f>IF(N1092&gt;=Summary!$D$3,1,0)</f>
        <v/>
      </c>
      <c r="V1092" s="17">
        <f>IF(N1092&gt;0,P1092/N1092,"")</f>
        <v/>
      </c>
      <c r="W1092" s="17">
        <f>IF(O1092&gt;0,H1092/O1092,"")</f>
        <v/>
      </c>
    </row>
    <row r="1093">
      <c r="A1093" s="13" t="inlineStr">
        <is>
          <t>T39_F</t>
        </is>
      </c>
      <c r="B1093" s="13" t="inlineStr">
        <is>
          <t>T39</t>
        </is>
      </c>
      <c r="C1093" s="13" t="inlineStr">
        <is>
          <t>F</t>
        </is>
      </c>
      <c r="D1093" s="13" t="n">
        <v>1</v>
      </c>
      <c r="E1093" s="13" t="inlineStr">
        <is>
          <t>S1</t>
        </is>
      </c>
      <c r="F1093" s="13" t="n">
        <v>2026</v>
      </c>
      <c r="G1093" s="14" t="n">
        <v>77635.9056816849</v>
      </c>
      <c r="H1093" s="14" t="n">
        <v>817.6411028394514</v>
      </c>
      <c r="I1093" s="14" t="n">
        <v>20101.48813605215</v>
      </c>
      <c r="J1093" s="14" t="n">
        <v>0</v>
      </c>
      <c r="K1093" s="14" t="n">
        <v>56716.77644279331</v>
      </c>
      <c r="L1093" s="14" t="n">
        <v>0</v>
      </c>
      <c r="M1093" s="14" t="n">
        <v>0</v>
      </c>
      <c r="N1093" s="14" t="n">
        <v>77635.9056816849</v>
      </c>
      <c r="O1093" s="14" t="n">
        <v>77635.9056816849</v>
      </c>
      <c r="P1093" s="14" t="n">
        <v>76818.26457884547</v>
      </c>
      <c r="Q1093" s="14" t="n">
        <v>1298870.249531106</v>
      </c>
      <c r="R1093" s="15">
        <f>IF(D1093=1,"Section 1","Control")</f>
        <v/>
      </c>
      <c r="S1093" s="16">
        <f>N1093/10000</f>
        <v/>
      </c>
      <c r="T1093" s="16">
        <f>P1093/10000</f>
        <v/>
      </c>
      <c r="U1093" s="15">
        <f>IF(N1093&gt;=Summary!$D$3,1,0)</f>
        <v/>
      </c>
      <c r="V1093" s="17">
        <f>IF(N1093&gt;0,P1093/N1093,"")</f>
        <v/>
      </c>
      <c r="W1093" s="17">
        <f>IF(O1093&gt;0,H1093/O1093,"")</f>
        <v/>
      </c>
    </row>
    <row r="1094">
      <c r="A1094" s="13" t="inlineStr">
        <is>
          <t>T40_B1</t>
        </is>
      </c>
      <c r="B1094" s="13" t="inlineStr">
        <is>
          <t>T40</t>
        </is>
      </c>
      <c r="C1094" s="13" t="inlineStr">
        <is>
          <t>B1</t>
        </is>
      </c>
      <c r="D1094" s="13" t="n">
        <v>1</v>
      </c>
      <c r="E1094" s="13" t="inlineStr">
        <is>
          <t>S1</t>
        </is>
      </c>
      <c r="F1094" s="13" t="n">
        <v>2020</v>
      </c>
      <c r="G1094" s="14" t="n">
        <v>1001133.736189001</v>
      </c>
      <c r="H1094" s="14" t="n">
        <v>646636.3196111341</v>
      </c>
      <c r="I1094" s="14" t="n">
        <v>166935.8718859205</v>
      </c>
      <c r="J1094" s="14" t="n">
        <v>27108.77833990957</v>
      </c>
      <c r="K1094" s="14" t="n">
        <v>43003.91432596843</v>
      </c>
      <c r="L1094" s="14" t="n">
        <v>117448.852026068</v>
      </c>
      <c r="M1094" s="14" t="n">
        <v>0</v>
      </c>
      <c r="N1094" s="14" t="n">
        <v>646636.3196111341</v>
      </c>
      <c r="O1094" s="14" t="n">
        <v>883684.8841629328</v>
      </c>
      <c r="P1094" s="14" t="n">
        <v>0</v>
      </c>
      <c r="Q1094" s="14" t="n">
        <v>11423746.872777</v>
      </c>
      <c r="R1094" s="15">
        <f>IF(D1094=1,"Section 1","Control")</f>
        <v/>
      </c>
      <c r="S1094" s="16">
        <f>N1094/10000</f>
        <v/>
      </c>
      <c r="T1094" s="16">
        <f>P1094/10000</f>
        <v/>
      </c>
      <c r="U1094" s="15">
        <f>IF(N1094&gt;=Summary!$D$3,1,0)</f>
        <v/>
      </c>
      <c r="V1094" s="17">
        <f>IF(N1094&gt;0,P1094/N1094,"")</f>
        <v/>
      </c>
      <c r="W1094" s="17">
        <f>IF(O1094&gt;0,H1094/O1094,"")</f>
        <v/>
      </c>
    </row>
    <row r="1095">
      <c r="A1095" s="13" t="inlineStr">
        <is>
          <t>T40_B1</t>
        </is>
      </c>
      <c r="B1095" s="13" t="inlineStr">
        <is>
          <t>T40</t>
        </is>
      </c>
      <c r="C1095" s="13" t="inlineStr">
        <is>
          <t>B1</t>
        </is>
      </c>
      <c r="D1095" s="13" t="n">
        <v>1</v>
      </c>
      <c r="E1095" s="13" t="inlineStr">
        <is>
          <t>S1</t>
        </is>
      </c>
      <c r="F1095" s="13" t="n">
        <v>2021</v>
      </c>
      <c r="G1095" s="14" t="n">
        <v>1001133.736189001</v>
      </c>
      <c r="H1095" s="14" t="n">
        <v>633743.8056370454</v>
      </c>
      <c r="I1095" s="14" t="n">
        <v>150091.8179507087</v>
      </c>
      <c r="J1095" s="14" t="n">
        <v>27306.22047095205</v>
      </c>
      <c r="K1095" s="14" t="n">
        <v>75886.78205270205</v>
      </c>
      <c r="L1095" s="14" t="n">
        <v>114105.1100775924</v>
      </c>
      <c r="M1095" s="14" t="n">
        <v>0</v>
      </c>
      <c r="N1095" s="14" t="n">
        <v>646636.3196111341</v>
      </c>
      <c r="O1095" s="14" t="n">
        <v>883684.8841629328</v>
      </c>
      <c r="P1095" s="14" t="n">
        <v>37968.34406510896</v>
      </c>
      <c r="Q1095" s="14" t="n">
        <v>11423746.872777</v>
      </c>
      <c r="R1095" s="15">
        <f>IF(D1095=1,"Section 1","Control")</f>
        <v/>
      </c>
      <c r="S1095" s="16">
        <f>N1095/10000</f>
        <v/>
      </c>
      <c r="T1095" s="16">
        <f>P1095/10000</f>
        <v/>
      </c>
      <c r="U1095" s="15">
        <f>IF(N1095&gt;=Summary!$D$3,1,0)</f>
        <v/>
      </c>
      <c r="V1095" s="17">
        <f>IF(N1095&gt;0,P1095/N1095,"")</f>
        <v/>
      </c>
      <c r="W1095" s="17">
        <f>IF(O1095&gt;0,H1095/O1095,"")</f>
        <v/>
      </c>
    </row>
    <row r="1096">
      <c r="A1096" s="13" t="inlineStr">
        <is>
          <t>T40_B1</t>
        </is>
      </c>
      <c r="B1096" s="13" t="inlineStr">
        <is>
          <t>T40</t>
        </is>
      </c>
      <c r="C1096" s="13" t="inlineStr">
        <is>
          <t>B1</t>
        </is>
      </c>
      <c r="D1096" s="13" t="n">
        <v>1</v>
      </c>
      <c r="E1096" s="13" t="inlineStr">
        <is>
          <t>S1</t>
        </is>
      </c>
      <c r="F1096" s="13" t="n">
        <v>2022</v>
      </c>
      <c r="G1096" s="14" t="n">
        <v>1001133.736189001</v>
      </c>
      <c r="H1096" s="14" t="n">
        <v>578198.0933335846</v>
      </c>
      <c r="I1096" s="14" t="n">
        <v>206821.1148253198</v>
      </c>
      <c r="J1096" s="14" t="n">
        <v>27602.38325934317</v>
      </c>
      <c r="K1096" s="14" t="n">
        <v>101016.8385533651</v>
      </c>
      <c r="L1096" s="14" t="n">
        <v>87495.30621738808</v>
      </c>
      <c r="M1096" s="14" t="n">
        <v>0</v>
      </c>
      <c r="N1096" s="14" t="n">
        <v>646636.3196111342</v>
      </c>
      <c r="O1096" s="14" t="n">
        <v>883684.8841629328</v>
      </c>
      <c r="P1096" s="14" t="n">
        <v>76729.59881065218</v>
      </c>
      <c r="Q1096" s="14" t="n">
        <v>11423746.872777</v>
      </c>
      <c r="R1096" s="15">
        <f>IF(D1096=1,"Section 1","Control")</f>
        <v/>
      </c>
      <c r="S1096" s="16">
        <f>N1096/10000</f>
        <v/>
      </c>
      <c r="T1096" s="16">
        <f>P1096/10000</f>
        <v/>
      </c>
      <c r="U1096" s="15">
        <f>IF(N1096&gt;=Summary!$D$3,1,0)</f>
        <v/>
      </c>
      <c r="V1096" s="17">
        <f>IF(N1096&gt;0,P1096/N1096,"")</f>
        <v/>
      </c>
      <c r="W1096" s="17">
        <f>IF(O1096&gt;0,H1096/O1096,"")</f>
        <v/>
      </c>
    </row>
    <row r="1097">
      <c r="A1097" s="13" t="inlineStr">
        <is>
          <t>T40_B1</t>
        </is>
      </c>
      <c r="B1097" s="13" t="inlineStr">
        <is>
          <t>T40</t>
        </is>
      </c>
      <c r="C1097" s="13" t="inlineStr">
        <is>
          <t>B1</t>
        </is>
      </c>
      <c r="D1097" s="13" t="n">
        <v>1</v>
      </c>
      <c r="E1097" s="13" t="inlineStr">
        <is>
          <t>S1</t>
        </is>
      </c>
      <c r="F1097" s="13" t="n">
        <v>2023</v>
      </c>
      <c r="G1097" s="14" t="n">
        <v>1001133.736189001</v>
      </c>
      <c r="H1097" s="14" t="n">
        <v>598546.9320320876</v>
      </c>
      <c r="I1097" s="14" t="n">
        <v>163496.5417541803</v>
      </c>
      <c r="J1097" s="14" t="n">
        <v>27503.66225867178</v>
      </c>
      <c r="K1097" s="14" t="n">
        <v>91343.7474403232</v>
      </c>
      <c r="L1097" s="14" t="n">
        <v>120242.8527037378</v>
      </c>
      <c r="M1097" s="14" t="n">
        <v>0</v>
      </c>
      <c r="N1097" s="14" t="n">
        <v>646636.3196111341</v>
      </c>
      <c r="O1097" s="14" t="n">
        <v>883684.8841629328</v>
      </c>
      <c r="P1097" s="14" t="n">
        <v>70312.76542899935</v>
      </c>
      <c r="Q1097" s="14" t="n">
        <v>11423746.872777</v>
      </c>
      <c r="R1097" s="15">
        <f>IF(D1097=1,"Section 1","Control")</f>
        <v/>
      </c>
      <c r="S1097" s="16">
        <f>N1097/10000</f>
        <v/>
      </c>
      <c r="T1097" s="16">
        <f>P1097/10000</f>
        <v/>
      </c>
      <c r="U1097" s="15">
        <f>IF(N1097&gt;=Summary!$D$3,1,0)</f>
        <v/>
      </c>
      <c r="V1097" s="17">
        <f>IF(N1097&gt;0,P1097/N1097,"")</f>
        <v/>
      </c>
      <c r="W1097" s="17">
        <f>IF(O1097&gt;0,H1097/O1097,"")</f>
        <v/>
      </c>
    </row>
    <row r="1098">
      <c r="A1098" s="13" t="inlineStr">
        <is>
          <t>T40_B1</t>
        </is>
      </c>
      <c r="B1098" s="13" t="inlineStr">
        <is>
          <t>T40</t>
        </is>
      </c>
      <c r="C1098" s="13" t="inlineStr">
        <is>
          <t>B1</t>
        </is>
      </c>
      <c r="D1098" s="13" t="n">
        <v>1</v>
      </c>
      <c r="E1098" s="13" t="inlineStr">
        <is>
          <t>S1</t>
        </is>
      </c>
      <c r="F1098" s="13" t="n">
        <v>2024</v>
      </c>
      <c r="G1098" s="14" t="n">
        <v>1001133.736189001</v>
      </c>
      <c r="H1098" s="14" t="n">
        <v>624031.59514579</v>
      </c>
      <c r="I1098" s="14" t="n">
        <v>138041.7307729384</v>
      </c>
      <c r="J1098" s="14" t="n">
        <v>27503.66225867178</v>
      </c>
      <c r="K1098" s="14" t="n">
        <v>102925.8238430547</v>
      </c>
      <c r="L1098" s="14" t="n">
        <v>108630.9241685456</v>
      </c>
      <c r="M1098" s="14" t="n">
        <v>0</v>
      </c>
      <c r="N1098" s="14" t="n">
        <v>646636.3196111341</v>
      </c>
      <c r="O1098" s="14" t="n">
        <v>883684.8841629328</v>
      </c>
      <c r="P1098" s="14" t="n">
        <v>60341.97233054966</v>
      </c>
      <c r="Q1098" s="14" t="n">
        <v>11423746.872777</v>
      </c>
      <c r="R1098" s="15">
        <f>IF(D1098=1,"Section 1","Control")</f>
        <v/>
      </c>
      <c r="S1098" s="16">
        <f>N1098/10000</f>
        <v/>
      </c>
      <c r="T1098" s="16">
        <f>P1098/10000</f>
        <v/>
      </c>
      <c r="U1098" s="15">
        <f>IF(N1098&gt;=Summary!$D$3,1,0)</f>
        <v/>
      </c>
      <c r="V1098" s="17">
        <f>IF(N1098&gt;0,P1098/N1098,"")</f>
        <v/>
      </c>
      <c r="W1098" s="17">
        <f>IF(O1098&gt;0,H1098/O1098,"")</f>
        <v/>
      </c>
    </row>
    <row r="1099">
      <c r="A1099" s="13" t="inlineStr">
        <is>
          <t>T40_B1</t>
        </is>
      </c>
      <c r="B1099" s="13" t="inlineStr">
        <is>
          <t>T40</t>
        </is>
      </c>
      <c r="C1099" s="13" t="inlineStr">
        <is>
          <t>B1</t>
        </is>
      </c>
      <c r="D1099" s="13" t="n">
        <v>1</v>
      </c>
      <c r="E1099" s="13" t="inlineStr">
        <is>
          <t>S1</t>
        </is>
      </c>
      <c r="F1099" s="13" t="n">
        <v>2025</v>
      </c>
      <c r="G1099" s="14" t="n">
        <v>1001133.736189001</v>
      </c>
      <c r="H1099" s="14" t="n">
        <v>597942.259396811</v>
      </c>
      <c r="I1099" s="14" t="n">
        <v>159888.0043845681</v>
      </c>
      <c r="J1099" s="14" t="n">
        <v>26911.33630804922</v>
      </c>
      <c r="K1099" s="14" t="n">
        <v>102089.5841503368</v>
      </c>
      <c r="L1099" s="14" t="n">
        <v>114302.5519492355</v>
      </c>
      <c r="M1099" s="14" t="n">
        <v>0</v>
      </c>
      <c r="N1099" s="14" t="n">
        <v>646636.3196111341</v>
      </c>
      <c r="O1099" s="14" t="n">
        <v>883684.8841629328</v>
      </c>
      <c r="P1099" s="14" t="n">
        <v>76928.95433442359</v>
      </c>
      <c r="Q1099" s="14" t="n">
        <v>11423746.872777</v>
      </c>
      <c r="R1099" s="15">
        <f>IF(D1099=1,"Section 1","Control")</f>
        <v/>
      </c>
      <c r="S1099" s="16">
        <f>N1099/10000</f>
        <v/>
      </c>
      <c r="T1099" s="16">
        <f>P1099/10000</f>
        <v/>
      </c>
      <c r="U1099" s="15">
        <f>IF(N1099&gt;=Summary!$D$3,1,0)</f>
        <v/>
      </c>
      <c r="V1099" s="17">
        <f>IF(N1099&gt;0,P1099/N1099,"")</f>
        <v/>
      </c>
      <c r="W1099" s="17">
        <f>IF(O1099&gt;0,H1099/O1099,"")</f>
        <v/>
      </c>
    </row>
    <row r="1100">
      <c r="A1100" s="13" t="inlineStr">
        <is>
          <t>T40_B1</t>
        </is>
      </c>
      <c r="B1100" s="13" t="inlineStr">
        <is>
          <t>T40</t>
        </is>
      </c>
      <c r="C1100" s="13" t="inlineStr">
        <is>
          <t>B1</t>
        </is>
      </c>
      <c r="D1100" s="13" t="n">
        <v>1</v>
      </c>
      <c r="E1100" s="13" t="inlineStr">
        <is>
          <t>S1</t>
        </is>
      </c>
      <c r="F1100" s="13" t="n">
        <v>2026</v>
      </c>
      <c r="G1100" s="14" t="n">
        <v>1001133.736189001</v>
      </c>
      <c r="H1100" s="14" t="n">
        <v>633171.2562190335</v>
      </c>
      <c r="I1100" s="14" t="n">
        <v>105988.0346609976</v>
      </c>
      <c r="J1100" s="14" t="n">
        <v>27010.05733160879</v>
      </c>
      <c r="K1100" s="14" t="n">
        <v>121015.2992300295</v>
      </c>
      <c r="L1100" s="14" t="n">
        <v>113949.0887473312</v>
      </c>
      <c r="M1100" s="14" t="n">
        <v>0</v>
      </c>
      <c r="N1100" s="14" t="n">
        <v>646636.3196111342</v>
      </c>
      <c r="O1100" s="14" t="n">
        <v>883684.8841629328</v>
      </c>
      <c r="P1100" s="14" t="n">
        <v>64662.02425001557</v>
      </c>
      <c r="Q1100" s="14" t="n">
        <v>11423746.872777</v>
      </c>
      <c r="R1100" s="15">
        <f>IF(D1100=1,"Section 1","Control")</f>
        <v/>
      </c>
      <c r="S1100" s="16">
        <f>N1100/10000</f>
        <v/>
      </c>
      <c r="T1100" s="16">
        <f>P1100/10000</f>
        <v/>
      </c>
      <c r="U1100" s="15">
        <f>IF(N1100&gt;=Summary!$D$3,1,0)</f>
        <v/>
      </c>
      <c r="V1100" s="17">
        <f>IF(N1100&gt;0,P1100/N1100,"")</f>
        <v/>
      </c>
      <c r="W1100" s="17">
        <f>IF(O1100&gt;0,H1100/O1100,"")</f>
        <v/>
      </c>
    </row>
    <row r="1101">
      <c r="A1101" s="13" t="inlineStr">
        <is>
          <t>T40_B2</t>
        </is>
      </c>
      <c r="B1101" s="13" t="inlineStr">
        <is>
          <t>T40</t>
        </is>
      </c>
      <c r="C1101" s="13" t="inlineStr">
        <is>
          <t>B2</t>
        </is>
      </c>
      <c r="D1101" s="13" t="n">
        <v>1</v>
      </c>
      <c r="E1101" s="13" t="inlineStr">
        <is>
          <t>S1</t>
        </is>
      </c>
      <c r="F1101" s="13" t="n">
        <v>2020</v>
      </c>
      <c r="G1101" s="14" t="n">
        <v>1000613.41789464</v>
      </c>
      <c r="H1101" s="14" t="n">
        <v>498277.302963556</v>
      </c>
      <c r="I1101" s="14" t="n">
        <v>1963.537423317105</v>
      </c>
      <c r="J1101" s="14" t="n">
        <v>0</v>
      </c>
      <c r="K1101" s="14" t="n">
        <v>0</v>
      </c>
      <c r="L1101" s="14" t="n">
        <v>500372.577507767</v>
      </c>
      <c r="M1101" s="14" t="n">
        <v>0</v>
      </c>
      <c r="N1101" s="14" t="n">
        <v>498277.302963556</v>
      </c>
      <c r="O1101" s="14" t="n">
        <v>500240.8403868731</v>
      </c>
      <c r="P1101" s="14" t="n">
        <v>0</v>
      </c>
      <c r="Q1101" s="14" t="n">
        <v>5713532.867977129</v>
      </c>
      <c r="R1101" s="15">
        <f>IF(D1101=1,"Section 1","Control")</f>
        <v/>
      </c>
      <c r="S1101" s="16">
        <f>N1101/10000</f>
        <v/>
      </c>
      <c r="T1101" s="16">
        <f>P1101/10000</f>
        <v/>
      </c>
      <c r="U1101" s="15">
        <f>IF(N1101&gt;=Summary!$D$3,1,0)</f>
        <v/>
      </c>
      <c r="V1101" s="17">
        <f>IF(N1101&gt;0,P1101/N1101,"")</f>
        <v/>
      </c>
      <c r="W1101" s="17">
        <f>IF(O1101&gt;0,H1101/O1101,"")</f>
        <v/>
      </c>
    </row>
    <row r="1102">
      <c r="A1102" s="13" t="inlineStr">
        <is>
          <t>T40_B2</t>
        </is>
      </c>
      <c r="B1102" s="13" t="inlineStr">
        <is>
          <t>T40</t>
        </is>
      </c>
      <c r="C1102" s="13" t="inlineStr">
        <is>
          <t>B2</t>
        </is>
      </c>
      <c r="D1102" s="13" t="n">
        <v>1</v>
      </c>
      <c r="E1102" s="13" t="inlineStr">
        <is>
          <t>S1</t>
        </is>
      </c>
      <c r="F1102" s="13" t="n">
        <v>2021</v>
      </c>
      <c r="G1102" s="14" t="n">
        <v>1000613.41789464</v>
      </c>
      <c r="H1102" s="14" t="n">
        <v>495925.4659688314</v>
      </c>
      <c r="I1102" s="14" t="n">
        <v>1085.90544128418</v>
      </c>
      <c r="J1102" s="14" t="n">
        <v>0</v>
      </c>
      <c r="K1102" s="14" t="n">
        <v>3229.468976757573</v>
      </c>
      <c r="L1102" s="14" t="n">
        <v>500372.577507767</v>
      </c>
      <c r="M1102" s="14" t="n">
        <v>0</v>
      </c>
      <c r="N1102" s="14" t="n">
        <v>498277.302963556</v>
      </c>
      <c r="O1102" s="14" t="n">
        <v>500240.8403868731</v>
      </c>
      <c r="P1102" s="14" t="n">
        <v>4117.936864635991</v>
      </c>
      <c r="Q1102" s="14" t="n">
        <v>5713532.867977129</v>
      </c>
      <c r="R1102" s="15">
        <f>IF(D1102=1,"Section 1","Control")</f>
        <v/>
      </c>
      <c r="S1102" s="16">
        <f>N1102/10000</f>
        <v/>
      </c>
      <c r="T1102" s="16">
        <f>P1102/10000</f>
        <v/>
      </c>
      <c r="U1102" s="15">
        <f>IF(N1102&gt;=Summary!$D$3,1,0)</f>
        <v/>
      </c>
      <c r="V1102" s="17">
        <f>IF(N1102&gt;0,P1102/N1102,"")</f>
        <v/>
      </c>
      <c r="W1102" s="17">
        <f>IF(O1102&gt;0,H1102/O1102,"")</f>
        <v/>
      </c>
    </row>
    <row r="1103">
      <c r="A1103" s="13" t="inlineStr">
        <is>
          <t>T40_B2</t>
        </is>
      </c>
      <c r="B1103" s="13" t="inlineStr">
        <is>
          <t>T40</t>
        </is>
      </c>
      <c r="C1103" s="13" t="inlineStr">
        <is>
          <t>B2</t>
        </is>
      </c>
      <c r="D1103" s="13" t="n">
        <v>1</v>
      </c>
      <c r="E1103" s="13" t="inlineStr">
        <is>
          <t>S1</t>
        </is>
      </c>
      <c r="F1103" s="13" t="n">
        <v>2022</v>
      </c>
      <c r="G1103" s="14" t="n">
        <v>1000613.41789464</v>
      </c>
      <c r="H1103" s="14" t="n">
        <v>479931.4634317136</v>
      </c>
      <c r="I1103" s="14" t="n">
        <v>3988.240575872684</v>
      </c>
      <c r="J1103" s="14" t="n">
        <v>0</v>
      </c>
      <c r="K1103" s="14" t="n">
        <v>16321.13637928682</v>
      </c>
      <c r="L1103" s="14" t="n">
        <v>500372.577507767</v>
      </c>
      <c r="M1103" s="14" t="n">
        <v>0</v>
      </c>
      <c r="N1103" s="14" t="n">
        <v>498277.302963556</v>
      </c>
      <c r="O1103" s="14" t="n">
        <v>500240.8403868731</v>
      </c>
      <c r="P1103" s="14" t="n">
        <v>19263.34379443</v>
      </c>
      <c r="Q1103" s="14" t="n">
        <v>5713532.867977129</v>
      </c>
      <c r="R1103" s="15">
        <f>IF(D1103=1,"Section 1","Control")</f>
        <v/>
      </c>
      <c r="S1103" s="16">
        <f>N1103/10000</f>
        <v/>
      </c>
      <c r="T1103" s="16">
        <f>P1103/10000</f>
        <v/>
      </c>
      <c r="U1103" s="15">
        <f>IF(N1103&gt;=Summary!$D$3,1,0)</f>
        <v/>
      </c>
      <c r="V1103" s="17">
        <f>IF(N1103&gt;0,P1103/N1103,"")</f>
        <v/>
      </c>
      <c r="W1103" s="17">
        <f>IF(O1103&gt;0,H1103/O1103,"")</f>
        <v/>
      </c>
    </row>
    <row r="1104">
      <c r="A1104" s="13" t="inlineStr">
        <is>
          <t>T40_B2</t>
        </is>
      </c>
      <c r="B1104" s="13" t="inlineStr">
        <is>
          <t>T40</t>
        </is>
      </c>
      <c r="C1104" s="13" t="inlineStr">
        <is>
          <t>B2</t>
        </is>
      </c>
      <c r="D1104" s="13" t="n">
        <v>1</v>
      </c>
      <c r="E1104" s="13" t="inlineStr">
        <is>
          <t>S1</t>
        </is>
      </c>
      <c r="F1104" s="13" t="n">
        <v>2023</v>
      </c>
      <c r="G1104" s="14" t="n">
        <v>1000613.41789464</v>
      </c>
      <c r="H1104" s="14" t="n">
        <v>482142.7644400204</v>
      </c>
      <c r="I1104" s="14" t="n">
        <v>4047.472602844238</v>
      </c>
      <c r="J1104" s="14" t="n">
        <v>0</v>
      </c>
      <c r="K1104" s="14" t="n">
        <v>14050.6033440085</v>
      </c>
      <c r="L1104" s="14" t="n">
        <v>500372.577507767</v>
      </c>
      <c r="M1104" s="14" t="n">
        <v>0</v>
      </c>
      <c r="N1104" s="14" t="n">
        <v>498277.302963556</v>
      </c>
      <c r="O1104" s="14" t="n">
        <v>500240.8403868731</v>
      </c>
      <c r="P1104" s="14" t="n">
        <v>17703.20032887178</v>
      </c>
      <c r="Q1104" s="14" t="n">
        <v>5713532.867977129</v>
      </c>
      <c r="R1104" s="15">
        <f>IF(D1104=1,"Section 1","Control")</f>
        <v/>
      </c>
      <c r="S1104" s="16">
        <f>N1104/10000</f>
        <v/>
      </c>
      <c r="T1104" s="16">
        <f>P1104/10000</f>
        <v/>
      </c>
      <c r="U1104" s="15">
        <f>IF(N1104&gt;=Summary!$D$3,1,0)</f>
        <v/>
      </c>
      <c r="V1104" s="17">
        <f>IF(N1104&gt;0,P1104/N1104,"")</f>
        <v/>
      </c>
      <c r="W1104" s="17">
        <f>IF(O1104&gt;0,H1104/O1104,"")</f>
        <v/>
      </c>
    </row>
    <row r="1105">
      <c r="A1105" s="13" t="inlineStr">
        <is>
          <t>T40_B2</t>
        </is>
      </c>
      <c r="B1105" s="13" t="inlineStr">
        <is>
          <t>T40</t>
        </is>
      </c>
      <c r="C1105" s="13" t="inlineStr">
        <is>
          <t>B2</t>
        </is>
      </c>
      <c r="D1105" s="13" t="n">
        <v>1</v>
      </c>
      <c r="E1105" s="13" t="inlineStr">
        <is>
          <t>S1</t>
        </is>
      </c>
      <c r="F1105" s="13" t="n">
        <v>2024</v>
      </c>
      <c r="G1105" s="14" t="n">
        <v>1000613.41789464</v>
      </c>
      <c r="H1105" s="14" t="n">
        <v>482537.6397451962</v>
      </c>
      <c r="I1105" s="14" t="n">
        <v>3146.227054820341</v>
      </c>
      <c r="J1105" s="14" t="n">
        <v>0</v>
      </c>
      <c r="K1105" s="14" t="n">
        <v>14556.97358685662</v>
      </c>
      <c r="L1105" s="14" t="n">
        <v>500372.577507767</v>
      </c>
      <c r="M1105" s="14" t="n">
        <v>0</v>
      </c>
      <c r="N1105" s="14" t="n">
        <v>498277.302963556</v>
      </c>
      <c r="O1105" s="14" t="n">
        <v>500240.8403868731</v>
      </c>
      <c r="P1105" s="14" t="n">
        <v>17308.325023696</v>
      </c>
      <c r="Q1105" s="14" t="n">
        <v>5713532.867977129</v>
      </c>
      <c r="R1105" s="15">
        <f>IF(D1105=1,"Section 1","Control")</f>
        <v/>
      </c>
      <c r="S1105" s="16">
        <f>N1105/10000</f>
        <v/>
      </c>
      <c r="T1105" s="16">
        <f>P1105/10000</f>
        <v/>
      </c>
      <c r="U1105" s="15">
        <f>IF(N1105&gt;=Summary!$D$3,1,0)</f>
        <v/>
      </c>
      <c r="V1105" s="17">
        <f>IF(N1105&gt;0,P1105/N1105,"")</f>
        <v/>
      </c>
      <c r="W1105" s="17">
        <f>IF(O1105&gt;0,H1105/O1105,"")</f>
        <v/>
      </c>
    </row>
    <row r="1106">
      <c r="A1106" s="13" t="inlineStr">
        <is>
          <t>T40_B2</t>
        </is>
      </c>
      <c r="B1106" s="13" t="inlineStr">
        <is>
          <t>T40</t>
        </is>
      </c>
      <c r="C1106" s="13" t="inlineStr">
        <is>
          <t>B2</t>
        </is>
      </c>
      <c r="D1106" s="13" t="n">
        <v>1</v>
      </c>
      <c r="E1106" s="13" t="inlineStr">
        <is>
          <t>S1</t>
        </is>
      </c>
      <c r="F1106" s="13" t="n">
        <v>2025</v>
      </c>
      <c r="G1106" s="14" t="n">
        <v>1000613.41789464</v>
      </c>
      <c r="H1106" s="14" t="n">
        <v>483068.3988686057</v>
      </c>
      <c r="I1106" s="14" t="n">
        <v>2430.805764590993</v>
      </c>
      <c r="J1106" s="14" t="n">
        <v>0</v>
      </c>
      <c r="K1106" s="14" t="n">
        <v>14741.63575367647</v>
      </c>
      <c r="L1106" s="14" t="n">
        <v>500372.577507767</v>
      </c>
      <c r="M1106" s="14" t="n">
        <v>0</v>
      </c>
      <c r="N1106" s="14" t="n">
        <v>498277.302963556</v>
      </c>
      <c r="O1106" s="14" t="n">
        <v>500240.8403868731</v>
      </c>
      <c r="P1106" s="14" t="n">
        <v>16777.56590028651</v>
      </c>
      <c r="Q1106" s="14" t="n">
        <v>5713532.867977129</v>
      </c>
      <c r="R1106" s="15">
        <f>IF(D1106=1,"Section 1","Control")</f>
        <v/>
      </c>
      <c r="S1106" s="16">
        <f>N1106/10000</f>
        <v/>
      </c>
      <c r="T1106" s="16">
        <f>P1106/10000</f>
        <v/>
      </c>
      <c r="U1106" s="15">
        <f>IF(N1106&gt;=Summary!$D$3,1,0)</f>
        <v/>
      </c>
      <c r="V1106" s="17">
        <f>IF(N1106&gt;0,P1106/N1106,"")</f>
        <v/>
      </c>
      <c r="W1106" s="17">
        <f>IF(O1106&gt;0,H1106/O1106,"")</f>
        <v/>
      </c>
    </row>
    <row r="1107">
      <c r="A1107" s="13" t="inlineStr">
        <is>
          <t>T40_B2</t>
        </is>
      </c>
      <c r="B1107" s="13" t="inlineStr">
        <is>
          <t>T40</t>
        </is>
      </c>
      <c r="C1107" s="13" t="inlineStr">
        <is>
          <t>B2</t>
        </is>
      </c>
      <c r="D1107" s="13" t="n">
        <v>1</v>
      </c>
      <c r="E1107" s="13" t="inlineStr">
        <is>
          <t>S1</t>
        </is>
      </c>
      <c r="F1107" s="13" t="n">
        <v>2026</v>
      </c>
      <c r="G1107" s="14" t="n">
        <v>1000613.41789464</v>
      </c>
      <c r="H1107" s="14" t="n">
        <v>477376.3916735182</v>
      </c>
      <c r="I1107" s="14" t="n">
        <v>7036.906732566684</v>
      </c>
      <c r="J1107" s="14" t="n">
        <v>0</v>
      </c>
      <c r="K1107" s="14" t="n">
        <v>15827.54198078829</v>
      </c>
      <c r="L1107" s="14" t="n">
        <v>500372.577507767</v>
      </c>
      <c r="M1107" s="14" t="n">
        <v>0</v>
      </c>
      <c r="N1107" s="14" t="n">
        <v>498277.302963556</v>
      </c>
      <c r="O1107" s="14" t="n">
        <v>500240.8403868731</v>
      </c>
      <c r="P1107" s="14" t="n">
        <v>22370.85429196825</v>
      </c>
      <c r="Q1107" s="14" t="n">
        <v>5713532.867977129</v>
      </c>
      <c r="R1107" s="15">
        <f>IF(D1107=1,"Section 1","Control")</f>
        <v/>
      </c>
      <c r="S1107" s="16">
        <f>N1107/10000</f>
        <v/>
      </c>
      <c r="T1107" s="16">
        <f>P1107/10000</f>
        <v/>
      </c>
      <c r="U1107" s="15">
        <f>IF(N1107&gt;=Summary!$D$3,1,0)</f>
        <v/>
      </c>
      <c r="V1107" s="17">
        <f>IF(N1107&gt;0,P1107/N1107,"")</f>
        <v/>
      </c>
      <c r="W1107" s="17">
        <f>IF(O1107&gt;0,H1107/O1107,"")</f>
        <v/>
      </c>
    </row>
    <row r="1108">
      <c r="A1108" s="13" t="inlineStr">
        <is>
          <t>T40_B3</t>
        </is>
      </c>
      <c r="B1108" s="13" t="inlineStr">
        <is>
          <t>T40</t>
        </is>
      </c>
      <c r="C1108" s="13" t="inlineStr">
        <is>
          <t>B3</t>
        </is>
      </c>
      <c r="D1108" s="13" t="n">
        <v>1</v>
      </c>
      <c r="E1108" s="13" t="inlineStr">
        <is>
          <t>S1</t>
        </is>
      </c>
      <c r="F1108" s="13" t="n">
        <v>2020</v>
      </c>
      <c r="G1108" s="14" t="n">
        <v>7538177.150239443</v>
      </c>
      <c r="H1108" s="14" t="n">
        <v>2163901.319263862</v>
      </c>
      <c r="I1108" s="14" t="n">
        <v>375173.4034310734</v>
      </c>
      <c r="J1108" s="14" t="n">
        <v>0</v>
      </c>
      <c r="K1108" s="14" t="n">
        <v>1464445.384532764</v>
      </c>
      <c r="L1108" s="14" t="n">
        <v>3534657.043011743</v>
      </c>
      <c r="M1108" s="14" t="n">
        <v>0</v>
      </c>
      <c r="N1108" s="14" t="n">
        <v>2163901.319263862</v>
      </c>
      <c r="O1108" s="14" t="n">
        <v>4003520.107227699</v>
      </c>
      <c r="P1108" s="14" t="n">
        <v>0</v>
      </c>
      <c r="Q1108" s="14" t="n">
        <v>32502415.00911374</v>
      </c>
      <c r="R1108" s="15">
        <f>IF(D1108=1,"Section 1","Control")</f>
        <v/>
      </c>
      <c r="S1108" s="16">
        <f>N1108/10000</f>
        <v/>
      </c>
      <c r="T1108" s="16">
        <f>P1108/10000</f>
        <v/>
      </c>
      <c r="U1108" s="15">
        <f>IF(N1108&gt;=Summary!$D$3,1,0)</f>
        <v/>
      </c>
      <c r="V1108" s="17">
        <f>IF(N1108&gt;0,P1108/N1108,"")</f>
        <v/>
      </c>
      <c r="W1108" s="17">
        <f>IF(O1108&gt;0,H1108/O1108,"")</f>
        <v/>
      </c>
    </row>
    <row r="1109">
      <c r="A1109" s="13" t="inlineStr">
        <is>
          <t>T40_B3</t>
        </is>
      </c>
      <c r="B1109" s="13" t="inlineStr">
        <is>
          <t>T40</t>
        </is>
      </c>
      <c r="C1109" s="13" t="inlineStr">
        <is>
          <t>B3</t>
        </is>
      </c>
      <c r="D1109" s="13" t="n">
        <v>1</v>
      </c>
      <c r="E1109" s="13" t="inlineStr">
        <is>
          <t>S1</t>
        </is>
      </c>
      <c r="F1109" s="13" t="n">
        <v>2021</v>
      </c>
      <c r="G1109" s="14" t="n">
        <v>7538177.150239443</v>
      </c>
      <c r="H1109" s="14" t="n">
        <v>1499631.288187154</v>
      </c>
      <c r="I1109" s="14" t="n">
        <v>509168.351494763</v>
      </c>
      <c r="J1109" s="14" t="n">
        <v>0</v>
      </c>
      <c r="K1109" s="14" t="n">
        <v>1994720.467545782</v>
      </c>
      <c r="L1109" s="14" t="n">
        <v>3534657.043011743</v>
      </c>
      <c r="M1109" s="14" t="n">
        <v>0</v>
      </c>
      <c r="N1109" s="14" t="n">
        <v>2163901.319263862</v>
      </c>
      <c r="O1109" s="14" t="n">
        <v>4003520.107227699</v>
      </c>
      <c r="P1109" s="14" t="n">
        <v>710342.7552016912</v>
      </c>
      <c r="Q1109" s="14" t="n">
        <v>32502415.00911374</v>
      </c>
      <c r="R1109" s="15">
        <f>IF(D1109=1,"Section 1","Control")</f>
        <v/>
      </c>
      <c r="S1109" s="16">
        <f>N1109/10000</f>
        <v/>
      </c>
      <c r="T1109" s="16">
        <f>P1109/10000</f>
        <v/>
      </c>
      <c r="U1109" s="15">
        <f>IF(N1109&gt;=Summary!$D$3,1,0)</f>
        <v/>
      </c>
      <c r="V1109" s="17">
        <f>IF(N1109&gt;0,P1109/N1109,"")</f>
        <v/>
      </c>
      <c r="W1109" s="17">
        <f>IF(O1109&gt;0,H1109/O1109,"")</f>
        <v/>
      </c>
    </row>
    <row r="1110">
      <c r="A1110" s="13" t="inlineStr">
        <is>
          <t>T40_B3</t>
        </is>
      </c>
      <c r="B1110" s="13" t="inlineStr">
        <is>
          <t>T40</t>
        </is>
      </c>
      <c r="C1110" s="13" t="inlineStr">
        <is>
          <t>B3</t>
        </is>
      </c>
      <c r="D1110" s="13" t="n">
        <v>1</v>
      </c>
      <c r="E1110" s="13" t="inlineStr">
        <is>
          <t>S1</t>
        </is>
      </c>
      <c r="F1110" s="13" t="n">
        <v>2022</v>
      </c>
      <c r="G1110" s="14" t="n">
        <v>7538177.150239443</v>
      </c>
      <c r="H1110" s="14" t="n">
        <v>1471450.957017667</v>
      </c>
      <c r="I1110" s="14" t="n">
        <v>214216.6557333553</v>
      </c>
      <c r="J1110" s="14" t="n">
        <v>0</v>
      </c>
      <c r="K1110" s="14" t="n">
        <v>2317852.494476677</v>
      </c>
      <c r="L1110" s="14" t="n">
        <v>3534657.043011743</v>
      </c>
      <c r="M1110" s="14" t="n">
        <v>0</v>
      </c>
      <c r="N1110" s="14" t="n">
        <v>2163901.319263862</v>
      </c>
      <c r="O1110" s="14" t="n">
        <v>4003520.107227699</v>
      </c>
      <c r="P1110" s="14" t="n">
        <v>744077.0972546146</v>
      </c>
      <c r="Q1110" s="14" t="n">
        <v>32502415.00911374</v>
      </c>
      <c r="R1110" s="15">
        <f>IF(D1110=1,"Section 1","Control")</f>
        <v/>
      </c>
      <c r="S1110" s="16">
        <f>N1110/10000</f>
        <v/>
      </c>
      <c r="T1110" s="16">
        <f>P1110/10000</f>
        <v/>
      </c>
      <c r="U1110" s="15">
        <f>IF(N1110&gt;=Summary!$D$3,1,0)</f>
        <v/>
      </c>
      <c r="V1110" s="17">
        <f>IF(N1110&gt;0,P1110/N1110,"")</f>
        <v/>
      </c>
      <c r="W1110" s="17">
        <f>IF(O1110&gt;0,H1110/O1110,"")</f>
        <v/>
      </c>
    </row>
    <row r="1111">
      <c r="A1111" s="13" t="inlineStr">
        <is>
          <t>T40_B3</t>
        </is>
      </c>
      <c r="B1111" s="13" t="inlineStr">
        <is>
          <t>T40</t>
        </is>
      </c>
      <c r="C1111" s="13" t="inlineStr">
        <is>
          <t>B3</t>
        </is>
      </c>
      <c r="D1111" s="13" t="n">
        <v>1</v>
      </c>
      <c r="E1111" s="13" t="inlineStr">
        <is>
          <t>S1</t>
        </is>
      </c>
      <c r="F1111" s="13" t="n">
        <v>2023</v>
      </c>
      <c r="G1111" s="14" t="n">
        <v>7538177.150239443</v>
      </c>
      <c r="H1111" s="14" t="n">
        <v>1511730.566356225</v>
      </c>
      <c r="I1111" s="14" t="n">
        <v>245815.5620089662</v>
      </c>
      <c r="J1111" s="14" t="n">
        <v>0</v>
      </c>
      <c r="K1111" s="14" t="n">
        <v>2245973.978862508</v>
      </c>
      <c r="L1111" s="14" t="n">
        <v>3534657.043011743</v>
      </c>
      <c r="M1111" s="14" t="n">
        <v>0</v>
      </c>
      <c r="N1111" s="14" t="n">
        <v>2163901.319263862</v>
      </c>
      <c r="O1111" s="14" t="n">
        <v>4003520.107227699</v>
      </c>
      <c r="P1111" s="14" t="n">
        <v>742777.8621514712</v>
      </c>
      <c r="Q1111" s="14" t="n">
        <v>32502415.00911374</v>
      </c>
      <c r="R1111" s="15">
        <f>IF(D1111=1,"Section 1","Control")</f>
        <v/>
      </c>
      <c r="S1111" s="16">
        <f>N1111/10000</f>
        <v/>
      </c>
      <c r="T1111" s="16">
        <f>P1111/10000</f>
        <v/>
      </c>
      <c r="U1111" s="15">
        <f>IF(N1111&gt;=Summary!$D$3,1,0)</f>
        <v/>
      </c>
      <c r="V1111" s="17">
        <f>IF(N1111&gt;0,P1111/N1111,"")</f>
        <v/>
      </c>
      <c r="W1111" s="17">
        <f>IF(O1111&gt;0,H1111/O1111,"")</f>
        <v/>
      </c>
    </row>
    <row r="1112">
      <c r="A1112" s="13" t="inlineStr">
        <is>
          <t>T40_B3</t>
        </is>
      </c>
      <c r="B1112" s="13" t="inlineStr">
        <is>
          <t>T40</t>
        </is>
      </c>
      <c r="C1112" s="13" t="inlineStr">
        <is>
          <t>B3</t>
        </is>
      </c>
      <c r="D1112" s="13" t="n">
        <v>1</v>
      </c>
      <c r="E1112" s="13" t="inlineStr">
        <is>
          <t>S1</t>
        </is>
      </c>
      <c r="F1112" s="13" t="n">
        <v>2024</v>
      </c>
      <c r="G1112" s="14" t="n">
        <v>7538177.150239443</v>
      </c>
      <c r="H1112" s="14" t="n">
        <v>1573011.557918952</v>
      </c>
      <c r="I1112" s="14" t="n">
        <v>153027.6505392935</v>
      </c>
      <c r="J1112" s="14" t="n">
        <v>0</v>
      </c>
      <c r="K1112" s="14" t="n">
        <v>2277480.898769454</v>
      </c>
      <c r="L1112" s="14" t="n">
        <v>3534657.043011743</v>
      </c>
      <c r="M1112" s="14" t="n">
        <v>0</v>
      </c>
      <c r="N1112" s="14" t="n">
        <v>2163901.319263862</v>
      </c>
      <c r="O1112" s="14" t="n">
        <v>4003520.1072277</v>
      </c>
      <c r="P1112" s="14" t="n">
        <v>729365.3985032924</v>
      </c>
      <c r="Q1112" s="14" t="n">
        <v>32502415.00911374</v>
      </c>
      <c r="R1112" s="15">
        <f>IF(D1112=1,"Section 1","Control")</f>
        <v/>
      </c>
      <c r="S1112" s="16">
        <f>N1112/10000</f>
        <v/>
      </c>
      <c r="T1112" s="16">
        <f>P1112/10000</f>
        <v/>
      </c>
      <c r="U1112" s="15">
        <f>IF(N1112&gt;=Summary!$D$3,1,0)</f>
        <v/>
      </c>
      <c r="V1112" s="17">
        <f>IF(N1112&gt;0,P1112/N1112,"")</f>
        <v/>
      </c>
      <c r="W1112" s="17">
        <f>IF(O1112&gt;0,H1112/O1112,"")</f>
        <v/>
      </c>
    </row>
    <row r="1113">
      <c r="A1113" s="13" t="inlineStr">
        <is>
          <t>T40_B3</t>
        </is>
      </c>
      <c r="B1113" s="13" t="inlineStr">
        <is>
          <t>T40</t>
        </is>
      </c>
      <c r="C1113" s="13" t="inlineStr">
        <is>
          <t>B3</t>
        </is>
      </c>
      <c r="D1113" s="13" t="n">
        <v>1</v>
      </c>
      <c r="E1113" s="13" t="inlineStr">
        <is>
          <t>S1</t>
        </is>
      </c>
      <c r="F1113" s="13" t="n">
        <v>2025</v>
      </c>
      <c r="G1113" s="14" t="n">
        <v>7538177.150239443</v>
      </c>
      <c r="H1113" s="14" t="n">
        <v>1577567.817408723</v>
      </c>
      <c r="I1113" s="14" t="n">
        <v>150007.9167525946</v>
      </c>
      <c r="J1113" s="14" t="n">
        <v>0</v>
      </c>
      <c r="K1113" s="14" t="n">
        <v>2275944.373066382</v>
      </c>
      <c r="L1113" s="14" t="n">
        <v>3534657.043011743</v>
      </c>
      <c r="M1113" s="14" t="n">
        <v>0</v>
      </c>
      <c r="N1113" s="14" t="n">
        <v>2163901.319263862</v>
      </c>
      <c r="O1113" s="14" t="n">
        <v>4003520.1072277</v>
      </c>
      <c r="P1113" s="14" t="n">
        <v>744026.6054962458</v>
      </c>
      <c r="Q1113" s="14" t="n">
        <v>32502415.00911374</v>
      </c>
      <c r="R1113" s="15">
        <f>IF(D1113=1,"Section 1","Control")</f>
        <v/>
      </c>
      <c r="S1113" s="16">
        <f>N1113/10000</f>
        <v/>
      </c>
      <c r="T1113" s="16">
        <f>P1113/10000</f>
        <v/>
      </c>
      <c r="U1113" s="15">
        <f>IF(N1113&gt;=Summary!$D$3,1,0)</f>
        <v/>
      </c>
      <c r="V1113" s="17">
        <f>IF(N1113&gt;0,P1113/N1113,"")</f>
        <v/>
      </c>
      <c r="W1113" s="17">
        <f>IF(O1113&gt;0,H1113/O1113,"")</f>
        <v/>
      </c>
    </row>
    <row r="1114">
      <c r="A1114" s="13" t="inlineStr">
        <is>
          <t>T40_B3</t>
        </is>
      </c>
      <c r="B1114" s="13" t="inlineStr">
        <is>
          <t>T40</t>
        </is>
      </c>
      <c r="C1114" s="13" t="inlineStr">
        <is>
          <t>B3</t>
        </is>
      </c>
      <c r="D1114" s="13" t="n">
        <v>1</v>
      </c>
      <c r="E1114" s="13" t="inlineStr">
        <is>
          <t>S1</t>
        </is>
      </c>
      <c r="F1114" s="13" t="n">
        <v>2026</v>
      </c>
      <c r="G1114" s="14" t="n">
        <v>7538177.150239443</v>
      </c>
      <c r="H1114" s="14" t="n">
        <v>1552754.230579721</v>
      </c>
      <c r="I1114" s="14" t="n">
        <v>85078.06077246573</v>
      </c>
      <c r="J1114" s="14" t="n">
        <v>0</v>
      </c>
      <c r="K1114" s="14" t="n">
        <v>2365687.815875513</v>
      </c>
      <c r="L1114" s="14" t="n">
        <v>3534657.043011743</v>
      </c>
      <c r="M1114" s="14" t="n">
        <v>0</v>
      </c>
      <c r="N1114" s="14" t="n">
        <v>2163901.319263862</v>
      </c>
      <c r="O1114" s="14" t="n">
        <v>4003520.107227699</v>
      </c>
      <c r="P1114" s="14" t="n">
        <v>780367.5826043222</v>
      </c>
      <c r="Q1114" s="14" t="n">
        <v>32502415.00911374</v>
      </c>
      <c r="R1114" s="15">
        <f>IF(D1114=1,"Section 1","Control")</f>
        <v/>
      </c>
      <c r="S1114" s="16">
        <f>N1114/10000</f>
        <v/>
      </c>
      <c r="T1114" s="16">
        <f>P1114/10000</f>
        <v/>
      </c>
      <c r="U1114" s="15">
        <f>IF(N1114&gt;=Summary!$D$3,1,0)</f>
        <v/>
      </c>
      <c r="V1114" s="17">
        <f>IF(N1114&gt;0,P1114/N1114,"")</f>
        <v/>
      </c>
      <c r="W1114" s="17">
        <f>IF(O1114&gt;0,H1114/O1114,"")</f>
        <v/>
      </c>
    </row>
    <row r="1115">
      <c r="A1115" s="13" t="inlineStr">
        <is>
          <t>T40_F</t>
        </is>
      </c>
      <c r="B1115" s="13" t="inlineStr">
        <is>
          <t>T40</t>
        </is>
      </c>
      <c r="C1115" s="13" t="inlineStr">
        <is>
          <t>F</t>
        </is>
      </c>
      <c r="D1115" s="13" t="n">
        <v>1</v>
      </c>
      <c r="E1115" s="13" t="inlineStr">
        <is>
          <t>S1</t>
        </is>
      </c>
      <c r="F1115" s="13" t="n">
        <v>2020</v>
      </c>
      <c r="G1115" s="14" t="n">
        <v>84354.46275658702</v>
      </c>
      <c r="H1115" s="14" t="n">
        <v>84354.46275658702</v>
      </c>
      <c r="I1115" s="14" t="n">
        <v>0</v>
      </c>
      <c r="J1115" s="14" t="n">
        <v>0</v>
      </c>
      <c r="K1115" s="14" t="n">
        <v>0</v>
      </c>
      <c r="L1115" s="14" t="n">
        <v>0</v>
      </c>
      <c r="M1115" s="14" t="n">
        <v>0</v>
      </c>
      <c r="N1115" s="14" t="n">
        <v>84354.46275658702</v>
      </c>
      <c r="O1115" s="14" t="n">
        <v>84354.46275658702</v>
      </c>
      <c r="P1115" s="14" t="n">
        <v>0</v>
      </c>
      <c r="Q1115" s="14" t="n">
        <v>1281281.777761183</v>
      </c>
      <c r="R1115" s="15">
        <f>IF(D1115=1,"Section 1","Control")</f>
        <v/>
      </c>
      <c r="S1115" s="16">
        <f>N1115/10000</f>
        <v/>
      </c>
      <c r="T1115" s="16">
        <f>P1115/10000</f>
        <v/>
      </c>
      <c r="U1115" s="15">
        <f>IF(N1115&gt;=Summary!$D$3,1,0)</f>
        <v/>
      </c>
      <c r="V1115" s="17">
        <f>IF(N1115&gt;0,P1115/N1115,"")</f>
        <v/>
      </c>
      <c r="W1115" s="17">
        <f>IF(O1115&gt;0,H1115/O1115,"")</f>
        <v/>
      </c>
    </row>
    <row r="1116">
      <c r="A1116" s="13" t="inlineStr">
        <is>
          <t>T40_F</t>
        </is>
      </c>
      <c r="B1116" s="13" t="inlineStr">
        <is>
          <t>T40</t>
        </is>
      </c>
      <c r="C1116" s="13" t="inlineStr">
        <is>
          <t>F</t>
        </is>
      </c>
      <c r="D1116" s="13" t="n">
        <v>1</v>
      </c>
      <c r="E1116" s="13" t="inlineStr">
        <is>
          <t>S1</t>
        </is>
      </c>
      <c r="F1116" s="13" t="n">
        <v>2021</v>
      </c>
      <c r="G1116" s="14" t="n">
        <v>84354.46275658702</v>
      </c>
      <c r="H1116" s="14" t="n">
        <v>75439.03386314242</v>
      </c>
      <c r="I1116" s="14" t="n">
        <v>0</v>
      </c>
      <c r="J1116" s="14" t="n">
        <v>0</v>
      </c>
      <c r="K1116" s="14" t="n">
        <v>8915.428893444585</v>
      </c>
      <c r="L1116" s="14" t="n">
        <v>0</v>
      </c>
      <c r="M1116" s="14" t="n">
        <v>0</v>
      </c>
      <c r="N1116" s="14" t="n">
        <v>84354.46275658702</v>
      </c>
      <c r="O1116" s="14" t="n">
        <v>84354.46275658702</v>
      </c>
      <c r="P1116" s="14" t="n">
        <v>8915.428893444585</v>
      </c>
      <c r="Q1116" s="14" t="n">
        <v>1281281.777761183</v>
      </c>
      <c r="R1116" s="15">
        <f>IF(D1116=1,"Section 1","Control")</f>
        <v/>
      </c>
      <c r="S1116" s="16">
        <f>N1116/10000</f>
        <v/>
      </c>
      <c r="T1116" s="16">
        <f>P1116/10000</f>
        <v/>
      </c>
      <c r="U1116" s="15">
        <f>IF(N1116&gt;=Summary!$D$3,1,0)</f>
        <v/>
      </c>
      <c r="V1116" s="17">
        <f>IF(N1116&gt;0,P1116/N1116,"")</f>
        <v/>
      </c>
      <c r="W1116" s="17">
        <f>IF(O1116&gt;0,H1116/O1116,"")</f>
        <v/>
      </c>
    </row>
    <row r="1117">
      <c r="A1117" s="13" t="inlineStr">
        <is>
          <t>T40_F</t>
        </is>
      </c>
      <c r="B1117" s="13" t="inlineStr">
        <is>
          <t>T40</t>
        </is>
      </c>
      <c r="C1117" s="13" t="inlineStr">
        <is>
          <t>F</t>
        </is>
      </c>
      <c r="D1117" s="13" t="n">
        <v>1</v>
      </c>
      <c r="E1117" s="13" t="inlineStr">
        <is>
          <t>S1</t>
        </is>
      </c>
      <c r="F1117" s="13" t="n">
        <v>2022</v>
      </c>
      <c r="G1117" s="14" t="n">
        <v>84354.46275658702</v>
      </c>
      <c r="H1117" s="14" t="n">
        <v>75281.85553909003</v>
      </c>
      <c r="I1117" s="14" t="n">
        <v>98.7205047607422</v>
      </c>
      <c r="J1117" s="14" t="n">
        <v>0</v>
      </c>
      <c r="K1117" s="14" t="n">
        <v>8973.886712736243</v>
      </c>
      <c r="L1117" s="14" t="n">
        <v>0</v>
      </c>
      <c r="M1117" s="14" t="n">
        <v>0</v>
      </c>
      <c r="N1117" s="14" t="n">
        <v>84354.46275658702</v>
      </c>
      <c r="O1117" s="14" t="n">
        <v>84354.46275658702</v>
      </c>
      <c r="P1117" s="14" t="n">
        <v>9072.607217496983</v>
      </c>
      <c r="Q1117" s="14" t="n">
        <v>1281281.777761183</v>
      </c>
      <c r="R1117" s="15">
        <f>IF(D1117=1,"Section 1","Control")</f>
        <v/>
      </c>
      <c r="S1117" s="16">
        <f>N1117/10000</f>
        <v/>
      </c>
      <c r="T1117" s="16">
        <f>P1117/10000</f>
        <v/>
      </c>
      <c r="U1117" s="15">
        <f>IF(N1117&gt;=Summary!$D$3,1,0)</f>
        <v/>
      </c>
      <c r="V1117" s="17">
        <f>IF(N1117&gt;0,P1117/N1117,"")</f>
        <v/>
      </c>
      <c r="W1117" s="17">
        <f>IF(O1117&gt;0,H1117/O1117,"")</f>
        <v/>
      </c>
    </row>
    <row r="1118">
      <c r="A1118" s="13" t="inlineStr">
        <is>
          <t>T40_F</t>
        </is>
      </c>
      <c r="B1118" s="13" t="inlineStr">
        <is>
          <t>T40</t>
        </is>
      </c>
      <c r="C1118" s="13" t="inlineStr">
        <is>
          <t>F</t>
        </is>
      </c>
      <c r="D1118" s="13" t="n">
        <v>1</v>
      </c>
      <c r="E1118" s="13" t="inlineStr">
        <is>
          <t>S1</t>
        </is>
      </c>
      <c r="F1118" s="13" t="n">
        <v>2023</v>
      </c>
      <c r="G1118" s="14" t="n">
        <v>84354.46275658702</v>
      </c>
      <c r="H1118" s="14" t="n">
        <v>75380.57604385077</v>
      </c>
      <c r="I1118" s="14" t="n">
        <v>0</v>
      </c>
      <c r="J1118" s="14" t="n">
        <v>0</v>
      </c>
      <c r="K1118" s="14" t="n">
        <v>8973.886712736243</v>
      </c>
      <c r="L1118" s="14" t="n">
        <v>0</v>
      </c>
      <c r="M1118" s="14" t="n">
        <v>0</v>
      </c>
      <c r="N1118" s="14" t="n">
        <v>84354.46275658702</v>
      </c>
      <c r="O1118" s="14" t="n">
        <v>84354.46275658702</v>
      </c>
      <c r="P1118" s="14" t="n">
        <v>8973.886712736243</v>
      </c>
      <c r="Q1118" s="14" t="n">
        <v>1281281.777761183</v>
      </c>
      <c r="R1118" s="15">
        <f>IF(D1118=1,"Section 1","Control")</f>
        <v/>
      </c>
      <c r="S1118" s="16">
        <f>N1118/10000</f>
        <v/>
      </c>
      <c r="T1118" s="16">
        <f>P1118/10000</f>
        <v/>
      </c>
      <c r="U1118" s="15">
        <f>IF(N1118&gt;=Summary!$D$3,1,0)</f>
        <v/>
      </c>
      <c r="V1118" s="17">
        <f>IF(N1118&gt;0,P1118/N1118,"")</f>
        <v/>
      </c>
      <c r="W1118" s="17">
        <f>IF(O1118&gt;0,H1118/O1118,"")</f>
        <v/>
      </c>
    </row>
    <row r="1119">
      <c r="A1119" s="13" t="inlineStr">
        <is>
          <t>T40_F</t>
        </is>
      </c>
      <c r="B1119" s="13" t="inlineStr">
        <is>
          <t>T40</t>
        </is>
      </c>
      <c r="C1119" s="13" t="inlineStr">
        <is>
          <t>F</t>
        </is>
      </c>
      <c r="D1119" s="13" t="n">
        <v>1</v>
      </c>
      <c r="E1119" s="13" t="inlineStr">
        <is>
          <t>S1</t>
        </is>
      </c>
      <c r="F1119" s="13" t="n">
        <v>2024</v>
      </c>
      <c r="G1119" s="14" t="n">
        <v>84354.46275658702</v>
      </c>
      <c r="H1119" s="14" t="n">
        <v>75380.57604385077</v>
      </c>
      <c r="I1119" s="14" t="n">
        <v>0</v>
      </c>
      <c r="J1119" s="14" t="n">
        <v>0</v>
      </c>
      <c r="K1119" s="14" t="n">
        <v>8973.886712736243</v>
      </c>
      <c r="L1119" s="14" t="n">
        <v>0</v>
      </c>
      <c r="M1119" s="14" t="n">
        <v>0</v>
      </c>
      <c r="N1119" s="14" t="n">
        <v>84354.46275658702</v>
      </c>
      <c r="O1119" s="14" t="n">
        <v>84354.46275658702</v>
      </c>
      <c r="P1119" s="14" t="n">
        <v>8973.886712736243</v>
      </c>
      <c r="Q1119" s="14" t="n">
        <v>1281281.777761183</v>
      </c>
      <c r="R1119" s="15">
        <f>IF(D1119=1,"Section 1","Control")</f>
        <v/>
      </c>
      <c r="S1119" s="16">
        <f>N1119/10000</f>
        <v/>
      </c>
      <c r="T1119" s="16">
        <f>P1119/10000</f>
        <v/>
      </c>
      <c r="U1119" s="15">
        <f>IF(N1119&gt;=Summary!$D$3,1,0)</f>
        <v/>
      </c>
      <c r="V1119" s="17">
        <f>IF(N1119&gt;0,P1119/N1119,"")</f>
        <v/>
      </c>
      <c r="W1119" s="17">
        <f>IF(O1119&gt;0,H1119/O1119,"")</f>
        <v/>
      </c>
    </row>
    <row r="1120">
      <c r="A1120" s="13" t="inlineStr">
        <is>
          <t>T40_F</t>
        </is>
      </c>
      <c r="B1120" s="13" t="inlineStr">
        <is>
          <t>T40</t>
        </is>
      </c>
      <c r="C1120" s="13" t="inlineStr">
        <is>
          <t>F</t>
        </is>
      </c>
      <c r="D1120" s="13" t="n">
        <v>1</v>
      </c>
      <c r="E1120" s="13" t="inlineStr">
        <is>
          <t>S1</t>
        </is>
      </c>
      <c r="F1120" s="13" t="n">
        <v>2025</v>
      </c>
      <c r="G1120" s="14" t="n">
        <v>84354.46275658702</v>
      </c>
      <c r="H1120" s="14" t="n">
        <v>5275.546229553222</v>
      </c>
      <c r="I1120" s="14" t="n">
        <v>16422.04282088934</v>
      </c>
      <c r="J1120" s="14" t="n">
        <v>0</v>
      </c>
      <c r="K1120" s="14" t="n">
        <v>62656.87370614446</v>
      </c>
      <c r="L1120" s="14" t="n">
        <v>0</v>
      </c>
      <c r="M1120" s="14" t="n">
        <v>0</v>
      </c>
      <c r="N1120" s="14" t="n">
        <v>84354.46275658702</v>
      </c>
      <c r="O1120" s="14" t="n">
        <v>84354.46275658702</v>
      </c>
      <c r="P1120" s="14" t="n">
        <v>79078.9165270338</v>
      </c>
      <c r="Q1120" s="14" t="n">
        <v>1281281.777761183</v>
      </c>
      <c r="R1120" s="15">
        <f>IF(D1120=1,"Section 1","Control")</f>
        <v/>
      </c>
      <c r="S1120" s="16">
        <f>N1120/10000</f>
        <v/>
      </c>
      <c r="T1120" s="16">
        <f>P1120/10000</f>
        <v/>
      </c>
      <c r="U1120" s="15">
        <f>IF(N1120&gt;=Summary!$D$3,1,0)</f>
        <v/>
      </c>
      <c r="V1120" s="17">
        <f>IF(N1120&gt;0,P1120/N1120,"")</f>
        <v/>
      </c>
      <c r="W1120" s="17">
        <f>IF(O1120&gt;0,H1120/O1120,"")</f>
        <v/>
      </c>
    </row>
    <row r="1121">
      <c r="A1121" s="13" t="inlineStr">
        <is>
          <t>T40_F</t>
        </is>
      </c>
      <c r="B1121" s="13" t="inlineStr">
        <is>
          <t>T40</t>
        </is>
      </c>
      <c r="C1121" s="13" t="inlineStr">
        <is>
          <t>F</t>
        </is>
      </c>
      <c r="D1121" s="13" t="n">
        <v>1</v>
      </c>
      <c r="E1121" s="13" t="inlineStr">
        <is>
          <t>S1</t>
        </is>
      </c>
      <c r="F1121" s="13" t="n">
        <v>2026</v>
      </c>
      <c r="G1121" s="14" t="n">
        <v>84354.46275658702</v>
      </c>
      <c r="H1121" s="14" t="n">
        <v>3569.811281032188</v>
      </c>
      <c r="I1121" s="14" t="n">
        <v>27666.87008547316</v>
      </c>
      <c r="J1121" s="14" t="n">
        <v>0</v>
      </c>
      <c r="K1121" s="14" t="n">
        <v>53117.78139008168</v>
      </c>
      <c r="L1121" s="14" t="n">
        <v>0</v>
      </c>
      <c r="M1121" s="14" t="n">
        <v>0</v>
      </c>
      <c r="N1121" s="14" t="n">
        <v>84354.46275658702</v>
      </c>
      <c r="O1121" s="14" t="n">
        <v>84354.46275658702</v>
      </c>
      <c r="P1121" s="14" t="n">
        <v>80784.65147555483</v>
      </c>
      <c r="Q1121" s="14" t="n">
        <v>1281281.777761183</v>
      </c>
      <c r="R1121" s="15">
        <f>IF(D1121=1,"Section 1","Control")</f>
        <v/>
      </c>
      <c r="S1121" s="16">
        <f>N1121/10000</f>
        <v/>
      </c>
      <c r="T1121" s="16">
        <f>P1121/10000</f>
        <v/>
      </c>
      <c r="U1121" s="15">
        <f>IF(N1121&gt;=Summary!$D$3,1,0)</f>
        <v/>
      </c>
      <c r="V1121" s="17">
        <f>IF(N1121&gt;0,P1121/N1121,"")</f>
        <v/>
      </c>
      <c r="W1121" s="17">
        <f>IF(O1121&gt;0,H1121/O1121,"")</f>
        <v/>
      </c>
    </row>
    <row r="1122">
      <c r="A1122" s="13" t="inlineStr">
        <is>
          <t>T41_B1</t>
        </is>
      </c>
      <c r="B1122" s="13" t="inlineStr">
        <is>
          <t>T41</t>
        </is>
      </c>
      <c r="C1122" s="13" t="inlineStr">
        <is>
          <t>B1</t>
        </is>
      </c>
      <c r="D1122" s="13" t="n">
        <v>1</v>
      </c>
      <c r="E1122" s="13" t="inlineStr">
        <is>
          <t>S1</t>
        </is>
      </c>
      <c r="F1122" s="13" t="n">
        <v>2020</v>
      </c>
      <c r="G1122" s="14" t="n">
        <v>990383.4127042582</v>
      </c>
      <c r="H1122" s="14" t="n">
        <v>577311.5604064642</v>
      </c>
      <c r="I1122" s="14" t="n">
        <v>171337.3320972816</v>
      </c>
      <c r="J1122" s="14" t="n">
        <v>28723.49305467793</v>
      </c>
      <c r="K1122" s="14" t="n">
        <v>129266.5571558335</v>
      </c>
      <c r="L1122" s="14" t="n">
        <v>83744.469990001</v>
      </c>
      <c r="M1122" s="14" t="n">
        <v>0</v>
      </c>
      <c r="N1122" s="14" t="n">
        <v>577311.5604064642</v>
      </c>
      <c r="O1122" s="14" t="n">
        <v>906638.9427142572</v>
      </c>
      <c r="P1122" s="14" t="n">
        <v>0</v>
      </c>
      <c r="Q1122" s="14" t="n">
        <v>9968709.796865486</v>
      </c>
      <c r="R1122" s="15">
        <f>IF(D1122=1,"Section 1","Control")</f>
        <v/>
      </c>
      <c r="S1122" s="16">
        <f>N1122/10000</f>
        <v/>
      </c>
      <c r="T1122" s="16">
        <f>P1122/10000</f>
        <v/>
      </c>
      <c r="U1122" s="15">
        <f>IF(N1122&gt;=Summary!$D$3,1,0)</f>
        <v/>
      </c>
      <c r="V1122" s="17">
        <f>IF(N1122&gt;0,P1122/N1122,"")</f>
        <v/>
      </c>
      <c r="W1122" s="17">
        <f>IF(O1122&gt;0,H1122/O1122,"")</f>
        <v/>
      </c>
    </row>
    <row r="1123">
      <c r="A1123" s="13" t="inlineStr">
        <is>
          <t>T41_B1</t>
        </is>
      </c>
      <c r="B1123" s="13" t="inlineStr">
        <is>
          <t>T41</t>
        </is>
      </c>
      <c r="C1123" s="13" t="inlineStr">
        <is>
          <t>B1</t>
        </is>
      </c>
      <c r="D1123" s="13" t="n">
        <v>1</v>
      </c>
      <c r="E1123" s="13" t="inlineStr">
        <is>
          <t>S1</t>
        </is>
      </c>
      <c r="F1123" s="13" t="n">
        <v>2021</v>
      </c>
      <c r="G1123" s="14" t="n">
        <v>990383.4127042582</v>
      </c>
      <c r="H1123" s="14" t="n">
        <v>560532.1761575735</v>
      </c>
      <c r="I1123" s="14" t="n">
        <v>163035.5735534967</v>
      </c>
      <c r="J1123" s="14" t="n">
        <v>28920.93454485127</v>
      </c>
      <c r="K1123" s="14" t="n">
        <v>162175.6905645632</v>
      </c>
      <c r="L1123" s="14" t="n">
        <v>75719.0378837735</v>
      </c>
      <c r="M1123" s="14" t="n">
        <v>0</v>
      </c>
      <c r="N1123" s="14" t="n">
        <v>577311.5604064642</v>
      </c>
      <c r="O1123" s="14" t="n">
        <v>906638.9427142574</v>
      </c>
      <c r="P1123" s="14" t="n">
        <v>20110.71290079752</v>
      </c>
      <c r="Q1123" s="14" t="n">
        <v>9968709.796865486</v>
      </c>
      <c r="R1123" s="15">
        <f>IF(D1123=1,"Section 1","Control")</f>
        <v/>
      </c>
      <c r="S1123" s="16">
        <f>N1123/10000</f>
        <v/>
      </c>
      <c r="T1123" s="16">
        <f>P1123/10000</f>
        <v/>
      </c>
      <c r="U1123" s="15">
        <f>IF(N1123&gt;=Summary!$D$3,1,0)</f>
        <v/>
      </c>
      <c r="V1123" s="17">
        <f>IF(N1123&gt;0,P1123/N1123,"")</f>
        <v/>
      </c>
      <c r="W1123" s="17">
        <f>IF(O1123&gt;0,H1123/O1123,"")</f>
        <v/>
      </c>
    </row>
    <row r="1124">
      <c r="A1124" s="13" t="inlineStr">
        <is>
          <t>T41_B1</t>
        </is>
      </c>
      <c r="B1124" s="13" t="inlineStr">
        <is>
          <t>T41</t>
        </is>
      </c>
      <c r="C1124" s="13" t="inlineStr">
        <is>
          <t>B1</t>
        </is>
      </c>
      <c r="D1124" s="13" t="n">
        <v>1</v>
      </c>
      <c r="E1124" s="13" t="inlineStr">
        <is>
          <t>S1</t>
        </is>
      </c>
      <c r="F1124" s="13" t="n">
        <v>2022</v>
      </c>
      <c r="G1124" s="14" t="n">
        <v>990383.4127042582</v>
      </c>
      <c r="H1124" s="14" t="n">
        <v>541954.9071240292</v>
      </c>
      <c r="I1124" s="14" t="n">
        <v>174287.0718778723</v>
      </c>
      <c r="J1124" s="14" t="n">
        <v>28723.4930928249</v>
      </c>
      <c r="K1124" s="14" t="n">
        <v>184694.4303905113</v>
      </c>
      <c r="L1124" s="14" t="n">
        <v>60723.51021902046</v>
      </c>
      <c r="M1124" s="14" t="n">
        <v>0</v>
      </c>
      <c r="N1124" s="14" t="n">
        <v>577311.5604064642</v>
      </c>
      <c r="O1124" s="14" t="n">
        <v>906638.9427142572</v>
      </c>
      <c r="P1124" s="14" t="n">
        <v>38474.28111865473</v>
      </c>
      <c r="Q1124" s="14" t="n">
        <v>9968709.796865486</v>
      </c>
      <c r="R1124" s="15">
        <f>IF(D1124=1,"Section 1","Control")</f>
        <v/>
      </c>
      <c r="S1124" s="16">
        <f>N1124/10000</f>
        <v/>
      </c>
      <c r="T1124" s="16">
        <f>P1124/10000</f>
        <v/>
      </c>
      <c r="U1124" s="15">
        <f>IF(N1124&gt;=Summary!$D$3,1,0)</f>
        <v/>
      </c>
      <c r="V1124" s="17">
        <f>IF(N1124&gt;0,P1124/N1124,"")</f>
        <v/>
      </c>
      <c r="W1124" s="17">
        <f>IF(O1124&gt;0,H1124/O1124,"")</f>
        <v/>
      </c>
    </row>
    <row r="1125">
      <c r="A1125" s="13" t="inlineStr">
        <is>
          <t>T41_B1</t>
        </is>
      </c>
      <c r="B1125" s="13" t="inlineStr">
        <is>
          <t>T41</t>
        </is>
      </c>
      <c r="C1125" s="13" t="inlineStr">
        <is>
          <t>B1</t>
        </is>
      </c>
      <c r="D1125" s="13" t="n">
        <v>1</v>
      </c>
      <c r="E1125" s="13" t="inlineStr">
        <is>
          <t>S1</t>
        </is>
      </c>
      <c r="F1125" s="13" t="n">
        <v>2023</v>
      </c>
      <c r="G1125" s="14" t="n">
        <v>990383.4127042582</v>
      </c>
      <c r="H1125" s="14" t="n">
        <v>542534.4530681535</v>
      </c>
      <c r="I1125" s="14" t="n">
        <v>173467.0074534697</v>
      </c>
      <c r="J1125" s="14" t="n">
        <v>29019.655339529</v>
      </c>
      <c r="K1125" s="14" t="n">
        <v>156617.513357514</v>
      </c>
      <c r="L1125" s="14" t="n">
        <v>88744.78348559211</v>
      </c>
      <c r="M1125" s="14" t="n">
        <v>0</v>
      </c>
      <c r="N1125" s="14" t="n">
        <v>577311.5604064642</v>
      </c>
      <c r="O1125" s="14" t="n">
        <v>906638.9427142574</v>
      </c>
      <c r="P1125" s="14" t="n">
        <v>39066.60507800533</v>
      </c>
      <c r="Q1125" s="14" t="n">
        <v>9968709.796865486</v>
      </c>
      <c r="R1125" s="15">
        <f>IF(D1125=1,"Section 1","Control")</f>
        <v/>
      </c>
      <c r="S1125" s="16">
        <f>N1125/10000</f>
        <v/>
      </c>
      <c r="T1125" s="16">
        <f>P1125/10000</f>
        <v/>
      </c>
      <c r="U1125" s="15">
        <f>IF(N1125&gt;=Summary!$D$3,1,0)</f>
        <v/>
      </c>
      <c r="V1125" s="17">
        <f>IF(N1125&gt;0,P1125/N1125,"")</f>
        <v/>
      </c>
      <c r="W1125" s="17">
        <f>IF(O1125&gt;0,H1125/O1125,"")</f>
        <v/>
      </c>
    </row>
    <row r="1126">
      <c r="A1126" s="13" t="inlineStr">
        <is>
          <t>T41_B1</t>
        </is>
      </c>
      <c r="B1126" s="13" t="inlineStr">
        <is>
          <t>T41</t>
        </is>
      </c>
      <c r="C1126" s="13" t="inlineStr">
        <is>
          <t>B1</t>
        </is>
      </c>
      <c r="D1126" s="13" t="n">
        <v>1</v>
      </c>
      <c r="E1126" s="13" t="inlineStr">
        <is>
          <t>S1</t>
        </is>
      </c>
      <c r="F1126" s="13" t="n">
        <v>2024</v>
      </c>
      <c r="G1126" s="14" t="n">
        <v>990383.4127042582</v>
      </c>
      <c r="H1126" s="14" t="n">
        <v>544087.2732228297</v>
      </c>
      <c r="I1126" s="14" t="n">
        <v>166765.6435121125</v>
      </c>
      <c r="J1126" s="14" t="n">
        <v>29019.655339529</v>
      </c>
      <c r="K1126" s="14" t="n">
        <v>168311.4488171446</v>
      </c>
      <c r="L1126" s="14" t="n">
        <v>82199.39181264241</v>
      </c>
      <c r="M1126" s="14" t="n">
        <v>0</v>
      </c>
      <c r="N1126" s="14" t="n">
        <v>577311.5604064642</v>
      </c>
      <c r="O1126" s="14" t="n">
        <v>906638.9427142574</v>
      </c>
      <c r="P1126" s="14" t="n">
        <v>37663.22265005673</v>
      </c>
      <c r="Q1126" s="14" t="n">
        <v>9968709.796865486</v>
      </c>
      <c r="R1126" s="15">
        <f>IF(D1126=1,"Section 1","Control")</f>
        <v/>
      </c>
      <c r="S1126" s="16">
        <f>N1126/10000</f>
        <v/>
      </c>
      <c r="T1126" s="16">
        <f>P1126/10000</f>
        <v/>
      </c>
      <c r="U1126" s="15">
        <f>IF(N1126&gt;=Summary!$D$3,1,0)</f>
        <v/>
      </c>
      <c r="V1126" s="17">
        <f>IF(N1126&gt;0,P1126/N1126,"")</f>
        <v/>
      </c>
      <c r="W1126" s="17">
        <f>IF(O1126&gt;0,H1126/O1126,"")</f>
        <v/>
      </c>
    </row>
    <row r="1127">
      <c r="A1127" s="13" t="inlineStr">
        <is>
          <t>T41_B1</t>
        </is>
      </c>
      <c r="B1127" s="13" t="inlineStr">
        <is>
          <t>T41</t>
        </is>
      </c>
      <c r="C1127" s="13" t="inlineStr">
        <is>
          <t>B1</t>
        </is>
      </c>
      <c r="D1127" s="13" t="n">
        <v>1</v>
      </c>
      <c r="E1127" s="13" t="inlineStr">
        <is>
          <t>S1</t>
        </is>
      </c>
      <c r="F1127" s="13" t="n">
        <v>2025</v>
      </c>
      <c r="G1127" s="14" t="n">
        <v>990383.4127042582</v>
      </c>
      <c r="H1127" s="14" t="n">
        <v>524564.6808633842</v>
      </c>
      <c r="I1127" s="14" t="n">
        <v>183536.882683997</v>
      </c>
      <c r="J1127" s="14" t="n">
        <v>28920.93454485127</v>
      </c>
      <c r="K1127" s="14" t="n">
        <v>171603.2506593592</v>
      </c>
      <c r="L1127" s="14" t="n">
        <v>81757.66395266663</v>
      </c>
      <c r="M1127" s="14" t="n">
        <v>0</v>
      </c>
      <c r="N1127" s="14" t="n">
        <v>577311.5604064642</v>
      </c>
      <c r="O1127" s="14" t="n">
        <v>906638.9427142574</v>
      </c>
      <c r="P1127" s="14" t="n">
        <v>55116.94551618986</v>
      </c>
      <c r="Q1127" s="14" t="n">
        <v>9968709.796865486</v>
      </c>
      <c r="R1127" s="15">
        <f>IF(D1127=1,"Section 1","Control")</f>
        <v/>
      </c>
      <c r="S1127" s="16">
        <f>N1127/10000</f>
        <v/>
      </c>
      <c r="T1127" s="16">
        <f>P1127/10000</f>
        <v/>
      </c>
      <c r="U1127" s="15">
        <f>IF(N1127&gt;=Summary!$D$3,1,0)</f>
        <v/>
      </c>
      <c r="V1127" s="17">
        <f>IF(N1127&gt;0,P1127/N1127,"")</f>
        <v/>
      </c>
      <c r="W1127" s="17">
        <f>IF(O1127&gt;0,H1127/O1127,"")</f>
        <v/>
      </c>
    </row>
    <row r="1128">
      <c r="A1128" s="13" t="inlineStr">
        <is>
          <t>T41_B1</t>
        </is>
      </c>
      <c r="B1128" s="13" t="inlineStr">
        <is>
          <t>T41</t>
        </is>
      </c>
      <c r="C1128" s="13" t="inlineStr">
        <is>
          <t>B1</t>
        </is>
      </c>
      <c r="D1128" s="13" t="n">
        <v>1</v>
      </c>
      <c r="E1128" s="13" t="inlineStr">
        <is>
          <t>S1</t>
        </is>
      </c>
      <c r="F1128" s="13" t="n">
        <v>2026</v>
      </c>
      <c r="G1128" s="14" t="n">
        <v>990383.4127042582</v>
      </c>
      <c r="H1128" s="14" t="n">
        <v>526676.5301095401</v>
      </c>
      <c r="I1128" s="14" t="n">
        <v>161549.3031159046</v>
      </c>
      <c r="J1128" s="14" t="n">
        <v>29019.655339529</v>
      </c>
      <c r="K1128" s="14" t="n">
        <v>186333.1026401894</v>
      </c>
      <c r="L1128" s="14" t="n">
        <v>86804.82149909523</v>
      </c>
      <c r="M1128" s="14" t="n">
        <v>0</v>
      </c>
      <c r="N1128" s="14" t="n">
        <v>577311.5604064642</v>
      </c>
      <c r="O1128" s="14" t="n">
        <v>906638.9427142572</v>
      </c>
      <c r="P1128" s="14" t="n">
        <v>57139.74090118408</v>
      </c>
      <c r="Q1128" s="14" t="n">
        <v>9968709.796865486</v>
      </c>
      <c r="R1128" s="15">
        <f>IF(D1128=1,"Section 1","Control")</f>
        <v/>
      </c>
      <c r="S1128" s="16">
        <f>N1128/10000</f>
        <v/>
      </c>
      <c r="T1128" s="16">
        <f>P1128/10000</f>
        <v/>
      </c>
      <c r="U1128" s="15">
        <f>IF(N1128&gt;=Summary!$D$3,1,0)</f>
        <v/>
      </c>
      <c r="V1128" s="17">
        <f>IF(N1128&gt;0,P1128/N1128,"")</f>
        <v/>
      </c>
      <c r="W1128" s="17">
        <f>IF(O1128&gt;0,H1128/O1128,"")</f>
        <v/>
      </c>
    </row>
    <row r="1129">
      <c r="A1129" s="13" t="inlineStr">
        <is>
          <t>T41_B2</t>
        </is>
      </c>
      <c r="B1129" s="13" t="inlineStr">
        <is>
          <t>T41</t>
        </is>
      </c>
      <c r="C1129" s="13" t="inlineStr">
        <is>
          <t>B2</t>
        </is>
      </c>
      <c r="D1129" s="13" t="n">
        <v>1</v>
      </c>
      <c r="E1129" s="13" t="inlineStr">
        <is>
          <t>S1</t>
        </is>
      </c>
      <c r="F1129" s="13" t="n">
        <v>2020</v>
      </c>
      <c r="G1129" s="14" t="n">
        <v>988769.4273284312</v>
      </c>
      <c r="H1129" s="14" t="n">
        <v>489692.3751642562</v>
      </c>
      <c r="I1129" s="14" t="n">
        <v>1339.086102414599</v>
      </c>
      <c r="J1129" s="14" t="n">
        <v>0</v>
      </c>
      <c r="K1129" s="14" t="n">
        <v>3376.55757449281</v>
      </c>
      <c r="L1129" s="14" t="n">
        <v>494361.4084872674</v>
      </c>
      <c r="M1129" s="14" t="n">
        <v>0</v>
      </c>
      <c r="N1129" s="14" t="n">
        <v>489692.3751642562</v>
      </c>
      <c r="O1129" s="14" t="n">
        <v>494408.0188411637</v>
      </c>
      <c r="P1129" s="14" t="n">
        <v>0</v>
      </c>
      <c r="Q1129" s="14" t="n">
        <v>6985896.457404043</v>
      </c>
      <c r="R1129" s="15">
        <f>IF(D1129=1,"Section 1","Control")</f>
        <v/>
      </c>
      <c r="S1129" s="16">
        <f>N1129/10000</f>
        <v/>
      </c>
      <c r="T1129" s="16">
        <f>P1129/10000</f>
        <v/>
      </c>
      <c r="U1129" s="15">
        <f>IF(N1129&gt;=Summary!$D$3,1,0)</f>
        <v/>
      </c>
      <c r="V1129" s="17">
        <f>IF(N1129&gt;0,P1129/N1129,"")</f>
        <v/>
      </c>
      <c r="W1129" s="17">
        <f>IF(O1129&gt;0,H1129/O1129,"")</f>
        <v/>
      </c>
    </row>
    <row r="1130">
      <c r="A1130" s="13" t="inlineStr">
        <is>
          <t>T41_B2</t>
        </is>
      </c>
      <c r="B1130" s="13" t="inlineStr">
        <is>
          <t>T41</t>
        </is>
      </c>
      <c r="C1130" s="13" t="inlineStr">
        <is>
          <t>B2</t>
        </is>
      </c>
      <c r="D1130" s="13" t="n">
        <v>1</v>
      </c>
      <c r="E1130" s="13" t="inlineStr">
        <is>
          <t>S1</t>
        </is>
      </c>
      <c r="F1130" s="13" t="n">
        <v>2021</v>
      </c>
      <c r="G1130" s="14" t="n">
        <v>988769.4273284312</v>
      </c>
      <c r="H1130" s="14" t="n">
        <v>485421.1559102974</v>
      </c>
      <c r="I1130" s="14" t="n">
        <v>1023.962197516946</v>
      </c>
      <c r="J1130" s="14" t="n">
        <v>0</v>
      </c>
      <c r="K1130" s="14" t="n">
        <v>7962.900733349369</v>
      </c>
      <c r="L1130" s="14" t="n">
        <v>494361.4084872674</v>
      </c>
      <c r="M1130" s="14" t="n">
        <v>0</v>
      </c>
      <c r="N1130" s="14" t="n">
        <v>489692.3751642563</v>
      </c>
      <c r="O1130" s="14" t="n">
        <v>494408.0188411637</v>
      </c>
      <c r="P1130" s="14" t="n">
        <v>5185.62279250201</v>
      </c>
      <c r="Q1130" s="14" t="n">
        <v>6985896.457404043</v>
      </c>
      <c r="R1130" s="15">
        <f>IF(D1130=1,"Section 1","Control")</f>
        <v/>
      </c>
      <c r="S1130" s="16">
        <f>N1130/10000</f>
        <v/>
      </c>
      <c r="T1130" s="16">
        <f>P1130/10000</f>
        <v/>
      </c>
      <c r="U1130" s="15">
        <f>IF(N1130&gt;=Summary!$D$3,1,0)</f>
        <v/>
      </c>
      <c r="V1130" s="17">
        <f>IF(N1130&gt;0,P1130/N1130,"")</f>
        <v/>
      </c>
      <c r="W1130" s="17">
        <f>IF(O1130&gt;0,H1130/O1130,"")</f>
        <v/>
      </c>
    </row>
    <row r="1131">
      <c r="A1131" s="13" t="inlineStr">
        <is>
          <t>T41_B2</t>
        </is>
      </c>
      <c r="B1131" s="13" t="inlineStr">
        <is>
          <t>T41</t>
        </is>
      </c>
      <c r="C1131" s="13" t="inlineStr">
        <is>
          <t>B2</t>
        </is>
      </c>
      <c r="D1131" s="13" t="n">
        <v>1</v>
      </c>
      <c r="E1131" s="13" t="inlineStr">
        <is>
          <t>S1</t>
        </is>
      </c>
      <c r="F1131" s="13" t="n">
        <v>2022</v>
      </c>
      <c r="G1131" s="14" t="n">
        <v>988769.4273284312</v>
      </c>
      <c r="H1131" s="14" t="n">
        <v>481823.5464516732</v>
      </c>
      <c r="I1131" s="14" t="n">
        <v>531.9181589463178</v>
      </c>
      <c r="J1131" s="14" t="n">
        <v>0</v>
      </c>
      <c r="K1131" s="14" t="n">
        <v>12052.55423054414</v>
      </c>
      <c r="L1131" s="14" t="n">
        <v>494361.4084872674</v>
      </c>
      <c r="M1131" s="14" t="n">
        <v>0</v>
      </c>
      <c r="N1131" s="14" t="n">
        <v>489692.3751642563</v>
      </c>
      <c r="O1131" s="14" t="n">
        <v>494408.0188411637</v>
      </c>
      <c r="P1131" s="14" t="n">
        <v>8427.071838319067</v>
      </c>
      <c r="Q1131" s="14" t="n">
        <v>6985896.457404043</v>
      </c>
      <c r="R1131" s="15">
        <f>IF(D1131=1,"Section 1","Control")</f>
        <v/>
      </c>
      <c r="S1131" s="16">
        <f>N1131/10000</f>
        <v/>
      </c>
      <c r="T1131" s="16">
        <f>P1131/10000</f>
        <v/>
      </c>
      <c r="U1131" s="15">
        <f>IF(N1131&gt;=Summary!$D$3,1,0)</f>
        <v/>
      </c>
      <c r="V1131" s="17">
        <f>IF(N1131&gt;0,P1131/N1131,"")</f>
        <v/>
      </c>
      <c r="W1131" s="17">
        <f>IF(O1131&gt;0,H1131/O1131,"")</f>
        <v/>
      </c>
    </row>
    <row r="1132">
      <c r="A1132" s="13" t="inlineStr">
        <is>
          <t>T41_B2</t>
        </is>
      </c>
      <c r="B1132" s="13" t="inlineStr">
        <is>
          <t>T41</t>
        </is>
      </c>
      <c r="C1132" s="13" t="inlineStr">
        <is>
          <t>B2</t>
        </is>
      </c>
      <c r="D1132" s="13" t="n">
        <v>1</v>
      </c>
      <c r="E1132" s="13" t="inlineStr">
        <is>
          <t>S1</t>
        </is>
      </c>
      <c r="F1132" s="13" t="n">
        <v>2023</v>
      </c>
      <c r="G1132" s="14" t="n">
        <v>988769.4273284312</v>
      </c>
      <c r="H1132" s="14" t="n">
        <v>482028.725804527</v>
      </c>
      <c r="I1132" s="14" t="n">
        <v>1017.767782532935</v>
      </c>
      <c r="J1132" s="14" t="n">
        <v>0</v>
      </c>
      <c r="K1132" s="14" t="n">
        <v>11361.52525410372</v>
      </c>
      <c r="L1132" s="14" t="n">
        <v>494361.4084872675</v>
      </c>
      <c r="M1132" s="14" t="n">
        <v>0</v>
      </c>
      <c r="N1132" s="14" t="n">
        <v>489692.3751642562</v>
      </c>
      <c r="O1132" s="14" t="n">
        <v>494408.0188411637</v>
      </c>
      <c r="P1132" s="14" t="n">
        <v>8295.834462005017</v>
      </c>
      <c r="Q1132" s="14" t="n">
        <v>6985896.457404043</v>
      </c>
      <c r="R1132" s="15">
        <f>IF(D1132=1,"Section 1","Control")</f>
        <v/>
      </c>
      <c r="S1132" s="16">
        <f>N1132/10000</f>
        <v/>
      </c>
      <c r="T1132" s="16">
        <f>P1132/10000</f>
        <v/>
      </c>
      <c r="U1132" s="15">
        <f>IF(N1132&gt;=Summary!$D$3,1,0)</f>
        <v/>
      </c>
      <c r="V1132" s="17">
        <f>IF(N1132&gt;0,P1132/N1132,"")</f>
        <v/>
      </c>
      <c r="W1132" s="17">
        <f>IF(O1132&gt;0,H1132/O1132,"")</f>
        <v/>
      </c>
    </row>
    <row r="1133">
      <c r="A1133" s="13" t="inlineStr">
        <is>
          <t>T41_B2</t>
        </is>
      </c>
      <c r="B1133" s="13" t="inlineStr">
        <is>
          <t>T41</t>
        </is>
      </c>
      <c r="C1133" s="13" t="inlineStr">
        <is>
          <t>B2</t>
        </is>
      </c>
      <c r="D1133" s="13" t="n">
        <v>1</v>
      </c>
      <c r="E1133" s="13" t="inlineStr">
        <is>
          <t>S1</t>
        </is>
      </c>
      <c r="F1133" s="13" t="n">
        <v>2024</v>
      </c>
      <c r="G1133" s="14" t="n">
        <v>988769.4273284312</v>
      </c>
      <c r="H1133" s="14" t="n">
        <v>481285.0457293341</v>
      </c>
      <c r="I1133" s="14" t="n">
        <v>394.8740386962891</v>
      </c>
      <c r="J1133" s="14" t="n">
        <v>0</v>
      </c>
      <c r="K1133" s="14" t="n">
        <v>12728.09907313328</v>
      </c>
      <c r="L1133" s="14" t="n">
        <v>494361.4084872674</v>
      </c>
      <c r="M1133" s="14" t="n">
        <v>0</v>
      </c>
      <c r="N1133" s="14" t="n">
        <v>489692.3751642562</v>
      </c>
      <c r="O1133" s="14" t="n">
        <v>494408.0188411637</v>
      </c>
      <c r="P1133" s="14" t="n">
        <v>9516.459939964145</v>
      </c>
      <c r="Q1133" s="14" t="n">
        <v>6985896.457404043</v>
      </c>
      <c r="R1133" s="15">
        <f>IF(D1133=1,"Section 1","Control")</f>
        <v/>
      </c>
      <c r="S1133" s="16">
        <f>N1133/10000</f>
        <v/>
      </c>
      <c r="T1133" s="16">
        <f>P1133/10000</f>
        <v/>
      </c>
      <c r="U1133" s="15">
        <f>IF(N1133&gt;=Summary!$D$3,1,0)</f>
        <v/>
      </c>
      <c r="V1133" s="17">
        <f>IF(N1133&gt;0,P1133/N1133,"")</f>
        <v/>
      </c>
      <c r="W1133" s="17">
        <f>IF(O1133&gt;0,H1133/O1133,"")</f>
        <v/>
      </c>
    </row>
    <row r="1134">
      <c r="A1134" s="13" t="inlineStr">
        <is>
          <t>T41_B2</t>
        </is>
      </c>
      <c r="B1134" s="13" t="inlineStr">
        <is>
          <t>T41</t>
        </is>
      </c>
      <c r="C1134" s="13" t="inlineStr">
        <is>
          <t>B2</t>
        </is>
      </c>
      <c r="D1134" s="13" t="n">
        <v>1</v>
      </c>
      <c r="E1134" s="13" t="inlineStr">
        <is>
          <t>S1</t>
        </is>
      </c>
      <c r="F1134" s="13" t="n">
        <v>2025</v>
      </c>
      <c r="G1134" s="14" t="n">
        <v>988769.4273284312</v>
      </c>
      <c r="H1134" s="14" t="n">
        <v>481058.9614451987</v>
      </c>
      <c r="I1134" s="14" t="n">
        <v>296.1553192138672</v>
      </c>
      <c r="J1134" s="14" t="n">
        <v>0</v>
      </c>
      <c r="K1134" s="14" t="n">
        <v>13052.90207675111</v>
      </c>
      <c r="L1134" s="14" t="n">
        <v>494361.4084872675</v>
      </c>
      <c r="M1134" s="14" t="n">
        <v>0</v>
      </c>
      <c r="N1134" s="14" t="n">
        <v>489692.3751642562</v>
      </c>
      <c r="O1134" s="14" t="n">
        <v>494408.0188411637</v>
      </c>
      <c r="P1134" s="14" t="n">
        <v>9742.544224099553</v>
      </c>
      <c r="Q1134" s="14" t="n">
        <v>6985896.457404043</v>
      </c>
      <c r="R1134" s="15">
        <f>IF(D1134=1,"Section 1","Control")</f>
        <v/>
      </c>
      <c r="S1134" s="16">
        <f>N1134/10000</f>
        <v/>
      </c>
      <c r="T1134" s="16">
        <f>P1134/10000</f>
        <v/>
      </c>
      <c r="U1134" s="15">
        <f>IF(N1134&gt;=Summary!$D$3,1,0)</f>
        <v/>
      </c>
      <c r="V1134" s="17">
        <f>IF(N1134&gt;0,P1134/N1134,"")</f>
        <v/>
      </c>
      <c r="W1134" s="17">
        <f>IF(O1134&gt;0,H1134/O1134,"")</f>
        <v/>
      </c>
    </row>
    <row r="1135">
      <c r="A1135" s="13" t="inlineStr">
        <is>
          <t>T41_B2</t>
        </is>
      </c>
      <c r="B1135" s="13" t="inlineStr">
        <is>
          <t>T41</t>
        </is>
      </c>
      <c r="C1135" s="13" t="inlineStr">
        <is>
          <t>B2</t>
        </is>
      </c>
      <c r="D1135" s="13" t="n">
        <v>1</v>
      </c>
      <c r="E1135" s="13" t="inlineStr">
        <is>
          <t>S1</t>
        </is>
      </c>
      <c r="F1135" s="13" t="n">
        <v>2026</v>
      </c>
      <c r="G1135" s="14" t="n">
        <v>988769.4273284312</v>
      </c>
      <c r="H1135" s="14" t="n">
        <v>479183.3069575889</v>
      </c>
      <c r="I1135" s="14" t="n">
        <v>394.8747482299805</v>
      </c>
      <c r="J1135" s="14" t="n">
        <v>0</v>
      </c>
      <c r="K1135" s="14" t="n">
        <v>14829.83713534486</v>
      </c>
      <c r="L1135" s="14" t="n">
        <v>494361.4084872674</v>
      </c>
      <c r="M1135" s="14" t="n">
        <v>0</v>
      </c>
      <c r="N1135" s="14" t="n">
        <v>489692.3751642562</v>
      </c>
      <c r="O1135" s="14" t="n">
        <v>494408.0188411637</v>
      </c>
      <c r="P1135" s="14" t="n">
        <v>11716.91715653364</v>
      </c>
      <c r="Q1135" s="14" t="n">
        <v>6985896.457404043</v>
      </c>
      <c r="R1135" s="15">
        <f>IF(D1135=1,"Section 1","Control")</f>
        <v/>
      </c>
      <c r="S1135" s="16">
        <f>N1135/10000</f>
        <v/>
      </c>
      <c r="T1135" s="16">
        <f>P1135/10000</f>
        <v/>
      </c>
      <c r="U1135" s="15">
        <f>IF(N1135&gt;=Summary!$D$3,1,0)</f>
        <v/>
      </c>
      <c r="V1135" s="17">
        <f>IF(N1135&gt;0,P1135/N1135,"")</f>
        <v/>
      </c>
      <c r="W1135" s="17">
        <f>IF(O1135&gt;0,H1135/O1135,"")</f>
        <v/>
      </c>
    </row>
    <row r="1136">
      <c r="A1136" s="13" t="inlineStr">
        <is>
          <t>T41_B3</t>
        </is>
      </c>
      <c r="B1136" s="13" t="inlineStr">
        <is>
          <t>T41</t>
        </is>
      </c>
      <c r="C1136" s="13" t="inlineStr">
        <is>
          <t>B3</t>
        </is>
      </c>
      <c r="D1136" s="13" t="n">
        <v>1</v>
      </c>
      <c r="E1136" s="13" t="inlineStr">
        <is>
          <t>S1</t>
        </is>
      </c>
      <c r="F1136" s="13" t="n">
        <v>2020</v>
      </c>
      <c r="G1136" s="14" t="n">
        <v>7905180.958724795</v>
      </c>
      <c r="H1136" s="14" t="n">
        <v>2519122.808256023</v>
      </c>
      <c r="I1136" s="14" t="n">
        <v>778282.6952571196</v>
      </c>
      <c r="J1136" s="14" t="n">
        <v>0</v>
      </c>
      <c r="K1136" s="14" t="n">
        <v>654751.1016173718</v>
      </c>
      <c r="L1136" s="14" t="n">
        <v>3953024.353594283</v>
      </c>
      <c r="M1136" s="14" t="n">
        <v>0</v>
      </c>
      <c r="N1136" s="14" t="n">
        <v>2519122.808256023</v>
      </c>
      <c r="O1136" s="14" t="n">
        <v>3952156.605130513</v>
      </c>
      <c r="P1136" s="14" t="n">
        <v>0</v>
      </c>
      <c r="Q1136" s="14" t="n">
        <v>33908882.95860182</v>
      </c>
      <c r="R1136" s="15">
        <f>IF(D1136=1,"Section 1","Control")</f>
        <v/>
      </c>
      <c r="S1136" s="16">
        <f>N1136/10000</f>
        <v/>
      </c>
      <c r="T1136" s="16">
        <f>P1136/10000</f>
        <v/>
      </c>
      <c r="U1136" s="15">
        <f>IF(N1136&gt;=Summary!$D$3,1,0)</f>
        <v/>
      </c>
      <c r="V1136" s="17">
        <f>IF(N1136&gt;0,P1136/N1136,"")</f>
        <v/>
      </c>
      <c r="W1136" s="17">
        <f>IF(O1136&gt;0,H1136/O1136,"")</f>
        <v/>
      </c>
    </row>
    <row r="1137">
      <c r="A1137" s="13" t="inlineStr">
        <is>
          <t>T41_B3</t>
        </is>
      </c>
      <c r="B1137" s="13" t="inlineStr">
        <is>
          <t>T41</t>
        </is>
      </c>
      <c r="C1137" s="13" t="inlineStr">
        <is>
          <t>B3</t>
        </is>
      </c>
      <c r="D1137" s="13" t="n">
        <v>1</v>
      </c>
      <c r="E1137" s="13" t="inlineStr">
        <is>
          <t>S1</t>
        </is>
      </c>
      <c r="F1137" s="13" t="n">
        <v>2021</v>
      </c>
      <c r="G1137" s="14" t="n">
        <v>7905180.958724795</v>
      </c>
      <c r="H1137" s="14" t="n">
        <v>2081958.799598006</v>
      </c>
      <c r="I1137" s="14" t="n">
        <v>600476.6356532079</v>
      </c>
      <c r="J1137" s="14" t="n">
        <v>0</v>
      </c>
      <c r="K1137" s="14" t="n">
        <v>1269721.1698793</v>
      </c>
      <c r="L1137" s="14" t="n">
        <v>3953024.353594283</v>
      </c>
      <c r="M1137" s="14" t="n">
        <v>0</v>
      </c>
      <c r="N1137" s="14" t="n">
        <v>2519122.808256023</v>
      </c>
      <c r="O1137" s="14" t="n">
        <v>3952156.605130513</v>
      </c>
      <c r="P1137" s="14" t="n">
        <v>513178.153217181</v>
      </c>
      <c r="Q1137" s="14" t="n">
        <v>33908882.95860183</v>
      </c>
      <c r="R1137" s="15">
        <f>IF(D1137=1,"Section 1","Control")</f>
        <v/>
      </c>
      <c r="S1137" s="16">
        <f>N1137/10000</f>
        <v/>
      </c>
      <c r="T1137" s="16">
        <f>P1137/10000</f>
        <v/>
      </c>
      <c r="U1137" s="15">
        <f>IF(N1137&gt;=Summary!$D$3,1,0)</f>
        <v/>
      </c>
      <c r="V1137" s="17">
        <f>IF(N1137&gt;0,P1137/N1137,"")</f>
        <v/>
      </c>
      <c r="W1137" s="17">
        <f>IF(O1137&gt;0,H1137/O1137,"")</f>
        <v/>
      </c>
    </row>
    <row r="1138">
      <c r="A1138" s="13" t="inlineStr">
        <is>
          <t>T41_B3</t>
        </is>
      </c>
      <c r="B1138" s="13" t="inlineStr">
        <is>
          <t>T41</t>
        </is>
      </c>
      <c r="C1138" s="13" t="inlineStr">
        <is>
          <t>B3</t>
        </is>
      </c>
      <c r="D1138" s="13" t="n">
        <v>1</v>
      </c>
      <c r="E1138" s="13" t="inlineStr">
        <is>
          <t>S1</t>
        </is>
      </c>
      <c r="F1138" s="13" t="n">
        <v>2022</v>
      </c>
      <c r="G1138" s="14" t="n">
        <v>7905180.958724795</v>
      </c>
      <c r="H1138" s="14" t="n">
        <v>1654631.248360339</v>
      </c>
      <c r="I1138" s="14" t="n">
        <v>322892.5743622126</v>
      </c>
      <c r="J1138" s="14" t="n">
        <v>0</v>
      </c>
      <c r="K1138" s="14" t="n">
        <v>1974632.782407963</v>
      </c>
      <c r="L1138" s="14" t="n">
        <v>3953024.353594283</v>
      </c>
      <c r="M1138" s="14" t="n">
        <v>0</v>
      </c>
      <c r="N1138" s="14" t="n">
        <v>2519122.808256022</v>
      </c>
      <c r="O1138" s="14" t="n">
        <v>3952156.605130513</v>
      </c>
      <c r="P1138" s="14" t="n">
        <v>921255.304383551</v>
      </c>
      <c r="Q1138" s="14" t="n">
        <v>33908882.95860183</v>
      </c>
      <c r="R1138" s="15">
        <f>IF(D1138=1,"Section 1","Control")</f>
        <v/>
      </c>
      <c r="S1138" s="16">
        <f>N1138/10000</f>
        <v/>
      </c>
      <c r="T1138" s="16">
        <f>P1138/10000</f>
        <v/>
      </c>
      <c r="U1138" s="15">
        <f>IF(N1138&gt;=Summary!$D$3,1,0)</f>
        <v/>
      </c>
      <c r="V1138" s="17">
        <f>IF(N1138&gt;0,P1138/N1138,"")</f>
        <v/>
      </c>
      <c r="W1138" s="17">
        <f>IF(O1138&gt;0,H1138/O1138,"")</f>
        <v/>
      </c>
    </row>
    <row r="1139">
      <c r="A1139" s="13" t="inlineStr">
        <is>
          <t>T41_B3</t>
        </is>
      </c>
      <c r="B1139" s="13" t="inlineStr">
        <is>
          <t>T41</t>
        </is>
      </c>
      <c r="C1139" s="13" t="inlineStr">
        <is>
          <t>B3</t>
        </is>
      </c>
      <c r="D1139" s="13" t="n">
        <v>1</v>
      </c>
      <c r="E1139" s="13" t="inlineStr">
        <is>
          <t>S1</t>
        </is>
      </c>
      <c r="F1139" s="13" t="n">
        <v>2023</v>
      </c>
      <c r="G1139" s="14" t="n">
        <v>7905180.958724795</v>
      </c>
      <c r="H1139" s="14" t="n">
        <v>1602493.971618682</v>
      </c>
      <c r="I1139" s="14" t="n">
        <v>623431.2777322507</v>
      </c>
      <c r="J1139" s="14" t="n">
        <v>0</v>
      </c>
      <c r="K1139" s="14" t="n">
        <v>1726231.35577958</v>
      </c>
      <c r="L1139" s="14" t="n">
        <v>3953024.353594283</v>
      </c>
      <c r="M1139" s="14" t="n">
        <v>0</v>
      </c>
      <c r="N1139" s="14" t="n">
        <v>2519122.808256023</v>
      </c>
      <c r="O1139" s="14" t="n">
        <v>3952156.605130513</v>
      </c>
      <c r="P1139" s="14" t="n">
        <v>966826.9127345366</v>
      </c>
      <c r="Q1139" s="14" t="n">
        <v>33908882.95860183</v>
      </c>
      <c r="R1139" s="15">
        <f>IF(D1139=1,"Section 1","Control")</f>
        <v/>
      </c>
      <c r="S1139" s="16">
        <f>N1139/10000</f>
        <v/>
      </c>
      <c r="T1139" s="16">
        <f>P1139/10000</f>
        <v/>
      </c>
      <c r="U1139" s="15">
        <f>IF(N1139&gt;=Summary!$D$3,1,0)</f>
        <v/>
      </c>
      <c r="V1139" s="17">
        <f>IF(N1139&gt;0,P1139/N1139,"")</f>
        <v/>
      </c>
      <c r="W1139" s="17">
        <f>IF(O1139&gt;0,H1139/O1139,"")</f>
        <v/>
      </c>
    </row>
    <row r="1140">
      <c r="A1140" s="13" t="inlineStr">
        <is>
          <t>T41_B3</t>
        </is>
      </c>
      <c r="B1140" s="13" t="inlineStr">
        <is>
          <t>T41</t>
        </is>
      </c>
      <c r="C1140" s="13" t="inlineStr">
        <is>
          <t>B3</t>
        </is>
      </c>
      <c r="D1140" s="13" t="n">
        <v>1</v>
      </c>
      <c r="E1140" s="13" t="inlineStr">
        <is>
          <t>S1</t>
        </is>
      </c>
      <c r="F1140" s="13" t="n">
        <v>2024</v>
      </c>
      <c r="G1140" s="14" t="n">
        <v>7905180.958724795</v>
      </c>
      <c r="H1140" s="14" t="n">
        <v>1786578.298341609</v>
      </c>
      <c r="I1140" s="14" t="n">
        <v>422549.0823509666</v>
      </c>
      <c r="J1140" s="14" t="n">
        <v>0</v>
      </c>
      <c r="K1140" s="14" t="n">
        <v>1743029.224437938</v>
      </c>
      <c r="L1140" s="14" t="n">
        <v>3953024.353594283</v>
      </c>
      <c r="M1140" s="14" t="n">
        <v>0</v>
      </c>
      <c r="N1140" s="14" t="n">
        <v>2519122.808256022</v>
      </c>
      <c r="O1140" s="14" t="n">
        <v>3952156.605130513</v>
      </c>
      <c r="P1140" s="14" t="n">
        <v>926726.6388105506</v>
      </c>
      <c r="Q1140" s="14" t="n">
        <v>33908882.95860183</v>
      </c>
      <c r="R1140" s="15">
        <f>IF(D1140=1,"Section 1","Control")</f>
        <v/>
      </c>
      <c r="S1140" s="16">
        <f>N1140/10000</f>
        <v/>
      </c>
      <c r="T1140" s="16">
        <f>P1140/10000</f>
        <v/>
      </c>
      <c r="U1140" s="15">
        <f>IF(N1140&gt;=Summary!$D$3,1,0)</f>
        <v/>
      </c>
      <c r="V1140" s="17">
        <f>IF(N1140&gt;0,P1140/N1140,"")</f>
        <v/>
      </c>
      <c r="W1140" s="17">
        <f>IF(O1140&gt;0,H1140/O1140,"")</f>
        <v/>
      </c>
    </row>
    <row r="1141">
      <c r="A1141" s="13" t="inlineStr">
        <is>
          <t>T41_B3</t>
        </is>
      </c>
      <c r="B1141" s="13" t="inlineStr">
        <is>
          <t>T41</t>
        </is>
      </c>
      <c r="C1141" s="13" t="inlineStr">
        <is>
          <t>B3</t>
        </is>
      </c>
      <c r="D1141" s="13" t="n">
        <v>1</v>
      </c>
      <c r="E1141" s="13" t="inlineStr">
        <is>
          <t>S1</t>
        </is>
      </c>
      <c r="F1141" s="13" t="n">
        <v>2025</v>
      </c>
      <c r="G1141" s="14" t="n">
        <v>7905180.958724795</v>
      </c>
      <c r="H1141" s="14" t="n">
        <v>1715557.73387517</v>
      </c>
      <c r="I1141" s="14" t="n">
        <v>469804.9916066488</v>
      </c>
      <c r="J1141" s="14" t="n">
        <v>0</v>
      </c>
      <c r="K1141" s="14" t="n">
        <v>1766793.879648695</v>
      </c>
      <c r="L1141" s="14" t="n">
        <v>3953024.353594283</v>
      </c>
      <c r="M1141" s="14" t="n">
        <v>0</v>
      </c>
      <c r="N1141" s="14" t="n">
        <v>2519122.808256022</v>
      </c>
      <c r="O1141" s="14" t="n">
        <v>3952156.605130513</v>
      </c>
      <c r="P1141" s="14" t="n">
        <v>989714.0243386064</v>
      </c>
      <c r="Q1141" s="14" t="n">
        <v>33908882.95860183</v>
      </c>
      <c r="R1141" s="15">
        <f>IF(D1141=1,"Section 1","Control")</f>
        <v/>
      </c>
      <c r="S1141" s="16">
        <f>N1141/10000</f>
        <v/>
      </c>
      <c r="T1141" s="16">
        <f>P1141/10000</f>
        <v/>
      </c>
      <c r="U1141" s="15">
        <f>IF(N1141&gt;=Summary!$D$3,1,0)</f>
        <v/>
      </c>
      <c r="V1141" s="17">
        <f>IF(N1141&gt;0,P1141/N1141,"")</f>
        <v/>
      </c>
      <c r="W1141" s="17">
        <f>IF(O1141&gt;0,H1141/O1141,"")</f>
        <v/>
      </c>
    </row>
    <row r="1142">
      <c r="A1142" s="13" t="inlineStr">
        <is>
          <t>T41_B3</t>
        </is>
      </c>
      <c r="B1142" s="13" t="inlineStr">
        <is>
          <t>T41</t>
        </is>
      </c>
      <c r="C1142" s="13" t="inlineStr">
        <is>
          <t>B3</t>
        </is>
      </c>
      <c r="D1142" s="13" t="n">
        <v>1</v>
      </c>
      <c r="E1142" s="13" t="inlineStr">
        <is>
          <t>S1</t>
        </is>
      </c>
      <c r="F1142" s="13" t="n">
        <v>2026</v>
      </c>
      <c r="G1142" s="14" t="n">
        <v>7905180.958724795</v>
      </c>
      <c r="H1142" s="14" t="n">
        <v>1830877.621069187</v>
      </c>
      <c r="I1142" s="14" t="n">
        <v>269276.1964845844</v>
      </c>
      <c r="J1142" s="14" t="n">
        <v>0</v>
      </c>
      <c r="K1142" s="14" t="n">
        <v>1852002.787576743</v>
      </c>
      <c r="L1142" s="14" t="n">
        <v>3953024.353594282</v>
      </c>
      <c r="M1142" s="14" t="n">
        <v>0</v>
      </c>
      <c r="N1142" s="14" t="n">
        <v>2519122.808256023</v>
      </c>
      <c r="O1142" s="14" t="n">
        <v>3952156.605130513</v>
      </c>
      <c r="P1142" s="14" t="n">
        <v>965749.2277998682</v>
      </c>
      <c r="Q1142" s="14" t="n">
        <v>33908882.95860183</v>
      </c>
      <c r="R1142" s="15">
        <f>IF(D1142=1,"Section 1","Control")</f>
        <v/>
      </c>
      <c r="S1142" s="16">
        <f>N1142/10000</f>
        <v/>
      </c>
      <c r="T1142" s="16">
        <f>P1142/10000</f>
        <v/>
      </c>
      <c r="U1142" s="15">
        <f>IF(N1142&gt;=Summary!$D$3,1,0)</f>
        <v/>
      </c>
      <c r="V1142" s="17">
        <f>IF(N1142&gt;0,P1142/N1142,"")</f>
        <v/>
      </c>
      <c r="W1142" s="17">
        <f>IF(O1142&gt;0,H1142/O1142,"")</f>
        <v/>
      </c>
    </row>
    <row r="1143">
      <c r="A1143" s="13" t="inlineStr">
        <is>
          <t>T41_F</t>
        </is>
      </c>
      <c r="B1143" s="13" t="inlineStr">
        <is>
          <t>T41</t>
        </is>
      </c>
      <c r="C1143" s="13" t="inlineStr">
        <is>
          <t>F</t>
        </is>
      </c>
      <c r="D1143" s="13" t="n">
        <v>1</v>
      </c>
      <c r="E1143" s="13" t="inlineStr">
        <is>
          <t>S1</t>
        </is>
      </c>
      <c r="F1143" s="13" t="n">
        <v>2020</v>
      </c>
      <c r="G1143" s="14" t="n">
        <v>68320.56942820833</v>
      </c>
      <c r="H1143" s="14" t="n">
        <v>62000.92967747709</v>
      </c>
      <c r="I1143" s="14" t="n">
        <v>1525.710890317431</v>
      </c>
      <c r="J1143" s="14" t="n">
        <v>0</v>
      </c>
      <c r="K1143" s="14" t="n">
        <v>4793.928860413796</v>
      </c>
      <c r="L1143" s="14" t="n">
        <v>0</v>
      </c>
      <c r="M1143" s="14" t="n">
        <v>0</v>
      </c>
      <c r="N1143" s="14" t="n">
        <v>62000.92967747709</v>
      </c>
      <c r="O1143" s="14" t="n">
        <v>68320.56942820833</v>
      </c>
      <c r="P1143" s="14" t="n">
        <v>0</v>
      </c>
      <c r="Q1143" s="14" t="n">
        <v>961820.4287176392</v>
      </c>
      <c r="R1143" s="15">
        <f>IF(D1143=1,"Section 1","Control")</f>
        <v/>
      </c>
      <c r="S1143" s="16">
        <f>N1143/10000</f>
        <v/>
      </c>
      <c r="T1143" s="16">
        <f>P1143/10000</f>
        <v/>
      </c>
      <c r="U1143" s="15">
        <f>IF(N1143&gt;=Summary!$D$3,1,0)</f>
        <v/>
      </c>
      <c r="V1143" s="17">
        <f>IF(N1143&gt;0,P1143/N1143,"")</f>
        <v/>
      </c>
      <c r="W1143" s="17">
        <f>IF(O1143&gt;0,H1143/O1143,"")</f>
        <v/>
      </c>
    </row>
    <row r="1144">
      <c r="A1144" s="13" t="inlineStr">
        <is>
          <t>T41_F</t>
        </is>
      </c>
      <c r="B1144" s="13" t="inlineStr">
        <is>
          <t>T41</t>
        </is>
      </c>
      <c r="C1144" s="13" t="inlineStr">
        <is>
          <t>F</t>
        </is>
      </c>
      <c r="D1144" s="13" t="n">
        <v>1</v>
      </c>
      <c r="E1144" s="13" t="inlineStr">
        <is>
          <t>S1</t>
        </is>
      </c>
      <c r="F1144" s="13" t="n">
        <v>2021</v>
      </c>
      <c r="G1144" s="14" t="n">
        <v>68320.56942820833</v>
      </c>
      <c r="H1144" s="14" t="n">
        <v>61829.04045772181</v>
      </c>
      <c r="I1144" s="14" t="n">
        <v>699.558386739095</v>
      </c>
      <c r="J1144" s="14" t="n">
        <v>0</v>
      </c>
      <c r="K1144" s="14" t="n">
        <v>5791.970583747417</v>
      </c>
      <c r="L1144" s="14" t="n">
        <v>0</v>
      </c>
      <c r="M1144" s="14" t="n">
        <v>0</v>
      </c>
      <c r="N1144" s="14" t="n">
        <v>62000.92967747709</v>
      </c>
      <c r="O1144" s="14" t="n">
        <v>68320.56942820833</v>
      </c>
      <c r="P1144" s="14" t="n">
        <v>296.1605529785156</v>
      </c>
      <c r="Q1144" s="14" t="n">
        <v>961820.4287176392</v>
      </c>
      <c r="R1144" s="15">
        <f>IF(D1144=1,"Section 1","Control")</f>
        <v/>
      </c>
      <c r="S1144" s="16">
        <f>N1144/10000</f>
        <v/>
      </c>
      <c r="T1144" s="16">
        <f>P1144/10000</f>
        <v/>
      </c>
      <c r="U1144" s="15">
        <f>IF(N1144&gt;=Summary!$D$3,1,0)</f>
        <v/>
      </c>
      <c r="V1144" s="17">
        <f>IF(N1144&gt;0,P1144/N1144,"")</f>
        <v/>
      </c>
      <c r="W1144" s="17">
        <f>IF(O1144&gt;0,H1144/O1144,"")</f>
        <v/>
      </c>
    </row>
    <row r="1145">
      <c r="A1145" s="13" t="inlineStr">
        <is>
          <t>T41_F</t>
        </is>
      </c>
      <c r="B1145" s="13" t="inlineStr">
        <is>
          <t>T41</t>
        </is>
      </c>
      <c r="C1145" s="13" t="inlineStr">
        <is>
          <t>F</t>
        </is>
      </c>
      <c r="D1145" s="13" t="n">
        <v>1</v>
      </c>
      <c r="E1145" s="13" t="inlineStr">
        <is>
          <t>S1</t>
        </is>
      </c>
      <c r="F1145" s="13" t="n">
        <v>2022</v>
      </c>
      <c r="G1145" s="14" t="n">
        <v>68320.56942820833</v>
      </c>
      <c r="H1145" s="14" t="n">
        <v>62043.12774020927</v>
      </c>
      <c r="I1145" s="14" t="n">
        <v>296.1605529785156</v>
      </c>
      <c r="J1145" s="14" t="n">
        <v>0</v>
      </c>
      <c r="K1145" s="14" t="n">
        <v>5981.281135020538</v>
      </c>
      <c r="L1145" s="14" t="n">
        <v>0</v>
      </c>
      <c r="M1145" s="14" t="n">
        <v>0</v>
      </c>
      <c r="N1145" s="14" t="n">
        <v>62000.92967747709</v>
      </c>
      <c r="O1145" s="14" t="n">
        <v>68320.56942820833</v>
      </c>
      <c r="P1145" s="14" t="n">
        <v>296.1605529785156</v>
      </c>
      <c r="Q1145" s="14" t="n">
        <v>961820.4287176392</v>
      </c>
      <c r="R1145" s="15">
        <f>IF(D1145=1,"Section 1","Control")</f>
        <v/>
      </c>
      <c r="S1145" s="16">
        <f>N1145/10000</f>
        <v/>
      </c>
      <c r="T1145" s="16">
        <f>P1145/10000</f>
        <v/>
      </c>
      <c r="U1145" s="15">
        <f>IF(N1145&gt;=Summary!$D$3,1,0)</f>
        <v/>
      </c>
      <c r="V1145" s="17">
        <f>IF(N1145&gt;0,P1145/N1145,"")</f>
        <v/>
      </c>
      <c r="W1145" s="17">
        <f>IF(O1145&gt;0,H1145/O1145,"")</f>
        <v/>
      </c>
    </row>
    <row r="1146">
      <c r="A1146" s="13" t="inlineStr">
        <is>
          <t>T41_F</t>
        </is>
      </c>
      <c r="B1146" s="13" t="inlineStr">
        <is>
          <t>T41</t>
        </is>
      </c>
      <c r="C1146" s="13" t="inlineStr">
        <is>
          <t>F</t>
        </is>
      </c>
      <c r="D1146" s="13" t="n">
        <v>1</v>
      </c>
      <c r="E1146" s="13" t="inlineStr">
        <is>
          <t>S1</t>
        </is>
      </c>
      <c r="F1146" s="13" t="n">
        <v>2023</v>
      </c>
      <c r="G1146" s="14" t="n">
        <v>68320.56942820833</v>
      </c>
      <c r="H1146" s="14" t="n">
        <v>62339.28829318778</v>
      </c>
      <c r="I1146" s="14" t="n">
        <v>49.94082228716682</v>
      </c>
      <c r="J1146" s="14" t="n">
        <v>0</v>
      </c>
      <c r="K1146" s="14" t="n">
        <v>5931.340312733371</v>
      </c>
      <c r="L1146" s="14" t="n">
        <v>0</v>
      </c>
      <c r="M1146" s="14" t="n">
        <v>0</v>
      </c>
      <c r="N1146" s="14" t="n">
        <v>62000.92967747709</v>
      </c>
      <c r="O1146" s="14" t="n">
        <v>68320.56942820833</v>
      </c>
      <c r="P1146" s="14" t="n">
        <v>296.1605529785156</v>
      </c>
      <c r="Q1146" s="14" t="n">
        <v>961820.4287176392</v>
      </c>
      <c r="R1146" s="15">
        <f>IF(D1146=1,"Section 1","Control")</f>
        <v/>
      </c>
      <c r="S1146" s="16">
        <f>N1146/10000</f>
        <v/>
      </c>
      <c r="T1146" s="16">
        <f>P1146/10000</f>
        <v/>
      </c>
      <c r="U1146" s="15">
        <f>IF(N1146&gt;=Summary!$D$3,1,0)</f>
        <v/>
      </c>
      <c r="V1146" s="17">
        <f>IF(N1146&gt;0,P1146/N1146,"")</f>
        <v/>
      </c>
      <c r="W1146" s="17">
        <f>IF(O1146&gt;0,H1146/O1146,"")</f>
        <v/>
      </c>
    </row>
    <row r="1147">
      <c r="A1147" s="13" t="inlineStr">
        <is>
          <t>T41_F</t>
        </is>
      </c>
      <c r="B1147" s="13" t="inlineStr">
        <is>
          <t>T41</t>
        </is>
      </c>
      <c r="C1147" s="13" t="inlineStr">
        <is>
          <t>F</t>
        </is>
      </c>
      <c r="D1147" s="13" t="n">
        <v>1</v>
      </c>
      <c r="E1147" s="13" t="inlineStr">
        <is>
          <t>S1</t>
        </is>
      </c>
      <c r="F1147" s="13" t="n">
        <v>2024</v>
      </c>
      <c r="G1147" s="14" t="n">
        <v>68320.56942820833</v>
      </c>
      <c r="H1147" s="14" t="n">
        <v>62282.37894026814</v>
      </c>
      <c r="I1147" s="14" t="n">
        <v>98.72026824951172</v>
      </c>
      <c r="J1147" s="14" t="n">
        <v>0</v>
      </c>
      <c r="K1147" s="14" t="n">
        <v>5939.470219690661</v>
      </c>
      <c r="L1147" s="14" t="n">
        <v>0</v>
      </c>
      <c r="M1147" s="14" t="n">
        <v>0</v>
      </c>
      <c r="N1147" s="14" t="n">
        <v>62000.92967747709</v>
      </c>
      <c r="O1147" s="14" t="n">
        <v>68320.56942820833</v>
      </c>
      <c r="P1147" s="14" t="n">
        <v>403.0107281853171</v>
      </c>
      <c r="Q1147" s="14" t="n">
        <v>961820.4287176392</v>
      </c>
      <c r="R1147" s="15">
        <f>IF(D1147=1,"Section 1","Control")</f>
        <v/>
      </c>
      <c r="S1147" s="16">
        <f>N1147/10000</f>
        <v/>
      </c>
      <c r="T1147" s="16">
        <f>P1147/10000</f>
        <v/>
      </c>
      <c r="U1147" s="15">
        <f>IF(N1147&gt;=Summary!$D$3,1,0)</f>
        <v/>
      </c>
      <c r="V1147" s="17">
        <f>IF(N1147&gt;0,P1147/N1147,"")</f>
        <v/>
      </c>
      <c r="W1147" s="17">
        <f>IF(O1147&gt;0,H1147/O1147,"")</f>
        <v/>
      </c>
    </row>
    <row r="1148">
      <c r="A1148" s="13" t="inlineStr">
        <is>
          <t>T41_F</t>
        </is>
      </c>
      <c r="B1148" s="13" t="inlineStr">
        <is>
          <t>T41</t>
        </is>
      </c>
      <c r="C1148" s="13" t="inlineStr">
        <is>
          <t>F</t>
        </is>
      </c>
      <c r="D1148" s="13" t="n">
        <v>1</v>
      </c>
      <c r="E1148" s="13" t="inlineStr">
        <is>
          <t>S1</t>
        </is>
      </c>
      <c r="F1148" s="13" t="n">
        <v>2025</v>
      </c>
      <c r="G1148" s="14" t="n">
        <v>68320.56942820833</v>
      </c>
      <c r="H1148" s="14" t="n">
        <v>328.6803330664541</v>
      </c>
      <c r="I1148" s="14" t="n">
        <v>10277.35527651918</v>
      </c>
      <c r="J1148" s="14" t="n">
        <v>0</v>
      </c>
      <c r="K1148" s="14" t="n">
        <v>57714.53381862268</v>
      </c>
      <c r="L1148" s="14" t="n">
        <v>0</v>
      </c>
      <c r="M1148" s="14" t="n">
        <v>0</v>
      </c>
      <c r="N1148" s="14" t="n">
        <v>62000.92967747709</v>
      </c>
      <c r="O1148" s="14" t="n">
        <v>68320.56942820833</v>
      </c>
      <c r="P1148" s="14" t="n">
        <v>61672.24934441064</v>
      </c>
      <c r="Q1148" s="14" t="n">
        <v>961820.4287176392</v>
      </c>
      <c r="R1148" s="15">
        <f>IF(D1148=1,"Section 1","Control")</f>
        <v/>
      </c>
      <c r="S1148" s="16">
        <f>N1148/10000</f>
        <v/>
      </c>
      <c r="T1148" s="16">
        <f>P1148/10000</f>
        <v/>
      </c>
      <c r="U1148" s="15">
        <f>IF(N1148&gt;=Summary!$D$3,1,0)</f>
        <v/>
      </c>
      <c r="V1148" s="17">
        <f>IF(N1148&gt;0,P1148/N1148,"")</f>
        <v/>
      </c>
      <c r="W1148" s="17">
        <f>IF(O1148&gt;0,H1148/O1148,"")</f>
        <v/>
      </c>
    </row>
    <row r="1149">
      <c r="A1149" s="13" t="inlineStr">
        <is>
          <t>T41_F</t>
        </is>
      </c>
      <c r="B1149" s="13" t="inlineStr">
        <is>
          <t>T41</t>
        </is>
      </c>
      <c r="C1149" s="13" t="inlineStr">
        <is>
          <t>F</t>
        </is>
      </c>
      <c r="D1149" s="13" t="n">
        <v>1</v>
      </c>
      <c r="E1149" s="13" t="inlineStr">
        <is>
          <t>S1</t>
        </is>
      </c>
      <c r="F1149" s="13" t="n">
        <v>2026</v>
      </c>
      <c r="G1149" s="14" t="n">
        <v>68320.56942820833</v>
      </c>
      <c r="H1149" s="14" t="n">
        <v>233.0572240492877</v>
      </c>
      <c r="I1149" s="14" t="n">
        <v>24810.12675583783</v>
      </c>
      <c r="J1149" s="14" t="n">
        <v>0</v>
      </c>
      <c r="K1149" s="14" t="n">
        <v>43277.38544832115</v>
      </c>
      <c r="L1149" s="14" t="n">
        <v>0</v>
      </c>
      <c r="M1149" s="14" t="n">
        <v>0</v>
      </c>
      <c r="N1149" s="14" t="n">
        <v>62000.92967747709</v>
      </c>
      <c r="O1149" s="14" t="n">
        <v>68320.56942820833</v>
      </c>
      <c r="P1149" s="14" t="n">
        <v>61767.87245342781</v>
      </c>
      <c r="Q1149" s="14" t="n">
        <v>961820.4287176392</v>
      </c>
      <c r="R1149" s="15">
        <f>IF(D1149=1,"Section 1","Control")</f>
        <v/>
      </c>
      <c r="S1149" s="16">
        <f>N1149/10000</f>
        <v/>
      </c>
      <c r="T1149" s="16">
        <f>P1149/10000</f>
        <v/>
      </c>
      <c r="U1149" s="15">
        <f>IF(N1149&gt;=Summary!$D$3,1,0)</f>
        <v/>
      </c>
      <c r="V1149" s="17">
        <f>IF(N1149&gt;0,P1149/N1149,"")</f>
        <v/>
      </c>
      <c r="W1149" s="17">
        <f>IF(O1149&gt;0,H1149/O1149,"")</f>
        <v/>
      </c>
    </row>
    <row r="1150">
      <c r="A1150" s="13" t="inlineStr">
        <is>
          <t>T42_B1</t>
        </is>
      </c>
      <c r="B1150" s="13" t="inlineStr">
        <is>
          <t>T42</t>
        </is>
      </c>
      <c r="C1150" s="13" t="inlineStr">
        <is>
          <t>B1</t>
        </is>
      </c>
      <c r="D1150" s="13" t="n">
        <v>1</v>
      </c>
      <c r="E1150" s="13" t="inlineStr">
        <is>
          <t>S1</t>
        </is>
      </c>
      <c r="F1150" s="13" t="n">
        <v>2020</v>
      </c>
      <c r="G1150" s="14" t="n">
        <v>1005926.831378084</v>
      </c>
      <c r="H1150" s="14" t="n">
        <v>646091.8639705583</v>
      </c>
      <c r="I1150" s="14" t="n">
        <v>160872.2003918517</v>
      </c>
      <c r="J1150" s="14" t="n">
        <v>28516.32128807516</v>
      </c>
      <c r="K1150" s="14" t="n">
        <v>72852.94880134733</v>
      </c>
      <c r="L1150" s="14" t="n">
        <v>97593.4969262516</v>
      </c>
      <c r="M1150" s="14" t="n">
        <v>0</v>
      </c>
      <c r="N1150" s="14" t="n">
        <v>646091.8639705583</v>
      </c>
      <c r="O1150" s="14" t="n">
        <v>908333.3344518322</v>
      </c>
      <c r="P1150" s="14" t="n">
        <v>0</v>
      </c>
      <c r="Q1150" s="14" t="n">
        <v>10113939.80762796</v>
      </c>
      <c r="R1150" s="15">
        <f>IF(D1150=1,"Section 1","Control")</f>
        <v/>
      </c>
      <c r="S1150" s="16">
        <f>N1150/10000</f>
        <v/>
      </c>
      <c r="T1150" s="16">
        <f>P1150/10000</f>
        <v/>
      </c>
      <c r="U1150" s="15">
        <f>IF(N1150&gt;=Summary!$D$3,1,0)</f>
        <v/>
      </c>
      <c r="V1150" s="17">
        <f>IF(N1150&gt;0,P1150/N1150,"")</f>
        <v/>
      </c>
      <c r="W1150" s="17">
        <f>IF(O1150&gt;0,H1150/O1150,"")</f>
        <v/>
      </c>
    </row>
    <row r="1151">
      <c r="A1151" s="13" t="inlineStr">
        <is>
          <t>T42_B1</t>
        </is>
      </c>
      <c r="B1151" s="13" t="inlineStr">
        <is>
          <t>T42</t>
        </is>
      </c>
      <c r="C1151" s="13" t="inlineStr">
        <is>
          <t>B1</t>
        </is>
      </c>
      <c r="D1151" s="13" t="n">
        <v>1</v>
      </c>
      <c r="E1151" s="13" t="inlineStr">
        <is>
          <t>S1</t>
        </is>
      </c>
      <c r="F1151" s="13" t="n">
        <v>2021</v>
      </c>
      <c r="G1151" s="14" t="n">
        <v>1005926.831378084</v>
      </c>
      <c r="H1151" s="14" t="n">
        <v>599221.2171901029</v>
      </c>
      <c r="I1151" s="14" t="n">
        <v>148524.4643134323</v>
      </c>
      <c r="J1151" s="14" t="n">
        <v>28853.51970487108</v>
      </c>
      <c r="K1151" s="14" t="n">
        <v>139350.3445663751</v>
      </c>
      <c r="L1151" s="14" t="n">
        <v>89977.28560330262</v>
      </c>
      <c r="M1151" s="14" t="n">
        <v>0</v>
      </c>
      <c r="N1151" s="14" t="n">
        <v>646091.8639705583</v>
      </c>
      <c r="O1151" s="14" t="n">
        <v>908333.3344518322</v>
      </c>
      <c r="P1151" s="14" t="n">
        <v>56032.27153209611</v>
      </c>
      <c r="Q1151" s="14" t="n">
        <v>10113939.80762796</v>
      </c>
      <c r="R1151" s="15">
        <f>IF(D1151=1,"Section 1","Control")</f>
        <v/>
      </c>
      <c r="S1151" s="16">
        <f>N1151/10000</f>
        <v/>
      </c>
      <c r="T1151" s="16">
        <f>P1151/10000</f>
        <v/>
      </c>
      <c r="U1151" s="15">
        <f>IF(N1151&gt;=Summary!$D$3,1,0)</f>
        <v/>
      </c>
      <c r="V1151" s="17">
        <f>IF(N1151&gt;0,P1151/N1151,"")</f>
        <v/>
      </c>
      <c r="W1151" s="17">
        <f>IF(O1151&gt;0,H1151/O1151,"")</f>
        <v/>
      </c>
    </row>
    <row r="1152">
      <c r="A1152" s="13" t="inlineStr">
        <is>
          <t>T42_B1</t>
        </is>
      </c>
      <c r="B1152" s="13" t="inlineStr">
        <is>
          <t>T42</t>
        </is>
      </c>
      <c r="C1152" s="13" t="inlineStr">
        <is>
          <t>B1</t>
        </is>
      </c>
      <c r="D1152" s="13" t="n">
        <v>1</v>
      </c>
      <c r="E1152" s="13" t="inlineStr">
        <is>
          <t>S1</t>
        </is>
      </c>
      <c r="F1152" s="13" t="n">
        <v>2022</v>
      </c>
      <c r="G1152" s="14" t="n">
        <v>1005926.831378084</v>
      </c>
      <c r="H1152" s="14" t="n">
        <v>571507.479314707</v>
      </c>
      <c r="I1152" s="14" t="n">
        <v>166660.3650810092</v>
      </c>
      <c r="J1152" s="14" t="n">
        <v>29149.68139462938</v>
      </c>
      <c r="K1152" s="14" t="n">
        <v>149587.0949109844</v>
      </c>
      <c r="L1152" s="14" t="n">
        <v>89022.21067675424</v>
      </c>
      <c r="M1152" s="14" t="n">
        <v>0</v>
      </c>
      <c r="N1152" s="14" t="n">
        <v>646091.8639705584</v>
      </c>
      <c r="O1152" s="14" t="n">
        <v>908333.3344518322</v>
      </c>
      <c r="P1152" s="14" t="n">
        <v>83366.22204275691</v>
      </c>
      <c r="Q1152" s="14" t="n">
        <v>10113939.80762796</v>
      </c>
      <c r="R1152" s="15">
        <f>IF(D1152=1,"Section 1","Control")</f>
        <v/>
      </c>
      <c r="S1152" s="16">
        <f>N1152/10000</f>
        <v/>
      </c>
      <c r="T1152" s="16">
        <f>P1152/10000</f>
        <v/>
      </c>
      <c r="U1152" s="15">
        <f>IF(N1152&gt;=Summary!$D$3,1,0)</f>
        <v/>
      </c>
      <c r="V1152" s="17">
        <f>IF(N1152&gt;0,P1152/N1152,"")</f>
        <v/>
      </c>
      <c r="W1152" s="17">
        <f>IF(O1152&gt;0,H1152/O1152,"")</f>
        <v/>
      </c>
    </row>
    <row r="1153">
      <c r="A1153" s="13" t="inlineStr">
        <is>
          <t>T42_B1</t>
        </is>
      </c>
      <c r="B1153" s="13" t="inlineStr">
        <is>
          <t>T42</t>
        </is>
      </c>
      <c r="C1153" s="13" t="inlineStr">
        <is>
          <t>B1</t>
        </is>
      </c>
      <c r="D1153" s="13" t="n">
        <v>1</v>
      </c>
      <c r="E1153" s="13" t="inlineStr">
        <is>
          <t>S1</t>
        </is>
      </c>
      <c r="F1153" s="13" t="n">
        <v>2023</v>
      </c>
      <c r="G1153" s="14" t="n">
        <v>1005926.831378084</v>
      </c>
      <c r="H1153" s="14" t="n">
        <v>567463.8125192381</v>
      </c>
      <c r="I1153" s="14" t="n">
        <v>163447.0678856943</v>
      </c>
      <c r="J1153" s="14" t="n">
        <v>29149.68139462938</v>
      </c>
      <c r="K1153" s="14" t="n">
        <v>142465.6691932229</v>
      </c>
      <c r="L1153" s="14" t="n">
        <v>103400.6003852994</v>
      </c>
      <c r="M1153" s="14" t="n">
        <v>0</v>
      </c>
      <c r="N1153" s="14" t="n">
        <v>646091.8639705583</v>
      </c>
      <c r="O1153" s="14" t="n">
        <v>908333.3344518322</v>
      </c>
      <c r="P1153" s="14" t="n">
        <v>87791.99677647608</v>
      </c>
      <c r="Q1153" s="14" t="n">
        <v>10113939.80762796</v>
      </c>
      <c r="R1153" s="15">
        <f>IF(D1153=1,"Section 1","Control")</f>
        <v/>
      </c>
      <c r="S1153" s="16">
        <f>N1153/10000</f>
        <v/>
      </c>
      <c r="T1153" s="16">
        <f>P1153/10000</f>
        <v/>
      </c>
      <c r="U1153" s="15">
        <f>IF(N1153&gt;=Summary!$D$3,1,0)</f>
        <v/>
      </c>
      <c r="V1153" s="17">
        <f>IF(N1153&gt;0,P1153/N1153,"")</f>
        <v/>
      </c>
      <c r="W1153" s="17">
        <f>IF(O1153&gt;0,H1153/O1153,"")</f>
        <v/>
      </c>
    </row>
    <row r="1154">
      <c r="A1154" s="13" t="inlineStr">
        <is>
          <t>T42_B1</t>
        </is>
      </c>
      <c r="B1154" s="13" t="inlineStr">
        <is>
          <t>T42</t>
        </is>
      </c>
      <c r="C1154" s="13" t="inlineStr">
        <is>
          <t>B1</t>
        </is>
      </c>
      <c r="D1154" s="13" t="n">
        <v>1</v>
      </c>
      <c r="E1154" s="13" t="inlineStr">
        <is>
          <t>S1</t>
        </is>
      </c>
      <c r="F1154" s="13" t="n">
        <v>2024</v>
      </c>
      <c r="G1154" s="14" t="n">
        <v>1005926.831378084</v>
      </c>
      <c r="H1154" s="14" t="n">
        <v>583958.6115708894</v>
      </c>
      <c r="I1154" s="14" t="n">
        <v>138578.4951201196</v>
      </c>
      <c r="J1154" s="14" t="n">
        <v>29149.68139462938</v>
      </c>
      <c r="K1154" s="14" t="n">
        <v>156274.891716153</v>
      </c>
      <c r="L1154" s="14" t="n">
        <v>97965.15157629276</v>
      </c>
      <c r="M1154" s="14" t="n">
        <v>0</v>
      </c>
      <c r="N1154" s="14" t="n">
        <v>646091.8639705583</v>
      </c>
      <c r="O1154" s="14" t="n">
        <v>908333.3344518322</v>
      </c>
      <c r="P1154" s="14" t="n">
        <v>83951.97310868805</v>
      </c>
      <c r="Q1154" s="14" t="n">
        <v>10113939.80762796</v>
      </c>
      <c r="R1154" s="15">
        <f>IF(D1154=1,"Section 1","Control")</f>
        <v/>
      </c>
      <c r="S1154" s="16">
        <f>N1154/10000</f>
        <v/>
      </c>
      <c r="T1154" s="16">
        <f>P1154/10000</f>
        <v/>
      </c>
      <c r="U1154" s="15">
        <f>IF(N1154&gt;=Summary!$D$3,1,0)</f>
        <v/>
      </c>
      <c r="V1154" s="17">
        <f>IF(N1154&gt;0,P1154/N1154,"")</f>
        <v/>
      </c>
      <c r="W1154" s="17">
        <f>IF(O1154&gt;0,H1154/O1154,"")</f>
        <v/>
      </c>
    </row>
    <row r="1155">
      <c r="A1155" s="13" t="inlineStr">
        <is>
          <t>T42_B1</t>
        </is>
      </c>
      <c r="B1155" s="13" t="inlineStr">
        <is>
          <t>T42</t>
        </is>
      </c>
      <c r="C1155" s="13" t="inlineStr">
        <is>
          <t>B1</t>
        </is>
      </c>
      <c r="D1155" s="13" t="n">
        <v>1</v>
      </c>
      <c r="E1155" s="13" t="inlineStr">
        <is>
          <t>S1</t>
        </is>
      </c>
      <c r="F1155" s="13" t="n">
        <v>2025</v>
      </c>
      <c r="G1155" s="14" t="n">
        <v>1005926.831378084</v>
      </c>
      <c r="H1155" s="14" t="n">
        <v>554889.2018733904</v>
      </c>
      <c r="I1155" s="14" t="n">
        <v>160497.4661393109</v>
      </c>
      <c r="J1155" s="14" t="n">
        <v>29149.68139462938</v>
      </c>
      <c r="K1155" s="14" t="n">
        <v>159331.3246131748</v>
      </c>
      <c r="L1155" s="14" t="n">
        <v>102059.1573575787</v>
      </c>
      <c r="M1155" s="14" t="n">
        <v>0</v>
      </c>
      <c r="N1155" s="14" t="n">
        <v>646091.8639705583</v>
      </c>
      <c r="O1155" s="14" t="n">
        <v>908333.3344518322</v>
      </c>
      <c r="P1155" s="14" t="n">
        <v>105401.339035483</v>
      </c>
      <c r="Q1155" s="14" t="n">
        <v>10113939.80762796</v>
      </c>
      <c r="R1155" s="15">
        <f>IF(D1155=1,"Section 1","Control")</f>
        <v/>
      </c>
      <c r="S1155" s="16">
        <f>N1155/10000</f>
        <v/>
      </c>
      <c r="T1155" s="16">
        <f>P1155/10000</f>
        <v/>
      </c>
      <c r="U1155" s="15">
        <f>IF(N1155&gt;=Summary!$D$3,1,0)</f>
        <v/>
      </c>
      <c r="V1155" s="17">
        <f>IF(N1155&gt;0,P1155/N1155,"")</f>
        <v/>
      </c>
      <c r="W1155" s="17">
        <f>IF(O1155&gt;0,H1155/O1155,"")</f>
        <v/>
      </c>
    </row>
    <row r="1156">
      <c r="A1156" s="13" t="inlineStr">
        <is>
          <t>T42_B1</t>
        </is>
      </c>
      <c r="B1156" s="13" t="inlineStr">
        <is>
          <t>T42</t>
        </is>
      </c>
      <c r="C1156" s="13" t="inlineStr">
        <is>
          <t>B1</t>
        </is>
      </c>
      <c r="D1156" s="13" t="n">
        <v>1</v>
      </c>
      <c r="E1156" s="13" t="inlineStr">
        <is>
          <t>S1</t>
        </is>
      </c>
      <c r="F1156" s="13" t="n">
        <v>2026</v>
      </c>
      <c r="G1156" s="14" t="n">
        <v>1005926.831378084</v>
      </c>
      <c r="H1156" s="14" t="n">
        <v>571569.467293743</v>
      </c>
      <c r="I1156" s="14" t="n">
        <v>116860.7666827033</v>
      </c>
      <c r="J1156" s="14" t="n">
        <v>29149.68139462938</v>
      </c>
      <c r="K1156" s="14" t="n">
        <v>185497.9908424228</v>
      </c>
      <c r="L1156" s="14" t="n">
        <v>102848.9251645855</v>
      </c>
      <c r="M1156" s="14" t="n">
        <v>0</v>
      </c>
      <c r="N1156" s="14" t="n">
        <v>646091.8639705583</v>
      </c>
      <c r="O1156" s="14" t="n">
        <v>908333.3344518322</v>
      </c>
      <c r="P1156" s="14" t="n">
        <v>103496.9902700686</v>
      </c>
      <c r="Q1156" s="14" t="n">
        <v>10113939.80762796</v>
      </c>
      <c r="R1156" s="15">
        <f>IF(D1156=1,"Section 1","Control")</f>
        <v/>
      </c>
      <c r="S1156" s="16">
        <f>N1156/10000</f>
        <v/>
      </c>
      <c r="T1156" s="16">
        <f>P1156/10000</f>
        <v/>
      </c>
      <c r="U1156" s="15">
        <f>IF(N1156&gt;=Summary!$D$3,1,0)</f>
        <v/>
      </c>
      <c r="V1156" s="17">
        <f>IF(N1156&gt;0,P1156/N1156,"")</f>
        <v/>
      </c>
      <c r="W1156" s="17">
        <f>IF(O1156&gt;0,H1156/O1156,"")</f>
        <v/>
      </c>
    </row>
    <row r="1157">
      <c r="A1157" s="13" t="inlineStr">
        <is>
          <t>T42_B2</t>
        </is>
      </c>
      <c r="B1157" s="13" t="inlineStr">
        <is>
          <t>T42</t>
        </is>
      </c>
      <c r="C1157" s="13" t="inlineStr">
        <is>
          <t>B2</t>
        </is>
      </c>
      <c r="D1157" s="13" t="n">
        <v>1</v>
      </c>
      <c r="E1157" s="13" t="inlineStr">
        <is>
          <t>S1</t>
        </is>
      </c>
      <c r="F1157" s="13" t="n">
        <v>2020</v>
      </c>
      <c r="G1157" s="14" t="n">
        <v>1002035.669728597</v>
      </c>
      <c r="H1157" s="14" t="n">
        <v>481555.6218034333</v>
      </c>
      <c r="I1157" s="14" t="n">
        <v>1674.340945165298</v>
      </c>
      <c r="J1157" s="14" t="n">
        <v>0</v>
      </c>
      <c r="K1157" s="14" t="n">
        <v>19298.4719730452</v>
      </c>
      <c r="L1157" s="14" t="n">
        <v>499507.2350069531</v>
      </c>
      <c r="M1157" s="14" t="n">
        <v>0</v>
      </c>
      <c r="N1157" s="14" t="n">
        <v>481555.6218034333</v>
      </c>
      <c r="O1157" s="14" t="n">
        <v>502528.4347216437</v>
      </c>
      <c r="P1157" s="14" t="n">
        <v>0</v>
      </c>
      <c r="Q1157" s="14" t="n">
        <v>4977032.416233916</v>
      </c>
      <c r="R1157" s="15">
        <f>IF(D1157=1,"Section 1","Control")</f>
        <v/>
      </c>
      <c r="S1157" s="16">
        <f>N1157/10000</f>
        <v/>
      </c>
      <c r="T1157" s="16">
        <f>P1157/10000</f>
        <v/>
      </c>
      <c r="U1157" s="15">
        <f>IF(N1157&gt;=Summary!$D$3,1,0)</f>
        <v/>
      </c>
      <c r="V1157" s="17">
        <f>IF(N1157&gt;0,P1157/N1157,"")</f>
        <v/>
      </c>
      <c r="W1157" s="17">
        <f>IF(O1157&gt;0,H1157/O1157,"")</f>
        <v/>
      </c>
    </row>
    <row r="1158">
      <c r="A1158" s="13" t="inlineStr">
        <is>
          <t>T42_B2</t>
        </is>
      </c>
      <c r="B1158" s="13" t="inlineStr">
        <is>
          <t>T42</t>
        </is>
      </c>
      <c r="C1158" s="13" t="inlineStr">
        <is>
          <t>B2</t>
        </is>
      </c>
      <c r="D1158" s="13" t="n">
        <v>1</v>
      </c>
      <c r="E1158" s="13" t="inlineStr">
        <is>
          <t>S1</t>
        </is>
      </c>
      <c r="F1158" s="13" t="n">
        <v>2021</v>
      </c>
      <c r="G1158" s="14" t="n">
        <v>1002035.669728597</v>
      </c>
      <c r="H1158" s="14" t="n">
        <v>464977.1265991211</v>
      </c>
      <c r="I1158" s="14" t="n">
        <v>940.3408702775544</v>
      </c>
      <c r="J1158" s="14" t="n">
        <v>0</v>
      </c>
      <c r="K1158" s="14" t="n">
        <v>36610.96725224514</v>
      </c>
      <c r="L1158" s="14" t="n">
        <v>499507.2350069531</v>
      </c>
      <c r="M1158" s="14" t="n">
        <v>0</v>
      </c>
      <c r="N1158" s="14" t="n">
        <v>481555.6218034333</v>
      </c>
      <c r="O1158" s="14" t="n">
        <v>502528.4347216438</v>
      </c>
      <c r="P1158" s="14" t="n">
        <v>17759.24464676801</v>
      </c>
      <c r="Q1158" s="14" t="n">
        <v>4977032.416233916</v>
      </c>
      <c r="R1158" s="15">
        <f>IF(D1158=1,"Section 1","Control")</f>
        <v/>
      </c>
      <c r="S1158" s="16">
        <f>N1158/10000</f>
        <v/>
      </c>
      <c r="T1158" s="16">
        <f>P1158/10000</f>
        <v/>
      </c>
      <c r="U1158" s="15">
        <f>IF(N1158&gt;=Summary!$D$3,1,0)</f>
        <v/>
      </c>
      <c r="V1158" s="17">
        <f>IF(N1158&gt;0,P1158/N1158,"")</f>
        <v/>
      </c>
      <c r="W1158" s="17">
        <f>IF(O1158&gt;0,H1158/O1158,"")</f>
        <v/>
      </c>
    </row>
    <row r="1159">
      <c r="A1159" s="13" t="inlineStr">
        <is>
          <t>T42_B2</t>
        </is>
      </c>
      <c r="B1159" s="13" t="inlineStr">
        <is>
          <t>T42</t>
        </is>
      </c>
      <c r="C1159" s="13" t="inlineStr">
        <is>
          <t>B2</t>
        </is>
      </c>
      <c r="D1159" s="13" t="n">
        <v>1</v>
      </c>
      <c r="E1159" s="13" t="inlineStr">
        <is>
          <t>S1</t>
        </is>
      </c>
      <c r="F1159" s="13" t="n">
        <v>2022</v>
      </c>
      <c r="G1159" s="14" t="n">
        <v>1002035.669728597</v>
      </c>
      <c r="H1159" s="14" t="n">
        <v>439538.3635717654</v>
      </c>
      <c r="I1159" s="14" t="n">
        <v>98.71837615966795</v>
      </c>
      <c r="J1159" s="14" t="n">
        <v>0</v>
      </c>
      <c r="K1159" s="14" t="n">
        <v>62891.35277371875</v>
      </c>
      <c r="L1159" s="14" t="n">
        <v>499507.2350069531</v>
      </c>
      <c r="M1159" s="14" t="n">
        <v>0</v>
      </c>
      <c r="N1159" s="14" t="n">
        <v>481555.6218034333</v>
      </c>
      <c r="O1159" s="14" t="n">
        <v>502528.4347216438</v>
      </c>
      <c r="P1159" s="14" t="n">
        <v>42976.95617226994</v>
      </c>
      <c r="Q1159" s="14" t="n">
        <v>4977032.416233916</v>
      </c>
      <c r="R1159" s="15">
        <f>IF(D1159=1,"Section 1","Control")</f>
        <v/>
      </c>
      <c r="S1159" s="16">
        <f>N1159/10000</f>
        <v/>
      </c>
      <c r="T1159" s="16">
        <f>P1159/10000</f>
        <v/>
      </c>
      <c r="U1159" s="15">
        <f>IF(N1159&gt;=Summary!$D$3,1,0)</f>
        <v/>
      </c>
      <c r="V1159" s="17">
        <f>IF(N1159&gt;0,P1159/N1159,"")</f>
        <v/>
      </c>
      <c r="W1159" s="17">
        <f>IF(O1159&gt;0,H1159/O1159,"")</f>
        <v/>
      </c>
    </row>
    <row r="1160">
      <c r="A1160" s="13" t="inlineStr">
        <is>
          <t>T42_B2</t>
        </is>
      </c>
      <c r="B1160" s="13" t="inlineStr">
        <is>
          <t>T42</t>
        </is>
      </c>
      <c r="C1160" s="13" t="inlineStr">
        <is>
          <t>B2</t>
        </is>
      </c>
      <c r="D1160" s="13" t="n">
        <v>1</v>
      </c>
      <c r="E1160" s="13" t="inlineStr">
        <is>
          <t>S1</t>
        </is>
      </c>
      <c r="F1160" s="13" t="n">
        <v>2023</v>
      </c>
      <c r="G1160" s="14" t="n">
        <v>1002035.669728597</v>
      </c>
      <c r="H1160" s="14" t="n">
        <v>436176.1302627563</v>
      </c>
      <c r="I1160" s="14" t="n">
        <v>840.8485942167395</v>
      </c>
      <c r="J1160" s="14" t="n">
        <v>0</v>
      </c>
      <c r="K1160" s="14" t="n">
        <v>65511.45586467071</v>
      </c>
      <c r="L1160" s="14" t="n">
        <v>499507.2350069531</v>
      </c>
      <c r="M1160" s="14" t="n">
        <v>0</v>
      </c>
      <c r="N1160" s="14" t="n">
        <v>481555.6218034333</v>
      </c>
      <c r="O1160" s="14" t="n">
        <v>502528.4347216437</v>
      </c>
      <c r="P1160" s="14" t="n">
        <v>46339.18948127897</v>
      </c>
      <c r="Q1160" s="14" t="n">
        <v>4977032.416233916</v>
      </c>
      <c r="R1160" s="15">
        <f>IF(D1160=1,"Section 1","Control")</f>
        <v/>
      </c>
      <c r="S1160" s="16">
        <f>N1160/10000</f>
        <v/>
      </c>
      <c r="T1160" s="16">
        <f>P1160/10000</f>
        <v/>
      </c>
      <c r="U1160" s="15">
        <f>IF(N1160&gt;=Summary!$D$3,1,0)</f>
        <v/>
      </c>
      <c r="V1160" s="17">
        <f>IF(N1160&gt;0,P1160/N1160,"")</f>
        <v/>
      </c>
      <c r="W1160" s="17">
        <f>IF(O1160&gt;0,H1160/O1160,"")</f>
        <v/>
      </c>
    </row>
    <row r="1161">
      <c r="A1161" s="13" t="inlineStr">
        <is>
          <t>T42_B2</t>
        </is>
      </c>
      <c r="B1161" s="13" t="inlineStr">
        <is>
          <t>T42</t>
        </is>
      </c>
      <c r="C1161" s="13" t="inlineStr">
        <is>
          <t>B2</t>
        </is>
      </c>
      <c r="D1161" s="13" t="n">
        <v>1</v>
      </c>
      <c r="E1161" s="13" t="inlineStr">
        <is>
          <t>S1</t>
        </is>
      </c>
      <c r="F1161" s="13" t="n">
        <v>2024</v>
      </c>
      <c r="G1161" s="14" t="n">
        <v>1002035.669728597</v>
      </c>
      <c r="H1161" s="14" t="n">
        <v>432511.5468850529</v>
      </c>
      <c r="I1161" s="14" t="n">
        <v>394.8738021850586</v>
      </c>
      <c r="J1161" s="14" t="n">
        <v>0</v>
      </c>
      <c r="K1161" s="14" t="n">
        <v>69622.01403440589</v>
      </c>
      <c r="L1161" s="14" t="n">
        <v>499507.2350069531</v>
      </c>
      <c r="M1161" s="14" t="n">
        <v>0</v>
      </c>
      <c r="N1161" s="14" t="n">
        <v>481555.6218034333</v>
      </c>
      <c r="O1161" s="14" t="n">
        <v>502528.4347216437</v>
      </c>
      <c r="P1161" s="14" t="n">
        <v>50003.77285898247</v>
      </c>
      <c r="Q1161" s="14" t="n">
        <v>4977032.416233916</v>
      </c>
      <c r="R1161" s="15">
        <f>IF(D1161=1,"Section 1","Control")</f>
        <v/>
      </c>
      <c r="S1161" s="16">
        <f>N1161/10000</f>
        <v/>
      </c>
      <c r="T1161" s="16">
        <f>P1161/10000</f>
        <v/>
      </c>
      <c r="U1161" s="15">
        <f>IF(N1161&gt;=Summary!$D$3,1,0)</f>
        <v/>
      </c>
      <c r="V1161" s="17">
        <f>IF(N1161&gt;0,P1161/N1161,"")</f>
        <v/>
      </c>
      <c r="W1161" s="17">
        <f>IF(O1161&gt;0,H1161/O1161,"")</f>
        <v/>
      </c>
    </row>
    <row r="1162">
      <c r="A1162" s="13" t="inlineStr">
        <is>
          <t>T42_B2</t>
        </is>
      </c>
      <c r="B1162" s="13" t="inlineStr">
        <is>
          <t>T42</t>
        </is>
      </c>
      <c r="C1162" s="13" t="inlineStr">
        <is>
          <t>B2</t>
        </is>
      </c>
      <c r="D1162" s="13" t="n">
        <v>1</v>
      </c>
      <c r="E1162" s="13" t="inlineStr">
        <is>
          <t>S1</t>
        </is>
      </c>
      <c r="F1162" s="13" t="n">
        <v>2025</v>
      </c>
      <c r="G1162" s="14" t="n">
        <v>1002035.669728597</v>
      </c>
      <c r="H1162" s="14" t="n">
        <v>410725.3604940976</v>
      </c>
      <c r="I1162" s="14" t="n">
        <v>7051.587879734412</v>
      </c>
      <c r="J1162" s="14" t="n">
        <v>0</v>
      </c>
      <c r="K1162" s="14" t="n">
        <v>84751.48634781185</v>
      </c>
      <c r="L1162" s="14" t="n">
        <v>499507.2350069531</v>
      </c>
      <c r="M1162" s="14" t="n">
        <v>0</v>
      </c>
      <c r="N1162" s="14" t="n">
        <v>481555.6218034333</v>
      </c>
      <c r="O1162" s="14" t="n">
        <v>502528.4347216437</v>
      </c>
      <c r="P1162" s="14" t="n">
        <v>71789.95924993778</v>
      </c>
      <c r="Q1162" s="14" t="n">
        <v>4977032.416233916</v>
      </c>
      <c r="R1162" s="15">
        <f>IF(D1162=1,"Section 1","Control")</f>
        <v/>
      </c>
      <c r="S1162" s="16">
        <f>N1162/10000</f>
        <v/>
      </c>
      <c r="T1162" s="16">
        <f>P1162/10000</f>
        <v/>
      </c>
      <c r="U1162" s="15">
        <f>IF(N1162&gt;=Summary!$D$3,1,0)</f>
        <v/>
      </c>
      <c r="V1162" s="17">
        <f>IF(N1162&gt;0,P1162/N1162,"")</f>
        <v/>
      </c>
      <c r="W1162" s="17">
        <f>IF(O1162&gt;0,H1162/O1162,"")</f>
        <v/>
      </c>
    </row>
    <row r="1163">
      <c r="A1163" s="13" t="inlineStr">
        <is>
          <t>T42_B2</t>
        </is>
      </c>
      <c r="B1163" s="13" t="inlineStr">
        <is>
          <t>T42</t>
        </is>
      </c>
      <c r="C1163" s="13" t="inlineStr">
        <is>
          <t>B2</t>
        </is>
      </c>
      <c r="D1163" s="13" t="n">
        <v>1</v>
      </c>
      <c r="E1163" s="13" t="inlineStr">
        <is>
          <t>S1</t>
        </is>
      </c>
      <c r="F1163" s="13" t="n">
        <v>2026</v>
      </c>
      <c r="G1163" s="14" t="n">
        <v>1002035.669728597</v>
      </c>
      <c r="H1163" s="14" t="n">
        <v>396408.4359654745</v>
      </c>
      <c r="I1163" s="14" t="n">
        <v>12319.28518706677</v>
      </c>
      <c r="J1163" s="14" t="n">
        <v>0</v>
      </c>
      <c r="K1163" s="14" t="n">
        <v>93800.71356910261</v>
      </c>
      <c r="L1163" s="14" t="n">
        <v>499507.2350069531</v>
      </c>
      <c r="M1163" s="14" t="n">
        <v>0</v>
      </c>
      <c r="N1163" s="14" t="n">
        <v>481555.6218034333</v>
      </c>
      <c r="O1163" s="14" t="n">
        <v>502528.4347216437</v>
      </c>
      <c r="P1163" s="14" t="n">
        <v>86106.88377856088</v>
      </c>
      <c r="Q1163" s="14" t="n">
        <v>4977032.416233916</v>
      </c>
      <c r="R1163" s="15">
        <f>IF(D1163=1,"Section 1","Control")</f>
        <v/>
      </c>
      <c r="S1163" s="16">
        <f>N1163/10000</f>
        <v/>
      </c>
      <c r="T1163" s="16">
        <f>P1163/10000</f>
        <v/>
      </c>
      <c r="U1163" s="15">
        <f>IF(N1163&gt;=Summary!$D$3,1,0)</f>
        <v/>
      </c>
      <c r="V1163" s="17">
        <f>IF(N1163&gt;0,P1163/N1163,"")</f>
        <v/>
      </c>
      <c r="W1163" s="17">
        <f>IF(O1163&gt;0,H1163/O1163,"")</f>
        <v/>
      </c>
    </row>
    <row r="1164">
      <c r="A1164" s="13" t="inlineStr">
        <is>
          <t>T42_B3</t>
        </is>
      </c>
      <c r="B1164" s="13" t="inlineStr">
        <is>
          <t>T42</t>
        </is>
      </c>
      <c r="C1164" s="13" t="inlineStr">
        <is>
          <t>B3</t>
        </is>
      </c>
      <c r="D1164" s="13" t="n">
        <v>1</v>
      </c>
      <c r="E1164" s="13" t="inlineStr">
        <is>
          <t>S1</t>
        </is>
      </c>
      <c r="F1164" s="13" t="n">
        <v>2020</v>
      </c>
      <c r="G1164" s="14" t="n">
        <v>7952159.002782486</v>
      </c>
      <c r="H1164" s="14" t="n">
        <v>1778030.267073687</v>
      </c>
      <c r="I1164" s="14" t="n">
        <v>189619.364319087</v>
      </c>
      <c r="J1164" s="14" t="n">
        <v>0</v>
      </c>
      <c r="K1164" s="14" t="n">
        <v>2080848.519844234</v>
      </c>
      <c r="L1164" s="14" t="n">
        <v>3903660.851545477</v>
      </c>
      <c r="M1164" s="14" t="n">
        <v>0</v>
      </c>
      <c r="N1164" s="14" t="n">
        <v>1778030.267073687</v>
      </c>
      <c r="O1164" s="14" t="n">
        <v>4048498.151237009</v>
      </c>
      <c r="P1164" s="14" t="n">
        <v>0</v>
      </c>
      <c r="Q1164" s="14" t="n">
        <v>30131470.33570338</v>
      </c>
      <c r="R1164" s="15">
        <f>IF(D1164=1,"Section 1","Control")</f>
        <v/>
      </c>
      <c r="S1164" s="16">
        <f>N1164/10000</f>
        <v/>
      </c>
      <c r="T1164" s="16">
        <f>P1164/10000</f>
        <v/>
      </c>
      <c r="U1164" s="15">
        <f>IF(N1164&gt;=Summary!$D$3,1,0)</f>
        <v/>
      </c>
      <c r="V1164" s="17">
        <f>IF(N1164&gt;0,P1164/N1164,"")</f>
        <v/>
      </c>
      <c r="W1164" s="17">
        <f>IF(O1164&gt;0,H1164/O1164,"")</f>
        <v/>
      </c>
    </row>
    <row r="1165">
      <c r="A1165" s="13" t="inlineStr">
        <is>
          <t>T42_B3</t>
        </is>
      </c>
      <c r="B1165" s="13" t="inlineStr">
        <is>
          <t>T42</t>
        </is>
      </c>
      <c r="C1165" s="13" t="inlineStr">
        <is>
          <t>B3</t>
        </is>
      </c>
      <c r="D1165" s="13" t="n">
        <v>1</v>
      </c>
      <c r="E1165" s="13" t="inlineStr">
        <is>
          <t>S1</t>
        </is>
      </c>
      <c r="F1165" s="13" t="n">
        <v>2021</v>
      </c>
      <c r="G1165" s="14" t="n">
        <v>7952159.002782486</v>
      </c>
      <c r="H1165" s="14" t="n">
        <v>1271647.959923509</v>
      </c>
      <c r="I1165" s="14" t="n">
        <v>103278.0253905053</v>
      </c>
      <c r="J1165" s="14" t="n">
        <v>0</v>
      </c>
      <c r="K1165" s="14" t="n">
        <v>2673572.165922995</v>
      </c>
      <c r="L1165" s="14" t="n">
        <v>3903660.851545477</v>
      </c>
      <c r="M1165" s="14" t="n">
        <v>0</v>
      </c>
      <c r="N1165" s="14" t="n">
        <v>1778030.267073687</v>
      </c>
      <c r="O1165" s="14" t="n">
        <v>4048498.151237009</v>
      </c>
      <c r="P1165" s="14" t="n">
        <v>532983.4904985914</v>
      </c>
      <c r="Q1165" s="14" t="n">
        <v>30131470.33570338</v>
      </c>
      <c r="R1165" s="15">
        <f>IF(D1165=1,"Section 1","Control")</f>
        <v/>
      </c>
      <c r="S1165" s="16">
        <f>N1165/10000</f>
        <v/>
      </c>
      <c r="T1165" s="16">
        <f>P1165/10000</f>
        <v/>
      </c>
      <c r="U1165" s="15">
        <f>IF(N1165&gt;=Summary!$D$3,1,0)</f>
        <v/>
      </c>
      <c r="V1165" s="17">
        <f>IF(N1165&gt;0,P1165/N1165,"")</f>
        <v/>
      </c>
      <c r="W1165" s="17">
        <f>IF(O1165&gt;0,H1165/O1165,"")</f>
        <v/>
      </c>
    </row>
    <row r="1166">
      <c r="A1166" s="13" t="inlineStr">
        <is>
          <t>T42_B3</t>
        </is>
      </c>
      <c r="B1166" s="13" t="inlineStr">
        <is>
          <t>T42</t>
        </is>
      </c>
      <c r="C1166" s="13" t="inlineStr">
        <is>
          <t>B3</t>
        </is>
      </c>
      <c r="D1166" s="13" t="n">
        <v>1</v>
      </c>
      <c r="E1166" s="13" t="inlineStr">
        <is>
          <t>S1</t>
        </is>
      </c>
      <c r="F1166" s="13" t="n">
        <v>2022</v>
      </c>
      <c r="G1166" s="14" t="n">
        <v>7952159.002782487</v>
      </c>
      <c r="H1166" s="14" t="n">
        <v>897635.1104377299</v>
      </c>
      <c r="I1166" s="14" t="n">
        <v>56929.1855923821</v>
      </c>
      <c r="J1166" s="14" t="n">
        <v>0</v>
      </c>
      <c r="K1166" s="14" t="n">
        <v>3093933.855206897</v>
      </c>
      <c r="L1166" s="14" t="n">
        <v>3903660.851545477</v>
      </c>
      <c r="M1166" s="14" t="n">
        <v>0</v>
      </c>
      <c r="N1166" s="14" t="n">
        <v>1778030.267073687</v>
      </c>
      <c r="O1166" s="14" t="n">
        <v>4048498.151237009</v>
      </c>
      <c r="P1166" s="14" t="n">
        <v>893343.1704807954</v>
      </c>
      <c r="Q1166" s="14" t="n">
        <v>30131470.33570338</v>
      </c>
      <c r="R1166" s="15">
        <f>IF(D1166=1,"Section 1","Control")</f>
        <v/>
      </c>
      <c r="S1166" s="16">
        <f>N1166/10000</f>
        <v/>
      </c>
      <c r="T1166" s="16">
        <f>P1166/10000</f>
        <v/>
      </c>
      <c r="U1166" s="15">
        <f>IF(N1166&gt;=Summary!$D$3,1,0)</f>
        <v/>
      </c>
      <c r="V1166" s="17">
        <f>IF(N1166&gt;0,P1166/N1166,"")</f>
        <v/>
      </c>
      <c r="W1166" s="17">
        <f>IF(O1166&gt;0,H1166/O1166,"")</f>
        <v/>
      </c>
    </row>
    <row r="1167">
      <c r="A1167" s="13" t="inlineStr">
        <is>
          <t>T42_B3</t>
        </is>
      </c>
      <c r="B1167" s="13" t="inlineStr">
        <is>
          <t>T42</t>
        </is>
      </c>
      <c r="C1167" s="13" t="inlineStr">
        <is>
          <t>B3</t>
        </is>
      </c>
      <c r="D1167" s="13" t="n">
        <v>1</v>
      </c>
      <c r="E1167" s="13" t="inlineStr">
        <is>
          <t>S1</t>
        </is>
      </c>
      <c r="F1167" s="13" t="n">
        <v>2023</v>
      </c>
      <c r="G1167" s="14" t="n">
        <v>7952159.002782486</v>
      </c>
      <c r="H1167" s="14" t="n">
        <v>877835.9649027508</v>
      </c>
      <c r="I1167" s="14" t="n">
        <v>109910.5967966716</v>
      </c>
      <c r="J1167" s="14" t="n">
        <v>0</v>
      </c>
      <c r="K1167" s="14" t="n">
        <v>3060751.589537587</v>
      </c>
      <c r="L1167" s="14" t="n">
        <v>3903660.851545477</v>
      </c>
      <c r="M1167" s="14" t="n">
        <v>0</v>
      </c>
      <c r="N1167" s="14" t="n">
        <v>1778030.267073687</v>
      </c>
      <c r="O1167" s="14" t="n">
        <v>4048498.151237009</v>
      </c>
      <c r="P1167" s="14" t="n">
        <v>918276.6365544637</v>
      </c>
      <c r="Q1167" s="14" t="n">
        <v>30131470.33570338</v>
      </c>
      <c r="R1167" s="15">
        <f>IF(D1167=1,"Section 1","Control")</f>
        <v/>
      </c>
      <c r="S1167" s="16">
        <f>N1167/10000</f>
        <v/>
      </c>
      <c r="T1167" s="16">
        <f>P1167/10000</f>
        <v/>
      </c>
      <c r="U1167" s="15">
        <f>IF(N1167&gt;=Summary!$D$3,1,0)</f>
        <v/>
      </c>
      <c r="V1167" s="17">
        <f>IF(N1167&gt;0,P1167/N1167,"")</f>
        <v/>
      </c>
      <c r="W1167" s="17">
        <f>IF(O1167&gt;0,H1167/O1167,"")</f>
        <v/>
      </c>
    </row>
    <row r="1168">
      <c r="A1168" s="13" t="inlineStr">
        <is>
          <t>T42_B3</t>
        </is>
      </c>
      <c r="B1168" s="13" t="inlineStr">
        <is>
          <t>T42</t>
        </is>
      </c>
      <c r="C1168" s="13" t="inlineStr">
        <is>
          <t>B3</t>
        </is>
      </c>
      <c r="D1168" s="13" t="n">
        <v>1</v>
      </c>
      <c r="E1168" s="13" t="inlineStr">
        <is>
          <t>S1</t>
        </is>
      </c>
      <c r="F1168" s="13" t="n">
        <v>2024</v>
      </c>
      <c r="G1168" s="14" t="n">
        <v>7952159.002782487</v>
      </c>
      <c r="H1168" s="14" t="n">
        <v>893178.8927168302</v>
      </c>
      <c r="I1168" s="14" t="n">
        <v>65041.71407051834</v>
      </c>
      <c r="J1168" s="14" t="n">
        <v>0</v>
      </c>
      <c r="K1168" s="14" t="n">
        <v>3090277.54444966</v>
      </c>
      <c r="L1168" s="14" t="n">
        <v>3903660.851545477</v>
      </c>
      <c r="M1168" s="14" t="n">
        <v>0</v>
      </c>
      <c r="N1168" s="14" t="n">
        <v>1778030.267073687</v>
      </c>
      <c r="O1168" s="14" t="n">
        <v>4048498.151237009</v>
      </c>
      <c r="P1168" s="14" t="n">
        <v>933964.173027996</v>
      </c>
      <c r="Q1168" s="14" t="n">
        <v>30131470.33570338</v>
      </c>
      <c r="R1168" s="15">
        <f>IF(D1168=1,"Section 1","Control")</f>
        <v/>
      </c>
      <c r="S1168" s="16">
        <f>N1168/10000</f>
        <v/>
      </c>
      <c r="T1168" s="16">
        <f>P1168/10000</f>
        <v/>
      </c>
      <c r="U1168" s="15">
        <f>IF(N1168&gt;=Summary!$D$3,1,0)</f>
        <v/>
      </c>
      <c r="V1168" s="17">
        <f>IF(N1168&gt;0,P1168/N1168,"")</f>
        <v/>
      </c>
      <c r="W1168" s="17">
        <f>IF(O1168&gt;0,H1168/O1168,"")</f>
        <v/>
      </c>
    </row>
    <row r="1169">
      <c r="A1169" s="13" t="inlineStr">
        <is>
          <t>T42_B3</t>
        </is>
      </c>
      <c r="B1169" s="13" t="inlineStr">
        <is>
          <t>T42</t>
        </is>
      </c>
      <c r="C1169" s="13" t="inlineStr">
        <is>
          <t>B3</t>
        </is>
      </c>
      <c r="D1169" s="13" t="n">
        <v>1</v>
      </c>
      <c r="E1169" s="13" t="inlineStr">
        <is>
          <t>S1</t>
        </is>
      </c>
      <c r="F1169" s="13" t="n">
        <v>2025</v>
      </c>
      <c r="G1169" s="14" t="n">
        <v>7952159.002782486</v>
      </c>
      <c r="H1169" s="14" t="n">
        <v>879760.7368739707</v>
      </c>
      <c r="I1169" s="14" t="n">
        <v>78207.62444158815</v>
      </c>
      <c r="J1169" s="14" t="n">
        <v>0</v>
      </c>
      <c r="K1169" s="14" t="n">
        <v>3090529.78992145</v>
      </c>
      <c r="L1169" s="14" t="n">
        <v>3903660.851545477</v>
      </c>
      <c r="M1169" s="14" t="n">
        <v>0</v>
      </c>
      <c r="N1169" s="14" t="n">
        <v>1778030.267073687</v>
      </c>
      <c r="O1169" s="14" t="n">
        <v>4048498.151237009</v>
      </c>
      <c r="P1169" s="14" t="n">
        <v>947610.2490185606</v>
      </c>
      <c r="Q1169" s="14" t="n">
        <v>30131470.33570338</v>
      </c>
      <c r="R1169" s="15">
        <f>IF(D1169=1,"Section 1","Control")</f>
        <v/>
      </c>
      <c r="S1169" s="16">
        <f>N1169/10000</f>
        <v/>
      </c>
      <c r="T1169" s="16">
        <f>P1169/10000</f>
        <v/>
      </c>
      <c r="U1169" s="15">
        <f>IF(N1169&gt;=Summary!$D$3,1,0)</f>
        <v/>
      </c>
      <c r="V1169" s="17">
        <f>IF(N1169&gt;0,P1169/N1169,"")</f>
        <v/>
      </c>
      <c r="W1169" s="17">
        <f>IF(O1169&gt;0,H1169/O1169,"")</f>
        <v/>
      </c>
    </row>
    <row r="1170">
      <c r="A1170" s="13" t="inlineStr">
        <is>
          <t>T42_B3</t>
        </is>
      </c>
      <c r="B1170" s="13" t="inlineStr">
        <is>
          <t>T42</t>
        </is>
      </c>
      <c r="C1170" s="13" t="inlineStr">
        <is>
          <t>B3</t>
        </is>
      </c>
      <c r="D1170" s="13" t="n">
        <v>1</v>
      </c>
      <c r="E1170" s="13" t="inlineStr">
        <is>
          <t>S1</t>
        </is>
      </c>
      <c r="F1170" s="13" t="n">
        <v>2026</v>
      </c>
      <c r="G1170" s="14" t="n">
        <v>7952159.002782486</v>
      </c>
      <c r="H1170" s="14" t="n">
        <v>855709.0300969442</v>
      </c>
      <c r="I1170" s="14" t="n">
        <v>70245.07850865382</v>
      </c>
      <c r="J1170" s="14" t="n">
        <v>0</v>
      </c>
      <c r="K1170" s="14" t="n">
        <v>3122544.042631411</v>
      </c>
      <c r="L1170" s="14" t="n">
        <v>3903660.851545477</v>
      </c>
      <c r="M1170" s="14" t="n">
        <v>0</v>
      </c>
      <c r="N1170" s="14" t="n">
        <v>1778030.267073687</v>
      </c>
      <c r="O1170" s="14" t="n">
        <v>4048498.151237009</v>
      </c>
      <c r="P1170" s="14" t="n">
        <v>975317.5838349584</v>
      </c>
      <c r="Q1170" s="14" t="n">
        <v>30131470.33570338</v>
      </c>
      <c r="R1170" s="15">
        <f>IF(D1170=1,"Section 1","Control")</f>
        <v/>
      </c>
      <c r="S1170" s="16">
        <f>N1170/10000</f>
        <v/>
      </c>
      <c r="T1170" s="16">
        <f>P1170/10000</f>
        <v/>
      </c>
      <c r="U1170" s="15">
        <f>IF(N1170&gt;=Summary!$D$3,1,0)</f>
        <v/>
      </c>
      <c r="V1170" s="17">
        <f>IF(N1170&gt;0,P1170/N1170,"")</f>
        <v/>
      </c>
      <c r="W1170" s="17">
        <f>IF(O1170&gt;0,H1170/O1170,"")</f>
        <v/>
      </c>
    </row>
    <row r="1171">
      <c r="A1171" s="13" t="inlineStr">
        <is>
          <t>T42_F</t>
        </is>
      </c>
      <c r="B1171" s="13" t="inlineStr">
        <is>
          <t>T42</t>
        </is>
      </c>
      <c r="C1171" s="13" t="inlineStr">
        <is>
          <t>F</t>
        </is>
      </c>
      <c r="D1171" s="13" t="n">
        <v>1</v>
      </c>
      <c r="E1171" s="13" t="inlineStr">
        <is>
          <t>S1</t>
        </is>
      </c>
      <c r="F1171" s="13" t="n">
        <v>2020</v>
      </c>
      <c r="G1171" s="14" t="n">
        <v>64882.28318209181</v>
      </c>
      <c r="H1171" s="14" t="n">
        <v>64766.52902909822</v>
      </c>
      <c r="I1171" s="14" t="n">
        <v>17.03405259076287</v>
      </c>
      <c r="J1171" s="14" t="n">
        <v>0</v>
      </c>
      <c r="K1171" s="14" t="n">
        <v>98.72010040283205</v>
      </c>
      <c r="L1171" s="14" t="n">
        <v>0</v>
      </c>
      <c r="M1171" s="14" t="n">
        <v>0</v>
      </c>
      <c r="N1171" s="14" t="n">
        <v>64766.52902909822</v>
      </c>
      <c r="O1171" s="14" t="n">
        <v>64882.28318209181</v>
      </c>
      <c r="P1171" s="14" t="n">
        <v>0</v>
      </c>
      <c r="Q1171" s="14" t="n">
        <v>950360.6186134488</v>
      </c>
      <c r="R1171" s="15">
        <f>IF(D1171=1,"Section 1","Control")</f>
        <v/>
      </c>
      <c r="S1171" s="16">
        <f>N1171/10000</f>
        <v/>
      </c>
      <c r="T1171" s="16">
        <f>P1171/10000</f>
        <v/>
      </c>
      <c r="U1171" s="15">
        <f>IF(N1171&gt;=Summary!$D$3,1,0)</f>
        <v/>
      </c>
      <c r="V1171" s="17">
        <f>IF(N1171&gt;0,P1171/N1171,"")</f>
        <v/>
      </c>
      <c r="W1171" s="17">
        <f>IF(O1171&gt;0,H1171/O1171,"")</f>
        <v/>
      </c>
    </row>
    <row r="1172">
      <c r="A1172" s="13" t="inlineStr">
        <is>
          <t>T42_F</t>
        </is>
      </c>
      <c r="B1172" s="13" t="inlineStr">
        <is>
          <t>T42</t>
        </is>
      </c>
      <c r="C1172" s="13" t="inlineStr">
        <is>
          <t>F</t>
        </is>
      </c>
      <c r="D1172" s="13" t="n">
        <v>1</v>
      </c>
      <c r="E1172" s="13" t="inlineStr">
        <is>
          <t>S1</t>
        </is>
      </c>
      <c r="F1172" s="13" t="n">
        <v>2021</v>
      </c>
      <c r="G1172" s="14" t="n">
        <v>64882.28318209181</v>
      </c>
      <c r="H1172" s="14" t="n">
        <v>64783.56308168898</v>
      </c>
      <c r="I1172" s="14" t="n">
        <v>0</v>
      </c>
      <c r="J1172" s="14" t="n">
        <v>0</v>
      </c>
      <c r="K1172" s="14" t="n">
        <v>98.72010040283205</v>
      </c>
      <c r="L1172" s="14" t="n">
        <v>0</v>
      </c>
      <c r="M1172" s="14" t="n">
        <v>0</v>
      </c>
      <c r="N1172" s="14" t="n">
        <v>64766.52902909822</v>
      </c>
      <c r="O1172" s="14" t="n">
        <v>64882.28318209181</v>
      </c>
      <c r="P1172" s="14" t="n">
        <v>0</v>
      </c>
      <c r="Q1172" s="14" t="n">
        <v>950360.6186134488</v>
      </c>
      <c r="R1172" s="15">
        <f>IF(D1172=1,"Section 1","Control")</f>
        <v/>
      </c>
      <c r="S1172" s="16">
        <f>N1172/10000</f>
        <v/>
      </c>
      <c r="T1172" s="16">
        <f>P1172/10000</f>
        <v/>
      </c>
      <c r="U1172" s="15">
        <f>IF(N1172&gt;=Summary!$D$3,1,0)</f>
        <v/>
      </c>
      <c r="V1172" s="17">
        <f>IF(N1172&gt;0,P1172/N1172,"")</f>
        <v/>
      </c>
      <c r="W1172" s="17">
        <f>IF(O1172&gt;0,H1172/O1172,"")</f>
        <v/>
      </c>
    </row>
    <row r="1173">
      <c r="A1173" s="13" t="inlineStr">
        <is>
          <t>T42_F</t>
        </is>
      </c>
      <c r="B1173" s="13" t="inlineStr">
        <is>
          <t>T42</t>
        </is>
      </c>
      <c r="C1173" s="13" t="inlineStr">
        <is>
          <t>F</t>
        </is>
      </c>
      <c r="D1173" s="13" t="n">
        <v>1</v>
      </c>
      <c r="E1173" s="13" t="inlineStr">
        <is>
          <t>S1</t>
        </is>
      </c>
      <c r="F1173" s="13" t="n">
        <v>2022</v>
      </c>
      <c r="G1173" s="14" t="n">
        <v>64882.28318209181</v>
      </c>
      <c r="H1173" s="14" t="n">
        <v>63648.8633554496</v>
      </c>
      <c r="I1173" s="14" t="n">
        <v>357.327904734892</v>
      </c>
      <c r="J1173" s="14" t="n">
        <v>0</v>
      </c>
      <c r="K1173" s="14" t="n">
        <v>876.0919219073128</v>
      </c>
      <c r="L1173" s="14" t="n">
        <v>0</v>
      </c>
      <c r="M1173" s="14" t="n">
        <v>0</v>
      </c>
      <c r="N1173" s="14" t="n">
        <v>64766.52902909822</v>
      </c>
      <c r="O1173" s="14" t="n">
        <v>64882.28318209181</v>
      </c>
      <c r="P1173" s="14" t="n">
        <v>1134.699726239373</v>
      </c>
      <c r="Q1173" s="14" t="n">
        <v>950360.6186134488</v>
      </c>
      <c r="R1173" s="15">
        <f>IF(D1173=1,"Section 1","Control")</f>
        <v/>
      </c>
      <c r="S1173" s="16">
        <f>N1173/10000</f>
        <v/>
      </c>
      <c r="T1173" s="16">
        <f>P1173/10000</f>
        <v/>
      </c>
      <c r="U1173" s="15">
        <f>IF(N1173&gt;=Summary!$D$3,1,0)</f>
        <v/>
      </c>
      <c r="V1173" s="17">
        <f>IF(N1173&gt;0,P1173/N1173,"")</f>
        <v/>
      </c>
      <c r="W1173" s="17">
        <f>IF(O1173&gt;0,H1173/O1173,"")</f>
        <v/>
      </c>
    </row>
    <row r="1174">
      <c r="A1174" s="13" t="inlineStr">
        <is>
          <t>T42_F</t>
        </is>
      </c>
      <c r="B1174" s="13" t="inlineStr">
        <is>
          <t>T42</t>
        </is>
      </c>
      <c r="C1174" s="13" t="inlineStr">
        <is>
          <t>F</t>
        </is>
      </c>
      <c r="D1174" s="13" t="n">
        <v>1</v>
      </c>
      <c r="E1174" s="13" t="inlineStr">
        <is>
          <t>S1</t>
        </is>
      </c>
      <c r="F1174" s="13" t="n">
        <v>2023</v>
      </c>
      <c r="G1174" s="14" t="n">
        <v>64882.28318209181</v>
      </c>
      <c r="H1174" s="14" t="n">
        <v>63589.24428776761</v>
      </c>
      <c r="I1174" s="14" t="n">
        <v>0</v>
      </c>
      <c r="J1174" s="14" t="n">
        <v>0</v>
      </c>
      <c r="K1174" s="14" t="n">
        <v>1293.038894324209</v>
      </c>
      <c r="L1174" s="14" t="n">
        <v>0</v>
      </c>
      <c r="M1174" s="14" t="n">
        <v>0</v>
      </c>
      <c r="N1174" s="14" t="n">
        <v>64766.52902909822</v>
      </c>
      <c r="O1174" s="14" t="n">
        <v>64882.28318209181</v>
      </c>
      <c r="P1174" s="14" t="n">
        <v>1194.318793921377</v>
      </c>
      <c r="Q1174" s="14" t="n">
        <v>950360.6186134488</v>
      </c>
      <c r="R1174" s="15">
        <f>IF(D1174=1,"Section 1","Control")</f>
        <v/>
      </c>
      <c r="S1174" s="16">
        <f>N1174/10000</f>
        <v/>
      </c>
      <c r="T1174" s="16">
        <f>P1174/10000</f>
        <v/>
      </c>
      <c r="U1174" s="15">
        <f>IF(N1174&gt;=Summary!$D$3,1,0)</f>
        <v/>
      </c>
      <c r="V1174" s="17">
        <f>IF(N1174&gt;0,P1174/N1174,"")</f>
        <v/>
      </c>
      <c r="W1174" s="17">
        <f>IF(O1174&gt;0,H1174/O1174,"")</f>
        <v/>
      </c>
    </row>
    <row r="1175">
      <c r="A1175" s="13" t="inlineStr">
        <is>
          <t>T42_F</t>
        </is>
      </c>
      <c r="B1175" s="13" t="inlineStr">
        <is>
          <t>T42</t>
        </is>
      </c>
      <c r="C1175" s="13" t="inlineStr">
        <is>
          <t>F</t>
        </is>
      </c>
      <c r="D1175" s="13" t="n">
        <v>1</v>
      </c>
      <c r="E1175" s="13" t="inlineStr">
        <is>
          <t>S1</t>
        </is>
      </c>
      <c r="F1175" s="13" t="n">
        <v>2024</v>
      </c>
      <c r="G1175" s="14" t="n">
        <v>64882.28318209181</v>
      </c>
      <c r="H1175" s="14" t="n">
        <v>63212.55974513036</v>
      </c>
      <c r="I1175" s="14" t="n">
        <v>0</v>
      </c>
      <c r="J1175" s="14" t="n">
        <v>0</v>
      </c>
      <c r="K1175" s="14" t="n">
        <v>1669.723436961454</v>
      </c>
      <c r="L1175" s="14" t="n">
        <v>0</v>
      </c>
      <c r="M1175" s="14" t="n">
        <v>0</v>
      </c>
      <c r="N1175" s="14" t="n">
        <v>64766.52902909822</v>
      </c>
      <c r="O1175" s="14" t="n">
        <v>64882.28318209181</v>
      </c>
      <c r="P1175" s="14" t="n">
        <v>1571.003336558622</v>
      </c>
      <c r="Q1175" s="14" t="n">
        <v>950360.6186134488</v>
      </c>
      <c r="R1175" s="15">
        <f>IF(D1175=1,"Section 1","Control")</f>
        <v/>
      </c>
      <c r="S1175" s="16">
        <f>N1175/10000</f>
        <v/>
      </c>
      <c r="T1175" s="16">
        <f>P1175/10000</f>
        <v/>
      </c>
      <c r="U1175" s="15">
        <f>IF(N1175&gt;=Summary!$D$3,1,0)</f>
        <v/>
      </c>
      <c r="V1175" s="17">
        <f>IF(N1175&gt;0,P1175/N1175,"")</f>
        <v/>
      </c>
      <c r="W1175" s="17">
        <f>IF(O1175&gt;0,H1175/O1175,"")</f>
        <v/>
      </c>
    </row>
    <row r="1176">
      <c r="A1176" s="13" t="inlineStr">
        <is>
          <t>T42_F</t>
        </is>
      </c>
      <c r="B1176" s="13" t="inlineStr">
        <is>
          <t>T42</t>
        </is>
      </c>
      <c r="C1176" s="13" t="inlineStr">
        <is>
          <t>F</t>
        </is>
      </c>
      <c r="D1176" s="13" t="n">
        <v>1</v>
      </c>
      <c r="E1176" s="13" t="inlineStr">
        <is>
          <t>S1</t>
        </is>
      </c>
      <c r="F1176" s="13" t="n">
        <v>2025</v>
      </c>
      <c r="G1176" s="14" t="n">
        <v>64882.28318209181</v>
      </c>
      <c r="H1176" s="14" t="n">
        <v>1691.016754838532</v>
      </c>
      <c r="I1176" s="14" t="n">
        <v>12655.13321811452</v>
      </c>
      <c r="J1176" s="14" t="n">
        <v>0</v>
      </c>
      <c r="K1176" s="14" t="n">
        <v>50536.13320913877</v>
      </c>
      <c r="L1176" s="14" t="n">
        <v>0</v>
      </c>
      <c r="M1176" s="14" t="n">
        <v>0</v>
      </c>
      <c r="N1176" s="14" t="n">
        <v>64766.52902909822</v>
      </c>
      <c r="O1176" s="14" t="n">
        <v>64882.28318209181</v>
      </c>
      <c r="P1176" s="14" t="n">
        <v>63092.54632685045</v>
      </c>
      <c r="Q1176" s="14" t="n">
        <v>950360.6186134488</v>
      </c>
      <c r="R1176" s="15">
        <f>IF(D1176=1,"Section 1","Control")</f>
        <v/>
      </c>
      <c r="S1176" s="16">
        <f>N1176/10000</f>
        <v/>
      </c>
      <c r="T1176" s="16">
        <f>P1176/10000</f>
        <v/>
      </c>
      <c r="U1176" s="15">
        <f>IF(N1176&gt;=Summary!$D$3,1,0)</f>
        <v/>
      </c>
      <c r="V1176" s="17">
        <f>IF(N1176&gt;0,P1176/N1176,"")</f>
        <v/>
      </c>
      <c r="W1176" s="17">
        <f>IF(O1176&gt;0,H1176/O1176,"")</f>
        <v/>
      </c>
    </row>
    <row r="1177">
      <c r="A1177" s="13" t="inlineStr">
        <is>
          <t>T42_F</t>
        </is>
      </c>
      <c r="B1177" s="13" t="inlineStr">
        <is>
          <t>T42</t>
        </is>
      </c>
      <c r="C1177" s="13" t="inlineStr">
        <is>
          <t>F</t>
        </is>
      </c>
      <c r="D1177" s="13" t="n">
        <v>1</v>
      </c>
      <c r="E1177" s="13" t="inlineStr">
        <is>
          <t>S1</t>
        </is>
      </c>
      <c r="F1177" s="13" t="n">
        <v>2026</v>
      </c>
      <c r="G1177" s="14" t="n">
        <v>64882.28318209181</v>
      </c>
      <c r="H1177" s="14" t="n">
        <v>628.71143134622</v>
      </c>
      <c r="I1177" s="14" t="n">
        <v>26940.11094384288</v>
      </c>
      <c r="J1177" s="14" t="n">
        <v>0</v>
      </c>
      <c r="K1177" s="14" t="n">
        <v>37313.46080690274</v>
      </c>
      <c r="L1177" s="14" t="n">
        <v>0</v>
      </c>
      <c r="M1177" s="14" t="n">
        <v>0</v>
      </c>
      <c r="N1177" s="14" t="n">
        <v>64766.52902909822</v>
      </c>
      <c r="O1177" s="14" t="n">
        <v>64882.28318209181</v>
      </c>
      <c r="P1177" s="14" t="n">
        <v>64137.817597752</v>
      </c>
      <c r="Q1177" s="14" t="n">
        <v>950360.6186134488</v>
      </c>
      <c r="R1177" s="15">
        <f>IF(D1177=1,"Section 1","Control")</f>
        <v/>
      </c>
      <c r="S1177" s="16">
        <f>N1177/10000</f>
        <v/>
      </c>
      <c r="T1177" s="16">
        <f>P1177/10000</f>
        <v/>
      </c>
      <c r="U1177" s="15">
        <f>IF(N1177&gt;=Summary!$D$3,1,0)</f>
        <v/>
      </c>
      <c r="V1177" s="17">
        <f>IF(N1177&gt;0,P1177/N1177,"")</f>
        <v/>
      </c>
      <c r="W1177" s="17">
        <f>IF(O1177&gt;0,H1177/O1177,"")</f>
        <v/>
      </c>
    </row>
    <row r="1178">
      <c r="A1178" s="13" t="inlineStr">
        <is>
          <t>T43_B1</t>
        </is>
      </c>
      <c r="B1178" s="13" t="inlineStr">
        <is>
          <t>T43</t>
        </is>
      </c>
      <c r="C1178" s="13" t="inlineStr">
        <is>
          <t>B1</t>
        </is>
      </c>
      <c r="D1178" s="13" t="n">
        <v>1</v>
      </c>
      <c r="E1178" s="13" t="inlineStr">
        <is>
          <t>S1</t>
        </is>
      </c>
      <c r="F1178" s="13" t="n">
        <v>2020</v>
      </c>
      <c r="G1178" s="14" t="n">
        <v>1021182.820886859</v>
      </c>
      <c r="H1178" s="14" t="n">
        <v>715068.1705139459</v>
      </c>
      <c r="I1178" s="14" t="n">
        <v>159569.3133709777</v>
      </c>
      <c r="J1178" s="14" t="n">
        <v>33408.96099180334</v>
      </c>
      <c r="K1178" s="14" t="n">
        <v>58605.36956637513</v>
      </c>
      <c r="L1178" s="14" t="n">
        <v>54531.00644375671</v>
      </c>
      <c r="M1178" s="14" t="n">
        <v>0</v>
      </c>
      <c r="N1178" s="14" t="n">
        <v>715068.1705139459</v>
      </c>
      <c r="O1178" s="14" t="n">
        <v>966651.814443102</v>
      </c>
      <c r="P1178" s="14" t="n">
        <v>0</v>
      </c>
      <c r="Q1178" s="14" t="n">
        <v>9565773.706946161</v>
      </c>
      <c r="R1178" s="15">
        <f>IF(D1178=1,"Section 1","Control")</f>
        <v/>
      </c>
      <c r="S1178" s="16">
        <f>N1178/10000</f>
        <v/>
      </c>
      <c r="T1178" s="16">
        <f>P1178/10000</f>
        <v/>
      </c>
      <c r="U1178" s="15">
        <f>IF(N1178&gt;=Summary!$D$3,1,0)</f>
        <v/>
      </c>
      <c r="V1178" s="17">
        <f>IF(N1178&gt;0,P1178/N1178,"")</f>
        <v/>
      </c>
      <c r="W1178" s="17">
        <f>IF(O1178&gt;0,H1178/O1178,"")</f>
        <v/>
      </c>
    </row>
    <row r="1179">
      <c r="A1179" s="13" t="inlineStr">
        <is>
          <t>T43_B1</t>
        </is>
      </c>
      <c r="B1179" s="13" t="inlineStr">
        <is>
          <t>T43</t>
        </is>
      </c>
      <c r="C1179" s="13" t="inlineStr">
        <is>
          <t>B1</t>
        </is>
      </c>
      <c r="D1179" s="13" t="n">
        <v>1</v>
      </c>
      <c r="E1179" s="13" t="inlineStr">
        <is>
          <t>S1</t>
        </is>
      </c>
      <c r="F1179" s="13" t="n">
        <v>2021</v>
      </c>
      <c r="G1179" s="14" t="n">
        <v>1021182.820886859</v>
      </c>
      <c r="H1179" s="14" t="n">
        <v>659592.4058666754</v>
      </c>
      <c r="I1179" s="14" t="n">
        <v>212221.3179971134</v>
      </c>
      <c r="J1179" s="14" t="n">
        <v>33466.25760734409</v>
      </c>
      <c r="K1179" s="14" t="n">
        <v>64844.09081633324</v>
      </c>
      <c r="L1179" s="14" t="n">
        <v>51058.74859939276</v>
      </c>
      <c r="M1179" s="14" t="n">
        <v>0</v>
      </c>
      <c r="N1179" s="14" t="n">
        <v>715068.170513946</v>
      </c>
      <c r="O1179" s="14" t="n">
        <v>966651.814443102</v>
      </c>
      <c r="P1179" s="14" t="n">
        <v>60749.73868865967</v>
      </c>
      <c r="Q1179" s="14" t="n">
        <v>9565773.706946161</v>
      </c>
      <c r="R1179" s="15">
        <f>IF(D1179=1,"Section 1","Control")</f>
        <v/>
      </c>
      <c r="S1179" s="16">
        <f>N1179/10000</f>
        <v/>
      </c>
      <c r="T1179" s="16">
        <f>P1179/10000</f>
        <v/>
      </c>
      <c r="U1179" s="15">
        <f>IF(N1179&gt;=Summary!$D$3,1,0)</f>
        <v/>
      </c>
      <c r="V1179" s="17">
        <f>IF(N1179&gt;0,P1179/N1179,"")</f>
        <v/>
      </c>
      <c r="W1179" s="17">
        <f>IF(O1179&gt;0,H1179/O1179,"")</f>
        <v/>
      </c>
    </row>
    <row r="1180">
      <c r="A1180" s="13" t="inlineStr">
        <is>
          <t>T43_B1</t>
        </is>
      </c>
      <c r="B1180" s="13" t="inlineStr">
        <is>
          <t>T43</t>
        </is>
      </c>
      <c r="C1180" s="13" t="inlineStr">
        <is>
          <t>B1</t>
        </is>
      </c>
      <c r="D1180" s="13" t="n">
        <v>1</v>
      </c>
      <c r="E1180" s="13" t="inlineStr">
        <is>
          <t>S1</t>
        </is>
      </c>
      <c r="F1180" s="13" t="n">
        <v>2022</v>
      </c>
      <c r="G1180" s="14" t="n">
        <v>1021182.820886859</v>
      </c>
      <c r="H1180" s="14" t="n">
        <v>638897.9600155998</v>
      </c>
      <c r="I1180" s="14" t="n">
        <v>201184.7956817627</v>
      </c>
      <c r="J1180" s="14" t="n">
        <v>33466.25760734409</v>
      </c>
      <c r="K1180" s="14" t="n">
        <v>101543.2255799537</v>
      </c>
      <c r="L1180" s="14" t="n">
        <v>46090.58200219847</v>
      </c>
      <c r="M1180" s="14" t="n">
        <v>0</v>
      </c>
      <c r="N1180" s="14" t="n">
        <v>715068.1705139459</v>
      </c>
      <c r="O1180" s="14" t="n">
        <v>966651.814443102</v>
      </c>
      <c r="P1180" s="14" t="n">
        <v>81290.87829682593</v>
      </c>
      <c r="Q1180" s="14" t="n">
        <v>9565773.706946161</v>
      </c>
      <c r="R1180" s="15">
        <f>IF(D1180=1,"Section 1","Control")</f>
        <v/>
      </c>
      <c r="S1180" s="16">
        <f>N1180/10000</f>
        <v/>
      </c>
      <c r="T1180" s="16">
        <f>P1180/10000</f>
        <v/>
      </c>
      <c r="U1180" s="15">
        <f>IF(N1180&gt;=Summary!$D$3,1,0)</f>
        <v/>
      </c>
      <c r="V1180" s="17">
        <f>IF(N1180&gt;0,P1180/N1180,"")</f>
        <v/>
      </c>
      <c r="W1180" s="17">
        <f>IF(O1180&gt;0,H1180/O1180,"")</f>
        <v/>
      </c>
    </row>
    <row r="1181">
      <c r="A1181" s="13" t="inlineStr">
        <is>
          <t>T43_B1</t>
        </is>
      </c>
      <c r="B1181" s="13" t="inlineStr">
        <is>
          <t>T43</t>
        </is>
      </c>
      <c r="C1181" s="13" t="inlineStr">
        <is>
          <t>B1</t>
        </is>
      </c>
      <c r="D1181" s="13" t="n">
        <v>1</v>
      </c>
      <c r="E1181" s="13" t="inlineStr">
        <is>
          <t>S1</t>
        </is>
      </c>
      <c r="F1181" s="13" t="n">
        <v>2023</v>
      </c>
      <c r="G1181" s="14" t="n">
        <v>1021182.820886859</v>
      </c>
      <c r="H1181" s="14" t="n">
        <v>583979.6876151292</v>
      </c>
      <c r="I1181" s="14" t="n">
        <v>277887.2782476388</v>
      </c>
      <c r="J1181" s="14" t="n">
        <v>33466.25760734409</v>
      </c>
      <c r="K1181" s="14" t="n">
        <v>63246.72421315511</v>
      </c>
      <c r="L1181" s="14" t="n">
        <v>62602.87320359174</v>
      </c>
      <c r="M1181" s="14" t="n">
        <v>0</v>
      </c>
      <c r="N1181" s="14" t="n">
        <v>715068.1705139459</v>
      </c>
      <c r="O1181" s="14" t="n">
        <v>966651.814443102</v>
      </c>
      <c r="P1181" s="14" t="n">
        <v>139941.1554852654</v>
      </c>
      <c r="Q1181" s="14" t="n">
        <v>9565773.706946161</v>
      </c>
      <c r="R1181" s="15">
        <f>IF(D1181=1,"Section 1","Control")</f>
        <v/>
      </c>
      <c r="S1181" s="16">
        <f>N1181/10000</f>
        <v/>
      </c>
      <c r="T1181" s="16">
        <f>P1181/10000</f>
        <v/>
      </c>
      <c r="U1181" s="15">
        <f>IF(N1181&gt;=Summary!$D$3,1,0)</f>
        <v/>
      </c>
      <c r="V1181" s="17">
        <f>IF(N1181&gt;0,P1181/N1181,"")</f>
        <v/>
      </c>
      <c r="W1181" s="17">
        <f>IF(O1181&gt;0,H1181/O1181,"")</f>
        <v/>
      </c>
    </row>
    <row r="1182">
      <c r="A1182" s="13" t="inlineStr">
        <is>
          <t>T43_B1</t>
        </is>
      </c>
      <c r="B1182" s="13" t="inlineStr">
        <is>
          <t>T43</t>
        </is>
      </c>
      <c r="C1182" s="13" t="inlineStr">
        <is>
          <t>B1</t>
        </is>
      </c>
      <c r="D1182" s="13" t="n">
        <v>1</v>
      </c>
      <c r="E1182" s="13" t="inlineStr">
        <is>
          <t>S1</t>
        </is>
      </c>
      <c r="F1182" s="13" t="n">
        <v>2024</v>
      </c>
      <c r="G1182" s="14" t="n">
        <v>1021182.820886859</v>
      </c>
      <c r="H1182" s="14" t="n">
        <v>681305.411197079</v>
      </c>
      <c r="I1182" s="14" t="n">
        <v>161731.175863468</v>
      </c>
      <c r="J1182" s="14" t="n">
        <v>33466.25760734409</v>
      </c>
      <c r="K1182" s="14" t="n">
        <v>86124.65018792245</v>
      </c>
      <c r="L1182" s="14" t="n">
        <v>58555.32603104536</v>
      </c>
      <c r="M1182" s="14" t="n">
        <v>0</v>
      </c>
      <c r="N1182" s="14" t="n">
        <v>715068.1705139459</v>
      </c>
      <c r="O1182" s="14" t="n">
        <v>966651.814443102</v>
      </c>
      <c r="P1182" s="14" t="n">
        <v>70422.00005397422</v>
      </c>
      <c r="Q1182" s="14" t="n">
        <v>9565773.706946161</v>
      </c>
      <c r="R1182" s="15">
        <f>IF(D1182=1,"Section 1","Control")</f>
        <v/>
      </c>
      <c r="S1182" s="16">
        <f>N1182/10000</f>
        <v/>
      </c>
      <c r="T1182" s="16">
        <f>P1182/10000</f>
        <v/>
      </c>
      <c r="U1182" s="15">
        <f>IF(N1182&gt;=Summary!$D$3,1,0)</f>
        <v/>
      </c>
      <c r="V1182" s="17">
        <f>IF(N1182&gt;0,P1182/N1182,"")</f>
        <v/>
      </c>
      <c r="W1182" s="17">
        <f>IF(O1182&gt;0,H1182/O1182,"")</f>
        <v/>
      </c>
    </row>
    <row r="1183">
      <c r="A1183" s="13" t="inlineStr">
        <is>
          <t>T43_B1</t>
        </is>
      </c>
      <c r="B1183" s="13" t="inlineStr">
        <is>
          <t>T43</t>
        </is>
      </c>
      <c r="C1183" s="13" t="inlineStr">
        <is>
          <t>B1</t>
        </is>
      </c>
      <c r="D1183" s="13" t="n">
        <v>1</v>
      </c>
      <c r="E1183" s="13" t="inlineStr">
        <is>
          <t>S1</t>
        </is>
      </c>
      <c r="F1183" s="13" t="n">
        <v>2025</v>
      </c>
      <c r="G1183" s="14" t="n">
        <v>1021182.820886859</v>
      </c>
      <c r="H1183" s="14" t="n">
        <v>613187.3963868984</v>
      </c>
      <c r="I1183" s="14" t="n">
        <v>202744.5237424065</v>
      </c>
      <c r="J1183" s="14" t="n">
        <v>33466.25760734409</v>
      </c>
      <c r="K1183" s="14" t="n">
        <v>107997.1222262813</v>
      </c>
      <c r="L1183" s="14" t="n">
        <v>63787.52092392866</v>
      </c>
      <c r="M1183" s="14" t="n">
        <v>0</v>
      </c>
      <c r="N1183" s="14" t="n">
        <v>715068.1705139459</v>
      </c>
      <c r="O1183" s="14" t="n">
        <v>966651.814443102</v>
      </c>
      <c r="P1183" s="14" t="n">
        <v>115067.0719790291</v>
      </c>
      <c r="Q1183" s="14" t="n">
        <v>9565773.706946161</v>
      </c>
      <c r="R1183" s="15">
        <f>IF(D1183=1,"Section 1","Control")</f>
        <v/>
      </c>
      <c r="S1183" s="16">
        <f>N1183/10000</f>
        <v/>
      </c>
      <c r="T1183" s="16">
        <f>P1183/10000</f>
        <v/>
      </c>
      <c r="U1183" s="15">
        <f>IF(N1183&gt;=Summary!$D$3,1,0)</f>
        <v/>
      </c>
      <c r="V1183" s="17">
        <f>IF(N1183&gt;0,P1183/N1183,"")</f>
        <v/>
      </c>
      <c r="W1183" s="17">
        <f>IF(O1183&gt;0,H1183/O1183,"")</f>
        <v/>
      </c>
    </row>
    <row r="1184">
      <c r="A1184" s="13" t="inlineStr">
        <is>
          <t>T43_B1</t>
        </is>
      </c>
      <c r="B1184" s="13" t="inlineStr">
        <is>
          <t>T43</t>
        </is>
      </c>
      <c r="C1184" s="13" t="inlineStr">
        <is>
          <t>B1</t>
        </is>
      </c>
      <c r="D1184" s="13" t="n">
        <v>1</v>
      </c>
      <c r="E1184" s="13" t="inlineStr">
        <is>
          <t>S1</t>
        </is>
      </c>
      <c r="F1184" s="13" t="n">
        <v>2026</v>
      </c>
      <c r="G1184" s="14" t="n">
        <v>1021182.820886859</v>
      </c>
      <c r="H1184" s="14" t="n">
        <v>662459.6125118779</v>
      </c>
      <c r="I1184" s="14" t="n">
        <v>132441.4055983001</v>
      </c>
      <c r="J1184" s="14" t="n">
        <v>33466.25760734409</v>
      </c>
      <c r="K1184" s="14" t="n">
        <v>132088.3645011453</v>
      </c>
      <c r="L1184" s="14" t="n">
        <v>60727.18066819135</v>
      </c>
      <c r="M1184" s="14" t="n">
        <v>0</v>
      </c>
      <c r="N1184" s="14" t="n">
        <v>715068.1705139459</v>
      </c>
      <c r="O1184" s="14" t="n">
        <v>966651.814443102</v>
      </c>
      <c r="P1184" s="14" t="n">
        <v>90321.97935156729</v>
      </c>
      <c r="Q1184" s="14" t="n">
        <v>9565773.706946161</v>
      </c>
      <c r="R1184" s="15">
        <f>IF(D1184=1,"Section 1","Control")</f>
        <v/>
      </c>
      <c r="S1184" s="16">
        <f>N1184/10000</f>
        <v/>
      </c>
      <c r="T1184" s="16">
        <f>P1184/10000</f>
        <v/>
      </c>
      <c r="U1184" s="15">
        <f>IF(N1184&gt;=Summary!$D$3,1,0)</f>
        <v/>
      </c>
      <c r="V1184" s="17">
        <f>IF(N1184&gt;0,P1184/N1184,"")</f>
        <v/>
      </c>
      <c r="W1184" s="17">
        <f>IF(O1184&gt;0,H1184/O1184,"")</f>
        <v/>
      </c>
    </row>
    <row r="1185">
      <c r="A1185" s="13" t="inlineStr">
        <is>
          <t>T43_B2</t>
        </is>
      </c>
      <c r="B1185" s="13" t="inlineStr">
        <is>
          <t>T43</t>
        </is>
      </c>
      <c r="C1185" s="13" t="inlineStr">
        <is>
          <t>B2</t>
        </is>
      </c>
      <c r="D1185" s="13" t="n">
        <v>1</v>
      </c>
      <c r="E1185" s="13" t="inlineStr">
        <is>
          <t>S1</t>
        </is>
      </c>
      <c r="F1185" s="13" t="n">
        <v>2020</v>
      </c>
      <c r="G1185" s="14" t="n">
        <v>1015882.717584677</v>
      </c>
      <c r="H1185" s="14" t="n">
        <v>532644.0248286827</v>
      </c>
      <c r="I1185" s="14" t="n">
        <v>296.155647277832</v>
      </c>
      <c r="J1185" s="14" t="n">
        <v>0</v>
      </c>
      <c r="K1185" s="14" t="n">
        <v>0</v>
      </c>
      <c r="L1185" s="14" t="n">
        <v>482942.5371087167</v>
      </c>
      <c r="M1185" s="14" t="n">
        <v>0</v>
      </c>
      <c r="N1185" s="14" t="n">
        <v>532644.0248286827</v>
      </c>
      <c r="O1185" s="14" t="n">
        <v>532940.1804759605</v>
      </c>
      <c r="P1185" s="14" t="n">
        <v>0</v>
      </c>
      <c r="Q1185" s="14" t="n">
        <v>5543880.670579859</v>
      </c>
      <c r="R1185" s="15">
        <f>IF(D1185=1,"Section 1","Control")</f>
        <v/>
      </c>
      <c r="S1185" s="16">
        <f>N1185/10000</f>
        <v/>
      </c>
      <c r="T1185" s="16">
        <f>P1185/10000</f>
        <v/>
      </c>
      <c r="U1185" s="15">
        <f>IF(N1185&gt;=Summary!$D$3,1,0)</f>
        <v/>
      </c>
      <c r="V1185" s="17">
        <f>IF(N1185&gt;0,P1185/N1185,"")</f>
        <v/>
      </c>
      <c r="W1185" s="17">
        <f>IF(O1185&gt;0,H1185/O1185,"")</f>
        <v/>
      </c>
    </row>
    <row r="1186">
      <c r="A1186" s="13" t="inlineStr">
        <is>
          <t>T43_B2</t>
        </is>
      </c>
      <c r="B1186" s="13" t="inlineStr">
        <is>
          <t>T43</t>
        </is>
      </c>
      <c r="C1186" s="13" t="inlineStr">
        <is>
          <t>B2</t>
        </is>
      </c>
      <c r="D1186" s="13" t="n">
        <v>1</v>
      </c>
      <c r="E1186" s="13" t="inlineStr">
        <is>
          <t>S1</t>
        </is>
      </c>
      <c r="F1186" s="13" t="n">
        <v>2021</v>
      </c>
      <c r="G1186" s="14" t="n">
        <v>1015882.717584677</v>
      </c>
      <c r="H1186" s="14" t="n">
        <v>463596.1272360708</v>
      </c>
      <c r="I1186" s="14" t="n">
        <v>13262.71425117044</v>
      </c>
      <c r="J1186" s="14" t="n">
        <v>0</v>
      </c>
      <c r="K1186" s="14" t="n">
        <v>56081.33898871927</v>
      </c>
      <c r="L1186" s="14" t="n">
        <v>482942.5371087166</v>
      </c>
      <c r="M1186" s="14" t="n">
        <v>0</v>
      </c>
      <c r="N1186" s="14" t="n">
        <v>532644.0248286828</v>
      </c>
      <c r="O1186" s="14" t="n">
        <v>532940.1804759606</v>
      </c>
      <c r="P1186" s="14" t="n">
        <v>69245.33475691851</v>
      </c>
      <c r="Q1186" s="14" t="n">
        <v>5543880.670579858</v>
      </c>
      <c r="R1186" s="15">
        <f>IF(D1186=1,"Section 1","Control")</f>
        <v/>
      </c>
      <c r="S1186" s="16">
        <f>N1186/10000</f>
        <v/>
      </c>
      <c r="T1186" s="16">
        <f>P1186/10000</f>
        <v/>
      </c>
      <c r="U1186" s="15">
        <f>IF(N1186&gt;=Summary!$D$3,1,0)</f>
        <v/>
      </c>
      <c r="V1186" s="17">
        <f>IF(N1186&gt;0,P1186/N1186,"")</f>
        <v/>
      </c>
      <c r="W1186" s="17">
        <f>IF(O1186&gt;0,H1186/O1186,"")</f>
        <v/>
      </c>
    </row>
    <row r="1187">
      <c r="A1187" s="13" t="inlineStr">
        <is>
          <t>T43_B2</t>
        </is>
      </c>
      <c r="B1187" s="13" t="inlineStr">
        <is>
          <t>T43</t>
        </is>
      </c>
      <c r="C1187" s="13" t="inlineStr">
        <is>
          <t>B2</t>
        </is>
      </c>
      <c r="D1187" s="13" t="n">
        <v>1</v>
      </c>
      <c r="E1187" s="13" t="inlineStr">
        <is>
          <t>S1</t>
        </is>
      </c>
      <c r="F1187" s="13" t="n">
        <v>2022</v>
      </c>
      <c r="G1187" s="14" t="n">
        <v>1015882.717584677</v>
      </c>
      <c r="H1187" s="14" t="n">
        <v>422993.4561060887</v>
      </c>
      <c r="I1187" s="14" t="n">
        <v>24059.00483123181</v>
      </c>
      <c r="J1187" s="14" t="n">
        <v>0</v>
      </c>
      <c r="K1187" s="14" t="n">
        <v>86282.60267157461</v>
      </c>
      <c r="L1187" s="14" t="n">
        <v>482547.6539757821</v>
      </c>
      <c r="M1187" s="14" t="n">
        <v>0</v>
      </c>
      <c r="N1187" s="14" t="n">
        <v>532644.0248286827</v>
      </c>
      <c r="O1187" s="14" t="n">
        <v>532940.1804759605</v>
      </c>
      <c r="P1187" s="14" t="n">
        <v>109650.568722594</v>
      </c>
      <c r="Q1187" s="14" t="n">
        <v>5543880.670579858</v>
      </c>
      <c r="R1187" s="15">
        <f>IF(D1187=1,"Section 1","Control")</f>
        <v/>
      </c>
      <c r="S1187" s="16">
        <f>N1187/10000</f>
        <v/>
      </c>
      <c r="T1187" s="16">
        <f>P1187/10000</f>
        <v/>
      </c>
      <c r="U1187" s="15">
        <f>IF(N1187&gt;=Summary!$D$3,1,0)</f>
        <v/>
      </c>
      <c r="V1187" s="17">
        <f>IF(N1187&gt;0,P1187/N1187,"")</f>
        <v/>
      </c>
      <c r="W1187" s="17">
        <f>IF(O1187&gt;0,H1187/O1187,"")</f>
        <v/>
      </c>
    </row>
    <row r="1188">
      <c r="A1188" s="13" t="inlineStr">
        <is>
          <t>T43_B2</t>
        </is>
      </c>
      <c r="B1188" s="13" t="inlineStr">
        <is>
          <t>T43</t>
        </is>
      </c>
      <c r="C1188" s="13" t="inlineStr">
        <is>
          <t>B2</t>
        </is>
      </c>
      <c r="D1188" s="13" t="n">
        <v>1</v>
      </c>
      <c r="E1188" s="13" t="inlineStr">
        <is>
          <t>S1</t>
        </is>
      </c>
      <c r="F1188" s="13" t="n">
        <v>2023</v>
      </c>
      <c r="G1188" s="14" t="n">
        <v>1015882.717584677</v>
      </c>
      <c r="H1188" s="14" t="n">
        <v>413874.1933079738</v>
      </c>
      <c r="I1188" s="14" t="n">
        <v>35833.21260049858</v>
      </c>
      <c r="J1188" s="14" t="n">
        <v>0</v>
      </c>
      <c r="K1188" s="14" t="n">
        <v>83232.77456748813</v>
      </c>
      <c r="L1188" s="14" t="n">
        <v>482942.5371087167</v>
      </c>
      <c r="M1188" s="14" t="n">
        <v>0</v>
      </c>
      <c r="N1188" s="14" t="n">
        <v>532644.0248286827</v>
      </c>
      <c r="O1188" s="14" t="n">
        <v>532940.1804759605</v>
      </c>
      <c r="P1188" s="14" t="n">
        <v>118769.8315207089</v>
      </c>
      <c r="Q1188" s="14" t="n">
        <v>5543880.670579858</v>
      </c>
      <c r="R1188" s="15">
        <f>IF(D1188=1,"Section 1","Control")</f>
        <v/>
      </c>
      <c r="S1188" s="16">
        <f>N1188/10000</f>
        <v/>
      </c>
      <c r="T1188" s="16">
        <f>P1188/10000</f>
        <v/>
      </c>
      <c r="U1188" s="15">
        <f>IF(N1188&gt;=Summary!$D$3,1,0)</f>
        <v/>
      </c>
      <c r="V1188" s="17">
        <f>IF(N1188&gt;0,P1188/N1188,"")</f>
        <v/>
      </c>
      <c r="W1188" s="17">
        <f>IF(O1188&gt;0,H1188/O1188,"")</f>
        <v/>
      </c>
    </row>
    <row r="1189">
      <c r="A1189" s="13" t="inlineStr">
        <is>
          <t>T43_B2</t>
        </is>
      </c>
      <c r="B1189" s="13" t="inlineStr">
        <is>
          <t>T43</t>
        </is>
      </c>
      <c r="C1189" s="13" t="inlineStr">
        <is>
          <t>B2</t>
        </is>
      </c>
      <c r="D1189" s="13" t="n">
        <v>1</v>
      </c>
      <c r="E1189" s="13" t="inlineStr">
        <is>
          <t>S1</t>
        </is>
      </c>
      <c r="F1189" s="13" t="n">
        <v>2024</v>
      </c>
      <c r="G1189" s="14" t="n">
        <v>1015882.717584677</v>
      </c>
      <c r="H1189" s="14" t="n">
        <v>403629.9519785863</v>
      </c>
      <c r="I1189" s="14" t="n">
        <v>20561.28217444326</v>
      </c>
      <c r="J1189" s="14" t="n">
        <v>0</v>
      </c>
      <c r="K1189" s="14" t="n">
        <v>108748.946322931</v>
      </c>
      <c r="L1189" s="14" t="n">
        <v>482942.5371087167</v>
      </c>
      <c r="M1189" s="14" t="n">
        <v>0</v>
      </c>
      <c r="N1189" s="14" t="n">
        <v>532644.0248286827</v>
      </c>
      <c r="O1189" s="14" t="n">
        <v>532940.1804759605</v>
      </c>
      <c r="P1189" s="14" t="n">
        <v>129014.0728500965</v>
      </c>
      <c r="Q1189" s="14" t="n">
        <v>5543880.670579858</v>
      </c>
      <c r="R1189" s="15">
        <f>IF(D1189=1,"Section 1","Control")</f>
        <v/>
      </c>
      <c r="S1189" s="16">
        <f>N1189/10000</f>
        <v/>
      </c>
      <c r="T1189" s="16">
        <f>P1189/10000</f>
        <v/>
      </c>
      <c r="U1189" s="15">
        <f>IF(N1189&gt;=Summary!$D$3,1,0)</f>
        <v/>
      </c>
      <c r="V1189" s="17">
        <f>IF(N1189&gt;0,P1189/N1189,"")</f>
        <v/>
      </c>
      <c r="W1189" s="17">
        <f>IF(O1189&gt;0,H1189/O1189,"")</f>
        <v/>
      </c>
    </row>
    <row r="1190">
      <c r="A1190" s="13" t="inlineStr">
        <is>
          <t>T43_B2</t>
        </is>
      </c>
      <c r="B1190" s="13" t="inlineStr">
        <is>
          <t>T43</t>
        </is>
      </c>
      <c r="C1190" s="13" t="inlineStr">
        <is>
          <t>B2</t>
        </is>
      </c>
      <c r="D1190" s="13" t="n">
        <v>1</v>
      </c>
      <c r="E1190" s="13" t="inlineStr">
        <is>
          <t>S1</t>
        </is>
      </c>
      <c r="F1190" s="13" t="n">
        <v>2025</v>
      </c>
      <c r="G1190" s="14" t="n">
        <v>1015882.717584677</v>
      </c>
      <c r="H1190" s="14" t="n">
        <v>307593.6276776183</v>
      </c>
      <c r="I1190" s="14" t="n">
        <v>43336.15840651569</v>
      </c>
      <c r="J1190" s="14" t="n">
        <v>0</v>
      </c>
      <c r="K1190" s="14" t="n">
        <v>182010.3943918266</v>
      </c>
      <c r="L1190" s="14" t="n">
        <v>482942.5371087167</v>
      </c>
      <c r="M1190" s="14" t="n">
        <v>0</v>
      </c>
      <c r="N1190" s="14" t="n">
        <v>532644.0248286828</v>
      </c>
      <c r="O1190" s="14" t="n">
        <v>532940.1804759606</v>
      </c>
      <c r="P1190" s="14" t="n">
        <v>225050.3971510644</v>
      </c>
      <c r="Q1190" s="14" t="n">
        <v>5543880.670579858</v>
      </c>
      <c r="R1190" s="15">
        <f>IF(D1190=1,"Section 1","Control")</f>
        <v/>
      </c>
      <c r="S1190" s="16">
        <f>N1190/10000</f>
        <v/>
      </c>
      <c r="T1190" s="16">
        <f>P1190/10000</f>
        <v/>
      </c>
      <c r="U1190" s="15">
        <f>IF(N1190&gt;=Summary!$D$3,1,0)</f>
        <v/>
      </c>
      <c r="V1190" s="17">
        <f>IF(N1190&gt;0,P1190/N1190,"")</f>
        <v/>
      </c>
      <c r="W1190" s="17">
        <f>IF(O1190&gt;0,H1190/O1190,"")</f>
        <v/>
      </c>
    </row>
    <row r="1191">
      <c r="A1191" s="13" t="inlineStr">
        <is>
          <t>T43_B2</t>
        </is>
      </c>
      <c r="B1191" s="13" t="inlineStr">
        <is>
          <t>T43</t>
        </is>
      </c>
      <c r="C1191" s="13" t="inlineStr">
        <is>
          <t>B2</t>
        </is>
      </c>
      <c r="D1191" s="13" t="n">
        <v>1</v>
      </c>
      <c r="E1191" s="13" t="inlineStr">
        <is>
          <t>S1</t>
        </is>
      </c>
      <c r="F1191" s="13" t="n">
        <v>2026</v>
      </c>
      <c r="G1191" s="14" t="n">
        <v>1015882.717584677</v>
      </c>
      <c r="H1191" s="14" t="n">
        <v>291252.460875687</v>
      </c>
      <c r="I1191" s="14" t="n">
        <v>66457.92642047358</v>
      </c>
      <c r="J1191" s="14" t="n">
        <v>0</v>
      </c>
      <c r="K1191" s="14" t="n">
        <v>174933.6376240749</v>
      </c>
      <c r="L1191" s="14" t="n">
        <v>483238.6926644418</v>
      </c>
      <c r="M1191" s="14" t="n">
        <v>0</v>
      </c>
      <c r="N1191" s="14" t="n">
        <v>532644.0248286828</v>
      </c>
      <c r="O1191" s="14" t="n">
        <v>532940.1804759606</v>
      </c>
      <c r="P1191" s="14" t="n">
        <v>241391.5639529958</v>
      </c>
      <c r="Q1191" s="14" t="n">
        <v>5543880.670579858</v>
      </c>
      <c r="R1191" s="15">
        <f>IF(D1191=1,"Section 1","Control")</f>
        <v/>
      </c>
      <c r="S1191" s="16">
        <f>N1191/10000</f>
        <v/>
      </c>
      <c r="T1191" s="16">
        <f>P1191/10000</f>
        <v/>
      </c>
      <c r="U1191" s="15">
        <f>IF(N1191&gt;=Summary!$D$3,1,0)</f>
        <v/>
      </c>
      <c r="V1191" s="17">
        <f>IF(N1191&gt;0,P1191/N1191,"")</f>
        <v/>
      </c>
      <c r="W1191" s="17">
        <f>IF(O1191&gt;0,H1191/O1191,"")</f>
        <v/>
      </c>
    </row>
    <row r="1192">
      <c r="A1192" s="13" t="inlineStr">
        <is>
          <t>T43_B3</t>
        </is>
      </c>
      <c r="B1192" s="13" t="inlineStr">
        <is>
          <t>T43</t>
        </is>
      </c>
      <c r="C1192" s="13" t="inlineStr">
        <is>
          <t>B3</t>
        </is>
      </c>
      <c r="D1192" s="13" t="n">
        <v>1</v>
      </c>
      <c r="E1192" s="13" t="inlineStr">
        <is>
          <t>S1</t>
        </is>
      </c>
      <c r="F1192" s="13" t="n">
        <v>2020</v>
      </c>
      <c r="G1192" s="14" t="n">
        <v>8166771.960065325</v>
      </c>
      <c r="H1192" s="14" t="n">
        <v>2561404.779709759</v>
      </c>
      <c r="I1192" s="14" t="n">
        <v>208049.0140918208</v>
      </c>
      <c r="J1192" s="14" t="n">
        <v>0</v>
      </c>
      <c r="K1192" s="14" t="n">
        <v>2072154.429174834</v>
      </c>
      <c r="L1192" s="14" t="n">
        <v>3325163.737088911</v>
      </c>
      <c r="M1192" s="14" t="n">
        <v>0</v>
      </c>
      <c r="N1192" s="14" t="n">
        <v>2561404.779709759</v>
      </c>
      <c r="O1192" s="14" t="n">
        <v>4841608.222976415</v>
      </c>
      <c r="P1192" s="14" t="n">
        <v>0</v>
      </c>
      <c r="Q1192" s="14" t="n">
        <v>34665596.99801975</v>
      </c>
      <c r="R1192" s="15">
        <f>IF(D1192=1,"Section 1","Control")</f>
        <v/>
      </c>
      <c r="S1192" s="16">
        <f>N1192/10000</f>
        <v/>
      </c>
      <c r="T1192" s="16">
        <f>P1192/10000</f>
        <v/>
      </c>
      <c r="U1192" s="15">
        <f>IF(N1192&gt;=Summary!$D$3,1,0)</f>
        <v/>
      </c>
      <c r="V1192" s="17">
        <f>IF(N1192&gt;0,P1192/N1192,"")</f>
        <v/>
      </c>
      <c r="W1192" s="17">
        <f>IF(O1192&gt;0,H1192/O1192,"")</f>
        <v/>
      </c>
    </row>
    <row r="1193">
      <c r="A1193" s="13" t="inlineStr">
        <is>
          <t>T43_B3</t>
        </is>
      </c>
      <c r="B1193" s="13" t="inlineStr">
        <is>
          <t>T43</t>
        </is>
      </c>
      <c r="C1193" s="13" t="inlineStr">
        <is>
          <t>B3</t>
        </is>
      </c>
      <c r="D1193" s="13" t="n">
        <v>1</v>
      </c>
      <c r="E1193" s="13" t="inlineStr">
        <is>
          <t>S1</t>
        </is>
      </c>
      <c r="F1193" s="13" t="n">
        <v>2021</v>
      </c>
      <c r="G1193" s="14" t="n">
        <v>8166771.960065325</v>
      </c>
      <c r="H1193" s="14" t="n">
        <v>1768567.040821928</v>
      </c>
      <c r="I1193" s="14" t="n">
        <v>398354.9861856199</v>
      </c>
      <c r="J1193" s="14" t="n">
        <v>0</v>
      </c>
      <c r="K1193" s="14" t="n">
        <v>2674686.195968868</v>
      </c>
      <c r="L1193" s="14" t="n">
        <v>3325163.737088911</v>
      </c>
      <c r="M1193" s="14" t="n">
        <v>0</v>
      </c>
      <c r="N1193" s="14" t="n">
        <v>2561404.779709759</v>
      </c>
      <c r="O1193" s="14" t="n">
        <v>4841608.222976415</v>
      </c>
      <c r="P1193" s="14" t="n">
        <v>844018.6476629521</v>
      </c>
      <c r="Q1193" s="14" t="n">
        <v>34665596.99801973</v>
      </c>
      <c r="R1193" s="15">
        <f>IF(D1193=1,"Section 1","Control")</f>
        <v/>
      </c>
      <c r="S1193" s="16">
        <f>N1193/10000</f>
        <v/>
      </c>
      <c r="T1193" s="16">
        <f>P1193/10000</f>
        <v/>
      </c>
      <c r="U1193" s="15">
        <f>IF(N1193&gt;=Summary!$D$3,1,0)</f>
        <v/>
      </c>
      <c r="V1193" s="17">
        <f>IF(N1193&gt;0,P1193/N1193,"")</f>
        <v/>
      </c>
      <c r="W1193" s="17">
        <f>IF(O1193&gt;0,H1193/O1193,"")</f>
        <v/>
      </c>
    </row>
    <row r="1194">
      <c r="A1194" s="13" t="inlineStr">
        <is>
          <t>T43_B3</t>
        </is>
      </c>
      <c r="B1194" s="13" t="inlineStr">
        <is>
          <t>T43</t>
        </is>
      </c>
      <c r="C1194" s="13" t="inlineStr">
        <is>
          <t>B3</t>
        </is>
      </c>
      <c r="D1194" s="13" t="n">
        <v>1</v>
      </c>
      <c r="E1194" s="13" t="inlineStr">
        <is>
          <t>S1</t>
        </is>
      </c>
      <c r="F1194" s="13" t="n">
        <v>2022</v>
      </c>
      <c r="G1194" s="14" t="n">
        <v>8166771.960065325</v>
      </c>
      <c r="H1194" s="14" t="n">
        <v>1399679.551447461</v>
      </c>
      <c r="I1194" s="14" t="n">
        <v>203498.7198089001</v>
      </c>
      <c r="J1194" s="14" t="n">
        <v>0</v>
      </c>
      <c r="K1194" s="14" t="n">
        <v>3238429.951720054</v>
      </c>
      <c r="L1194" s="14" t="n">
        <v>3325163.73708891</v>
      </c>
      <c r="M1194" s="14" t="n">
        <v>0</v>
      </c>
      <c r="N1194" s="14" t="n">
        <v>2561404.779709759</v>
      </c>
      <c r="O1194" s="14" t="n">
        <v>4841608.222976415</v>
      </c>
      <c r="P1194" s="14" t="n">
        <v>1187450.211427247</v>
      </c>
      <c r="Q1194" s="14" t="n">
        <v>34665596.99801973</v>
      </c>
      <c r="R1194" s="15">
        <f>IF(D1194=1,"Section 1","Control")</f>
        <v/>
      </c>
      <c r="S1194" s="16">
        <f>N1194/10000</f>
        <v/>
      </c>
      <c r="T1194" s="16">
        <f>P1194/10000</f>
        <v/>
      </c>
      <c r="U1194" s="15">
        <f>IF(N1194&gt;=Summary!$D$3,1,0)</f>
        <v/>
      </c>
      <c r="V1194" s="17">
        <f>IF(N1194&gt;0,P1194/N1194,"")</f>
        <v/>
      </c>
      <c r="W1194" s="17">
        <f>IF(O1194&gt;0,H1194/O1194,"")</f>
        <v/>
      </c>
    </row>
    <row r="1195">
      <c r="A1195" s="13" t="inlineStr">
        <is>
          <t>T43_B3</t>
        </is>
      </c>
      <c r="B1195" s="13" t="inlineStr">
        <is>
          <t>T43</t>
        </is>
      </c>
      <c r="C1195" s="13" t="inlineStr">
        <is>
          <t>B3</t>
        </is>
      </c>
      <c r="D1195" s="13" t="n">
        <v>1</v>
      </c>
      <c r="E1195" s="13" t="inlineStr">
        <is>
          <t>S1</t>
        </is>
      </c>
      <c r="F1195" s="13" t="n">
        <v>2023</v>
      </c>
      <c r="G1195" s="14" t="n">
        <v>8166771.960065325</v>
      </c>
      <c r="H1195" s="14" t="n">
        <v>1443619.226398183</v>
      </c>
      <c r="I1195" s="14" t="n">
        <v>190028.4208611881</v>
      </c>
      <c r="J1195" s="14" t="n">
        <v>0</v>
      </c>
      <c r="K1195" s="14" t="n">
        <v>3207960.575717043</v>
      </c>
      <c r="L1195" s="14" t="n">
        <v>3325163.737088911</v>
      </c>
      <c r="M1195" s="14" t="n">
        <v>0</v>
      </c>
      <c r="N1195" s="14" t="n">
        <v>2561404.779709759</v>
      </c>
      <c r="O1195" s="14" t="n">
        <v>4841608.222976415</v>
      </c>
      <c r="P1195" s="14" t="n">
        <v>1164149.917219304</v>
      </c>
      <c r="Q1195" s="14" t="n">
        <v>34665596.99801973</v>
      </c>
      <c r="R1195" s="15">
        <f>IF(D1195=1,"Section 1","Control")</f>
        <v/>
      </c>
      <c r="S1195" s="16">
        <f>N1195/10000</f>
        <v/>
      </c>
      <c r="T1195" s="16">
        <f>P1195/10000</f>
        <v/>
      </c>
      <c r="U1195" s="15">
        <f>IF(N1195&gt;=Summary!$D$3,1,0)</f>
        <v/>
      </c>
      <c r="V1195" s="17">
        <f>IF(N1195&gt;0,P1195/N1195,"")</f>
        <v/>
      </c>
      <c r="W1195" s="17">
        <f>IF(O1195&gt;0,H1195/O1195,"")</f>
        <v/>
      </c>
    </row>
    <row r="1196">
      <c r="A1196" s="13" t="inlineStr">
        <is>
          <t>T43_B3</t>
        </is>
      </c>
      <c r="B1196" s="13" t="inlineStr">
        <is>
          <t>T43</t>
        </is>
      </c>
      <c r="C1196" s="13" t="inlineStr">
        <is>
          <t>B3</t>
        </is>
      </c>
      <c r="D1196" s="13" t="n">
        <v>1</v>
      </c>
      <c r="E1196" s="13" t="inlineStr">
        <is>
          <t>S1</t>
        </is>
      </c>
      <c r="F1196" s="13" t="n">
        <v>2024</v>
      </c>
      <c r="G1196" s="14" t="n">
        <v>8166771.960065325</v>
      </c>
      <c r="H1196" s="14" t="n">
        <v>1401612.499715379</v>
      </c>
      <c r="I1196" s="14" t="n">
        <v>205161.6296229045</v>
      </c>
      <c r="J1196" s="14" t="n">
        <v>0</v>
      </c>
      <c r="K1196" s="14" t="n">
        <v>3234834.093638132</v>
      </c>
      <c r="L1196" s="14" t="n">
        <v>3325163.73708891</v>
      </c>
      <c r="M1196" s="14" t="n">
        <v>0</v>
      </c>
      <c r="N1196" s="14" t="n">
        <v>2561404.779709759</v>
      </c>
      <c r="O1196" s="14" t="n">
        <v>4841608.222976415</v>
      </c>
      <c r="P1196" s="14" t="n">
        <v>1225003.150602154</v>
      </c>
      <c r="Q1196" s="14" t="n">
        <v>34665596.99801974</v>
      </c>
      <c r="R1196" s="15">
        <f>IF(D1196=1,"Section 1","Control")</f>
        <v/>
      </c>
      <c r="S1196" s="16">
        <f>N1196/10000</f>
        <v/>
      </c>
      <c r="T1196" s="16">
        <f>P1196/10000</f>
        <v/>
      </c>
      <c r="U1196" s="15">
        <f>IF(N1196&gt;=Summary!$D$3,1,0)</f>
        <v/>
      </c>
      <c r="V1196" s="17">
        <f>IF(N1196&gt;0,P1196/N1196,"")</f>
        <v/>
      </c>
      <c r="W1196" s="17">
        <f>IF(O1196&gt;0,H1196/O1196,"")</f>
        <v/>
      </c>
    </row>
    <row r="1197">
      <c r="A1197" s="13" t="inlineStr">
        <is>
          <t>T43_B3</t>
        </is>
      </c>
      <c r="B1197" s="13" t="inlineStr">
        <is>
          <t>T43</t>
        </is>
      </c>
      <c r="C1197" s="13" t="inlineStr">
        <is>
          <t>B3</t>
        </is>
      </c>
      <c r="D1197" s="13" t="n">
        <v>1</v>
      </c>
      <c r="E1197" s="13" t="inlineStr">
        <is>
          <t>S1</t>
        </is>
      </c>
      <c r="F1197" s="13" t="n">
        <v>2025</v>
      </c>
      <c r="G1197" s="14" t="n">
        <v>8166771.960065325</v>
      </c>
      <c r="H1197" s="14" t="n">
        <v>1328403.395458387</v>
      </c>
      <c r="I1197" s="14" t="n">
        <v>337659.4462660546</v>
      </c>
      <c r="J1197" s="14" t="n">
        <v>0</v>
      </c>
      <c r="K1197" s="14" t="n">
        <v>3175545.381251974</v>
      </c>
      <c r="L1197" s="14" t="n">
        <v>3325163.737088911</v>
      </c>
      <c r="M1197" s="14" t="n">
        <v>0</v>
      </c>
      <c r="N1197" s="14" t="n">
        <v>2561404.779709759</v>
      </c>
      <c r="O1197" s="14" t="n">
        <v>4841608.222976415</v>
      </c>
      <c r="P1197" s="14" t="n">
        <v>1290470.376437169</v>
      </c>
      <c r="Q1197" s="14" t="n">
        <v>34665596.99801973</v>
      </c>
      <c r="R1197" s="15">
        <f>IF(D1197=1,"Section 1","Control")</f>
        <v/>
      </c>
      <c r="S1197" s="16">
        <f>N1197/10000</f>
        <v/>
      </c>
      <c r="T1197" s="16">
        <f>P1197/10000</f>
        <v/>
      </c>
      <c r="U1197" s="15">
        <f>IF(N1197&gt;=Summary!$D$3,1,0)</f>
        <v/>
      </c>
      <c r="V1197" s="17">
        <f>IF(N1197&gt;0,P1197/N1197,"")</f>
        <v/>
      </c>
      <c r="W1197" s="17">
        <f>IF(O1197&gt;0,H1197/O1197,"")</f>
        <v/>
      </c>
    </row>
    <row r="1198">
      <c r="A1198" s="13" t="inlineStr">
        <is>
          <t>T43_B3</t>
        </is>
      </c>
      <c r="B1198" s="13" t="inlineStr">
        <is>
          <t>T43</t>
        </is>
      </c>
      <c r="C1198" s="13" t="inlineStr">
        <is>
          <t>B3</t>
        </is>
      </c>
      <c r="D1198" s="13" t="n">
        <v>1</v>
      </c>
      <c r="E1198" s="13" t="inlineStr">
        <is>
          <t>S1</t>
        </is>
      </c>
      <c r="F1198" s="13" t="n">
        <v>2026</v>
      </c>
      <c r="G1198" s="14" t="n">
        <v>8166771.960065325</v>
      </c>
      <c r="H1198" s="14" t="n">
        <v>1295609.253042184</v>
      </c>
      <c r="I1198" s="14" t="n">
        <v>344137.725530946</v>
      </c>
      <c r="J1198" s="14" t="n">
        <v>0</v>
      </c>
      <c r="K1198" s="14" t="n">
        <v>3201861.244403285</v>
      </c>
      <c r="L1198" s="14" t="n">
        <v>3325163.73708891</v>
      </c>
      <c r="M1198" s="14" t="n">
        <v>0</v>
      </c>
      <c r="N1198" s="14" t="n">
        <v>2561404.779709759</v>
      </c>
      <c r="O1198" s="14" t="n">
        <v>4841608.222976415</v>
      </c>
      <c r="P1198" s="14" t="n">
        <v>1327457.877246812</v>
      </c>
      <c r="Q1198" s="14" t="n">
        <v>34665596.99801973</v>
      </c>
      <c r="R1198" s="15">
        <f>IF(D1198=1,"Section 1","Control")</f>
        <v/>
      </c>
      <c r="S1198" s="16">
        <f>N1198/10000</f>
        <v/>
      </c>
      <c r="T1198" s="16">
        <f>P1198/10000</f>
        <v/>
      </c>
      <c r="U1198" s="15">
        <f>IF(N1198&gt;=Summary!$D$3,1,0)</f>
        <v/>
      </c>
      <c r="V1198" s="17">
        <f>IF(N1198&gt;0,P1198/N1198,"")</f>
        <v/>
      </c>
      <c r="W1198" s="17">
        <f>IF(O1198&gt;0,H1198/O1198,"")</f>
        <v/>
      </c>
    </row>
    <row r="1199">
      <c r="A1199" s="13" t="inlineStr">
        <is>
          <t>T43_F</t>
        </is>
      </c>
      <c r="B1199" s="13" t="inlineStr">
        <is>
          <t>T43</t>
        </is>
      </c>
      <c r="C1199" s="13" t="inlineStr">
        <is>
          <t>F</t>
        </is>
      </c>
      <c r="D1199" s="13" t="n">
        <v>1</v>
      </c>
      <c r="E1199" s="13" t="inlineStr">
        <is>
          <t>S1</t>
        </is>
      </c>
      <c r="F1199" s="13" t="n">
        <v>2020</v>
      </c>
      <c r="G1199" s="14" t="n">
        <v>65841.88239285341</v>
      </c>
      <c r="H1199" s="14" t="n">
        <v>65690.51191148948</v>
      </c>
      <c r="I1199" s="14" t="n">
        <v>95.62278490253524</v>
      </c>
      <c r="J1199" s="14" t="n">
        <v>0</v>
      </c>
      <c r="K1199" s="14" t="n">
        <v>55.74769646139706</v>
      </c>
      <c r="L1199" s="14" t="n">
        <v>0</v>
      </c>
      <c r="M1199" s="14" t="n">
        <v>0</v>
      </c>
      <c r="N1199" s="14" t="n">
        <v>65690.51191148948</v>
      </c>
      <c r="O1199" s="14" t="n">
        <v>65841.88239285341</v>
      </c>
      <c r="P1199" s="14" t="n">
        <v>0</v>
      </c>
      <c r="Q1199" s="14" t="n">
        <v>804980.6244171738</v>
      </c>
      <c r="R1199" s="15">
        <f>IF(D1199=1,"Section 1","Control")</f>
        <v/>
      </c>
      <c r="S1199" s="16">
        <f>N1199/10000</f>
        <v/>
      </c>
      <c r="T1199" s="16">
        <f>P1199/10000</f>
        <v/>
      </c>
      <c r="U1199" s="15">
        <f>IF(N1199&gt;=Summary!$D$3,1,0)</f>
        <v/>
      </c>
      <c r="V1199" s="17">
        <f>IF(N1199&gt;0,P1199/N1199,"")</f>
        <v/>
      </c>
      <c r="W1199" s="17">
        <f>IF(O1199&gt;0,H1199/O1199,"")</f>
        <v/>
      </c>
    </row>
    <row r="1200">
      <c r="A1200" s="13" t="inlineStr">
        <is>
          <t>T43_F</t>
        </is>
      </c>
      <c r="B1200" s="13" t="inlineStr">
        <is>
          <t>T43</t>
        </is>
      </c>
      <c r="C1200" s="13" t="inlineStr">
        <is>
          <t>F</t>
        </is>
      </c>
      <c r="D1200" s="13" t="n">
        <v>1</v>
      </c>
      <c r="E1200" s="13" t="inlineStr">
        <is>
          <t>S1</t>
        </is>
      </c>
      <c r="F1200" s="13" t="n">
        <v>2021</v>
      </c>
      <c r="G1200" s="14" t="n">
        <v>65841.88239285341</v>
      </c>
      <c r="H1200" s="14" t="n">
        <v>65736.96831470568</v>
      </c>
      <c r="I1200" s="14" t="n">
        <v>38.7136780981924</v>
      </c>
      <c r="J1200" s="14" t="n">
        <v>0</v>
      </c>
      <c r="K1200" s="14" t="n">
        <v>66.20040004954618</v>
      </c>
      <c r="L1200" s="14" t="n">
        <v>0</v>
      </c>
      <c r="M1200" s="14" t="n">
        <v>0</v>
      </c>
      <c r="N1200" s="14" t="n">
        <v>65690.51191148948</v>
      </c>
      <c r="O1200" s="14" t="n">
        <v>65841.88239285341</v>
      </c>
      <c r="P1200" s="14" t="n">
        <v>10.45270358814913</v>
      </c>
      <c r="Q1200" s="14" t="n">
        <v>804980.6244171739</v>
      </c>
      <c r="R1200" s="15">
        <f>IF(D1200=1,"Section 1","Control")</f>
        <v/>
      </c>
      <c r="S1200" s="16">
        <f>N1200/10000</f>
        <v/>
      </c>
      <c r="T1200" s="16">
        <f>P1200/10000</f>
        <v/>
      </c>
      <c r="U1200" s="15">
        <f>IF(N1200&gt;=Summary!$D$3,1,0)</f>
        <v/>
      </c>
      <c r="V1200" s="17">
        <f>IF(N1200&gt;0,P1200/N1200,"")</f>
        <v/>
      </c>
      <c r="W1200" s="17">
        <f>IF(O1200&gt;0,H1200/O1200,"")</f>
        <v/>
      </c>
    </row>
    <row r="1201">
      <c r="A1201" s="13" t="inlineStr">
        <is>
          <t>T43_F</t>
        </is>
      </c>
      <c r="B1201" s="13" t="inlineStr">
        <is>
          <t>T43</t>
        </is>
      </c>
      <c r="C1201" s="13" t="inlineStr">
        <is>
          <t>F</t>
        </is>
      </c>
      <c r="D1201" s="13" t="n">
        <v>1</v>
      </c>
      <c r="E1201" s="13" t="inlineStr">
        <is>
          <t>S1</t>
        </is>
      </c>
      <c r="F1201" s="13" t="n">
        <v>2022</v>
      </c>
      <c r="G1201" s="14" t="n">
        <v>65841.88239285341</v>
      </c>
      <c r="H1201" s="14" t="n">
        <v>65680.05920790133</v>
      </c>
      <c r="I1201" s="14" t="n">
        <v>95.62278490253524</v>
      </c>
      <c r="J1201" s="14" t="n">
        <v>0</v>
      </c>
      <c r="K1201" s="14" t="n">
        <v>66.20040004954618</v>
      </c>
      <c r="L1201" s="14" t="n">
        <v>0</v>
      </c>
      <c r="M1201" s="14" t="n">
        <v>0</v>
      </c>
      <c r="N1201" s="14" t="n">
        <v>65690.51191148948</v>
      </c>
      <c r="O1201" s="14" t="n">
        <v>65841.88239285341</v>
      </c>
      <c r="P1201" s="14" t="n">
        <v>10.45270358814913</v>
      </c>
      <c r="Q1201" s="14" t="n">
        <v>804980.6244171738</v>
      </c>
      <c r="R1201" s="15">
        <f>IF(D1201=1,"Section 1","Control")</f>
        <v/>
      </c>
      <c r="S1201" s="16">
        <f>N1201/10000</f>
        <v/>
      </c>
      <c r="T1201" s="16">
        <f>P1201/10000</f>
        <v/>
      </c>
      <c r="U1201" s="15">
        <f>IF(N1201&gt;=Summary!$D$3,1,0)</f>
        <v/>
      </c>
      <c r="V1201" s="17">
        <f>IF(N1201&gt;0,P1201/N1201,"")</f>
        <v/>
      </c>
      <c r="W1201" s="17">
        <f>IF(O1201&gt;0,H1201/O1201,"")</f>
        <v/>
      </c>
    </row>
    <row r="1202">
      <c r="A1202" s="13" t="inlineStr">
        <is>
          <t>T43_F</t>
        </is>
      </c>
      <c r="B1202" s="13" t="inlineStr">
        <is>
          <t>T43</t>
        </is>
      </c>
      <c r="C1202" s="13" t="inlineStr">
        <is>
          <t>F</t>
        </is>
      </c>
      <c r="D1202" s="13" t="n">
        <v>1</v>
      </c>
      <c r="E1202" s="13" t="inlineStr">
        <is>
          <t>S1</t>
        </is>
      </c>
      <c r="F1202" s="13" t="n">
        <v>2023</v>
      </c>
      <c r="G1202" s="14" t="n">
        <v>65841.88239285341</v>
      </c>
      <c r="H1202" s="14" t="n">
        <v>65222.46370735919</v>
      </c>
      <c r="I1202" s="14" t="n">
        <v>63.49043208103554</v>
      </c>
      <c r="J1202" s="14" t="n">
        <v>0</v>
      </c>
      <c r="K1202" s="14" t="n">
        <v>555.9282534131817</v>
      </c>
      <c r="L1202" s="14" t="n">
        <v>0</v>
      </c>
      <c r="M1202" s="14" t="n">
        <v>0</v>
      </c>
      <c r="N1202" s="14" t="n">
        <v>65690.51191148948</v>
      </c>
      <c r="O1202" s="14" t="n">
        <v>65841.88239285341</v>
      </c>
      <c r="P1202" s="14" t="n">
        <v>500.1805569517846</v>
      </c>
      <c r="Q1202" s="14" t="n">
        <v>804980.6244171738</v>
      </c>
      <c r="R1202" s="15">
        <f>IF(D1202=1,"Section 1","Control")</f>
        <v/>
      </c>
      <c r="S1202" s="16">
        <f>N1202/10000</f>
        <v/>
      </c>
      <c r="T1202" s="16">
        <f>P1202/10000</f>
        <v/>
      </c>
      <c r="U1202" s="15">
        <f>IF(N1202&gt;=Summary!$D$3,1,0)</f>
        <v/>
      </c>
      <c r="V1202" s="17">
        <f>IF(N1202&gt;0,P1202/N1202,"")</f>
        <v/>
      </c>
      <c r="W1202" s="17">
        <f>IF(O1202&gt;0,H1202/O1202,"")</f>
        <v/>
      </c>
    </row>
    <row r="1203">
      <c r="A1203" s="13" t="inlineStr">
        <is>
          <t>T43_F</t>
        </is>
      </c>
      <c r="B1203" s="13" t="inlineStr">
        <is>
          <t>T43</t>
        </is>
      </c>
      <c r="C1203" s="13" t="inlineStr">
        <is>
          <t>F</t>
        </is>
      </c>
      <c r="D1203" s="13" t="n">
        <v>1</v>
      </c>
      <c r="E1203" s="13" t="inlineStr">
        <is>
          <t>S1</t>
        </is>
      </c>
      <c r="F1203" s="13" t="n">
        <v>2024</v>
      </c>
      <c r="G1203" s="14" t="n">
        <v>65841.88239285341</v>
      </c>
      <c r="H1203" s="14" t="n">
        <v>64792.35520908134</v>
      </c>
      <c r="I1203" s="14" t="n">
        <v>0</v>
      </c>
      <c r="J1203" s="14" t="n">
        <v>0</v>
      </c>
      <c r="K1203" s="14" t="n">
        <v>1049.527183772068</v>
      </c>
      <c r="L1203" s="14" t="n">
        <v>0</v>
      </c>
      <c r="M1203" s="14" t="n">
        <v>0</v>
      </c>
      <c r="N1203" s="14" t="n">
        <v>65690.51191148948</v>
      </c>
      <c r="O1203" s="14" t="n">
        <v>65841.88239285341</v>
      </c>
      <c r="P1203" s="14" t="n">
        <v>993.7794873106714</v>
      </c>
      <c r="Q1203" s="14" t="n">
        <v>804980.6244171739</v>
      </c>
      <c r="R1203" s="15">
        <f>IF(D1203=1,"Section 1","Control")</f>
        <v/>
      </c>
      <c r="S1203" s="16">
        <f>N1203/10000</f>
        <v/>
      </c>
      <c r="T1203" s="16">
        <f>P1203/10000</f>
        <v/>
      </c>
      <c r="U1203" s="15">
        <f>IF(N1203&gt;=Summary!$D$3,1,0)</f>
        <v/>
      </c>
      <c r="V1203" s="17">
        <f>IF(N1203&gt;0,P1203/N1203,"")</f>
        <v/>
      </c>
      <c r="W1203" s="17">
        <f>IF(O1203&gt;0,H1203/O1203,"")</f>
        <v/>
      </c>
    </row>
    <row r="1204">
      <c r="A1204" s="13" t="inlineStr">
        <is>
          <t>T43_F</t>
        </is>
      </c>
      <c r="B1204" s="13" t="inlineStr">
        <is>
          <t>T43</t>
        </is>
      </c>
      <c r="C1204" s="13" t="inlineStr">
        <is>
          <t>F</t>
        </is>
      </c>
      <c r="D1204" s="13" t="n">
        <v>1</v>
      </c>
      <c r="E1204" s="13" t="inlineStr">
        <is>
          <t>S1</t>
        </is>
      </c>
      <c r="F1204" s="13" t="n">
        <v>2025</v>
      </c>
      <c r="G1204" s="14" t="n">
        <v>65841.88239285341</v>
      </c>
      <c r="H1204" s="14" t="n">
        <v>557.8642571243586</v>
      </c>
      <c r="I1204" s="14" t="n">
        <v>17622.85189789416</v>
      </c>
      <c r="J1204" s="14" t="n">
        <v>0</v>
      </c>
      <c r="K1204" s="14" t="n">
        <v>47661.16623783485</v>
      </c>
      <c r="L1204" s="14" t="n">
        <v>0</v>
      </c>
      <c r="M1204" s="14" t="n">
        <v>0</v>
      </c>
      <c r="N1204" s="14" t="n">
        <v>65690.51191148948</v>
      </c>
      <c r="O1204" s="14" t="n">
        <v>65841.88239285341</v>
      </c>
      <c r="P1204" s="14" t="n">
        <v>65228.27043926766</v>
      </c>
      <c r="Q1204" s="14" t="n">
        <v>804980.6244171739</v>
      </c>
      <c r="R1204" s="15">
        <f>IF(D1204=1,"Section 1","Control")</f>
        <v/>
      </c>
      <c r="S1204" s="16">
        <f>N1204/10000</f>
        <v/>
      </c>
      <c r="T1204" s="16">
        <f>P1204/10000</f>
        <v/>
      </c>
      <c r="U1204" s="15">
        <f>IF(N1204&gt;=Summary!$D$3,1,0)</f>
        <v/>
      </c>
      <c r="V1204" s="17">
        <f>IF(N1204&gt;0,P1204/N1204,"")</f>
        <v/>
      </c>
      <c r="W1204" s="17">
        <f>IF(O1204&gt;0,H1204/O1204,"")</f>
        <v/>
      </c>
    </row>
    <row r="1205">
      <c r="A1205" s="13" t="inlineStr">
        <is>
          <t>T43_F</t>
        </is>
      </c>
      <c r="B1205" s="13" t="inlineStr">
        <is>
          <t>T43</t>
        </is>
      </c>
      <c r="C1205" s="13" t="inlineStr">
        <is>
          <t>F</t>
        </is>
      </c>
      <c r="D1205" s="13" t="n">
        <v>1</v>
      </c>
      <c r="E1205" s="13" t="inlineStr">
        <is>
          <t>S1</t>
        </is>
      </c>
      <c r="F1205" s="13" t="n">
        <v>2026</v>
      </c>
      <c r="G1205" s="14" t="n">
        <v>65841.88239285341</v>
      </c>
      <c r="H1205" s="14" t="n">
        <v>130.4651014739392</v>
      </c>
      <c r="I1205" s="14" t="n">
        <v>46274.05848406622</v>
      </c>
      <c r="J1205" s="14" t="n">
        <v>0</v>
      </c>
      <c r="K1205" s="14" t="n">
        <v>19437.35880731321</v>
      </c>
      <c r="L1205" s="14" t="n">
        <v>0</v>
      </c>
      <c r="M1205" s="14" t="n">
        <v>0</v>
      </c>
      <c r="N1205" s="14" t="n">
        <v>65690.51191148948</v>
      </c>
      <c r="O1205" s="14" t="n">
        <v>65841.88239285341</v>
      </c>
      <c r="P1205" s="14" t="n">
        <v>65560.04681001553</v>
      </c>
      <c r="Q1205" s="14" t="n">
        <v>804980.6244171738</v>
      </c>
      <c r="R1205" s="15">
        <f>IF(D1205=1,"Section 1","Control")</f>
        <v/>
      </c>
      <c r="S1205" s="16">
        <f>N1205/10000</f>
        <v/>
      </c>
      <c r="T1205" s="16">
        <f>P1205/10000</f>
        <v/>
      </c>
      <c r="U1205" s="15">
        <f>IF(N1205&gt;=Summary!$D$3,1,0)</f>
        <v/>
      </c>
      <c r="V1205" s="17">
        <f>IF(N1205&gt;0,P1205/N1205,"")</f>
        <v/>
      </c>
      <c r="W1205" s="17">
        <f>IF(O1205&gt;0,H1205/O1205,"")</f>
        <v/>
      </c>
    </row>
    <row r="1206">
      <c r="A1206" s="13" t="inlineStr">
        <is>
          <t>T44_B1</t>
        </is>
      </c>
      <c r="B1206" s="13" t="inlineStr">
        <is>
          <t>T44</t>
        </is>
      </c>
      <c r="C1206" s="13" t="inlineStr">
        <is>
          <t>B1</t>
        </is>
      </c>
      <c r="D1206" s="13" t="n">
        <v>1</v>
      </c>
      <c r="E1206" s="13" t="inlineStr">
        <is>
          <t>S1</t>
        </is>
      </c>
      <c r="F1206" s="13" t="n">
        <v>2020</v>
      </c>
      <c r="G1206" s="14" t="n">
        <v>992796.9038126928</v>
      </c>
      <c r="H1206" s="14" t="n">
        <v>610887.2866521201</v>
      </c>
      <c r="I1206" s="14" t="n">
        <v>137212.0554278804</v>
      </c>
      <c r="J1206" s="14" t="n">
        <v>37765.05000188491</v>
      </c>
      <c r="K1206" s="14" t="n">
        <v>181967.7944948682</v>
      </c>
      <c r="L1206" s="14" t="n">
        <v>24964.71723593918</v>
      </c>
      <c r="M1206" s="14" t="n">
        <v>0</v>
      </c>
      <c r="N1206" s="14" t="n">
        <v>610887.2866521201</v>
      </c>
      <c r="O1206" s="14" t="n">
        <v>967832.1865767536</v>
      </c>
      <c r="P1206" s="14" t="n">
        <v>0</v>
      </c>
      <c r="Q1206" s="14" t="n">
        <v>10851194.56811823</v>
      </c>
      <c r="R1206" s="15">
        <f>IF(D1206=1,"Section 1","Control")</f>
        <v/>
      </c>
      <c r="S1206" s="16">
        <f>N1206/10000</f>
        <v/>
      </c>
      <c r="T1206" s="16">
        <f>P1206/10000</f>
        <v/>
      </c>
      <c r="U1206" s="15">
        <f>IF(N1206&gt;=Summary!$D$3,1,0)</f>
        <v/>
      </c>
      <c r="V1206" s="17">
        <f>IF(N1206&gt;0,P1206/N1206,"")</f>
        <v/>
      </c>
      <c r="W1206" s="17">
        <f>IF(O1206&gt;0,H1206/O1206,"")</f>
        <v/>
      </c>
    </row>
    <row r="1207">
      <c r="A1207" s="13" t="inlineStr">
        <is>
          <t>T44_B1</t>
        </is>
      </c>
      <c r="B1207" s="13" t="inlineStr">
        <is>
          <t>T44</t>
        </is>
      </c>
      <c r="C1207" s="13" t="inlineStr">
        <is>
          <t>B1</t>
        </is>
      </c>
      <c r="D1207" s="13" t="n">
        <v>1</v>
      </c>
      <c r="E1207" s="13" t="inlineStr">
        <is>
          <t>S1</t>
        </is>
      </c>
      <c r="F1207" s="13" t="n">
        <v>2021</v>
      </c>
      <c r="G1207" s="14" t="n">
        <v>992796.9038126928</v>
      </c>
      <c r="H1207" s="14" t="n">
        <v>577432.8987082089</v>
      </c>
      <c r="I1207" s="14" t="n">
        <v>167375.9074390785</v>
      </c>
      <c r="J1207" s="14" t="n">
        <v>37765.05000188491</v>
      </c>
      <c r="K1207" s="14" t="n">
        <v>186969.8755798939</v>
      </c>
      <c r="L1207" s="14" t="n">
        <v>23253.17208362654</v>
      </c>
      <c r="M1207" s="14" t="n">
        <v>0</v>
      </c>
      <c r="N1207" s="14" t="n">
        <v>610887.2866521201</v>
      </c>
      <c r="O1207" s="14" t="n">
        <v>967832.1865767536</v>
      </c>
      <c r="P1207" s="14" t="n">
        <v>37008.31354968502</v>
      </c>
      <c r="Q1207" s="14" t="n">
        <v>10851194.56811823</v>
      </c>
      <c r="R1207" s="15">
        <f>IF(D1207=1,"Section 1","Control")</f>
        <v/>
      </c>
      <c r="S1207" s="16">
        <f>N1207/10000</f>
        <v/>
      </c>
      <c r="T1207" s="16">
        <f>P1207/10000</f>
        <v/>
      </c>
      <c r="U1207" s="15">
        <f>IF(N1207&gt;=Summary!$D$3,1,0)</f>
        <v/>
      </c>
      <c r="V1207" s="17">
        <f>IF(N1207&gt;0,P1207/N1207,"")</f>
        <v/>
      </c>
      <c r="W1207" s="17">
        <f>IF(O1207&gt;0,H1207/O1207,"")</f>
        <v/>
      </c>
    </row>
    <row r="1208">
      <c r="A1208" s="13" t="inlineStr">
        <is>
          <t>T44_B1</t>
        </is>
      </c>
      <c r="B1208" s="13" t="inlineStr">
        <is>
          <t>T44</t>
        </is>
      </c>
      <c r="C1208" s="13" t="inlineStr">
        <is>
          <t>B1</t>
        </is>
      </c>
      <c r="D1208" s="13" t="n">
        <v>1</v>
      </c>
      <c r="E1208" s="13" t="inlineStr">
        <is>
          <t>S1</t>
        </is>
      </c>
      <c r="F1208" s="13" t="n">
        <v>2022</v>
      </c>
      <c r="G1208" s="14" t="n">
        <v>992796.9038126928</v>
      </c>
      <c r="H1208" s="14" t="n">
        <v>532816.4668699377</v>
      </c>
      <c r="I1208" s="14" t="n">
        <v>158467.4862585928</v>
      </c>
      <c r="J1208" s="14" t="n">
        <v>37765.05000188491</v>
      </c>
      <c r="K1208" s="14" t="n">
        <v>239227.2327276791</v>
      </c>
      <c r="L1208" s="14" t="n">
        <v>24520.66795459822</v>
      </c>
      <c r="M1208" s="14" t="n">
        <v>0</v>
      </c>
      <c r="N1208" s="14" t="n">
        <v>610887.2866521201</v>
      </c>
      <c r="O1208" s="14" t="n">
        <v>967832.1865767536</v>
      </c>
      <c r="P1208" s="14" t="n">
        <v>79058.02183906703</v>
      </c>
      <c r="Q1208" s="14" t="n">
        <v>10851194.56811823</v>
      </c>
      <c r="R1208" s="15">
        <f>IF(D1208=1,"Section 1","Control")</f>
        <v/>
      </c>
      <c r="S1208" s="16">
        <f>N1208/10000</f>
        <v/>
      </c>
      <c r="T1208" s="16">
        <f>P1208/10000</f>
        <v/>
      </c>
      <c r="U1208" s="15">
        <f>IF(N1208&gt;=Summary!$D$3,1,0)</f>
        <v/>
      </c>
      <c r="V1208" s="17">
        <f>IF(N1208&gt;0,P1208/N1208,"")</f>
        <v/>
      </c>
      <c r="W1208" s="17">
        <f>IF(O1208&gt;0,H1208/O1208,"")</f>
        <v/>
      </c>
    </row>
    <row r="1209">
      <c r="A1209" s="13" t="inlineStr">
        <is>
          <t>T44_B1</t>
        </is>
      </c>
      <c r="B1209" s="13" t="inlineStr">
        <is>
          <t>T44</t>
        </is>
      </c>
      <c r="C1209" s="13" t="inlineStr">
        <is>
          <t>B1</t>
        </is>
      </c>
      <c r="D1209" s="13" t="n">
        <v>1</v>
      </c>
      <c r="E1209" s="13" t="inlineStr">
        <is>
          <t>S1</t>
        </is>
      </c>
      <c r="F1209" s="13" t="n">
        <v>2023</v>
      </c>
      <c r="G1209" s="14" t="n">
        <v>992796.9038126928</v>
      </c>
      <c r="H1209" s="14" t="n">
        <v>528502.6072258744</v>
      </c>
      <c r="I1209" s="14" t="n">
        <v>164084.067797313</v>
      </c>
      <c r="J1209" s="14" t="n">
        <v>37765.05000188491</v>
      </c>
      <c r="K1209" s="14" t="n">
        <v>229089.2066536099</v>
      </c>
      <c r="L1209" s="14" t="n">
        <v>33355.97213401047</v>
      </c>
      <c r="M1209" s="14" t="n">
        <v>0</v>
      </c>
      <c r="N1209" s="14" t="n">
        <v>610887.2866521201</v>
      </c>
      <c r="O1209" s="14" t="n">
        <v>967832.1865767536</v>
      </c>
      <c r="P1209" s="14" t="n">
        <v>86037.32859616746</v>
      </c>
      <c r="Q1209" s="14" t="n">
        <v>10851194.56811823</v>
      </c>
      <c r="R1209" s="15">
        <f>IF(D1209=1,"Section 1","Control")</f>
        <v/>
      </c>
      <c r="S1209" s="16">
        <f>N1209/10000</f>
        <v/>
      </c>
      <c r="T1209" s="16">
        <f>P1209/10000</f>
        <v/>
      </c>
      <c r="U1209" s="15">
        <f>IF(N1209&gt;=Summary!$D$3,1,0)</f>
        <v/>
      </c>
      <c r="V1209" s="17">
        <f>IF(N1209&gt;0,P1209/N1209,"")</f>
        <v/>
      </c>
      <c r="W1209" s="17">
        <f>IF(O1209&gt;0,H1209/O1209,"")</f>
        <v/>
      </c>
    </row>
    <row r="1210">
      <c r="A1210" s="13" t="inlineStr">
        <is>
          <t>T44_B1</t>
        </is>
      </c>
      <c r="B1210" s="13" t="inlineStr">
        <is>
          <t>T44</t>
        </is>
      </c>
      <c r="C1210" s="13" t="inlineStr">
        <is>
          <t>B1</t>
        </is>
      </c>
      <c r="D1210" s="13" t="n">
        <v>1</v>
      </c>
      <c r="E1210" s="13" t="inlineStr">
        <is>
          <t>S1</t>
        </is>
      </c>
      <c r="F1210" s="13" t="n">
        <v>2024</v>
      </c>
      <c r="G1210" s="14" t="n">
        <v>992796.9038126928</v>
      </c>
      <c r="H1210" s="14" t="n">
        <v>559002.5016218597</v>
      </c>
      <c r="I1210" s="14" t="n">
        <v>124397.8075891532</v>
      </c>
      <c r="J1210" s="14" t="n">
        <v>37765.05000188491</v>
      </c>
      <c r="K1210" s="14" t="n">
        <v>240249.9853075812</v>
      </c>
      <c r="L1210" s="14" t="n">
        <v>31381.55929221359</v>
      </c>
      <c r="M1210" s="14" t="n">
        <v>0</v>
      </c>
      <c r="N1210" s="14" t="n">
        <v>610887.2866521201</v>
      </c>
      <c r="O1210" s="14" t="n">
        <v>967832.1865767536</v>
      </c>
      <c r="P1210" s="14" t="n">
        <v>75325.99642052742</v>
      </c>
      <c r="Q1210" s="14" t="n">
        <v>10851194.56811823</v>
      </c>
      <c r="R1210" s="15">
        <f>IF(D1210=1,"Section 1","Control")</f>
        <v/>
      </c>
      <c r="S1210" s="16">
        <f>N1210/10000</f>
        <v/>
      </c>
      <c r="T1210" s="16">
        <f>P1210/10000</f>
        <v/>
      </c>
      <c r="U1210" s="15">
        <f>IF(N1210&gt;=Summary!$D$3,1,0)</f>
        <v/>
      </c>
      <c r="V1210" s="17">
        <f>IF(N1210&gt;0,P1210/N1210,"")</f>
        <v/>
      </c>
      <c r="W1210" s="17">
        <f>IF(O1210&gt;0,H1210/O1210,"")</f>
        <v/>
      </c>
    </row>
    <row r="1211">
      <c r="A1211" s="13" t="inlineStr">
        <is>
          <t>T44_B1</t>
        </is>
      </c>
      <c r="B1211" s="13" t="inlineStr">
        <is>
          <t>T44</t>
        </is>
      </c>
      <c r="C1211" s="13" t="inlineStr">
        <is>
          <t>B1</t>
        </is>
      </c>
      <c r="D1211" s="13" t="n">
        <v>1</v>
      </c>
      <c r="E1211" s="13" t="inlineStr">
        <is>
          <t>S1</t>
        </is>
      </c>
      <c r="F1211" s="13" t="n">
        <v>2025</v>
      </c>
      <c r="G1211" s="14" t="n">
        <v>992796.9038126928</v>
      </c>
      <c r="H1211" s="14" t="n">
        <v>519743.6451963538</v>
      </c>
      <c r="I1211" s="14" t="n">
        <v>160350.5308028875</v>
      </c>
      <c r="J1211" s="14" t="n">
        <v>37765.05000188491</v>
      </c>
      <c r="K1211" s="14" t="n">
        <v>241482.9849591722</v>
      </c>
      <c r="L1211" s="14" t="n">
        <v>33454.69285239426</v>
      </c>
      <c r="M1211" s="14" t="n">
        <v>0</v>
      </c>
      <c r="N1211" s="14" t="n">
        <v>610887.2866521201</v>
      </c>
      <c r="O1211" s="14" t="n">
        <v>967832.1865767536</v>
      </c>
      <c r="P1211" s="14" t="n">
        <v>94544.65004146802</v>
      </c>
      <c r="Q1211" s="14" t="n">
        <v>10851194.56811823</v>
      </c>
      <c r="R1211" s="15">
        <f>IF(D1211=1,"Section 1","Control")</f>
        <v/>
      </c>
      <c r="S1211" s="16">
        <f>N1211/10000</f>
        <v/>
      </c>
      <c r="T1211" s="16">
        <f>P1211/10000</f>
        <v/>
      </c>
      <c r="U1211" s="15">
        <f>IF(N1211&gt;=Summary!$D$3,1,0)</f>
        <v/>
      </c>
      <c r="V1211" s="17">
        <f>IF(N1211&gt;0,P1211/N1211,"")</f>
        <v/>
      </c>
      <c r="W1211" s="17">
        <f>IF(O1211&gt;0,H1211/O1211,"")</f>
        <v/>
      </c>
    </row>
    <row r="1212">
      <c r="A1212" s="13" t="inlineStr">
        <is>
          <t>T44_B1</t>
        </is>
      </c>
      <c r="B1212" s="13" t="inlineStr">
        <is>
          <t>T44</t>
        </is>
      </c>
      <c r="C1212" s="13" t="inlineStr">
        <is>
          <t>B1</t>
        </is>
      </c>
      <c r="D1212" s="13" t="n">
        <v>1</v>
      </c>
      <c r="E1212" s="13" t="inlineStr">
        <is>
          <t>S1</t>
        </is>
      </c>
      <c r="F1212" s="13" t="n">
        <v>2026</v>
      </c>
      <c r="G1212" s="14" t="n">
        <v>992796.9038126928</v>
      </c>
      <c r="H1212" s="14" t="n">
        <v>534205.1892737595</v>
      </c>
      <c r="I1212" s="14" t="n">
        <v>140294.4786464615</v>
      </c>
      <c r="J1212" s="14" t="n">
        <v>37765.05000188491</v>
      </c>
      <c r="K1212" s="14" t="n">
        <v>254580.2622795255</v>
      </c>
      <c r="L1212" s="14" t="n">
        <v>25951.92361106125</v>
      </c>
      <c r="M1212" s="14" t="n">
        <v>0</v>
      </c>
      <c r="N1212" s="14" t="n">
        <v>610887.2866521201</v>
      </c>
      <c r="O1212" s="14" t="n">
        <v>967832.1865767536</v>
      </c>
      <c r="P1212" s="14" t="n">
        <v>100123.3082727171</v>
      </c>
      <c r="Q1212" s="14" t="n">
        <v>10851194.56811823</v>
      </c>
      <c r="R1212" s="15">
        <f>IF(D1212=1,"Section 1","Control")</f>
        <v/>
      </c>
      <c r="S1212" s="16">
        <f>N1212/10000</f>
        <v/>
      </c>
      <c r="T1212" s="16">
        <f>P1212/10000</f>
        <v/>
      </c>
      <c r="U1212" s="15">
        <f>IF(N1212&gt;=Summary!$D$3,1,0)</f>
        <v/>
      </c>
      <c r="V1212" s="17">
        <f>IF(N1212&gt;0,P1212/N1212,"")</f>
        <v/>
      </c>
      <c r="W1212" s="17">
        <f>IF(O1212&gt;0,H1212/O1212,"")</f>
        <v/>
      </c>
    </row>
    <row r="1213">
      <c r="A1213" s="13" t="inlineStr">
        <is>
          <t>T44_B2</t>
        </is>
      </c>
      <c r="B1213" s="13" t="inlineStr">
        <is>
          <t>T44</t>
        </is>
      </c>
      <c r="C1213" s="13" t="inlineStr">
        <is>
          <t>B2</t>
        </is>
      </c>
      <c r="D1213" s="13" t="n">
        <v>1</v>
      </c>
      <c r="E1213" s="13" t="inlineStr">
        <is>
          <t>S1</t>
        </is>
      </c>
      <c r="F1213" s="13" t="n">
        <v>2020</v>
      </c>
      <c r="G1213" s="14" t="n">
        <v>991888.0560425709</v>
      </c>
      <c r="H1213" s="14" t="n">
        <v>499318.2077988569</v>
      </c>
      <c r="I1213" s="14" t="n">
        <v>3850.009811401367</v>
      </c>
      <c r="J1213" s="14" t="n">
        <v>0</v>
      </c>
      <c r="K1213" s="14" t="n">
        <v>2369.244163513184</v>
      </c>
      <c r="L1213" s="14" t="n">
        <v>486350.5942687993</v>
      </c>
      <c r="M1213" s="14" t="n">
        <v>0</v>
      </c>
      <c r="N1213" s="14" t="n">
        <v>499318.2077988569</v>
      </c>
      <c r="O1213" s="14" t="n">
        <v>505537.4617737714</v>
      </c>
      <c r="P1213" s="14" t="n">
        <v>0</v>
      </c>
      <c r="Q1213" s="14" t="n">
        <v>5994660.074768905</v>
      </c>
      <c r="R1213" s="15">
        <f>IF(D1213=1,"Section 1","Control")</f>
        <v/>
      </c>
      <c r="S1213" s="16">
        <f>N1213/10000</f>
        <v/>
      </c>
      <c r="T1213" s="16">
        <f>P1213/10000</f>
        <v/>
      </c>
      <c r="U1213" s="15">
        <f>IF(N1213&gt;=Summary!$D$3,1,0)</f>
        <v/>
      </c>
      <c r="V1213" s="17">
        <f>IF(N1213&gt;0,P1213/N1213,"")</f>
        <v/>
      </c>
      <c r="W1213" s="17">
        <f>IF(O1213&gt;0,H1213/O1213,"")</f>
        <v/>
      </c>
    </row>
    <row r="1214">
      <c r="A1214" s="13" t="inlineStr">
        <is>
          <t>T44_B2</t>
        </is>
      </c>
      <c r="B1214" s="13" t="inlineStr">
        <is>
          <t>T44</t>
        </is>
      </c>
      <c r="C1214" s="13" t="inlineStr">
        <is>
          <t>B2</t>
        </is>
      </c>
      <c r="D1214" s="13" t="n">
        <v>1</v>
      </c>
      <c r="E1214" s="13" t="inlineStr">
        <is>
          <t>S1</t>
        </is>
      </c>
      <c r="F1214" s="13" t="n">
        <v>2021</v>
      </c>
      <c r="G1214" s="14" t="n">
        <v>991888.0560425709</v>
      </c>
      <c r="H1214" s="14" t="n">
        <v>487342.6836940991</v>
      </c>
      <c r="I1214" s="14" t="n">
        <v>1841.196286549288</v>
      </c>
      <c r="J1214" s="14" t="n">
        <v>0</v>
      </c>
      <c r="K1214" s="14" t="n">
        <v>16353.58179312313</v>
      </c>
      <c r="L1214" s="14" t="n">
        <v>486350.5942687993</v>
      </c>
      <c r="M1214" s="14" t="n">
        <v>0</v>
      </c>
      <c r="N1214" s="14" t="n">
        <v>499318.207798857</v>
      </c>
      <c r="O1214" s="14" t="n">
        <v>505537.4617737714</v>
      </c>
      <c r="P1214" s="14" t="n">
        <v>14838.35189406451</v>
      </c>
      <c r="Q1214" s="14" t="n">
        <v>5994660.074768905</v>
      </c>
      <c r="R1214" s="15">
        <f>IF(D1214=1,"Section 1","Control")</f>
        <v/>
      </c>
      <c r="S1214" s="16">
        <f>N1214/10000</f>
        <v/>
      </c>
      <c r="T1214" s="16">
        <f>P1214/10000</f>
        <v/>
      </c>
      <c r="U1214" s="15">
        <f>IF(N1214&gt;=Summary!$D$3,1,0)</f>
        <v/>
      </c>
      <c r="V1214" s="17">
        <f>IF(N1214&gt;0,P1214/N1214,"")</f>
        <v/>
      </c>
      <c r="W1214" s="17">
        <f>IF(O1214&gt;0,H1214/O1214,"")</f>
        <v/>
      </c>
    </row>
    <row r="1215">
      <c r="A1215" s="13" t="inlineStr">
        <is>
          <t>T44_B2</t>
        </is>
      </c>
      <c r="B1215" s="13" t="inlineStr">
        <is>
          <t>T44</t>
        </is>
      </c>
      <c r="C1215" s="13" t="inlineStr">
        <is>
          <t>B2</t>
        </is>
      </c>
      <c r="D1215" s="13" t="n">
        <v>1</v>
      </c>
      <c r="E1215" s="13" t="inlineStr">
        <is>
          <t>S1</t>
        </is>
      </c>
      <c r="F1215" s="13" t="n">
        <v>2022</v>
      </c>
      <c r="G1215" s="14" t="n">
        <v>991888.0560425709</v>
      </c>
      <c r="H1215" s="14" t="n">
        <v>481435.0573292453</v>
      </c>
      <c r="I1215" s="14" t="n">
        <v>2433.504529347139</v>
      </c>
      <c r="J1215" s="14" t="n">
        <v>0</v>
      </c>
      <c r="K1215" s="14" t="n">
        <v>21668.89991517908</v>
      </c>
      <c r="L1215" s="14" t="n">
        <v>486350.5942687993</v>
      </c>
      <c r="M1215" s="14" t="n">
        <v>0</v>
      </c>
      <c r="N1215" s="14" t="n">
        <v>499318.207798857</v>
      </c>
      <c r="O1215" s="14" t="n">
        <v>505537.4617737714</v>
      </c>
      <c r="P1215" s="14" t="n">
        <v>20548.54191095689</v>
      </c>
      <c r="Q1215" s="14" t="n">
        <v>5994660.074768905</v>
      </c>
      <c r="R1215" s="15">
        <f>IF(D1215=1,"Section 1","Control")</f>
        <v/>
      </c>
      <c r="S1215" s="16">
        <f>N1215/10000</f>
        <v/>
      </c>
      <c r="T1215" s="16">
        <f>P1215/10000</f>
        <v/>
      </c>
      <c r="U1215" s="15">
        <f>IF(N1215&gt;=Summary!$D$3,1,0)</f>
        <v/>
      </c>
      <c r="V1215" s="17">
        <f>IF(N1215&gt;0,P1215/N1215,"")</f>
        <v/>
      </c>
      <c r="W1215" s="17">
        <f>IF(O1215&gt;0,H1215/O1215,"")</f>
        <v/>
      </c>
    </row>
    <row r="1216">
      <c r="A1216" s="13" t="inlineStr">
        <is>
          <t>T44_B2</t>
        </is>
      </c>
      <c r="B1216" s="13" t="inlineStr">
        <is>
          <t>T44</t>
        </is>
      </c>
      <c r="C1216" s="13" t="inlineStr">
        <is>
          <t>B2</t>
        </is>
      </c>
      <c r="D1216" s="13" t="n">
        <v>1</v>
      </c>
      <c r="E1216" s="13" t="inlineStr">
        <is>
          <t>S1</t>
        </is>
      </c>
      <c r="F1216" s="13" t="n">
        <v>2023</v>
      </c>
      <c r="G1216" s="14" t="n">
        <v>991888.0560425709</v>
      </c>
      <c r="H1216" s="14" t="n">
        <v>473249.5551090915</v>
      </c>
      <c r="I1216" s="14" t="n">
        <v>9039.509724964815</v>
      </c>
      <c r="J1216" s="14" t="n">
        <v>0</v>
      </c>
      <c r="K1216" s="14" t="n">
        <v>23248.39693971522</v>
      </c>
      <c r="L1216" s="14" t="n">
        <v>486350.5942687993</v>
      </c>
      <c r="M1216" s="14" t="n">
        <v>0</v>
      </c>
      <c r="N1216" s="14" t="n">
        <v>499318.2077988569</v>
      </c>
      <c r="O1216" s="14" t="n">
        <v>505537.4617737714</v>
      </c>
      <c r="P1216" s="14" t="n">
        <v>28734.04407770494</v>
      </c>
      <c r="Q1216" s="14" t="n">
        <v>5994660.074768905</v>
      </c>
      <c r="R1216" s="15">
        <f>IF(D1216=1,"Section 1","Control")</f>
        <v/>
      </c>
      <c r="S1216" s="16">
        <f>N1216/10000</f>
        <v/>
      </c>
      <c r="T1216" s="16">
        <f>P1216/10000</f>
        <v/>
      </c>
      <c r="U1216" s="15">
        <f>IF(N1216&gt;=Summary!$D$3,1,0)</f>
        <v/>
      </c>
      <c r="V1216" s="17">
        <f>IF(N1216&gt;0,P1216/N1216,"")</f>
        <v/>
      </c>
      <c r="W1216" s="17">
        <f>IF(O1216&gt;0,H1216/O1216,"")</f>
        <v/>
      </c>
    </row>
    <row r="1217">
      <c r="A1217" s="13" t="inlineStr">
        <is>
          <t>T44_B2</t>
        </is>
      </c>
      <c r="B1217" s="13" t="inlineStr">
        <is>
          <t>T44</t>
        </is>
      </c>
      <c r="C1217" s="13" t="inlineStr">
        <is>
          <t>B2</t>
        </is>
      </c>
      <c r="D1217" s="13" t="n">
        <v>1</v>
      </c>
      <c r="E1217" s="13" t="inlineStr">
        <is>
          <t>S1</t>
        </is>
      </c>
      <c r="F1217" s="13" t="n">
        <v>2024</v>
      </c>
      <c r="G1217" s="14" t="n">
        <v>991888.0560425709</v>
      </c>
      <c r="H1217" s="14" t="n">
        <v>460060.7716170069</v>
      </c>
      <c r="I1217" s="14" t="n">
        <v>5725.669891357422</v>
      </c>
      <c r="J1217" s="14" t="n">
        <v>0</v>
      </c>
      <c r="K1217" s="14" t="n">
        <v>39751.02026540719</v>
      </c>
      <c r="L1217" s="14" t="n">
        <v>486350.5942687993</v>
      </c>
      <c r="M1217" s="14" t="n">
        <v>0</v>
      </c>
      <c r="N1217" s="14" t="n">
        <v>499318.207798857</v>
      </c>
      <c r="O1217" s="14" t="n">
        <v>505537.4617737714</v>
      </c>
      <c r="P1217" s="14" t="n">
        <v>41824.10908681832</v>
      </c>
      <c r="Q1217" s="14" t="n">
        <v>5994660.074768905</v>
      </c>
      <c r="R1217" s="15">
        <f>IF(D1217=1,"Section 1","Control")</f>
        <v/>
      </c>
      <c r="S1217" s="16">
        <f>N1217/10000</f>
        <v/>
      </c>
      <c r="T1217" s="16">
        <f>P1217/10000</f>
        <v/>
      </c>
      <c r="U1217" s="15">
        <f>IF(N1217&gt;=Summary!$D$3,1,0)</f>
        <v/>
      </c>
      <c r="V1217" s="17">
        <f>IF(N1217&gt;0,P1217/N1217,"")</f>
        <v/>
      </c>
      <c r="W1217" s="17">
        <f>IF(O1217&gt;0,H1217/O1217,"")</f>
        <v/>
      </c>
    </row>
    <row r="1218">
      <c r="A1218" s="13" t="inlineStr">
        <is>
          <t>T44_B2</t>
        </is>
      </c>
      <c r="B1218" s="13" t="inlineStr">
        <is>
          <t>T44</t>
        </is>
      </c>
      <c r="C1218" s="13" t="inlineStr">
        <is>
          <t>B2</t>
        </is>
      </c>
      <c r="D1218" s="13" t="n">
        <v>1</v>
      </c>
      <c r="E1218" s="13" t="inlineStr">
        <is>
          <t>S1</t>
        </is>
      </c>
      <c r="F1218" s="13" t="n">
        <v>2025</v>
      </c>
      <c r="G1218" s="14" t="n">
        <v>991888.0560425709</v>
      </c>
      <c r="H1218" s="14" t="n">
        <v>427584.7607372211</v>
      </c>
      <c r="I1218" s="14" t="n">
        <v>4409.807349650066</v>
      </c>
      <c r="J1218" s="14" t="n">
        <v>0</v>
      </c>
      <c r="K1218" s="14" t="n">
        <v>73542.89368690042</v>
      </c>
      <c r="L1218" s="14" t="n">
        <v>486350.5942687993</v>
      </c>
      <c r="M1218" s="14" t="n">
        <v>0</v>
      </c>
      <c r="N1218" s="14" t="n">
        <v>499318.2077988569</v>
      </c>
      <c r="O1218" s="14" t="n">
        <v>505537.4617737714</v>
      </c>
      <c r="P1218" s="14" t="n">
        <v>74300.12027940937</v>
      </c>
      <c r="Q1218" s="14" t="n">
        <v>5994660.074768905</v>
      </c>
      <c r="R1218" s="15">
        <f>IF(D1218=1,"Section 1","Control")</f>
        <v/>
      </c>
      <c r="S1218" s="16">
        <f>N1218/10000</f>
        <v/>
      </c>
      <c r="T1218" s="16">
        <f>P1218/10000</f>
        <v/>
      </c>
      <c r="U1218" s="15">
        <f>IF(N1218&gt;=Summary!$D$3,1,0)</f>
        <v/>
      </c>
      <c r="V1218" s="17">
        <f>IF(N1218&gt;0,P1218/N1218,"")</f>
        <v/>
      </c>
      <c r="W1218" s="17">
        <f>IF(O1218&gt;0,H1218/O1218,"")</f>
        <v/>
      </c>
    </row>
    <row r="1219">
      <c r="A1219" s="13" t="inlineStr">
        <is>
          <t>T44_B2</t>
        </is>
      </c>
      <c r="B1219" s="13" t="inlineStr">
        <is>
          <t>T44</t>
        </is>
      </c>
      <c r="C1219" s="13" t="inlineStr">
        <is>
          <t>B2</t>
        </is>
      </c>
      <c r="D1219" s="13" t="n">
        <v>1</v>
      </c>
      <c r="E1219" s="13" t="inlineStr">
        <is>
          <t>S1</t>
        </is>
      </c>
      <c r="F1219" s="13" t="n">
        <v>2026</v>
      </c>
      <c r="G1219" s="14" t="n">
        <v>991888.0560425709</v>
      </c>
      <c r="H1219" s="14" t="n">
        <v>427091.1690318989</v>
      </c>
      <c r="I1219" s="14" t="n">
        <v>5847.613239034017</v>
      </c>
      <c r="J1219" s="14" t="n">
        <v>0</v>
      </c>
      <c r="K1219" s="14" t="n">
        <v>72598.67950283873</v>
      </c>
      <c r="L1219" s="14" t="n">
        <v>486350.5942687993</v>
      </c>
      <c r="M1219" s="14" t="n">
        <v>0</v>
      </c>
      <c r="N1219" s="14" t="n">
        <v>499318.207798857</v>
      </c>
      <c r="O1219" s="14" t="n">
        <v>505537.4617737714</v>
      </c>
      <c r="P1219" s="14" t="n">
        <v>74892.43039903828</v>
      </c>
      <c r="Q1219" s="14" t="n">
        <v>5994660.074768905</v>
      </c>
      <c r="R1219" s="15">
        <f>IF(D1219=1,"Section 1","Control")</f>
        <v/>
      </c>
      <c r="S1219" s="16">
        <f>N1219/10000</f>
        <v/>
      </c>
      <c r="T1219" s="16">
        <f>P1219/10000</f>
        <v/>
      </c>
      <c r="U1219" s="15">
        <f>IF(N1219&gt;=Summary!$D$3,1,0)</f>
        <v/>
      </c>
      <c r="V1219" s="17">
        <f>IF(N1219&gt;0,P1219/N1219,"")</f>
        <v/>
      </c>
      <c r="W1219" s="17">
        <f>IF(O1219&gt;0,H1219/O1219,"")</f>
        <v/>
      </c>
    </row>
    <row r="1220">
      <c r="A1220" s="13" t="inlineStr">
        <is>
          <t>T44_B3</t>
        </is>
      </c>
      <c r="B1220" s="13" t="inlineStr">
        <is>
          <t>T44</t>
        </is>
      </c>
      <c r="C1220" s="13" t="inlineStr">
        <is>
          <t>B3</t>
        </is>
      </c>
      <c r="D1220" s="13" t="n">
        <v>1</v>
      </c>
      <c r="E1220" s="13" t="inlineStr">
        <is>
          <t>S1</t>
        </is>
      </c>
      <c r="F1220" s="13" t="n">
        <v>2020</v>
      </c>
      <c r="G1220" s="14" t="n">
        <v>7916094.939351939</v>
      </c>
      <c r="H1220" s="14" t="n">
        <v>2382291.399402873</v>
      </c>
      <c r="I1220" s="14" t="n">
        <v>159747.2088201785</v>
      </c>
      <c r="J1220" s="14" t="n">
        <v>0</v>
      </c>
      <c r="K1220" s="14" t="n">
        <v>1694911.237219747</v>
      </c>
      <c r="L1220" s="14" t="n">
        <v>3679145.093909141</v>
      </c>
      <c r="M1220" s="14" t="n">
        <v>0</v>
      </c>
      <c r="N1220" s="14" t="n">
        <v>2382291.399402873</v>
      </c>
      <c r="O1220" s="14" t="n">
        <v>4236949.845442798</v>
      </c>
      <c r="P1220" s="14" t="n">
        <v>0</v>
      </c>
      <c r="Q1220" s="14" t="n">
        <v>32738416.4449135</v>
      </c>
      <c r="R1220" s="15">
        <f>IF(D1220=1,"Section 1","Control")</f>
        <v/>
      </c>
      <c r="S1220" s="16">
        <f>N1220/10000</f>
        <v/>
      </c>
      <c r="T1220" s="16">
        <f>P1220/10000</f>
        <v/>
      </c>
      <c r="U1220" s="15">
        <f>IF(N1220&gt;=Summary!$D$3,1,0)</f>
        <v/>
      </c>
      <c r="V1220" s="17">
        <f>IF(N1220&gt;0,P1220/N1220,"")</f>
        <v/>
      </c>
      <c r="W1220" s="17">
        <f>IF(O1220&gt;0,H1220/O1220,"")</f>
        <v/>
      </c>
    </row>
    <row r="1221">
      <c r="A1221" s="13" t="inlineStr">
        <is>
          <t>T44_B3</t>
        </is>
      </c>
      <c r="B1221" s="13" t="inlineStr">
        <is>
          <t>T44</t>
        </is>
      </c>
      <c r="C1221" s="13" t="inlineStr">
        <is>
          <t>B3</t>
        </is>
      </c>
      <c r="D1221" s="13" t="n">
        <v>1</v>
      </c>
      <c r="E1221" s="13" t="inlineStr">
        <is>
          <t>S1</t>
        </is>
      </c>
      <c r="F1221" s="13" t="n">
        <v>2021</v>
      </c>
      <c r="G1221" s="14" t="n">
        <v>7916094.939351938</v>
      </c>
      <c r="H1221" s="14" t="n">
        <v>2014347.23470821</v>
      </c>
      <c r="I1221" s="14" t="n">
        <v>129583.200512426</v>
      </c>
      <c r="J1221" s="14" t="n">
        <v>0</v>
      </c>
      <c r="K1221" s="14" t="n">
        <v>2093019.410222162</v>
      </c>
      <c r="L1221" s="14" t="n">
        <v>3679145.093909141</v>
      </c>
      <c r="M1221" s="14" t="n">
        <v>0</v>
      </c>
      <c r="N1221" s="14" t="n">
        <v>2382291.399402873</v>
      </c>
      <c r="O1221" s="14" t="n">
        <v>4236949.845442798</v>
      </c>
      <c r="P1221" s="14" t="n">
        <v>383029.4531448066</v>
      </c>
      <c r="Q1221" s="14" t="n">
        <v>32738416.4449135</v>
      </c>
      <c r="R1221" s="15">
        <f>IF(D1221=1,"Section 1","Control")</f>
        <v/>
      </c>
      <c r="S1221" s="16">
        <f>N1221/10000</f>
        <v/>
      </c>
      <c r="T1221" s="16">
        <f>P1221/10000</f>
        <v/>
      </c>
      <c r="U1221" s="15">
        <f>IF(N1221&gt;=Summary!$D$3,1,0)</f>
        <v/>
      </c>
      <c r="V1221" s="17">
        <f>IF(N1221&gt;0,P1221/N1221,"")</f>
        <v/>
      </c>
      <c r="W1221" s="17">
        <f>IF(O1221&gt;0,H1221/O1221,"")</f>
        <v/>
      </c>
    </row>
    <row r="1222">
      <c r="A1222" s="13" t="inlineStr">
        <is>
          <t>T44_B3</t>
        </is>
      </c>
      <c r="B1222" s="13" t="inlineStr">
        <is>
          <t>T44</t>
        </is>
      </c>
      <c r="C1222" s="13" t="inlineStr">
        <is>
          <t>B3</t>
        </is>
      </c>
      <c r="D1222" s="13" t="n">
        <v>1</v>
      </c>
      <c r="E1222" s="13" t="inlineStr">
        <is>
          <t>S1</t>
        </is>
      </c>
      <c r="F1222" s="13" t="n">
        <v>2022</v>
      </c>
      <c r="G1222" s="14" t="n">
        <v>7916094.939351939</v>
      </c>
      <c r="H1222" s="14" t="n">
        <v>1721478.20039637</v>
      </c>
      <c r="I1222" s="14" t="n">
        <v>88343.04445399865</v>
      </c>
      <c r="J1222" s="14" t="n">
        <v>0</v>
      </c>
      <c r="K1222" s="14" t="n">
        <v>2427128.60059243</v>
      </c>
      <c r="L1222" s="14" t="n">
        <v>3679145.093909141</v>
      </c>
      <c r="M1222" s="14" t="n">
        <v>0</v>
      </c>
      <c r="N1222" s="14" t="n">
        <v>2382291.399402873</v>
      </c>
      <c r="O1222" s="14" t="n">
        <v>4236949.845442798</v>
      </c>
      <c r="P1222" s="14" t="n">
        <v>683683.9739832261</v>
      </c>
      <c r="Q1222" s="14" t="n">
        <v>32738416.4449135</v>
      </c>
      <c r="R1222" s="15">
        <f>IF(D1222=1,"Section 1","Control")</f>
        <v/>
      </c>
      <c r="S1222" s="16">
        <f>N1222/10000</f>
        <v/>
      </c>
      <c r="T1222" s="16">
        <f>P1222/10000</f>
        <v/>
      </c>
      <c r="U1222" s="15">
        <f>IF(N1222&gt;=Summary!$D$3,1,0)</f>
        <v/>
      </c>
      <c r="V1222" s="17">
        <f>IF(N1222&gt;0,P1222/N1222,"")</f>
        <v/>
      </c>
      <c r="W1222" s="17">
        <f>IF(O1222&gt;0,H1222/O1222,"")</f>
        <v/>
      </c>
    </row>
    <row r="1223">
      <c r="A1223" s="13" t="inlineStr">
        <is>
          <t>T44_B3</t>
        </is>
      </c>
      <c r="B1223" s="13" t="inlineStr">
        <is>
          <t>T44</t>
        </is>
      </c>
      <c r="C1223" s="13" t="inlineStr">
        <is>
          <t>B3</t>
        </is>
      </c>
      <c r="D1223" s="13" t="n">
        <v>1</v>
      </c>
      <c r="E1223" s="13" t="inlineStr">
        <is>
          <t>S1</t>
        </is>
      </c>
      <c r="F1223" s="13" t="n">
        <v>2023</v>
      </c>
      <c r="G1223" s="14" t="n">
        <v>7916094.939351938</v>
      </c>
      <c r="H1223" s="14" t="n">
        <v>1436361.574075078</v>
      </c>
      <c r="I1223" s="14" t="n">
        <v>216476.0605880737</v>
      </c>
      <c r="J1223" s="14" t="n">
        <v>0</v>
      </c>
      <c r="K1223" s="14" t="n">
        <v>2584112.210779646</v>
      </c>
      <c r="L1223" s="14" t="n">
        <v>3679145.093909141</v>
      </c>
      <c r="M1223" s="14" t="n">
        <v>0</v>
      </c>
      <c r="N1223" s="14" t="n">
        <v>2382291.399402873</v>
      </c>
      <c r="O1223" s="14" t="n">
        <v>4236949.845442798</v>
      </c>
      <c r="P1223" s="14" t="n">
        <v>964382.3095907172</v>
      </c>
      <c r="Q1223" s="14" t="n">
        <v>32738416.4449135</v>
      </c>
      <c r="R1223" s="15">
        <f>IF(D1223=1,"Section 1","Control")</f>
        <v/>
      </c>
      <c r="S1223" s="16">
        <f>N1223/10000</f>
        <v/>
      </c>
      <c r="T1223" s="16">
        <f>P1223/10000</f>
        <v/>
      </c>
      <c r="U1223" s="15">
        <f>IF(N1223&gt;=Summary!$D$3,1,0)</f>
        <v/>
      </c>
      <c r="V1223" s="17">
        <f>IF(N1223&gt;0,P1223/N1223,"")</f>
        <v/>
      </c>
      <c r="W1223" s="17">
        <f>IF(O1223&gt;0,H1223/O1223,"")</f>
        <v/>
      </c>
    </row>
    <row r="1224">
      <c r="A1224" s="13" t="inlineStr">
        <is>
          <t>T44_B3</t>
        </is>
      </c>
      <c r="B1224" s="13" t="inlineStr">
        <is>
          <t>T44</t>
        </is>
      </c>
      <c r="C1224" s="13" t="inlineStr">
        <is>
          <t>B3</t>
        </is>
      </c>
      <c r="D1224" s="13" t="n">
        <v>1</v>
      </c>
      <c r="E1224" s="13" t="inlineStr">
        <is>
          <t>S1</t>
        </is>
      </c>
      <c r="F1224" s="13" t="n">
        <v>2024</v>
      </c>
      <c r="G1224" s="14" t="n">
        <v>7916094.939351939</v>
      </c>
      <c r="H1224" s="14" t="n">
        <v>1450587.422338568</v>
      </c>
      <c r="I1224" s="14" t="n">
        <v>160062.2907869526</v>
      </c>
      <c r="J1224" s="14" t="n">
        <v>0</v>
      </c>
      <c r="K1224" s="14" t="n">
        <v>2626300.132317278</v>
      </c>
      <c r="L1224" s="14" t="n">
        <v>3679145.093909141</v>
      </c>
      <c r="M1224" s="14" t="n">
        <v>0</v>
      </c>
      <c r="N1224" s="14" t="n">
        <v>2382291.399402873</v>
      </c>
      <c r="O1224" s="14" t="n">
        <v>4236949.845442798</v>
      </c>
      <c r="P1224" s="14" t="n">
        <v>963157.035254325</v>
      </c>
      <c r="Q1224" s="14" t="n">
        <v>32738416.4449135</v>
      </c>
      <c r="R1224" s="15">
        <f>IF(D1224=1,"Section 1","Control")</f>
        <v/>
      </c>
      <c r="S1224" s="16">
        <f>N1224/10000</f>
        <v/>
      </c>
      <c r="T1224" s="16">
        <f>P1224/10000</f>
        <v/>
      </c>
      <c r="U1224" s="15">
        <f>IF(N1224&gt;=Summary!$D$3,1,0)</f>
        <v/>
      </c>
      <c r="V1224" s="17">
        <f>IF(N1224&gt;0,P1224/N1224,"")</f>
        <v/>
      </c>
      <c r="W1224" s="17">
        <f>IF(O1224&gt;0,H1224/O1224,"")</f>
        <v/>
      </c>
    </row>
    <row r="1225">
      <c r="A1225" s="13" t="inlineStr">
        <is>
          <t>T44_B3</t>
        </is>
      </c>
      <c r="B1225" s="13" t="inlineStr">
        <is>
          <t>T44</t>
        </is>
      </c>
      <c r="C1225" s="13" t="inlineStr">
        <is>
          <t>B3</t>
        </is>
      </c>
      <c r="D1225" s="13" t="n">
        <v>1</v>
      </c>
      <c r="E1225" s="13" t="inlineStr">
        <is>
          <t>S1</t>
        </is>
      </c>
      <c r="F1225" s="13" t="n">
        <v>2025</v>
      </c>
      <c r="G1225" s="14" t="n">
        <v>7916094.939351939</v>
      </c>
      <c r="H1225" s="14" t="n">
        <v>1436799.643471811</v>
      </c>
      <c r="I1225" s="14" t="n">
        <v>157670.9078681198</v>
      </c>
      <c r="J1225" s="14" t="n">
        <v>0</v>
      </c>
      <c r="K1225" s="14" t="n">
        <v>2642479.294102868</v>
      </c>
      <c r="L1225" s="14" t="n">
        <v>3679145.093909141</v>
      </c>
      <c r="M1225" s="14" t="n">
        <v>0</v>
      </c>
      <c r="N1225" s="14" t="n">
        <v>2382291.399402873</v>
      </c>
      <c r="O1225" s="14" t="n">
        <v>4236949.845442798</v>
      </c>
      <c r="P1225" s="14" t="n">
        <v>976700.8067528816</v>
      </c>
      <c r="Q1225" s="14" t="n">
        <v>32738416.4449135</v>
      </c>
      <c r="R1225" s="15">
        <f>IF(D1225=1,"Section 1","Control")</f>
        <v/>
      </c>
      <c r="S1225" s="16">
        <f>N1225/10000</f>
        <v/>
      </c>
      <c r="T1225" s="16">
        <f>P1225/10000</f>
        <v/>
      </c>
      <c r="U1225" s="15">
        <f>IF(N1225&gt;=Summary!$D$3,1,0)</f>
        <v/>
      </c>
      <c r="V1225" s="17">
        <f>IF(N1225&gt;0,P1225/N1225,"")</f>
        <v/>
      </c>
      <c r="W1225" s="17">
        <f>IF(O1225&gt;0,H1225/O1225,"")</f>
        <v/>
      </c>
    </row>
    <row r="1226">
      <c r="A1226" s="13" t="inlineStr">
        <is>
          <t>T44_B3</t>
        </is>
      </c>
      <c r="B1226" s="13" t="inlineStr">
        <is>
          <t>T44</t>
        </is>
      </c>
      <c r="C1226" s="13" t="inlineStr">
        <is>
          <t>B3</t>
        </is>
      </c>
      <c r="D1226" s="13" t="n">
        <v>1</v>
      </c>
      <c r="E1226" s="13" t="inlineStr">
        <is>
          <t>S1</t>
        </is>
      </c>
      <c r="F1226" s="13" t="n">
        <v>2026</v>
      </c>
      <c r="G1226" s="14" t="n">
        <v>7916094.939351939</v>
      </c>
      <c r="H1226" s="14" t="n">
        <v>1386083.287212237</v>
      </c>
      <c r="I1226" s="14" t="n">
        <v>150621.8159560858</v>
      </c>
      <c r="J1226" s="14" t="n">
        <v>0</v>
      </c>
      <c r="K1226" s="14" t="n">
        <v>2700244.742274475</v>
      </c>
      <c r="L1226" s="14" t="n">
        <v>3679145.093909141</v>
      </c>
      <c r="M1226" s="14" t="n">
        <v>0</v>
      </c>
      <c r="N1226" s="14" t="n">
        <v>2382291.399402873</v>
      </c>
      <c r="O1226" s="14" t="n">
        <v>4236949.845442799</v>
      </c>
      <c r="P1226" s="14" t="n">
        <v>1034713.144528737</v>
      </c>
      <c r="Q1226" s="14" t="n">
        <v>32738416.4449135</v>
      </c>
      <c r="R1226" s="15">
        <f>IF(D1226=1,"Section 1","Control")</f>
        <v/>
      </c>
      <c r="S1226" s="16">
        <f>N1226/10000</f>
        <v/>
      </c>
      <c r="T1226" s="16">
        <f>P1226/10000</f>
        <v/>
      </c>
      <c r="U1226" s="15">
        <f>IF(N1226&gt;=Summary!$D$3,1,0)</f>
        <v/>
      </c>
      <c r="V1226" s="17">
        <f>IF(N1226&gt;0,P1226/N1226,"")</f>
        <v/>
      </c>
      <c r="W1226" s="17">
        <f>IF(O1226&gt;0,H1226/O1226,"")</f>
        <v/>
      </c>
    </row>
    <row r="1227">
      <c r="A1227" s="13" t="inlineStr">
        <is>
          <t>T44_F</t>
        </is>
      </c>
      <c r="B1227" s="13" t="inlineStr">
        <is>
          <t>T44</t>
        </is>
      </c>
      <c r="C1227" s="13" t="inlineStr">
        <is>
          <t>F</t>
        </is>
      </c>
      <c r="D1227" s="13" t="n">
        <v>1</v>
      </c>
      <c r="E1227" s="13" t="inlineStr">
        <is>
          <t>S1</t>
        </is>
      </c>
      <c r="F1227" s="13" t="n">
        <v>2020</v>
      </c>
      <c r="G1227" s="14" t="n">
        <v>67940.88816588162</v>
      </c>
      <c r="H1227" s="14" t="n">
        <v>62025.83104577162</v>
      </c>
      <c r="I1227" s="14" t="n">
        <v>0</v>
      </c>
      <c r="J1227" s="14" t="n">
        <v>0</v>
      </c>
      <c r="K1227" s="14" t="n">
        <v>5915.057120110008</v>
      </c>
      <c r="L1227" s="14" t="n">
        <v>0</v>
      </c>
      <c r="M1227" s="14" t="n">
        <v>0</v>
      </c>
      <c r="N1227" s="14" t="n">
        <v>62025.83104577162</v>
      </c>
      <c r="O1227" s="14" t="n">
        <v>67940.88816588162</v>
      </c>
      <c r="P1227" s="14" t="n">
        <v>0</v>
      </c>
      <c r="Q1227" s="14" t="n">
        <v>836912.2343733247</v>
      </c>
      <c r="R1227" s="15">
        <f>IF(D1227=1,"Section 1","Control")</f>
        <v/>
      </c>
      <c r="S1227" s="16">
        <f>N1227/10000</f>
        <v/>
      </c>
      <c r="T1227" s="16">
        <f>P1227/10000</f>
        <v/>
      </c>
      <c r="U1227" s="15">
        <f>IF(N1227&gt;=Summary!$D$3,1,0)</f>
        <v/>
      </c>
      <c r="V1227" s="17">
        <f>IF(N1227&gt;0,P1227/N1227,"")</f>
        <v/>
      </c>
      <c r="W1227" s="17">
        <f>IF(O1227&gt;0,H1227/O1227,"")</f>
        <v/>
      </c>
    </row>
    <row r="1228">
      <c r="A1228" s="13" t="inlineStr">
        <is>
          <t>T44_F</t>
        </is>
      </c>
      <c r="B1228" s="13" t="inlineStr">
        <is>
          <t>T44</t>
        </is>
      </c>
      <c r="C1228" s="13" t="inlineStr">
        <is>
          <t>F</t>
        </is>
      </c>
      <c r="D1228" s="13" t="n">
        <v>1</v>
      </c>
      <c r="E1228" s="13" t="inlineStr">
        <is>
          <t>S1</t>
        </is>
      </c>
      <c r="F1228" s="13" t="n">
        <v>2021</v>
      </c>
      <c r="G1228" s="14" t="n">
        <v>67940.88816588162</v>
      </c>
      <c r="H1228" s="14" t="n">
        <v>61828.39151635268</v>
      </c>
      <c r="I1228" s="14" t="n">
        <v>98.71975708007812</v>
      </c>
      <c r="J1228" s="14" t="n">
        <v>0</v>
      </c>
      <c r="K1228" s="14" t="n">
        <v>6013.776892448876</v>
      </c>
      <c r="L1228" s="14" t="n">
        <v>0</v>
      </c>
      <c r="M1228" s="14" t="n">
        <v>0</v>
      </c>
      <c r="N1228" s="14" t="n">
        <v>62025.83104577162</v>
      </c>
      <c r="O1228" s="14" t="n">
        <v>67940.88816588162</v>
      </c>
      <c r="P1228" s="14" t="n">
        <v>197.4395294189453</v>
      </c>
      <c r="Q1228" s="14" t="n">
        <v>836912.2343733247</v>
      </c>
      <c r="R1228" s="15">
        <f>IF(D1228=1,"Section 1","Control")</f>
        <v/>
      </c>
      <c r="S1228" s="16">
        <f>N1228/10000</f>
        <v/>
      </c>
      <c r="T1228" s="16">
        <f>P1228/10000</f>
        <v/>
      </c>
      <c r="U1228" s="15">
        <f>IF(N1228&gt;=Summary!$D$3,1,0)</f>
        <v/>
      </c>
      <c r="V1228" s="17">
        <f>IF(N1228&gt;0,P1228/N1228,"")</f>
        <v/>
      </c>
      <c r="W1228" s="17">
        <f>IF(O1228&gt;0,H1228/O1228,"")</f>
        <v/>
      </c>
    </row>
    <row r="1229">
      <c r="A1229" s="13" t="inlineStr">
        <is>
          <t>T44_F</t>
        </is>
      </c>
      <c r="B1229" s="13" t="inlineStr">
        <is>
          <t>T44</t>
        </is>
      </c>
      <c r="C1229" s="13" t="inlineStr">
        <is>
          <t>F</t>
        </is>
      </c>
      <c r="D1229" s="13" t="n">
        <v>1</v>
      </c>
      <c r="E1229" s="13" t="inlineStr">
        <is>
          <t>S1</t>
        </is>
      </c>
      <c r="F1229" s="13" t="n">
        <v>2022</v>
      </c>
      <c r="G1229" s="14" t="n">
        <v>67940.88816588162</v>
      </c>
      <c r="H1229" s="14" t="n">
        <v>55538.19807951688</v>
      </c>
      <c r="I1229" s="14" t="n">
        <v>987.1978302001952</v>
      </c>
      <c r="J1229" s="14" t="n">
        <v>0</v>
      </c>
      <c r="K1229" s="14" t="n">
        <v>11415.49225616455</v>
      </c>
      <c r="L1229" s="14" t="n">
        <v>0</v>
      </c>
      <c r="M1229" s="14" t="n">
        <v>0</v>
      </c>
      <c r="N1229" s="14" t="n">
        <v>62025.83104577162</v>
      </c>
      <c r="O1229" s="14" t="n">
        <v>67940.88816588162</v>
      </c>
      <c r="P1229" s="14" t="n">
        <v>6487.63296625474</v>
      </c>
      <c r="Q1229" s="14" t="n">
        <v>836912.2343733247</v>
      </c>
      <c r="R1229" s="15">
        <f>IF(D1229=1,"Section 1","Control")</f>
        <v/>
      </c>
      <c r="S1229" s="16">
        <f>N1229/10000</f>
        <v/>
      </c>
      <c r="T1229" s="16">
        <f>P1229/10000</f>
        <v/>
      </c>
      <c r="U1229" s="15">
        <f>IF(N1229&gt;=Summary!$D$3,1,0)</f>
        <v/>
      </c>
      <c r="V1229" s="17">
        <f>IF(N1229&gt;0,P1229/N1229,"")</f>
        <v/>
      </c>
      <c r="W1229" s="17">
        <f>IF(O1229&gt;0,H1229/O1229,"")</f>
        <v/>
      </c>
    </row>
    <row r="1230">
      <c r="A1230" s="13" t="inlineStr">
        <is>
          <t>T44_F</t>
        </is>
      </c>
      <c r="B1230" s="13" t="inlineStr">
        <is>
          <t>T44</t>
        </is>
      </c>
      <c r="C1230" s="13" t="inlineStr">
        <is>
          <t>F</t>
        </is>
      </c>
      <c r="D1230" s="13" t="n">
        <v>1</v>
      </c>
      <c r="E1230" s="13" t="inlineStr">
        <is>
          <t>S1</t>
        </is>
      </c>
      <c r="F1230" s="13" t="n">
        <v>2023</v>
      </c>
      <c r="G1230" s="14" t="n">
        <v>67940.88816588162</v>
      </c>
      <c r="H1230" s="14" t="n">
        <v>54571.13121062638</v>
      </c>
      <c r="I1230" s="14" t="n">
        <v>98.71978759765624</v>
      </c>
      <c r="J1230" s="14" t="n">
        <v>0</v>
      </c>
      <c r="K1230" s="14" t="n">
        <v>13271.03716765759</v>
      </c>
      <c r="L1230" s="14" t="n">
        <v>0</v>
      </c>
      <c r="M1230" s="14" t="n">
        <v>0</v>
      </c>
      <c r="N1230" s="14" t="n">
        <v>62025.83104577162</v>
      </c>
      <c r="O1230" s="14" t="n">
        <v>67940.88816588162</v>
      </c>
      <c r="P1230" s="14" t="n">
        <v>7454.69983514524</v>
      </c>
      <c r="Q1230" s="14" t="n">
        <v>836912.2343733247</v>
      </c>
      <c r="R1230" s="15">
        <f>IF(D1230=1,"Section 1","Control")</f>
        <v/>
      </c>
      <c r="S1230" s="16">
        <f>N1230/10000</f>
        <v/>
      </c>
      <c r="T1230" s="16">
        <f>P1230/10000</f>
        <v/>
      </c>
      <c r="U1230" s="15">
        <f>IF(N1230&gt;=Summary!$D$3,1,0)</f>
        <v/>
      </c>
      <c r="V1230" s="17">
        <f>IF(N1230&gt;0,P1230/N1230,"")</f>
        <v/>
      </c>
      <c r="W1230" s="17">
        <f>IF(O1230&gt;0,H1230/O1230,"")</f>
        <v/>
      </c>
    </row>
    <row r="1231">
      <c r="A1231" s="13" t="inlineStr">
        <is>
          <t>T44_F</t>
        </is>
      </c>
      <c r="B1231" s="13" t="inlineStr">
        <is>
          <t>T44</t>
        </is>
      </c>
      <c r="C1231" s="13" t="inlineStr">
        <is>
          <t>F</t>
        </is>
      </c>
      <c r="D1231" s="13" t="n">
        <v>1</v>
      </c>
      <c r="E1231" s="13" t="inlineStr">
        <is>
          <t>S1</t>
        </is>
      </c>
      <c r="F1231" s="13" t="n">
        <v>2024</v>
      </c>
      <c r="G1231" s="14" t="n">
        <v>67940.88816588162</v>
      </c>
      <c r="H1231" s="14" t="n">
        <v>54571.13121062638</v>
      </c>
      <c r="I1231" s="14" t="n">
        <v>0</v>
      </c>
      <c r="J1231" s="14" t="n">
        <v>0</v>
      </c>
      <c r="K1231" s="14" t="n">
        <v>13369.75695525525</v>
      </c>
      <c r="L1231" s="14" t="n">
        <v>0</v>
      </c>
      <c r="M1231" s="14" t="n">
        <v>0</v>
      </c>
      <c r="N1231" s="14" t="n">
        <v>62025.83104577162</v>
      </c>
      <c r="O1231" s="14" t="n">
        <v>67940.88816588162</v>
      </c>
      <c r="P1231" s="14" t="n">
        <v>7454.69983514524</v>
      </c>
      <c r="Q1231" s="14" t="n">
        <v>836912.2343733247</v>
      </c>
      <c r="R1231" s="15">
        <f>IF(D1231=1,"Section 1","Control")</f>
        <v/>
      </c>
      <c r="S1231" s="16">
        <f>N1231/10000</f>
        <v/>
      </c>
      <c r="T1231" s="16">
        <f>P1231/10000</f>
        <v/>
      </c>
      <c r="U1231" s="15">
        <f>IF(N1231&gt;=Summary!$D$3,1,0)</f>
        <v/>
      </c>
      <c r="V1231" s="17">
        <f>IF(N1231&gt;0,P1231/N1231,"")</f>
        <v/>
      </c>
      <c r="W1231" s="17">
        <f>IF(O1231&gt;0,H1231/O1231,"")</f>
        <v/>
      </c>
    </row>
    <row r="1232">
      <c r="A1232" s="13" t="inlineStr">
        <is>
          <t>T44_F</t>
        </is>
      </c>
      <c r="B1232" s="13" t="inlineStr">
        <is>
          <t>T44</t>
        </is>
      </c>
      <c r="C1232" s="13" t="inlineStr">
        <is>
          <t>F</t>
        </is>
      </c>
      <c r="D1232" s="13" t="n">
        <v>1</v>
      </c>
      <c r="E1232" s="13" t="inlineStr">
        <is>
          <t>S1</t>
        </is>
      </c>
      <c r="F1232" s="13" t="n">
        <v>2025</v>
      </c>
      <c r="G1232" s="14" t="n">
        <v>67940.88816588162</v>
      </c>
      <c r="H1232" s="14" t="n">
        <v>730.5260219499177</v>
      </c>
      <c r="I1232" s="14" t="n">
        <v>21884.81876077091</v>
      </c>
      <c r="J1232" s="14" t="n">
        <v>0</v>
      </c>
      <c r="K1232" s="14" t="n">
        <v>45325.54338316076</v>
      </c>
      <c r="L1232" s="14" t="n">
        <v>0</v>
      </c>
      <c r="M1232" s="14" t="n">
        <v>0</v>
      </c>
      <c r="N1232" s="14" t="n">
        <v>62025.83104577162</v>
      </c>
      <c r="O1232" s="14" t="n">
        <v>67940.88816588162</v>
      </c>
      <c r="P1232" s="14" t="n">
        <v>61295.3050238217</v>
      </c>
      <c r="Q1232" s="14" t="n">
        <v>836912.2343733247</v>
      </c>
      <c r="R1232" s="15">
        <f>IF(D1232=1,"Section 1","Control")</f>
        <v/>
      </c>
      <c r="S1232" s="16">
        <f>N1232/10000</f>
        <v/>
      </c>
      <c r="T1232" s="16">
        <f>P1232/10000</f>
        <v/>
      </c>
      <c r="U1232" s="15">
        <f>IF(N1232&gt;=Summary!$D$3,1,0)</f>
        <v/>
      </c>
      <c r="V1232" s="17">
        <f>IF(N1232&gt;0,P1232/N1232,"")</f>
        <v/>
      </c>
      <c r="W1232" s="17">
        <f>IF(O1232&gt;0,H1232/O1232,"")</f>
        <v/>
      </c>
    </row>
    <row r="1233">
      <c r="A1233" s="13" t="inlineStr">
        <is>
          <t>T44_F</t>
        </is>
      </c>
      <c r="B1233" s="13" t="inlineStr">
        <is>
          <t>T44</t>
        </is>
      </c>
      <c r="C1233" s="13" t="inlineStr">
        <is>
          <t>F</t>
        </is>
      </c>
      <c r="D1233" s="13" t="n">
        <v>1</v>
      </c>
      <c r="E1233" s="13" t="inlineStr">
        <is>
          <t>S1</t>
        </is>
      </c>
      <c r="F1233" s="13" t="n">
        <v>2026</v>
      </c>
      <c r="G1233" s="14" t="n">
        <v>67940.88816588162</v>
      </c>
      <c r="H1233" s="14" t="n">
        <v>244.6700463986864</v>
      </c>
      <c r="I1233" s="14" t="n">
        <v>42405.37225599102</v>
      </c>
      <c r="J1233" s="14" t="n">
        <v>0</v>
      </c>
      <c r="K1233" s="14" t="n">
        <v>25290.84586349188</v>
      </c>
      <c r="L1233" s="14" t="n">
        <v>0</v>
      </c>
      <c r="M1233" s="14" t="n">
        <v>0</v>
      </c>
      <c r="N1233" s="14" t="n">
        <v>62025.83104577162</v>
      </c>
      <c r="O1233" s="14" t="n">
        <v>67940.88816588162</v>
      </c>
      <c r="P1233" s="14" t="n">
        <v>61781.16099937294</v>
      </c>
      <c r="Q1233" s="14" t="n">
        <v>836912.2343733247</v>
      </c>
      <c r="R1233" s="15">
        <f>IF(D1233=1,"Section 1","Control")</f>
        <v/>
      </c>
      <c r="S1233" s="16">
        <f>N1233/10000</f>
        <v/>
      </c>
      <c r="T1233" s="16">
        <f>P1233/10000</f>
        <v/>
      </c>
      <c r="U1233" s="15">
        <f>IF(N1233&gt;=Summary!$D$3,1,0)</f>
        <v/>
      </c>
      <c r="V1233" s="17">
        <f>IF(N1233&gt;0,P1233/N1233,"")</f>
        <v/>
      </c>
      <c r="W1233" s="17">
        <f>IF(O1233&gt;0,H1233/O1233,"")</f>
        <v/>
      </c>
    </row>
    <row r="1234">
      <c r="A1234" s="13" t="inlineStr">
        <is>
          <t>T45_B1</t>
        </is>
      </c>
      <c r="B1234" s="13" t="inlineStr">
        <is>
          <t>T45</t>
        </is>
      </c>
      <c r="C1234" s="13" t="inlineStr">
        <is>
          <t>B1</t>
        </is>
      </c>
      <c r="D1234" s="13" t="n">
        <v>1</v>
      </c>
      <c r="E1234" s="13" t="inlineStr">
        <is>
          <t>S1</t>
        </is>
      </c>
      <c r="F1234" s="13" t="n">
        <v>2020</v>
      </c>
      <c r="G1234" s="14" t="n">
        <v>1003623.982781952</v>
      </c>
      <c r="H1234" s="14" t="n">
        <v>631120.0880435122</v>
      </c>
      <c r="I1234" s="14" t="n">
        <v>154027.8365232879</v>
      </c>
      <c r="J1234" s="14" t="n">
        <v>27978.18343066047</v>
      </c>
      <c r="K1234" s="14" t="n">
        <v>182375.6784585392</v>
      </c>
      <c r="L1234" s="14" t="n">
        <v>8122.196325952866</v>
      </c>
      <c r="M1234" s="14" t="n">
        <v>0</v>
      </c>
      <c r="N1234" s="14" t="n">
        <v>631120.0880435122</v>
      </c>
      <c r="O1234" s="14" t="n">
        <v>995501.7864559996</v>
      </c>
      <c r="P1234" s="14" t="n">
        <v>0</v>
      </c>
      <c r="Q1234" s="14" t="n">
        <v>11615753.57551488</v>
      </c>
      <c r="R1234" s="15">
        <f>IF(D1234=1,"Section 1","Control")</f>
        <v/>
      </c>
      <c r="S1234" s="16">
        <f>N1234/10000</f>
        <v/>
      </c>
      <c r="T1234" s="16">
        <f>P1234/10000</f>
        <v/>
      </c>
      <c r="U1234" s="15">
        <f>IF(N1234&gt;=Summary!$D$3,1,0)</f>
        <v/>
      </c>
      <c r="V1234" s="17">
        <f>IF(N1234&gt;0,P1234/N1234,"")</f>
        <v/>
      </c>
      <c r="W1234" s="17">
        <f>IF(O1234&gt;0,H1234/O1234,"")</f>
        <v/>
      </c>
    </row>
    <row r="1235">
      <c r="A1235" s="13" t="inlineStr">
        <is>
          <t>T45_B1</t>
        </is>
      </c>
      <c r="B1235" s="13" t="inlineStr">
        <is>
          <t>T45</t>
        </is>
      </c>
      <c r="C1235" s="13" t="inlineStr">
        <is>
          <t>B1</t>
        </is>
      </c>
      <c r="D1235" s="13" t="n">
        <v>1</v>
      </c>
      <c r="E1235" s="13" t="inlineStr">
        <is>
          <t>S1</t>
        </is>
      </c>
      <c r="F1235" s="13" t="n">
        <v>2021</v>
      </c>
      <c r="G1235" s="14" t="n">
        <v>1003623.982781952</v>
      </c>
      <c r="H1235" s="14" t="n">
        <v>608587.521975738</v>
      </c>
      <c r="I1235" s="14" t="n">
        <v>166307.4741623224</v>
      </c>
      <c r="J1235" s="14" t="n">
        <v>27978.18343066047</v>
      </c>
      <c r="K1235" s="14" t="n">
        <v>196098.9291359397</v>
      </c>
      <c r="L1235" s="14" t="n">
        <v>4651.874077292048</v>
      </c>
      <c r="M1235" s="14" t="n">
        <v>0</v>
      </c>
      <c r="N1235" s="14" t="n">
        <v>631120.0880435122</v>
      </c>
      <c r="O1235" s="14" t="n">
        <v>995501.7864559996</v>
      </c>
      <c r="P1235" s="14" t="n">
        <v>24210.80953701244</v>
      </c>
      <c r="Q1235" s="14" t="n">
        <v>11615753.57551488</v>
      </c>
      <c r="R1235" s="15">
        <f>IF(D1235=1,"Section 1","Control")</f>
        <v/>
      </c>
      <c r="S1235" s="16">
        <f>N1235/10000</f>
        <v/>
      </c>
      <c r="T1235" s="16">
        <f>P1235/10000</f>
        <v/>
      </c>
      <c r="U1235" s="15">
        <f>IF(N1235&gt;=Summary!$D$3,1,0)</f>
        <v/>
      </c>
      <c r="V1235" s="17">
        <f>IF(N1235&gt;0,P1235/N1235,"")</f>
        <v/>
      </c>
      <c r="W1235" s="17">
        <f>IF(O1235&gt;0,H1235/O1235,"")</f>
        <v/>
      </c>
    </row>
    <row r="1236">
      <c r="A1236" s="13" t="inlineStr">
        <is>
          <t>T45_B1</t>
        </is>
      </c>
      <c r="B1236" s="13" t="inlineStr">
        <is>
          <t>T45</t>
        </is>
      </c>
      <c r="C1236" s="13" t="inlineStr">
        <is>
          <t>B1</t>
        </is>
      </c>
      <c r="D1236" s="13" t="n">
        <v>1</v>
      </c>
      <c r="E1236" s="13" t="inlineStr">
        <is>
          <t>S1</t>
        </is>
      </c>
      <c r="F1236" s="13" t="n">
        <v>2022</v>
      </c>
      <c r="G1236" s="14" t="n">
        <v>1003623.982781952</v>
      </c>
      <c r="H1236" s="14" t="n">
        <v>594449.9807062785</v>
      </c>
      <c r="I1236" s="14" t="n">
        <v>168847.1475406422</v>
      </c>
      <c r="J1236" s="14" t="n">
        <v>27978.18343066047</v>
      </c>
      <c r="K1236" s="14" t="n">
        <v>208452.1071591845</v>
      </c>
      <c r="L1236" s="14" t="n">
        <v>3896.563945186838</v>
      </c>
      <c r="M1236" s="14" t="n">
        <v>0</v>
      </c>
      <c r="N1236" s="14" t="n">
        <v>631120.0880435122</v>
      </c>
      <c r="O1236" s="14" t="n">
        <v>995501.7864559996</v>
      </c>
      <c r="P1236" s="14" t="n">
        <v>36867.54772114473</v>
      </c>
      <c r="Q1236" s="14" t="n">
        <v>11615753.57551488</v>
      </c>
      <c r="R1236" s="15">
        <f>IF(D1236=1,"Section 1","Control")</f>
        <v/>
      </c>
      <c r="S1236" s="16">
        <f>N1236/10000</f>
        <v/>
      </c>
      <c r="T1236" s="16">
        <f>P1236/10000</f>
        <v/>
      </c>
      <c r="U1236" s="15">
        <f>IF(N1236&gt;=Summary!$D$3,1,0)</f>
        <v/>
      </c>
      <c r="V1236" s="17">
        <f>IF(N1236&gt;0,P1236/N1236,"")</f>
        <v/>
      </c>
      <c r="W1236" s="17">
        <f>IF(O1236&gt;0,H1236/O1236,"")</f>
        <v/>
      </c>
    </row>
    <row r="1237">
      <c r="A1237" s="13" t="inlineStr">
        <is>
          <t>T45_B1</t>
        </is>
      </c>
      <c r="B1237" s="13" t="inlineStr">
        <is>
          <t>T45</t>
        </is>
      </c>
      <c r="C1237" s="13" t="inlineStr">
        <is>
          <t>B1</t>
        </is>
      </c>
      <c r="D1237" s="13" t="n">
        <v>1</v>
      </c>
      <c r="E1237" s="13" t="inlineStr">
        <is>
          <t>S1</t>
        </is>
      </c>
      <c r="F1237" s="13" t="n">
        <v>2023</v>
      </c>
      <c r="G1237" s="14" t="n">
        <v>1003623.982781952</v>
      </c>
      <c r="H1237" s="14" t="n">
        <v>591516.2486898386</v>
      </c>
      <c r="I1237" s="14" t="n">
        <v>183983.8630424948</v>
      </c>
      <c r="J1237" s="14" t="n">
        <v>27978.18343066047</v>
      </c>
      <c r="K1237" s="14" t="n">
        <v>190421.1192418117</v>
      </c>
      <c r="L1237" s="14" t="n">
        <v>9724.568377146999</v>
      </c>
      <c r="M1237" s="14" t="n">
        <v>0</v>
      </c>
      <c r="N1237" s="14" t="n">
        <v>631120.0880435122</v>
      </c>
      <c r="O1237" s="14" t="n">
        <v>995501.7864559996</v>
      </c>
      <c r="P1237" s="14" t="n">
        <v>41084.64257632985</v>
      </c>
      <c r="Q1237" s="14" t="n">
        <v>11615753.57551488</v>
      </c>
      <c r="R1237" s="15">
        <f>IF(D1237=1,"Section 1","Control")</f>
        <v/>
      </c>
      <c r="S1237" s="16">
        <f>N1237/10000</f>
        <v/>
      </c>
      <c r="T1237" s="16">
        <f>P1237/10000</f>
        <v/>
      </c>
      <c r="U1237" s="15">
        <f>IF(N1237&gt;=Summary!$D$3,1,0)</f>
        <v/>
      </c>
      <c r="V1237" s="17">
        <f>IF(N1237&gt;0,P1237/N1237,"")</f>
        <v/>
      </c>
      <c r="W1237" s="17">
        <f>IF(O1237&gt;0,H1237/O1237,"")</f>
        <v/>
      </c>
    </row>
    <row r="1238">
      <c r="A1238" s="13" t="inlineStr">
        <is>
          <t>T45_B1</t>
        </is>
      </c>
      <c r="B1238" s="13" t="inlineStr">
        <is>
          <t>T45</t>
        </is>
      </c>
      <c r="C1238" s="13" t="inlineStr">
        <is>
          <t>B1</t>
        </is>
      </c>
      <c r="D1238" s="13" t="n">
        <v>1</v>
      </c>
      <c r="E1238" s="13" t="inlineStr">
        <is>
          <t>S1</t>
        </is>
      </c>
      <c r="F1238" s="13" t="n">
        <v>2024</v>
      </c>
      <c r="G1238" s="14" t="n">
        <v>1003623.982781952</v>
      </c>
      <c r="H1238" s="14" t="n">
        <v>598327.9459325754</v>
      </c>
      <c r="I1238" s="14" t="n">
        <v>160695.9446747425</v>
      </c>
      <c r="J1238" s="14" t="n">
        <v>27978.18343066047</v>
      </c>
      <c r="K1238" s="14" t="n">
        <v>208670.0539873609</v>
      </c>
      <c r="L1238" s="14" t="n">
        <v>7951.854756613337</v>
      </c>
      <c r="M1238" s="14" t="n">
        <v>0</v>
      </c>
      <c r="N1238" s="14" t="n">
        <v>631120.0880435122</v>
      </c>
      <c r="O1238" s="14" t="n">
        <v>995501.7864559996</v>
      </c>
      <c r="P1238" s="14" t="n">
        <v>38616.63756381764</v>
      </c>
      <c r="Q1238" s="14" t="n">
        <v>11615753.57551488</v>
      </c>
      <c r="R1238" s="15">
        <f>IF(D1238=1,"Section 1","Control")</f>
        <v/>
      </c>
      <c r="S1238" s="16">
        <f>N1238/10000</f>
        <v/>
      </c>
      <c r="T1238" s="16">
        <f>P1238/10000</f>
        <v/>
      </c>
      <c r="U1238" s="15">
        <f>IF(N1238&gt;=Summary!$D$3,1,0)</f>
        <v/>
      </c>
      <c r="V1238" s="17">
        <f>IF(N1238&gt;0,P1238/N1238,"")</f>
        <v/>
      </c>
      <c r="W1238" s="17">
        <f>IF(O1238&gt;0,H1238/O1238,"")</f>
        <v/>
      </c>
    </row>
    <row r="1239">
      <c r="A1239" s="13" t="inlineStr">
        <is>
          <t>T45_B1</t>
        </is>
      </c>
      <c r="B1239" s="13" t="inlineStr">
        <is>
          <t>T45</t>
        </is>
      </c>
      <c r="C1239" s="13" t="inlineStr">
        <is>
          <t>B1</t>
        </is>
      </c>
      <c r="D1239" s="13" t="n">
        <v>1</v>
      </c>
      <c r="E1239" s="13" t="inlineStr">
        <is>
          <t>S1</t>
        </is>
      </c>
      <c r="F1239" s="13" t="n">
        <v>2025</v>
      </c>
      <c r="G1239" s="14" t="n">
        <v>1003623.982781952</v>
      </c>
      <c r="H1239" s="14" t="n">
        <v>574385.0632221596</v>
      </c>
      <c r="I1239" s="14" t="n">
        <v>192431.2206586053</v>
      </c>
      <c r="J1239" s="14" t="n">
        <v>27978.18343066047</v>
      </c>
      <c r="K1239" s="14" t="n">
        <v>201951.1997247134</v>
      </c>
      <c r="L1239" s="14" t="n">
        <v>6878.315745813705</v>
      </c>
      <c r="M1239" s="14" t="n">
        <v>0</v>
      </c>
      <c r="N1239" s="14" t="n">
        <v>631120.0880435122</v>
      </c>
      <c r="O1239" s="14" t="n">
        <v>995501.7864559996</v>
      </c>
      <c r="P1239" s="14" t="n">
        <v>58314.55010516602</v>
      </c>
      <c r="Q1239" s="14" t="n">
        <v>11615753.57551488</v>
      </c>
      <c r="R1239" s="15">
        <f>IF(D1239=1,"Section 1","Control")</f>
        <v/>
      </c>
      <c r="S1239" s="16">
        <f>N1239/10000</f>
        <v/>
      </c>
      <c r="T1239" s="16">
        <f>P1239/10000</f>
        <v/>
      </c>
      <c r="U1239" s="15">
        <f>IF(N1239&gt;=Summary!$D$3,1,0)</f>
        <v/>
      </c>
      <c r="V1239" s="17">
        <f>IF(N1239&gt;0,P1239/N1239,"")</f>
        <v/>
      </c>
      <c r="W1239" s="17">
        <f>IF(O1239&gt;0,H1239/O1239,"")</f>
        <v/>
      </c>
    </row>
    <row r="1240">
      <c r="A1240" s="13" t="inlineStr">
        <is>
          <t>T45_B1</t>
        </is>
      </c>
      <c r="B1240" s="13" t="inlineStr">
        <is>
          <t>T45</t>
        </is>
      </c>
      <c r="C1240" s="13" t="inlineStr">
        <is>
          <t>B1</t>
        </is>
      </c>
      <c r="D1240" s="13" t="n">
        <v>1</v>
      </c>
      <c r="E1240" s="13" t="inlineStr">
        <is>
          <t>S1</t>
        </is>
      </c>
      <c r="F1240" s="13" t="n">
        <v>2026</v>
      </c>
      <c r="G1240" s="14" t="n">
        <v>1003623.982781952</v>
      </c>
      <c r="H1240" s="14" t="n">
        <v>571176.9432414634</v>
      </c>
      <c r="I1240" s="14" t="n">
        <v>175097.3850967108</v>
      </c>
      <c r="J1240" s="14" t="n">
        <v>27978.18343066047</v>
      </c>
      <c r="K1240" s="14" t="n">
        <v>223762.9743407006</v>
      </c>
      <c r="L1240" s="14" t="n">
        <v>5608.496672417135</v>
      </c>
      <c r="M1240" s="14" t="n">
        <v>0</v>
      </c>
      <c r="N1240" s="14" t="n">
        <v>631120.0880435122</v>
      </c>
      <c r="O1240" s="14" t="n">
        <v>995501.7864559996</v>
      </c>
      <c r="P1240" s="14" t="n">
        <v>67544.60420604037</v>
      </c>
      <c r="Q1240" s="14" t="n">
        <v>11615753.57551488</v>
      </c>
      <c r="R1240" s="15">
        <f>IF(D1240=1,"Section 1","Control")</f>
        <v/>
      </c>
      <c r="S1240" s="16">
        <f>N1240/10000</f>
        <v/>
      </c>
      <c r="T1240" s="16">
        <f>P1240/10000</f>
        <v/>
      </c>
      <c r="U1240" s="15">
        <f>IF(N1240&gt;=Summary!$D$3,1,0)</f>
        <v/>
      </c>
      <c r="V1240" s="17">
        <f>IF(N1240&gt;0,P1240/N1240,"")</f>
        <v/>
      </c>
      <c r="W1240" s="17">
        <f>IF(O1240&gt;0,H1240/O1240,"")</f>
        <v/>
      </c>
    </row>
    <row r="1241">
      <c r="A1241" s="13" t="inlineStr">
        <is>
          <t>T45_B2</t>
        </is>
      </c>
      <c r="B1241" s="13" t="inlineStr">
        <is>
          <t>T45</t>
        </is>
      </c>
      <c r="C1241" s="13" t="inlineStr">
        <is>
          <t>B2</t>
        </is>
      </c>
      <c r="D1241" s="13" t="n">
        <v>1</v>
      </c>
      <c r="E1241" s="13" t="inlineStr">
        <is>
          <t>S1</t>
        </is>
      </c>
      <c r="F1241" s="13" t="n">
        <v>2020</v>
      </c>
      <c r="G1241" s="14" t="n">
        <v>1001645.910436742</v>
      </c>
      <c r="H1241" s="14" t="n">
        <v>524579.3815028172</v>
      </c>
      <c r="I1241" s="14" t="n">
        <v>5632.113030706669</v>
      </c>
      <c r="J1241" s="14" t="n">
        <v>0</v>
      </c>
      <c r="K1241" s="14" t="n">
        <v>242.7300384521484</v>
      </c>
      <c r="L1241" s="14" t="n">
        <v>471191.6858647667</v>
      </c>
      <c r="M1241" s="14" t="n">
        <v>0</v>
      </c>
      <c r="N1241" s="14" t="n">
        <v>524579.3815028172</v>
      </c>
      <c r="O1241" s="14" t="n">
        <v>530454.224571976</v>
      </c>
      <c r="P1241" s="14" t="n">
        <v>0</v>
      </c>
      <c r="Q1241" s="14" t="n">
        <v>8409347.125414561</v>
      </c>
      <c r="R1241" s="15">
        <f>IF(D1241=1,"Section 1","Control")</f>
        <v/>
      </c>
      <c r="S1241" s="16">
        <f>N1241/10000</f>
        <v/>
      </c>
      <c r="T1241" s="16">
        <f>P1241/10000</f>
        <v/>
      </c>
      <c r="U1241" s="15">
        <f>IF(N1241&gt;=Summary!$D$3,1,0)</f>
        <v/>
      </c>
      <c r="V1241" s="17">
        <f>IF(N1241&gt;0,P1241/N1241,"")</f>
        <v/>
      </c>
      <c r="W1241" s="17">
        <f>IF(O1241&gt;0,H1241/O1241,"")</f>
        <v/>
      </c>
    </row>
    <row r="1242">
      <c r="A1242" s="13" t="inlineStr">
        <is>
          <t>T45_B2</t>
        </is>
      </c>
      <c r="B1242" s="13" t="inlineStr">
        <is>
          <t>T45</t>
        </is>
      </c>
      <c r="C1242" s="13" t="inlineStr">
        <is>
          <t>B2</t>
        </is>
      </c>
      <c r="D1242" s="13" t="n">
        <v>1</v>
      </c>
      <c r="E1242" s="13" t="inlineStr">
        <is>
          <t>S1</t>
        </is>
      </c>
      <c r="F1242" s="13" t="n">
        <v>2021</v>
      </c>
      <c r="G1242" s="14" t="n">
        <v>1001645.910436742</v>
      </c>
      <c r="H1242" s="14" t="n">
        <v>524579.3815028172</v>
      </c>
      <c r="I1242" s="14" t="n">
        <v>6834.18298618092</v>
      </c>
      <c r="J1242" s="14" t="n">
        <v>0</v>
      </c>
      <c r="K1242" s="14" t="n">
        <v>242.7300384521484</v>
      </c>
      <c r="L1242" s="14" t="n">
        <v>469989.6159092924</v>
      </c>
      <c r="M1242" s="14" t="n">
        <v>0</v>
      </c>
      <c r="N1242" s="14" t="n">
        <v>524579.3815028172</v>
      </c>
      <c r="O1242" s="14" t="n">
        <v>530454.224571976</v>
      </c>
      <c r="P1242" s="14" t="n">
        <v>0</v>
      </c>
      <c r="Q1242" s="14" t="n">
        <v>8409347.12541456</v>
      </c>
      <c r="R1242" s="15">
        <f>IF(D1242=1,"Section 1","Control")</f>
        <v/>
      </c>
      <c r="S1242" s="16">
        <f>N1242/10000</f>
        <v/>
      </c>
      <c r="T1242" s="16">
        <f>P1242/10000</f>
        <v/>
      </c>
      <c r="U1242" s="15">
        <f>IF(N1242&gt;=Summary!$D$3,1,0)</f>
        <v/>
      </c>
      <c r="V1242" s="17">
        <f>IF(N1242&gt;0,P1242/N1242,"")</f>
        <v/>
      </c>
      <c r="W1242" s="17">
        <f>IF(O1242&gt;0,H1242/O1242,"")</f>
        <v/>
      </c>
    </row>
    <row r="1243">
      <c r="A1243" s="13" t="inlineStr">
        <is>
          <t>T45_B2</t>
        </is>
      </c>
      <c r="B1243" s="13" t="inlineStr">
        <is>
          <t>T45</t>
        </is>
      </c>
      <c r="C1243" s="13" t="inlineStr">
        <is>
          <t>B2</t>
        </is>
      </c>
      <c r="D1243" s="13" t="n">
        <v>1</v>
      </c>
      <c r="E1243" s="13" t="inlineStr">
        <is>
          <t>S1</t>
        </is>
      </c>
      <c r="F1243" s="13" t="n">
        <v>2022</v>
      </c>
      <c r="G1243" s="14" t="n">
        <v>1001645.910436742</v>
      </c>
      <c r="H1243" s="14" t="n">
        <v>524268.9022402296</v>
      </c>
      <c r="I1243" s="14" t="n">
        <v>8217.047181043436</v>
      </c>
      <c r="J1243" s="14" t="n">
        <v>0</v>
      </c>
      <c r="K1243" s="14" t="n">
        <v>553.2093010397518</v>
      </c>
      <c r="L1243" s="14" t="n">
        <v>468606.7517144298</v>
      </c>
      <c r="M1243" s="14" t="n">
        <v>0</v>
      </c>
      <c r="N1243" s="14" t="n">
        <v>524579.3815028172</v>
      </c>
      <c r="O1243" s="14" t="n">
        <v>530454.2245719759</v>
      </c>
      <c r="P1243" s="14" t="n">
        <v>310.4792625876034</v>
      </c>
      <c r="Q1243" s="14" t="n">
        <v>8409347.12541456</v>
      </c>
      <c r="R1243" s="15">
        <f>IF(D1243=1,"Section 1","Control")</f>
        <v/>
      </c>
      <c r="S1243" s="16">
        <f>N1243/10000</f>
        <v/>
      </c>
      <c r="T1243" s="16">
        <f>P1243/10000</f>
        <v/>
      </c>
      <c r="U1243" s="15">
        <f>IF(N1243&gt;=Summary!$D$3,1,0)</f>
        <v/>
      </c>
      <c r="V1243" s="17">
        <f>IF(N1243&gt;0,P1243/N1243,"")</f>
        <v/>
      </c>
      <c r="W1243" s="17">
        <f>IF(O1243&gt;0,H1243/O1243,"")</f>
        <v/>
      </c>
    </row>
    <row r="1244">
      <c r="A1244" s="13" t="inlineStr">
        <is>
          <t>T45_B2</t>
        </is>
      </c>
      <c r="B1244" s="13" t="inlineStr">
        <is>
          <t>T45</t>
        </is>
      </c>
      <c r="C1244" s="13" t="inlineStr">
        <is>
          <t>B2</t>
        </is>
      </c>
      <c r="D1244" s="13" t="n">
        <v>1</v>
      </c>
      <c r="E1244" s="13" t="inlineStr">
        <is>
          <t>S1</t>
        </is>
      </c>
      <c r="F1244" s="13" t="n">
        <v>2023</v>
      </c>
      <c r="G1244" s="14" t="n">
        <v>1001645.910436742</v>
      </c>
      <c r="H1244" s="14" t="n">
        <v>524268.9022402296</v>
      </c>
      <c r="I1244" s="14" t="n">
        <v>3286.431419970942</v>
      </c>
      <c r="J1244" s="14" t="n">
        <v>0</v>
      </c>
      <c r="K1244" s="14" t="n">
        <v>553.2093010397518</v>
      </c>
      <c r="L1244" s="14" t="n">
        <v>473537.3674755024</v>
      </c>
      <c r="M1244" s="14" t="n">
        <v>0</v>
      </c>
      <c r="N1244" s="14" t="n">
        <v>524579.3815028172</v>
      </c>
      <c r="O1244" s="14" t="n">
        <v>530454.2245719759</v>
      </c>
      <c r="P1244" s="14" t="n">
        <v>310.4792625876034</v>
      </c>
      <c r="Q1244" s="14" t="n">
        <v>8409347.12541456</v>
      </c>
      <c r="R1244" s="15">
        <f>IF(D1244=1,"Section 1","Control")</f>
        <v/>
      </c>
      <c r="S1244" s="16">
        <f>N1244/10000</f>
        <v/>
      </c>
      <c r="T1244" s="16">
        <f>P1244/10000</f>
        <v/>
      </c>
      <c r="U1244" s="15">
        <f>IF(N1244&gt;=Summary!$D$3,1,0)</f>
        <v/>
      </c>
      <c r="V1244" s="17">
        <f>IF(N1244&gt;0,P1244/N1244,"")</f>
        <v/>
      </c>
      <c r="W1244" s="17">
        <f>IF(O1244&gt;0,H1244/O1244,"")</f>
        <v/>
      </c>
    </row>
    <row r="1245">
      <c r="A1245" s="13" t="inlineStr">
        <is>
          <t>T45_B2</t>
        </is>
      </c>
      <c r="B1245" s="13" t="inlineStr">
        <is>
          <t>T45</t>
        </is>
      </c>
      <c r="C1245" s="13" t="inlineStr">
        <is>
          <t>B2</t>
        </is>
      </c>
      <c r="D1245" s="13" t="n">
        <v>1</v>
      </c>
      <c r="E1245" s="13" t="inlineStr">
        <is>
          <t>S1</t>
        </is>
      </c>
      <c r="F1245" s="13" t="n">
        <v>2024</v>
      </c>
      <c r="G1245" s="14" t="n">
        <v>1001645.910436742</v>
      </c>
      <c r="H1245" s="14" t="n">
        <v>523296.0460077024</v>
      </c>
      <c r="I1245" s="14" t="n">
        <v>4052.958899254893</v>
      </c>
      <c r="J1245" s="14" t="n">
        <v>0</v>
      </c>
      <c r="K1245" s="14" t="n">
        <v>1159.84102489995</v>
      </c>
      <c r="L1245" s="14" t="n">
        <v>473137.0645048852</v>
      </c>
      <c r="M1245" s="14" t="n">
        <v>0</v>
      </c>
      <c r="N1245" s="14" t="n">
        <v>524579.3815028172</v>
      </c>
      <c r="O1245" s="14" t="n">
        <v>530454.224571976</v>
      </c>
      <c r="P1245" s="14" t="n">
        <v>1283.335495114794</v>
      </c>
      <c r="Q1245" s="14" t="n">
        <v>8409347.125414561</v>
      </c>
      <c r="R1245" s="15">
        <f>IF(D1245=1,"Section 1","Control")</f>
        <v/>
      </c>
      <c r="S1245" s="16">
        <f>N1245/10000</f>
        <v/>
      </c>
      <c r="T1245" s="16">
        <f>P1245/10000</f>
        <v/>
      </c>
      <c r="U1245" s="15">
        <f>IF(N1245&gt;=Summary!$D$3,1,0)</f>
        <v/>
      </c>
      <c r="V1245" s="17">
        <f>IF(N1245&gt;0,P1245/N1245,"")</f>
        <v/>
      </c>
      <c r="W1245" s="17">
        <f>IF(O1245&gt;0,H1245/O1245,"")</f>
        <v/>
      </c>
    </row>
    <row r="1246">
      <c r="A1246" s="13" t="inlineStr">
        <is>
          <t>T45_B2</t>
        </is>
      </c>
      <c r="B1246" s="13" t="inlineStr">
        <is>
          <t>T45</t>
        </is>
      </c>
      <c r="C1246" s="13" t="inlineStr">
        <is>
          <t>B2</t>
        </is>
      </c>
      <c r="D1246" s="13" t="n">
        <v>1</v>
      </c>
      <c r="E1246" s="13" t="inlineStr">
        <is>
          <t>S1</t>
        </is>
      </c>
      <c r="F1246" s="13" t="n">
        <v>2025</v>
      </c>
      <c r="G1246" s="14" t="n">
        <v>1001645.910436742</v>
      </c>
      <c r="H1246" s="14" t="n">
        <v>523662.2705163693</v>
      </c>
      <c r="I1246" s="14" t="n">
        <v>5984.023356089873</v>
      </c>
      <c r="J1246" s="14" t="n">
        <v>0</v>
      </c>
      <c r="K1246" s="14" t="n">
        <v>1159.84102489995</v>
      </c>
      <c r="L1246" s="14" t="n">
        <v>470839.7755393834</v>
      </c>
      <c r="M1246" s="14" t="n">
        <v>0</v>
      </c>
      <c r="N1246" s="14" t="n">
        <v>524579.3815028172</v>
      </c>
      <c r="O1246" s="14" t="n">
        <v>530454.2245719759</v>
      </c>
      <c r="P1246" s="14" t="n">
        <v>917.110986447802</v>
      </c>
      <c r="Q1246" s="14" t="n">
        <v>8409347.12541456</v>
      </c>
      <c r="R1246" s="15">
        <f>IF(D1246=1,"Section 1","Control")</f>
        <v/>
      </c>
      <c r="S1246" s="16">
        <f>N1246/10000</f>
        <v/>
      </c>
      <c r="T1246" s="16">
        <f>P1246/10000</f>
        <v/>
      </c>
      <c r="U1246" s="15">
        <f>IF(N1246&gt;=Summary!$D$3,1,0)</f>
        <v/>
      </c>
      <c r="V1246" s="17">
        <f>IF(N1246&gt;0,P1246/N1246,"")</f>
        <v/>
      </c>
      <c r="W1246" s="17">
        <f>IF(O1246&gt;0,H1246/O1246,"")</f>
        <v/>
      </c>
    </row>
    <row r="1247">
      <c r="A1247" s="13" t="inlineStr">
        <is>
          <t>T45_B2</t>
        </is>
      </c>
      <c r="B1247" s="13" t="inlineStr">
        <is>
          <t>T45</t>
        </is>
      </c>
      <c r="C1247" s="13" t="inlineStr">
        <is>
          <t>B2</t>
        </is>
      </c>
      <c r="D1247" s="13" t="n">
        <v>1</v>
      </c>
      <c r="E1247" s="13" t="inlineStr">
        <is>
          <t>S1</t>
        </is>
      </c>
      <c r="F1247" s="13" t="n">
        <v>2026</v>
      </c>
      <c r="G1247" s="14" t="n">
        <v>1001645.910436742</v>
      </c>
      <c r="H1247" s="14" t="n">
        <v>523001.822410733</v>
      </c>
      <c r="I1247" s="14" t="n">
        <v>4050.635446196911</v>
      </c>
      <c r="J1247" s="14" t="n">
        <v>0</v>
      </c>
      <c r="K1247" s="14" t="n">
        <v>1282.949179735371</v>
      </c>
      <c r="L1247" s="14" t="n">
        <v>473310.5034000772</v>
      </c>
      <c r="M1247" s="14" t="n">
        <v>0</v>
      </c>
      <c r="N1247" s="14" t="n">
        <v>524579.3815028172</v>
      </c>
      <c r="O1247" s="14" t="n">
        <v>530454.2245719759</v>
      </c>
      <c r="P1247" s="14" t="n">
        <v>1577.559092084099</v>
      </c>
      <c r="Q1247" s="14" t="n">
        <v>8409347.12541456</v>
      </c>
      <c r="R1247" s="15">
        <f>IF(D1247=1,"Section 1","Control")</f>
        <v/>
      </c>
      <c r="S1247" s="16">
        <f>N1247/10000</f>
        <v/>
      </c>
      <c r="T1247" s="16">
        <f>P1247/10000</f>
        <v/>
      </c>
      <c r="U1247" s="15">
        <f>IF(N1247&gt;=Summary!$D$3,1,0)</f>
        <v/>
      </c>
      <c r="V1247" s="17">
        <f>IF(N1247&gt;0,P1247/N1247,"")</f>
        <v/>
      </c>
      <c r="W1247" s="17">
        <f>IF(O1247&gt;0,H1247/O1247,"")</f>
        <v/>
      </c>
    </row>
    <row r="1248">
      <c r="A1248" s="13" t="inlineStr">
        <is>
          <t>T45_B3</t>
        </is>
      </c>
      <c r="B1248" s="13" t="inlineStr">
        <is>
          <t>T45</t>
        </is>
      </c>
      <c r="C1248" s="13" t="inlineStr">
        <is>
          <t>B3</t>
        </is>
      </c>
      <c r="D1248" s="13" t="n">
        <v>1</v>
      </c>
      <c r="E1248" s="13" t="inlineStr">
        <is>
          <t>S1</t>
        </is>
      </c>
      <c r="F1248" s="13" t="n">
        <v>2020</v>
      </c>
      <c r="G1248" s="14" t="n">
        <v>8006560.235489432</v>
      </c>
      <c r="H1248" s="14" t="n">
        <v>3084408.374789518</v>
      </c>
      <c r="I1248" s="14" t="n">
        <v>354742.6272180894</v>
      </c>
      <c r="J1248" s="14" t="n">
        <v>0</v>
      </c>
      <c r="K1248" s="14" t="n">
        <v>1286483.357629813</v>
      </c>
      <c r="L1248" s="14" t="n">
        <v>3280925.875852009</v>
      </c>
      <c r="M1248" s="14" t="n">
        <v>0</v>
      </c>
      <c r="N1248" s="14" t="n">
        <v>3084408.374789518</v>
      </c>
      <c r="O1248" s="14" t="n">
        <v>4725634.359637421</v>
      </c>
      <c r="P1248" s="14" t="n">
        <v>0</v>
      </c>
      <c r="Q1248" s="14" t="n">
        <v>41662350.43363543</v>
      </c>
      <c r="R1248" s="15">
        <f>IF(D1248=1,"Section 1","Control")</f>
        <v/>
      </c>
      <c r="S1248" s="16">
        <f>N1248/10000</f>
        <v/>
      </c>
      <c r="T1248" s="16">
        <f>P1248/10000</f>
        <v/>
      </c>
      <c r="U1248" s="15">
        <f>IF(N1248&gt;=Summary!$D$3,1,0)</f>
        <v/>
      </c>
      <c r="V1248" s="17">
        <f>IF(N1248&gt;0,P1248/N1248,"")</f>
        <v/>
      </c>
      <c r="W1248" s="17">
        <f>IF(O1248&gt;0,H1248/O1248,"")</f>
        <v/>
      </c>
    </row>
    <row r="1249">
      <c r="A1249" s="13" t="inlineStr">
        <is>
          <t>T45_B3</t>
        </is>
      </c>
      <c r="B1249" s="13" t="inlineStr">
        <is>
          <t>T45</t>
        </is>
      </c>
      <c r="C1249" s="13" t="inlineStr">
        <is>
          <t>B3</t>
        </is>
      </c>
      <c r="D1249" s="13" t="n">
        <v>1</v>
      </c>
      <c r="E1249" s="13" t="inlineStr">
        <is>
          <t>S1</t>
        </is>
      </c>
      <c r="F1249" s="13" t="n">
        <v>2021</v>
      </c>
      <c r="G1249" s="14" t="n">
        <v>8006560.235489431</v>
      </c>
      <c r="H1249" s="14" t="n">
        <v>2601540.757759633</v>
      </c>
      <c r="I1249" s="14" t="n">
        <v>414027.3901251101</v>
      </c>
      <c r="J1249" s="14" t="n">
        <v>0</v>
      </c>
      <c r="K1249" s="14" t="n">
        <v>1716976.032355095</v>
      </c>
      <c r="L1249" s="14" t="n">
        <v>3274016.055249592</v>
      </c>
      <c r="M1249" s="14" t="n">
        <v>0</v>
      </c>
      <c r="N1249" s="14" t="n">
        <v>3084408.374789518</v>
      </c>
      <c r="O1249" s="14" t="n">
        <v>4725634.359637421</v>
      </c>
      <c r="P1249" s="14" t="n">
        <v>511108.4244601081</v>
      </c>
      <c r="Q1249" s="14" t="n">
        <v>41662350.43363543</v>
      </c>
      <c r="R1249" s="15">
        <f>IF(D1249=1,"Section 1","Control")</f>
        <v/>
      </c>
      <c r="S1249" s="16">
        <f>N1249/10000</f>
        <v/>
      </c>
      <c r="T1249" s="16">
        <f>P1249/10000</f>
        <v/>
      </c>
      <c r="U1249" s="15">
        <f>IF(N1249&gt;=Summary!$D$3,1,0)</f>
        <v/>
      </c>
      <c r="V1249" s="17">
        <f>IF(N1249&gt;0,P1249/N1249,"")</f>
        <v/>
      </c>
      <c r="W1249" s="17">
        <f>IF(O1249&gt;0,H1249/O1249,"")</f>
        <v/>
      </c>
    </row>
    <row r="1250">
      <c r="A1250" s="13" t="inlineStr">
        <is>
          <t>T45_B3</t>
        </is>
      </c>
      <c r="B1250" s="13" t="inlineStr">
        <is>
          <t>T45</t>
        </is>
      </c>
      <c r="C1250" s="13" t="inlineStr">
        <is>
          <t>B3</t>
        </is>
      </c>
      <c r="D1250" s="13" t="n">
        <v>1</v>
      </c>
      <c r="E1250" s="13" t="inlineStr">
        <is>
          <t>S1</t>
        </is>
      </c>
      <c r="F1250" s="13" t="n">
        <v>2022</v>
      </c>
      <c r="G1250" s="14" t="n">
        <v>8006560.235489431</v>
      </c>
      <c r="H1250" s="14" t="n">
        <v>2373737.266821828</v>
      </c>
      <c r="I1250" s="14" t="n">
        <v>305455.8952892228</v>
      </c>
      <c r="J1250" s="14" t="n">
        <v>0</v>
      </c>
      <c r="K1250" s="14" t="n">
        <v>2053351.018128788</v>
      </c>
      <c r="L1250" s="14" t="n">
        <v>3274016.055249592</v>
      </c>
      <c r="M1250" s="14" t="n">
        <v>0</v>
      </c>
      <c r="N1250" s="14" t="n">
        <v>3084408.374789518</v>
      </c>
      <c r="O1250" s="14" t="n">
        <v>4725634.359637421</v>
      </c>
      <c r="P1250" s="14" t="n">
        <v>757921.6178379433</v>
      </c>
      <c r="Q1250" s="14" t="n">
        <v>41662350.43363542</v>
      </c>
      <c r="R1250" s="15">
        <f>IF(D1250=1,"Section 1","Control")</f>
        <v/>
      </c>
      <c r="S1250" s="16">
        <f>N1250/10000</f>
        <v/>
      </c>
      <c r="T1250" s="16">
        <f>P1250/10000</f>
        <v/>
      </c>
      <c r="U1250" s="15">
        <f>IF(N1250&gt;=Summary!$D$3,1,0)</f>
        <v/>
      </c>
      <c r="V1250" s="17">
        <f>IF(N1250&gt;0,P1250/N1250,"")</f>
        <v/>
      </c>
      <c r="W1250" s="17">
        <f>IF(O1250&gt;0,H1250/O1250,"")</f>
        <v/>
      </c>
    </row>
    <row r="1251">
      <c r="A1251" s="13" t="inlineStr">
        <is>
          <t>T45_B3</t>
        </is>
      </c>
      <c r="B1251" s="13" t="inlineStr">
        <is>
          <t>T45</t>
        </is>
      </c>
      <c r="C1251" s="13" t="inlineStr">
        <is>
          <t>B3</t>
        </is>
      </c>
      <c r="D1251" s="13" t="n">
        <v>1</v>
      </c>
      <c r="E1251" s="13" t="inlineStr">
        <is>
          <t>S1</t>
        </is>
      </c>
      <c r="F1251" s="13" t="n">
        <v>2023</v>
      </c>
      <c r="G1251" s="14" t="n">
        <v>8006560.235489431</v>
      </c>
      <c r="H1251" s="14" t="n">
        <v>2380572.427745116</v>
      </c>
      <c r="I1251" s="14" t="n">
        <v>354895.5805055207</v>
      </c>
      <c r="J1251" s="14" t="n">
        <v>0</v>
      </c>
      <c r="K1251" s="14" t="n">
        <v>1994016.111045598</v>
      </c>
      <c r="L1251" s="14" t="n">
        <v>3277076.116193196</v>
      </c>
      <c r="M1251" s="14" t="n">
        <v>0</v>
      </c>
      <c r="N1251" s="14" t="n">
        <v>3084408.374789518</v>
      </c>
      <c r="O1251" s="14" t="n">
        <v>4725634.359637421</v>
      </c>
      <c r="P1251" s="14" t="n">
        <v>781542.4184152044</v>
      </c>
      <c r="Q1251" s="14" t="n">
        <v>41662350.43363542</v>
      </c>
      <c r="R1251" s="15">
        <f>IF(D1251=1,"Section 1","Control")</f>
        <v/>
      </c>
      <c r="S1251" s="16">
        <f>N1251/10000</f>
        <v/>
      </c>
      <c r="T1251" s="16">
        <f>P1251/10000</f>
        <v/>
      </c>
      <c r="U1251" s="15">
        <f>IF(N1251&gt;=Summary!$D$3,1,0)</f>
        <v/>
      </c>
      <c r="V1251" s="17">
        <f>IF(N1251&gt;0,P1251/N1251,"")</f>
        <v/>
      </c>
      <c r="W1251" s="17">
        <f>IF(O1251&gt;0,H1251/O1251,"")</f>
        <v/>
      </c>
    </row>
    <row r="1252">
      <c r="A1252" s="13" t="inlineStr">
        <is>
          <t>T45_B3</t>
        </is>
      </c>
      <c r="B1252" s="13" t="inlineStr">
        <is>
          <t>T45</t>
        </is>
      </c>
      <c r="C1252" s="13" t="inlineStr">
        <is>
          <t>B3</t>
        </is>
      </c>
      <c r="D1252" s="13" t="n">
        <v>1</v>
      </c>
      <c r="E1252" s="13" t="inlineStr">
        <is>
          <t>S1</t>
        </is>
      </c>
      <c r="F1252" s="13" t="n">
        <v>2024</v>
      </c>
      <c r="G1252" s="14" t="n">
        <v>8006560.235489431</v>
      </c>
      <c r="H1252" s="14" t="n">
        <v>2491830.193139888</v>
      </c>
      <c r="I1252" s="14" t="n">
        <v>202221.9928892248</v>
      </c>
      <c r="J1252" s="14" t="n">
        <v>0</v>
      </c>
      <c r="K1252" s="14" t="n">
        <v>2038491.994210725</v>
      </c>
      <c r="L1252" s="14" t="n">
        <v>3274016.055249592</v>
      </c>
      <c r="M1252" s="14" t="n">
        <v>0</v>
      </c>
      <c r="N1252" s="14" t="n">
        <v>3084408.374789518</v>
      </c>
      <c r="O1252" s="14" t="n">
        <v>4725634.359637421</v>
      </c>
      <c r="P1252" s="14" t="n">
        <v>745647.081361479</v>
      </c>
      <c r="Q1252" s="14" t="n">
        <v>41662350.43363543</v>
      </c>
      <c r="R1252" s="15">
        <f>IF(D1252=1,"Section 1","Control")</f>
        <v/>
      </c>
      <c r="S1252" s="16">
        <f>N1252/10000</f>
        <v/>
      </c>
      <c r="T1252" s="16">
        <f>P1252/10000</f>
        <v/>
      </c>
      <c r="U1252" s="15">
        <f>IF(N1252&gt;=Summary!$D$3,1,0)</f>
        <v/>
      </c>
      <c r="V1252" s="17">
        <f>IF(N1252&gt;0,P1252/N1252,"")</f>
        <v/>
      </c>
      <c r="W1252" s="17">
        <f>IF(O1252&gt;0,H1252/O1252,"")</f>
        <v/>
      </c>
    </row>
    <row r="1253">
      <c r="A1253" s="13" t="inlineStr">
        <is>
          <t>T45_B3</t>
        </is>
      </c>
      <c r="B1253" s="13" t="inlineStr">
        <is>
          <t>T45</t>
        </is>
      </c>
      <c r="C1253" s="13" t="inlineStr">
        <is>
          <t>B3</t>
        </is>
      </c>
      <c r="D1253" s="13" t="n">
        <v>1</v>
      </c>
      <c r="E1253" s="13" t="inlineStr">
        <is>
          <t>S1</t>
        </is>
      </c>
      <c r="F1253" s="13" t="n">
        <v>2025</v>
      </c>
      <c r="G1253" s="14" t="n">
        <v>8006560.235489432</v>
      </c>
      <c r="H1253" s="14" t="n">
        <v>2444678.15788263</v>
      </c>
      <c r="I1253" s="14" t="n">
        <v>219147.8614709892</v>
      </c>
      <c r="J1253" s="14" t="n">
        <v>0</v>
      </c>
      <c r="K1253" s="14" t="n">
        <v>2068718.160886218</v>
      </c>
      <c r="L1253" s="14" t="n">
        <v>3274016.055249592</v>
      </c>
      <c r="M1253" s="14" t="n">
        <v>0</v>
      </c>
      <c r="N1253" s="14" t="n">
        <v>3084408.374789518</v>
      </c>
      <c r="O1253" s="14" t="n">
        <v>4725634.359637421</v>
      </c>
      <c r="P1253" s="14" t="n">
        <v>775145.6345242669</v>
      </c>
      <c r="Q1253" s="14" t="n">
        <v>41662350.43363542</v>
      </c>
      <c r="R1253" s="15">
        <f>IF(D1253=1,"Section 1","Control")</f>
        <v/>
      </c>
      <c r="S1253" s="16">
        <f>N1253/10000</f>
        <v/>
      </c>
      <c r="T1253" s="16">
        <f>P1253/10000</f>
        <v/>
      </c>
      <c r="U1253" s="15">
        <f>IF(N1253&gt;=Summary!$D$3,1,0)</f>
        <v/>
      </c>
      <c r="V1253" s="17">
        <f>IF(N1253&gt;0,P1253/N1253,"")</f>
        <v/>
      </c>
      <c r="W1253" s="17">
        <f>IF(O1253&gt;0,H1253/O1253,"")</f>
        <v/>
      </c>
    </row>
    <row r="1254">
      <c r="A1254" s="13" t="inlineStr">
        <is>
          <t>T45_B3</t>
        </is>
      </c>
      <c r="B1254" s="13" t="inlineStr">
        <is>
          <t>T45</t>
        </is>
      </c>
      <c r="C1254" s="13" t="inlineStr">
        <is>
          <t>B3</t>
        </is>
      </c>
      <c r="D1254" s="13" t="n">
        <v>1</v>
      </c>
      <c r="E1254" s="13" t="inlineStr">
        <is>
          <t>S1</t>
        </is>
      </c>
      <c r="F1254" s="13" t="n">
        <v>2026</v>
      </c>
      <c r="G1254" s="14" t="n">
        <v>8006560.235489431</v>
      </c>
      <c r="H1254" s="14" t="n">
        <v>2430374.108490588</v>
      </c>
      <c r="I1254" s="14" t="n">
        <v>148857.1997932883</v>
      </c>
      <c r="J1254" s="14" t="n">
        <v>0</v>
      </c>
      <c r="K1254" s="14" t="n">
        <v>2153312.871955961</v>
      </c>
      <c r="L1254" s="14" t="n">
        <v>3274016.055249592</v>
      </c>
      <c r="M1254" s="14" t="n">
        <v>0</v>
      </c>
      <c r="N1254" s="14" t="n">
        <v>3084408.374789518</v>
      </c>
      <c r="O1254" s="14" t="n">
        <v>4725634.359637421</v>
      </c>
      <c r="P1254" s="14" t="n">
        <v>849960.5234448003</v>
      </c>
      <c r="Q1254" s="14" t="n">
        <v>41662350.43363543</v>
      </c>
      <c r="R1254" s="15">
        <f>IF(D1254=1,"Section 1","Control")</f>
        <v/>
      </c>
      <c r="S1254" s="16">
        <f>N1254/10000</f>
        <v/>
      </c>
      <c r="T1254" s="16">
        <f>P1254/10000</f>
        <v/>
      </c>
      <c r="U1254" s="15">
        <f>IF(N1254&gt;=Summary!$D$3,1,0)</f>
        <v/>
      </c>
      <c r="V1254" s="17">
        <f>IF(N1254&gt;0,P1254/N1254,"")</f>
        <v/>
      </c>
      <c r="W1254" s="17">
        <f>IF(O1254&gt;0,H1254/O1254,"")</f>
        <v/>
      </c>
    </row>
    <row r="1255">
      <c r="A1255" s="13" t="inlineStr">
        <is>
          <t>T45_F</t>
        </is>
      </c>
      <c r="B1255" s="13" t="inlineStr">
        <is>
          <t>T45</t>
        </is>
      </c>
      <c r="C1255" s="13" t="inlineStr">
        <is>
          <t>F</t>
        </is>
      </c>
      <c r="D1255" s="13" t="n">
        <v>1</v>
      </c>
      <c r="E1255" s="13" t="inlineStr">
        <is>
          <t>S1</t>
        </is>
      </c>
      <c r="F1255" s="13" t="n">
        <v>2020</v>
      </c>
      <c r="G1255" s="14" t="n">
        <v>100337.9821928736</v>
      </c>
      <c r="H1255" s="14" t="n">
        <v>98234.2828022976</v>
      </c>
      <c r="I1255" s="14" t="n">
        <v>0</v>
      </c>
      <c r="J1255" s="14" t="n">
        <v>0</v>
      </c>
      <c r="K1255" s="14" t="n">
        <v>2103.699390575933</v>
      </c>
      <c r="L1255" s="14" t="n">
        <v>0</v>
      </c>
      <c r="M1255" s="14" t="n">
        <v>0</v>
      </c>
      <c r="N1255" s="14" t="n">
        <v>98234.2828022976</v>
      </c>
      <c r="O1255" s="14" t="n">
        <v>100337.9821928736</v>
      </c>
      <c r="P1255" s="14" t="n">
        <v>0</v>
      </c>
      <c r="Q1255" s="14" t="n">
        <v>1486684.24116929</v>
      </c>
      <c r="R1255" s="15">
        <f>IF(D1255=1,"Section 1","Control")</f>
        <v/>
      </c>
      <c r="S1255" s="16">
        <f>N1255/10000</f>
        <v/>
      </c>
      <c r="T1255" s="16">
        <f>P1255/10000</f>
        <v/>
      </c>
      <c r="U1255" s="15">
        <f>IF(N1255&gt;=Summary!$D$3,1,0)</f>
        <v/>
      </c>
      <c r="V1255" s="17">
        <f>IF(N1255&gt;0,P1255/N1255,"")</f>
        <v/>
      </c>
      <c r="W1255" s="17">
        <f>IF(O1255&gt;0,H1255/O1255,"")</f>
        <v/>
      </c>
    </row>
    <row r="1256">
      <c r="A1256" s="13" t="inlineStr">
        <is>
          <t>T45_F</t>
        </is>
      </c>
      <c r="B1256" s="13" t="inlineStr">
        <is>
          <t>T45</t>
        </is>
      </c>
      <c r="C1256" s="13" t="inlineStr">
        <is>
          <t>F</t>
        </is>
      </c>
      <c r="D1256" s="13" t="n">
        <v>1</v>
      </c>
      <c r="E1256" s="13" t="inlineStr">
        <is>
          <t>S1</t>
        </is>
      </c>
      <c r="F1256" s="13" t="n">
        <v>2021</v>
      </c>
      <c r="G1256" s="14" t="n">
        <v>100337.9821928736</v>
      </c>
      <c r="H1256" s="14" t="n">
        <v>98234.2828022976</v>
      </c>
      <c r="I1256" s="14" t="n">
        <v>0</v>
      </c>
      <c r="J1256" s="14" t="n">
        <v>0</v>
      </c>
      <c r="K1256" s="14" t="n">
        <v>2103.699390575933</v>
      </c>
      <c r="L1256" s="14" t="n">
        <v>0</v>
      </c>
      <c r="M1256" s="14" t="n">
        <v>0</v>
      </c>
      <c r="N1256" s="14" t="n">
        <v>98234.2828022976</v>
      </c>
      <c r="O1256" s="14" t="n">
        <v>100337.9821928736</v>
      </c>
      <c r="P1256" s="14" t="n">
        <v>0</v>
      </c>
      <c r="Q1256" s="14" t="n">
        <v>1486684.24116929</v>
      </c>
      <c r="R1256" s="15">
        <f>IF(D1256=1,"Section 1","Control")</f>
        <v/>
      </c>
      <c r="S1256" s="16">
        <f>N1256/10000</f>
        <v/>
      </c>
      <c r="T1256" s="16">
        <f>P1256/10000</f>
        <v/>
      </c>
      <c r="U1256" s="15">
        <f>IF(N1256&gt;=Summary!$D$3,1,0)</f>
        <v/>
      </c>
      <c r="V1256" s="17">
        <f>IF(N1256&gt;0,P1256/N1256,"")</f>
        <v/>
      </c>
      <c r="W1256" s="17">
        <f>IF(O1256&gt;0,H1256/O1256,"")</f>
        <v/>
      </c>
    </row>
    <row r="1257">
      <c r="A1257" s="13" t="inlineStr">
        <is>
          <t>T45_F</t>
        </is>
      </c>
      <c r="B1257" s="13" t="inlineStr">
        <is>
          <t>T45</t>
        </is>
      </c>
      <c r="C1257" s="13" t="inlineStr">
        <is>
          <t>F</t>
        </is>
      </c>
      <c r="D1257" s="13" t="n">
        <v>1</v>
      </c>
      <c r="E1257" s="13" t="inlineStr">
        <is>
          <t>S1</t>
        </is>
      </c>
      <c r="F1257" s="13" t="n">
        <v>2022</v>
      </c>
      <c r="G1257" s="14" t="n">
        <v>100337.9821928736</v>
      </c>
      <c r="H1257" s="14" t="n">
        <v>98234.2828022976</v>
      </c>
      <c r="I1257" s="14" t="n">
        <v>0</v>
      </c>
      <c r="J1257" s="14" t="n">
        <v>0</v>
      </c>
      <c r="K1257" s="14" t="n">
        <v>2103.699390575933</v>
      </c>
      <c r="L1257" s="14" t="n">
        <v>0</v>
      </c>
      <c r="M1257" s="14" t="n">
        <v>0</v>
      </c>
      <c r="N1257" s="14" t="n">
        <v>98234.2828022976</v>
      </c>
      <c r="O1257" s="14" t="n">
        <v>100337.9821928736</v>
      </c>
      <c r="P1257" s="14" t="n">
        <v>0</v>
      </c>
      <c r="Q1257" s="14" t="n">
        <v>1486684.24116929</v>
      </c>
      <c r="R1257" s="15">
        <f>IF(D1257=1,"Section 1","Control")</f>
        <v/>
      </c>
      <c r="S1257" s="16">
        <f>N1257/10000</f>
        <v/>
      </c>
      <c r="T1257" s="16">
        <f>P1257/10000</f>
        <v/>
      </c>
      <c r="U1257" s="15">
        <f>IF(N1257&gt;=Summary!$D$3,1,0)</f>
        <v/>
      </c>
      <c r="V1257" s="17">
        <f>IF(N1257&gt;0,P1257/N1257,"")</f>
        <v/>
      </c>
      <c r="W1257" s="17">
        <f>IF(O1257&gt;0,H1257/O1257,"")</f>
        <v/>
      </c>
    </row>
    <row r="1258">
      <c r="A1258" s="13" t="inlineStr">
        <is>
          <t>T45_F</t>
        </is>
      </c>
      <c r="B1258" s="13" t="inlineStr">
        <is>
          <t>T45</t>
        </is>
      </c>
      <c r="C1258" s="13" t="inlineStr">
        <is>
          <t>F</t>
        </is>
      </c>
      <c r="D1258" s="13" t="n">
        <v>1</v>
      </c>
      <c r="E1258" s="13" t="inlineStr">
        <is>
          <t>S1</t>
        </is>
      </c>
      <c r="F1258" s="13" t="n">
        <v>2023</v>
      </c>
      <c r="G1258" s="14" t="n">
        <v>100337.9821928736</v>
      </c>
      <c r="H1258" s="14" t="n">
        <v>98234.2828022976</v>
      </c>
      <c r="I1258" s="14" t="n">
        <v>0</v>
      </c>
      <c r="J1258" s="14" t="n">
        <v>0</v>
      </c>
      <c r="K1258" s="14" t="n">
        <v>2103.699390575933</v>
      </c>
      <c r="L1258" s="14" t="n">
        <v>0</v>
      </c>
      <c r="M1258" s="14" t="n">
        <v>0</v>
      </c>
      <c r="N1258" s="14" t="n">
        <v>98234.2828022976</v>
      </c>
      <c r="O1258" s="14" t="n">
        <v>100337.9821928736</v>
      </c>
      <c r="P1258" s="14" t="n">
        <v>0</v>
      </c>
      <c r="Q1258" s="14" t="n">
        <v>1486684.24116929</v>
      </c>
      <c r="R1258" s="15">
        <f>IF(D1258=1,"Section 1","Control")</f>
        <v/>
      </c>
      <c r="S1258" s="16">
        <f>N1258/10000</f>
        <v/>
      </c>
      <c r="T1258" s="16">
        <f>P1258/10000</f>
        <v/>
      </c>
      <c r="U1258" s="15">
        <f>IF(N1258&gt;=Summary!$D$3,1,0)</f>
        <v/>
      </c>
      <c r="V1258" s="17">
        <f>IF(N1258&gt;0,P1258/N1258,"")</f>
        <v/>
      </c>
      <c r="W1258" s="17">
        <f>IF(O1258&gt;0,H1258/O1258,"")</f>
        <v/>
      </c>
    </row>
    <row r="1259">
      <c r="A1259" s="13" t="inlineStr">
        <is>
          <t>T45_F</t>
        </is>
      </c>
      <c r="B1259" s="13" t="inlineStr">
        <is>
          <t>T45</t>
        </is>
      </c>
      <c r="C1259" s="13" t="inlineStr">
        <is>
          <t>F</t>
        </is>
      </c>
      <c r="D1259" s="13" t="n">
        <v>1</v>
      </c>
      <c r="E1259" s="13" t="inlineStr">
        <is>
          <t>S1</t>
        </is>
      </c>
      <c r="F1259" s="13" t="n">
        <v>2024</v>
      </c>
      <c r="G1259" s="14" t="n">
        <v>100337.9821928736</v>
      </c>
      <c r="H1259" s="14" t="n">
        <v>98234.2828022976</v>
      </c>
      <c r="I1259" s="14" t="n">
        <v>0</v>
      </c>
      <c r="J1259" s="14" t="n">
        <v>0</v>
      </c>
      <c r="K1259" s="14" t="n">
        <v>2103.699390575933</v>
      </c>
      <c r="L1259" s="14" t="n">
        <v>0</v>
      </c>
      <c r="M1259" s="14" t="n">
        <v>0</v>
      </c>
      <c r="N1259" s="14" t="n">
        <v>98234.2828022976</v>
      </c>
      <c r="O1259" s="14" t="n">
        <v>100337.9821928736</v>
      </c>
      <c r="P1259" s="14" t="n">
        <v>0</v>
      </c>
      <c r="Q1259" s="14" t="n">
        <v>1486684.24116929</v>
      </c>
      <c r="R1259" s="15">
        <f>IF(D1259=1,"Section 1","Control")</f>
        <v/>
      </c>
      <c r="S1259" s="16">
        <f>N1259/10000</f>
        <v/>
      </c>
      <c r="T1259" s="16">
        <f>P1259/10000</f>
        <v/>
      </c>
      <c r="U1259" s="15">
        <f>IF(N1259&gt;=Summary!$D$3,1,0)</f>
        <v/>
      </c>
      <c r="V1259" s="17">
        <f>IF(N1259&gt;0,P1259/N1259,"")</f>
        <v/>
      </c>
      <c r="W1259" s="17">
        <f>IF(O1259&gt;0,H1259/O1259,"")</f>
        <v/>
      </c>
    </row>
    <row r="1260">
      <c r="A1260" s="13" t="inlineStr">
        <is>
          <t>T45_F</t>
        </is>
      </c>
      <c r="B1260" s="13" t="inlineStr">
        <is>
          <t>T45</t>
        </is>
      </c>
      <c r="C1260" s="13" t="inlineStr">
        <is>
          <t>F</t>
        </is>
      </c>
      <c r="D1260" s="13" t="n">
        <v>1</v>
      </c>
      <c r="E1260" s="13" t="inlineStr">
        <is>
          <t>S1</t>
        </is>
      </c>
      <c r="F1260" s="13" t="n">
        <v>2025</v>
      </c>
      <c r="G1260" s="14" t="n">
        <v>100337.9821928736</v>
      </c>
      <c r="H1260" s="14" t="n">
        <v>301.1918040556066</v>
      </c>
      <c r="I1260" s="14" t="n">
        <v>18156.68953279981</v>
      </c>
      <c r="J1260" s="14" t="n">
        <v>0</v>
      </c>
      <c r="K1260" s="14" t="n">
        <v>81880.10085601811</v>
      </c>
      <c r="L1260" s="14" t="n">
        <v>0</v>
      </c>
      <c r="M1260" s="14" t="n">
        <v>0</v>
      </c>
      <c r="N1260" s="14" t="n">
        <v>98234.2828022976</v>
      </c>
      <c r="O1260" s="14" t="n">
        <v>100337.9821928736</v>
      </c>
      <c r="P1260" s="14" t="n">
        <v>97933.090998242</v>
      </c>
      <c r="Q1260" s="14" t="n">
        <v>1486684.24116929</v>
      </c>
      <c r="R1260" s="15">
        <f>IF(D1260=1,"Section 1","Control")</f>
        <v/>
      </c>
      <c r="S1260" s="16">
        <f>N1260/10000</f>
        <v/>
      </c>
      <c r="T1260" s="16">
        <f>P1260/10000</f>
        <v/>
      </c>
      <c r="U1260" s="15">
        <f>IF(N1260&gt;=Summary!$D$3,1,0)</f>
        <v/>
      </c>
      <c r="V1260" s="17">
        <f>IF(N1260&gt;0,P1260/N1260,"")</f>
        <v/>
      </c>
      <c r="W1260" s="17">
        <f>IF(O1260&gt;0,H1260/O1260,"")</f>
        <v/>
      </c>
    </row>
    <row r="1261">
      <c r="A1261" s="13" t="inlineStr">
        <is>
          <t>T45_F</t>
        </is>
      </c>
      <c r="B1261" s="13" t="inlineStr">
        <is>
          <t>T45</t>
        </is>
      </c>
      <c r="C1261" s="13" t="inlineStr">
        <is>
          <t>F</t>
        </is>
      </c>
      <c r="D1261" s="13" t="n">
        <v>1</v>
      </c>
      <c r="E1261" s="13" t="inlineStr">
        <is>
          <t>S1</t>
        </is>
      </c>
      <c r="F1261" s="13" t="n">
        <v>2026</v>
      </c>
      <c r="G1261" s="14" t="n">
        <v>100337.9821928736</v>
      </c>
      <c r="H1261" s="14" t="n">
        <v>712.7173160627777</v>
      </c>
      <c r="I1261" s="14" t="n">
        <v>45651.11732402128</v>
      </c>
      <c r="J1261" s="14" t="n">
        <v>0</v>
      </c>
      <c r="K1261" s="14" t="n">
        <v>53974.14755278947</v>
      </c>
      <c r="L1261" s="14" t="n">
        <v>0</v>
      </c>
      <c r="M1261" s="14" t="n">
        <v>0</v>
      </c>
      <c r="N1261" s="14" t="n">
        <v>98234.2828022976</v>
      </c>
      <c r="O1261" s="14" t="n">
        <v>100337.9821928736</v>
      </c>
      <c r="P1261" s="14" t="n">
        <v>97521.56548623482</v>
      </c>
      <c r="Q1261" s="14" t="n">
        <v>1486684.24116929</v>
      </c>
      <c r="R1261" s="15">
        <f>IF(D1261=1,"Section 1","Control")</f>
        <v/>
      </c>
      <c r="S1261" s="16">
        <f>N1261/10000</f>
        <v/>
      </c>
      <c r="T1261" s="16">
        <f>P1261/10000</f>
        <v/>
      </c>
      <c r="U1261" s="15">
        <f>IF(N1261&gt;=Summary!$D$3,1,0)</f>
        <v/>
      </c>
      <c r="V1261" s="17">
        <f>IF(N1261&gt;0,P1261/N1261,"")</f>
        <v/>
      </c>
      <c r="W1261" s="17">
        <f>IF(O1261&gt;0,H1261/O1261,"")</f>
        <v/>
      </c>
    </row>
    <row r="1262">
      <c r="A1262" s="13" t="inlineStr">
        <is>
          <t>T46_B1</t>
        </is>
      </c>
      <c r="B1262" s="13" t="inlineStr">
        <is>
          <t>T46</t>
        </is>
      </c>
      <c r="C1262" s="13" t="inlineStr">
        <is>
          <t>B1</t>
        </is>
      </c>
      <c r="D1262" s="13" t="n">
        <v>1</v>
      </c>
      <c r="E1262" s="13" t="inlineStr">
        <is>
          <t>S1</t>
        </is>
      </c>
      <c r="F1262" s="13" t="n">
        <v>2020</v>
      </c>
      <c r="G1262" s="14" t="n">
        <v>1014102.252024991</v>
      </c>
      <c r="H1262" s="14" t="n">
        <v>584445.3561009725</v>
      </c>
      <c r="I1262" s="14" t="n">
        <v>132981.1330596026</v>
      </c>
      <c r="J1262" s="14" t="n">
        <v>33427.56337100759</v>
      </c>
      <c r="K1262" s="14" t="n">
        <v>248165.223856249</v>
      </c>
      <c r="L1262" s="14" t="n">
        <v>15082.97563715916</v>
      </c>
      <c r="M1262" s="14" t="n">
        <v>0</v>
      </c>
      <c r="N1262" s="14" t="n">
        <v>584445.3561009725</v>
      </c>
      <c r="O1262" s="14" t="n">
        <v>999019.2763878314</v>
      </c>
      <c r="P1262" s="14" t="n">
        <v>0</v>
      </c>
      <c r="Q1262" s="14" t="n">
        <v>11281810.81487786</v>
      </c>
      <c r="R1262" s="15">
        <f>IF(D1262=1,"Section 1","Control")</f>
        <v/>
      </c>
      <c r="S1262" s="16">
        <f>N1262/10000</f>
        <v/>
      </c>
      <c r="T1262" s="16">
        <f>P1262/10000</f>
        <v/>
      </c>
      <c r="U1262" s="15">
        <f>IF(N1262&gt;=Summary!$D$3,1,0)</f>
        <v/>
      </c>
      <c r="V1262" s="17">
        <f>IF(N1262&gt;0,P1262/N1262,"")</f>
        <v/>
      </c>
      <c r="W1262" s="17">
        <f>IF(O1262&gt;0,H1262/O1262,"")</f>
        <v/>
      </c>
    </row>
    <row r="1263">
      <c r="A1263" s="13" t="inlineStr">
        <is>
          <t>T46_B1</t>
        </is>
      </c>
      <c r="B1263" s="13" t="inlineStr">
        <is>
          <t>T46</t>
        </is>
      </c>
      <c r="C1263" s="13" t="inlineStr">
        <is>
          <t>B1</t>
        </is>
      </c>
      <c r="D1263" s="13" t="n">
        <v>1</v>
      </c>
      <c r="E1263" s="13" t="inlineStr">
        <is>
          <t>S1</t>
        </is>
      </c>
      <c r="F1263" s="13" t="n">
        <v>2021</v>
      </c>
      <c r="G1263" s="14" t="n">
        <v>1014102.25202499</v>
      </c>
      <c r="H1263" s="14" t="n">
        <v>560475.0560137581</v>
      </c>
      <c r="I1263" s="14" t="n">
        <v>145047.8720432057</v>
      </c>
      <c r="J1263" s="14" t="n">
        <v>33427.56337100759</v>
      </c>
      <c r="K1263" s="14" t="n">
        <v>264238.6691314997</v>
      </c>
      <c r="L1263" s="14" t="n">
        <v>10913.09146551992</v>
      </c>
      <c r="M1263" s="14" t="n">
        <v>0</v>
      </c>
      <c r="N1263" s="14" t="n">
        <v>584445.3561009725</v>
      </c>
      <c r="O1263" s="14" t="n">
        <v>999019.2763878314</v>
      </c>
      <c r="P1263" s="14" t="n">
        <v>24661.34146142099</v>
      </c>
      <c r="Q1263" s="14" t="n">
        <v>11281810.81487786</v>
      </c>
      <c r="R1263" s="15">
        <f>IF(D1263=1,"Section 1","Control")</f>
        <v/>
      </c>
      <c r="S1263" s="16">
        <f>N1263/10000</f>
        <v/>
      </c>
      <c r="T1263" s="16">
        <f>P1263/10000</f>
        <v/>
      </c>
      <c r="U1263" s="15">
        <f>IF(N1263&gt;=Summary!$D$3,1,0)</f>
        <v/>
      </c>
      <c r="V1263" s="17">
        <f>IF(N1263&gt;0,P1263/N1263,"")</f>
        <v/>
      </c>
      <c r="W1263" s="17">
        <f>IF(O1263&gt;0,H1263/O1263,"")</f>
        <v/>
      </c>
    </row>
    <row r="1264">
      <c r="A1264" s="13" t="inlineStr">
        <is>
          <t>T46_B1</t>
        </is>
      </c>
      <c r="B1264" s="13" t="inlineStr">
        <is>
          <t>T46</t>
        </is>
      </c>
      <c r="C1264" s="13" t="inlineStr">
        <is>
          <t>B1</t>
        </is>
      </c>
      <c r="D1264" s="13" t="n">
        <v>1</v>
      </c>
      <c r="E1264" s="13" t="inlineStr">
        <is>
          <t>S1</t>
        </is>
      </c>
      <c r="F1264" s="13" t="n">
        <v>2022</v>
      </c>
      <c r="G1264" s="14" t="n">
        <v>1014102.252024991</v>
      </c>
      <c r="H1264" s="14" t="n">
        <v>550572.8468311683</v>
      </c>
      <c r="I1264" s="14" t="n">
        <v>130798.0952018888</v>
      </c>
      <c r="J1264" s="14" t="n">
        <v>33427.56337100759</v>
      </c>
      <c r="K1264" s="14" t="n">
        <v>287457.64754887</v>
      </c>
      <c r="L1264" s="14" t="n">
        <v>11846.09907205619</v>
      </c>
      <c r="M1264" s="14" t="n">
        <v>0</v>
      </c>
      <c r="N1264" s="14" t="n">
        <v>584445.3561009725</v>
      </c>
      <c r="O1264" s="14" t="n">
        <v>999019.2763878314</v>
      </c>
      <c r="P1264" s="14" t="n">
        <v>34366.1108323041</v>
      </c>
      <c r="Q1264" s="14" t="n">
        <v>11281810.81487786</v>
      </c>
      <c r="R1264" s="15">
        <f>IF(D1264=1,"Section 1","Control")</f>
        <v/>
      </c>
      <c r="S1264" s="16">
        <f>N1264/10000</f>
        <v/>
      </c>
      <c r="T1264" s="16">
        <f>P1264/10000</f>
        <v/>
      </c>
      <c r="U1264" s="15">
        <f>IF(N1264&gt;=Summary!$D$3,1,0)</f>
        <v/>
      </c>
      <c r="V1264" s="17">
        <f>IF(N1264&gt;0,P1264/N1264,"")</f>
        <v/>
      </c>
      <c r="W1264" s="17">
        <f>IF(O1264&gt;0,H1264/O1264,"")</f>
        <v/>
      </c>
    </row>
    <row r="1265">
      <c r="A1265" s="13" t="inlineStr">
        <is>
          <t>T46_B1</t>
        </is>
      </c>
      <c r="B1265" s="13" t="inlineStr">
        <is>
          <t>T46</t>
        </is>
      </c>
      <c r="C1265" s="13" t="inlineStr">
        <is>
          <t>B1</t>
        </is>
      </c>
      <c r="D1265" s="13" t="n">
        <v>1</v>
      </c>
      <c r="E1265" s="13" t="inlineStr">
        <is>
          <t>S1</t>
        </is>
      </c>
      <c r="F1265" s="13" t="n">
        <v>2023</v>
      </c>
      <c r="G1265" s="14" t="n">
        <v>1014102.25202499</v>
      </c>
      <c r="H1265" s="14" t="n">
        <v>541885.0985428754</v>
      </c>
      <c r="I1265" s="14" t="n">
        <v>130045.4829008813</v>
      </c>
      <c r="J1265" s="14" t="n">
        <v>33427.56337100759</v>
      </c>
      <c r="K1265" s="14" t="n">
        <v>289356.5216846541</v>
      </c>
      <c r="L1265" s="14" t="n">
        <v>19387.58552557253</v>
      </c>
      <c r="M1265" s="14" t="n">
        <v>0</v>
      </c>
      <c r="N1265" s="14" t="n">
        <v>584445.3561009725</v>
      </c>
      <c r="O1265" s="14" t="n">
        <v>999019.2763878314</v>
      </c>
      <c r="P1265" s="14" t="n">
        <v>42658.97772716446</v>
      </c>
      <c r="Q1265" s="14" t="n">
        <v>11281810.81487786</v>
      </c>
      <c r="R1265" s="15">
        <f>IF(D1265=1,"Section 1","Control")</f>
        <v/>
      </c>
      <c r="S1265" s="16">
        <f>N1265/10000</f>
        <v/>
      </c>
      <c r="T1265" s="16">
        <f>P1265/10000</f>
        <v/>
      </c>
      <c r="U1265" s="15">
        <f>IF(N1265&gt;=Summary!$D$3,1,0)</f>
        <v/>
      </c>
      <c r="V1265" s="17">
        <f>IF(N1265&gt;0,P1265/N1265,"")</f>
        <v/>
      </c>
      <c r="W1265" s="17">
        <f>IF(O1265&gt;0,H1265/O1265,"")</f>
        <v/>
      </c>
    </row>
    <row r="1266">
      <c r="A1266" s="13" t="inlineStr">
        <is>
          <t>T46_B1</t>
        </is>
      </c>
      <c r="B1266" s="13" t="inlineStr">
        <is>
          <t>T46</t>
        </is>
      </c>
      <c r="C1266" s="13" t="inlineStr">
        <is>
          <t>B1</t>
        </is>
      </c>
      <c r="D1266" s="13" t="n">
        <v>1</v>
      </c>
      <c r="E1266" s="13" t="inlineStr">
        <is>
          <t>S1</t>
        </is>
      </c>
      <c r="F1266" s="13" t="n">
        <v>2024</v>
      </c>
      <c r="G1266" s="14" t="n">
        <v>1014102.252024991</v>
      </c>
      <c r="H1266" s="14" t="n">
        <v>538266.1401940738</v>
      </c>
      <c r="I1266" s="14" t="n">
        <v>139611.3204682294</v>
      </c>
      <c r="J1266" s="14" t="n">
        <v>33427.56337100759</v>
      </c>
      <c r="K1266" s="14" t="n">
        <v>294213.9451870488</v>
      </c>
      <c r="L1266" s="14" t="n">
        <v>8583.28280463125</v>
      </c>
      <c r="M1266" s="14" t="n">
        <v>0</v>
      </c>
      <c r="N1266" s="14" t="n">
        <v>584445.3561009725</v>
      </c>
      <c r="O1266" s="14" t="n">
        <v>999019.2763878314</v>
      </c>
      <c r="P1266" s="14" t="n">
        <v>46475.37655905929</v>
      </c>
      <c r="Q1266" s="14" t="n">
        <v>11281810.81487786</v>
      </c>
      <c r="R1266" s="15">
        <f>IF(D1266=1,"Section 1","Control")</f>
        <v/>
      </c>
      <c r="S1266" s="16">
        <f>N1266/10000</f>
        <v/>
      </c>
      <c r="T1266" s="16">
        <f>P1266/10000</f>
        <v/>
      </c>
      <c r="U1266" s="15">
        <f>IF(N1266&gt;=Summary!$D$3,1,0)</f>
        <v/>
      </c>
      <c r="V1266" s="17">
        <f>IF(N1266&gt;0,P1266/N1266,"")</f>
        <v/>
      </c>
      <c r="W1266" s="17">
        <f>IF(O1266&gt;0,H1266/O1266,"")</f>
        <v/>
      </c>
    </row>
    <row r="1267">
      <c r="A1267" s="13" t="inlineStr">
        <is>
          <t>T46_B1</t>
        </is>
      </c>
      <c r="B1267" s="13" t="inlineStr">
        <is>
          <t>T46</t>
        </is>
      </c>
      <c r="C1267" s="13" t="inlineStr">
        <is>
          <t>B1</t>
        </is>
      </c>
      <c r="D1267" s="13" t="n">
        <v>1</v>
      </c>
      <c r="E1267" s="13" t="inlineStr">
        <is>
          <t>S1</t>
        </is>
      </c>
      <c r="F1267" s="13" t="n">
        <v>2025</v>
      </c>
      <c r="G1267" s="14" t="n">
        <v>1014102.25202499</v>
      </c>
      <c r="H1267" s="14" t="n">
        <v>513058.1476691152</v>
      </c>
      <c r="I1267" s="14" t="n">
        <v>151302.8871653837</v>
      </c>
      <c r="J1267" s="14" t="n">
        <v>33427.56337100759</v>
      </c>
      <c r="K1267" s="14" t="n">
        <v>305767.5713385189</v>
      </c>
      <c r="L1267" s="14" t="n">
        <v>10546.08248096541</v>
      </c>
      <c r="M1267" s="14" t="n">
        <v>0</v>
      </c>
      <c r="N1267" s="14" t="n">
        <v>584445.3561009725</v>
      </c>
      <c r="O1267" s="14" t="n">
        <v>999019.2763878314</v>
      </c>
      <c r="P1267" s="14" t="n">
        <v>72078.25039352715</v>
      </c>
      <c r="Q1267" s="14" t="n">
        <v>11281810.81487786</v>
      </c>
      <c r="R1267" s="15">
        <f>IF(D1267=1,"Section 1","Control")</f>
        <v/>
      </c>
      <c r="S1267" s="16">
        <f>N1267/10000</f>
        <v/>
      </c>
      <c r="T1267" s="16">
        <f>P1267/10000</f>
        <v/>
      </c>
      <c r="U1267" s="15">
        <f>IF(N1267&gt;=Summary!$D$3,1,0)</f>
        <v/>
      </c>
      <c r="V1267" s="17">
        <f>IF(N1267&gt;0,P1267/N1267,"")</f>
        <v/>
      </c>
      <c r="W1267" s="17">
        <f>IF(O1267&gt;0,H1267/O1267,"")</f>
        <v/>
      </c>
    </row>
    <row r="1268">
      <c r="A1268" s="13" t="inlineStr">
        <is>
          <t>T46_B1</t>
        </is>
      </c>
      <c r="B1268" s="13" t="inlineStr">
        <is>
          <t>T46</t>
        </is>
      </c>
      <c r="C1268" s="13" t="inlineStr">
        <is>
          <t>B1</t>
        </is>
      </c>
      <c r="D1268" s="13" t="n">
        <v>1</v>
      </c>
      <c r="E1268" s="13" t="inlineStr">
        <is>
          <t>S1</t>
        </is>
      </c>
      <c r="F1268" s="13" t="n">
        <v>2026</v>
      </c>
      <c r="G1268" s="14" t="n">
        <v>1014102.252024991</v>
      </c>
      <c r="H1268" s="14" t="n">
        <v>516699.5664331772</v>
      </c>
      <c r="I1268" s="14" t="n">
        <v>131340.8649693807</v>
      </c>
      <c r="J1268" s="14" t="n">
        <v>33427.56337100759</v>
      </c>
      <c r="K1268" s="14" t="n">
        <v>318574.8794565239</v>
      </c>
      <c r="L1268" s="14" t="n">
        <v>14059.37779490153</v>
      </c>
      <c r="M1268" s="14" t="n">
        <v>0</v>
      </c>
      <c r="N1268" s="14" t="n">
        <v>584445.3561009725</v>
      </c>
      <c r="O1268" s="14" t="n">
        <v>999019.2763878314</v>
      </c>
      <c r="P1268" s="14" t="n">
        <v>71201.0000636082</v>
      </c>
      <c r="Q1268" s="14" t="n">
        <v>11281810.81487786</v>
      </c>
      <c r="R1268" s="15">
        <f>IF(D1268=1,"Section 1","Control")</f>
        <v/>
      </c>
      <c r="S1268" s="16">
        <f>N1268/10000</f>
        <v/>
      </c>
      <c r="T1268" s="16">
        <f>P1268/10000</f>
        <v/>
      </c>
      <c r="U1268" s="15">
        <f>IF(N1268&gt;=Summary!$D$3,1,0)</f>
        <v/>
      </c>
      <c r="V1268" s="17">
        <f>IF(N1268&gt;0,P1268/N1268,"")</f>
        <v/>
      </c>
      <c r="W1268" s="17">
        <f>IF(O1268&gt;0,H1268/O1268,"")</f>
        <v/>
      </c>
    </row>
    <row r="1269">
      <c r="A1269" s="13" t="inlineStr">
        <is>
          <t>T46_B2</t>
        </is>
      </c>
      <c r="B1269" s="13" t="inlineStr">
        <is>
          <t>T46</t>
        </is>
      </c>
      <c r="C1269" s="13" t="inlineStr">
        <is>
          <t>B2</t>
        </is>
      </c>
      <c r="D1269" s="13" t="n">
        <v>1</v>
      </c>
      <c r="E1269" s="13" t="inlineStr">
        <is>
          <t>S1</t>
        </is>
      </c>
      <c r="F1269" s="13" t="n">
        <v>2020</v>
      </c>
      <c r="G1269" s="14" t="n">
        <v>1013668.266474047</v>
      </c>
      <c r="H1269" s="14" t="n">
        <v>506866.7743826172</v>
      </c>
      <c r="I1269" s="14" t="n">
        <v>5208.195414255178</v>
      </c>
      <c r="J1269" s="14" t="n">
        <v>0</v>
      </c>
      <c r="K1269" s="14" t="n">
        <v>0</v>
      </c>
      <c r="L1269" s="14" t="n">
        <v>501593.2966771744</v>
      </c>
      <c r="M1269" s="14" t="n">
        <v>0</v>
      </c>
      <c r="N1269" s="14" t="n">
        <v>506866.7743826172</v>
      </c>
      <c r="O1269" s="14" t="n">
        <v>512074.9697968724</v>
      </c>
      <c r="P1269" s="14" t="n">
        <v>0</v>
      </c>
      <c r="Q1269" s="14" t="n">
        <v>8104312.048034905</v>
      </c>
      <c r="R1269" s="15">
        <f>IF(D1269=1,"Section 1","Control")</f>
        <v/>
      </c>
      <c r="S1269" s="16">
        <f>N1269/10000</f>
        <v/>
      </c>
      <c r="T1269" s="16">
        <f>P1269/10000</f>
        <v/>
      </c>
      <c r="U1269" s="15">
        <f>IF(N1269&gt;=Summary!$D$3,1,0)</f>
        <v/>
      </c>
      <c r="V1269" s="17">
        <f>IF(N1269&gt;0,P1269/N1269,"")</f>
        <v/>
      </c>
      <c r="W1269" s="17">
        <f>IF(O1269&gt;0,H1269/O1269,"")</f>
        <v/>
      </c>
    </row>
    <row r="1270">
      <c r="A1270" s="13" t="inlineStr">
        <is>
          <t>T46_B2</t>
        </is>
      </c>
      <c r="B1270" s="13" t="inlineStr">
        <is>
          <t>T46</t>
        </is>
      </c>
      <c r="C1270" s="13" t="inlineStr">
        <is>
          <t>B2</t>
        </is>
      </c>
      <c r="D1270" s="13" t="n">
        <v>1</v>
      </c>
      <c r="E1270" s="13" t="inlineStr">
        <is>
          <t>S1</t>
        </is>
      </c>
      <c r="F1270" s="13" t="n">
        <v>2021</v>
      </c>
      <c r="G1270" s="14" t="n">
        <v>1013668.266474047</v>
      </c>
      <c r="H1270" s="14" t="n">
        <v>480552.6950926835</v>
      </c>
      <c r="I1270" s="14" t="n">
        <v>5585.269873615339</v>
      </c>
      <c r="J1270" s="14" t="n">
        <v>0</v>
      </c>
      <c r="K1270" s="14" t="n">
        <v>26412.80013801724</v>
      </c>
      <c r="L1270" s="14" t="n">
        <v>501117.5013697307</v>
      </c>
      <c r="M1270" s="14" t="n">
        <v>0</v>
      </c>
      <c r="N1270" s="14" t="n">
        <v>506866.7743826173</v>
      </c>
      <c r="O1270" s="14" t="n">
        <v>512074.9697968724</v>
      </c>
      <c r="P1270" s="14" t="n">
        <v>26314.07928993375</v>
      </c>
      <c r="Q1270" s="14" t="n">
        <v>8104312.048034905</v>
      </c>
      <c r="R1270" s="15">
        <f>IF(D1270=1,"Section 1","Control")</f>
        <v/>
      </c>
      <c r="S1270" s="16">
        <f>N1270/10000</f>
        <v/>
      </c>
      <c r="T1270" s="16">
        <f>P1270/10000</f>
        <v/>
      </c>
      <c r="U1270" s="15">
        <f>IF(N1270&gt;=Summary!$D$3,1,0)</f>
        <v/>
      </c>
      <c r="V1270" s="17">
        <f>IF(N1270&gt;0,P1270/N1270,"")</f>
        <v/>
      </c>
      <c r="W1270" s="17">
        <f>IF(O1270&gt;0,H1270/O1270,"")</f>
        <v/>
      </c>
    </row>
    <row r="1271">
      <c r="A1271" s="13" t="inlineStr">
        <is>
          <t>T46_B2</t>
        </is>
      </c>
      <c r="B1271" s="13" t="inlineStr">
        <is>
          <t>T46</t>
        </is>
      </c>
      <c r="C1271" s="13" t="inlineStr">
        <is>
          <t>B2</t>
        </is>
      </c>
      <c r="D1271" s="13" t="n">
        <v>1</v>
      </c>
      <c r="E1271" s="13" t="inlineStr">
        <is>
          <t>S1</t>
        </is>
      </c>
      <c r="F1271" s="13" t="n">
        <v>2022</v>
      </c>
      <c r="G1271" s="14" t="n">
        <v>1013668.266474047</v>
      </c>
      <c r="H1271" s="14" t="n">
        <v>455978.8428408754</v>
      </c>
      <c r="I1271" s="14" t="n">
        <v>10821.52686731675</v>
      </c>
      <c r="J1271" s="14" t="n">
        <v>0</v>
      </c>
      <c r="K1271" s="14" t="n">
        <v>43368.32219585344</v>
      </c>
      <c r="L1271" s="14" t="n">
        <v>503499.5745700015</v>
      </c>
      <c r="M1271" s="14" t="n">
        <v>0</v>
      </c>
      <c r="N1271" s="14" t="n">
        <v>506866.7743826172</v>
      </c>
      <c r="O1271" s="14" t="n">
        <v>512074.9697968724</v>
      </c>
      <c r="P1271" s="14" t="n">
        <v>50887.93154174205</v>
      </c>
      <c r="Q1271" s="14" t="n">
        <v>8104312.048034905</v>
      </c>
      <c r="R1271" s="15">
        <f>IF(D1271=1,"Section 1","Control")</f>
        <v/>
      </c>
      <c r="S1271" s="16">
        <f>N1271/10000</f>
        <v/>
      </c>
      <c r="T1271" s="16">
        <f>P1271/10000</f>
        <v/>
      </c>
      <c r="U1271" s="15">
        <f>IF(N1271&gt;=Summary!$D$3,1,0)</f>
        <v/>
      </c>
      <c r="V1271" s="17">
        <f>IF(N1271&gt;0,P1271/N1271,"")</f>
        <v/>
      </c>
      <c r="W1271" s="17">
        <f>IF(O1271&gt;0,H1271/O1271,"")</f>
        <v/>
      </c>
    </row>
    <row r="1272">
      <c r="A1272" s="13" t="inlineStr">
        <is>
          <t>T46_B2</t>
        </is>
      </c>
      <c r="B1272" s="13" t="inlineStr">
        <is>
          <t>T46</t>
        </is>
      </c>
      <c r="C1272" s="13" t="inlineStr">
        <is>
          <t>B2</t>
        </is>
      </c>
      <c r="D1272" s="13" t="n">
        <v>1</v>
      </c>
      <c r="E1272" s="13" t="inlineStr">
        <is>
          <t>S1</t>
        </is>
      </c>
      <c r="F1272" s="13" t="n">
        <v>2023</v>
      </c>
      <c r="G1272" s="14" t="n">
        <v>1013668.266474047</v>
      </c>
      <c r="H1272" s="14" t="n">
        <v>452254.6545689602</v>
      </c>
      <c r="I1272" s="14" t="n">
        <v>7348.541565300437</v>
      </c>
      <c r="J1272" s="14" t="n">
        <v>0</v>
      </c>
      <c r="K1272" s="14" t="n">
        <v>48980.9314103968</v>
      </c>
      <c r="L1272" s="14" t="n">
        <v>505084.1389293897</v>
      </c>
      <c r="M1272" s="14" t="n">
        <v>0</v>
      </c>
      <c r="N1272" s="14" t="n">
        <v>506866.7743826173</v>
      </c>
      <c r="O1272" s="14" t="n">
        <v>512074.9697968724</v>
      </c>
      <c r="P1272" s="14" t="n">
        <v>54612.11981365726</v>
      </c>
      <c r="Q1272" s="14" t="n">
        <v>8104312.048034905</v>
      </c>
      <c r="R1272" s="15">
        <f>IF(D1272=1,"Section 1","Control")</f>
        <v/>
      </c>
      <c r="S1272" s="16">
        <f>N1272/10000</f>
        <v/>
      </c>
      <c r="T1272" s="16">
        <f>P1272/10000</f>
        <v/>
      </c>
      <c r="U1272" s="15">
        <f>IF(N1272&gt;=Summary!$D$3,1,0)</f>
        <v/>
      </c>
      <c r="V1272" s="17">
        <f>IF(N1272&gt;0,P1272/N1272,"")</f>
        <v/>
      </c>
      <c r="W1272" s="17">
        <f>IF(O1272&gt;0,H1272/O1272,"")</f>
        <v/>
      </c>
    </row>
    <row r="1273">
      <c r="A1273" s="13" t="inlineStr">
        <is>
          <t>T46_B2</t>
        </is>
      </c>
      <c r="B1273" s="13" t="inlineStr">
        <is>
          <t>T46</t>
        </is>
      </c>
      <c r="C1273" s="13" t="inlineStr">
        <is>
          <t>B2</t>
        </is>
      </c>
      <c r="D1273" s="13" t="n">
        <v>1</v>
      </c>
      <c r="E1273" s="13" t="inlineStr">
        <is>
          <t>S1</t>
        </is>
      </c>
      <c r="F1273" s="13" t="n">
        <v>2024</v>
      </c>
      <c r="G1273" s="14" t="n">
        <v>1013668.266474047</v>
      </c>
      <c r="H1273" s="14" t="n">
        <v>443949.9463400748</v>
      </c>
      <c r="I1273" s="14" t="n">
        <v>8655.952527603449</v>
      </c>
      <c r="J1273" s="14" t="n">
        <v>0</v>
      </c>
      <c r="K1273" s="14" t="n">
        <v>58716.85768046658</v>
      </c>
      <c r="L1273" s="14" t="n">
        <v>502345.5099259022</v>
      </c>
      <c r="M1273" s="14" t="n">
        <v>0</v>
      </c>
      <c r="N1273" s="14" t="n">
        <v>506866.7743826172</v>
      </c>
      <c r="O1273" s="14" t="n">
        <v>512074.9697968724</v>
      </c>
      <c r="P1273" s="14" t="n">
        <v>62916.82804254269</v>
      </c>
      <c r="Q1273" s="14" t="n">
        <v>8104312.048034905</v>
      </c>
      <c r="R1273" s="15">
        <f>IF(D1273=1,"Section 1","Control")</f>
        <v/>
      </c>
      <c r="S1273" s="16">
        <f>N1273/10000</f>
        <v/>
      </c>
      <c r="T1273" s="16">
        <f>P1273/10000</f>
        <v/>
      </c>
      <c r="U1273" s="15">
        <f>IF(N1273&gt;=Summary!$D$3,1,0)</f>
        <v/>
      </c>
      <c r="V1273" s="17">
        <f>IF(N1273&gt;0,P1273/N1273,"")</f>
        <v/>
      </c>
      <c r="W1273" s="17">
        <f>IF(O1273&gt;0,H1273/O1273,"")</f>
        <v/>
      </c>
    </row>
    <row r="1274">
      <c r="A1274" s="13" t="inlineStr">
        <is>
          <t>T46_B2</t>
        </is>
      </c>
      <c r="B1274" s="13" t="inlineStr">
        <is>
          <t>T46</t>
        </is>
      </c>
      <c r="C1274" s="13" t="inlineStr">
        <is>
          <t>B2</t>
        </is>
      </c>
      <c r="D1274" s="13" t="n">
        <v>1</v>
      </c>
      <c r="E1274" s="13" t="inlineStr">
        <is>
          <t>S1</t>
        </is>
      </c>
      <c r="F1274" s="13" t="n">
        <v>2025</v>
      </c>
      <c r="G1274" s="14" t="n">
        <v>1013668.266474047</v>
      </c>
      <c r="H1274" s="14" t="n">
        <v>424252.7528412165</v>
      </c>
      <c r="I1274" s="14" t="n">
        <v>18521.99125120874</v>
      </c>
      <c r="J1274" s="14" t="n">
        <v>0</v>
      </c>
      <c r="K1274" s="14" t="n">
        <v>69999.01358857995</v>
      </c>
      <c r="L1274" s="14" t="n">
        <v>500894.5087930419</v>
      </c>
      <c r="M1274" s="14" t="n">
        <v>0</v>
      </c>
      <c r="N1274" s="14" t="n">
        <v>506866.7743826173</v>
      </c>
      <c r="O1274" s="14" t="n">
        <v>512074.9697968724</v>
      </c>
      <c r="P1274" s="14" t="n">
        <v>82614.02154140097</v>
      </c>
      <c r="Q1274" s="14" t="n">
        <v>8104312.048034905</v>
      </c>
      <c r="R1274" s="15">
        <f>IF(D1274=1,"Section 1","Control")</f>
        <v/>
      </c>
      <c r="S1274" s="16">
        <f>N1274/10000</f>
        <v/>
      </c>
      <c r="T1274" s="16">
        <f>P1274/10000</f>
        <v/>
      </c>
      <c r="U1274" s="15">
        <f>IF(N1274&gt;=Summary!$D$3,1,0)</f>
        <v/>
      </c>
      <c r="V1274" s="17">
        <f>IF(N1274&gt;0,P1274/N1274,"")</f>
        <v/>
      </c>
      <c r="W1274" s="17">
        <f>IF(O1274&gt;0,H1274/O1274,"")</f>
        <v/>
      </c>
    </row>
    <row r="1275">
      <c r="A1275" s="13" t="inlineStr">
        <is>
          <t>T46_B2</t>
        </is>
      </c>
      <c r="B1275" s="13" t="inlineStr">
        <is>
          <t>T46</t>
        </is>
      </c>
      <c r="C1275" s="13" t="inlineStr">
        <is>
          <t>B2</t>
        </is>
      </c>
      <c r="D1275" s="13" t="n">
        <v>1</v>
      </c>
      <c r="E1275" s="13" t="inlineStr">
        <is>
          <t>S1</t>
        </is>
      </c>
      <c r="F1275" s="13" t="n">
        <v>2026</v>
      </c>
      <c r="G1275" s="14" t="n">
        <v>1013668.266474047</v>
      </c>
      <c r="H1275" s="14" t="n">
        <v>417892.9871622422</v>
      </c>
      <c r="I1275" s="14" t="n">
        <v>17521.99613853903</v>
      </c>
      <c r="J1275" s="14" t="n">
        <v>0</v>
      </c>
      <c r="K1275" s="14" t="n">
        <v>75931.38879358626</v>
      </c>
      <c r="L1275" s="14" t="n">
        <v>502321.8943796794</v>
      </c>
      <c r="M1275" s="14" t="n">
        <v>0</v>
      </c>
      <c r="N1275" s="14" t="n">
        <v>506866.7743826173</v>
      </c>
      <c r="O1275" s="14" t="n">
        <v>512074.9697968724</v>
      </c>
      <c r="P1275" s="14" t="n">
        <v>88973.78722037522</v>
      </c>
      <c r="Q1275" s="14" t="n">
        <v>8104312.048034905</v>
      </c>
      <c r="R1275" s="15">
        <f>IF(D1275=1,"Section 1","Control")</f>
        <v/>
      </c>
      <c r="S1275" s="16">
        <f>N1275/10000</f>
        <v/>
      </c>
      <c r="T1275" s="16">
        <f>P1275/10000</f>
        <v/>
      </c>
      <c r="U1275" s="15">
        <f>IF(N1275&gt;=Summary!$D$3,1,0)</f>
        <v/>
      </c>
      <c r="V1275" s="17">
        <f>IF(N1275&gt;0,P1275/N1275,"")</f>
        <v/>
      </c>
      <c r="W1275" s="17">
        <f>IF(O1275&gt;0,H1275/O1275,"")</f>
        <v/>
      </c>
    </row>
    <row r="1276">
      <c r="A1276" s="13" t="inlineStr">
        <is>
          <t>T46_B3</t>
        </is>
      </c>
      <c r="B1276" s="13" t="inlineStr">
        <is>
          <t>T46</t>
        </is>
      </c>
      <c r="C1276" s="13" t="inlineStr">
        <is>
          <t>B3</t>
        </is>
      </c>
      <c r="D1276" s="13" t="n">
        <v>1</v>
      </c>
      <c r="E1276" s="13" t="inlineStr">
        <is>
          <t>S1</t>
        </is>
      </c>
      <c r="F1276" s="13" t="n">
        <v>2020</v>
      </c>
      <c r="G1276" s="14" t="n">
        <v>8106706.089989424</v>
      </c>
      <c r="H1276" s="14" t="n">
        <v>2549953.571433452</v>
      </c>
      <c r="I1276" s="14" t="n">
        <v>657421.5704367245</v>
      </c>
      <c r="J1276" s="14" t="n">
        <v>0</v>
      </c>
      <c r="K1276" s="14" t="n">
        <v>845127.5511945238</v>
      </c>
      <c r="L1276" s="14" t="n">
        <v>4054203.396924726</v>
      </c>
      <c r="M1276" s="14" t="n">
        <v>0</v>
      </c>
      <c r="N1276" s="14" t="n">
        <v>2549953.571433452</v>
      </c>
      <c r="O1276" s="14" t="n">
        <v>4052502.693064702</v>
      </c>
      <c r="P1276" s="14" t="n">
        <v>0</v>
      </c>
      <c r="Q1276" s="14" t="n">
        <v>33311906.84465054</v>
      </c>
      <c r="R1276" s="15">
        <f>IF(D1276=1,"Section 1","Control")</f>
        <v/>
      </c>
      <c r="S1276" s="16">
        <f>N1276/10000</f>
        <v/>
      </c>
      <c r="T1276" s="16">
        <f>P1276/10000</f>
        <v/>
      </c>
      <c r="U1276" s="15">
        <f>IF(N1276&gt;=Summary!$D$3,1,0)</f>
        <v/>
      </c>
      <c r="V1276" s="17">
        <f>IF(N1276&gt;0,P1276/N1276,"")</f>
        <v/>
      </c>
      <c r="W1276" s="17">
        <f>IF(O1276&gt;0,H1276/O1276,"")</f>
        <v/>
      </c>
    </row>
    <row r="1277">
      <c r="A1277" s="13" t="inlineStr">
        <is>
          <t>T46_B3</t>
        </is>
      </c>
      <c r="B1277" s="13" t="inlineStr">
        <is>
          <t>T46</t>
        </is>
      </c>
      <c r="C1277" s="13" t="inlineStr">
        <is>
          <t>B3</t>
        </is>
      </c>
      <c r="D1277" s="13" t="n">
        <v>1</v>
      </c>
      <c r="E1277" s="13" t="inlineStr">
        <is>
          <t>S1</t>
        </is>
      </c>
      <c r="F1277" s="13" t="n">
        <v>2021</v>
      </c>
      <c r="G1277" s="14" t="n">
        <v>8106706.089989426</v>
      </c>
      <c r="H1277" s="14" t="n">
        <v>2062706.105747448</v>
      </c>
      <c r="I1277" s="14" t="n">
        <v>590540.375484272</v>
      </c>
      <c r="J1277" s="14" t="n">
        <v>0</v>
      </c>
      <c r="K1277" s="14" t="n">
        <v>1400045.918642979</v>
      </c>
      <c r="L1277" s="14" t="n">
        <v>4053413.690114728</v>
      </c>
      <c r="M1277" s="14" t="n">
        <v>0</v>
      </c>
      <c r="N1277" s="14" t="n">
        <v>2549953.571433452</v>
      </c>
      <c r="O1277" s="14" t="n">
        <v>4052502.693064701</v>
      </c>
      <c r="P1277" s="14" t="n">
        <v>654515.7810528026</v>
      </c>
      <c r="Q1277" s="14" t="n">
        <v>33311906.84465054</v>
      </c>
      <c r="R1277" s="15">
        <f>IF(D1277=1,"Section 1","Control")</f>
        <v/>
      </c>
      <c r="S1277" s="16">
        <f>N1277/10000</f>
        <v/>
      </c>
      <c r="T1277" s="16">
        <f>P1277/10000</f>
        <v/>
      </c>
      <c r="U1277" s="15">
        <f>IF(N1277&gt;=Summary!$D$3,1,0)</f>
        <v/>
      </c>
      <c r="V1277" s="17">
        <f>IF(N1277&gt;0,P1277/N1277,"")</f>
        <v/>
      </c>
      <c r="W1277" s="17">
        <f>IF(O1277&gt;0,H1277/O1277,"")</f>
        <v/>
      </c>
    </row>
    <row r="1278">
      <c r="A1278" s="13" t="inlineStr">
        <is>
          <t>T46_B3</t>
        </is>
      </c>
      <c r="B1278" s="13" t="inlineStr">
        <is>
          <t>T46</t>
        </is>
      </c>
      <c r="C1278" s="13" t="inlineStr">
        <is>
          <t>B3</t>
        </is>
      </c>
      <c r="D1278" s="13" t="n">
        <v>1</v>
      </c>
      <c r="E1278" s="13" t="inlineStr">
        <is>
          <t>S1</t>
        </is>
      </c>
      <c r="F1278" s="13" t="n">
        <v>2022</v>
      </c>
      <c r="G1278" s="14" t="n">
        <v>8106706.089989426</v>
      </c>
      <c r="H1278" s="14" t="n">
        <v>1711266.871816777</v>
      </c>
      <c r="I1278" s="14" t="n">
        <v>832800.9988341088</v>
      </c>
      <c r="J1278" s="14" t="n">
        <v>0</v>
      </c>
      <c r="K1278" s="14" t="n">
        <v>1509224.529223813</v>
      </c>
      <c r="L1278" s="14" t="n">
        <v>4053413.690114729</v>
      </c>
      <c r="M1278" s="14" t="n">
        <v>0</v>
      </c>
      <c r="N1278" s="14" t="n">
        <v>2549953.571433452</v>
      </c>
      <c r="O1278" s="14" t="n">
        <v>4052502.693064701</v>
      </c>
      <c r="P1278" s="14" t="n">
        <v>943512.2988361436</v>
      </c>
      <c r="Q1278" s="14" t="n">
        <v>33311906.84465054</v>
      </c>
      <c r="R1278" s="15">
        <f>IF(D1278=1,"Section 1","Control")</f>
        <v/>
      </c>
      <c r="S1278" s="16">
        <f>N1278/10000</f>
        <v/>
      </c>
      <c r="T1278" s="16">
        <f>P1278/10000</f>
        <v/>
      </c>
      <c r="U1278" s="15">
        <f>IF(N1278&gt;=Summary!$D$3,1,0)</f>
        <v/>
      </c>
      <c r="V1278" s="17">
        <f>IF(N1278&gt;0,P1278/N1278,"")</f>
        <v/>
      </c>
      <c r="W1278" s="17">
        <f>IF(O1278&gt;0,H1278/O1278,"")</f>
        <v/>
      </c>
    </row>
    <row r="1279">
      <c r="A1279" s="13" t="inlineStr">
        <is>
          <t>T46_B3</t>
        </is>
      </c>
      <c r="B1279" s="13" t="inlineStr">
        <is>
          <t>T46</t>
        </is>
      </c>
      <c r="C1279" s="13" t="inlineStr">
        <is>
          <t>B3</t>
        </is>
      </c>
      <c r="D1279" s="13" t="n">
        <v>1</v>
      </c>
      <c r="E1279" s="13" t="inlineStr">
        <is>
          <t>S1</t>
        </is>
      </c>
      <c r="F1279" s="13" t="n">
        <v>2023</v>
      </c>
      <c r="G1279" s="14" t="n">
        <v>8106706.089989426</v>
      </c>
      <c r="H1279" s="14" t="n">
        <v>1743616.543804064</v>
      </c>
      <c r="I1279" s="14" t="n">
        <v>898722.3164460424</v>
      </c>
      <c r="J1279" s="14" t="n">
        <v>0</v>
      </c>
      <c r="K1279" s="14" t="n">
        <v>1410953.539624592</v>
      </c>
      <c r="L1279" s="14" t="n">
        <v>4053413.690114729</v>
      </c>
      <c r="M1279" s="14" t="n">
        <v>0</v>
      </c>
      <c r="N1279" s="14" t="n">
        <v>2549953.571433452</v>
      </c>
      <c r="O1279" s="14" t="n">
        <v>4052502.693064701</v>
      </c>
      <c r="P1279" s="14" t="n">
        <v>990542.1302474076</v>
      </c>
      <c r="Q1279" s="14" t="n">
        <v>33311906.84465054</v>
      </c>
      <c r="R1279" s="15">
        <f>IF(D1279=1,"Section 1","Control")</f>
        <v/>
      </c>
      <c r="S1279" s="16">
        <f>N1279/10000</f>
        <v/>
      </c>
      <c r="T1279" s="16">
        <f>P1279/10000</f>
        <v/>
      </c>
      <c r="U1279" s="15">
        <f>IF(N1279&gt;=Summary!$D$3,1,0)</f>
        <v/>
      </c>
      <c r="V1279" s="17">
        <f>IF(N1279&gt;0,P1279/N1279,"")</f>
        <v/>
      </c>
      <c r="W1279" s="17">
        <f>IF(O1279&gt;0,H1279/O1279,"")</f>
        <v/>
      </c>
    </row>
    <row r="1280">
      <c r="A1280" s="13" t="inlineStr">
        <is>
          <t>T46_B3</t>
        </is>
      </c>
      <c r="B1280" s="13" t="inlineStr">
        <is>
          <t>T46</t>
        </is>
      </c>
      <c r="C1280" s="13" t="inlineStr">
        <is>
          <t>B3</t>
        </is>
      </c>
      <c r="D1280" s="13" t="n">
        <v>1</v>
      </c>
      <c r="E1280" s="13" t="inlineStr">
        <is>
          <t>S1</t>
        </is>
      </c>
      <c r="F1280" s="13" t="n">
        <v>2024</v>
      </c>
      <c r="G1280" s="14" t="n">
        <v>8106706.089989426</v>
      </c>
      <c r="H1280" s="14" t="n">
        <v>2083187.015799548</v>
      </c>
      <c r="I1280" s="14" t="n">
        <v>455285.4352442124</v>
      </c>
      <c r="J1280" s="14" t="n">
        <v>0</v>
      </c>
      <c r="K1280" s="14" t="n">
        <v>1514819.948830937</v>
      </c>
      <c r="L1280" s="14" t="n">
        <v>4053413.690114728</v>
      </c>
      <c r="M1280" s="14" t="n">
        <v>0</v>
      </c>
      <c r="N1280" s="14" t="n">
        <v>2549953.571433452</v>
      </c>
      <c r="O1280" s="14" t="n">
        <v>4052502.693064701</v>
      </c>
      <c r="P1280" s="14" t="n">
        <v>891055.4007965687</v>
      </c>
      <c r="Q1280" s="14" t="n">
        <v>33311906.84465054</v>
      </c>
      <c r="R1280" s="15">
        <f>IF(D1280=1,"Section 1","Control")</f>
        <v/>
      </c>
      <c r="S1280" s="16">
        <f>N1280/10000</f>
        <v/>
      </c>
      <c r="T1280" s="16">
        <f>P1280/10000</f>
        <v/>
      </c>
      <c r="U1280" s="15">
        <f>IF(N1280&gt;=Summary!$D$3,1,0)</f>
        <v/>
      </c>
      <c r="V1280" s="17">
        <f>IF(N1280&gt;0,P1280/N1280,"")</f>
        <v/>
      </c>
      <c r="W1280" s="17">
        <f>IF(O1280&gt;0,H1280/O1280,"")</f>
        <v/>
      </c>
    </row>
    <row r="1281">
      <c r="A1281" s="13" t="inlineStr">
        <is>
          <t>T46_B3</t>
        </is>
      </c>
      <c r="B1281" s="13" t="inlineStr">
        <is>
          <t>T46</t>
        </is>
      </c>
      <c r="C1281" s="13" t="inlineStr">
        <is>
          <t>B3</t>
        </is>
      </c>
      <c r="D1281" s="13" t="n">
        <v>1</v>
      </c>
      <c r="E1281" s="13" t="inlineStr">
        <is>
          <t>S1</t>
        </is>
      </c>
      <c r="F1281" s="13" t="n">
        <v>2025</v>
      </c>
      <c r="G1281" s="14" t="n">
        <v>8106706.089989424</v>
      </c>
      <c r="H1281" s="14" t="n">
        <v>1973264.095225584</v>
      </c>
      <c r="I1281" s="14" t="n">
        <v>618232.5476995431</v>
      </c>
      <c r="J1281" s="14" t="n">
        <v>0</v>
      </c>
      <c r="K1281" s="14" t="n">
        <v>1461795.756949571</v>
      </c>
      <c r="L1281" s="14" t="n">
        <v>4053413.690114728</v>
      </c>
      <c r="M1281" s="14" t="n">
        <v>0</v>
      </c>
      <c r="N1281" s="14" t="n">
        <v>2549953.571433452</v>
      </c>
      <c r="O1281" s="14" t="n">
        <v>4052502.693064701</v>
      </c>
      <c r="P1281" s="14" t="n">
        <v>951751.2615880632</v>
      </c>
      <c r="Q1281" s="14" t="n">
        <v>33311906.84465054</v>
      </c>
      <c r="R1281" s="15">
        <f>IF(D1281=1,"Section 1","Control")</f>
        <v/>
      </c>
      <c r="S1281" s="16">
        <f>N1281/10000</f>
        <v/>
      </c>
      <c r="T1281" s="16">
        <f>P1281/10000</f>
        <v/>
      </c>
      <c r="U1281" s="15">
        <f>IF(N1281&gt;=Summary!$D$3,1,0)</f>
        <v/>
      </c>
      <c r="V1281" s="17">
        <f>IF(N1281&gt;0,P1281/N1281,"")</f>
        <v/>
      </c>
      <c r="W1281" s="17">
        <f>IF(O1281&gt;0,H1281/O1281,"")</f>
        <v/>
      </c>
    </row>
    <row r="1282">
      <c r="A1282" s="13" t="inlineStr">
        <is>
          <t>T46_B3</t>
        </is>
      </c>
      <c r="B1282" s="13" t="inlineStr">
        <is>
          <t>T46</t>
        </is>
      </c>
      <c r="C1282" s="13" t="inlineStr">
        <is>
          <t>B3</t>
        </is>
      </c>
      <c r="D1282" s="13" t="n">
        <v>1</v>
      </c>
      <c r="E1282" s="13" t="inlineStr">
        <is>
          <t>S1</t>
        </is>
      </c>
      <c r="F1282" s="13" t="n">
        <v>2026</v>
      </c>
      <c r="G1282" s="14" t="n">
        <v>8106706.089989426</v>
      </c>
      <c r="H1282" s="14" t="n">
        <v>2051146.691981476</v>
      </c>
      <c r="I1282" s="14" t="n">
        <v>372180.448575577</v>
      </c>
      <c r="J1282" s="14" t="n">
        <v>0</v>
      </c>
      <c r="K1282" s="14" t="n">
        <v>1629669.115892657</v>
      </c>
      <c r="L1282" s="14" t="n">
        <v>4053709.833539717</v>
      </c>
      <c r="M1282" s="14" t="n">
        <v>0</v>
      </c>
      <c r="N1282" s="14" t="n">
        <v>2549953.571433452</v>
      </c>
      <c r="O1282" s="14" t="n">
        <v>4052502.693064701</v>
      </c>
      <c r="P1282" s="14" t="n">
        <v>983550.623500779</v>
      </c>
      <c r="Q1282" s="14" t="n">
        <v>33311906.84465054</v>
      </c>
      <c r="R1282" s="15">
        <f>IF(D1282=1,"Section 1","Control")</f>
        <v/>
      </c>
      <c r="S1282" s="16">
        <f>N1282/10000</f>
        <v/>
      </c>
      <c r="T1282" s="16">
        <f>P1282/10000</f>
        <v/>
      </c>
      <c r="U1282" s="15">
        <f>IF(N1282&gt;=Summary!$D$3,1,0)</f>
        <v/>
      </c>
      <c r="V1282" s="17">
        <f>IF(N1282&gt;0,P1282/N1282,"")</f>
        <v/>
      </c>
      <c r="W1282" s="17">
        <f>IF(O1282&gt;0,H1282/O1282,"")</f>
        <v/>
      </c>
    </row>
    <row r="1283">
      <c r="A1283" s="13" t="inlineStr">
        <is>
          <t>T46_F</t>
        </is>
      </c>
      <c r="B1283" s="13" t="inlineStr">
        <is>
          <t>T46</t>
        </is>
      </c>
      <c r="C1283" s="13" t="inlineStr">
        <is>
          <t>F</t>
        </is>
      </c>
      <c r="D1283" s="13" t="n">
        <v>1</v>
      </c>
      <c r="E1283" s="13" t="inlineStr">
        <is>
          <t>S1</t>
        </is>
      </c>
      <c r="F1283" s="13" t="n">
        <v>2020</v>
      </c>
      <c r="G1283" s="14" t="n">
        <v>101765.3837884641</v>
      </c>
      <c r="H1283" s="14" t="n">
        <v>101765.3837884641</v>
      </c>
      <c r="I1283" s="14" t="n">
        <v>0</v>
      </c>
      <c r="J1283" s="14" t="n">
        <v>0</v>
      </c>
      <c r="K1283" s="14" t="n">
        <v>0</v>
      </c>
      <c r="L1283" s="14" t="n">
        <v>0</v>
      </c>
      <c r="M1283" s="14" t="n">
        <v>0</v>
      </c>
      <c r="N1283" s="14" t="n">
        <v>101765.3837884641</v>
      </c>
      <c r="O1283" s="14" t="n">
        <v>101765.3837884641</v>
      </c>
      <c r="P1283" s="14" t="n">
        <v>0</v>
      </c>
      <c r="Q1283" s="14" t="n">
        <v>1486934.426164694</v>
      </c>
      <c r="R1283" s="15">
        <f>IF(D1283=1,"Section 1","Control")</f>
        <v/>
      </c>
      <c r="S1283" s="16">
        <f>N1283/10000</f>
        <v/>
      </c>
      <c r="T1283" s="16">
        <f>P1283/10000</f>
        <v/>
      </c>
      <c r="U1283" s="15">
        <f>IF(N1283&gt;=Summary!$D$3,1,0)</f>
        <v/>
      </c>
      <c r="V1283" s="17">
        <f>IF(N1283&gt;0,P1283/N1283,"")</f>
        <v/>
      </c>
      <c r="W1283" s="17">
        <f>IF(O1283&gt;0,H1283/O1283,"")</f>
        <v/>
      </c>
    </row>
    <row r="1284">
      <c r="A1284" s="13" t="inlineStr">
        <is>
          <t>T46_F</t>
        </is>
      </c>
      <c r="B1284" s="13" t="inlineStr">
        <is>
          <t>T46</t>
        </is>
      </c>
      <c r="C1284" s="13" t="inlineStr">
        <is>
          <t>F</t>
        </is>
      </c>
      <c r="D1284" s="13" t="n">
        <v>1</v>
      </c>
      <c r="E1284" s="13" t="inlineStr">
        <is>
          <t>S1</t>
        </is>
      </c>
      <c r="F1284" s="13" t="n">
        <v>2021</v>
      </c>
      <c r="G1284" s="14" t="n">
        <v>101765.3837884641</v>
      </c>
      <c r="H1284" s="14" t="n">
        <v>101456.8361554912</v>
      </c>
      <c r="I1284" s="14" t="n">
        <v>98.7197265625</v>
      </c>
      <c r="J1284" s="14" t="n">
        <v>0</v>
      </c>
      <c r="K1284" s="14" t="n">
        <v>209.8279064103669</v>
      </c>
      <c r="L1284" s="14" t="n">
        <v>0</v>
      </c>
      <c r="M1284" s="14" t="n">
        <v>0</v>
      </c>
      <c r="N1284" s="14" t="n">
        <v>101765.3837884641</v>
      </c>
      <c r="O1284" s="14" t="n">
        <v>101765.3837884641</v>
      </c>
      <c r="P1284" s="14" t="n">
        <v>308.5476329728669</v>
      </c>
      <c r="Q1284" s="14" t="n">
        <v>1486934.426164695</v>
      </c>
      <c r="R1284" s="15">
        <f>IF(D1284=1,"Section 1","Control")</f>
        <v/>
      </c>
      <c r="S1284" s="16">
        <f>N1284/10000</f>
        <v/>
      </c>
      <c r="T1284" s="16">
        <f>P1284/10000</f>
        <v/>
      </c>
      <c r="U1284" s="15">
        <f>IF(N1284&gt;=Summary!$D$3,1,0)</f>
        <v/>
      </c>
      <c r="V1284" s="17">
        <f>IF(N1284&gt;0,P1284/N1284,"")</f>
        <v/>
      </c>
      <c r="W1284" s="17">
        <f>IF(O1284&gt;0,H1284/O1284,"")</f>
        <v/>
      </c>
    </row>
    <row r="1285">
      <c r="A1285" s="13" t="inlineStr">
        <is>
          <t>T46_F</t>
        </is>
      </c>
      <c r="B1285" s="13" t="inlineStr">
        <is>
          <t>T46</t>
        </is>
      </c>
      <c r="C1285" s="13" t="inlineStr">
        <is>
          <t>F</t>
        </is>
      </c>
      <c r="D1285" s="13" t="n">
        <v>1</v>
      </c>
      <c r="E1285" s="13" t="inlineStr">
        <is>
          <t>S1</t>
        </is>
      </c>
      <c r="F1285" s="13" t="n">
        <v>2022</v>
      </c>
      <c r="G1285" s="14" t="n">
        <v>101765.3837884641</v>
      </c>
      <c r="H1285" s="14" t="n">
        <v>94801.18638877122</v>
      </c>
      <c r="I1285" s="14" t="n">
        <v>3850.071876525879</v>
      </c>
      <c r="J1285" s="14" t="n">
        <v>0</v>
      </c>
      <c r="K1285" s="14" t="n">
        <v>3114.12552316703</v>
      </c>
      <c r="L1285" s="14" t="n">
        <v>0</v>
      </c>
      <c r="M1285" s="14" t="n">
        <v>0</v>
      </c>
      <c r="N1285" s="14" t="n">
        <v>101765.3837884641</v>
      </c>
      <c r="O1285" s="14" t="n">
        <v>101765.3837884641</v>
      </c>
      <c r="P1285" s="14" t="n">
        <v>6964.197399692909</v>
      </c>
      <c r="Q1285" s="14" t="n">
        <v>1486934.426164694</v>
      </c>
      <c r="R1285" s="15">
        <f>IF(D1285=1,"Section 1","Control")</f>
        <v/>
      </c>
      <c r="S1285" s="16">
        <f>N1285/10000</f>
        <v/>
      </c>
      <c r="T1285" s="16">
        <f>P1285/10000</f>
        <v/>
      </c>
      <c r="U1285" s="15">
        <f>IF(N1285&gt;=Summary!$D$3,1,0)</f>
        <v/>
      </c>
      <c r="V1285" s="17">
        <f>IF(N1285&gt;0,P1285/N1285,"")</f>
        <v/>
      </c>
      <c r="W1285" s="17">
        <f>IF(O1285&gt;0,H1285/O1285,"")</f>
        <v/>
      </c>
    </row>
    <row r="1286">
      <c r="A1286" s="13" t="inlineStr">
        <is>
          <t>T46_F</t>
        </is>
      </c>
      <c r="B1286" s="13" t="inlineStr">
        <is>
          <t>T46</t>
        </is>
      </c>
      <c r="C1286" s="13" t="inlineStr">
        <is>
          <t>F</t>
        </is>
      </c>
      <c r="D1286" s="13" t="n">
        <v>1</v>
      </c>
      <c r="E1286" s="13" t="inlineStr">
        <is>
          <t>S1</t>
        </is>
      </c>
      <c r="F1286" s="13" t="n">
        <v>2023</v>
      </c>
      <c r="G1286" s="14" t="n">
        <v>101765.3837884641</v>
      </c>
      <c r="H1286" s="14" t="n">
        <v>93673.07046505796</v>
      </c>
      <c r="I1286" s="14" t="n">
        <v>1776.955863952637</v>
      </c>
      <c r="J1286" s="14" t="n">
        <v>0</v>
      </c>
      <c r="K1286" s="14" t="n">
        <v>6315.357459453508</v>
      </c>
      <c r="L1286" s="14" t="n">
        <v>0</v>
      </c>
      <c r="M1286" s="14" t="n">
        <v>0</v>
      </c>
      <c r="N1286" s="14" t="n">
        <v>101765.3837884641</v>
      </c>
      <c r="O1286" s="14" t="n">
        <v>101765.3837884641</v>
      </c>
      <c r="P1286" s="14" t="n">
        <v>8092.313323406145</v>
      </c>
      <c r="Q1286" s="14" t="n">
        <v>1486934.426164695</v>
      </c>
      <c r="R1286" s="15">
        <f>IF(D1286=1,"Section 1","Control")</f>
        <v/>
      </c>
      <c r="S1286" s="16">
        <f>N1286/10000</f>
        <v/>
      </c>
      <c r="T1286" s="16">
        <f>P1286/10000</f>
        <v/>
      </c>
      <c r="U1286" s="15">
        <f>IF(N1286&gt;=Summary!$D$3,1,0)</f>
        <v/>
      </c>
      <c r="V1286" s="17">
        <f>IF(N1286&gt;0,P1286/N1286,"")</f>
        <v/>
      </c>
      <c r="W1286" s="17">
        <f>IF(O1286&gt;0,H1286/O1286,"")</f>
        <v/>
      </c>
    </row>
    <row r="1287">
      <c r="A1287" s="13" t="inlineStr">
        <is>
          <t>T46_F</t>
        </is>
      </c>
      <c r="B1287" s="13" t="inlineStr">
        <is>
          <t>T46</t>
        </is>
      </c>
      <c r="C1287" s="13" t="inlineStr">
        <is>
          <t>F</t>
        </is>
      </c>
      <c r="D1287" s="13" t="n">
        <v>1</v>
      </c>
      <c r="E1287" s="13" t="inlineStr">
        <is>
          <t>S1</t>
        </is>
      </c>
      <c r="F1287" s="13" t="n">
        <v>2024</v>
      </c>
      <c r="G1287" s="14" t="n">
        <v>101765.3837884641</v>
      </c>
      <c r="H1287" s="14" t="n">
        <v>93056.361801686</v>
      </c>
      <c r="I1287" s="14" t="n">
        <v>0</v>
      </c>
      <c r="J1287" s="14" t="n">
        <v>0</v>
      </c>
      <c r="K1287" s="14" t="n">
        <v>8709.021986778111</v>
      </c>
      <c r="L1287" s="14" t="n">
        <v>0</v>
      </c>
      <c r="M1287" s="14" t="n">
        <v>0</v>
      </c>
      <c r="N1287" s="14" t="n">
        <v>101765.3837884641</v>
      </c>
      <c r="O1287" s="14" t="n">
        <v>101765.3837884641</v>
      </c>
      <c r="P1287" s="14" t="n">
        <v>8709.021986778111</v>
      </c>
      <c r="Q1287" s="14" t="n">
        <v>1486934.426164694</v>
      </c>
      <c r="R1287" s="15">
        <f>IF(D1287=1,"Section 1","Control")</f>
        <v/>
      </c>
      <c r="S1287" s="16">
        <f>N1287/10000</f>
        <v/>
      </c>
      <c r="T1287" s="16">
        <f>P1287/10000</f>
        <v/>
      </c>
      <c r="U1287" s="15">
        <f>IF(N1287&gt;=Summary!$D$3,1,0)</f>
        <v/>
      </c>
      <c r="V1287" s="17">
        <f>IF(N1287&gt;0,P1287/N1287,"")</f>
        <v/>
      </c>
      <c r="W1287" s="17">
        <f>IF(O1287&gt;0,H1287/O1287,"")</f>
        <v/>
      </c>
    </row>
    <row r="1288">
      <c r="A1288" s="13" t="inlineStr">
        <is>
          <t>T46_F</t>
        </is>
      </c>
      <c r="B1288" s="13" t="inlineStr">
        <is>
          <t>T46</t>
        </is>
      </c>
      <c r="C1288" s="13" t="inlineStr">
        <is>
          <t>F</t>
        </is>
      </c>
      <c r="D1288" s="13" t="n">
        <v>1</v>
      </c>
      <c r="E1288" s="13" t="inlineStr">
        <is>
          <t>S1</t>
        </is>
      </c>
      <c r="F1288" s="13" t="n">
        <v>2025</v>
      </c>
      <c r="G1288" s="14" t="n">
        <v>101765.3837884641</v>
      </c>
      <c r="H1288" s="14" t="n">
        <v>74.33026194852941</v>
      </c>
      <c r="I1288" s="14" t="n">
        <v>36806.21327628341</v>
      </c>
      <c r="J1288" s="14" t="n">
        <v>0</v>
      </c>
      <c r="K1288" s="14" t="n">
        <v>64884.84025023216</v>
      </c>
      <c r="L1288" s="14" t="n">
        <v>0</v>
      </c>
      <c r="M1288" s="14" t="n">
        <v>0</v>
      </c>
      <c r="N1288" s="14" t="n">
        <v>101765.3837884641</v>
      </c>
      <c r="O1288" s="14" t="n">
        <v>101765.3837884641</v>
      </c>
      <c r="P1288" s="14" t="n">
        <v>101691.0535265156</v>
      </c>
      <c r="Q1288" s="14" t="n">
        <v>1486934.426164695</v>
      </c>
      <c r="R1288" s="15">
        <f>IF(D1288=1,"Section 1","Control")</f>
        <v/>
      </c>
      <c r="S1288" s="16">
        <f>N1288/10000</f>
        <v/>
      </c>
      <c r="T1288" s="16">
        <f>P1288/10000</f>
        <v/>
      </c>
      <c r="U1288" s="15">
        <f>IF(N1288&gt;=Summary!$D$3,1,0)</f>
        <v/>
      </c>
      <c r="V1288" s="17">
        <f>IF(N1288&gt;0,P1288/N1288,"")</f>
        <v/>
      </c>
      <c r="W1288" s="17">
        <f>IF(O1288&gt;0,H1288/O1288,"")</f>
        <v/>
      </c>
    </row>
    <row r="1289">
      <c r="A1289" s="13" t="inlineStr">
        <is>
          <t>T46_F</t>
        </is>
      </c>
      <c r="B1289" s="13" t="inlineStr">
        <is>
          <t>T46</t>
        </is>
      </c>
      <c r="C1289" s="13" t="inlineStr">
        <is>
          <t>F</t>
        </is>
      </c>
      <c r="D1289" s="13" t="n">
        <v>1</v>
      </c>
      <c r="E1289" s="13" t="inlineStr">
        <is>
          <t>S1</t>
        </is>
      </c>
      <c r="F1289" s="13" t="n">
        <v>2026</v>
      </c>
      <c r="G1289" s="14" t="n">
        <v>101765.3837884641</v>
      </c>
      <c r="H1289" s="14" t="n">
        <v>207.117914686016</v>
      </c>
      <c r="I1289" s="14" t="n">
        <v>42650.04464359657</v>
      </c>
      <c r="J1289" s="14" t="n">
        <v>0</v>
      </c>
      <c r="K1289" s="14" t="n">
        <v>58908.2212301815</v>
      </c>
      <c r="L1289" s="14" t="n">
        <v>0</v>
      </c>
      <c r="M1289" s="14" t="n">
        <v>0</v>
      </c>
      <c r="N1289" s="14" t="n">
        <v>101765.3837884641</v>
      </c>
      <c r="O1289" s="14" t="n">
        <v>101765.3837884641</v>
      </c>
      <c r="P1289" s="14" t="n">
        <v>101558.2658737781</v>
      </c>
      <c r="Q1289" s="14" t="n">
        <v>1486934.426164695</v>
      </c>
      <c r="R1289" s="15">
        <f>IF(D1289=1,"Section 1","Control")</f>
        <v/>
      </c>
      <c r="S1289" s="16">
        <f>N1289/10000</f>
        <v/>
      </c>
      <c r="T1289" s="16">
        <f>P1289/10000</f>
        <v/>
      </c>
      <c r="U1289" s="15">
        <f>IF(N1289&gt;=Summary!$D$3,1,0)</f>
        <v/>
      </c>
      <c r="V1289" s="17">
        <f>IF(N1289&gt;0,P1289/N1289,"")</f>
        <v/>
      </c>
      <c r="W1289" s="17">
        <f>IF(O1289&gt;0,H1289/O1289,"")</f>
        <v/>
      </c>
    </row>
    <row r="1290">
      <c r="A1290" s="13" t="inlineStr">
        <is>
          <t>T47_B1</t>
        </is>
      </c>
      <c r="B1290" s="13" t="inlineStr">
        <is>
          <t>T47</t>
        </is>
      </c>
      <c r="C1290" s="13" t="inlineStr">
        <is>
          <t>B1</t>
        </is>
      </c>
      <c r="D1290" s="13" t="n">
        <v>1</v>
      </c>
      <c r="E1290" s="13" t="inlineStr">
        <is>
          <t>S1</t>
        </is>
      </c>
      <c r="F1290" s="13" t="n">
        <v>2020</v>
      </c>
      <c r="G1290" s="14" t="n">
        <v>1958831.610289001</v>
      </c>
      <c r="H1290" s="14" t="n">
        <v>954403.4395364202</v>
      </c>
      <c r="I1290" s="14" t="n">
        <v>270284.343137195</v>
      </c>
      <c r="J1290" s="14" t="n">
        <v>44824.58977559408</v>
      </c>
      <c r="K1290" s="14" t="n">
        <v>656870.6976069732</v>
      </c>
      <c r="L1290" s="14" t="n">
        <v>32448.5402328192</v>
      </c>
      <c r="M1290" s="14" t="n">
        <v>0</v>
      </c>
      <c r="N1290" s="14" t="n">
        <v>954403.4395364202</v>
      </c>
      <c r="O1290" s="14" t="n">
        <v>1926383.070056182</v>
      </c>
      <c r="P1290" s="14" t="n">
        <v>0</v>
      </c>
      <c r="Q1290" s="14" t="n">
        <v>18085859.49164429</v>
      </c>
      <c r="R1290" s="15">
        <f>IF(D1290=1,"Section 1","Control")</f>
        <v/>
      </c>
      <c r="S1290" s="16">
        <f>N1290/10000</f>
        <v/>
      </c>
      <c r="T1290" s="16">
        <f>P1290/10000</f>
        <v/>
      </c>
      <c r="U1290" s="15">
        <f>IF(N1290&gt;=Summary!$D$3,1,0)</f>
        <v/>
      </c>
      <c r="V1290" s="17">
        <f>IF(N1290&gt;0,P1290/N1290,"")</f>
        <v/>
      </c>
      <c r="W1290" s="17">
        <f>IF(O1290&gt;0,H1290/O1290,"")</f>
        <v/>
      </c>
    </row>
    <row r="1291">
      <c r="A1291" s="13" t="inlineStr">
        <is>
          <t>T47_B1</t>
        </is>
      </c>
      <c r="B1291" s="13" t="inlineStr">
        <is>
          <t>T47</t>
        </is>
      </c>
      <c r="C1291" s="13" t="inlineStr">
        <is>
          <t>B1</t>
        </is>
      </c>
      <c r="D1291" s="13" t="n">
        <v>1</v>
      </c>
      <c r="E1291" s="13" t="inlineStr">
        <is>
          <t>S1</t>
        </is>
      </c>
      <c r="F1291" s="13" t="n">
        <v>2021</v>
      </c>
      <c r="G1291" s="14" t="n">
        <v>1958831.610289001</v>
      </c>
      <c r="H1291" s="14" t="n">
        <v>930836.7132803824</v>
      </c>
      <c r="I1291" s="14" t="n">
        <v>285004.5002692727</v>
      </c>
      <c r="J1291" s="14" t="n">
        <v>44923.31043294271</v>
      </c>
      <c r="K1291" s="14" t="n">
        <v>678452.242666267</v>
      </c>
      <c r="L1291" s="14" t="n">
        <v>19614.84364013672</v>
      </c>
      <c r="M1291" s="14" t="n">
        <v>0</v>
      </c>
      <c r="N1291" s="14" t="n">
        <v>954403.4395364202</v>
      </c>
      <c r="O1291" s="14" t="n">
        <v>1926383.070056182</v>
      </c>
      <c r="P1291" s="14" t="n">
        <v>33864.53327271705</v>
      </c>
      <c r="Q1291" s="14" t="n">
        <v>18085859.49164429</v>
      </c>
      <c r="R1291" s="15">
        <f>IF(D1291=1,"Section 1","Control")</f>
        <v/>
      </c>
      <c r="S1291" s="16">
        <f>N1291/10000</f>
        <v/>
      </c>
      <c r="T1291" s="16">
        <f>P1291/10000</f>
        <v/>
      </c>
      <c r="U1291" s="15">
        <f>IF(N1291&gt;=Summary!$D$3,1,0)</f>
        <v/>
      </c>
      <c r="V1291" s="17">
        <f>IF(N1291&gt;0,P1291/N1291,"")</f>
        <v/>
      </c>
      <c r="W1291" s="17">
        <f>IF(O1291&gt;0,H1291/O1291,"")</f>
        <v/>
      </c>
    </row>
    <row r="1292">
      <c r="A1292" s="13" t="inlineStr">
        <is>
          <t>T47_B1</t>
        </is>
      </c>
      <c r="B1292" s="13" t="inlineStr">
        <is>
          <t>T47</t>
        </is>
      </c>
      <c r="C1292" s="13" t="inlineStr">
        <is>
          <t>B1</t>
        </is>
      </c>
      <c r="D1292" s="13" t="n">
        <v>1</v>
      </c>
      <c r="E1292" s="13" t="inlineStr">
        <is>
          <t>S1</t>
        </is>
      </c>
      <c r="F1292" s="13" t="n">
        <v>2022</v>
      </c>
      <c r="G1292" s="14" t="n">
        <v>1958831.610289001</v>
      </c>
      <c r="H1292" s="14" t="n">
        <v>902906.6897949816</v>
      </c>
      <c r="I1292" s="14" t="n">
        <v>277488.2993296904</v>
      </c>
      <c r="J1292" s="14" t="n">
        <v>44923.31043294271</v>
      </c>
      <c r="K1292" s="14" t="n">
        <v>725139.8559018004</v>
      </c>
      <c r="L1292" s="14" t="n">
        <v>8373.454829586253</v>
      </c>
      <c r="M1292" s="14" t="n">
        <v>0</v>
      </c>
      <c r="N1292" s="14" t="n">
        <v>954403.4395364202</v>
      </c>
      <c r="O1292" s="14" t="n">
        <v>1926383.070056182</v>
      </c>
      <c r="P1292" s="14" t="n">
        <v>61362.12219462675</v>
      </c>
      <c r="Q1292" s="14" t="n">
        <v>18085859.49164429</v>
      </c>
      <c r="R1292" s="15">
        <f>IF(D1292=1,"Section 1","Control")</f>
        <v/>
      </c>
      <c r="S1292" s="16">
        <f>N1292/10000</f>
        <v/>
      </c>
      <c r="T1292" s="16">
        <f>P1292/10000</f>
        <v/>
      </c>
      <c r="U1292" s="15">
        <f>IF(N1292&gt;=Summary!$D$3,1,0)</f>
        <v/>
      </c>
      <c r="V1292" s="17">
        <f>IF(N1292&gt;0,P1292/N1292,"")</f>
        <v/>
      </c>
      <c r="W1292" s="17">
        <f>IF(O1292&gt;0,H1292/O1292,"")</f>
        <v/>
      </c>
    </row>
    <row r="1293">
      <c r="A1293" s="13" t="inlineStr">
        <is>
          <t>T47_B1</t>
        </is>
      </c>
      <c r="B1293" s="13" t="inlineStr">
        <is>
          <t>T47</t>
        </is>
      </c>
      <c r="C1293" s="13" t="inlineStr">
        <is>
          <t>B1</t>
        </is>
      </c>
      <c r="D1293" s="13" t="n">
        <v>1</v>
      </c>
      <c r="E1293" s="13" t="inlineStr">
        <is>
          <t>S1</t>
        </is>
      </c>
      <c r="F1293" s="13" t="n">
        <v>2023</v>
      </c>
      <c r="G1293" s="14" t="n">
        <v>1958831.610289001</v>
      </c>
      <c r="H1293" s="14" t="n">
        <v>889694.5009078978</v>
      </c>
      <c r="I1293" s="14" t="n">
        <v>289390.2497801837</v>
      </c>
      <c r="J1293" s="14" t="n">
        <v>44923.31043294271</v>
      </c>
      <c r="K1293" s="14" t="n">
        <v>700668.1067312802</v>
      </c>
      <c r="L1293" s="14" t="n">
        <v>34155.44243669697</v>
      </c>
      <c r="M1293" s="14" t="n">
        <v>0</v>
      </c>
      <c r="N1293" s="14" t="n">
        <v>954403.4395364202</v>
      </c>
      <c r="O1293" s="14" t="n">
        <v>1926383.070056182</v>
      </c>
      <c r="P1293" s="14" t="n">
        <v>79903.23161707858</v>
      </c>
      <c r="Q1293" s="14" t="n">
        <v>18085859.49164429</v>
      </c>
      <c r="R1293" s="15">
        <f>IF(D1293=1,"Section 1","Control")</f>
        <v/>
      </c>
      <c r="S1293" s="16">
        <f>N1293/10000</f>
        <v/>
      </c>
      <c r="T1293" s="16">
        <f>P1293/10000</f>
        <v/>
      </c>
      <c r="U1293" s="15">
        <f>IF(N1293&gt;=Summary!$D$3,1,0)</f>
        <v/>
      </c>
      <c r="V1293" s="17">
        <f>IF(N1293&gt;0,P1293/N1293,"")</f>
        <v/>
      </c>
      <c r="W1293" s="17">
        <f>IF(O1293&gt;0,H1293/O1293,"")</f>
        <v/>
      </c>
    </row>
    <row r="1294">
      <c r="A1294" s="13" t="inlineStr">
        <is>
          <t>T47_B1</t>
        </is>
      </c>
      <c r="B1294" s="13" t="inlineStr">
        <is>
          <t>T47</t>
        </is>
      </c>
      <c r="C1294" s="13" t="inlineStr">
        <is>
          <t>B1</t>
        </is>
      </c>
      <c r="D1294" s="13" t="n">
        <v>1</v>
      </c>
      <c r="E1294" s="13" t="inlineStr">
        <is>
          <t>S1</t>
        </is>
      </c>
      <c r="F1294" s="13" t="n">
        <v>2024</v>
      </c>
      <c r="G1294" s="14" t="n">
        <v>1958831.610289001</v>
      </c>
      <c r="H1294" s="14" t="n">
        <v>874333.2723499073</v>
      </c>
      <c r="I1294" s="14" t="n">
        <v>279379.8005884806</v>
      </c>
      <c r="J1294" s="14" t="n">
        <v>44923.31043294271</v>
      </c>
      <c r="K1294" s="14" t="n">
        <v>748654.1926910999</v>
      </c>
      <c r="L1294" s="14" t="n">
        <v>11541.03422657088</v>
      </c>
      <c r="M1294" s="14" t="n">
        <v>0</v>
      </c>
      <c r="N1294" s="14" t="n">
        <v>954403.4395364202</v>
      </c>
      <c r="O1294" s="14" t="n">
        <v>1926383.070056182</v>
      </c>
      <c r="P1294" s="14" t="n">
        <v>101534.5080160403</v>
      </c>
      <c r="Q1294" s="14" t="n">
        <v>18085859.49164429</v>
      </c>
      <c r="R1294" s="15">
        <f>IF(D1294=1,"Section 1","Control")</f>
        <v/>
      </c>
      <c r="S1294" s="16">
        <f>N1294/10000</f>
        <v/>
      </c>
      <c r="T1294" s="16">
        <f>P1294/10000</f>
        <v/>
      </c>
      <c r="U1294" s="15">
        <f>IF(N1294&gt;=Summary!$D$3,1,0)</f>
        <v/>
      </c>
      <c r="V1294" s="17">
        <f>IF(N1294&gt;0,P1294/N1294,"")</f>
        <v/>
      </c>
      <c r="W1294" s="17">
        <f>IF(O1294&gt;0,H1294/O1294,"")</f>
        <v/>
      </c>
    </row>
    <row r="1295">
      <c r="A1295" s="13" t="inlineStr">
        <is>
          <t>T47_B1</t>
        </is>
      </c>
      <c r="B1295" s="13" t="inlineStr">
        <is>
          <t>T47</t>
        </is>
      </c>
      <c r="C1295" s="13" t="inlineStr">
        <is>
          <t>B1</t>
        </is>
      </c>
      <c r="D1295" s="13" t="n">
        <v>1</v>
      </c>
      <c r="E1295" s="13" t="inlineStr">
        <is>
          <t>S1</t>
        </is>
      </c>
      <c r="F1295" s="13" t="n">
        <v>2025</v>
      </c>
      <c r="G1295" s="14" t="n">
        <v>1958831.610289001</v>
      </c>
      <c r="H1295" s="14" t="n">
        <v>805996.7068264531</v>
      </c>
      <c r="I1295" s="14" t="n">
        <v>308928.0179590562</v>
      </c>
      <c r="J1295" s="14" t="n">
        <v>44923.31043294271</v>
      </c>
      <c r="K1295" s="14" t="n">
        <v>776845.3517319323</v>
      </c>
      <c r="L1295" s="14" t="n">
        <v>22138.22333861706</v>
      </c>
      <c r="M1295" s="14" t="n">
        <v>0</v>
      </c>
      <c r="N1295" s="14" t="n">
        <v>954403.4395364202</v>
      </c>
      <c r="O1295" s="14" t="n">
        <v>1926383.070056182</v>
      </c>
      <c r="P1295" s="14" t="n">
        <v>165885.5023864148</v>
      </c>
      <c r="Q1295" s="14" t="n">
        <v>18085859.49164429</v>
      </c>
      <c r="R1295" s="15">
        <f>IF(D1295=1,"Section 1","Control")</f>
        <v/>
      </c>
      <c r="S1295" s="16">
        <f>N1295/10000</f>
        <v/>
      </c>
      <c r="T1295" s="16">
        <f>P1295/10000</f>
        <v/>
      </c>
      <c r="U1295" s="15">
        <f>IF(N1295&gt;=Summary!$D$3,1,0)</f>
        <v/>
      </c>
      <c r="V1295" s="17">
        <f>IF(N1295&gt;0,P1295/N1295,"")</f>
        <v/>
      </c>
      <c r="W1295" s="17">
        <f>IF(O1295&gt;0,H1295/O1295,"")</f>
        <v/>
      </c>
    </row>
    <row r="1296">
      <c r="A1296" s="13" t="inlineStr">
        <is>
          <t>T47_B1</t>
        </is>
      </c>
      <c r="B1296" s="13" t="inlineStr">
        <is>
          <t>T47</t>
        </is>
      </c>
      <c r="C1296" s="13" t="inlineStr">
        <is>
          <t>B1</t>
        </is>
      </c>
      <c r="D1296" s="13" t="n">
        <v>1</v>
      </c>
      <c r="E1296" s="13" t="inlineStr">
        <is>
          <t>S1</t>
        </is>
      </c>
      <c r="F1296" s="13" t="n">
        <v>2026</v>
      </c>
      <c r="G1296" s="14" t="n">
        <v>1958831.610289001</v>
      </c>
      <c r="H1296" s="14" t="n">
        <v>819294.8642766018</v>
      </c>
      <c r="I1296" s="14" t="n">
        <v>230077.905127372</v>
      </c>
      <c r="J1296" s="14" t="n">
        <v>44923.31043294271</v>
      </c>
      <c r="K1296" s="14" t="n">
        <v>834062.5718425973</v>
      </c>
      <c r="L1296" s="14" t="n">
        <v>30472.95860948749</v>
      </c>
      <c r="M1296" s="14" t="n">
        <v>0</v>
      </c>
      <c r="N1296" s="14" t="n">
        <v>954403.4395364202</v>
      </c>
      <c r="O1296" s="14" t="n">
        <v>1926383.070056182</v>
      </c>
      <c r="P1296" s="14" t="n">
        <v>181771.1581191419</v>
      </c>
      <c r="Q1296" s="14" t="n">
        <v>18085859.49164429</v>
      </c>
      <c r="R1296" s="15">
        <f>IF(D1296=1,"Section 1","Control")</f>
        <v/>
      </c>
      <c r="S1296" s="16">
        <f>N1296/10000</f>
        <v/>
      </c>
      <c r="T1296" s="16">
        <f>P1296/10000</f>
        <v/>
      </c>
      <c r="U1296" s="15">
        <f>IF(N1296&gt;=Summary!$D$3,1,0)</f>
        <v/>
      </c>
      <c r="V1296" s="17">
        <f>IF(N1296&gt;0,P1296/N1296,"")</f>
        <v/>
      </c>
      <c r="W1296" s="17">
        <f>IF(O1296&gt;0,H1296/O1296,"")</f>
        <v/>
      </c>
    </row>
    <row r="1297">
      <c r="A1297" s="13" t="inlineStr">
        <is>
          <t>T47_B2</t>
        </is>
      </c>
      <c r="B1297" s="13" t="inlineStr">
        <is>
          <t>T47</t>
        </is>
      </c>
      <c r="C1297" s="13" t="inlineStr">
        <is>
          <t>B2</t>
        </is>
      </c>
      <c r="D1297" s="13" t="n">
        <v>1</v>
      </c>
      <c r="E1297" s="13" t="inlineStr">
        <is>
          <t>S1</t>
        </is>
      </c>
      <c r="F1297" s="13" t="n">
        <v>2020</v>
      </c>
      <c r="G1297" s="14" t="n">
        <v>2744042.056033864</v>
      </c>
      <c r="H1297" s="14" t="n">
        <v>1339752.487102583</v>
      </c>
      <c r="I1297" s="14" t="n">
        <v>104582.0952903598</v>
      </c>
      <c r="J1297" s="14" t="n">
        <v>0</v>
      </c>
      <c r="K1297" s="14" t="n">
        <v>227234.837838386</v>
      </c>
      <c r="L1297" s="14" t="n">
        <v>1072472.635802535</v>
      </c>
      <c r="M1297" s="14" t="n">
        <v>0</v>
      </c>
      <c r="N1297" s="14" t="n">
        <v>1339752.487102583</v>
      </c>
      <c r="O1297" s="14" t="n">
        <v>1671569.420231329</v>
      </c>
      <c r="P1297" s="14" t="n">
        <v>0</v>
      </c>
      <c r="Q1297" s="14" t="n">
        <v>17137782.63148705</v>
      </c>
      <c r="R1297" s="15">
        <f>IF(D1297=1,"Section 1","Control")</f>
        <v/>
      </c>
      <c r="S1297" s="16">
        <f>N1297/10000</f>
        <v/>
      </c>
      <c r="T1297" s="16">
        <f>P1297/10000</f>
        <v/>
      </c>
      <c r="U1297" s="15">
        <f>IF(N1297&gt;=Summary!$D$3,1,0)</f>
        <v/>
      </c>
      <c r="V1297" s="17">
        <f>IF(N1297&gt;0,P1297/N1297,"")</f>
        <v/>
      </c>
      <c r="W1297" s="17">
        <f>IF(O1297&gt;0,H1297/O1297,"")</f>
        <v/>
      </c>
    </row>
    <row r="1298">
      <c r="A1298" s="13" t="inlineStr">
        <is>
          <t>T47_B2</t>
        </is>
      </c>
      <c r="B1298" s="13" t="inlineStr">
        <is>
          <t>T47</t>
        </is>
      </c>
      <c r="C1298" s="13" t="inlineStr">
        <is>
          <t>B2</t>
        </is>
      </c>
      <c r="D1298" s="13" t="n">
        <v>1</v>
      </c>
      <c r="E1298" s="13" t="inlineStr">
        <is>
          <t>S1</t>
        </is>
      </c>
      <c r="F1298" s="13" t="n">
        <v>2021</v>
      </c>
      <c r="G1298" s="14" t="n">
        <v>2744042.056033864</v>
      </c>
      <c r="H1298" s="14" t="n">
        <v>1311561.416668042</v>
      </c>
      <c r="I1298" s="14" t="n">
        <v>107432.5983449599</v>
      </c>
      <c r="J1298" s="14" t="n">
        <v>0</v>
      </c>
      <c r="K1298" s="14" t="n">
        <v>260567.5333789001</v>
      </c>
      <c r="L1298" s="14" t="n">
        <v>1064480.507641961</v>
      </c>
      <c r="M1298" s="14" t="n">
        <v>0</v>
      </c>
      <c r="N1298" s="14" t="n">
        <v>1339752.487102583</v>
      </c>
      <c r="O1298" s="14" t="n">
        <v>1671569.420231329</v>
      </c>
      <c r="P1298" s="14" t="n">
        <v>31120.50700489119</v>
      </c>
      <c r="Q1298" s="14" t="n">
        <v>17137782.63148705</v>
      </c>
      <c r="R1298" s="15">
        <f>IF(D1298=1,"Section 1","Control")</f>
        <v/>
      </c>
      <c r="S1298" s="16">
        <f>N1298/10000</f>
        <v/>
      </c>
      <c r="T1298" s="16">
        <f>P1298/10000</f>
        <v/>
      </c>
      <c r="U1298" s="15">
        <f>IF(N1298&gt;=Summary!$D$3,1,0)</f>
        <v/>
      </c>
      <c r="V1298" s="17">
        <f>IF(N1298&gt;0,P1298/N1298,"")</f>
        <v/>
      </c>
      <c r="W1298" s="17">
        <f>IF(O1298&gt;0,H1298/O1298,"")</f>
        <v/>
      </c>
    </row>
    <row r="1299">
      <c r="A1299" s="13" t="inlineStr">
        <is>
          <t>T47_B2</t>
        </is>
      </c>
      <c r="B1299" s="13" t="inlineStr">
        <is>
          <t>T47</t>
        </is>
      </c>
      <c r="C1299" s="13" t="inlineStr">
        <is>
          <t>B2</t>
        </is>
      </c>
      <c r="D1299" s="13" t="n">
        <v>1</v>
      </c>
      <c r="E1299" s="13" t="inlineStr">
        <is>
          <t>S1</t>
        </is>
      </c>
      <c r="F1299" s="13" t="n">
        <v>2022</v>
      </c>
      <c r="G1299" s="14" t="n">
        <v>2744042.056033864</v>
      </c>
      <c r="H1299" s="14" t="n">
        <v>1193386.415675503</v>
      </c>
      <c r="I1299" s="14" t="n">
        <v>157951.7631075392</v>
      </c>
      <c r="J1299" s="14" t="n">
        <v>0</v>
      </c>
      <c r="K1299" s="14" t="n">
        <v>336602.63714818</v>
      </c>
      <c r="L1299" s="14" t="n">
        <v>1056101.240102641</v>
      </c>
      <c r="M1299" s="14" t="n">
        <v>0</v>
      </c>
      <c r="N1299" s="14" t="n">
        <v>1339752.487102583</v>
      </c>
      <c r="O1299" s="14" t="n">
        <v>1671569.420231329</v>
      </c>
      <c r="P1299" s="14" t="n">
        <v>148840.2330811444</v>
      </c>
      <c r="Q1299" s="14" t="n">
        <v>17137782.63148705</v>
      </c>
      <c r="R1299" s="15">
        <f>IF(D1299=1,"Section 1","Control")</f>
        <v/>
      </c>
      <c r="S1299" s="16">
        <f>N1299/10000</f>
        <v/>
      </c>
      <c r="T1299" s="16">
        <f>P1299/10000</f>
        <v/>
      </c>
      <c r="U1299" s="15">
        <f>IF(N1299&gt;=Summary!$D$3,1,0)</f>
        <v/>
      </c>
      <c r="V1299" s="17">
        <f>IF(N1299&gt;0,P1299/N1299,"")</f>
        <v/>
      </c>
      <c r="W1299" s="17">
        <f>IF(O1299&gt;0,H1299/O1299,"")</f>
        <v/>
      </c>
    </row>
    <row r="1300">
      <c r="A1300" s="13" t="inlineStr">
        <is>
          <t>T47_B2</t>
        </is>
      </c>
      <c r="B1300" s="13" t="inlineStr">
        <is>
          <t>T47</t>
        </is>
      </c>
      <c r="C1300" s="13" t="inlineStr">
        <is>
          <t>B2</t>
        </is>
      </c>
      <c r="D1300" s="13" t="n">
        <v>1</v>
      </c>
      <c r="E1300" s="13" t="inlineStr">
        <is>
          <t>S1</t>
        </is>
      </c>
      <c r="F1300" s="13" t="n">
        <v>2023</v>
      </c>
      <c r="G1300" s="14" t="n">
        <v>2744042.056033864</v>
      </c>
      <c r="H1300" s="14" t="n">
        <v>1080257.223783575</v>
      </c>
      <c r="I1300" s="14" t="n">
        <v>180041.411616576</v>
      </c>
      <c r="J1300" s="14" t="n">
        <v>0</v>
      </c>
      <c r="K1300" s="14" t="n">
        <v>402584.1668044146</v>
      </c>
      <c r="L1300" s="14" t="n">
        <v>1081159.253829298</v>
      </c>
      <c r="M1300" s="14" t="n">
        <v>0</v>
      </c>
      <c r="N1300" s="14" t="n">
        <v>1339752.487102583</v>
      </c>
      <c r="O1300" s="14" t="n">
        <v>1671569.420231329</v>
      </c>
      <c r="P1300" s="14" t="n">
        <v>262267.5155918795</v>
      </c>
      <c r="Q1300" s="14" t="n">
        <v>17137782.63148705</v>
      </c>
      <c r="R1300" s="15">
        <f>IF(D1300=1,"Section 1","Control")</f>
        <v/>
      </c>
      <c r="S1300" s="16">
        <f>N1300/10000</f>
        <v/>
      </c>
      <c r="T1300" s="16">
        <f>P1300/10000</f>
        <v/>
      </c>
      <c r="U1300" s="15">
        <f>IF(N1300&gt;=Summary!$D$3,1,0)</f>
        <v/>
      </c>
      <c r="V1300" s="17">
        <f>IF(N1300&gt;0,P1300/N1300,"")</f>
        <v/>
      </c>
      <c r="W1300" s="17">
        <f>IF(O1300&gt;0,H1300/O1300,"")</f>
        <v/>
      </c>
    </row>
    <row r="1301">
      <c r="A1301" s="13" t="inlineStr">
        <is>
          <t>T47_B2</t>
        </is>
      </c>
      <c r="B1301" s="13" t="inlineStr">
        <is>
          <t>T47</t>
        </is>
      </c>
      <c r="C1301" s="13" t="inlineStr">
        <is>
          <t>B2</t>
        </is>
      </c>
      <c r="D1301" s="13" t="n">
        <v>1</v>
      </c>
      <c r="E1301" s="13" t="inlineStr">
        <is>
          <t>S1</t>
        </is>
      </c>
      <c r="F1301" s="13" t="n">
        <v>2024</v>
      </c>
      <c r="G1301" s="14" t="n">
        <v>2744042.056033864</v>
      </c>
      <c r="H1301" s="14" t="n">
        <v>1067863.931222265</v>
      </c>
      <c r="I1301" s="14" t="n">
        <v>197789.9720621446</v>
      </c>
      <c r="J1301" s="14" t="n">
        <v>0</v>
      </c>
      <c r="K1301" s="14" t="n">
        <v>421428.6229784199</v>
      </c>
      <c r="L1301" s="14" t="n">
        <v>1056959.529771034</v>
      </c>
      <c r="M1301" s="14" t="n">
        <v>0</v>
      </c>
      <c r="N1301" s="14" t="n">
        <v>1339752.487102583</v>
      </c>
      <c r="O1301" s="14" t="n">
        <v>1671569.420231329</v>
      </c>
      <c r="P1301" s="14" t="n">
        <v>276781.5329080619</v>
      </c>
      <c r="Q1301" s="14" t="n">
        <v>17137782.63148705</v>
      </c>
      <c r="R1301" s="15">
        <f>IF(D1301=1,"Section 1","Control")</f>
        <v/>
      </c>
      <c r="S1301" s="16">
        <f>N1301/10000</f>
        <v/>
      </c>
      <c r="T1301" s="16">
        <f>P1301/10000</f>
        <v/>
      </c>
      <c r="U1301" s="15">
        <f>IF(N1301&gt;=Summary!$D$3,1,0)</f>
        <v/>
      </c>
      <c r="V1301" s="17">
        <f>IF(N1301&gt;0,P1301/N1301,"")</f>
        <v/>
      </c>
      <c r="W1301" s="17">
        <f>IF(O1301&gt;0,H1301/O1301,"")</f>
        <v/>
      </c>
    </row>
    <row r="1302">
      <c r="A1302" s="13" t="inlineStr">
        <is>
          <t>T47_B2</t>
        </is>
      </c>
      <c r="B1302" s="13" t="inlineStr">
        <is>
          <t>T47</t>
        </is>
      </c>
      <c r="C1302" s="13" t="inlineStr">
        <is>
          <t>B2</t>
        </is>
      </c>
      <c r="D1302" s="13" t="n">
        <v>1</v>
      </c>
      <c r="E1302" s="13" t="inlineStr">
        <is>
          <t>S1</t>
        </is>
      </c>
      <c r="F1302" s="13" t="n">
        <v>2025</v>
      </c>
      <c r="G1302" s="14" t="n">
        <v>2744042.056033864</v>
      </c>
      <c r="H1302" s="14" t="n">
        <v>957753.2143835924</v>
      </c>
      <c r="I1302" s="14" t="n">
        <v>180459.1288414451</v>
      </c>
      <c r="J1302" s="14" t="n">
        <v>0</v>
      </c>
      <c r="K1302" s="14" t="n">
        <v>533584.3506171133</v>
      </c>
      <c r="L1302" s="14" t="n">
        <v>1072245.362191713</v>
      </c>
      <c r="M1302" s="14" t="n">
        <v>0</v>
      </c>
      <c r="N1302" s="14" t="n">
        <v>1339752.487102583</v>
      </c>
      <c r="O1302" s="14" t="n">
        <v>1671569.420231329</v>
      </c>
      <c r="P1302" s="14" t="n">
        <v>385843.4913200229</v>
      </c>
      <c r="Q1302" s="14" t="n">
        <v>17137782.63148705</v>
      </c>
      <c r="R1302" s="15">
        <f>IF(D1302=1,"Section 1","Control")</f>
        <v/>
      </c>
      <c r="S1302" s="16">
        <f>N1302/10000</f>
        <v/>
      </c>
      <c r="T1302" s="16">
        <f>P1302/10000</f>
        <v/>
      </c>
      <c r="U1302" s="15">
        <f>IF(N1302&gt;=Summary!$D$3,1,0)</f>
        <v/>
      </c>
      <c r="V1302" s="17">
        <f>IF(N1302&gt;0,P1302/N1302,"")</f>
        <v/>
      </c>
      <c r="W1302" s="17">
        <f>IF(O1302&gt;0,H1302/O1302,"")</f>
        <v/>
      </c>
    </row>
    <row r="1303">
      <c r="A1303" s="13" t="inlineStr">
        <is>
          <t>T47_B2</t>
        </is>
      </c>
      <c r="B1303" s="13" t="inlineStr">
        <is>
          <t>T47</t>
        </is>
      </c>
      <c r="C1303" s="13" t="inlineStr">
        <is>
          <t>B2</t>
        </is>
      </c>
      <c r="D1303" s="13" t="n">
        <v>1</v>
      </c>
      <c r="E1303" s="13" t="inlineStr">
        <is>
          <t>S1</t>
        </is>
      </c>
      <c r="F1303" s="13" t="n">
        <v>2026</v>
      </c>
      <c r="G1303" s="14" t="n">
        <v>2744042.056033864</v>
      </c>
      <c r="H1303" s="14" t="n">
        <v>807809.5991064931</v>
      </c>
      <c r="I1303" s="14" t="n">
        <v>220738.7297153548</v>
      </c>
      <c r="J1303" s="14" t="n">
        <v>0</v>
      </c>
      <c r="K1303" s="14" t="n">
        <v>624067.0299845976</v>
      </c>
      <c r="L1303" s="14" t="n">
        <v>1091426.697227418</v>
      </c>
      <c r="M1303" s="14" t="n">
        <v>0</v>
      </c>
      <c r="N1303" s="14" t="n">
        <v>1339752.487102583</v>
      </c>
      <c r="O1303" s="14" t="n">
        <v>1671569.420231329</v>
      </c>
      <c r="P1303" s="14" t="n">
        <v>535725.1721425973</v>
      </c>
      <c r="Q1303" s="14" t="n">
        <v>17137782.63148705</v>
      </c>
      <c r="R1303" s="15">
        <f>IF(D1303=1,"Section 1","Control")</f>
        <v/>
      </c>
      <c r="S1303" s="16">
        <f>N1303/10000</f>
        <v/>
      </c>
      <c r="T1303" s="16">
        <f>P1303/10000</f>
        <v/>
      </c>
      <c r="U1303" s="15">
        <f>IF(N1303&gt;=Summary!$D$3,1,0)</f>
        <v/>
      </c>
      <c r="V1303" s="17">
        <f>IF(N1303&gt;0,P1303/N1303,"")</f>
        <v/>
      </c>
      <c r="W1303" s="17">
        <f>IF(O1303&gt;0,H1303/O1303,"")</f>
        <v/>
      </c>
    </row>
    <row r="1304">
      <c r="A1304" s="13" t="inlineStr">
        <is>
          <t>T47_B3</t>
        </is>
      </c>
      <c r="B1304" s="13" t="inlineStr">
        <is>
          <t>T47</t>
        </is>
      </c>
      <c r="C1304" s="13" t="inlineStr">
        <is>
          <t>B3</t>
        </is>
      </c>
      <c r="D1304" s="13" t="n">
        <v>1</v>
      </c>
      <c r="E1304" s="13" t="inlineStr">
        <is>
          <t>S1</t>
        </is>
      </c>
      <c r="F1304" s="13" t="n">
        <v>2020</v>
      </c>
      <c r="G1304" s="14" t="n">
        <v>50223120.47842678</v>
      </c>
      <c r="H1304" s="14" t="n">
        <v>19222027.34126336</v>
      </c>
      <c r="I1304" s="14" t="n">
        <v>2276424.908328337</v>
      </c>
      <c r="J1304" s="14" t="n">
        <v>0</v>
      </c>
      <c r="K1304" s="14" t="n">
        <v>4843221.401109823</v>
      </c>
      <c r="L1304" s="14" t="n">
        <v>23881446.82772525</v>
      </c>
      <c r="M1304" s="14" t="n">
        <v>0</v>
      </c>
      <c r="N1304" s="14" t="n">
        <v>19222027.34126336</v>
      </c>
      <c r="O1304" s="14" t="n">
        <v>26341673.65070151</v>
      </c>
      <c r="P1304" s="14" t="n">
        <v>0</v>
      </c>
      <c r="Q1304" s="14" t="n">
        <v>230033363.7608237</v>
      </c>
      <c r="R1304" s="15">
        <f>IF(D1304=1,"Section 1","Control")</f>
        <v/>
      </c>
      <c r="S1304" s="16">
        <f>N1304/10000</f>
        <v/>
      </c>
      <c r="T1304" s="16">
        <f>P1304/10000</f>
        <v/>
      </c>
      <c r="U1304" s="15">
        <f>IF(N1304&gt;=Summary!$D$3,1,0)</f>
        <v/>
      </c>
      <c r="V1304" s="17">
        <f>IF(N1304&gt;0,P1304/N1304,"")</f>
        <v/>
      </c>
      <c r="W1304" s="17">
        <f>IF(O1304&gt;0,H1304/O1304,"")</f>
        <v/>
      </c>
    </row>
    <row r="1305">
      <c r="A1305" s="13" t="inlineStr">
        <is>
          <t>T47_B3</t>
        </is>
      </c>
      <c r="B1305" s="13" t="inlineStr">
        <is>
          <t>T47</t>
        </is>
      </c>
      <c r="C1305" s="13" t="inlineStr">
        <is>
          <t>B3</t>
        </is>
      </c>
      <c r="D1305" s="13" t="n">
        <v>1</v>
      </c>
      <c r="E1305" s="13" t="inlineStr">
        <is>
          <t>S1</t>
        </is>
      </c>
      <c r="F1305" s="13" t="n">
        <v>2021</v>
      </c>
      <c r="G1305" s="14" t="n">
        <v>50223120.47842678</v>
      </c>
      <c r="H1305" s="14" t="n">
        <v>17539382.15803884</v>
      </c>
      <c r="I1305" s="14" t="n">
        <v>1983580.929842033</v>
      </c>
      <c r="J1305" s="14" t="n">
        <v>0</v>
      </c>
      <c r="K1305" s="14" t="n">
        <v>7061928.00789352</v>
      </c>
      <c r="L1305" s="14" t="n">
        <v>23638229.38265237</v>
      </c>
      <c r="M1305" s="14" t="n">
        <v>0</v>
      </c>
      <c r="N1305" s="14" t="n">
        <v>19222027.34126336</v>
      </c>
      <c r="O1305" s="14" t="n">
        <v>26341673.65070151</v>
      </c>
      <c r="P1305" s="14" t="n">
        <v>2092763.645779209</v>
      </c>
      <c r="Q1305" s="14" t="n">
        <v>230033363.7608237</v>
      </c>
      <c r="R1305" s="15">
        <f>IF(D1305=1,"Section 1","Control")</f>
        <v/>
      </c>
      <c r="S1305" s="16">
        <f>N1305/10000</f>
        <v/>
      </c>
      <c r="T1305" s="16">
        <f>P1305/10000</f>
        <v/>
      </c>
      <c r="U1305" s="15">
        <f>IF(N1305&gt;=Summary!$D$3,1,0)</f>
        <v/>
      </c>
      <c r="V1305" s="17">
        <f>IF(N1305&gt;0,P1305/N1305,"")</f>
        <v/>
      </c>
      <c r="W1305" s="17">
        <f>IF(O1305&gt;0,H1305/O1305,"")</f>
        <v/>
      </c>
    </row>
    <row r="1306">
      <c r="A1306" s="13" t="inlineStr">
        <is>
          <t>T47_B3</t>
        </is>
      </c>
      <c r="B1306" s="13" t="inlineStr">
        <is>
          <t>T47</t>
        </is>
      </c>
      <c r="C1306" s="13" t="inlineStr">
        <is>
          <t>B3</t>
        </is>
      </c>
      <c r="D1306" s="13" t="n">
        <v>1</v>
      </c>
      <c r="E1306" s="13" t="inlineStr">
        <is>
          <t>S1</t>
        </is>
      </c>
      <c r="F1306" s="13" t="n">
        <v>2022</v>
      </c>
      <c r="G1306" s="14" t="n">
        <v>50223120.47842678</v>
      </c>
      <c r="H1306" s="14" t="n">
        <v>16774024.9108677</v>
      </c>
      <c r="I1306" s="14" t="n">
        <v>2025151.458108251</v>
      </c>
      <c r="J1306" s="14" t="n">
        <v>0</v>
      </c>
      <c r="K1306" s="14" t="n">
        <v>7796360.528885756</v>
      </c>
      <c r="L1306" s="14" t="n">
        <v>23627583.58056506</v>
      </c>
      <c r="M1306" s="14" t="n">
        <v>0</v>
      </c>
      <c r="N1306" s="14" t="n">
        <v>19222027.34126336</v>
      </c>
      <c r="O1306" s="14" t="n">
        <v>26341673.65070151</v>
      </c>
      <c r="P1306" s="14" t="n">
        <v>2749335.867258558</v>
      </c>
      <c r="Q1306" s="14" t="n">
        <v>230033363.7608237</v>
      </c>
      <c r="R1306" s="15">
        <f>IF(D1306=1,"Section 1","Control")</f>
        <v/>
      </c>
      <c r="S1306" s="16">
        <f>N1306/10000</f>
        <v/>
      </c>
      <c r="T1306" s="16">
        <f>P1306/10000</f>
        <v/>
      </c>
      <c r="U1306" s="15">
        <f>IF(N1306&gt;=Summary!$D$3,1,0)</f>
        <v/>
      </c>
      <c r="V1306" s="17">
        <f>IF(N1306&gt;0,P1306/N1306,"")</f>
        <v/>
      </c>
      <c r="W1306" s="17">
        <f>IF(O1306&gt;0,H1306/O1306,"")</f>
        <v/>
      </c>
    </row>
    <row r="1307">
      <c r="A1307" s="13" t="inlineStr">
        <is>
          <t>T47_B3</t>
        </is>
      </c>
      <c r="B1307" s="13" t="inlineStr">
        <is>
          <t>T47</t>
        </is>
      </c>
      <c r="C1307" s="13" t="inlineStr">
        <is>
          <t>B3</t>
        </is>
      </c>
      <c r="D1307" s="13" t="n">
        <v>1</v>
      </c>
      <c r="E1307" s="13" t="inlineStr">
        <is>
          <t>S1</t>
        </is>
      </c>
      <c r="F1307" s="13" t="n">
        <v>2023</v>
      </c>
      <c r="G1307" s="14" t="n">
        <v>50223120.47842678</v>
      </c>
      <c r="H1307" s="14" t="n">
        <v>16816341.38375343</v>
      </c>
      <c r="I1307" s="14" t="n">
        <v>2318920.286331057</v>
      </c>
      <c r="J1307" s="14" t="n">
        <v>0</v>
      </c>
      <c r="K1307" s="14" t="n">
        <v>7162243.437512925</v>
      </c>
      <c r="L1307" s="14" t="n">
        <v>23925615.37082936</v>
      </c>
      <c r="M1307" s="14" t="n">
        <v>0</v>
      </c>
      <c r="N1307" s="14" t="n">
        <v>19222027.34126336</v>
      </c>
      <c r="O1307" s="14" t="n">
        <v>26341673.65070152</v>
      </c>
      <c r="P1307" s="14" t="n">
        <v>2877925.03283087</v>
      </c>
      <c r="Q1307" s="14" t="n">
        <v>230033363.7608237</v>
      </c>
      <c r="R1307" s="15">
        <f>IF(D1307=1,"Section 1","Control")</f>
        <v/>
      </c>
      <c r="S1307" s="16">
        <f>N1307/10000</f>
        <v/>
      </c>
      <c r="T1307" s="16">
        <f>P1307/10000</f>
        <v/>
      </c>
      <c r="U1307" s="15">
        <f>IF(N1307&gt;=Summary!$D$3,1,0)</f>
        <v/>
      </c>
      <c r="V1307" s="17">
        <f>IF(N1307&gt;0,P1307/N1307,"")</f>
        <v/>
      </c>
      <c r="W1307" s="17">
        <f>IF(O1307&gt;0,H1307/O1307,"")</f>
        <v/>
      </c>
    </row>
    <row r="1308">
      <c r="A1308" s="13" t="inlineStr">
        <is>
          <t>T47_B3</t>
        </is>
      </c>
      <c r="B1308" s="13" t="inlineStr">
        <is>
          <t>T47</t>
        </is>
      </c>
      <c r="C1308" s="13" t="inlineStr">
        <is>
          <t>B3</t>
        </is>
      </c>
      <c r="D1308" s="13" t="n">
        <v>1</v>
      </c>
      <c r="E1308" s="13" t="inlineStr">
        <is>
          <t>S1</t>
        </is>
      </c>
      <c r="F1308" s="13" t="n">
        <v>2024</v>
      </c>
      <c r="G1308" s="14" t="n">
        <v>50223120.47842679</v>
      </c>
      <c r="H1308" s="14" t="n">
        <v>17003631.69158708</v>
      </c>
      <c r="I1308" s="14" t="n">
        <v>1964746.176031973</v>
      </c>
      <c r="J1308" s="14" t="n">
        <v>0</v>
      </c>
      <c r="K1308" s="14" t="n">
        <v>7406733.167495996</v>
      </c>
      <c r="L1308" s="14" t="n">
        <v>23848009.44331172</v>
      </c>
      <c r="M1308" s="14" t="n">
        <v>0</v>
      </c>
      <c r="N1308" s="14" t="n">
        <v>19222027.34126336</v>
      </c>
      <c r="O1308" s="14" t="n">
        <v>26341673.65070151</v>
      </c>
      <c r="P1308" s="14" t="n">
        <v>3073108.192685266</v>
      </c>
      <c r="Q1308" s="14" t="n">
        <v>230033363.7608237</v>
      </c>
      <c r="R1308" s="15">
        <f>IF(D1308=1,"Section 1","Control")</f>
        <v/>
      </c>
      <c r="S1308" s="16">
        <f>N1308/10000</f>
        <v/>
      </c>
      <c r="T1308" s="16">
        <f>P1308/10000</f>
        <v/>
      </c>
      <c r="U1308" s="15">
        <f>IF(N1308&gt;=Summary!$D$3,1,0)</f>
        <v/>
      </c>
      <c r="V1308" s="17">
        <f>IF(N1308&gt;0,P1308/N1308,"")</f>
        <v/>
      </c>
      <c r="W1308" s="17">
        <f>IF(O1308&gt;0,H1308/O1308,"")</f>
        <v/>
      </c>
    </row>
    <row r="1309">
      <c r="A1309" s="13" t="inlineStr">
        <is>
          <t>T47_B3</t>
        </is>
      </c>
      <c r="B1309" s="13" t="inlineStr">
        <is>
          <t>T47</t>
        </is>
      </c>
      <c r="C1309" s="13" t="inlineStr">
        <is>
          <t>B3</t>
        </is>
      </c>
      <c r="D1309" s="13" t="n">
        <v>1</v>
      </c>
      <c r="E1309" s="13" t="inlineStr">
        <is>
          <t>S1</t>
        </is>
      </c>
      <c r="F1309" s="13" t="n">
        <v>2025</v>
      </c>
      <c r="G1309" s="14" t="n">
        <v>50223120.47842678</v>
      </c>
      <c r="H1309" s="14" t="n">
        <v>16277427.47620625</v>
      </c>
      <c r="I1309" s="14" t="n">
        <v>2383887.305535649</v>
      </c>
      <c r="J1309" s="14" t="n">
        <v>0</v>
      </c>
      <c r="K1309" s="14" t="n">
        <v>7661528.70229908</v>
      </c>
      <c r="L1309" s="14" t="n">
        <v>23900276.99438578</v>
      </c>
      <c r="M1309" s="14" t="n">
        <v>0</v>
      </c>
      <c r="N1309" s="14" t="n">
        <v>19222027.34126336</v>
      </c>
      <c r="O1309" s="14" t="n">
        <v>26341673.65070151</v>
      </c>
      <c r="P1309" s="14" t="n">
        <v>3659238.423463889</v>
      </c>
      <c r="Q1309" s="14" t="n">
        <v>230033363.7608237</v>
      </c>
      <c r="R1309" s="15">
        <f>IF(D1309=1,"Section 1","Control")</f>
        <v/>
      </c>
      <c r="S1309" s="16">
        <f>N1309/10000</f>
        <v/>
      </c>
      <c r="T1309" s="16">
        <f>P1309/10000</f>
        <v/>
      </c>
      <c r="U1309" s="15">
        <f>IF(N1309&gt;=Summary!$D$3,1,0)</f>
        <v/>
      </c>
      <c r="V1309" s="17">
        <f>IF(N1309&gt;0,P1309/N1309,"")</f>
        <v/>
      </c>
      <c r="W1309" s="17">
        <f>IF(O1309&gt;0,H1309/O1309,"")</f>
        <v/>
      </c>
    </row>
    <row r="1310">
      <c r="A1310" s="13" t="inlineStr">
        <is>
          <t>T47_B3</t>
        </is>
      </c>
      <c r="B1310" s="13" t="inlineStr">
        <is>
          <t>T47</t>
        </is>
      </c>
      <c r="C1310" s="13" t="inlineStr">
        <is>
          <t>B3</t>
        </is>
      </c>
      <c r="D1310" s="13" t="n">
        <v>1</v>
      </c>
      <c r="E1310" s="13" t="inlineStr">
        <is>
          <t>S1</t>
        </is>
      </c>
      <c r="F1310" s="13" t="n">
        <v>2026</v>
      </c>
      <c r="G1310" s="14" t="n">
        <v>50223120.47842678</v>
      </c>
      <c r="H1310" s="14" t="n">
        <v>15589582.9229719</v>
      </c>
      <c r="I1310" s="14" t="n">
        <v>2096477.507683279</v>
      </c>
      <c r="J1310" s="14" t="n">
        <v>0</v>
      </c>
      <c r="K1310" s="14" t="n">
        <v>8596155.56104443</v>
      </c>
      <c r="L1310" s="14" t="n">
        <v>23940904.48672716</v>
      </c>
      <c r="M1310" s="14" t="n">
        <v>0</v>
      </c>
      <c r="N1310" s="14" t="n">
        <v>19222027.34126336</v>
      </c>
      <c r="O1310" s="14" t="n">
        <v>26341673.65070152</v>
      </c>
      <c r="P1310" s="14" t="n">
        <v>4479794.445431611</v>
      </c>
      <c r="Q1310" s="14" t="n">
        <v>230033363.7608237</v>
      </c>
      <c r="R1310" s="15">
        <f>IF(D1310=1,"Section 1","Control")</f>
        <v/>
      </c>
      <c r="S1310" s="16">
        <f>N1310/10000</f>
        <v/>
      </c>
      <c r="T1310" s="16">
        <f>P1310/10000</f>
        <v/>
      </c>
      <c r="U1310" s="15">
        <f>IF(N1310&gt;=Summary!$D$3,1,0)</f>
        <v/>
      </c>
      <c r="V1310" s="17">
        <f>IF(N1310&gt;0,P1310/N1310,"")</f>
        <v/>
      </c>
      <c r="W1310" s="17">
        <f>IF(O1310&gt;0,H1310/O1310,"")</f>
        <v/>
      </c>
    </row>
    <row r="1311">
      <c r="A1311" s="13" t="inlineStr">
        <is>
          <t>T47_F</t>
        </is>
      </c>
      <c r="B1311" s="13" t="inlineStr">
        <is>
          <t>T47</t>
        </is>
      </c>
      <c r="C1311" s="13" t="inlineStr">
        <is>
          <t>F</t>
        </is>
      </c>
      <c r="D1311" s="13" t="n">
        <v>1</v>
      </c>
      <c r="E1311" s="13" t="inlineStr">
        <is>
          <t>S1</t>
        </is>
      </c>
      <c r="F1311" s="13" t="n">
        <v>2020</v>
      </c>
      <c r="G1311" s="14" t="n">
        <v>130169.6728176042</v>
      </c>
      <c r="H1311" s="14" t="n">
        <v>124954.5536588482</v>
      </c>
      <c r="I1311" s="14" t="n">
        <v>0</v>
      </c>
      <c r="J1311" s="14" t="n">
        <v>0</v>
      </c>
      <c r="K1311" s="14" t="n">
        <v>5215.119158756032</v>
      </c>
      <c r="L1311" s="14" t="n">
        <v>0</v>
      </c>
      <c r="M1311" s="14" t="n">
        <v>0</v>
      </c>
      <c r="N1311" s="14" t="n">
        <v>124954.5536588482</v>
      </c>
      <c r="O1311" s="14" t="n">
        <v>130169.6728176042</v>
      </c>
      <c r="P1311" s="14" t="n">
        <v>0</v>
      </c>
      <c r="Q1311" s="14" t="n">
        <v>1669453.710361974</v>
      </c>
      <c r="R1311" s="15">
        <f>IF(D1311=1,"Section 1","Control")</f>
        <v/>
      </c>
      <c r="S1311" s="16">
        <f>N1311/10000</f>
        <v/>
      </c>
      <c r="T1311" s="16">
        <f>P1311/10000</f>
        <v/>
      </c>
      <c r="U1311" s="15">
        <f>IF(N1311&gt;=Summary!$D$3,1,0)</f>
        <v/>
      </c>
      <c r="V1311" s="17">
        <f>IF(N1311&gt;0,P1311/N1311,"")</f>
        <v/>
      </c>
      <c r="W1311" s="17">
        <f>IF(O1311&gt;0,H1311/O1311,"")</f>
        <v/>
      </c>
    </row>
    <row r="1312">
      <c r="A1312" s="13" t="inlineStr">
        <is>
          <t>T47_F</t>
        </is>
      </c>
      <c r="B1312" s="13" t="inlineStr">
        <is>
          <t>T47</t>
        </is>
      </c>
      <c r="C1312" s="13" t="inlineStr">
        <is>
          <t>F</t>
        </is>
      </c>
      <c r="D1312" s="13" t="n">
        <v>1</v>
      </c>
      <c r="E1312" s="13" t="inlineStr">
        <is>
          <t>S1</t>
        </is>
      </c>
      <c r="F1312" s="13" t="n">
        <v>2021</v>
      </c>
      <c r="G1312" s="14" t="n">
        <v>130169.6728176042</v>
      </c>
      <c r="H1312" s="14" t="n">
        <v>124954.5536588482</v>
      </c>
      <c r="I1312" s="14" t="n">
        <v>0</v>
      </c>
      <c r="J1312" s="14" t="n">
        <v>0</v>
      </c>
      <c r="K1312" s="14" t="n">
        <v>5215.119158756032</v>
      </c>
      <c r="L1312" s="14" t="n">
        <v>0</v>
      </c>
      <c r="M1312" s="14" t="n">
        <v>0</v>
      </c>
      <c r="N1312" s="14" t="n">
        <v>124954.5536588482</v>
      </c>
      <c r="O1312" s="14" t="n">
        <v>130169.6728176042</v>
      </c>
      <c r="P1312" s="14" t="n">
        <v>0</v>
      </c>
      <c r="Q1312" s="14" t="n">
        <v>1669453.710361974</v>
      </c>
      <c r="R1312" s="15">
        <f>IF(D1312=1,"Section 1","Control")</f>
        <v/>
      </c>
      <c r="S1312" s="16">
        <f>N1312/10000</f>
        <v/>
      </c>
      <c r="T1312" s="16">
        <f>P1312/10000</f>
        <v/>
      </c>
      <c r="U1312" s="15">
        <f>IF(N1312&gt;=Summary!$D$3,1,0)</f>
        <v/>
      </c>
      <c r="V1312" s="17">
        <f>IF(N1312&gt;0,P1312/N1312,"")</f>
        <v/>
      </c>
      <c r="W1312" s="17">
        <f>IF(O1312&gt;0,H1312/O1312,"")</f>
        <v/>
      </c>
    </row>
    <row r="1313">
      <c r="A1313" s="13" t="inlineStr">
        <is>
          <t>T47_F</t>
        </is>
      </c>
      <c r="B1313" s="13" t="inlineStr">
        <is>
          <t>T47</t>
        </is>
      </c>
      <c r="C1313" s="13" t="inlineStr">
        <is>
          <t>F</t>
        </is>
      </c>
      <c r="D1313" s="13" t="n">
        <v>1</v>
      </c>
      <c r="E1313" s="13" t="inlineStr">
        <is>
          <t>S1</t>
        </is>
      </c>
      <c r="F1313" s="13" t="n">
        <v>2022</v>
      </c>
      <c r="G1313" s="14" t="n">
        <v>130169.6728176042</v>
      </c>
      <c r="H1313" s="14" t="n">
        <v>121725.833561557</v>
      </c>
      <c r="I1313" s="14" t="n">
        <v>0</v>
      </c>
      <c r="J1313" s="14" t="n">
        <v>0</v>
      </c>
      <c r="K1313" s="14" t="n">
        <v>8443.839256047268</v>
      </c>
      <c r="L1313" s="14" t="n">
        <v>0</v>
      </c>
      <c r="M1313" s="14" t="n">
        <v>0</v>
      </c>
      <c r="N1313" s="14" t="n">
        <v>124954.5536588482</v>
      </c>
      <c r="O1313" s="14" t="n">
        <v>130169.6728176042</v>
      </c>
      <c r="P1313" s="14" t="n">
        <v>3228.720097291236</v>
      </c>
      <c r="Q1313" s="14" t="n">
        <v>1669453.710361974</v>
      </c>
      <c r="R1313" s="15">
        <f>IF(D1313=1,"Section 1","Control")</f>
        <v/>
      </c>
      <c r="S1313" s="16">
        <f>N1313/10000</f>
        <v/>
      </c>
      <c r="T1313" s="16">
        <f>P1313/10000</f>
        <v/>
      </c>
      <c r="U1313" s="15">
        <f>IF(N1313&gt;=Summary!$D$3,1,0)</f>
        <v/>
      </c>
      <c r="V1313" s="17">
        <f>IF(N1313&gt;0,P1313/N1313,"")</f>
        <v/>
      </c>
      <c r="W1313" s="17">
        <f>IF(O1313&gt;0,H1313/O1313,"")</f>
        <v/>
      </c>
    </row>
    <row r="1314">
      <c r="A1314" s="13" t="inlineStr">
        <is>
          <t>T47_F</t>
        </is>
      </c>
      <c r="B1314" s="13" t="inlineStr">
        <is>
          <t>T47</t>
        </is>
      </c>
      <c r="C1314" s="13" t="inlineStr">
        <is>
          <t>F</t>
        </is>
      </c>
      <c r="D1314" s="13" t="n">
        <v>1</v>
      </c>
      <c r="E1314" s="13" t="inlineStr">
        <is>
          <t>S1</t>
        </is>
      </c>
      <c r="F1314" s="13" t="n">
        <v>2023</v>
      </c>
      <c r="G1314" s="14" t="n">
        <v>130169.6728176042</v>
      </c>
      <c r="H1314" s="14" t="n">
        <v>120147.0899426629</v>
      </c>
      <c r="I1314" s="14" t="n">
        <v>73.94313659667969</v>
      </c>
      <c r="J1314" s="14" t="n">
        <v>0</v>
      </c>
      <c r="K1314" s="14" t="n">
        <v>9948.639738344678</v>
      </c>
      <c r="L1314" s="14" t="n">
        <v>0</v>
      </c>
      <c r="M1314" s="14" t="n">
        <v>0</v>
      </c>
      <c r="N1314" s="14" t="n">
        <v>124954.5536588482</v>
      </c>
      <c r="O1314" s="14" t="n">
        <v>130169.6728176042</v>
      </c>
      <c r="P1314" s="14" t="n">
        <v>4807.463716185327</v>
      </c>
      <c r="Q1314" s="14" t="n">
        <v>1669453.710361974</v>
      </c>
      <c r="R1314" s="15">
        <f>IF(D1314=1,"Section 1","Control")</f>
        <v/>
      </c>
      <c r="S1314" s="16">
        <f>N1314/10000</f>
        <v/>
      </c>
      <c r="T1314" s="16">
        <f>P1314/10000</f>
        <v/>
      </c>
      <c r="U1314" s="15">
        <f>IF(N1314&gt;=Summary!$D$3,1,0)</f>
        <v/>
      </c>
      <c r="V1314" s="17">
        <f>IF(N1314&gt;0,P1314/N1314,"")</f>
        <v/>
      </c>
      <c r="W1314" s="17">
        <f>IF(O1314&gt;0,H1314/O1314,"")</f>
        <v/>
      </c>
    </row>
    <row r="1315">
      <c r="A1315" s="13" t="inlineStr">
        <is>
          <t>T47_F</t>
        </is>
      </c>
      <c r="B1315" s="13" t="inlineStr">
        <is>
          <t>T47</t>
        </is>
      </c>
      <c r="C1315" s="13" t="inlineStr">
        <is>
          <t>F</t>
        </is>
      </c>
      <c r="D1315" s="13" t="n">
        <v>1</v>
      </c>
      <c r="E1315" s="13" t="inlineStr">
        <is>
          <t>S1</t>
        </is>
      </c>
      <c r="F1315" s="13" t="n">
        <v>2024</v>
      </c>
      <c r="G1315" s="14" t="n">
        <v>130169.6728176042</v>
      </c>
      <c r="H1315" s="14" t="n">
        <v>118913.671876496</v>
      </c>
      <c r="I1315" s="14" t="n">
        <v>209.4409309536803</v>
      </c>
      <c r="J1315" s="14" t="n">
        <v>0</v>
      </c>
      <c r="K1315" s="14" t="n">
        <v>11046.56001015458</v>
      </c>
      <c r="L1315" s="14" t="n">
        <v>0</v>
      </c>
      <c r="M1315" s="14" t="n">
        <v>0</v>
      </c>
      <c r="N1315" s="14" t="n">
        <v>124954.5536588482</v>
      </c>
      <c r="O1315" s="14" t="n">
        <v>130169.6728176042</v>
      </c>
      <c r="P1315" s="14" t="n">
        <v>6040.881782352223</v>
      </c>
      <c r="Q1315" s="14" t="n">
        <v>1669453.710361974</v>
      </c>
      <c r="R1315" s="15">
        <f>IF(D1315=1,"Section 1","Control")</f>
        <v/>
      </c>
      <c r="S1315" s="16">
        <f>N1315/10000</f>
        <v/>
      </c>
      <c r="T1315" s="16">
        <f>P1315/10000</f>
        <v/>
      </c>
      <c r="U1315" s="15">
        <f>IF(N1315&gt;=Summary!$D$3,1,0)</f>
        <v/>
      </c>
      <c r="V1315" s="17">
        <f>IF(N1315&gt;0,P1315/N1315,"")</f>
        <v/>
      </c>
      <c r="W1315" s="17">
        <f>IF(O1315&gt;0,H1315/O1315,"")</f>
        <v/>
      </c>
    </row>
    <row r="1316">
      <c r="A1316" s="13" t="inlineStr">
        <is>
          <t>T47_F</t>
        </is>
      </c>
      <c r="B1316" s="13" t="inlineStr">
        <is>
          <t>T47</t>
        </is>
      </c>
      <c r="C1316" s="13" t="inlineStr">
        <is>
          <t>F</t>
        </is>
      </c>
      <c r="D1316" s="13" t="n">
        <v>1</v>
      </c>
      <c r="E1316" s="13" t="inlineStr">
        <is>
          <t>S1</t>
        </is>
      </c>
      <c r="F1316" s="13" t="n">
        <v>2025</v>
      </c>
      <c r="G1316" s="14" t="n">
        <v>130169.6728176042</v>
      </c>
      <c r="H1316" s="14" t="n">
        <v>180.0184779447668</v>
      </c>
      <c r="I1316" s="14" t="n">
        <v>28610.5574117025</v>
      </c>
      <c r="J1316" s="14" t="n">
        <v>0</v>
      </c>
      <c r="K1316" s="14" t="n">
        <v>101379.096927957</v>
      </c>
      <c r="L1316" s="14" t="n">
        <v>0</v>
      </c>
      <c r="M1316" s="14" t="n">
        <v>0</v>
      </c>
      <c r="N1316" s="14" t="n">
        <v>124954.5536588482</v>
      </c>
      <c r="O1316" s="14" t="n">
        <v>130169.6728176042</v>
      </c>
      <c r="P1316" s="14" t="n">
        <v>124774.5351809034</v>
      </c>
      <c r="Q1316" s="14" t="n">
        <v>1669453.710361974</v>
      </c>
      <c r="R1316" s="15">
        <f>IF(D1316=1,"Section 1","Control")</f>
        <v/>
      </c>
      <c r="S1316" s="16">
        <f>N1316/10000</f>
        <v/>
      </c>
      <c r="T1316" s="16">
        <f>P1316/10000</f>
        <v/>
      </c>
      <c r="U1316" s="15">
        <f>IF(N1316&gt;=Summary!$D$3,1,0)</f>
        <v/>
      </c>
      <c r="V1316" s="17">
        <f>IF(N1316&gt;0,P1316/N1316,"")</f>
        <v/>
      </c>
      <c r="W1316" s="17">
        <f>IF(O1316&gt;0,H1316/O1316,"")</f>
        <v/>
      </c>
    </row>
    <row r="1317">
      <c r="A1317" s="13" t="inlineStr">
        <is>
          <t>T47_F</t>
        </is>
      </c>
      <c r="B1317" s="13" t="inlineStr">
        <is>
          <t>T47</t>
        </is>
      </c>
      <c r="C1317" s="13" t="inlineStr">
        <is>
          <t>F</t>
        </is>
      </c>
      <c r="D1317" s="13" t="n">
        <v>1</v>
      </c>
      <c r="E1317" s="13" t="inlineStr">
        <is>
          <t>S1</t>
        </is>
      </c>
      <c r="F1317" s="13" t="n">
        <v>2026</v>
      </c>
      <c r="G1317" s="14" t="n">
        <v>130169.6728176042</v>
      </c>
      <c r="H1317" s="14" t="n">
        <v>279.8996428545784</v>
      </c>
      <c r="I1317" s="14" t="n">
        <v>46716.1611373303</v>
      </c>
      <c r="J1317" s="14" t="n">
        <v>0</v>
      </c>
      <c r="K1317" s="14" t="n">
        <v>83173.61203741937</v>
      </c>
      <c r="L1317" s="14" t="n">
        <v>0</v>
      </c>
      <c r="M1317" s="14" t="n">
        <v>0</v>
      </c>
      <c r="N1317" s="14" t="n">
        <v>124954.5536588482</v>
      </c>
      <c r="O1317" s="14" t="n">
        <v>130169.6728176042</v>
      </c>
      <c r="P1317" s="14" t="n">
        <v>124674.6540159936</v>
      </c>
      <c r="Q1317" s="14" t="n">
        <v>1669453.710361974</v>
      </c>
      <c r="R1317" s="15">
        <f>IF(D1317=1,"Section 1","Control")</f>
        <v/>
      </c>
      <c r="S1317" s="16">
        <f>N1317/10000</f>
        <v/>
      </c>
      <c r="T1317" s="16">
        <f>P1317/10000</f>
        <v/>
      </c>
      <c r="U1317" s="15">
        <f>IF(N1317&gt;=Summary!$D$3,1,0)</f>
        <v/>
      </c>
      <c r="V1317" s="17">
        <f>IF(N1317&gt;0,P1317/N1317,"")</f>
        <v/>
      </c>
      <c r="W1317" s="17">
        <f>IF(O1317&gt;0,H1317/O1317,"")</f>
        <v/>
      </c>
    </row>
    <row r="1318">
      <c r="A1318" s="13" t="inlineStr">
        <is>
          <t>CE01_B1</t>
        </is>
      </c>
      <c r="B1318" s="13" t="inlineStr">
        <is>
          <t>CE01</t>
        </is>
      </c>
      <c r="C1318" s="13" t="inlineStr">
        <is>
          <t>B1</t>
        </is>
      </c>
      <c r="D1318" s="13" t="n">
        <v>0</v>
      </c>
      <c r="E1318" s="13" t="inlineStr">
        <is>
          <t>E</t>
        </is>
      </c>
      <c r="F1318" s="13" t="n">
        <v>2020</v>
      </c>
      <c r="G1318" s="14" t="n">
        <v>1434296.655956433</v>
      </c>
      <c r="H1318" s="14" t="n">
        <v>292102.7848837161</v>
      </c>
      <c r="I1318" s="14" t="n">
        <v>741429.5370009179</v>
      </c>
      <c r="J1318" s="14" t="n">
        <v>0</v>
      </c>
      <c r="K1318" s="14" t="n">
        <v>400764.3340717988</v>
      </c>
      <c r="L1318" s="14" t="n">
        <v>0</v>
      </c>
      <c r="M1318" s="14" t="n">
        <v>0</v>
      </c>
      <c r="N1318" s="14" t="n">
        <v>292102.7848837161</v>
      </c>
      <c r="O1318" s="14" t="n">
        <v>1434296.655956433</v>
      </c>
      <c r="P1318" s="14" t="n">
        <v>0</v>
      </c>
      <c r="Q1318" s="14" t="n">
        <v>9453874.928117819</v>
      </c>
      <c r="R1318" s="15">
        <f>IF(D1318=1,"Section 1","Control")</f>
        <v/>
      </c>
      <c r="S1318" s="16">
        <f>N1318/10000</f>
        <v/>
      </c>
      <c r="T1318" s="16">
        <f>P1318/10000</f>
        <v/>
      </c>
      <c r="U1318" s="15">
        <f>IF(N1318&gt;=Summary!$D$3,1,0)</f>
        <v/>
      </c>
      <c r="V1318" s="17">
        <f>IF(N1318&gt;0,P1318/N1318,"")</f>
        <v/>
      </c>
      <c r="W1318" s="17">
        <f>IF(O1318&gt;0,H1318/O1318,"")</f>
        <v/>
      </c>
    </row>
    <row r="1319">
      <c r="A1319" s="13" t="inlineStr">
        <is>
          <t>CE01_B1</t>
        </is>
      </c>
      <c r="B1319" s="13" t="inlineStr">
        <is>
          <t>CE01</t>
        </is>
      </c>
      <c r="C1319" s="13" t="inlineStr">
        <is>
          <t>B1</t>
        </is>
      </c>
      <c r="D1319" s="13" t="n">
        <v>0</v>
      </c>
      <c r="E1319" s="13" t="inlineStr">
        <is>
          <t>E</t>
        </is>
      </c>
      <c r="F1319" s="13" t="n">
        <v>2021</v>
      </c>
      <c r="G1319" s="14" t="n">
        <v>1434296.655956433</v>
      </c>
      <c r="H1319" s="14" t="n">
        <v>228943.0694012212</v>
      </c>
      <c r="I1319" s="14" t="n">
        <v>692254.6977282356</v>
      </c>
      <c r="J1319" s="14" t="n">
        <v>0</v>
      </c>
      <c r="K1319" s="14" t="n">
        <v>513098.888826976</v>
      </c>
      <c r="L1319" s="14" t="n">
        <v>0</v>
      </c>
      <c r="M1319" s="14" t="n">
        <v>0</v>
      </c>
      <c r="N1319" s="14" t="n">
        <v>292102.784883716</v>
      </c>
      <c r="O1319" s="14" t="n">
        <v>1434296.655956433</v>
      </c>
      <c r="P1319" s="14" t="n">
        <v>88928.18134466432</v>
      </c>
      <c r="Q1319" s="14" t="n">
        <v>9453874.928117819</v>
      </c>
      <c r="R1319" s="15">
        <f>IF(D1319=1,"Section 1","Control")</f>
        <v/>
      </c>
      <c r="S1319" s="16">
        <f>N1319/10000</f>
        <v/>
      </c>
      <c r="T1319" s="16">
        <f>P1319/10000</f>
        <v/>
      </c>
      <c r="U1319" s="15">
        <f>IF(N1319&gt;=Summary!$D$3,1,0)</f>
        <v/>
      </c>
      <c r="V1319" s="17">
        <f>IF(N1319&gt;0,P1319/N1319,"")</f>
        <v/>
      </c>
      <c r="W1319" s="17">
        <f>IF(O1319&gt;0,H1319/O1319,"")</f>
        <v/>
      </c>
    </row>
    <row r="1320">
      <c r="A1320" s="13" t="inlineStr">
        <is>
          <t>CE01_B1</t>
        </is>
      </c>
      <c r="B1320" s="13" t="inlineStr">
        <is>
          <t>CE01</t>
        </is>
      </c>
      <c r="C1320" s="13" t="inlineStr">
        <is>
          <t>B1</t>
        </is>
      </c>
      <c r="D1320" s="13" t="n">
        <v>0</v>
      </c>
      <c r="E1320" s="13" t="inlineStr">
        <is>
          <t>E</t>
        </is>
      </c>
      <c r="F1320" s="13" t="n">
        <v>2022</v>
      </c>
      <c r="G1320" s="14" t="n">
        <v>1434296.655956433</v>
      </c>
      <c r="H1320" s="14" t="n">
        <v>316442.3363280951</v>
      </c>
      <c r="I1320" s="14" t="n">
        <v>511564.6797769584</v>
      </c>
      <c r="J1320" s="14" t="n">
        <v>0</v>
      </c>
      <c r="K1320" s="14" t="n">
        <v>606289.6398513793</v>
      </c>
      <c r="L1320" s="14" t="n">
        <v>0</v>
      </c>
      <c r="M1320" s="14" t="n">
        <v>0</v>
      </c>
      <c r="N1320" s="14" t="n">
        <v>292102.7848837161</v>
      </c>
      <c r="O1320" s="14" t="n">
        <v>1434296.655956433</v>
      </c>
      <c r="P1320" s="14" t="n">
        <v>70876.95457060571</v>
      </c>
      <c r="Q1320" s="14" t="n">
        <v>9453874.928117819</v>
      </c>
      <c r="R1320" s="15">
        <f>IF(D1320=1,"Section 1","Control")</f>
        <v/>
      </c>
      <c r="S1320" s="16">
        <f>N1320/10000</f>
        <v/>
      </c>
      <c r="T1320" s="16">
        <f>P1320/10000</f>
        <v/>
      </c>
      <c r="U1320" s="15">
        <f>IF(N1320&gt;=Summary!$D$3,1,0)</f>
        <v/>
      </c>
      <c r="V1320" s="17">
        <f>IF(N1320&gt;0,P1320/N1320,"")</f>
        <v/>
      </c>
      <c r="W1320" s="17">
        <f>IF(O1320&gt;0,H1320/O1320,"")</f>
        <v/>
      </c>
    </row>
    <row r="1321">
      <c r="A1321" s="13" t="inlineStr">
        <is>
          <t>CE01_B1</t>
        </is>
      </c>
      <c r="B1321" s="13" t="inlineStr">
        <is>
          <t>CE01</t>
        </is>
      </c>
      <c r="C1321" s="13" t="inlineStr">
        <is>
          <t>B1</t>
        </is>
      </c>
      <c r="D1321" s="13" t="n">
        <v>0</v>
      </c>
      <c r="E1321" s="13" t="inlineStr">
        <is>
          <t>E</t>
        </is>
      </c>
      <c r="F1321" s="13" t="n">
        <v>2023</v>
      </c>
      <c r="G1321" s="14" t="n">
        <v>1434296.655956432</v>
      </c>
      <c r="H1321" s="14" t="n">
        <v>257151.9293819053</v>
      </c>
      <c r="I1321" s="14" t="n">
        <v>602206.787274888</v>
      </c>
      <c r="J1321" s="14" t="n">
        <v>0</v>
      </c>
      <c r="K1321" s="14" t="n">
        <v>574937.9392996394</v>
      </c>
      <c r="L1321" s="14" t="n">
        <v>0</v>
      </c>
      <c r="M1321" s="14" t="n">
        <v>0</v>
      </c>
      <c r="N1321" s="14" t="n">
        <v>292102.784883716</v>
      </c>
      <c r="O1321" s="14" t="n">
        <v>1434296.655956432</v>
      </c>
      <c r="P1321" s="14" t="n">
        <v>98901.77399977142</v>
      </c>
      <c r="Q1321" s="14" t="n">
        <v>9453874.928117819</v>
      </c>
      <c r="R1321" s="15">
        <f>IF(D1321=1,"Section 1","Control")</f>
        <v/>
      </c>
      <c r="S1321" s="16">
        <f>N1321/10000</f>
        <v/>
      </c>
      <c r="T1321" s="16">
        <f>P1321/10000</f>
        <v/>
      </c>
      <c r="U1321" s="15">
        <f>IF(N1321&gt;=Summary!$D$3,1,0)</f>
        <v/>
      </c>
      <c r="V1321" s="17">
        <f>IF(N1321&gt;0,P1321/N1321,"")</f>
        <v/>
      </c>
      <c r="W1321" s="17">
        <f>IF(O1321&gt;0,H1321/O1321,"")</f>
        <v/>
      </c>
    </row>
    <row r="1322">
      <c r="A1322" s="13" t="inlineStr">
        <is>
          <t>CE01_B1</t>
        </is>
      </c>
      <c r="B1322" s="13" t="inlineStr">
        <is>
          <t>CE01</t>
        </is>
      </c>
      <c r="C1322" s="13" t="inlineStr">
        <is>
          <t>B1</t>
        </is>
      </c>
      <c r="D1322" s="13" t="n">
        <v>0</v>
      </c>
      <c r="E1322" s="13" t="inlineStr">
        <is>
          <t>E</t>
        </is>
      </c>
      <c r="F1322" s="13" t="n">
        <v>2024</v>
      </c>
      <c r="G1322" s="14" t="n">
        <v>1434296.655956433</v>
      </c>
      <c r="H1322" s="14" t="n">
        <v>388916.4231205958</v>
      </c>
      <c r="I1322" s="14" t="n">
        <v>411633.7124585021</v>
      </c>
      <c r="J1322" s="14" t="n">
        <v>0</v>
      </c>
      <c r="K1322" s="14" t="n">
        <v>633746.5203773349</v>
      </c>
      <c r="L1322" s="14" t="n">
        <v>0</v>
      </c>
      <c r="M1322" s="14" t="n">
        <v>0</v>
      </c>
      <c r="N1322" s="14" t="n">
        <v>292102.7848837161</v>
      </c>
      <c r="O1322" s="14" t="n">
        <v>1434296.655956433</v>
      </c>
      <c r="P1322" s="14" t="n">
        <v>80356.44291914397</v>
      </c>
      <c r="Q1322" s="14" t="n">
        <v>9453874.928117819</v>
      </c>
      <c r="R1322" s="15">
        <f>IF(D1322=1,"Section 1","Control")</f>
        <v/>
      </c>
      <c r="S1322" s="16">
        <f>N1322/10000</f>
        <v/>
      </c>
      <c r="T1322" s="16">
        <f>P1322/10000</f>
        <v/>
      </c>
      <c r="U1322" s="15">
        <f>IF(N1322&gt;=Summary!$D$3,1,0)</f>
        <v/>
      </c>
      <c r="V1322" s="17">
        <f>IF(N1322&gt;0,P1322/N1322,"")</f>
        <v/>
      </c>
      <c r="W1322" s="17">
        <f>IF(O1322&gt;0,H1322/O1322,"")</f>
        <v/>
      </c>
    </row>
    <row r="1323">
      <c r="A1323" s="13" t="inlineStr">
        <is>
          <t>CE01_B1</t>
        </is>
      </c>
      <c r="B1323" s="13" t="inlineStr">
        <is>
          <t>CE01</t>
        </is>
      </c>
      <c r="C1323" s="13" t="inlineStr">
        <is>
          <t>B1</t>
        </is>
      </c>
      <c r="D1323" s="13" t="n">
        <v>0</v>
      </c>
      <c r="E1323" s="13" t="inlineStr">
        <is>
          <t>E</t>
        </is>
      </c>
      <c r="F1323" s="13" t="n">
        <v>2025</v>
      </c>
      <c r="G1323" s="14" t="n">
        <v>1434296.655956433</v>
      </c>
      <c r="H1323" s="14" t="n">
        <v>337965.4260672177</v>
      </c>
      <c r="I1323" s="14" t="n">
        <v>418820.0859097051</v>
      </c>
      <c r="J1323" s="14" t="n">
        <v>0</v>
      </c>
      <c r="K1323" s="14" t="n">
        <v>677511.1439795101</v>
      </c>
      <c r="L1323" s="14" t="n">
        <v>0</v>
      </c>
      <c r="M1323" s="14" t="n">
        <v>0</v>
      </c>
      <c r="N1323" s="14" t="n">
        <v>292102.7848837161</v>
      </c>
      <c r="O1323" s="14" t="n">
        <v>1434296.655956433</v>
      </c>
      <c r="P1323" s="14" t="n">
        <v>97715.66339359659</v>
      </c>
      <c r="Q1323" s="14" t="n">
        <v>9453874.928117819</v>
      </c>
      <c r="R1323" s="15">
        <f>IF(D1323=1,"Section 1","Control")</f>
        <v/>
      </c>
      <c r="S1323" s="16">
        <f>N1323/10000</f>
        <v/>
      </c>
      <c r="T1323" s="16">
        <f>P1323/10000</f>
        <v/>
      </c>
      <c r="U1323" s="15">
        <f>IF(N1323&gt;=Summary!$D$3,1,0)</f>
        <v/>
      </c>
      <c r="V1323" s="17">
        <f>IF(N1323&gt;0,P1323/N1323,"")</f>
        <v/>
      </c>
      <c r="W1323" s="17">
        <f>IF(O1323&gt;0,H1323/O1323,"")</f>
        <v/>
      </c>
    </row>
    <row r="1324">
      <c r="A1324" s="13" t="inlineStr">
        <is>
          <t>CE01_B1</t>
        </is>
      </c>
      <c r="B1324" s="13" t="inlineStr">
        <is>
          <t>CE01</t>
        </is>
      </c>
      <c r="C1324" s="13" t="inlineStr">
        <is>
          <t>B1</t>
        </is>
      </c>
      <c r="D1324" s="13" t="n">
        <v>0</v>
      </c>
      <c r="E1324" s="13" t="inlineStr">
        <is>
          <t>E</t>
        </is>
      </c>
      <c r="F1324" s="13" t="n">
        <v>2026</v>
      </c>
      <c r="G1324" s="14" t="n">
        <v>1434296.655956433</v>
      </c>
      <c r="H1324" s="14" t="n">
        <v>360972.5998460657</v>
      </c>
      <c r="I1324" s="14" t="n">
        <v>163692.0790891759</v>
      </c>
      <c r="J1324" s="14" t="n">
        <v>0</v>
      </c>
      <c r="K1324" s="14" t="n">
        <v>909631.9770211912</v>
      </c>
      <c r="L1324" s="14" t="n">
        <v>0</v>
      </c>
      <c r="M1324" s="14" t="n">
        <v>0</v>
      </c>
      <c r="N1324" s="14" t="n">
        <v>292102.7848837161</v>
      </c>
      <c r="O1324" s="14" t="n">
        <v>1434296.655956433</v>
      </c>
      <c r="P1324" s="14" t="n">
        <v>98389.72142136518</v>
      </c>
      <c r="Q1324" s="14" t="n">
        <v>9453874.928117819</v>
      </c>
      <c r="R1324" s="15">
        <f>IF(D1324=1,"Section 1","Control")</f>
        <v/>
      </c>
      <c r="S1324" s="16">
        <f>N1324/10000</f>
        <v/>
      </c>
      <c r="T1324" s="16">
        <f>P1324/10000</f>
        <v/>
      </c>
      <c r="U1324" s="15">
        <f>IF(N1324&gt;=Summary!$D$3,1,0)</f>
        <v/>
      </c>
      <c r="V1324" s="17">
        <f>IF(N1324&gt;0,P1324/N1324,"")</f>
        <v/>
      </c>
      <c r="W1324" s="17">
        <f>IF(O1324&gt;0,H1324/O1324,"")</f>
        <v/>
      </c>
    </row>
    <row r="1325">
      <c r="A1325" s="13" t="inlineStr">
        <is>
          <t>CE01_B2</t>
        </is>
      </c>
      <c r="B1325" s="13" t="inlineStr">
        <is>
          <t>CE01</t>
        </is>
      </c>
      <c r="C1325" s="13" t="inlineStr">
        <is>
          <t>B2</t>
        </is>
      </c>
      <c r="D1325" s="13" t="n">
        <v>0</v>
      </c>
      <c r="E1325" s="13" t="inlineStr">
        <is>
          <t>E</t>
        </is>
      </c>
      <c r="F1325" s="13" t="n">
        <v>2020</v>
      </c>
      <c r="G1325" s="14" t="n">
        <v>2218857.047363581</v>
      </c>
      <c r="H1325" s="14" t="n">
        <v>625859.9061410642</v>
      </c>
      <c r="I1325" s="14" t="n">
        <v>853045.9929751226</v>
      </c>
      <c r="J1325" s="14" t="n">
        <v>0</v>
      </c>
      <c r="K1325" s="14" t="n">
        <v>252180.7110227996</v>
      </c>
      <c r="L1325" s="14" t="n">
        <v>487770.4372245939</v>
      </c>
      <c r="M1325" s="14" t="n">
        <v>0</v>
      </c>
      <c r="N1325" s="14" t="n">
        <v>625859.9061410642</v>
      </c>
      <c r="O1325" s="14" t="n">
        <v>1731086.610138987</v>
      </c>
      <c r="P1325" s="14" t="n">
        <v>0</v>
      </c>
      <c r="Q1325" s="14" t="n">
        <v>12628695.49843083</v>
      </c>
      <c r="R1325" s="15">
        <f>IF(D1325=1,"Section 1","Control")</f>
        <v/>
      </c>
      <c r="S1325" s="16">
        <f>N1325/10000</f>
        <v/>
      </c>
      <c r="T1325" s="16">
        <f>P1325/10000</f>
        <v/>
      </c>
      <c r="U1325" s="15">
        <f>IF(N1325&gt;=Summary!$D$3,1,0)</f>
        <v/>
      </c>
      <c r="V1325" s="17">
        <f>IF(N1325&gt;0,P1325/N1325,"")</f>
        <v/>
      </c>
      <c r="W1325" s="17">
        <f>IF(O1325&gt;0,H1325/O1325,"")</f>
        <v/>
      </c>
    </row>
    <row r="1326">
      <c r="A1326" s="13" t="inlineStr">
        <is>
          <t>CE01_B2</t>
        </is>
      </c>
      <c r="B1326" s="13" t="inlineStr">
        <is>
          <t>CE01</t>
        </is>
      </c>
      <c r="C1326" s="13" t="inlineStr">
        <is>
          <t>B2</t>
        </is>
      </c>
      <c r="D1326" s="13" t="n">
        <v>0</v>
      </c>
      <c r="E1326" s="13" t="inlineStr">
        <is>
          <t>E</t>
        </is>
      </c>
      <c r="F1326" s="13" t="n">
        <v>2021</v>
      </c>
      <c r="G1326" s="14" t="n">
        <v>2218857.047363581</v>
      </c>
      <c r="H1326" s="14" t="n">
        <v>566174.330988596</v>
      </c>
      <c r="I1326" s="14" t="n">
        <v>835273.9007651834</v>
      </c>
      <c r="J1326" s="14" t="n">
        <v>0</v>
      </c>
      <c r="K1326" s="14" t="n">
        <v>355107.1356356752</v>
      </c>
      <c r="L1326" s="14" t="n">
        <v>462301.679974126</v>
      </c>
      <c r="M1326" s="14" t="n">
        <v>0</v>
      </c>
      <c r="N1326" s="14" t="n">
        <v>625859.9061410642</v>
      </c>
      <c r="O1326" s="14" t="n">
        <v>1731086.610138987</v>
      </c>
      <c r="P1326" s="14" t="n">
        <v>80602.46583563113</v>
      </c>
      <c r="Q1326" s="14" t="n">
        <v>12628695.49843083</v>
      </c>
      <c r="R1326" s="15">
        <f>IF(D1326=1,"Section 1","Control")</f>
        <v/>
      </c>
      <c r="S1326" s="16">
        <f>N1326/10000</f>
        <v/>
      </c>
      <c r="T1326" s="16">
        <f>P1326/10000</f>
        <v/>
      </c>
      <c r="U1326" s="15">
        <f>IF(N1326&gt;=Summary!$D$3,1,0)</f>
        <v/>
      </c>
      <c r="V1326" s="17">
        <f>IF(N1326&gt;0,P1326/N1326,"")</f>
        <v/>
      </c>
      <c r="W1326" s="17">
        <f>IF(O1326&gt;0,H1326/O1326,"")</f>
        <v/>
      </c>
    </row>
    <row r="1327">
      <c r="A1327" s="13" t="inlineStr">
        <is>
          <t>CE01_B2</t>
        </is>
      </c>
      <c r="B1327" s="13" t="inlineStr">
        <is>
          <t>CE01</t>
        </is>
      </c>
      <c r="C1327" s="13" t="inlineStr">
        <is>
          <t>B2</t>
        </is>
      </c>
      <c r="D1327" s="13" t="n">
        <v>0</v>
      </c>
      <c r="E1327" s="13" t="inlineStr">
        <is>
          <t>E</t>
        </is>
      </c>
      <c r="F1327" s="13" t="n">
        <v>2022</v>
      </c>
      <c r="G1327" s="14" t="n">
        <v>2218857.047363581</v>
      </c>
      <c r="H1327" s="14" t="n">
        <v>589881.7456195009</v>
      </c>
      <c r="I1327" s="14" t="n">
        <v>841682.5270579318</v>
      </c>
      <c r="J1327" s="14" t="n">
        <v>0</v>
      </c>
      <c r="K1327" s="14" t="n">
        <v>412192.0611940271</v>
      </c>
      <c r="L1327" s="14" t="n">
        <v>375100.7134921206</v>
      </c>
      <c r="M1327" s="14" t="n">
        <v>0</v>
      </c>
      <c r="N1327" s="14" t="n">
        <v>625859.9061410642</v>
      </c>
      <c r="O1327" s="14" t="n">
        <v>1731086.610138987</v>
      </c>
      <c r="P1327" s="14" t="n">
        <v>124613.373507122</v>
      </c>
      <c r="Q1327" s="14" t="n">
        <v>12628695.49843083</v>
      </c>
      <c r="R1327" s="15">
        <f>IF(D1327=1,"Section 1","Control")</f>
        <v/>
      </c>
      <c r="S1327" s="16">
        <f>N1327/10000</f>
        <v/>
      </c>
      <c r="T1327" s="16">
        <f>P1327/10000</f>
        <v/>
      </c>
      <c r="U1327" s="15">
        <f>IF(N1327&gt;=Summary!$D$3,1,0)</f>
        <v/>
      </c>
      <c r="V1327" s="17">
        <f>IF(N1327&gt;0,P1327/N1327,"")</f>
        <v/>
      </c>
      <c r="W1327" s="17">
        <f>IF(O1327&gt;0,H1327/O1327,"")</f>
        <v/>
      </c>
    </row>
    <row r="1328">
      <c r="A1328" s="13" t="inlineStr">
        <is>
          <t>CE01_B2</t>
        </is>
      </c>
      <c r="B1328" s="13" t="inlineStr">
        <is>
          <t>CE01</t>
        </is>
      </c>
      <c r="C1328" s="13" t="inlineStr">
        <is>
          <t>B2</t>
        </is>
      </c>
      <c r="D1328" s="13" t="n">
        <v>0</v>
      </c>
      <c r="E1328" s="13" t="inlineStr">
        <is>
          <t>E</t>
        </is>
      </c>
      <c r="F1328" s="13" t="n">
        <v>2023</v>
      </c>
      <c r="G1328" s="14" t="n">
        <v>2218857.047363581</v>
      </c>
      <c r="H1328" s="14" t="n">
        <v>555024.8277067296</v>
      </c>
      <c r="I1328" s="14" t="n">
        <v>809500.7310502894</v>
      </c>
      <c r="J1328" s="14" t="n">
        <v>0</v>
      </c>
      <c r="K1328" s="14" t="n">
        <v>408853.338864405</v>
      </c>
      <c r="L1328" s="14" t="n">
        <v>445478.1497421565</v>
      </c>
      <c r="M1328" s="14" t="n">
        <v>0</v>
      </c>
      <c r="N1328" s="14" t="n">
        <v>625859.9061410642</v>
      </c>
      <c r="O1328" s="14" t="n">
        <v>1731086.610138987</v>
      </c>
      <c r="P1328" s="14" t="n">
        <v>129632.4010405596</v>
      </c>
      <c r="Q1328" s="14" t="n">
        <v>12628695.49843083</v>
      </c>
      <c r="R1328" s="15">
        <f>IF(D1328=1,"Section 1","Control")</f>
        <v/>
      </c>
      <c r="S1328" s="16">
        <f>N1328/10000</f>
        <v/>
      </c>
      <c r="T1328" s="16">
        <f>P1328/10000</f>
        <v/>
      </c>
      <c r="U1328" s="15">
        <f>IF(N1328&gt;=Summary!$D$3,1,0)</f>
        <v/>
      </c>
      <c r="V1328" s="17">
        <f>IF(N1328&gt;0,P1328/N1328,"")</f>
        <v/>
      </c>
      <c r="W1328" s="17">
        <f>IF(O1328&gt;0,H1328/O1328,"")</f>
        <v/>
      </c>
    </row>
    <row r="1329">
      <c r="A1329" s="13" t="inlineStr">
        <is>
          <t>CE01_B2</t>
        </is>
      </c>
      <c r="B1329" s="13" t="inlineStr">
        <is>
          <t>CE01</t>
        </is>
      </c>
      <c r="C1329" s="13" t="inlineStr">
        <is>
          <t>B2</t>
        </is>
      </c>
      <c r="D1329" s="13" t="n">
        <v>0</v>
      </c>
      <c r="E1329" s="13" t="inlineStr">
        <is>
          <t>E</t>
        </is>
      </c>
      <c r="F1329" s="13" t="n">
        <v>2024</v>
      </c>
      <c r="G1329" s="14" t="n">
        <v>2218857.047363581</v>
      </c>
      <c r="H1329" s="14" t="n">
        <v>708985.4971043604</v>
      </c>
      <c r="I1329" s="14" t="n">
        <v>654758.3560570212</v>
      </c>
      <c r="J1329" s="14" t="n">
        <v>0</v>
      </c>
      <c r="K1329" s="14" t="n">
        <v>444538.4170849968</v>
      </c>
      <c r="L1329" s="14" t="n">
        <v>410574.7771172019</v>
      </c>
      <c r="M1329" s="14" t="n">
        <v>0</v>
      </c>
      <c r="N1329" s="14" t="n">
        <v>625859.9061410642</v>
      </c>
      <c r="O1329" s="14" t="n">
        <v>1731086.610138987</v>
      </c>
      <c r="P1329" s="14" t="n">
        <v>99959.67455647788</v>
      </c>
      <c r="Q1329" s="14" t="n">
        <v>12628695.49843083</v>
      </c>
      <c r="R1329" s="15">
        <f>IF(D1329=1,"Section 1","Control")</f>
        <v/>
      </c>
      <c r="S1329" s="16">
        <f>N1329/10000</f>
        <v/>
      </c>
      <c r="T1329" s="16">
        <f>P1329/10000</f>
        <v/>
      </c>
      <c r="U1329" s="15">
        <f>IF(N1329&gt;=Summary!$D$3,1,0)</f>
        <v/>
      </c>
      <c r="V1329" s="17">
        <f>IF(N1329&gt;0,P1329/N1329,"")</f>
        <v/>
      </c>
      <c r="W1329" s="17">
        <f>IF(O1329&gt;0,H1329/O1329,"")</f>
        <v/>
      </c>
    </row>
    <row r="1330">
      <c r="A1330" s="13" t="inlineStr">
        <is>
          <t>CE01_B2</t>
        </is>
      </c>
      <c r="B1330" s="13" t="inlineStr">
        <is>
          <t>CE01</t>
        </is>
      </c>
      <c r="C1330" s="13" t="inlineStr">
        <is>
          <t>B2</t>
        </is>
      </c>
      <c r="D1330" s="13" t="n">
        <v>0</v>
      </c>
      <c r="E1330" s="13" t="inlineStr">
        <is>
          <t>E</t>
        </is>
      </c>
      <c r="F1330" s="13" t="n">
        <v>2025</v>
      </c>
      <c r="G1330" s="14" t="n">
        <v>2218857.047363581</v>
      </c>
      <c r="H1330" s="14" t="n">
        <v>753714.6669487746</v>
      </c>
      <c r="I1330" s="14" t="n">
        <v>614389.9590749105</v>
      </c>
      <c r="J1330" s="14" t="n">
        <v>0</v>
      </c>
      <c r="K1330" s="14" t="n">
        <v>433538.689323545</v>
      </c>
      <c r="L1330" s="14" t="n">
        <v>417213.7320163503</v>
      </c>
      <c r="M1330" s="14" t="n">
        <v>0</v>
      </c>
      <c r="N1330" s="14" t="n">
        <v>625859.9061410642</v>
      </c>
      <c r="O1330" s="14" t="n">
        <v>1731086.610138987</v>
      </c>
      <c r="P1330" s="14" t="n">
        <v>112130.5556262147</v>
      </c>
      <c r="Q1330" s="14" t="n">
        <v>12628695.49843083</v>
      </c>
      <c r="R1330" s="15">
        <f>IF(D1330=1,"Section 1","Control")</f>
        <v/>
      </c>
      <c r="S1330" s="16">
        <f>N1330/10000</f>
        <v/>
      </c>
      <c r="T1330" s="16">
        <f>P1330/10000</f>
        <v/>
      </c>
      <c r="U1330" s="15">
        <f>IF(N1330&gt;=Summary!$D$3,1,0)</f>
        <v/>
      </c>
      <c r="V1330" s="17">
        <f>IF(N1330&gt;0,P1330/N1330,"")</f>
        <v/>
      </c>
      <c r="W1330" s="17">
        <f>IF(O1330&gt;0,H1330/O1330,"")</f>
        <v/>
      </c>
    </row>
    <row r="1331">
      <c r="A1331" s="13" t="inlineStr">
        <is>
          <t>CE01_B2</t>
        </is>
      </c>
      <c r="B1331" s="13" t="inlineStr">
        <is>
          <t>CE01</t>
        </is>
      </c>
      <c r="C1331" s="13" t="inlineStr">
        <is>
          <t>B2</t>
        </is>
      </c>
      <c r="D1331" s="13" t="n">
        <v>0</v>
      </c>
      <c r="E1331" s="13" t="inlineStr">
        <is>
          <t>E</t>
        </is>
      </c>
      <c r="F1331" s="13" t="n">
        <v>2026</v>
      </c>
      <c r="G1331" s="14" t="n">
        <v>2218857.047363581</v>
      </c>
      <c r="H1331" s="14" t="n">
        <v>709444.2011111989</v>
      </c>
      <c r="I1331" s="14" t="n">
        <v>513773.5400848688</v>
      </c>
      <c r="J1331" s="14" t="n">
        <v>0</v>
      </c>
      <c r="K1331" s="14" t="n">
        <v>588989.1534816069</v>
      </c>
      <c r="L1331" s="14" t="n">
        <v>406650.1526859059</v>
      </c>
      <c r="M1331" s="14" t="n">
        <v>0</v>
      </c>
      <c r="N1331" s="14" t="n">
        <v>625859.9061410642</v>
      </c>
      <c r="O1331" s="14" t="n">
        <v>1731086.610138987</v>
      </c>
      <c r="P1331" s="14" t="n">
        <v>138676.5764520981</v>
      </c>
      <c r="Q1331" s="14" t="n">
        <v>12628695.49843083</v>
      </c>
      <c r="R1331" s="15">
        <f>IF(D1331=1,"Section 1","Control")</f>
        <v/>
      </c>
      <c r="S1331" s="16">
        <f>N1331/10000</f>
        <v/>
      </c>
      <c r="T1331" s="16">
        <f>P1331/10000</f>
        <v/>
      </c>
      <c r="U1331" s="15">
        <f>IF(N1331&gt;=Summary!$D$3,1,0)</f>
        <v/>
      </c>
      <c r="V1331" s="17">
        <f>IF(N1331&gt;0,P1331/N1331,"")</f>
        <v/>
      </c>
      <c r="W1331" s="17">
        <f>IF(O1331&gt;0,H1331/O1331,"")</f>
        <v/>
      </c>
    </row>
    <row r="1332">
      <c r="A1332" s="13" t="inlineStr">
        <is>
          <t>CE01_B3</t>
        </is>
      </c>
      <c r="B1332" s="13" t="inlineStr">
        <is>
          <t>CE01</t>
        </is>
      </c>
      <c r="C1332" s="13" t="inlineStr">
        <is>
          <t>B3</t>
        </is>
      </c>
      <c r="D1332" s="13" t="n">
        <v>0</v>
      </c>
      <c r="E1332" s="13" t="inlineStr">
        <is>
          <t>E</t>
        </is>
      </c>
      <c r="F1332" s="13" t="n">
        <v>2020</v>
      </c>
      <c r="G1332" s="14" t="n">
        <v>45995550.75369938</v>
      </c>
      <c r="H1332" s="14" t="n">
        <v>6918191.400976921</v>
      </c>
      <c r="I1332" s="14" t="n">
        <v>6541027.560532754</v>
      </c>
      <c r="J1332" s="14" t="n">
        <v>0</v>
      </c>
      <c r="K1332" s="14" t="n">
        <v>6430026.035146347</v>
      </c>
      <c r="L1332" s="14" t="n">
        <v>26106305.75704334</v>
      </c>
      <c r="M1332" s="14" t="n">
        <v>0</v>
      </c>
      <c r="N1332" s="14" t="n">
        <v>6918191.400976921</v>
      </c>
      <c r="O1332" s="14" t="n">
        <v>19889244.99665602</v>
      </c>
      <c r="P1332" s="14" t="n">
        <v>0</v>
      </c>
      <c r="Q1332" s="14" t="n">
        <v>172918880.6279811</v>
      </c>
      <c r="R1332" s="15">
        <f>IF(D1332=1,"Section 1","Control")</f>
        <v/>
      </c>
      <c r="S1332" s="16">
        <f>N1332/10000</f>
        <v/>
      </c>
      <c r="T1332" s="16">
        <f>P1332/10000</f>
        <v/>
      </c>
      <c r="U1332" s="15">
        <f>IF(N1332&gt;=Summary!$D$3,1,0)</f>
        <v/>
      </c>
      <c r="V1332" s="17">
        <f>IF(N1332&gt;0,P1332/N1332,"")</f>
        <v/>
      </c>
      <c r="W1332" s="17">
        <f>IF(O1332&gt;0,H1332/O1332,"")</f>
        <v/>
      </c>
    </row>
    <row r="1333">
      <c r="A1333" s="13" t="inlineStr">
        <is>
          <t>CE01_B3</t>
        </is>
      </c>
      <c r="B1333" s="13" t="inlineStr">
        <is>
          <t>CE01</t>
        </is>
      </c>
      <c r="C1333" s="13" t="inlineStr">
        <is>
          <t>B3</t>
        </is>
      </c>
      <c r="D1333" s="13" t="n">
        <v>0</v>
      </c>
      <c r="E1333" s="13" t="inlineStr">
        <is>
          <t>E</t>
        </is>
      </c>
      <c r="F1333" s="13" t="n">
        <v>2021</v>
      </c>
      <c r="G1333" s="14" t="n">
        <v>45995550.75369938</v>
      </c>
      <c r="H1333" s="14" t="n">
        <v>6390984.391249414</v>
      </c>
      <c r="I1333" s="14" t="n">
        <v>5622451.791182812</v>
      </c>
      <c r="J1333" s="14" t="n">
        <v>0</v>
      </c>
      <c r="K1333" s="14" t="n">
        <v>8078138.329959195</v>
      </c>
      <c r="L1333" s="14" t="n">
        <v>25903976.24130793</v>
      </c>
      <c r="M1333" s="14" t="n">
        <v>0</v>
      </c>
      <c r="N1333" s="14" t="n">
        <v>6918191.400976921</v>
      </c>
      <c r="O1333" s="14" t="n">
        <v>19889244.99665602</v>
      </c>
      <c r="P1333" s="14" t="n">
        <v>710090.6480420581</v>
      </c>
      <c r="Q1333" s="14" t="n">
        <v>172918880.6279811</v>
      </c>
      <c r="R1333" s="15">
        <f>IF(D1333=1,"Section 1","Control")</f>
        <v/>
      </c>
      <c r="S1333" s="16">
        <f>N1333/10000</f>
        <v/>
      </c>
      <c r="T1333" s="16">
        <f>P1333/10000</f>
        <v/>
      </c>
      <c r="U1333" s="15">
        <f>IF(N1333&gt;=Summary!$D$3,1,0)</f>
        <v/>
      </c>
      <c r="V1333" s="17">
        <f>IF(N1333&gt;0,P1333/N1333,"")</f>
        <v/>
      </c>
      <c r="W1333" s="17">
        <f>IF(O1333&gt;0,H1333/O1333,"")</f>
        <v/>
      </c>
    </row>
    <row r="1334">
      <c r="A1334" s="13" t="inlineStr">
        <is>
          <t>CE01_B3</t>
        </is>
      </c>
      <c r="B1334" s="13" t="inlineStr">
        <is>
          <t>CE01</t>
        </is>
      </c>
      <c r="C1334" s="13" t="inlineStr">
        <is>
          <t>B3</t>
        </is>
      </c>
      <c r="D1334" s="13" t="n">
        <v>0</v>
      </c>
      <c r="E1334" s="13" t="inlineStr">
        <is>
          <t>E</t>
        </is>
      </c>
      <c r="F1334" s="13" t="n">
        <v>2022</v>
      </c>
      <c r="G1334" s="14" t="n">
        <v>45995550.75369937</v>
      </c>
      <c r="H1334" s="14" t="n">
        <v>6423577.684563462</v>
      </c>
      <c r="I1334" s="14" t="n">
        <v>5604198.11116007</v>
      </c>
      <c r="J1334" s="14" t="n">
        <v>0</v>
      </c>
      <c r="K1334" s="14" t="n">
        <v>8366499.712379665</v>
      </c>
      <c r="L1334" s="14" t="n">
        <v>25601275.24559616</v>
      </c>
      <c r="M1334" s="14" t="n">
        <v>0</v>
      </c>
      <c r="N1334" s="14" t="n">
        <v>6918191.400976921</v>
      </c>
      <c r="O1334" s="14" t="n">
        <v>19889244.99665602</v>
      </c>
      <c r="P1334" s="14" t="n">
        <v>1153497.437157365</v>
      </c>
      <c r="Q1334" s="14" t="n">
        <v>172918880.6279811</v>
      </c>
      <c r="R1334" s="15">
        <f>IF(D1334=1,"Section 1","Control")</f>
        <v/>
      </c>
      <c r="S1334" s="16">
        <f>N1334/10000</f>
        <v/>
      </c>
      <c r="T1334" s="16">
        <f>P1334/10000</f>
        <v/>
      </c>
      <c r="U1334" s="15">
        <f>IF(N1334&gt;=Summary!$D$3,1,0)</f>
        <v/>
      </c>
      <c r="V1334" s="17">
        <f>IF(N1334&gt;0,P1334/N1334,"")</f>
        <v/>
      </c>
      <c r="W1334" s="17">
        <f>IF(O1334&gt;0,H1334/O1334,"")</f>
        <v/>
      </c>
    </row>
    <row r="1335">
      <c r="A1335" s="13" t="inlineStr">
        <is>
          <t>CE01_B3</t>
        </is>
      </c>
      <c r="B1335" s="13" t="inlineStr">
        <is>
          <t>CE01</t>
        </is>
      </c>
      <c r="C1335" s="13" t="inlineStr">
        <is>
          <t>B3</t>
        </is>
      </c>
      <c r="D1335" s="13" t="n">
        <v>0</v>
      </c>
      <c r="E1335" s="13" t="inlineStr">
        <is>
          <t>E</t>
        </is>
      </c>
      <c r="F1335" s="13" t="n">
        <v>2023</v>
      </c>
      <c r="G1335" s="14" t="n">
        <v>45995550.75369938</v>
      </c>
      <c r="H1335" s="14" t="n">
        <v>6063041.44757849</v>
      </c>
      <c r="I1335" s="14" t="n">
        <v>6241190.463207081</v>
      </c>
      <c r="J1335" s="14" t="n">
        <v>0</v>
      </c>
      <c r="K1335" s="14" t="n">
        <v>7801849.127059546</v>
      </c>
      <c r="L1335" s="14" t="n">
        <v>25889469.71585424</v>
      </c>
      <c r="M1335" s="14" t="n">
        <v>0</v>
      </c>
      <c r="N1335" s="14" t="n">
        <v>6918191.400976921</v>
      </c>
      <c r="O1335" s="14" t="n">
        <v>19889244.99665602</v>
      </c>
      <c r="P1335" s="14" t="n">
        <v>1438505.38341615</v>
      </c>
      <c r="Q1335" s="14" t="n">
        <v>172918880.6279811</v>
      </c>
      <c r="R1335" s="15">
        <f>IF(D1335=1,"Section 1","Control")</f>
        <v/>
      </c>
      <c r="S1335" s="16">
        <f>N1335/10000</f>
        <v/>
      </c>
      <c r="T1335" s="16">
        <f>P1335/10000</f>
        <v/>
      </c>
      <c r="U1335" s="15">
        <f>IF(N1335&gt;=Summary!$D$3,1,0)</f>
        <v/>
      </c>
      <c r="V1335" s="17">
        <f>IF(N1335&gt;0,P1335/N1335,"")</f>
        <v/>
      </c>
      <c r="W1335" s="17">
        <f>IF(O1335&gt;0,H1335/O1335,"")</f>
        <v/>
      </c>
    </row>
    <row r="1336">
      <c r="A1336" s="13" t="inlineStr">
        <is>
          <t>CE01_B3</t>
        </is>
      </c>
      <c r="B1336" s="13" t="inlineStr">
        <is>
          <t>CE01</t>
        </is>
      </c>
      <c r="C1336" s="13" t="inlineStr">
        <is>
          <t>B3</t>
        </is>
      </c>
      <c r="D1336" s="13" t="n">
        <v>0</v>
      </c>
      <c r="E1336" s="13" t="inlineStr">
        <is>
          <t>E</t>
        </is>
      </c>
      <c r="F1336" s="13" t="n">
        <v>2024</v>
      </c>
      <c r="G1336" s="14" t="n">
        <v>45995550.75369938</v>
      </c>
      <c r="H1336" s="14" t="n">
        <v>6788507.504384656</v>
      </c>
      <c r="I1336" s="14" t="n">
        <v>4798744.029616352</v>
      </c>
      <c r="J1336" s="14" t="n">
        <v>0</v>
      </c>
      <c r="K1336" s="14" t="n">
        <v>8547143.379882693</v>
      </c>
      <c r="L1336" s="14" t="n">
        <v>25861155.83981565</v>
      </c>
      <c r="M1336" s="14" t="n">
        <v>0</v>
      </c>
      <c r="N1336" s="14" t="n">
        <v>6918191.400976921</v>
      </c>
      <c r="O1336" s="14" t="n">
        <v>19889244.99665602</v>
      </c>
      <c r="P1336" s="14" t="n">
        <v>1342753.38122768</v>
      </c>
      <c r="Q1336" s="14" t="n">
        <v>172918880.6279811</v>
      </c>
      <c r="R1336" s="15">
        <f>IF(D1336=1,"Section 1","Control")</f>
        <v/>
      </c>
      <c r="S1336" s="16">
        <f>N1336/10000</f>
        <v/>
      </c>
      <c r="T1336" s="16">
        <f>P1336/10000</f>
        <v/>
      </c>
      <c r="U1336" s="15">
        <f>IF(N1336&gt;=Summary!$D$3,1,0)</f>
        <v/>
      </c>
      <c r="V1336" s="17">
        <f>IF(N1336&gt;0,P1336/N1336,"")</f>
        <v/>
      </c>
      <c r="W1336" s="17">
        <f>IF(O1336&gt;0,H1336/O1336,"")</f>
        <v/>
      </c>
    </row>
    <row r="1337">
      <c r="A1337" s="13" t="inlineStr">
        <is>
          <t>CE01_B3</t>
        </is>
      </c>
      <c r="B1337" s="13" t="inlineStr">
        <is>
          <t>CE01</t>
        </is>
      </c>
      <c r="C1337" s="13" t="inlineStr">
        <is>
          <t>B3</t>
        </is>
      </c>
      <c r="D1337" s="13" t="n">
        <v>0</v>
      </c>
      <c r="E1337" s="13" t="inlineStr">
        <is>
          <t>E</t>
        </is>
      </c>
      <c r="F1337" s="13" t="n">
        <v>2025</v>
      </c>
      <c r="G1337" s="14" t="n">
        <v>45995550.75369938</v>
      </c>
      <c r="H1337" s="14" t="n">
        <v>6641958.113965861</v>
      </c>
      <c r="I1337" s="14" t="n">
        <v>5226715.404132678</v>
      </c>
      <c r="J1337" s="14" t="n">
        <v>0</v>
      </c>
      <c r="K1337" s="14" t="n">
        <v>8068591.187513674</v>
      </c>
      <c r="L1337" s="14" t="n">
        <v>26058286.04808714</v>
      </c>
      <c r="M1337" s="14" t="n">
        <v>0</v>
      </c>
      <c r="N1337" s="14" t="n">
        <v>6918191.400976921</v>
      </c>
      <c r="O1337" s="14" t="n">
        <v>19889244.99665602</v>
      </c>
      <c r="P1337" s="14" t="n">
        <v>1426133.06941286</v>
      </c>
      <c r="Q1337" s="14" t="n">
        <v>172918880.6279811</v>
      </c>
      <c r="R1337" s="15">
        <f>IF(D1337=1,"Section 1","Control")</f>
        <v/>
      </c>
      <c r="S1337" s="16">
        <f>N1337/10000</f>
        <v/>
      </c>
      <c r="T1337" s="16">
        <f>P1337/10000</f>
        <v/>
      </c>
      <c r="U1337" s="15">
        <f>IF(N1337&gt;=Summary!$D$3,1,0)</f>
        <v/>
      </c>
      <c r="V1337" s="17">
        <f>IF(N1337&gt;0,P1337/N1337,"")</f>
        <v/>
      </c>
      <c r="W1337" s="17">
        <f>IF(O1337&gt;0,H1337/O1337,"")</f>
        <v/>
      </c>
    </row>
    <row r="1338">
      <c r="A1338" s="13" t="inlineStr">
        <is>
          <t>CE01_B3</t>
        </is>
      </c>
      <c r="B1338" s="13" t="inlineStr">
        <is>
          <t>CE01</t>
        </is>
      </c>
      <c r="C1338" s="13" t="inlineStr">
        <is>
          <t>B3</t>
        </is>
      </c>
      <c r="D1338" s="13" t="n">
        <v>0</v>
      </c>
      <c r="E1338" s="13" t="inlineStr">
        <is>
          <t>E</t>
        </is>
      </c>
      <c r="F1338" s="13" t="n">
        <v>2026</v>
      </c>
      <c r="G1338" s="14" t="n">
        <v>45995550.75369938</v>
      </c>
      <c r="H1338" s="14" t="n">
        <v>6602064.605532717</v>
      </c>
      <c r="I1338" s="14" t="n">
        <v>4311706.52330771</v>
      </c>
      <c r="J1338" s="14" t="n">
        <v>0</v>
      </c>
      <c r="K1338" s="14" t="n">
        <v>9094126.863618709</v>
      </c>
      <c r="L1338" s="14" t="n">
        <v>25987652.76124022</v>
      </c>
      <c r="M1338" s="14" t="n">
        <v>0</v>
      </c>
      <c r="N1338" s="14" t="n">
        <v>6918191.400976921</v>
      </c>
      <c r="O1338" s="14" t="n">
        <v>19889244.99665602</v>
      </c>
      <c r="P1338" s="14" t="n">
        <v>1674286.599333849</v>
      </c>
      <c r="Q1338" s="14" t="n">
        <v>172918880.6279811</v>
      </c>
      <c r="R1338" s="15">
        <f>IF(D1338=1,"Section 1","Control")</f>
        <v/>
      </c>
      <c r="S1338" s="16">
        <f>N1338/10000</f>
        <v/>
      </c>
      <c r="T1338" s="16">
        <f>P1338/10000</f>
        <v/>
      </c>
      <c r="U1338" s="15">
        <f>IF(N1338&gt;=Summary!$D$3,1,0)</f>
        <v/>
      </c>
      <c r="V1338" s="17">
        <f>IF(N1338&gt;0,P1338/N1338,"")</f>
        <v/>
      </c>
      <c r="W1338" s="17">
        <f>IF(O1338&gt;0,H1338/O1338,"")</f>
        <v/>
      </c>
    </row>
    <row r="1339">
      <c r="A1339" s="13" t="inlineStr">
        <is>
          <t>CE01_F</t>
        </is>
      </c>
      <c r="B1339" s="13" t="inlineStr">
        <is>
          <t>CE01</t>
        </is>
      </c>
      <c r="C1339" s="13" t="inlineStr">
        <is>
          <t>F</t>
        </is>
      </c>
      <c r="D1339" s="13" t="n">
        <v>0</v>
      </c>
      <c r="E1339" s="13" t="inlineStr">
        <is>
          <t>E</t>
        </is>
      </c>
      <c r="F1339" s="13" t="n">
        <v>2020</v>
      </c>
      <c r="G1339" s="14" t="n">
        <v>70472.19898795335</v>
      </c>
      <c r="H1339" s="14" t="n">
        <v>1897.822808568618</v>
      </c>
      <c r="I1339" s="14" t="n">
        <v>39277.76848377901</v>
      </c>
      <c r="J1339" s="14" t="n">
        <v>0</v>
      </c>
      <c r="K1339" s="14" t="n">
        <v>29296.6076956057</v>
      </c>
      <c r="L1339" s="14" t="n">
        <v>0</v>
      </c>
      <c r="M1339" s="14" t="n">
        <v>0</v>
      </c>
      <c r="N1339" s="14" t="n">
        <v>1897.822808568618</v>
      </c>
      <c r="O1339" s="14" t="n">
        <v>70472.19898795335</v>
      </c>
      <c r="P1339" s="14" t="n">
        <v>0</v>
      </c>
      <c r="Q1339" s="14" t="n">
        <v>313060.7566033158</v>
      </c>
      <c r="R1339" s="15">
        <f>IF(D1339=1,"Section 1","Control")</f>
        <v/>
      </c>
      <c r="S1339" s="16">
        <f>N1339/10000</f>
        <v/>
      </c>
      <c r="T1339" s="16">
        <f>P1339/10000</f>
        <v/>
      </c>
      <c r="U1339" s="15">
        <f>IF(N1339&gt;=Summary!$D$3,1,0)</f>
        <v/>
      </c>
      <c r="V1339" s="17">
        <f>IF(N1339&gt;0,P1339/N1339,"")</f>
        <v/>
      </c>
      <c r="W1339" s="17">
        <f>IF(O1339&gt;0,H1339/O1339,"")</f>
        <v/>
      </c>
    </row>
    <row r="1340">
      <c r="A1340" s="13" t="inlineStr">
        <is>
          <t>CE01_F</t>
        </is>
      </c>
      <c r="B1340" s="13" t="inlineStr">
        <is>
          <t>CE01</t>
        </is>
      </c>
      <c r="C1340" s="13" t="inlineStr">
        <is>
          <t>F</t>
        </is>
      </c>
      <c r="D1340" s="13" t="n">
        <v>0</v>
      </c>
      <c r="E1340" s="13" t="inlineStr">
        <is>
          <t>E</t>
        </is>
      </c>
      <c r="F1340" s="13" t="n">
        <v>2021</v>
      </c>
      <c r="G1340" s="14" t="n">
        <v>70472.19898795335</v>
      </c>
      <c r="H1340" s="14" t="n">
        <v>901.6782805498908</v>
      </c>
      <c r="I1340" s="14" t="n">
        <v>35627.69449624455</v>
      </c>
      <c r="J1340" s="14" t="n">
        <v>0</v>
      </c>
      <c r="K1340" s="14" t="n">
        <v>33942.8262111589</v>
      </c>
      <c r="L1340" s="14" t="n">
        <v>0</v>
      </c>
      <c r="M1340" s="14" t="n">
        <v>0</v>
      </c>
      <c r="N1340" s="14" t="n">
        <v>1897.822808568618</v>
      </c>
      <c r="O1340" s="14" t="n">
        <v>70472.19898795335</v>
      </c>
      <c r="P1340" s="14" t="n">
        <v>1094.868298160328</v>
      </c>
      <c r="Q1340" s="14" t="n">
        <v>313060.7566033158</v>
      </c>
      <c r="R1340" s="15">
        <f>IF(D1340=1,"Section 1","Control")</f>
        <v/>
      </c>
      <c r="S1340" s="16">
        <f>N1340/10000</f>
        <v/>
      </c>
      <c r="T1340" s="16">
        <f>P1340/10000</f>
        <v/>
      </c>
      <c r="U1340" s="15">
        <f>IF(N1340&gt;=Summary!$D$3,1,0)</f>
        <v/>
      </c>
      <c r="V1340" s="17">
        <f>IF(N1340&gt;0,P1340/N1340,"")</f>
        <v/>
      </c>
      <c r="W1340" s="17">
        <f>IF(O1340&gt;0,H1340/O1340,"")</f>
        <v/>
      </c>
    </row>
    <row r="1341">
      <c r="A1341" s="13" t="inlineStr">
        <is>
          <t>CE01_F</t>
        </is>
      </c>
      <c r="B1341" s="13" t="inlineStr">
        <is>
          <t>CE01</t>
        </is>
      </c>
      <c r="C1341" s="13" t="inlineStr">
        <is>
          <t>F</t>
        </is>
      </c>
      <c r="D1341" s="13" t="n">
        <v>0</v>
      </c>
      <c r="E1341" s="13" t="inlineStr">
        <is>
          <t>E</t>
        </is>
      </c>
      <c r="F1341" s="13" t="n">
        <v>2022</v>
      </c>
      <c r="G1341" s="14" t="n">
        <v>70472.19898795335</v>
      </c>
      <c r="H1341" s="14" t="n">
        <v>2989.588756665997</v>
      </c>
      <c r="I1341" s="14" t="n">
        <v>34643.16745650348</v>
      </c>
      <c r="J1341" s="14" t="n">
        <v>0</v>
      </c>
      <c r="K1341" s="14" t="n">
        <v>32839.44277478386</v>
      </c>
      <c r="L1341" s="14" t="n">
        <v>0</v>
      </c>
      <c r="M1341" s="14" t="n">
        <v>0</v>
      </c>
      <c r="N1341" s="14" t="n">
        <v>1897.822808568618</v>
      </c>
      <c r="O1341" s="14" t="n">
        <v>70472.19898795335</v>
      </c>
      <c r="P1341" s="14" t="n">
        <v>1499.83053669649</v>
      </c>
      <c r="Q1341" s="14" t="n">
        <v>313060.7566033158</v>
      </c>
      <c r="R1341" s="15">
        <f>IF(D1341=1,"Section 1","Control")</f>
        <v/>
      </c>
      <c r="S1341" s="16">
        <f>N1341/10000</f>
        <v/>
      </c>
      <c r="T1341" s="16">
        <f>P1341/10000</f>
        <v/>
      </c>
      <c r="U1341" s="15">
        <f>IF(N1341&gt;=Summary!$D$3,1,0)</f>
        <v/>
      </c>
      <c r="V1341" s="17">
        <f>IF(N1341&gt;0,P1341/N1341,"")</f>
        <v/>
      </c>
      <c r="W1341" s="17">
        <f>IF(O1341&gt;0,H1341/O1341,"")</f>
        <v/>
      </c>
    </row>
    <row r="1342">
      <c r="A1342" s="13" t="inlineStr">
        <is>
          <t>CE01_F</t>
        </is>
      </c>
      <c r="B1342" s="13" t="inlineStr">
        <is>
          <t>CE01</t>
        </is>
      </c>
      <c r="C1342" s="13" t="inlineStr">
        <is>
          <t>F</t>
        </is>
      </c>
      <c r="D1342" s="13" t="n">
        <v>0</v>
      </c>
      <c r="E1342" s="13" t="inlineStr">
        <is>
          <t>E</t>
        </is>
      </c>
      <c r="F1342" s="13" t="n">
        <v>2023</v>
      </c>
      <c r="G1342" s="14" t="n">
        <v>70472.19898795335</v>
      </c>
      <c r="H1342" s="14" t="n">
        <v>132.7932027779374</v>
      </c>
      <c r="I1342" s="14" t="n">
        <v>32211.4627995809</v>
      </c>
      <c r="J1342" s="14" t="n">
        <v>0</v>
      </c>
      <c r="K1342" s="14" t="n">
        <v>38127.94298559451</v>
      </c>
      <c r="L1342" s="14" t="n">
        <v>0</v>
      </c>
      <c r="M1342" s="14" t="n">
        <v>0</v>
      </c>
      <c r="N1342" s="14" t="n">
        <v>1897.822808568618</v>
      </c>
      <c r="O1342" s="14" t="n">
        <v>70472.19898795335</v>
      </c>
      <c r="P1342" s="14" t="n">
        <v>1863.753436967438</v>
      </c>
      <c r="Q1342" s="14" t="n">
        <v>313060.7566033158</v>
      </c>
      <c r="R1342" s="15">
        <f>IF(D1342=1,"Section 1","Control")</f>
        <v/>
      </c>
      <c r="S1342" s="16">
        <f>N1342/10000</f>
        <v/>
      </c>
      <c r="T1342" s="16">
        <f>P1342/10000</f>
        <v/>
      </c>
      <c r="U1342" s="15">
        <f>IF(N1342&gt;=Summary!$D$3,1,0)</f>
        <v/>
      </c>
      <c r="V1342" s="17">
        <f>IF(N1342&gt;0,P1342/N1342,"")</f>
        <v/>
      </c>
      <c r="W1342" s="17">
        <f>IF(O1342&gt;0,H1342/O1342,"")</f>
        <v/>
      </c>
    </row>
    <row r="1343">
      <c r="A1343" s="13" t="inlineStr">
        <is>
          <t>CE01_F</t>
        </is>
      </c>
      <c r="B1343" s="13" t="inlineStr">
        <is>
          <t>CE01</t>
        </is>
      </c>
      <c r="C1343" s="13" t="inlineStr">
        <is>
          <t>F</t>
        </is>
      </c>
      <c r="D1343" s="13" t="n">
        <v>0</v>
      </c>
      <c r="E1343" s="13" t="inlineStr">
        <is>
          <t>E</t>
        </is>
      </c>
      <c r="F1343" s="13" t="n">
        <v>2024</v>
      </c>
      <c r="G1343" s="14" t="n">
        <v>70472.19898795335</v>
      </c>
      <c r="H1343" s="14" t="n">
        <v>4011.284893768909</v>
      </c>
      <c r="I1343" s="14" t="n">
        <v>26035.21911363789</v>
      </c>
      <c r="J1343" s="14" t="n">
        <v>0</v>
      </c>
      <c r="K1343" s="14" t="n">
        <v>40425.69498054654</v>
      </c>
      <c r="L1343" s="14" t="n">
        <v>0</v>
      </c>
      <c r="M1343" s="14" t="n">
        <v>0</v>
      </c>
      <c r="N1343" s="14" t="n">
        <v>1897.822808568618</v>
      </c>
      <c r="O1343" s="14" t="n">
        <v>70472.19898795335</v>
      </c>
      <c r="P1343" s="14" t="n">
        <v>1711.215523035386</v>
      </c>
      <c r="Q1343" s="14" t="n">
        <v>313060.7566033158</v>
      </c>
      <c r="R1343" s="15">
        <f>IF(D1343=1,"Section 1","Control")</f>
        <v/>
      </c>
      <c r="S1343" s="16">
        <f>N1343/10000</f>
        <v/>
      </c>
      <c r="T1343" s="16">
        <f>P1343/10000</f>
        <v/>
      </c>
      <c r="U1343" s="15">
        <f>IF(N1343&gt;=Summary!$D$3,1,0)</f>
        <v/>
      </c>
      <c r="V1343" s="17">
        <f>IF(N1343&gt;0,P1343/N1343,"")</f>
        <v/>
      </c>
      <c r="W1343" s="17">
        <f>IF(O1343&gt;0,H1343/O1343,"")</f>
        <v/>
      </c>
    </row>
    <row r="1344">
      <c r="A1344" s="13" t="inlineStr">
        <is>
          <t>CE01_F</t>
        </is>
      </c>
      <c r="B1344" s="13" t="inlineStr">
        <is>
          <t>CE01</t>
        </is>
      </c>
      <c r="C1344" s="13" t="inlineStr">
        <is>
          <t>F</t>
        </is>
      </c>
      <c r="D1344" s="13" t="n">
        <v>0</v>
      </c>
      <c r="E1344" s="13" t="inlineStr">
        <is>
          <t>E</t>
        </is>
      </c>
      <c r="F1344" s="13" t="n">
        <v>2025</v>
      </c>
      <c r="G1344" s="14" t="n">
        <v>70472.19898795335</v>
      </c>
      <c r="H1344" s="14" t="n">
        <v>3700.399713374119</v>
      </c>
      <c r="I1344" s="14" t="n">
        <v>10824.77863087374</v>
      </c>
      <c r="J1344" s="14" t="n">
        <v>0</v>
      </c>
      <c r="K1344" s="14" t="n">
        <v>55947.02064370549</v>
      </c>
      <c r="L1344" s="14" t="n">
        <v>0</v>
      </c>
      <c r="M1344" s="14" t="n">
        <v>0</v>
      </c>
      <c r="N1344" s="14" t="n">
        <v>1897.822808568618</v>
      </c>
      <c r="O1344" s="14" t="n">
        <v>70472.19898795335</v>
      </c>
      <c r="P1344" s="14" t="n">
        <v>1711.215523035386</v>
      </c>
      <c r="Q1344" s="14" t="n">
        <v>313060.7566033158</v>
      </c>
      <c r="R1344" s="15">
        <f>IF(D1344=1,"Section 1","Control")</f>
        <v/>
      </c>
      <c r="S1344" s="16">
        <f>N1344/10000</f>
        <v/>
      </c>
      <c r="T1344" s="16">
        <f>P1344/10000</f>
        <v/>
      </c>
      <c r="U1344" s="15">
        <f>IF(N1344&gt;=Summary!$D$3,1,0)</f>
        <v/>
      </c>
      <c r="V1344" s="17">
        <f>IF(N1344&gt;0,P1344/N1344,"")</f>
        <v/>
      </c>
      <c r="W1344" s="17">
        <f>IF(O1344&gt;0,H1344/O1344,"")</f>
        <v/>
      </c>
    </row>
    <row r="1345">
      <c r="A1345" s="13" t="inlineStr">
        <is>
          <t>CE01_F</t>
        </is>
      </c>
      <c r="B1345" s="13" t="inlineStr">
        <is>
          <t>CE01</t>
        </is>
      </c>
      <c r="C1345" s="13" t="inlineStr">
        <is>
          <t>F</t>
        </is>
      </c>
      <c r="D1345" s="13" t="n">
        <v>0</v>
      </c>
      <c r="E1345" s="13" t="inlineStr">
        <is>
          <t>E</t>
        </is>
      </c>
      <c r="F1345" s="13" t="n">
        <v>2026</v>
      </c>
      <c r="G1345" s="14" t="n">
        <v>70472.19898795335</v>
      </c>
      <c r="H1345" s="14" t="n">
        <v>3503.726970777324</v>
      </c>
      <c r="I1345" s="14" t="n">
        <v>1711.600460336723</v>
      </c>
      <c r="J1345" s="14" t="n">
        <v>0</v>
      </c>
      <c r="K1345" s="14" t="n">
        <v>65256.87155683929</v>
      </c>
      <c r="L1345" s="14" t="n">
        <v>0</v>
      </c>
      <c r="M1345" s="14" t="n">
        <v>0</v>
      </c>
      <c r="N1345" s="14" t="n">
        <v>1897.822808568618</v>
      </c>
      <c r="O1345" s="14" t="n">
        <v>70472.19898795335</v>
      </c>
      <c r="P1345" s="14" t="n">
        <v>1711.215523035386</v>
      </c>
      <c r="Q1345" s="14" t="n">
        <v>313060.7566033158</v>
      </c>
      <c r="R1345" s="15">
        <f>IF(D1345=1,"Section 1","Control")</f>
        <v/>
      </c>
      <c r="S1345" s="16">
        <f>N1345/10000</f>
        <v/>
      </c>
      <c r="T1345" s="16">
        <f>P1345/10000</f>
        <v/>
      </c>
      <c r="U1345" s="15">
        <f>IF(N1345&gt;=Summary!$D$3,1,0)</f>
        <v/>
      </c>
      <c r="V1345" s="17">
        <f>IF(N1345&gt;0,P1345/N1345,"")</f>
        <v/>
      </c>
      <c r="W1345" s="17">
        <f>IF(O1345&gt;0,H1345/O1345,"")</f>
        <v/>
      </c>
    </row>
    <row r="1346">
      <c r="A1346" s="13" t="inlineStr">
        <is>
          <t>CE02_B1</t>
        </is>
      </c>
      <c r="B1346" s="13" t="inlineStr">
        <is>
          <t>CE02</t>
        </is>
      </c>
      <c r="C1346" s="13" t="inlineStr">
        <is>
          <t>B1</t>
        </is>
      </c>
      <c r="D1346" s="13" t="n">
        <v>0</v>
      </c>
      <c r="E1346" s="13" t="inlineStr">
        <is>
          <t>E</t>
        </is>
      </c>
      <c r="F1346" s="13" t="n">
        <v>2020</v>
      </c>
      <c r="G1346" s="14" t="n">
        <v>1000233.213496668</v>
      </c>
      <c r="H1346" s="14" t="n">
        <v>284768.8153119854</v>
      </c>
      <c r="I1346" s="14" t="n">
        <v>551660.1467603497</v>
      </c>
      <c r="J1346" s="14" t="n">
        <v>0</v>
      </c>
      <c r="K1346" s="14" t="n">
        <v>163804.2514243331</v>
      </c>
      <c r="L1346" s="14" t="n">
        <v>0</v>
      </c>
      <c r="M1346" s="14" t="n">
        <v>0</v>
      </c>
      <c r="N1346" s="14" t="n">
        <v>284768.8153119854</v>
      </c>
      <c r="O1346" s="14" t="n">
        <v>1000233.213496668</v>
      </c>
      <c r="P1346" s="14" t="n">
        <v>0</v>
      </c>
      <c r="Q1346" s="14" t="n">
        <v>7443451.504969459</v>
      </c>
      <c r="R1346" s="15">
        <f>IF(D1346=1,"Section 1","Control")</f>
        <v/>
      </c>
      <c r="S1346" s="16">
        <f>N1346/10000</f>
        <v/>
      </c>
      <c r="T1346" s="16">
        <f>P1346/10000</f>
        <v/>
      </c>
      <c r="U1346" s="15">
        <f>IF(N1346&gt;=Summary!$D$3,1,0)</f>
        <v/>
      </c>
      <c r="V1346" s="17">
        <f>IF(N1346&gt;0,P1346/N1346,"")</f>
        <v/>
      </c>
      <c r="W1346" s="17">
        <f>IF(O1346&gt;0,H1346/O1346,"")</f>
        <v/>
      </c>
    </row>
    <row r="1347">
      <c r="A1347" s="13" t="inlineStr">
        <is>
          <t>CE02_B1</t>
        </is>
      </c>
      <c r="B1347" s="13" t="inlineStr">
        <is>
          <t>CE02</t>
        </is>
      </c>
      <c r="C1347" s="13" t="inlineStr">
        <is>
          <t>B1</t>
        </is>
      </c>
      <c r="D1347" s="13" t="n">
        <v>0</v>
      </c>
      <c r="E1347" s="13" t="inlineStr">
        <is>
          <t>E</t>
        </is>
      </c>
      <c r="F1347" s="13" t="n">
        <v>2021</v>
      </c>
      <c r="G1347" s="14" t="n">
        <v>1000233.213496668</v>
      </c>
      <c r="H1347" s="14" t="n">
        <v>227588.3241882025</v>
      </c>
      <c r="I1347" s="14" t="n">
        <v>505080.4652817968</v>
      </c>
      <c r="J1347" s="14" t="n">
        <v>0</v>
      </c>
      <c r="K1347" s="14" t="n">
        <v>267564.4240266688</v>
      </c>
      <c r="L1347" s="14" t="n">
        <v>0</v>
      </c>
      <c r="M1347" s="14" t="n">
        <v>0</v>
      </c>
      <c r="N1347" s="14" t="n">
        <v>284768.8153119854</v>
      </c>
      <c r="O1347" s="14" t="n">
        <v>1000233.213496668</v>
      </c>
      <c r="P1347" s="14" t="n">
        <v>84357.51973682476</v>
      </c>
      <c r="Q1347" s="14" t="n">
        <v>7443451.50496946</v>
      </c>
      <c r="R1347" s="15">
        <f>IF(D1347=1,"Section 1","Control")</f>
        <v/>
      </c>
      <c r="S1347" s="16">
        <f>N1347/10000</f>
        <v/>
      </c>
      <c r="T1347" s="16">
        <f>P1347/10000</f>
        <v/>
      </c>
      <c r="U1347" s="15">
        <f>IF(N1347&gt;=Summary!$D$3,1,0)</f>
        <v/>
      </c>
      <c r="V1347" s="17">
        <f>IF(N1347&gt;0,P1347/N1347,"")</f>
        <v/>
      </c>
      <c r="W1347" s="17">
        <f>IF(O1347&gt;0,H1347/O1347,"")</f>
        <v/>
      </c>
    </row>
    <row r="1348">
      <c r="A1348" s="13" t="inlineStr">
        <is>
          <t>CE02_B1</t>
        </is>
      </c>
      <c r="B1348" s="13" t="inlineStr">
        <is>
          <t>CE02</t>
        </is>
      </c>
      <c r="C1348" s="13" t="inlineStr">
        <is>
          <t>B1</t>
        </is>
      </c>
      <c r="D1348" s="13" t="n">
        <v>0</v>
      </c>
      <c r="E1348" s="13" t="inlineStr">
        <is>
          <t>E</t>
        </is>
      </c>
      <c r="F1348" s="13" t="n">
        <v>2022</v>
      </c>
      <c r="G1348" s="14" t="n">
        <v>1000233.213496668</v>
      </c>
      <c r="H1348" s="14" t="n">
        <v>326006.7784953697</v>
      </c>
      <c r="I1348" s="14" t="n">
        <v>371576.3961551742</v>
      </c>
      <c r="J1348" s="14" t="n">
        <v>0</v>
      </c>
      <c r="K1348" s="14" t="n">
        <v>302650.0388461244</v>
      </c>
      <c r="L1348" s="14" t="n">
        <v>0</v>
      </c>
      <c r="M1348" s="14" t="n">
        <v>0</v>
      </c>
      <c r="N1348" s="14" t="n">
        <v>284768.8153119854</v>
      </c>
      <c r="O1348" s="14" t="n">
        <v>1000233.213496668</v>
      </c>
      <c r="P1348" s="14" t="n">
        <v>104402.1326938405</v>
      </c>
      <c r="Q1348" s="14" t="n">
        <v>7443451.504969459</v>
      </c>
      <c r="R1348" s="15">
        <f>IF(D1348=1,"Section 1","Control")</f>
        <v/>
      </c>
      <c r="S1348" s="16">
        <f>N1348/10000</f>
        <v/>
      </c>
      <c r="T1348" s="16">
        <f>P1348/10000</f>
        <v/>
      </c>
      <c r="U1348" s="15">
        <f>IF(N1348&gt;=Summary!$D$3,1,0)</f>
        <v/>
      </c>
      <c r="V1348" s="17">
        <f>IF(N1348&gt;0,P1348/N1348,"")</f>
        <v/>
      </c>
      <c r="W1348" s="17">
        <f>IF(O1348&gt;0,H1348/O1348,"")</f>
        <v/>
      </c>
    </row>
    <row r="1349">
      <c r="A1349" s="13" t="inlineStr">
        <is>
          <t>CE02_B1</t>
        </is>
      </c>
      <c r="B1349" s="13" t="inlineStr">
        <is>
          <t>CE02</t>
        </is>
      </c>
      <c r="C1349" s="13" t="inlineStr">
        <is>
          <t>B1</t>
        </is>
      </c>
      <c r="D1349" s="13" t="n">
        <v>0</v>
      </c>
      <c r="E1349" s="13" t="inlineStr">
        <is>
          <t>E</t>
        </is>
      </c>
      <c r="F1349" s="13" t="n">
        <v>2023</v>
      </c>
      <c r="G1349" s="14" t="n">
        <v>1000233.213496668</v>
      </c>
      <c r="H1349" s="14" t="n">
        <v>246565.1583192414</v>
      </c>
      <c r="I1349" s="14" t="n">
        <v>481384.7977351469</v>
      </c>
      <c r="J1349" s="14" t="n">
        <v>0</v>
      </c>
      <c r="K1349" s="14" t="n">
        <v>272283.25744228</v>
      </c>
      <c r="L1349" s="14" t="n">
        <v>0</v>
      </c>
      <c r="M1349" s="14" t="n">
        <v>0</v>
      </c>
      <c r="N1349" s="14" t="n">
        <v>284768.8153119854</v>
      </c>
      <c r="O1349" s="14" t="n">
        <v>1000233.213496668</v>
      </c>
      <c r="P1349" s="14" t="n">
        <v>117492.2037599452</v>
      </c>
      <c r="Q1349" s="14" t="n">
        <v>7443451.504969459</v>
      </c>
      <c r="R1349" s="15">
        <f>IF(D1349=1,"Section 1","Control")</f>
        <v/>
      </c>
      <c r="S1349" s="16">
        <f>N1349/10000</f>
        <v/>
      </c>
      <c r="T1349" s="16">
        <f>P1349/10000</f>
        <v/>
      </c>
      <c r="U1349" s="15">
        <f>IF(N1349&gt;=Summary!$D$3,1,0)</f>
        <v/>
      </c>
      <c r="V1349" s="17">
        <f>IF(N1349&gt;0,P1349/N1349,"")</f>
        <v/>
      </c>
      <c r="W1349" s="17">
        <f>IF(O1349&gt;0,H1349/O1349,"")</f>
        <v/>
      </c>
    </row>
    <row r="1350">
      <c r="A1350" s="13" t="inlineStr">
        <is>
          <t>CE02_B1</t>
        </is>
      </c>
      <c r="B1350" s="13" t="inlineStr">
        <is>
          <t>CE02</t>
        </is>
      </c>
      <c r="C1350" s="13" t="inlineStr">
        <is>
          <t>B1</t>
        </is>
      </c>
      <c r="D1350" s="13" t="n">
        <v>0</v>
      </c>
      <c r="E1350" s="13" t="inlineStr">
        <is>
          <t>E</t>
        </is>
      </c>
      <c r="F1350" s="13" t="n">
        <v>2024</v>
      </c>
      <c r="G1350" s="14" t="n">
        <v>1000233.213496668</v>
      </c>
      <c r="H1350" s="14" t="n">
        <v>388327.4960450416</v>
      </c>
      <c r="I1350" s="14" t="n">
        <v>290105.031682063</v>
      </c>
      <c r="J1350" s="14" t="n">
        <v>0</v>
      </c>
      <c r="K1350" s="14" t="n">
        <v>321800.6857695636</v>
      </c>
      <c r="L1350" s="14" t="n">
        <v>0</v>
      </c>
      <c r="M1350" s="14" t="n">
        <v>0</v>
      </c>
      <c r="N1350" s="14" t="n">
        <v>284768.8153119854</v>
      </c>
      <c r="O1350" s="14" t="n">
        <v>1000233.213496668</v>
      </c>
      <c r="P1350" s="14" t="n">
        <v>95476.31884786568</v>
      </c>
      <c r="Q1350" s="14" t="n">
        <v>7443451.504969459</v>
      </c>
      <c r="R1350" s="15">
        <f>IF(D1350=1,"Section 1","Control")</f>
        <v/>
      </c>
      <c r="S1350" s="16">
        <f>N1350/10000</f>
        <v/>
      </c>
      <c r="T1350" s="16">
        <f>P1350/10000</f>
        <v/>
      </c>
      <c r="U1350" s="15">
        <f>IF(N1350&gt;=Summary!$D$3,1,0)</f>
        <v/>
      </c>
      <c r="V1350" s="17">
        <f>IF(N1350&gt;0,P1350/N1350,"")</f>
        <v/>
      </c>
      <c r="W1350" s="17">
        <f>IF(O1350&gt;0,H1350/O1350,"")</f>
        <v/>
      </c>
    </row>
    <row r="1351">
      <c r="A1351" s="13" t="inlineStr">
        <is>
          <t>CE02_B1</t>
        </is>
      </c>
      <c r="B1351" s="13" t="inlineStr">
        <is>
          <t>CE02</t>
        </is>
      </c>
      <c r="C1351" s="13" t="inlineStr">
        <is>
          <t>B1</t>
        </is>
      </c>
      <c r="D1351" s="13" t="n">
        <v>0</v>
      </c>
      <c r="E1351" s="13" t="inlineStr">
        <is>
          <t>E</t>
        </is>
      </c>
      <c r="F1351" s="13" t="n">
        <v>2025</v>
      </c>
      <c r="G1351" s="14" t="n">
        <v>1000233.213496668</v>
      </c>
      <c r="H1351" s="14" t="n">
        <v>322582.2590305402</v>
      </c>
      <c r="I1351" s="14" t="n">
        <v>289764.5182051116</v>
      </c>
      <c r="J1351" s="14" t="n">
        <v>0</v>
      </c>
      <c r="K1351" s="14" t="n">
        <v>387886.4362610163</v>
      </c>
      <c r="L1351" s="14" t="n">
        <v>0</v>
      </c>
      <c r="M1351" s="14" t="n">
        <v>0</v>
      </c>
      <c r="N1351" s="14" t="n">
        <v>284768.8153119854</v>
      </c>
      <c r="O1351" s="14" t="n">
        <v>1000233.213496668</v>
      </c>
      <c r="P1351" s="14" t="n">
        <v>115723.0442647298</v>
      </c>
      <c r="Q1351" s="14" t="n">
        <v>7443451.504969459</v>
      </c>
      <c r="R1351" s="15">
        <f>IF(D1351=1,"Section 1","Control")</f>
        <v/>
      </c>
      <c r="S1351" s="16">
        <f>N1351/10000</f>
        <v/>
      </c>
      <c r="T1351" s="16">
        <f>P1351/10000</f>
        <v/>
      </c>
      <c r="U1351" s="15">
        <f>IF(N1351&gt;=Summary!$D$3,1,0)</f>
        <v/>
      </c>
      <c r="V1351" s="17">
        <f>IF(N1351&gt;0,P1351/N1351,"")</f>
        <v/>
      </c>
      <c r="W1351" s="17">
        <f>IF(O1351&gt;0,H1351/O1351,"")</f>
        <v/>
      </c>
    </row>
    <row r="1352">
      <c r="A1352" s="13" t="inlineStr">
        <is>
          <t>CE02_B1</t>
        </is>
      </c>
      <c r="B1352" s="13" t="inlineStr">
        <is>
          <t>CE02</t>
        </is>
      </c>
      <c r="C1352" s="13" t="inlineStr">
        <is>
          <t>B1</t>
        </is>
      </c>
      <c r="D1352" s="13" t="n">
        <v>0</v>
      </c>
      <c r="E1352" s="13" t="inlineStr">
        <is>
          <t>E</t>
        </is>
      </c>
      <c r="F1352" s="13" t="n">
        <v>2026</v>
      </c>
      <c r="G1352" s="14" t="n">
        <v>1000233.213496668</v>
      </c>
      <c r="H1352" s="14" t="n">
        <v>317974.9485450295</v>
      </c>
      <c r="I1352" s="14" t="n">
        <v>175697.0957419302</v>
      </c>
      <c r="J1352" s="14" t="n">
        <v>0</v>
      </c>
      <c r="K1352" s="14" t="n">
        <v>506561.1692097083</v>
      </c>
      <c r="L1352" s="14" t="n">
        <v>0</v>
      </c>
      <c r="M1352" s="14" t="n">
        <v>0</v>
      </c>
      <c r="N1352" s="14" t="n">
        <v>284768.8153119854</v>
      </c>
      <c r="O1352" s="14" t="n">
        <v>1000233.213496668</v>
      </c>
      <c r="P1352" s="14" t="n">
        <v>145694.7781293383</v>
      </c>
      <c r="Q1352" s="14" t="n">
        <v>7443451.504969459</v>
      </c>
      <c r="R1352" s="15">
        <f>IF(D1352=1,"Section 1","Control")</f>
        <v/>
      </c>
      <c r="S1352" s="16">
        <f>N1352/10000</f>
        <v/>
      </c>
      <c r="T1352" s="16">
        <f>P1352/10000</f>
        <v/>
      </c>
      <c r="U1352" s="15">
        <f>IF(N1352&gt;=Summary!$D$3,1,0)</f>
        <v/>
      </c>
      <c r="V1352" s="17">
        <f>IF(N1352&gt;0,P1352/N1352,"")</f>
        <v/>
      </c>
      <c r="W1352" s="17">
        <f>IF(O1352&gt;0,H1352/O1352,"")</f>
        <v/>
      </c>
    </row>
    <row r="1353">
      <c r="A1353" s="13" t="inlineStr">
        <is>
          <t>CE02_B2</t>
        </is>
      </c>
      <c r="B1353" s="13" t="inlineStr">
        <is>
          <t>CE02</t>
        </is>
      </c>
      <c r="C1353" s="13" t="inlineStr">
        <is>
          <t>B2</t>
        </is>
      </c>
      <c r="D1353" s="13" t="n">
        <v>0</v>
      </c>
      <c r="E1353" s="13" t="inlineStr">
        <is>
          <t>E</t>
        </is>
      </c>
      <c r="F1353" s="13" t="n">
        <v>2020</v>
      </c>
      <c r="G1353" s="14" t="n">
        <v>1000062.481931799</v>
      </c>
      <c r="H1353" s="14" t="n">
        <v>372687.7429568123</v>
      </c>
      <c r="I1353" s="14" t="n">
        <v>317892.1221322452</v>
      </c>
      <c r="J1353" s="14" t="n">
        <v>0</v>
      </c>
      <c r="K1353" s="14" t="n">
        <v>35219.55272632674</v>
      </c>
      <c r="L1353" s="14" t="n">
        <v>274263.0641164144</v>
      </c>
      <c r="M1353" s="14" t="n">
        <v>0</v>
      </c>
      <c r="N1353" s="14" t="n">
        <v>372687.7429568123</v>
      </c>
      <c r="O1353" s="14" t="n">
        <v>725799.4178153843</v>
      </c>
      <c r="P1353" s="14" t="n">
        <v>0</v>
      </c>
      <c r="Q1353" s="14" t="n">
        <v>6370591.153028361</v>
      </c>
      <c r="R1353" s="15">
        <f>IF(D1353=1,"Section 1","Control")</f>
        <v/>
      </c>
      <c r="S1353" s="16">
        <f>N1353/10000</f>
        <v/>
      </c>
      <c r="T1353" s="16">
        <f>P1353/10000</f>
        <v/>
      </c>
      <c r="U1353" s="15">
        <f>IF(N1353&gt;=Summary!$D$3,1,0)</f>
        <v/>
      </c>
      <c r="V1353" s="17">
        <f>IF(N1353&gt;0,P1353/N1353,"")</f>
        <v/>
      </c>
      <c r="W1353" s="17">
        <f>IF(O1353&gt;0,H1353/O1353,"")</f>
        <v/>
      </c>
    </row>
    <row r="1354">
      <c r="A1354" s="13" t="inlineStr">
        <is>
          <t>CE02_B2</t>
        </is>
      </c>
      <c r="B1354" s="13" t="inlineStr">
        <is>
          <t>CE02</t>
        </is>
      </c>
      <c r="C1354" s="13" t="inlineStr">
        <is>
          <t>B2</t>
        </is>
      </c>
      <c r="D1354" s="13" t="n">
        <v>0</v>
      </c>
      <c r="E1354" s="13" t="inlineStr">
        <is>
          <t>E</t>
        </is>
      </c>
      <c r="F1354" s="13" t="n">
        <v>2021</v>
      </c>
      <c r="G1354" s="14" t="n">
        <v>1000062.481931799</v>
      </c>
      <c r="H1354" s="14" t="n">
        <v>315077.1334183338</v>
      </c>
      <c r="I1354" s="14" t="n">
        <v>346576.9840673409</v>
      </c>
      <c r="J1354" s="14" t="n">
        <v>0</v>
      </c>
      <c r="K1354" s="14" t="n">
        <v>75264.49515563367</v>
      </c>
      <c r="L1354" s="14" t="n">
        <v>263143.8692904903</v>
      </c>
      <c r="M1354" s="14" t="n">
        <v>0</v>
      </c>
      <c r="N1354" s="14" t="n">
        <v>372687.7429568123</v>
      </c>
      <c r="O1354" s="14" t="n">
        <v>725799.4178153843</v>
      </c>
      <c r="P1354" s="14" t="n">
        <v>61065.92094747506</v>
      </c>
      <c r="Q1354" s="14" t="n">
        <v>6370591.153028361</v>
      </c>
      <c r="R1354" s="15">
        <f>IF(D1354=1,"Section 1","Control")</f>
        <v/>
      </c>
      <c r="S1354" s="16">
        <f>N1354/10000</f>
        <v/>
      </c>
      <c r="T1354" s="16">
        <f>P1354/10000</f>
        <v/>
      </c>
      <c r="U1354" s="15">
        <f>IF(N1354&gt;=Summary!$D$3,1,0)</f>
        <v/>
      </c>
      <c r="V1354" s="17">
        <f>IF(N1354&gt;0,P1354/N1354,"")</f>
        <v/>
      </c>
      <c r="W1354" s="17">
        <f>IF(O1354&gt;0,H1354/O1354,"")</f>
        <v/>
      </c>
    </row>
    <row r="1355">
      <c r="A1355" s="13" t="inlineStr">
        <is>
          <t>CE02_B2</t>
        </is>
      </c>
      <c r="B1355" s="13" t="inlineStr">
        <is>
          <t>CE02</t>
        </is>
      </c>
      <c r="C1355" s="13" t="inlineStr">
        <is>
          <t>B2</t>
        </is>
      </c>
      <c r="D1355" s="13" t="n">
        <v>0</v>
      </c>
      <c r="E1355" s="13" t="inlineStr">
        <is>
          <t>E</t>
        </is>
      </c>
      <c r="F1355" s="13" t="n">
        <v>2022</v>
      </c>
      <c r="G1355" s="14" t="n">
        <v>1000062.481931799</v>
      </c>
      <c r="H1355" s="14" t="n">
        <v>343668.1013451371</v>
      </c>
      <c r="I1355" s="14" t="n">
        <v>308249.8502264285</v>
      </c>
      <c r="J1355" s="14" t="n">
        <v>0</v>
      </c>
      <c r="K1355" s="14" t="n">
        <v>94855.01411746156</v>
      </c>
      <c r="L1355" s="14" t="n">
        <v>253289.5162427716</v>
      </c>
      <c r="M1355" s="14" t="n">
        <v>0</v>
      </c>
      <c r="N1355" s="14" t="n">
        <v>372687.7429568123</v>
      </c>
      <c r="O1355" s="14" t="n">
        <v>725799.4178153843</v>
      </c>
      <c r="P1355" s="14" t="n">
        <v>62617.62766179103</v>
      </c>
      <c r="Q1355" s="14" t="n">
        <v>6370591.153028361</v>
      </c>
      <c r="R1355" s="15">
        <f>IF(D1355=1,"Section 1","Control")</f>
        <v/>
      </c>
      <c r="S1355" s="16">
        <f>N1355/10000</f>
        <v/>
      </c>
      <c r="T1355" s="16">
        <f>P1355/10000</f>
        <v/>
      </c>
      <c r="U1355" s="15">
        <f>IF(N1355&gt;=Summary!$D$3,1,0)</f>
        <v/>
      </c>
      <c r="V1355" s="17">
        <f>IF(N1355&gt;0,P1355/N1355,"")</f>
        <v/>
      </c>
      <c r="W1355" s="17">
        <f>IF(O1355&gt;0,H1355/O1355,"")</f>
        <v/>
      </c>
    </row>
    <row r="1356">
      <c r="A1356" s="13" t="inlineStr">
        <is>
          <t>CE02_B2</t>
        </is>
      </c>
      <c r="B1356" s="13" t="inlineStr">
        <is>
          <t>CE02</t>
        </is>
      </c>
      <c r="C1356" s="13" t="inlineStr">
        <is>
          <t>B2</t>
        </is>
      </c>
      <c r="D1356" s="13" t="n">
        <v>0</v>
      </c>
      <c r="E1356" s="13" t="inlineStr">
        <is>
          <t>E</t>
        </is>
      </c>
      <c r="F1356" s="13" t="n">
        <v>2023</v>
      </c>
      <c r="G1356" s="14" t="n">
        <v>1000062.481931799</v>
      </c>
      <c r="H1356" s="14" t="n">
        <v>315970.9432789224</v>
      </c>
      <c r="I1356" s="14" t="n">
        <v>347192.5457492006</v>
      </c>
      <c r="J1356" s="14" t="n">
        <v>0</v>
      </c>
      <c r="K1356" s="14" t="n">
        <v>86839.54207258037</v>
      </c>
      <c r="L1356" s="14" t="n">
        <v>250059.4508310954</v>
      </c>
      <c r="M1356" s="14" t="n">
        <v>0</v>
      </c>
      <c r="N1356" s="14" t="n">
        <v>372687.7429568123</v>
      </c>
      <c r="O1356" s="14" t="n">
        <v>725799.4178153843</v>
      </c>
      <c r="P1356" s="14" t="n">
        <v>74486.95357040704</v>
      </c>
      <c r="Q1356" s="14" t="n">
        <v>6370591.153028361</v>
      </c>
      <c r="R1356" s="15">
        <f>IF(D1356=1,"Section 1","Control")</f>
        <v/>
      </c>
      <c r="S1356" s="16">
        <f>N1356/10000</f>
        <v/>
      </c>
      <c r="T1356" s="16">
        <f>P1356/10000</f>
        <v/>
      </c>
      <c r="U1356" s="15">
        <f>IF(N1356&gt;=Summary!$D$3,1,0)</f>
        <v/>
      </c>
      <c r="V1356" s="17">
        <f>IF(N1356&gt;0,P1356/N1356,"")</f>
        <v/>
      </c>
      <c r="W1356" s="17">
        <f>IF(O1356&gt;0,H1356/O1356,"")</f>
        <v/>
      </c>
    </row>
    <row r="1357">
      <c r="A1357" s="13" t="inlineStr">
        <is>
          <t>CE02_B2</t>
        </is>
      </c>
      <c r="B1357" s="13" t="inlineStr">
        <is>
          <t>CE02</t>
        </is>
      </c>
      <c r="C1357" s="13" t="inlineStr">
        <is>
          <t>B2</t>
        </is>
      </c>
      <c r="D1357" s="13" t="n">
        <v>0</v>
      </c>
      <c r="E1357" s="13" t="inlineStr">
        <is>
          <t>E</t>
        </is>
      </c>
      <c r="F1357" s="13" t="n">
        <v>2024</v>
      </c>
      <c r="G1357" s="14" t="n">
        <v>1000062.481931799</v>
      </c>
      <c r="H1357" s="14" t="n">
        <v>349160.4890475105</v>
      </c>
      <c r="I1357" s="14" t="n">
        <v>336181.2642157162</v>
      </c>
      <c r="J1357" s="14" t="n">
        <v>0</v>
      </c>
      <c r="K1357" s="14" t="n">
        <v>100923.3562622968</v>
      </c>
      <c r="L1357" s="14" t="n">
        <v>213797.3724062752</v>
      </c>
      <c r="M1357" s="14" t="n">
        <v>0</v>
      </c>
      <c r="N1357" s="14" t="n">
        <v>372687.7429568122</v>
      </c>
      <c r="O1357" s="14" t="n">
        <v>725799.4178153843</v>
      </c>
      <c r="P1357" s="14" t="n">
        <v>73065.72425052419</v>
      </c>
      <c r="Q1357" s="14" t="n">
        <v>6370591.153028361</v>
      </c>
      <c r="R1357" s="15">
        <f>IF(D1357=1,"Section 1","Control")</f>
        <v/>
      </c>
      <c r="S1357" s="16">
        <f>N1357/10000</f>
        <v/>
      </c>
      <c r="T1357" s="16">
        <f>P1357/10000</f>
        <v/>
      </c>
      <c r="U1357" s="15">
        <f>IF(N1357&gt;=Summary!$D$3,1,0)</f>
        <v/>
      </c>
      <c r="V1357" s="17">
        <f>IF(N1357&gt;0,P1357/N1357,"")</f>
        <v/>
      </c>
      <c r="W1357" s="17">
        <f>IF(O1357&gt;0,H1357/O1357,"")</f>
        <v/>
      </c>
    </row>
    <row r="1358">
      <c r="A1358" s="13" t="inlineStr">
        <is>
          <t>CE02_B2</t>
        </is>
      </c>
      <c r="B1358" s="13" t="inlineStr">
        <is>
          <t>CE02</t>
        </is>
      </c>
      <c r="C1358" s="13" t="inlineStr">
        <is>
          <t>B2</t>
        </is>
      </c>
      <c r="D1358" s="13" t="n">
        <v>0</v>
      </c>
      <c r="E1358" s="13" t="inlineStr">
        <is>
          <t>E</t>
        </is>
      </c>
      <c r="F1358" s="13" t="n">
        <v>2025</v>
      </c>
      <c r="G1358" s="14" t="n">
        <v>1000062.481931799</v>
      </c>
      <c r="H1358" s="14" t="n">
        <v>286520.8980429256</v>
      </c>
      <c r="I1358" s="14" t="n">
        <v>369999.1860987644</v>
      </c>
      <c r="J1358" s="14" t="n">
        <v>0</v>
      </c>
      <c r="K1358" s="14" t="n">
        <v>132706.0237769632</v>
      </c>
      <c r="L1358" s="14" t="n">
        <v>210836.3740131453</v>
      </c>
      <c r="M1358" s="14" t="n">
        <v>0</v>
      </c>
      <c r="N1358" s="14" t="n">
        <v>372687.7429568123</v>
      </c>
      <c r="O1358" s="14" t="n">
        <v>725799.4178153843</v>
      </c>
      <c r="P1358" s="14" t="n">
        <v>121834.126731334</v>
      </c>
      <c r="Q1358" s="14" t="n">
        <v>6370591.153028361</v>
      </c>
      <c r="R1358" s="15">
        <f>IF(D1358=1,"Section 1","Control")</f>
        <v/>
      </c>
      <c r="S1358" s="16">
        <f>N1358/10000</f>
        <v/>
      </c>
      <c r="T1358" s="16">
        <f>P1358/10000</f>
        <v/>
      </c>
      <c r="U1358" s="15">
        <f>IF(N1358&gt;=Summary!$D$3,1,0)</f>
        <v/>
      </c>
      <c r="V1358" s="17">
        <f>IF(N1358&gt;0,P1358/N1358,"")</f>
        <v/>
      </c>
      <c r="W1358" s="17">
        <f>IF(O1358&gt;0,H1358/O1358,"")</f>
        <v/>
      </c>
    </row>
    <row r="1359">
      <c r="A1359" s="13" t="inlineStr">
        <is>
          <t>CE02_B2</t>
        </is>
      </c>
      <c r="B1359" s="13" t="inlineStr">
        <is>
          <t>CE02</t>
        </is>
      </c>
      <c r="C1359" s="13" t="inlineStr">
        <is>
          <t>B2</t>
        </is>
      </c>
      <c r="D1359" s="13" t="n">
        <v>0</v>
      </c>
      <c r="E1359" s="13" t="inlineStr">
        <is>
          <t>E</t>
        </is>
      </c>
      <c r="F1359" s="13" t="n">
        <v>2026</v>
      </c>
      <c r="G1359" s="14" t="n">
        <v>1000062.481931799</v>
      </c>
      <c r="H1359" s="14" t="n">
        <v>285640.0467418596</v>
      </c>
      <c r="I1359" s="14" t="n">
        <v>338076.6879870546</v>
      </c>
      <c r="J1359" s="14" t="n">
        <v>0</v>
      </c>
      <c r="K1359" s="14" t="n">
        <v>174986.2585931816</v>
      </c>
      <c r="L1359" s="14" t="n">
        <v>201359.4886097029</v>
      </c>
      <c r="M1359" s="14" t="n">
        <v>0</v>
      </c>
      <c r="N1359" s="14" t="n">
        <v>372687.7429568123</v>
      </c>
      <c r="O1359" s="14" t="n">
        <v>725799.4178153843</v>
      </c>
      <c r="P1359" s="14" t="n">
        <v>118176.4376404706</v>
      </c>
      <c r="Q1359" s="14" t="n">
        <v>6370591.153028361</v>
      </c>
      <c r="R1359" s="15">
        <f>IF(D1359=1,"Section 1","Control")</f>
        <v/>
      </c>
      <c r="S1359" s="16">
        <f>N1359/10000</f>
        <v/>
      </c>
      <c r="T1359" s="16">
        <f>P1359/10000</f>
        <v/>
      </c>
      <c r="U1359" s="15">
        <f>IF(N1359&gt;=Summary!$D$3,1,0)</f>
        <v/>
      </c>
      <c r="V1359" s="17">
        <f>IF(N1359&gt;0,P1359/N1359,"")</f>
        <v/>
      </c>
      <c r="W1359" s="17">
        <f>IF(O1359&gt;0,H1359/O1359,"")</f>
        <v/>
      </c>
    </row>
    <row r="1360">
      <c r="A1360" s="13" t="inlineStr">
        <is>
          <t>CE02_B3</t>
        </is>
      </c>
      <c r="B1360" s="13" t="inlineStr">
        <is>
          <t>CE02</t>
        </is>
      </c>
      <c r="C1360" s="13" t="inlineStr">
        <is>
          <t>B3</t>
        </is>
      </c>
      <c r="D1360" s="13" t="n">
        <v>0</v>
      </c>
      <c r="E1360" s="13" t="inlineStr">
        <is>
          <t>E</t>
        </is>
      </c>
      <c r="F1360" s="13" t="n">
        <v>2020</v>
      </c>
      <c r="G1360" s="14" t="n">
        <v>8002952.176208735</v>
      </c>
      <c r="H1360" s="14" t="n">
        <v>1623241.673393579</v>
      </c>
      <c r="I1360" s="14" t="n">
        <v>8193.850799560547</v>
      </c>
      <c r="J1360" s="14" t="n">
        <v>0</v>
      </c>
      <c r="K1360" s="14" t="n">
        <v>23228.71906229655</v>
      </c>
      <c r="L1360" s="14" t="n">
        <v>6348287.9329533</v>
      </c>
      <c r="M1360" s="14" t="n">
        <v>0</v>
      </c>
      <c r="N1360" s="14" t="n">
        <v>1623241.673393579</v>
      </c>
      <c r="O1360" s="14" t="n">
        <v>1654664.243255435</v>
      </c>
      <c r="P1360" s="14" t="n">
        <v>0</v>
      </c>
      <c r="Q1360" s="14" t="n">
        <v>20889390.00475943</v>
      </c>
      <c r="R1360" s="15">
        <f>IF(D1360=1,"Section 1","Control")</f>
        <v/>
      </c>
      <c r="S1360" s="16">
        <f>N1360/10000</f>
        <v/>
      </c>
      <c r="T1360" s="16">
        <f>P1360/10000</f>
        <v/>
      </c>
      <c r="U1360" s="15">
        <f>IF(N1360&gt;=Summary!$D$3,1,0)</f>
        <v/>
      </c>
      <c r="V1360" s="17">
        <f>IF(N1360&gt;0,P1360/N1360,"")</f>
        <v/>
      </c>
      <c r="W1360" s="17">
        <f>IF(O1360&gt;0,H1360/O1360,"")</f>
        <v/>
      </c>
    </row>
    <row r="1361">
      <c r="A1361" s="13" t="inlineStr">
        <is>
          <t>CE02_B3</t>
        </is>
      </c>
      <c r="B1361" s="13" t="inlineStr">
        <is>
          <t>CE02</t>
        </is>
      </c>
      <c r="C1361" s="13" t="inlineStr">
        <is>
          <t>B3</t>
        </is>
      </c>
      <c r="D1361" s="13" t="n">
        <v>0</v>
      </c>
      <c r="E1361" s="13" t="inlineStr">
        <is>
          <t>E</t>
        </is>
      </c>
      <c r="F1361" s="13" t="n">
        <v>2021</v>
      </c>
      <c r="G1361" s="14" t="n">
        <v>8002952.176208735</v>
      </c>
      <c r="H1361" s="14" t="n">
        <v>1608514.04852268</v>
      </c>
      <c r="I1361" s="14" t="n">
        <v>15808.83088794783</v>
      </c>
      <c r="J1361" s="14" t="n">
        <v>0</v>
      </c>
      <c r="K1361" s="14" t="n">
        <v>61108.20826852835</v>
      </c>
      <c r="L1361" s="14" t="n">
        <v>6317521.088529579</v>
      </c>
      <c r="M1361" s="14" t="n">
        <v>0</v>
      </c>
      <c r="N1361" s="14" t="n">
        <v>1623241.673393579</v>
      </c>
      <c r="O1361" s="14" t="n">
        <v>1654664.243255435</v>
      </c>
      <c r="P1361" s="14" t="n">
        <v>40216.93762371586</v>
      </c>
      <c r="Q1361" s="14" t="n">
        <v>20889390.00475943</v>
      </c>
      <c r="R1361" s="15">
        <f>IF(D1361=1,"Section 1","Control")</f>
        <v/>
      </c>
      <c r="S1361" s="16">
        <f>N1361/10000</f>
        <v/>
      </c>
      <c r="T1361" s="16">
        <f>P1361/10000</f>
        <v/>
      </c>
      <c r="U1361" s="15">
        <f>IF(N1361&gt;=Summary!$D$3,1,0)</f>
        <v/>
      </c>
      <c r="V1361" s="17">
        <f>IF(N1361&gt;0,P1361/N1361,"")</f>
        <v/>
      </c>
      <c r="W1361" s="17">
        <f>IF(O1361&gt;0,H1361/O1361,"")</f>
        <v/>
      </c>
    </row>
    <row r="1362">
      <c r="A1362" s="13" t="inlineStr">
        <is>
          <t>CE02_B3</t>
        </is>
      </c>
      <c r="B1362" s="13" t="inlineStr">
        <is>
          <t>CE02</t>
        </is>
      </c>
      <c r="C1362" s="13" t="inlineStr">
        <is>
          <t>B3</t>
        </is>
      </c>
      <c r="D1362" s="13" t="n">
        <v>0</v>
      </c>
      <c r="E1362" s="13" t="inlineStr">
        <is>
          <t>E</t>
        </is>
      </c>
      <c r="F1362" s="13" t="n">
        <v>2022</v>
      </c>
      <c r="G1362" s="14" t="n">
        <v>8002952.176208735</v>
      </c>
      <c r="H1362" s="14" t="n">
        <v>1604060.692823313</v>
      </c>
      <c r="I1362" s="14" t="n">
        <v>12238.21655075971</v>
      </c>
      <c r="J1362" s="14" t="n">
        <v>0</v>
      </c>
      <c r="K1362" s="14" t="n">
        <v>59713.79565806669</v>
      </c>
      <c r="L1362" s="14" t="n">
        <v>6326939.471176596</v>
      </c>
      <c r="M1362" s="14" t="n">
        <v>0</v>
      </c>
      <c r="N1362" s="14" t="n">
        <v>1623241.673393579</v>
      </c>
      <c r="O1362" s="14" t="n">
        <v>1654664.243255435</v>
      </c>
      <c r="P1362" s="14" t="n">
        <v>47009.67124780393</v>
      </c>
      <c r="Q1362" s="14" t="n">
        <v>20889390.00475943</v>
      </c>
      <c r="R1362" s="15">
        <f>IF(D1362=1,"Section 1","Control")</f>
        <v/>
      </c>
      <c r="S1362" s="16">
        <f>N1362/10000</f>
        <v/>
      </c>
      <c r="T1362" s="16">
        <f>P1362/10000</f>
        <v/>
      </c>
      <c r="U1362" s="15">
        <f>IF(N1362&gt;=Summary!$D$3,1,0)</f>
        <v/>
      </c>
      <c r="V1362" s="17">
        <f>IF(N1362&gt;0,P1362/N1362,"")</f>
        <v/>
      </c>
      <c r="W1362" s="17">
        <f>IF(O1362&gt;0,H1362/O1362,"")</f>
        <v/>
      </c>
    </row>
    <row r="1363">
      <c r="A1363" s="13" t="inlineStr">
        <is>
          <t>CE02_B3</t>
        </is>
      </c>
      <c r="B1363" s="13" t="inlineStr">
        <is>
          <t>CE02</t>
        </is>
      </c>
      <c r="C1363" s="13" t="inlineStr">
        <is>
          <t>B3</t>
        </is>
      </c>
      <c r="D1363" s="13" t="n">
        <v>0</v>
      </c>
      <c r="E1363" s="13" t="inlineStr">
        <is>
          <t>E</t>
        </is>
      </c>
      <c r="F1363" s="13" t="n">
        <v>2023</v>
      </c>
      <c r="G1363" s="14" t="n">
        <v>8002952.176208733</v>
      </c>
      <c r="H1363" s="14" t="n">
        <v>1605885.306292276</v>
      </c>
      <c r="I1363" s="14" t="n">
        <v>13354.4235724954</v>
      </c>
      <c r="J1363" s="14" t="n">
        <v>0</v>
      </c>
      <c r="K1363" s="14" t="n">
        <v>51080.88785032384</v>
      </c>
      <c r="L1363" s="14" t="n">
        <v>6332631.55849364</v>
      </c>
      <c r="M1363" s="14" t="n">
        <v>0</v>
      </c>
      <c r="N1363" s="14" t="n">
        <v>1623241.673393579</v>
      </c>
      <c r="O1363" s="14" t="n">
        <v>1654664.243255435</v>
      </c>
      <c r="P1363" s="14" t="n">
        <v>52520.40793552772</v>
      </c>
      <c r="Q1363" s="14" t="n">
        <v>20889390.00475943</v>
      </c>
      <c r="R1363" s="15">
        <f>IF(D1363=1,"Section 1","Control")</f>
        <v/>
      </c>
      <c r="S1363" s="16">
        <f>N1363/10000</f>
        <v/>
      </c>
      <c r="T1363" s="16">
        <f>P1363/10000</f>
        <v/>
      </c>
      <c r="U1363" s="15">
        <f>IF(N1363&gt;=Summary!$D$3,1,0)</f>
        <v/>
      </c>
      <c r="V1363" s="17">
        <f>IF(N1363&gt;0,P1363/N1363,"")</f>
        <v/>
      </c>
      <c r="W1363" s="17">
        <f>IF(O1363&gt;0,H1363/O1363,"")</f>
        <v/>
      </c>
    </row>
    <row r="1364">
      <c r="A1364" s="13" t="inlineStr">
        <is>
          <t>CE02_B3</t>
        </is>
      </c>
      <c r="B1364" s="13" t="inlineStr">
        <is>
          <t>CE02</t>
        </is>
      </c>
      <c r="C1364" s="13" t="inlineStr">
        <is>
          <t>B3</t>
        </is>
      </c>
      <c r="D1364" s="13" t="n">
        <v>0</v>
      </c>
      <c r="E1364" s="13" t="inlineStr">
        <is>
          <t>E</t>
        </is>
      </c>
      <c r="F1364" s="13" t="n">
        <v>2024</v>
      </c>
      <c r="G1364" s="14" t="n">
        <v>8002952.176208735</v>
      </c>
      <c r="H1364" s="14" t="n">
        <v>1595901.276972692</v>
      </c>
      <c r="I1364" s="14" t="n">
        <v>5508.585037231445</v>
      </c>
      <c r="J1364" s="14" t="n">
        <v>0</v>
      </c>
      <c r="K1364" s="14" t="n">
        <v>66336.91110253427</v>
      </c>
      <c r="L1364" s="14" t="n">
        <v>6335205.403096277</v>
      </c>
      <c r="M1364" s="14" t="n">
        <v>0</v>
      </c>
      <c r="N1364" s="14" t="n">
        <v>1623241.673393579</v>
      </c>
      <c r="O1364" s="14" t="n">
        <v>1654664.243255435</v>
      </c>
      <c r="P1364" s="14" t="n">
        <v>57647.19819395776</v>
      </c>
      <c r="Q1364" s="14" t="n">
        <v>20889390.00475943</v>
      </c>
      <c r="R1364" s="15">
        <f>IF(D1364=1,"Section 1","Control")</f>
        <v/>
      </c>
      <c r="S1364" s="16">
        <f>N1364/10000</f>
        <v/>
      </c>
      <c r="T1364" s="16">
        <f>P1364/10000</f>
        <v/>
      </c>
      <c r="U1364" s="15">
        <f>IF(N1364&gt;=Summary!$D$3,1,0)</f>
        <v/>
      </c>
      <c r="V1364" s="17">
        <f>IF(N1364&gt;0,P1364/N1364,"")</f>
        <v/>
      </c>
      <c r="W1364" s="17">
        <f>IF(O1364&gt;0,H1364/O1364,"")</f>
        <v/>
      </c>
    </row>
    <row r="1365">
      <c r="A1365" s="13" t="inlineStr">
        <is>
          <t>CE02_B3</t>
        </is>
      </c>
      <c r="B1365" s="13" t="inlineStr">
        <is>
          <t>CE02</t>
        </is>
      </c>
      <c r="C1365" s="13" t="inlineStr">
        <is>
          <t>B3</t>
        </is>
      </c>
      <c r="D1365" s="13" t="n">
        <v>0</v>
      </c>
      <c r="E1365" s="13" t="inlineStr">
        <is>
          <t>E</t>
        </is>
      </c>
      <c r="F1365" s="13" t="n">
        <v>2025</v>
      </c>
      <c r="G1365" s="14" t="n">
        <v>8002952.176208735</v>
      </c>
      <c r="H1365" s="14" t="n">
        <v>1523297.635061556</v>
      </c>
      <c r="I1365" s="14" t="n">
        <v>37443.09637714461</v>
      </c>
      <c r="J1365" s="14" t="n">
        <v>0</v>
      </c>
      <c r="K1365" s="14" t="n">
        <v>100598.5487874947</v>
      </c>
      <c r="L1365" s="14" t="n">
        <v>6341612.895982541</v>
      </c>
      <c r="M1365" s="14" t="n">
        <v>0</v>
      </c>
      <c r="N1365" s="14" t="n">
        <v>1623241.673393579</v>
      </c>
      <c r="O1365" s="14" t="n">
        <v>1654664.243255435</v>
      </c>
      <c r="P1365" s="14" t="n">
        <v>135644.7333532296</v>
      </c>
      <c r="Q1365" s="14" t="n">
        <v>20889390.00475943</v>
      </c>
      <c r="R1365" s="15">
        <f>IF(D1365=1,"Section 1","Control")</f>
        <v/>
      </c>
      <c r="S1365" s="16">
        <f>N1365/10000</f>
        <v/>
      </c>
      <c r="T1365" s="16">
        <f>P1365/10000</f>
        <v/>
      </c>
      <c r="U1365" s="15">
        <f>IF(N1365&gt;=Summary!$D$3,1,0)</f>
        <v/>
      </c>
      <c r="V1365" s="17">
        <f>IF(N1365&gt;0,P1365/N1365,"")</f>
        <v/>
      </c>
      <c r="W1365" s="17">
        <f>IF(O1365&gt;0,H1365/O1365,"")</f>
        <v/>
      </c>
    </row>
    <row r="1366">
      <c r="A1366" s="13" t="inlineStr">
        <is>
          <t>CE02_B3</t>
        </is>
      </c>
      <c r="B1366" s="13" t="inlineStr">
        <is>
          <t>CE02</t>
        </is>
      </c>
      <c r="C1366" s="13" t="inlineStr">
        <is>
          <t>B3</t>
        </is>
      </c>
      <c r="D1366" s="13" t="n">
        <v>0</v>
      </c>
      <c r="E1366" s="13" t="inlineStr">
        <is>
          <t>E</t>
        </is>
      </c>
      <c r="F1366" s="13" t="n">
        <v>2026</v>
      </c>
      <c r="G1366" s="14" t="n">
        <v>8002952.176208735</v>
      </c>
      <c r="H1366" s="14" t="n">
        <v>1537644.809355463</v>
      </c>
      <c r="I1366" s="14" t="n">
        <v>12739.29051082836</v>
      </c>
      <c r="J1366" s="14" t="n">
        <v>0</v>
      </c>
      <c r="K1366" s="14" t="n">
        <v>103887.4192562328</v>
      </c>
      <c r="L1366" s="14" t="n">
        <v>6348680.657086212</v>
      </c>
      <c r="M1366" s="14" t="n">
        <v>0</v>
      </c>
      <c r="N1366" s="14" t="n">
        <v>1623241.673393579</v>
      </c>
      <c r="O1366" s="14" t="n">
        <v>1654664.243255435</v>
      </c>
      <c r="P1366" s="14" t="n">
        <v>118334.9365237965</v>
      </c>
      <c r="Q1366" s="14" t="n">
        <v>20889390.00475943</v>
      </c>
      <c r="R1366" s="15">
        <f>IF(D1366=1,"Section 1","Control")</f>
        <v/>
      </c>
      <c r="S1366" s="16">
        <f>N1366/10000</f>
        <v/>
      </c>
      <c r="T1366" s="16">
        <f>P1366/10000</f>
        <v/>
      </c>
      <c r="U1366" s="15">
        <f>IF(N1366&gt;=Summary!$D$3,1,0)</f>
        <v/>
      </c>
      <c r="V1366" s="17">
        <f>IF(N1366&gt;0,P1366/N1366,"")</f>
        <v/>
      </c>
      <c r="W1366" s="17">
        <f>IF(O1366&gt;0,H1366/O1366,"")</f>
        <v/>
      </c>
    </row>
    <row r="1367">
      <c r="A1367" s="13" t="inlineStr">
        <is>
          <t>CE02_F</t>
        </is>
      </c>
      <c r="B1367" s="13" t="inlineStr">
        <is>
          <t>CE02</t>
        </is>
      </c>
      <c r="C1367" s="13" t="inlineStr">
        <is>
          <t>F</t>
        </is>
      </c>
      <c r="D1367" s="13" t="n">
        <v>0</v>
      </c>
      <c r="E1367" s="13" t="inlineStr">
        <is>
          <t>E</t>
        </is>
      </c>
      <c r="F1367" s="13" t="n">
        <v>2020</v>
      </c>
      <c r="G1367" s="14" t="n">
        <v>69672.56366948146</v>
      </c>
      <c r="H1367" s="14" t="n">
        <v>15585.65474156398</v>
      </c>
      <c r="I1367" s="14" t="n">
        <v>36637.88776601155</v>
      </c>
      <c r="J1367" s="14" t="n">
        <v>0</v>
      </c>
      <c r="K1367" s="14" t="n">
        <v>17449.02116190593</v>
      </c>
      <c r="L1367" s="14" t="n">
        <v>0</v>
      </c>
      <c r="M1367" s="14" t="n">
        <v>0</v>
      </c>
      <c r="N1367" s="14" t="n">
        <v>15585.65474156398</v>
      </c>
      <c r="O1367" s="14" t="n">
        <v>69672.56366948146</v>
      </c>
      <c r="P1367" s="14" t="n">
        <v>0</v>
      </c>
      <c r="Q1367" s="14" t="n">
        <v>450672.4689331053</v>
      </c>
      <c r="R1367" s="15">
        <f>IF(D1367=1,"Section 1","Control")</f>
        <v/>
      </c>
      <c r="S1367" s="16">
        <f>N1367/10000</f>
        <v/>
      </c>
      <c r="T1367" s="16">
        <f>P1367/10000</f>
        <v/>
      </c>
      <c r="U1367" s="15">
        <f>IF(N1367&gt;=Summary!$D$3,1,0)</f>
        <v/>
      </c>
      <c r="V1367" s="17">
        <f>IF(N1367&gt;0,P1367/N1367,"")</f>
        <v/>
      </c>
      <c r="W1367" s="17">
        <f>IF(O1367&gt;0,H1367/O1367,"")</f>
        <v/>
      </c>
    </row>
    <row r="1368">
      <c r="A1368" s="13" t="inlineStr">
        <is>
          <t>CE02_F</t>
        </is>
      </c>
      <c r="B1368" s="13" t="inlineStr">
        <is>
          <t>CE02</t>
        </is>
      </c>
      <c r="C1368" s="13" t="inlineStr">
        <is>
          <t>F</t>
        </is>
      </c>
      <c r="D1368" s="13" t="n">
        <v>0</v>
      </c>
      <c r="E1368" s="13" t="inlineStr">
        <is>
          <t>E</t>
        </is>
      </c>
      <c r="F1368" s="13" t="n">
        <v>2021</v>
      </c>
      <c r="G1368" s="14" t="n">
        <v>69672.56366948146</v>
      </c>
      <c r="H1368" s="14" t="n">
        <v>13536.45003536449</v>
      </c>
      <c r="I1368" s="14" t="n">
        <v>33094.65876638376</v>
      </c>
      <c r="J1368" s="14" t="n">
        <v>0</v>
      </c>
      <c r="K1368" s="14" t="n">
        <v>23041.45486773322</v>
      </c>
      <c r="L1368" s="14" t="n">
        <v>0</v>
      </c>
      <c r="M1368" s="14" t="n">
        <v>0</v>
      </c>
      <c r="N1368" s="14" t="n">
        <v>15585.65474156398</v>
      </c>
      <c r="O1368" s="14" t="n">
        <v>69672.56366948146</v>
      </c>
      <c r="P1368" s="14" t="n">
        <v>3967.939897784065</v>
      </c>
      <c r="Q1368" s="14" t="n">
        <v>450672.4689331053</v>
      </c>
      <c r="R1368" s="15">
        <f>IF(D1368=1,"Section 1","Control")</f>
        <v/>
      </c>
      <c r="S1368" s="16">
        <f>N1368/10000</f>
        <v/>
      </c>
      <c r="T1368" s="16">
        <f>P1368/10000</f>
        <v/>
      </c>
      <c r="U1368" s="15">
        <f>IF(N1368&gt;=Summary!$D$3,1,0)</f>
        <v/>
      </c>
      <c r="V1368" s="17">
        <f>IF(N1368&gt;0,P1368/N1368,"")</f>
        <v/>
      </c>
      <c r="W1368" s="17">
        <f>IF(O1368&gt;0,H1368/O1368,"")</f>
        <v/>
      </c>
    </row>
    <row r="1369">
      <c r="A1369" s="13" t="inlineStr">
        <is>
          <t>CE02_F</t>
        </is>
      </c>
      <c r="B1369" s="13" t="inlineStr">
        <is>
          <t>CE02</t>
        </is>
      </c>
      <c r="C1369" s="13" t="inlineStr">
        <is>
          <t>F</t>
        </is>
      </c>
      <c r="D1369" s="13" t="n">
        <v>0</v>
      </c>
      <c r="E1369" s="13" t="inlineStr">
        <is>
          <t>E</t>
        </is>
      </c>
      <c r="F1369" s="13" t="n">
        <v>2022</v>
      </c>
      <c r="G1369" s="14" t="n">
        <v>69672.56366948146</v>
      </c>
      <c r="H1369" s="14" t="n">
        <v>22822.32465655757</v>
      </c>
      <c r="I1369" s="14" t="n">
        <v>21160.26127262489</v>
      </c>
      <c r="J1369" s="14" t="n">
        <v>0</v>
      </c>
      <c r="K1369" s="14" t="n">
        <v>25689.977740299</v>
      </c>
      <c r="L1369" s="14" t="n">
        <v>0</v>
      </c>
      <c r="M1369" s="14" t="n">
        <v>0</v>
      </c>
      <c r="N1369" s="14" t="n">
        <v>15585.65474156398</v>
      </c>
      <c r="O1369" s="14" t="n">
        <v>69672.56366948146</v>
      </c>
      <c r="P1369" s="14" t="n">
        <v>3126.655486522001</v>
      </c>
      <c r="Q1369" s="14" t="n">
        <v>450672.4689331053</v>
      </c>
      <c r="R1369" s="15">
        <f>IF(D1369=1,"Section 1","Control")</f>
        <v/>
      </c>
      <c r="S1369" s="16">
        <f>N1369/10000</f>
        <v/>
      </c>
      <c r="T1369" s="16">
        <f>P1369/10000</f>
        <v/>
      </c>
      <c r="U1369" s="15">
        <f>IF(N1369&gt;=Summary!$D$3,1,0)</f>
        <v/>
      </c>
      <c r="V1369" s="17">
        <f>IF(N1369&gt;0,P1369/N1369,"")</f>
        <v/>
      </c>
      <c r="W1369" s="17">
        <f>IF(O1369&gt;0,H1369/O1369,"")</f>
        <v/>
      </c>
    </row>
    <row r="1370">
      <c r="A1370" s="13" t="inlineStr">
        <is>
          <t>CE02_F</t>
        </is>
      </c>
      <c r="B1370" s="13" t="inlineStr">
        <is>
          <t>CE02</t>
        </is>
      </c>
      <c r="C1370" s="13" t="inlineStr">
        <is>
          <t>F</t>
        </is>
      </c>
      <c r="D1370" s="13" t="n">
        <v>0</v>
      </c>
      <c r="E1370" s="13" t="inlineStr">
        <is>
          <t>E</t>
        </is>
      </c>
      <c r="F1370" s="13" t="n">
        <v>2023</v>
      </c>
      <c r="G1370" s="14" t="n">
        <v>69672.56366948146</v>
      </c>
      <c r="H1370" s="14" t="n">
        <v>13537.22165455538</v>
      </c>
      <c r="I1370" s="14" t="n">
        <v>31920.8096385881</v>
      </c>
      <c r="J1370" s="14" t="n">
        <v>0</v>
      </c>
      <c r="K1370" s="14" t="n">
        <v>24214.53237633799</v>
      </c>
      <c r="L1370" s="14" t="n">
        <v>0</v>
      </c>
      <c r="M1370" s="14" t="n">
        <v>0</v>
      </c>
      <c r="N1370" s="14" t="n">
        <v>15585.65474156398</v>
      </c>
      <c r="O1370" s="14" t="n">
        <v>69672.56366948146</v>
      </c>
      <c r="P1370" s="14" t="n">
        <v>5906.419693202599</v>
      </c>
      <c r="Q1370" s="14" t="n">
        <v>450672.4689331053</v>
      </c>
      <c r="R1370" s="15">
        <f>IF(D1370=1,"Section 1","Control")</f>
        <v/>
      </c>
      <c r="S1370" s="16">
        <f>N1370/10000</f>
        <v/>
      </c>
      <c r="T1370" s="16">
        <f>P1370/10000</f>
        <v/>
      </c>
      <c r="U1370" s="15">
        <f>IF(N1370&gt;=Summary!$D$3,1,0)</f>
        <v/>
      </c>
      <c r="V1370" s="17">
        <f>IF(N1370&gt;0,P1370/N1370,"")</f>
        <v/>
      </c>
      <c r="W1370" s="17">
        <f>IF(O1370&gt;0,H1370/O1370,"")</f>
        <v/>
      </c>
    </row>
    <row r="1371">
      <c r="A1371" s="13" t="inlineStr">
        <is>
          <t>CE02_F</t>
        </is>
      </c>
      <c r="B1371" s="13" t="inlineStr">
        <is>
          <t>CE02</t>
        </is>
      </c>
      <c r="C1371" s="13" t="inlineStr">
        <is>
          <t>F</t>
        </is>
      </c>
      <c r="D1371" s="13" t="n">
        <v>0</v>
      </c>
      <c r="E1371" s="13" t="inlineStr">
        <is>
          <t>E</t>
        </is>
      </c>
      <c r="F1371" s="13" t="n">
        <v>2024</v>
      </c>
      <c r="G1371" s="14" t="n">
        <v>69672.56366948146</v>
      </c>
      <c r="H1371" s="14" t="n">
        <v>23133.98569940305</v>
      </c>
      <c r="I1371" s="14" t="n">
        <v>18416.89025220684</v>
      </c>
      <c r="J1371" s="14" t="n">
        <v>0</v>
      </c>
      <c r="K1371" s="14" t="n">
        <v>28121.68771787157</v>
      </c>
      <c r="L1371" s="14" t="n">
        <v>0</v>
      </c>
      <c r="M1371" s="14" t="n">
        <v>0</v>
      </c>
      <c r="N1371" s="14" t="n">
        <v>15585.65474156398</v>
      </c>
      <c r="O1371" s="14" t="n">
        <v>69672.56366948146</v>
      </c>
      <c r="P1371" s="14" t="n">
        <v>3658.991742511824</v>
      </c>
      <c r="Q1371" s="14" t="n">
        <v>450672.4689331053</v>
      </c>
      <c r="R1371" s="15">
        <f>IF(D1371=1,"Section 1","Control")</f>
        <v/>
      </c>
      <c r="S1371" s="16">
        <f>N1371/10000</f>
        <v/>
      </c>
      <c r="T1371" s="16">
        <f>P1371/10000</f>
        <v/>
      </c>
      <c r="U1371" s="15">
        <f>IF(N1371&gt;=Summary!$D$3,1,0)</f>
        <v/>
      </c>
      <c r="V1371" s="17">
        <f>IF(N1371&gt;0,P1371/N1371,"")</f>
        <v/>
      </c>
      <c r="W1371" s="17">
        <f>IF(O1371&gt;0,H1371/O1371,"")</f>
        <v/>
      </c>
    </row>
    <row r="1372">
      <c r="A1372" s="13" t="inlineStr">
        <is>
          <t>CE02_F</t>
        </is>
      </c>
      <c r="B1372" s="13" t="inlineStr">
        <is>
          <t>CE02</t>
        </is>
      </c>
      <c r="C1372" s="13" t="inlineStr">
        <is>
          <t>F</t>
        </is>
      </c>
      <c r="D1372" s="13" t="n">
        <v>0</v>
      </c>
      <c r="E1372" s="13" t="inlineStr">
        <is>
          <t>E</t>
        </is>
      </c>
      <c r="F1372" s="13" t="n">
        <v>2025</v>
      </c>
      <c r="G1372" s="14" t="n">
        <v>69672.56366948146</v>
      </c>
      <c r="H1372" s="14" t="n">
        <v>16117.60220612171</v>
      </c>
      <c r="I1372" s="14" t="n">
        <v>14289.06004423254</v>
      </c>
      <c r="J1372" s="14" t="n">
        <v>0</v>
      </c>
      <c r="K1372" s="14" t="n">
        <v>39265.90141912721</v>
      </c>
      <c r="L1372" s="14" t="n">
        <v>0</v>
      </c>
      <c r="M1372" s="14" t="n">
        <v>0</v>
      </c>
      <c r="N1372" s="14" t="n">
        <v>15585.65474156398</v>
      </c>
      <c r="O1372" s="14" t="n">
        <v>69672.56366948146</v>
      </c>
      <c r="P1372" s="14" t="n">
        <v>5511.52262136422</v>
      </c>
      <c r="Q1372" s="14" t="n">
        <v>450672.4689331053</v>
      </c>
      <c r="R1372" s="15">
        <f>IF(D1372=1,"Section 1","Control")</f>
        <v/>
      </c>
      <c r="S1372" s="16">
        <f>N1372/10000</f>
        <v/>
      </c>
      <c r="T1372" s="16">
        <f>P1372/10000</f>
        <v/>
      </c>
      <c r="U1372" s="15">
        <f>IF(N1372&gt;=Summary!$D$3,1,0)</f>
        <v/>
      </c>
      <c r="V1372" s="17">
        <f>IF(N1372&gt;0,P1372/N1372,"")</f>
        <v/>
      </c>
      <c r="W1372" s="17">
        <f>IF(O1372&gt;0,H1372/O1372,"")</f>
        <v/>
      </c>
    </row>
    <row r="1373">
      <c r="A1373" s="13" t="inlineStr">
        <is>
          <t>CE02_F</t>
        </is>
      </c>
      <c r="B1373" s="13" t="inlineStr">
        <is>
          <t>CE02</t>
        </is>
      </c>
      <c r="C1373" s="13" t="inlineStr">
        <is>
          <t>F</t>
        </is>
      </c>
      <c r="D1373" s="13" t="n">
        <v>0</v>
      </c>
      <c r="E1373" s="13" t="inlineStr">
        <is>
          <t>E</t>
        </is>
      </c>
      <c r="F1373" s="13" t="n">
        <v>2026</v>
      </c>
      <c r="G1373" s="14" t="n">
        <v>69672.56366948146</v>
      </c>
      <c r="H1373" s="14" t="n">
        <v>15004.92112564386</v>
      </c>
      <c r="I1373" s="14" t="n">
        <v>971.3684055103976</v>
      </c>
      <c r="J1373" s="14" t="n">
        <v>0</v>
      </c>
      <c r="K1373" s="14" t="n">
        <v>53696.27413832721</v>
      </c>
      <c r="L1373" s="14" t="n">
        <v>0</v>
      </c>
      <c r="M1373" s="14" t="n">
        <v>0</v>
      </c>
      <c r="N1373" s="14" t="n">
        <v>15585.65474156398</v>
      </c>
      <c r="O1373" s="14" t="n">
        <v>69672.56366948146</v>
      </c>
      <c r="P1373" s="14" t="n">
        <v>7110.854593075022</v>
      </c>
      <c r="Q1373" s="14" t="n">
        <v>450672.4689331053</v>
      </c>
      <c r="R1373" s="15">
        <f>IF(D1373=1,"Section 1","Control")</f>
        <v/>
      </c>
      <c r="S1373" s="16">
        <f>N1373/10000</f>
        <v/>
      </c>
      <c r="T1373" s="16">
        <f>P1373/10000</f>
        <v/>
      </c>
      <c r="U1373" s="15">
        <f>IF(N1373&gt;=Summary!$D$3,1,0)</f>
        <v/>
      </c>
      <c r="V1373" s="17">
        <f>IF(N1373&gt;0,P1373/N1373,"")</f>
        <v/>
      </c>
      <c r="W1373" s="17">
        <f>IF(O1373&gt;0,H1373/O1373,"")</f>
        <v/>
      </c>
    </row>
    <row r="1374">
      <c r="A1374" s="13" t="inlineStr">
        <is>
          <t>CE03_B1</t>
        </is>
      </c>
      <c r="B1374" s="13" t="inlineStr">
        <is>
          <t>CE03</t>
        </is>
      </c>
      <c r="C1374" s="13" t="inlineStr">
        <is>
          <t>B1</t>
        </is>
      </c>
      <c r="D1374" s="13" t="n">
        <v>0</v>
      </c>
      <c r="E1374" s="13" t="inlineStr">
        <is>
          <t>E</t>
        </is>
      </c>
      <c r="F1374" s="13" t="n">
        <v>2020</v>
      </c>
      <c r="G1374" s="14" t="n">
        <v>1000546.880417977</v>
      </c>
      <c r="H1374" s="14" t="n">
        <v>342705.4478421679</v>
      </c>
      <c r="I1374" s="14" t="n">
        <v>520103.7868356144</v>
      </c>
      <c r="J1374" s="14" t="n">
        <v>0</v>
      </c>
      <c r="K1374" s="14" t="n">
        <v>137737.6457401949</v>
      </c>
      <c r="L1374" s="14" t="n">
        <v>0</v>
      </c>
      <c r="M1374" s="14" t="n">
        <v>0</v>
      </c>
      <c r="N1374" s="14" t="n">
        <v>342705.4478421679</v>
      </c>
      <c r="O1374" s="14" t="n">
        <v>1000546.880417977</v>
      </c>
      <c r="P1374" s="14" t="n">
        <v>0</v>
      </c>
      <c r="Q1374" s="14" t="n">
        <v>6927681.154689327</v>
      </c>
      <c r="R1374" s="15">
        <f>IF(D1374=1,"Section 1","Control")</f>
        <v/>
      </c>
      <c r="S1374" s="16">
        <f>N1374/10000</f>
        <v/>
      </c>
      <c r="T1374" s="16">
        <f>P1374/10000</f>
        <v/>
      </c>
      <c r="U1374" s="15">
        <f>IF(N1374&gt;=Summary!$D$3,1,0)</f>
        <v/>
      </c>
      <c r="V1374" s="17">
        <f>IF(N1374&gt;0,P1374/N1374,"")</f>
        <v/>
      </c>
      <c r="W1374" s="17">
        <f>IF(O1374&gt;0,H1374/O1374,"")</f>
        <v/>
      </c>
    </row>
    <row r="1375">
      <c r="A1375" s="13" t="inlineStr">
        <is>
          <t>CE03_B1</t>
        </is>
      </c>
      <c r="B1375" s="13" t="inlineStr">
        <is>
          <t>CE03</t>
        </is>
      </c>
      <c r="C1375" s="13" t="inlineStr">
        <is>
          <t>B1</t>
        </is>
      </c>
      <c r="D1375" s="13" t="n">
        <v>0</v>
      </c>
      <c r="E1375" s="13" t="inlineStr">
        <is>
          <t>E</t>
        </is>
      </c>
      <c r="F1375" s="13" t="n">
        <v>2021</v>
      </c>
      <c r="G1375" s="14" t="n">
        <v>1000546.880417977</v>
      </c>
      <c r="H1375" s="14" t="n">
        <v>242587.0875611848</v>
      </c>
      <c r="I1375" s="14" t="n">
        <v>507886.370199256</v>
      </c>
      <c r="J1375" s="14" t="n">
        <v>0</v>
      </c>
      <c r="K1375" s="14" t="n">
        <v>250073.4226575365</v>
      </c>
      <c r="L1375" s="14" t="n">
        <v>0</v>
      </c>
      <c r="M1375" s="14" t="n">
        <v>0</v>
      </c>
      <c r="N1375" s="14" t="n">
        <v>342705.4478421679</v>
      </c>
      <c r="O1375" s="14" t="n">
        <v>1000546.880417977</v>
      </c>
      <c r="P1375" s="14" t="n">
        <v>139822.2012656717</v>
      </c>
      <c r="Q1375" s="14" t="n">
        <v>6927681.154689327</v>
      </c>
      <c r="R1375" s="15">
        <f>IF(D1375=1,"Section 1","Control")</f>
        <v/>
      </c>
      <c r="S1375" s="16">
        <f>N1375/10000</f>
        <v/>
      </c>
      <c r="T1375" s="16">
        <f>P1375/10000</f>
        <v/>
      </c>
      <c r="U1375" s="15">
        <f>IF(N1375&gt;=Summary!$D$3,1,0)</f>
        <v/>
      </c>
      <c r="V1375" s="17">
        <f>IF(N1375&gt;0,P1375/N1375,"")</f>
        <v/>
      </c>
      <c r="W1375" s="17">
        <f>IF(O1375&gt;0,H1375/O1375,"")</f>
        <v/>
      </c>
    </row>
    <row r="1376">
      <c r="A1376" s="13" t="inlineStr">
        <is>
          <t>CE03_B1</t>
        </is>
      </c>
      <c r="B1376" s="13" t="inlineStr">
        <is>
          <t>CE03</t>
        </is>
      </c>
      <c r="C1376" s="13" t="inlineStr">
        <is>
          <t>B1</t>
        </is>
      </c>
      <c r="D1376" s="13" t="n">
        <v>0</v>
      </c>
      <c r="E1376" s="13" t="inlineStr">
        <is>
          <t>E</t>
        </is>
      </c>
      <c r="F1376" s="13" t="n">
        <v>2022</v>
      </c>
      <c r="G1376" s="14" t="n">
        <v>1000546.880417977</v>
      </c>
      <c r="H1376" s="14" t="n">
        <v>345131.8640437407</v>
      </c>
      <c r="I1376" s="14" t="n">
        <v>320662.8335249359</v>
      </c>
      <c r="J1376" s="14" t="n">
        <v>0</v>
      </c>
      <c r="K1376" s="14" t="n">
        <v>334752.1828493006</v>
      </c>
      <c r="L1376" s="14" t="n">
        <v>0</v>
      </c>
      <c r="M1376" s="14" t="n">
        <v>0</v>
      </c>
      <c r="N1376" s="14" t="n">
        <v>342705.4478421679</v>
      </c>
      <c r="O1376" s="14" t="n">
        <v>1000546.880417977</v>
      </c>
      <c r="P1376" s="14" t="n">
        <v>140290.7319924747</v>
      </c>
      <c r="Q1376" s="14" t="n">
        <v>6927681.154689327</v>
      </c>
      <c r="R1376" s="15">
        <f>IF(D1376=1,"Section 1","Control")</f>
        <v/>
      </c>
      <c r="S1376" s="16">
        <f>N1376/10000</f>
        <v/>
      </c>
      <c r="T1376" s="16">
        <f>P1376/10000</f>
        <v/>
      </c>
      <c r="U1376" s="15">
        <f>IF(N1376&gt;=Summary!$D$3,1,0)</f>
        <v/>
      </c>
      <c r="V1376" s="17">
        <f>IF(N1376&gt;0,P1376/N1376,"")</f>
        <v/>
      </c>
      <c r="W1376" s="17">
        <f>IF(O1376&gt;0,H1376/O1376,"")</f>
        <v/>
      </c>
    </row>
    <row r="1377">
      <c r="A1377" s="13" t="inlineStr">
        <is>
          <t>CE03_B1</t>
        </is>
      </c>
      <c r="B1377" s="13" t="inlineStr">
        <is>
          <t>CE03</t>
        </is>
      </c>
      <c r="C1377" s="13" t="inlineStr">
        <is>
          <t>B1</t>
        </is>
      </c>
      <c r="D1377" s="13" t="n">
        <v>0</v>
      </c>
      <c r="E1377" s="13" t="inlineStr">
        <is>
          <t>E</t>
        </is>
      </c>
      <c r="F1377" s="13" t="n">
        <v>2023</v>
      </c>
      <c r="G1377" s="14" t="n">
        <v>1000546.880417977</v>
      </c>
      <c r="H1377" s="14" t="n">
        <v>277003.4133654725</v>
      </c>
      <c r="I1377" s="14" t="n">
        <v>496827.1018919403</v>
      </c>
      <c r="J1377" s="14" t="n">
        <v>0</v>
      </c>
      <c r="K1377" s="14" t="n">
        <v>226716.3651605643</v>
      </c>
      <c r="L1377" s="14" t="n">
        <v>0</v>
      </c>
      <c r="M1377" s="14" t="n">
        <v>0</v>
      </c>
      <c r="N1377" s="14" t="n">
        <v>342705.4478421679</v>
      </c>
      <c r="O1377" s="14" t="n">
        <v>1000546.880417977</v>
      </c>
      <c r="P1377" s="14" t="n">
        <v>154704.5316855935</v>
      </c>
      <c r="Q1377" s="14" t="n">
        <v>6927681.154689327</v>
      </c>
      <c r="R1377" s="15">
        <f>IF(D1377=1,"Section 1","Control")</f>
        <v/>
      </c>
      <c r="S1377" s="16">
        <f>N1377/10000</f>
        <v/>
      </c>
      <c r="T1377" s="16">
        <f>P1377/10000</f>
        <v/>
      </c>
      <c r="U1377" s="15">
        <f>IF(N1377&gt;=Summary!$D$3,1,0)</f>
        <v/>
      </c>
      <c r="V1377" s="17">
        <f>IF(N1377&gt;0,P1377/N1377,"")</f>
        <v/>
      </c>
      <c r="W1377" s="17">
        <f>IF(O1377&gt;0,H1377/O1377,"")</f>
        <v/>
      </c>
    </row>
    <row r="1378">
      <c r="A1378" s="13" t="inlineStr">
        <is>
          <t>CE03_B1</t>
        </is>
      </c>
      <c r="B1378" s="13" t="inlineStr">
        <is>
          <t>CE03</t>
        </is>
      </c>
      <c r="C1378" s="13" t="inlineStr">
        <is>
          <t>B1</t>
        </is>
      </c>
      <c r="D1378" s="13" t="n">
        <v>0</v>
      </c>
      <c r="E1378" s="13" t="inlineStr">
        <is>
          <t>E</t>
        </is>
      </c>
      <c r="F1378" s="13" t="n">
        <v>2024</v>
      </c>
      <c r="G1378" s="14" t="n">
        <v>1000546.880417977</v>
      </c>
      <c r="H1378" s="14" t="n">
        <v>451200.4259064019</v>
      </c>
      <c r="I1378" s="14" t="n">
        <v>299284.1483428954</v>
      </c>
      <c r="J1378" s="14" t="n">
        <v>0</v>
      </c>
      <c r="K1378" s="14" t="n">
        <v>250062.3061686796</v>
      </c>
      <c r="L1378" s="14" t="n">
        <v>0</v>
      </c>
      <c r="M1378" s="14" t="n">
        <v>0</v>
      </c>
      <c r="N1378" s="14" t="n">
        <v>342705.4478421679</v>
      </c>
      <c r="O1378" s="14" t="n">
        <v>1000546.880417977</v>
      </c>
      <c r="P1378" s="14" t="n">
        <v>103372.9081760781</v>
      </c>
      <c r="Q1378" s="14" t="n">
        <v>6927681.154689327</v>
      </c>
      <c r="R1378" s="15">
        <f>IF(D1378=1,"Section 1","Control")</f>
        <v/>
      </c>
      <c r="S1378" s="16">
        <f>N1378/10000</f>
        <v/>
      </c>
      <c r="T1378" s="16">
        <f>P1378/10000</f>
        <v/>
      </c>
      <c r="U1378" s="15">
        <f>IF(N1378&gt;=Summary!$D$3,1,0)</f>
        <v/>
      </c>
      <c r="V1378" s="17">
        <f>IF(N1378&gt;0,P1378/N1378,"")</f>
        <v/>
      </c>
      <c r="W1378" s="17">
        <f>IF(O1378&gt;0,H1378/O1378,"")</f>
        <v/>
      </c>
    </row>
    <row r="1379">
      <c r="A1379" s="13" t="inlineStr">
        <is>
          <t>CE03_B1</t>
        </is>
      </c>
      <c r="B1379" s="13" t="inlineStr">
        <is>
          <t>CE03</t>
        </is>
      </c>
      <c r="C1379" s="13" t="inlineStr">
        <is>
          <t>B1</t>
        </is>
      </c>
      <c r="D1379" s="13" t="n">
        <v>0</v>
      </c>
      <c r="E1379" s="13" t="inlineStr">
        <is>
          <t>E</t>
        </is>
      </c>
      <c r="F1379" s="13" t="n">
        <v>2025</v>
      </c>
      <c r="G1379" s="14" t="n">
        <v>1000546.880417977</v>
      </c>
      <c r="H1379" s="14" t="n">
        <v>402443.9386819577</v>
      </c>
      <c r="I1379" s="14" t="n">
        <v>331469.9209874471</v>
      </c>
      <c r="J1379" s="14" t="n">
        <v>0</v>
      </c>
      <c r="K1379" s="14" t="n">
        <v>266633.0207485722</v>
      </c>
      <c r="L1379" s="14" t="n">
        <v>0</v>
      </c>
      <c r="M1379" s="14" t="n">
        <v>0</v>
      </c>
      <c r="N1379" s="14" t="n">
        <v>342705.4478421679</v>
      </c>
      <c r="O1379" s="14" t="n">
        <v>1000546.880417977</v>
      </c>
      <c r="P1379" s="14" t="n">
        <v>134140.9149482577</v>
      </c>
      <c r="Q1379" s="14" t="n">
        <v>6927681.154689327</v>
      </c>
      <c r="R1379" s="15">
        <f>IF(D1379=1,"Section 1","Control")</f>
        <v/>
      </c>
      <c r="S1379" s="16">
        <f>N1379/10000</f>
        <v/>
      </c>
      <c r="T1379" s="16">
        <f>P1379/10000</f>
        <v/>
      </c>
      <c r="U1379" s="15">
        <f>IF(N1379&gt;=Summary!$D$3,1,0)</f>
        <v/>
      </c>
      <c r="V1379" s="17">
        <f>IF(N1379&gt;0,P1379/N1379,"")</f>
        <v/>
      </c>
      <c r="W1379" s="17">
        <f>IF(O1379&gt;0,H1379/O1379,"")</f>
        <v/>
      </c>
    </row>
    <row r="1380">
      <c r="A1380" s="13" t="inlineStr">
        <is>
          <t>CE03_B1</t>
        </is>
      </c>
      <c r="B1380" s="13" t="inlineStr">
        <is>
          <t>CE03</t>
        </is>
      </c>
      <c r="C1380" s="13" t="inlineStr">
        <is>
          <t>B1</t>
        </is>
      </c>
      <c r="D1380" s="13" t="n">
        <v>0</v>
      </c>
      <c r="E1380" s="13" t="inlineStr">
        <is>
          <t>E</t>
        </is>
      </c>
      <c r="F1380" s="13" t="n">
        <v>2026</v>
      </c>
      <c r="G1380" s="14" t="n">
        <v>1000546.880417977</v>
      </c>
      <c r="H1380" s="14" t="n">
        <v>411143.1510086658</v>
      </c>
      <c r="I1380" s="14" t="n">
        <v>163389.1943159814</v>
      </c>
      <c r="J1380" s="14" t="n">
        <v>0</v>
      </c>
      <c r="K1380" s="14" t="n">
        <v>426014.53509333</v>
      </c>
      <c r="L1380" s="14" t="n">
        <v>0</v>
      </c>
      <c r="M1380" s="14" t="n">
        <v>0</v>
      </c>
      <c r="N1380" s="14" t="n">
        <v>342705.4478421679</v>
      </c>
      <c r="O1380" s="14" t="n">
        <v>1000546.880417977</v>
      </c>
      <c r="P1380" s="14" t="n">
        <v>134648.0401424632</v>
      </c>
      <c r="Q1380" s="14" t="n">
        <v>6927681.154689327</v>
      </c>
      <c r="R1380" s="15">
        <f>IF(D1380=1,"Section 1","Control")</f>
        <v/>
      </c>
      <c r="S1380" s="16">
        <f>N1380/10000</f>
        <v/>
      </c>
      <c r="T1380" s="16">
        <f>P1380/10000</f>
        <v/>
      </c>
      <c r="U1380" s="15">
        <f>IF(N1380&gt;=Summary!$D$3,1,0)</f>
        <v/>
      </c>
      <c r="V1380" s="17">
        <f>IF(N1380&gt;0,P1380/N1380,"")</f>
        <v/>
      </c>
      <c r="W1380" s="17">
        <f>IF(O1380&gt;0,H1380/O1380,"")</f>
        <v/>
      </c>
    </row>
    <row r="1381">
      <c r="A1381" s="13" t="inlineStr">
        <is>
          <t>CE03_B2</t>
        </is>
      </c>
      <c r="B1381" s="13" t="inlineStr">
        <is>
          <t>CE03</t>
        </is>
      </c>
      <c r="C1381" s="13" t="inlineStr">
        <is>
          <t>B2</t>
        </is>
      </c>
      <c r="D1381" s="13" t="n">
        <v>0</v>
      </c>
      <c r="E1381" s="13" t="inlineStr">
        <is>
          <t>E</t>
        </is>
      </c>
      <c r="F1381" s="13" t="n">
        <v>2020</v>
      </c>
      <c r="G1381" s="14" t="n">
        <v>1000295.833055982</v>
      </c>
      <c r="H1381" s="14" t="n">
        <v>253831.4752583224</v>
      </c>
      <c r="I1381" s="14" t="n">
        <v>445152.7878910739</v>
      </c>
      <c r="J1381" s="14" t="n">
        <v>0</v>
      </c>
      <c r="K1381" s="14" t="n">
        <v>41622.30625460756</v>
      </c>
      <c r="L1381" s="14" t="n">
        <v>259689.2636519787</v>
      </c>
      <c r="M1381" s="14" t="n">
        <v>0</v>
      </c>
      <c r="N1381" s="14" t="n">
        <v>253831.4752583224</v>
      </c>
      <c r="O1381" s="14" t="n">
        <v>740606.5694040036</v>
      </c>
      <c r="P1381" s="14" t="n">
        <v>0</v>
      </c>
      <c r="Q1381" s="14" t="n">
        <v>5433316.754416403</v>
      </c>
      <c r="R1381" s="15">
        <f>IF(D1381=1,"Section 1","Control")</f>
        <v/>
      </c>
      <c r="S1381" s="16">
        <f>N1381/10000</f>
        <v/>
      </c>
      <c r="T1381" s="16">
        <f>P1381/10000</f>
        <v/>
      </c>
      <c r="U1381" s="15">
        <f>IF(N1381&gt;=Summary!$D$3,1,0)</f>
        <v/>
      </c>
      <c r="V1381" s="17">
        <f>IF(N1381&gt;0,P1381/N1381,"")</f>
        <v/>
      </c>
      <c r="W1381" s="17">
        <f>IF(O1381&gt;0,H1381/O1381,"")</f>
        <v/>
      </c>
    </row>
    <row r="1382">
      <c r="A1382" s="13" t="inlineStr">
        <is>
          <t>CE03_B2</t>
        </is>
      </c>
      <c r="B1382" s="13" t="inlineStr">
        <is>
          <t>CE03</t>
        </is>
      </c>
      <c r="C1382" s="13" t="inlineStr">
        <is>
          <t>B2</t>
        </is>
      </c>
      <c r="D1382" s="13" t="n">
        <v>0</v>
      </c>
      <c r="E1382" s="13" t="inlineStr">
        <is>
          <t>E</t>
        </is>
      </c>
      <c r="F1382" s="13" t="n">
        <v>2021</v>
      </c>
      <c r="G1382" s="14" t="n">
        <v>1000295.833055982</v>
      </c>
      <c r="H1382" s="14" t="n">
        <v>154706.4604947857</v>
      </c>
      <c r="I1382" s="14" t="n">
        <v>407463.9726879943</v>
      </c>
      <c r="J1382" s="14" t="n">
        <v>0</v>
      </c>
      <c r="K1382" s="14" t="n">
        <v>220331.1135710772</v>
      </c>
      <c r="L1382" s="14" t="n">
        <v>217794.2863021252</v>
      </c>
      <c r="M1382" s="14" t="n">
        <v>0</v>
      </c>
      <c r="N1382" s="14" t="n">
        <v>253831.4752583224</v>
      </c>
      <c r="O1382" s="14" t="n">
        <v>740606.5694040034</v>
      </c>
      <c r="P1382" s="14" t="n">
        <v>101691.8216330435</v>
      </c>
      <c r="Q1382" s="14" t="n">
        <v>5433316.754416403</v>
      </c>
      <c r="R1382" s="15">
        <f>IF(D1382=1,"Section 1","Control")</f>
        <v/>
      </c>
      <c r="S1382" s="16">
        <f>N1382/10000</f>
        <v/>
      </c>
      <c r="T1382" s="16">
        <f>P1382/10000</f>
        <v/>
      </c>
      <c r="U1382" s="15">
        <f>IF(N1382&gt;=Summary!$D$3,1,0)</f>
        <v/>
      </c>
      <c r="V1382" s="17">
        <f>IF(N1382&gt;0,P1382/N1382,"")</f>
        <v/>
      </c>
      <c r="W1382" s="17">
        <f>IF(O1382&gt;0,H1382/O1382,"")</f>
        <v/>
      </c>
    </row>
    <row r="1383">
      <c r="A1383" s="13" t="inlineStr">
        <is>
          <t>CE03_B2</t>
        </is>
      </c>
      <c r="B1383" s="13" t="inlineStr">
        <is>
          <t>CE03</t>
        </is>
      </c>
      <c r="C1383" s="13" t="inlineStr">
        <is>
          <t>B2</t>
        </is>
      </c>
      <c r="D1383" s="13" t="n">
        <v>0</v>
      </c>
      <c r="E1383" s="13" t="inlineStr">
        <is>
          <t>E</t>
        </is>
      </c>
      <c r="F1383" s="13" t="n">
        <v>2022</v>
      </c>
      <c r="G1383" s="14" t="n">
        <v>1000295.833055982</v>
      </c>
      <c r="H1383" s="14" t="n">
        <v>147780.0040085437</v>
      </c>
      <c r="I1383" s="14" t="n">
        <v>417882.0983996223</v>
      </c>
      <c r="J1383" s="14" t="n">
        <v>0</v>
      </c>
      <c r="K1383" s="14" t="n">
        <v>255951.9471728755</v>
      </c>
      <c r="L1383" s="14" t="n">
        <v>178681.7834749409</v>
      </c>
      <c r="M1383" s="14" t="n">
        <v>0</v>
      </c>
      <c r="N1383" s="14" t="n">
        <v>253831.4752583224</v>
      </c>
      <c r="O1383" s="14" t="n">
        <v>740606.5694040034</v>
      </c>
      <c r="P1383" s="14" t="n">
        <v>112019.4217767154</v>
      </c>
      <c r="Q1383" s="14" t="n">
        <v>5433316.754416403</v>
      </c>
      <c r="R1383" s="15">
        <f>IF(D1383=1,"Section 1","Control")</f>
        <v/>
      </c>
      <c r="S1383" s="16">
        <f>N1383/10000</f>
        <v/>
      </c>
      <c r="T1383" s="16">
        <f>P1383/10000</f>
        <v/>
      </c>
      <c r="U1383" s="15">
        <f>IF(N1383&gt;=Summary!$D$3,1,0)</f>
        <v/>
      </c>
      <c r="V1383" s="17">
        <f>IF(N1383&gt;0,P1383/N1383,"")</f>
        <v/>
      </c>
      <c r="W1383" s="17">
        <f>IF(O1383&gt;0,H1383/O1383,"")</f>
        <v/>
      </c>
    </row>
    <row r="1384">
      <c r="A1384" s="13" t="inlineStr">
        <is>
          <t>CE03_B2</t>
        </is>
      </c>
      <c r="B1384" s="13" t="inlineStr">
        <is>
          <t>CE03</t>
        </is>
      </c>
      <c r="C1384" s="13" t="inlineStr">
        <is>
          <t>B2</t>
        </is>
      </c>
      <c r="D1384" s="13" t="n">
        <v>0</v>
      </c>
      <c r="E1384" s="13" t="inlineStr">
        <is>
          <t>E</t>
        </is>
      </c>
      <c r="F1384" s="13" t="n">
        <v>2023</v>
      </c>
      <c r="G1384" s="14" t="n">
        <v>1000295.833055982</v>
      </c>
      <c r="H1384" s="14" t="n">
        <v>146121.4376609353</v>
      </c>
      <c r="I1384" s="14" t="n">
        <v>503605.0868796853</v>
      </c>
      <c r="J1384" s="14" t="n">
        <v>0</v>
      </c>
      <c r="K1384" s="14" t="n">
        <v>168272.9864807727</v>
      </c>
      <c r="L1384" s="14" t="n">
        <v>182296.322034589</v>
      </c>
      <c r="M1384" s="14" t="n">
        <v>0</v>
      </c>
      <c r="N1384" s="14" t="n">
        <v>253831.4752583224</v>
      </c>
      <c r="O1384" s="14" t="n">
        <v>740606.5694040034</v>
      </c>
      <c r="P1384" s="14" t="n">
        <v>112768.9520290898</v>
      </c>
      <c r="Q1384" s="14" t="n">
        <v>5433316.754416403</v>
      </c>
      <c r="R1384" s="15">
        <f>IF(D1384=1,"Section 1","Control")</f>
        <v/>
      </c>
      <c r="S1384" s="16">
        <f>N1384/10000</f>
        <v/>
      </c>
      <c r="T1384" s="16">
        <f>P1384/10000</f>
        <v/>
      </c>
      <c r="U1384" s="15">
        <f>IF(N1384&gt;=Summary!$D$3,1,0)</f>
        <v/>
      </c>
      <c r="V1384" s="17">
        <f>IF(N1384&gt;0,P1384/N1384,"")</f>
        <v/>
      </c>
      <c r="W1384" s="17">
        <f>IF(O1384&gt;0,H1384/O1384,"")</f>
        <v/>
      </c>
    </row>
    <row r="1385">
      <c r="A1385" s="13" t="inlineStr">
        <is>
          <t>CE03_B2</t>
        </is>
      </c>
      <c r="B1385" s="13" t="inlineStr">
        <is>
          <t>CE03</t>
        </is>
      </c>
      <c r="C1385" s="13" t="inlineStr">
        <is>
          <t>B2</t>
        </is>
      </c>
      <c r="D1385" s="13" t="n">
        <v>0</v>
      </c>
      <c r="E1385" s="13" t="inlineStr">
        <is>
          <t>E</t>
        </is>
      </c>
      <c r="F1385" s="13" t="n">
        <v>2024</v>
      </c>
      <c r="G1385" s="14" t="n">
        <v>1000295.833055982</v>
      </c>
      <c r="H1385" s="14" t="n">
        <v>183278.1982321645</v>
      </c>
      <c r="I1385" s="14" t="n">
        <v>483384.8999368705</v>
      </c>
      <c r="J1385" s="14" t="n">
        <v>0</v>
      </c>
      <c r="K1385" s="14" t="n">
        <v>178925.4721591725</v>
      </c>
      <c r="L1385" s="14" t="n">
        <v>154707.2627277748</v>
      </c>
      <c r="M1385" s="14" t="n">
        <v>0</v>
      </c>
      <c r="N1385" s="14" t="n">
        <v>253831.4752583224</v>
      </c>
      <c r="O1385" s="14" t="n">
        <v>740606.5694040036</v>
      </c>
      <c r="P1385" s="14" t="n">
        <v>100206.707406676</v>
      </c>
      <c r="Q1385" s="14" t="n">
        <v>5433316.754416403</v>
      </c>
      <c r="R1385" s="15">
        <f>IF(D1385=1,"Section 1","Control")</f>
        <v/>
      </c>
      <c r="S1385" s="16">
        <f>N1385/10000</f>
        <v/>
      </c>
      <c r="T1385" s="16">
        <f>P1385/10000</f>
        <v/>
      </c>
      <c r="U1385" s="15">
        <f>IF(N1385&gt;=Summary!$D$3,1,0)</f>
        <v/>
      </c>
      <c r="V1385" s="17">
        <f>IF(N1385&gt;0,P1385/N1385,"")</f>
        <v/>
      </c>
      <c r="W1385" s="17">
        <f>IF(O1385&gt;0,H1385/O1385,"")</f>
        <v/>
      </c>
    </row>
    <row r="1386">
      <c r="A1386" s="13" t="inlineStr">
        <is>
          <t>CE03_B2</t>
        </is>
      </c>
      <c r="B1386" s="13" t="inlineStr">
        <is>
          <t>CE03</t>
        </is>
      </c>
      <c r="C1386" s="13" t="inlineStr">
        <is>
          <t>B2</t>
        </is>
      </c>
      <c r="D1386" s="13" t="n">
        <v>0</v>
      </c>
      <c r="E1386" s="13" t="inlineStr">
        <is>
          <t>E</t>
        </is>
      </c>
      <c r="F1386" s="13" t="n">
        <v>2025</v>
      </c>
      <c r="G1386" s="14" t="n">
        <v>1000295.833055982</v>
      </c>
      <c r="H1386" s="14" t="n">
        <v>185081.4885194666</v>
      </c>
      <c r="I1386" s="14" t="n">
        <v>457393.7609635896</v>
      </c>
      <c r="J1386" s="14" t="n">
        <v>0</v>
      </c>
      <c r="K1386" s="14" t="n">
        <v>210112.0222196392</v>
      </c>
      <c r="L1386" s="14" t="n">
        <v>147708.561353287</v>
      </c>
      <c r="M1386" s="14" t="n">
        <v>0</v>
      </c>
      <c r="N1386" s="14" t="n">
        <v>253831.4752583224</v>
      </c>
      <c r="O1386" s="14" t="n">
        <v>740606.5694040034</v>
      </c>
      <c r="P1386" s="14" t="n">
        <v>102629.5216400147</v>
      </c>
      <c r="Q1386" s="14" t="n">
        <v>5433316.754416403</v>
      </c>
      <c r="R1386" s="15">
        <f>IF(D1386=1,"Section 1","Control")</f>
        <v/>
      </c>
      <c r="S1386" s="16">
        <f>N1386/10000</f>
        <v/>
      </c>
      <c r="T1386" s="16">
        <f>P1386/10000</f>
        <v/>
      </c>
      <c r="U1386" s="15">
        <f>IF(N1386&gt;=Summary!$D$3,1,0)</f>
        <v/>
      </c>
      <c r="V1386" s="17">
        <f>IF(N1386&gt;0,P1386/N1386,"")</f>
        <v/>
      </c>
      <c r="W1386" s="17">
        <f>IF(O1386&gt;0,H1386/O1386,"")</f>
        <v/>
      </c>
    </row>
    <row r="1387">
      <c r="A1387" s="13" t="inlineStr">
        <is>
          <t>CE03_B2</t>
        </is>
      </c>
      <c r="B1387" s="13" t="inlineStr">
        <is>
          <t>CE03</t>
        </is>
      </c>
      <c r="C1387" s="13" t="inlineStr">
        <is>
          <t>B2</t>
        </is>
      </c>
      <c r="D1387" s="13" t="n">
        <v>0</v>
      </c>
      <c r="E1387" s="13" t="inlineStr">
        <is>
          <t>E</t>
        </is>
      </c>
      <c r="F1387" s="13" t="n">
        <v>2026</v>
      </c>
      <c r="G1387" s="14" t="n">
        <v>1000295.833055982</v>
      </c>
      <c r="H1387" s="14" t="n">
        <v>210693.8085798676</v>
      </c>
      <c r="I1387" s="14" t="n">
        <v>399288.9310552559</v>
      </c>
      <c r="J1387" s="14" t="n">
        <v>0</v>
      </c>
      <c r="K1387" s="14" t="n">
        <v>258994.2115415086</v>
      </c>
      <c r="L1387" s="14" t="n">
        <v>131318.8818793502</v>
      </c>
      <c r="M1387" s="14" t="n">
        <v>0</v>
      </c>
      <c r="N1387" s="14" t="n">
        <v>253831.4752583224</v>
      </c>
      <c r="O1387" s="14" t="n">
        <v>740606.5694040036</v>
      </c>
      <c r="P1387" s="14" t="n">
        <v>96945.40121262496</v>
      </c>
      <c r="Q1387" s="14" t="n">
        <v>5433316.754416403</v>
      </c>
      <c r="R1387" s="15">
        <f>IF(D1387=1,"Section 1","Control")</f>
        <v/>
      </c>
      <c r="S1387" s="16">
        <f>N1387/10000</f>
        <v/>
      </c>
      <c r="T1387" s="16">
        <f>P1387/10000</f>
        <v/>
      </c>
      <c r="U1387" s="15">
        <f>IF(N1387&gt;=Summary!$D$3,1,0)</f>
        <v/>
      </c>
      <c r="V1387" s="17">
        <f>IF(N1387&gt;0,P1387/N1387,"")</f>
        <v/>
      </c>
      <c r="W1387" s="17">
        <f>IF(O1387&gt;0,H1387/O1387,"")</f>
        <v/>
      </c>
    </row>
    <row r="1388">
      <c r="A1388" s="13" t="inlineStr">
        <is>
          <t>CE03_B3</t>
        </is>
      </c>
      <c r="B1388" s="13" t="inlineStr">
        <is>
          <t>CE03</t>
        </is>
      </c>
      <c r="C1388" s="13" t="inlineStr">
        <is>
          <t>B3</t>
        </is>
      </c>
      <c r="D1388" s="13" t="n">
        <v>0</v>
      </c>
      <c r="E1388" s="13" t="inlineStr">
        <is>
          <t>E</t>
        </is>
      </c>
      <c r="F1388" s="13" t="n">
        <v>2020</v>
      </c>
      <c r="G1388" s="14" t="n">
        <v>8003582.04661967</v>
      </c>
      <c r="H1388" s="14" t="n">
        <v>1785510.264176043</v>
      </c>
      <c r="I1388" s="14" t="n">
        <v>227731.7741434434</v>
      </c>
      <c r="J1388" s="14" t="n">
        <v>0</v>
      </c>
      <c r="K1388" s="14" t="n">
        <v>30124.05430665857</v>
      </c>
      <c r="L1388" s="14" t="n">
        <v>5960215.953993526</v>
      </c>
      <c r="M1388" s="14" t="n">
        <v>0</v>
      </c>
      <c r="N1388" s="14" t="n">
        <v>1785510.264176043</v>
      </c>
      <c r="O1388" s="14" t="n">
        <v>2043366.092626146</v>
      </c>
      <c r="P1388" s="14" t="n">
        <v>0</v>
      </c>
      <c r="Q1388" s="14" t="n">
        <v>18413958.19591001</v>
      </c>
      <c r="R1388" s="15">
        <f>IF(D1388=1,"Section 1","Control")</f>
        <v/>
      </c>
      <c r="S1388" s="16">
        <f>N1388/10000</f>
        <v/>
      </c>
      <c r="T1388" s="16">
        <f>P1388/10000</f>
        <v/>
      </c>
      <c r="U1388" s="15">
        <f>IF(N1388&gt;=Summary!$D$3,1,0)</f>
        <v/>
      </c>
      <c r="V1388" s="17">
        <f>IF(N1388&gt;0,P1388/N1388,"")</f>
        <v/>
      </c>
      <c r="W1388" s="17">
        <f>IF(O1388&gt;0,H1388/O1388,"")</f>
        <v/>
      </c>
    </row>
    <row r="1389">
      <c r="A1389" s="13" t="inlineStr">
        <is>
          <t>CE03_B3</t>
        </is>
      </c>
      <c r="B1389" s="13" t="inlineStr">
        <is>
          <t>CE03</t>
        </is>
      </c>
      <c r="C1389" s="13" t="inlineStr">
        <is>
          <t>B3</t>
        </is>
      </c>
      <c r="D1389" s="13" t="n">
        <v>0</v>
      </c>
      <c r="E1389" s="13" t="inlineStr">
        <is>
          <t>E</t>
        </is>
      </c>
      <c r="F1389" s="13" t="n">
        <v>2021</v>
      </c>
      <c r="G1389" s="14" t="n">
        <v>8003582.04661967</v>
      </c>
      <c r="H1389" s="14" t="n">
        <v>1680273.351063089</v>
      </c>
      <c r="I1389" s="14" t="n">
        <v>272347.3189760994</v>
      </c>
      <c r="J1389" s="14" t="n">
        <v>0</v>
      </c>
      <c r="K1389" s="14" t="n">
        <v>160238.5834235397</v>
      </c>
      <c r="L1389" s="14" t="n">
        <v>5890722.793156943</v>
      </c>
      <c r="M1389" s="14" t="n">
        <v>0</v>
      </c>
      <c r="N1389" s="14" t="n">
        <v>1785510.264176043</v>
      </c>
      <c r="O1389" s="14" t="n">
        <v>2043366.092626145</v>
      </c>
      <c r="P1389" s="14" t="n">
        <v>132910.9376978257</v>
      </c>
      <c r="Q1389" s="14" t="n">
        <v>18413958.19591001</v>
      </c>
      <c r="R1389" s="15">
        <f>IF(D1389=1,"Section 1","Control")</f>
        <v/>
      </c>
      <c r="S1389" s="16">
        <f>N1389/10000</f>
        <v/>
      </c>
      <c r="T1389" s="16">
        <f>P1389/10000</f>
        <v/>
      </c>
      <c r="U1389" s="15">
        <f>IF(N1389&gt;=Summary!$D$3,1,0)</f>
        <v/>
      </c>
      <c r="V1389" s="17">
        <f>IF(N1389&gt;0,P1389/N1389,"")</f>
        <v/>
      </c>
      <c r="W1389" s="17">
        <f>IF(O1389&gt;0,H1389/O1389,"")</f>
        <v/>
      </c>
    </row>
    <row r="1390">
      <c r="A1390" s="13" t="inlineStr">
        <is>
          <t>CE03_B3</t>
        </is>
      </c>
      <c r="B1390" s="13" t="inlineStr">
        <is>
          <t>CE03</t>
        </is>
      </c>
      <c r="C1390" s="13" t="inlineStr">
        <is>
          <t>B3</t>
        </is>
      </c>
      <c r="D1390" s="13" t="n">
        <v>0</v>
      </c>
      <c r="E1390" s="13" t="inlineStr">
        <is>
          <t>E</t>
        </is>
      </c>
      <c r="F1390" s="13" t="n">
        <v>2022</v>
      </c>
      <c r="G1390" s="14" t="n">
        <v>8003582.046619669</v>
      </c>
      <c r="H1390" s="14" t="n">
        <v>1704706.386478319</v>
      </c>
      <c r="I1390" s="14" t="n">
        <v>170719.8601152607</v>
      </c>
      <c r="J1390" s="14" t="n">
        <v>0</v>
      </c>
      <c r="K1390" s="14" t="n">
        <v>241039.8651748058</v>
      </c>
      <c r="L1390" s="14" t="n">
        <v>5887115.934851285</v>
      </c>
      <c r="M1390" s="14" t="n">
        <v>0</v>
      </c>
      <c r="N1390" s="14" t="n">
        <v>1785510.264176043</v>
      </c>
      <c r="O1390" s="14" t="n">
        <v>2043366.092626145</v>
      </c>
      <c r="P1390" s="14" t="n">
        <v>132263.2403859457</v>
      </c>
      <c r="Q1390" s="14" t="n">
        <v>18413958.19591001</v>
      </c>
      <c r="R1390" s="15">
        <f>IF(D1390=1,"Section 1","Control")</f>
        <v/>
      </c>
      <c r="S1390" s="16">
        <f>N1390/10000</f>
        <v/>
      </c>
      <c r="T1390" s="16">
        <f>P1390/10000</f>
        <v/>
      </c>
      <c r="U1390" s="15">
        <f>IF(N1390&gt;=Summary!$D$3,1,0)</f>
        <v/>
      </c>
      <c r="V1390" s="17">
        <f>IF(N1390&gt;0,P1390/N1390,"")</f>
        <v/>
      </c>
      <c r="W1390" s="17">
        <f>IF(O1390&gt;0,H1390/O1390,"")</f>
        <v/>
      </c>
    </row>
    <row r="1391">
      <c r="A1391" s="13" t="inlineStr">
        <is>
          <t>CE03_B3</t>
        </is>
      </c>
      <c r="B1391" s="13" t="inlineStr">
        <is>
          <t>CE03</t>
        </is>
      </c>
      <c r="C1391" s="13" t="inlineStr">
        <is>
          <t>B3</t>
        </is>
      </c>
      <c r="D1391" s="13" t="n">
        <v>0</v>
      </c>
      <c r="E1391" s="13" t="inlineStr">
        <is>
          <t>E</t>
        </is>
      </c>
      <c r="F1391" s="13" t="n">
        <v>2023</v>
      </c>
      <c r="G1391" s="14" t="n">
        <v>8003582.04661967</v>
      </c>
      <c r="H1391" s="14" t="n">
        <v>1721511.496562075</v>
      </c>
      <c r="I1391" s="14" t="n">
        <v>241878.0007365806</v>
      </c>
      <c r="J1391" s="14" t="n">
        <v>0</v>
      </c>
      <c r="K1391" s="14" t="n">
        <v>139267.1824094286</v>
      </c>
      <c r="L1391" s="14" t="n">
        <v>5900925.366911586</v>
      </c>
      <c r="M1391" s="14" t="n">
        <v>0</v>
      </c>
      <c r="N1391" s="14" t="n">
        <v>1785510.264176043</v>
      </c>
      <c r="O1391" s="14" t="n">
        <v>2043366.092626146</v>
      </c>
      <c r="P1391" s="14" t="n">
        <v>144208.4827031454</v>
      </c>
      <c r="Q1391" s="14" t="n">
        <v>18413958.19591001</v>
      </c>
      <c r="R1391" s="15">
        <f>IF(D1391=1,"Section 1","Control")</f>
        <v/>
      </c>
      <c r="S1391" s="16">
        <f>N1391/10000</f>
        <v/>
      </c>
      <c r="T1391" s="16">
        <f>P1391/10000</f>
        <v/>
      </c>
      <c r="U1391" s="15">
        <f>IF(N1391&gt;=Summary!$D$3,1,0)</f>
        <v/>
      </c>
      <c r="V1391" s="17">
        <f>IF(N1391&gt;0,P1391/N1391,"")</f>
        <v/>
      </c>
      <c r="W1391" s="17">
        <f>IF(O1391&gt;0,H1391/O1391,"")</f>
        <v/>
      </c>
    </row>
    <row r="1392">
      <c r="A1392" s="13" t="inlineStr">
        <is>
          <t>CE03_B3</t>
        </is>
      </c>
      <c r="B1392" s="13" t="inlineStr">
        <is>
          <t>CE03</t>
        </is>
      </c>
      <c r="C1392" s="13" t="inlineStr">
        <is>
          <t>B3</t>
        </is>
      </c>
      <c r="D1392" s="13" t="n">
        <v>0</v>
      </c>
      <c r="E1392" s="13" t="inlineStr">
        <is>
          <t>E</t>
        </is>
      </c>
      <c r="F1392" s="13" t="n">
        <v>2024</v>
      </c>
      <c r="G1392" s="14" t="n">
        <v>8003582.04661967</v>
      </c>
      <c r="H1392" s="14" t="n">
        <v>1750927.538994584</v>
      </c>
      <c r="I1392" s="14" t="n">
        <v>177846.7471076217</v>
      </c>
      <c r="J1392" s="14" t="n">
        <v>0</v>
      </c>
      <c r="K1392" s="14" t="n">
        <v>173082.3851766848</v>
      </c>
      <c r="L1392" s="14" t="n">
        <v>5901725.37534078</v>
      </c>
      <c r="M1392" s="14" t="n">
        <v>0</v>
      </c>
      <c r="N1392" s="14" t="n">
        <v>1785510.264176043</v>
      </c>
      <c r="O1392" s="14" t="n">
        <v>2043366.092626145</v>
      </c>
      <c r="P1392" s="14" t="n">
        <v>156396.8863538854</v>
      </c>
      <c r="Q1392" s="14" t="n">
        <v>18413958.19591001</v>
      </c>
      <c r="R1392" s="15">
        <f>IF(D1392=1,"Section 1","Control")</f>
        <v/>
      </c>
      <c r="S1392" s="16">
        <f>N1392/10000</f>
        <v/>
      </c>
      <c r="T1392" s="16">
        <f>P1392/10000</f>
        <v/>
      </c>
      <c r="U1392" s="15">
        <f>IF(N1392&gt;=Summary!$D$3,1,0)</f>
        <v/>
      </c>
      <c r="V1392" s="17">
        <f>IF(N1392&gt;0,P1392/N1392,"")</f>
        <v/>
      </c>
      <c r="W1392" s="17">
        <f>IF(O1392&gt;0,H1392/O1392,"")</f>
        <v/>
      </c>
    </row>
    <row r="1393">
      <c r="A1393" s="13" t="inlineStr">
        <is>
          <t>CE03_B3</t>
        </is>
      </c>
      <c r="B1393" s="13" t="inlineStr">
        <is>
          <t>CE03</t>
        </is>
      </c>
      <c r="C1393" s="13" t="inlineStr">
        <is>
          <t>B3</t>
        </is>
      </c>
      <c r="D1393" s="13" t="n">
        <v>0</v>
      </c>
      <c r="E1393" s="13" t="inlineStr">
        <is>
          <t>E</t>
        </is>
      </c>
      <c r="F1393" s="13" t="n">
        <v>2025</v>
      </c>
      <c r="G1393" s="14" t="n">
        <v>8003582.04661967</v>
      </c>
      <c r="H1393" s="14" t="n">
        <v>1697028.976053036</v>
      </c>
      <c r="I1393" s="14" t="n">
        <v>209363.6093061858</v>
      </c>
      <c r="J1393" s="14" t="n">
        <v>0</v>
      </c>
      <c r="K1393" s="14" t="n">
        <v>158992.3693903904</v>
      </c>
      <c r="L1393" s="14" t="n">
        <v>5938197.091870058</v>
      </c>
      <c r="M1393" s="14" t="n">
        <v>0</v>
      </c>
      <c r="N1393" s="14" t="n">
        <v>1785510.264176043</v>
      </c>
      <c r="O1393" s="14" t="n">
        <v>2043366.092626145</v>
      </c>
      <c r="P1393" s="14" t="n">
        <v>199737.5457037832</v>
      </c>
      <c r="Q1393" s="14" t="n">
        <v>18413958.19591001</v>
      </c>
      <c r="R1393" s="15">
        <f>IF(D1393=1,"Section 1","Control")</f>
        <v/>
      </c>
      <c r="S1393" s="16">
        <f>N1393/10000</f>
        <v/>
      </c>
      <c r="T1393" s="16">
        <f>P1393/10000</f>
        <v/>
      </c>
      <c r="U1393" s="15">
        <f>IF(N1393&gt;=Summary!$D$3,1,0)</f>
        <v/>
      </c>
      <c r="V1393" s="17">
        <f>IF(N1393&gt;0,P1393/N1393,"")</f>
        <v/>
      </c>
      <c r="W1393" s="17">
        <f>IF(O1393&gt;0,H1393/O1393,"")</f>
        <v/>
      </c>
    </row>
    <row r="1394">
      <c r="A1394" s="13" t="inlineStr">
        <is>
          <t>CE03_B3</t>
        </is>
      </c>
      <c r="B1394" s="13" t="inlineStr">
        <is>
          <t>CE03</t>
        </is>
      </c>
      <c r="C1394" s="13" t="inlineStr">
        <is>
          <t>B3</t>
        </is>
      </c>
      <c r="D1394" s="13" t="n">
        <v>0</v>
      </c>
      <c r="E1394" s="13" t="inlineStr">
        <is>
          <t>E</t>
        </is>
      </c>
      <c r="F1394" s="13" t="n">
        <v>2026</v>
      </c>
      <c r="G1394" s="14" t="n">
        <v>8003582.04661967</v>
      </c>
      <c r="H1394" s="14" t="n">
        <v>1762234.216514438</v>
      </c>
      <c r="I1394" s="14" t="n">
        <v>119014.494578642</v>
      </c>
      <c r="J1394" s="14" t="n">
        <v>0</v>
      </c>
      <c r="K1394" s="14" t="n">
        <v>173770.9492648255</v>
      </c>
      <c r="L1394" s="14" t="n">
        <v>5948562.386261765</v>
      </c>
      <c r="M1394" s="14" t="n">
        <v>0</v>
      </c>
      <c r="N1394" s="14" t="n">
        <v>1785510.264176044</v>
      </c>
      <c r="O1394" s="14" t="n">
        <v>2043366.092626146</v>
      </c>
      <c r="P1394" s="14" t="n">
        <v>165003.1089598114</v>
      </c>
      <c r="Q1394" s="14" t="n">
        <v>18413958.19591001</v>
      </c>
      <c r="R1394" s="15">
        <f>IF(D1394=1,"Section 1","Control")</f>
        <v/>
      </c>
      <c r="S1394" s="16">
        <f>N1394/10000</f>
        <v/>
      </c>
      <c r="T1394" s="16">
        <f>P1394/10000</f>
        <v/>
      </c>
      <c r="U1394" s="15">
        <f>IF(N1394&gt;=Summary!$D$3,1,0)</f>
        <v/>
      </c>
      <c r="V1394" s="17">
        <f>IF(N1394&gt;0,P1394/N1394,"")</f>
        <v/>
      </c>
      <c r="W1394" s="17">
        <f>IF(O1394&gt;0,H1394/O1394,"")</f>
        <v/>
      </c>
    </row>
    <row r="1395">
      <c r="A1395" s="13" t="inlineStr">
        <is>
          <t>CE03_F</t>
        </is>
      </c>
      <c r="B1395" s="13" t="inlineStr">
        <is>
          <t>CE03</t>
        </is>
      </c>
      <c r="C1395" s="13" t="inlineStr">
        <is>
          <t>F</t>
        </is>
      </c>
      <c r="D1395" s="13" t="n">
        <v>0</v>
      </c>
      <c r="E1395" s="13" t="inlineStr">
        <is>
          <t>E</t>
        </is>
      </c>
      <c r="F1395" s="13" t="n">
        <v>2020</v>
      </c>
      <c r="G1395" s="14" t="n">
        <v>69449.01604485603</v>
      </c>
      <c r="H1395" s="14" t="n">
        <v>7020.280250130448</v>
      </c>
      <c r="I1395" s="14" t="n">
        <v>39188.98867450789</v>
      </c>
      <c r="J1395" s="14" t="n">
        <v>0</v>
      </c>
      <c r="K1395" s="14" t="n">
        <v>23239.74712021772</v>
      </c>
      <c r="L1395" s="14" t="n">
        <v>0</v>
      </c>
      <c r="M1395" s="14" t="n">
        <v>0</v>
      </c>
      <c r="N1395" s="14" t="n">
        <v>7020.280250130448</v>
      </c>
      <c r="O1395" s="14" t="n">
        <v>69449.01604485603</v>
      </c>
      <c r="P1395" s="14" t="n">
        <v>0</v>
      </c>
      <c r="Q1395" s="14" t="n">
        <v>362341.4796448352</v>
      </c>
      <c r="R1395" s="15">
        <f>IF(D1395=1,"Section 1","Control")</f>
        <v/>
      </c>
      <c r="S1395" s="16">
        <f>N1395/10000</f>
        <v/>
      </c>
      <c r="T1395" s="16">
        <f>P1395/10000</f>
        <v/>
      </c>
      <c r="U1395" s="15">
        <f>IF(N1395&gt;=Summary!$D$3,1,0)</f>
        <v/>
      </c>
      <c r="V1395" s="17">
        <f>IF(N1395&gt;0,P1395/N1395,"")</f>
        <v/>
      </c>
      <c r="W1395" s="17">
        <f>IF(O1395&gt;0,H1395/O1395,"")</f>
        <v/>
      </c>
    </row>
    <row r="1396">
      <c r="A1396" s="13" t="inlineStr">
        <is>
          <t>CE03_F</t>
        </is>
      </c>
      <c r="B1396" s="13" t="inlineStr">
        <is>
          <t>CE03</t>
        </is>
      </c>
      <c r="C1396" s="13" t="inlineStr">
        <is>
          <t>F</t>
        </is>
      </c>
      <c r="D1396" s="13" t="n">
        <v>0</v>
      </c>
      <c r="E1396" s="13" t="inlineStr">
        <is>
          <t>E</t>
        </is>
      </c>
      <c r="F1396" s="13" t="n">
        <v>2021</v>
      </c>
      <c r="G1396" s="14" t="n">
        <v>69449.01604485603</v>
      </c>
      <c r="H1396" s="14" t="n">
        <v>5441.076186445648</v>
      </c>
      <c r="I1396" s="14" t="n">
        <v>33087.81307630352</v>
      </c>
      <c r="J1396" s="14" t="n">
        <v>0</v>
      </c>
      <c r="K1396" s="14" t="n">
        <v>30920.12678210689</v>
      </c>
      <c r="L1396" s="14" t="n">
        <v>0</v>
      </c>
      <c r="M1396" s="14" t="n">
        <v>0</v>
      </c>
      <c r="N1396" s="14" t="n">
        <v>7020.280250130448</v>
      </c>
      <c r="O1396" s="14" t="n">
        <v>69449.01604485603</v>
      </c>
      <c r="P1396" s="14" t="n">
        <v>2501.020035208908</v>
      </c>
      <c r="Q1396" s="14" t="n">
        <v>362341.4796448352</v>
      </c>
      <c r="R1396" s="15">
        <f>IF(D1396=1,"Section 1","Control")</f>
        <v/>
      </c>
      <c r="S1396" s="16">
        <f>N1396/10000</f>
        <v/>
      </c>
      <c r="T1396" s="16">
        <f>P1396/10000</f>
        <v/>
      </c>
      <c r="U1396" s="15">
        <f>IF(N1396&gt;=Summary!$D$3,1,0)</f>
        <v/>
      </c>
      <c r="V1396" s="17">
        <f>IF(N1396&gt;0,P1396/N1396,"")</f>
        <v/>
      </c>
      <c r="W1396" s="17">
        <f>IF(O1396&gt;0,H1396/O1396,"")</f>
        <v/>
      </c>
    </row>
    <row r="1397">
      <c r="A1397" s="13" t="inlineStr">
        <is>
          <t>CE03_F</t>
        </is>
      </c>
      <c r="B1397" s="13" t="inlineStr">
        <is>
          <t>CE03</t>
        </is>
      </c>
      <c r="C1397" s="13" t="inlineStr">
        <is>
          <t>F</t>
        </is>
      </c>
      <c r="D1397" s="13" t="n">
        <v>0</v>
      </c>
      <c r="E1397" s="13" t="inlineStr">
        <is>
          <t>E</t>
        </is>
      </c>
      <c r="F1397" s="13" t="n">
        <v>2022</v>
      </c>
      <c r="G1397" s="14" t="n">
        <v>69449.01604485603</v>
      </c>
      <c r="H1397" s="14" t="n">
        <v>6190.223250056249</v>
      </c>
      <c r="I1397" s="14" t="n">
        <v>32780.01744911345</v>
      </c>
      <c r="J1397" s="14" t="n">
        <v>0</v>
      </c>
      <c r="K1397" s="14" t="n">
        <v>30478.77534568637</v>
      </c>
      <c r="L1397" s="14" t="n">
        <v>0</v>
      </c>
      <c r="M1397" s="14" t="n">
        <v>0</v>
      </c>
      <c r="N1397" s="14" t="n">
        <v>7020.280250130448</v>
      </c>
      <c r="O1397" s="14" t="n">
        <v>69449.01604485603</v>
      </c>
      <c r="P1397" s="14" t="n">
        <v>5340.415205891927</v>
      </c>
      <c r="Q1397" s="14" t="n">
        <v>362341.4796448352</v>
      </c>
      <c r="R1397" s="15">
        <f>IF(D1397=1,"Section 1","Control")</f>
        <v/>
      </c>
      <c r="S1397" s="16">
        <f>N1397/10000</f>
        <v/>
      </c>
      <c r="T1397" s="16">
        <f>P1397/10000</f>
        <v/>
      </c>
      <c r="U1397" s="15">
        <f>IF(N1397&gt;=Summary!$D$3,1,0)</f>
        <v/>
      </c>
      <c r="V1397" s="17">
        <f>IF(N1397&gt;0,P1397/N1397,"")</f>
        <v/>
      </c>
      <c r="W1397" s="17">
        <f>IF(O1397&gt;0,H1397/O1397,"")</f>
        <v/>
      </c>
    </row>
    <row r="1398">
      <c r="A1398" s="13" t="inlineStr">
        <is>
          <t>CE03_F</t>
        </is>
      </c>
      <c r="B1398" s="13" t="inlineStr">
        <is>
          <t>CE03</t>
        </is>
      </c>
      <c r="C1398" s="13" t="inlineStr">
        <is>
          <t>F</t>
        </is>
      </c>
      <c r="D1398" s="13" t="n">
        <v>0</v>
      </c>
      <c r="E1398" s="13" t="inlineStr">
        <is>
          <t>E</t>
        </is>
      </c>
      <c r="F1398" s="13" t="n">
        <v>2023</v>
      </c>
      <c r="G1398" s="14" t="n">
        <v>69449.01604485603</v>
      </c>
      <c r="H1398" s="14" t="n">
        <v>3736.819553420123</v>
      </c>
      <c r="I1398" s="14" t="n">
        <v>35971.34411244113</v>
      </c>
      <c r="J1398" s="14" t="n">
        <v>0</v>
      </c>
      <c r="K1398" s="14" t="n">
        <v>29740.85237899482</v>
      </c>
      <c r="L1398" s="14" t="n">
        <v>0</v>
      </c>
      <c r="M1398" s="14" t="n">
        <v>0</v>
      </c>
      <c r="N1398" s="14" t="n">
        <v>7020.280250130448</v>
      </c>
      <c r="O1398" s="14" t="n">
        <v>69449.01604485603</v>
      </c>
      <c r="P1398" s="14" t="n">
        <v>5428.686636681651</v>
      </c>
      <c r="Q1398" s="14" t="n">
        <v>362341.4796448352</v>
      </c>
      <c r="R1398" s="15">
        <f>IF(D1398=1,"Section 1","Control")</f>
        <v/>
      </c>
      <c r="S1398" s="16">
        <f>N1398/10000</f>
        <v/>
      </c>
      <c r="T1398" s="16">
        <f>P1398/10000</f>
        <v/>
      </c>
      <c r="U1398" s="15">
        <f>IF(N1398&gt;=Summary!$D$3,1,0)</f>
        <v/>
      </c>
      <c r="V1398" s="17">
        <f>IF(N1398&gt;0,P1398/N1398,"")</f>
        <v/>
      </c>
      <c r="W1398" s="17">
        <f>IF(O1398&gt;0,H1398/O1398,"")</f>
        <v/>
      </c>
    </row>
    <row r="1399">
      <c r="A1399" s="13" t="inlineStr">
        <is>
          <t>CE03_F</t>
        </is>
      </c>
      <c r="B1399" s="13" t="inlineStr">
        <is>
          <t>CE03</t>
        </is>
      </c>
      <c r="C1399" s="13" t="inlineStr">
        <is>
          <t>F</t>
        </is>
      </c>
      <c r="D1399" s="13" t="n">
        <v>0</v>
      </c>
      <c r="E1399" s="13" t="inlineStr">
        <is>
          <t>E</t>
        </is>
      </c>
      <c r="F1399" s="13" t="n">
        <v>2024</v>
      </c>
      <c r="G1399" s="14" t="n">
        <v>69449.01604485603</v>
      </c>
      <c r="H1399" s="14" t="n">
        <v>10452.02249154484</v>
      </c>
      <c r="I1399" s="14" t="n">
        <v>30889.15975452499</v>
      </c>
      <c r="J1399" s="14" t="n">
        <v>0</v>
      </c>
      <c r="K1399" s="14" t="n">
        <v>28107.83379878624</v>
      </c>
      <c r="L1399" s="14" t="n">
        <v>0</v>
      </c>
      <c r="M1399" s="14" t="n">
        <v>0</v>
      </c>
      <c r="N1399" s="14" t="n">
        <v>7020.280250130448</v>
      </c>
      <c r="O1399" s="14" t="n">
        <v>69449.01604485603</v>
      </c>
      <c r="P1399" s="14" t="n">
        <v>4114.296083218444</v>
      </c>
      <c r="Q1399" s="14" t="n">
        <v>362341.4796448352</v>
      </c>
      <c r="R1399" s="15">
        <f>IF(D1399=1,"Section 1","Control")</f>
        <v/>
      </c>
      <c r="S1399" s="16">
        <f>N1399/10000</f>
        <v/>
      </c>
      <c r="T1399" s="16">
        <f>P1399/10000</f>
        <v/>
      </c>
      <c r="U1399" s="15">
        <f>IF(N1399&gt;=Summary!$D$3,1,0)</f>
        <v/>
      </c>
      <c r="V1399" s="17">
        <f>IF(N1399&gt;0,P1399/N1399,"")</f>
        <v/>
      </c>
      <c r="W1399" s="17">
        <f>IF(O1399&gt;0,H1399/O1399,"")</f>
        <v/>
      </c>
    </row>
    <row r="1400">
      <c r="A1400" s="13" t="inlineStr">
        <is>
          <t>CE03_F</t>
        </is>
      </c>
      <c r="B1400" s="13" t="inlineStr">
        <is>
          <t>CE03</t>
        </is>
      </c>
      <c r="C1400" s="13" t="inlineStr">
        <is>
          <t>F</t>
        </is>
      </c>
      <c r="D1400" s="13" t="n">
        <v>0</v>
      </c>
      <c r="E1400" s="13" t="inlineStr">
        <is>
          <t>E</t>
        </is>
      </c>
      <c r="F1400" s="13" t="n">
        <v>2025</v>
      </c>
      <c r="G1400" s="14" t="n">
        <v>69449.01604485603</v>
      </c>
      <c r="H1400" s="14" t="n">
        <v>9450.844959812535</v>
      </c>
      <c r="I1400" s="14" t="n">
        <v>20630.71882072897</v>
      </c>
      <c r="J1400" s="14" t="n">
        <v>0</v>
      </c>
      <c r="K1400" s="14" t="n">
        <v>39367.45226431455</v>
      </c>
      <c r="L1400" s="14" t="n">
        <v>0</v>
      </c>
      <c r="M1400" s="14" t="n">
        <v>0</v>
      </c>
      <c r="N1400" s="14" t="n">
        <v>7020.280250130448</v>
      </c>
      <c r="O1400" s="14" t="n">
        <v>69449.01604485603</v>
      </c>
      <c r="P1400" s="14" t="n">
        <v>4351.621543555166</v>
      </c>
      <c r="Q1400" s="14" t="n">
        <v>362341.4796448352</v>
      </c>
      <c r="R1400" s="15">
        <f>IF(D1400=1,"Section 1","Control")</f>
        <v/>
      </c>
      <c r="S1400" s="16">
        <f>N1400/10000</f>
        <v/>
      </c>
      <c r="T1400" s="16">
        <f>P1400/10000</f>
        <v/>
      </c>
      <c r="U1400" s="15">
        <f>IF(N1400&gt;=Summary!$D$3,1,0)</f>
        <v/>
      </c>
      <c r="V1400" s="17">
        <f>IF(N1400&gt;0,P1400/N1400,"")</f>
        <v/>
      </c>
      <c r="W1400" s="17">
        <f>IF(O1400&gt;0,H1400/O1400,"")</f>
        <v/>
      </c>
    </row>
    <row r="1401">
      <c r="A1401" s="13" t="inlineStr">
        <is>
          <t>CE03_F</t>
        </is>
      </c>
      <c r="B1401" s="13" t="inlineStr">
        <is>
          <t>CE03</t>
        </is>
      </c>
      <c r="C1401" s="13" t="inlineStr">
        <is>
          <t>F</t>
        </is>
      </c>
      <c r="D1401" s="13" t="n">
        <v>0</v>
      </c>
      <c r="E1401" s="13" t="inlineStr">
        <is>
          <t>E</t>
        </is>
      </c>
      <c r="F1401" s="13" t="n">
        <v>2026</v>
      </c>
      <c r="G1401" s="14" t="n">
        <v>69449.01604485603</v>
      </c>
      <c r="H1401" s="14" t="n">
        <v>12448.19945621864</v>
      </c>
      <c r="I1401" s="14" t="n">
        <v>4048.48136438108</v>
      </c>
      <c r="J1401" s="14" t="n">
        <v>0</v>
      </c>
      <c r="K1401" s="14" t="n">
        <v>52952.33522425633</v>
      </c>
      <c r="L1401" s="14" t="n">
        <v>0</v>
      </c>
      <c r="M1401" s="14" t="n">
        <v>0</v>
      </c>
      <c r="N1401" s="14" t="n">
        <v>7020.280250130447</v>
      </c>
      <c r="O1401" s="14" t="n">
        <v>69449.01604485603</v>
      </c>
      <c r="P1401" s="14" t="n">
        <v>3187.833326511757</v>
      </c>
      <c r="Q1401" s="14" t="n">
        <v>362341.4796448352</v>
      </c>
      <c r="R1401" s="15">
        <f>IF(D1401=1,"Section 1","Control")</f>
        <v/>
      </c>
      <c r="S1401" s="16">
        <f>N1401/10000</f>
        <v/>
      </c>
      <c r="T1401" s="16">
        <f>P1401/10000</f>
        <v/>
      </c>
      <c r="U1401" s="15">
        <f>IF(N1401&gt;=Summary!$D$3,1,0)</f>
        <v/>
      </c>
      <c r="V1401" s="17">
        <f>IF(N1401&gt;0,P1401/N1401,"")</f>
        <v/>
      </c>
      <c r="W1401" s="17">
        <f>IF(O1401&gt;0,H1401/O1401,"")</f>
        <v/>
      </c>
    </row>
    <row r="1402">
      <c r="A1402" s="13" t="inlineStr">
        <is>
          <t>CE04_B1</t>
        </is>
      </c>
      <c r="B1402" s="13" t="inlineStr">
        <is>
          <t>CE04</t>
        </is>
      </c>
      <c r="C1402" s="13" t="inlineStr">
        <is>
          <t>B1</t>
        </is>
      </c>
      <c r="D1402" s="13" t="n">
        <v>0</v>
      </c>
      <c r="E1402" s="13" t="inlineStr">
        <is>
          <t>E</t>
        </is>
      </c>
      <c r="F1402" s="13" t="n">
        <v>2020</v>
      </c>
      <c r="G1402" s="14" t="n">
        <v>1025881.189616544</v>
      </c>
      <c r="H1402" s="14" t="n">
        <v>182471.1400371178</v>
      </c>
      <c r="I1402" s="14" t="n">
        <v>436283.0436641619</v>
      </c>
      <c r="J1402" s="14" t="n">
        <v>0</v>
      </c>
      <c r="K1402" s="14" t="n">
        <v>407127.0059152641</v>
      </c>
      <c r="L1402" s="14" t="n">
        <v>0</v>
      </c>
      <c r="M1402" s="14" t="n">
        <v>0</v>
      </c>
      <c r="N1402" s="14" t="n">
        <v>182471.1400371178</v>
      </c>
      <c r="O1402" s="14" t="n">
        <v>1025881.189616544</v>
      </c>
      <c r="P1402" s="14" t="n">
        <v>0</v>
      </c>
      <c r="Q1402" s="14" t="n">
        <v>7435312.537915756</v>
      </c>
      <c r="R1402" s="15">
        <f>IF(D1402=1,"Section 1","Control")</f>
        <v/>
      </c>
      <c r="S1402" s="16">
        <f>N1402/10000</f>
        <v/>
      </c>
      <c r="T1402" s="16">
        <f>P1402/10000</f>
        <v/>
      </c>
      <c r="U1402" s="15">
        <f>IF(N1402&gt;=Summary!$D$3,1,0)</f>
        <v/>
      </c>
      <c r="V1402" s="17">
        <f>IF(N1402&gt;0,P1402/N1402,"")</f>
        <v/>
      </c>
      <c r="W1402" s="17">
        <f>IF(O1402&gt;0,H1402/O1402,"")</f>
        <v/>
      </c>
    </row>
    <row r="1403">
      <c r="A1403" s="13" t="inlineStr">
        <is>
          <t>CE04_B1</t>
        </is>
      </c>
      <c r="B1403" s="13" t="inlineStr">
        <is>
          <t>CE04</t>
        </is>
      </c>
      <c r="C1403" s="13" t="inlineStr">
        <is>
          <t>B1</t>
        </is>
      </c>
      <c r="D1403" s="13" t="n">
        <v>0</v>
      </c>
      <c r="E1403" s="13" t="inlineStr">
        <is>
          <t>E</t>
        </is>
      </c>
      <c r="F1403" s="13" t="n">
        <v>2021</v>
      </c>
      <c r="G1403" s="14" t="n">
        <v>1025881.189616544</v>
      </c>
      <c r="H1403" s="14" t="n">
        <v>168013.4799299652</v>
      </c>
      <c r="I1403" s="14" t="n">
        <v>423879.8328524422</v>
      </c>
      <c r="J1403" s="14" t="n">
        <v>0</v>
      </c>
      <c r="K1403" s="14" t="n">
        <v>433987.8768341363</v>
      </c>
      <c r="L1403" s="14" t="n">
        <v>0</v>
      </c>
      <c r="M1403" s="14" t="n">
        <v>0</v>
      </c>
      <c r="N1403" s="14" t="n">
        <v>182471.1400371178</v>
      </c>
      <c r="O1403" s="14" t="n">
        <v>1025881.189616544</v>
      </c>
      <c r="P1403" s="14" t="n">
        <v>42229.04531839408</v>
      </c>
      <c r="Q1403" s="14" t="n">
        <v>7435312.537915756</v>
      </c>
      <c r="R1403" s="15">
        <f>IF(D1403=1,"Section 1","Control")</f>
        <v/>
      </c>
      <c r="S1403" s="16">
        <f>N1403/10000</f>
        <v/>
      </c>
      <c r="T1403" s="16">
        <f>P1403/10000</f>
        <v/>
      </c>
      <c r="U1403" s="15">
        <f>IF(N1403&gt;=Summary!$D$3,1,0)</f>
        <v/>
      </c>
      <c r="V1403" s="17">
        <f>IF(N1403&gt;0,P1403/N1403,"")</f>
        <v/>
      </c>
      <c r="W1403" s="17">
        <f>IF(O1403&gt;0,H1403/O1403,"")</f>
        <v/>
      </c>
    </row>
    <row r="1404">
      <c r="A1404" s="13" t="inlineStr">
        <is>
          <t>CE04_B1</t>
        </is>
      </c>
      <c r="B1404" s="13" t="inlineStr">
        <is>
          <t>CE04</t>
        </is>
      </c>
      <c r="C1404" s="13" t="inlineStr">
        <is>
          <t>B1</t>
        </is>
      </c>
      <c r="D1404" s="13" t="n">
        <v>0</v>
      </c>
      <c r="E1404" s="13" t="inlineStr">
        <is>
          <t>E</t>
        </is>
      </c>
      <c r="F1404" s="13" t="n">
        <v>2022</v>
      </c>
      <c r="G1404" s="14" t="n">
        <v>1025881.189616544</v>
      </c>
      <c r="H1404" s="14" t="n">
        <v>211534.9920008641</v>
      </c>
      <c r="I1404" s="14" t="n">
        <v>274159.1074203492</v>
      </c>
      <c r="J1404" s="14" t="n">
        <v>0</v>
      </c>
      <c r="K1404" s="14" t="n">
        <v>540187.0901953303</v>
      </c>
      <c r="L1404" s="14" t="n">
        <v>0</v>
      </c>
      <c r="M1404" s="14" t="n">
        <v>0</v>
      </c>
      <c r="N1404" s="14" t="n">
        <v>182471.1400371178</v>
      </c>
      <c r="O1404" s="14" t="n">
        <v>1025881.189616544</v>
      </c>
      <c r="P1404" s="14" t="n">
        <v>65213.33280223772</v>
      </c>
      <c r="Q1404" s="14" t="n">
        <v>7435312.537915756</v>
      </c>
      <c r="R1404" s="15">
        <f>IF(D1404=1,"Section 1","Control")</f>
        <v/>
      </c>
      <c r="S1404" s="16">
        <f>N1404/10000</f>
        <v/>
      </c>
      <c r="T1404" s="16">
        <f>P1404/10000</f>
        <v/>
      </c>
      <c r="U1404" s="15">
        <f>IF(N1404&gt;=Summary!$D$3,1,0)</f>
        <v/>
      </c>
      <c r="V1404" s="17">
        <f>IF(N1404&gt;0,P1404/N1404,"")</f>
        <v/>
      </c>
      <c r="W1404" s="17">
        <f>IF(O1404&gt;0,H1404/O1404,"")</f>
        <v/>
      </c>
    </row>
    <row r="1405">
      <c r="A1405" s="13" t="inlineStr">
        <is>
          <t>CE04_B1</t>
        </is>
      </c>
      <c r="B1405" s="13" t="inlineStr">
        <is>
          <t>CE04</t>
        </is>
      </c>
      <c r="C1405" s="13" t="inlineStr">
        <is>
          <t>B1</t>
        </is>
      </c>
      <c r="D1405" s="13" t="n">
        <v>0</v>
      </c>
      <c r="E1405" s="13" t="inlineStr">
        <is>
          <t>E</t>
        </is>
      </c>
      <c r="F1405" s="13" t="n">
        <v>2023</v>
      </c>
      <c r="G1405" s="14" t="n">
        <v>1025881.189616544</v>
      </c>
      <c r="H1405" s="14" t="n">
        <v>133916.1792581895</v>
      </c>
      <c r="I1405" s="14" t="n">
        <v>426317.345756112</v>
      </c>
      <c r="J1405" s="14" t="n">
        <v>0</v>
      </c>
      <c r="K1405" s="14" t="n">
        <v>465647.6646022422</v>
      </c>
      <c r="L1405" s="14" t="n">
        <v>0</v>
      </c>
      <c r="M1405" s="14" t="n">
        <v>0</v>
      </c>
      <c r="N1405" s="14" t="n">
        <v>182471.1400371178</v>
      </c>
      <c r="O1405" s="14" t="n">
        <v>1025881.189616544</v>
      </c>
      <c r="P1405" s="14" t="n">
        <v>95873.75538895551</v>
      </c>
      <c r="Q1405" s="14" t="n">
        <v>7435312.537915756</v>
      </c>
      <c r="R1405" s="15">
        <f>IF(D1405=1,"Section 1","Control")</f>
        <v/>
      </c>
      <c r="S1405" s="16">
        <f>N1405/10000</f>
        <v/>
      </c>
      <c r="T1405" s="16">
        <f>P1405/10000</f>
        <v/>
      </c>
      <c r="U1405" s="15">
        <f>IF(N1405&gt;=Summary!$D$3,1,0)</f>
        <v/>
      </c>
      <c r="V1405" s="17">
        <f>IF(N1405&gt;0,P1405/N1405,"")</f>
        <v/>
      </c>
      <c r="W1405" s="17">
        <f>IF(O1405&gt;0,H1405/O1405,"")</f>
        <v/>
      </c>
    </row>
    <row r="1406">
      <c r="A1406" s="13" t="inlineStr">
        <is>
          <t>CE04_B1</t>
        </is>
      </c>
      <c r="B1406" s="13" t="inlineStr">
        <is>
          <t>CE04</t>
        </is>
      </c>
      <c r="C1406" s="13" t="inlineStr">
        <is>
          <t>B1</t>
        </is>
      </c>
      <c r="D1406" s="13" t="n">
        <v>0</v>
      </c>
      <c r="E1406" s="13" t="inlineStr">
        <is>
          <t>E</t>
        </is>
      </c>
      <c r="F1406" s="13" t="n">
        <v>2024</v>
      </c>
      <c r="G1406" s="14" t="n">
        <v>1025881.189616544</v>
      </c>
      <c r="H1406" s="14" t="n">
        <v>300883.2639439303</v>
      </c>
      <c r="I1406" s="14" t="n">
        <v>247284.9292844884</v>
      </c>
      <c r="J1406" s="14" t="n">
        <v>0</v>
      </c>
      <c r="K1406" s="14" t="n">
        <v>477712.9963881249</v>
      </c>
      <c r="L1406" s="14" t="n">
        <v>0</v>
      </c>
      <c r="M1406" s="14" t="n">
        <v>0</v>
      </c>
      <c r="N1406" s="14" t="n">
        <v>182471.1400371177</v>
      </c>
      <c r="O1406" s="14" t="n">
        <v>1025881.189616544</v>
      </c>
      <c r="P1406" s="14" t="n">
        <v>59750.28507421157</v>
      </c>
      <c r="Q1406" s="14" t="n">
        <v>7435312.537915755</v>
      </c>
      <c r="R1406" s="15">
        <f>IF(D1406=1,"Section 1","Control")</f>
        <v/>
      </c>
      <c r="S1406" s="16">
        <f>N1406/10000</f>
        <v/>
      </c>
      <c r="T1406" s="16">
        <f>P1406/10000</f>
        <v/>
      </c>
      <c r="U1406" s="15">
        <f>IF(N1406&gt;=Summary!$D$3,1,0)</f>
        <v/>
      </c>
      <c r="V1406" s="17">
        <f>IF(N1406&gt;0,P1406/N1406,"")</f>
        <v/>
      </c>
      <c r="W1406" s="17">
        <f>IF(O1406&gt;0,H1406/O1406,"")</f>
        <v/>
      </c>
    </row>
    <row r="1407">
      <c r="A1407" s="13" t="inlineStr">
        <is>
          <t>CE04_B1</t>
        </is>
      </c>
      <c r="B1407" s="13" t="inlineStr">
        <is>
          <t>CE04</t>
        </is>
      </c>
      <c r="C1407" s="13" t="inlineStr">
        <is>
          <t>B1</t>
        </is>
      </c>
      <c r="D1407" s="13" t="n">
        <v>0</v>
      </c>
      <c r="E1407" s="13" t="inlineStr">
        <is>
          <t>E</t>
        </is>
      </c>
      <c r="F1407" s="13" t="n">
        <v>2025</v>
      </c>
      <c r="G1407" s="14" t="n">
        <v>1025881.189616544</v>
      </c>
      <c r="H1407" s="14" t="n">
        <v>372814.3427551869</v>
      </c>
      <c r="I1407" s="14" t="n">
        <v>186021.9927437876</v>
      </c>
      <c r="J1407" s="14" t="n">
        <v>0</v>
      </c>
      <c r="K1407" s="14" t="n">
        <v>467044.8541175691</v>
      </c>
      <c r="L1407" s="14" t="n">
        <v>0</v>
      </c>
      <c r="M1407" s="14" t="n">
        <v>0</v>
      </c>
      <c r="N1407" s="14" t="n">
        <v>182471.1400371178</v>
      </c>
      <c r="O1407" s="14" t="n">
        <v>1025881.189616544</v>
      </c>
      <c r="P1407" s="14" t="n">
        <v>52547.26406049542</v>
      </c>
      <c r="Q1407" s="14" t="n">
        <v>7435312.537915756</v>
      </c>
      <c r="R1407" s="15">
        <f>IF(D1407=1,"Section 1","Control")</f>
        <v/>
      </c>
      <c r="S1407" s="16">
        <f>N1407/10000</f>
        <v/>
      </c>
      <c r="T1407" s="16">
        <f>P1407/10000</f>
        <v/>
      </c>
      <c r="U1407" s="15">
        <f>IF(N1407&gt;=Summary!$D$3,1,0)</f>
        <v/>
      </c>
      <c r="V1407" s="17">
        <f>IF(N1407&gt;0,P1407/N1407,"")</f>
        <v/>
      </c>
      <c r="W1407" s="17">
        <f>IF(O1407&gt;0,H1407/O1407,"")</f>
        <v/>
      </c>
    </row>
    <row r="1408">
      <c r="A1408" s="13" t="inlineStr">
        <is>
          <t>CE04_B1</t>
        </is>
      </c>
      <c r="B1408" s="13" t="inlineStr">
        <is>
          <t>CE04</t>
        </is>
      </c>
      <c r="C1408" s="13" t="inlineStr">
        <is>
          <t>B1</t>
        </is>
      </c>
      <c r="D1408" s="13" t="n">
        <v>0</v>
      </c>
      <c r="E1408" s="13" t="inlineStr">
        <is>
          <t>E</t>
        </is>
      </c>
      <c r="F1408" s="13" t="n">
        <v>2026</v>
      </c>
      <c r="G1408" s="14" t="n">
        <v>1025881.189616544</v>
      </c>
      <c r="H1408" s="14" t="n">
        <v>296848.8395143098</v>
      </c>
      <c r="I1408" s="14" t="n">
        <v>157150.5871916528</v>
      </c>
      <c r="J1408" s="14" t="n">
        <v>0</v>
      </c>
      <c r="K1408" s="14" t="n">
        <v>571881.762910581</v>
      </c>
      <c r="L1408" s="14" t="n">
        <v>0</v>
      </c>
      <c r="M1408" s="14" t="n">
        <v>0</v>
      </c>
      <c r="N1408" s="14" t="n">
        <v>182471.1400371177</v>
      </c>
      <c r="O1408" s="14" t="n">
        <v>1025881.189616544</v>
      </c>
      <c r="P1408" s="14" t="n">
        <v>77123.44076876172</v>
      </c>
      <c r="Q1408" s="14" t="n">
        <v>7435312.537915755</v>
      </c>
      <c r="R1408" s="15">
        <f>IF(D1408=1,"Section 1","Control")</f>
        <v/>
      </c>
      <c r="S1408" s="16">
        <f>N1408/10000</f>
        <v/>
      </c>
      <c r="T1408" s="16">
        <f>P1408/10000</f>
        <v/>
      </c>
      <c r="U1408" s="15">
        <f>IF(N1408&gt;=Summary!$D$3,1,0)</f>
        <v/>
      </c>
      <c r="V1408" s="17">
        <f>IF(N1408&gt;0,P1408/N1408,"")</f>
        <v/>
      </c>
      <c r="W1408" s="17">
        <f>IF(O1408&gt;0,H1408/O1408,"")</f>
        <v/>
      </c>
    </row>
    <row r="1409">
      <c r="A1409" s="13" t="inlineStr">
        <is>
          <t>CE04_B2</t>
        </is>
      </c>
      <c r="B1409" s="13" t="inlineStr">
        <is>
          <t>CE04</t>
        </is>
      </c>
      <c r="C1409" s="13" t="inlineStr">
        <is>
          <t>B2</t>
        </is>
      </c>
      <c r="D1409" s="13" t="n">
        <v>0</v>
      </c>
      <c r="E1409" s="13" t="inlineStr">
        <is>
          <t>E</t>
        </is>
      </c>
      <c r="F1409" s="13" t="n">
        <v>2020</v>
      </c>
      <c r="G1409" s="14" t="n">
        <v>1025597.782933224</v>
      </c>
      <c r="H1409" s="14" t="n">
        <v>277487.7270215502</v>
      </c>
      <c r="I1409" s="14" t="n">
        <v>525422.5937172984</v>
      </c>
      <c r="J1409" s="14" t="n">
        <v>0</v>
      </c>
      <c r="K1409" s="14" t="n">
        <v>16649.63532637054</v>
      </c>
      <c r="L1409" s="14" t="n">
        <v>206037.8268680049</v>
      </c>
      <c r="M1409" s="14" t="n">
        <v>0</v>
      </c>
      <c r="N1409" s="14" t="n">
        <v>277487.7270215502</v>
      </c>
      <c r="O1409" s="14" t="n">
        <v>819559.956065219</v>
      </c>
      <c r="P1409" s="14" t="n">
        <v>0</v>
      </c>
      <c r="Q1409" s="14" t="n">
        <v>4067173.949098176</v>
      </c>
      <c r="R1409" s="15">
        <f>IF(D1409=1,"Section 1","Control")</f>
        <v/>
      </c>
      <c r="S1409" s="16">
        <f>N1409/10000</f>
        <v/>
      </c>
      <c r="T1409" s="16">
        <f>P1409/10000</f>
        <v/>
      </c>
      <c r="U1409" s="15">
        <f>IF(N1409&gt;=Summary!$D$3,1,0)</f>
        <v/>
      </c>
      <c r="V1409" s="17">
        <f>IF(N1409&gt;0,P1409/N1409,"")</f>
        <v/>
      </c>
      <c r="W1409" s="17">
        <f>IF(O1409&gt;0,H1409/O1409,"")</f>
        <v/>
      </c>
    </row>
    <row r="1410">
      <c r="A1410" s="13" t="inlineStr">
        <is>
          <t>CE04_B2</t>
        </is>
      </c>
      <c r="B1410" s="13" t="inlineStr">
        <is>
          <t>CE04</t>
        </is>
      </c>
      <c r="C1410" s="13" t="inlineStr">
        <is>
          <t>B2</t>
        </is>
      </c>
      <c r="D1410" s="13" t="n">
        <v>0</v>
      </c>
      <c r="E1410" s="13" t="inlineStr">
        <is>
          <t>E</t>
        </is>
      </c>
      <c r="F1410" s="13" t="n">
        <v>2021</v>
      </c>
      <c r="G1410" s="14" t="n">
        <v>1025597.782933224</v>
      </c>
      <c r="H1410" s="14" t="n">
        <v>258561.4766742482</v>
      </c>
      <c r="I1410" s="14" t="n">
        <v>549605.2445898618</v>
      </c>
      <c r="J1410" s="14" t="n">
        <v>0</v>
      </c>
      <c r="K1410" s="14" t="n">
        <v>56954.45773100013</v>
      </c>
      <c r="L1410" s="14" t="n">
        <v>160476.6039381139</v>
      </c>
      <c r="M1410" s="14" t="n">
        <v>0</v>
      </c>
      <c r="N1410" s="14" t="n">
        <v>277487.7270215502</v>
      </c>
      <c r="O1410" s="14" t="n">
        <v>819559.956065219</v>
      </c>
      <c r="P1410" s="14" t="n">
        <v>34458.40419745352</v>
      </c>
      <c r="Q1410" s="14" t="n">
        <v>4067173.949098176</v>
      </c>
      <c r="R1410" s="15">
        <f>IF(D1410=1,"Section 1","Control")</f>
        <v/>
      </c>
      <c r="S1410" s="16">
        <f>N1410/10000</f>
        <v/>
      </c>
      <c r="T1410" s="16">
        <f>P1410/10000</f>
        <v/>
      </c>
      <c r="U1410" s="15">
        <f>IF(N1410&gt;=Summary!$D$3,1,0)</f>
        <v/>
      </c>
      <c r="V1410" s="17">
        <f>IF(N1410&gt;0,P1410/N1410,"")</f>
        <v/>
      </c>
      <c r="W1410" s="17">
        <f>IF(O1410&gt;0,H1410/O1410,"")</f>
        <v/>
      </c>
    </row>
    <row r="1411">
      <c r="A1411" s="13" t="inlineStr">
        <is>
          <t>CE04_B2</t>
        </is>
      </c>
      <c r="B1411" s="13" t="inlineStr">
        <is>
          <t>CE04</t>
        </is>
      </c>
      <c r="C1411" s="13" t="inlineStr">
        <is>
          <t>B2</t>
        </is>
      </c>
      <c r="D1411" s="13" t="n">
        <v>0</v>
      </c>
      <c r="E1411" s="13" t="inlineStr">
        <is>
          <t>E</t>
        </is>
      </c>
      <c r="F1411" s="13" t="n">
        <v>2022</v>
      </c>
      <c r="G1411" s="14" t="n">
        <v>1025597.782933224</v>
      </c>
      <c r="H1411" s="14" t="n">
        <v>300064.9714673809</v>
      </c>
      <c r="I1411" s="14" t="n">
        <v>508755.3559385711</v>
      </c>
      <c r="J1411" s="14" t="n">
        <v>0</v>
      </c>
      <c r="K1411" s="14" t="n">
        <v>104789.4531735588</v>
      </c>
      <c r="L1411" s="14" t="n">
        <v>111988.0023537131</v>
      </c>
      <c r="M1411" s="14" t="n">
        <v>0</v>
      </c>
      <c r="N1411" s="14" t="n">
        <v>277487.7270215502</v>
      </c>
      <c r="O1411" s="14" t="n">
        <v>819559.956065219</v>
      </c>
      <c r="P1411" s="14" t="n">
        <v>41295.13127962001</v>
      </c>
      <c r="Q1411" s="14" t="n">
        <v>4067173.949098176</v>
      </c>
      <c r="R1411" s="15">
        <f>IF(D1411=1,"Section 1","Control")</f>
        <v/>
      </c>
      <c r="S1411" s="16">
        <f>N1411/10000</f>
        <v/>
      </c>
      <c r="T1411" s="16">
        <f>P1411/10000</f>
        <v/>
      </c>
      <c r="U1411" s="15">
        <f>IF(N1411&gt;=Summary!$D$3,1,0)</f>
        <v/>
      </c>
      <c r="V1411" s="17">
        <f>IF(N1411&gt;0,P1411/N1411,"")</f>
        <v/>
      </c>
      <c r="W1411" s="17">
        <f>IF(O1411&gt;0,H1411/O1411,"")</f>
        <v/>
      </c>
    </row>
    <row r="1412">
      <c r="A1412" s="13" t="inlineStr">
        <is>
          <t>CE04_B2</t>
        </is>
      </c>
      <c r="B1412" s="13" t="inlineStr">
        <is>
          <t>CE04</t>
        </is>
      </c>
      <c r="C1412" s="13" t="inlineStr">
        <is>
          <t>B2</t>
        </is>
      </c>
      <c r="D1412" s="13" t="n">
        <v>0</v>
      </c>
      <c r="E1412" s="13" t="inlineStr">
        <is>
          <t>E</t>
        </is>
      </c>
      <c r="F1412" s="13" t="n">
        <v>2023</v>
      </c>
      <c r="G1412" s="14" t="n">
        <v>1025597.782933224</v>
      </c>
      <c r="H1412" s="14" t="n">
        <v>262847.2843776628</v>
      </c>
      <c r="I1412" s="14" t="n">
        <v>563845.1478730744</v>
      </c>
      <c r="J1412" s="14" t="n">
        <v>0</v>
      </c>
      <c r="K1412" s="14" t="n">
        <v>62997.67019237443</v>
      </c>
      <c r="L1412" s="14" t="n">
        <v>135907.6804901123</v>
      </c>
      <c r="M1412" s="14" t="n">
        <v>0</v>
      </c>
      <c r="N1412" s="14" t="n">
        <v>277487.7270215502</v>
      </c>
      <c r="O1412" s="14" t="n">
        <v>819559.956065219</v>
      </c>
      <c r="P1412" s="14" t="n">
        <v>63357.34894397212</v>
      </c>
      <c r="Q1412" s="14" t="n">
        <v>4067173.949098176</v>
      </c>
      <c r="R1412" s="15">
        <f>IF(D1412=1,"Section 1","Control")</f>
        <v/>
      </c>
      <c r="S1412" s="16">
        <f>N1412/10000</f>
        <v/>
      </c>
      <c r="T1412" s="16">
        <f>P1412/10000</f>
        <v/>
      </c>
      <c r="U1412" s="15">
        <f>IF(N1412&gt;=Summary!$D$3,1,0)</f>
        <v/>
      </c>
      <c r="V1412" s="17">
        <f>IF(N1412&gt;0,P1412/N1412,"")</f>
        <v/>
      </c>
      <c r="W1412" s="17">
        <f>IF(O1412&gt;0,H1412/O1412,"")</f>
        <v/>
      </c>
    </row>
    <row r="1413">
      <c r="A1413" s="13" t="inlineStr">
        <is>
          <t>CE04_B2</t>
        </is>
      </c>
      <c r="B1413" s="13" t="inlineStr">
        <is>
          <t>CE04</t>
        </is>
      </c>
      <c r="C1413" s="13" t="inlineStr">
        <is>
          <t>B2</t>
        </is>
      </c>
      <c r="D1413" s="13" t="n">
        <v>0</v>
      </c>
      <c r="E1413" s="13" t="inlineStr">
        <is>
          <t>E</t>
        </is>
      </c>
      <c r="F1413" s="13" t="n">
        <v>2024</v>
      </c>
      <c r="G1413" s="14" t="n">
        <v>1025597.782933224</v>
      </c>
      <c r="H1413" s="14" t="n">
        <v>320720.6486290726</v>
      </c>
      <c r="I1413" s="14" t="n">
        <v>518853.5225716385</v>
      </c>
      <c r="J1413" s="14" t="n">
        <v>0</v>
      </c>
      <c r="K1413" s="14" t="n">
        <v>72786.62104770436</v>
      </c>
      <c r="L1413" s="14" t="n">
        <v>113236.9906848085</v>
      </c>
      <c r="M1413" s="14" t="n">
        <v>0</v>
      </c>
      <c r="N1413" s="14" t="n">
        <v>277487.7270215502</v>
      </c>
      <c r="O1413" s="14" t="n">
        <v>819559.956065219</v>
      </c>
      <c r="P1413" s="14" t="n">
        <v>54331.71320139567</v>
      </c>
      <c r="Q1413" s="14" t="n">
        <v>4067173.949098176</v>
      </c>
      <c r="R1413" s="15">
        <f>IF(D1413=1,"Section 1","Control")</f>
        <v/>
      </c>
      <c r="S1413" s="16">
        <f>N1413/10000</f>
        <v/>
      </c>
      <c r="T1413" s="16">
        <f>P1413/10000</f>
        <v/>
      </c>
      <c r="U1413" s="15">
        <f>IF(N1413&gt;=Summary!$D$3,1,0)</f>
        <v/>
      </c>
      <c r="V1413" s="17">
        <f>IF(N1413&gt;0,P1413/N1413,"")</f>
        <v/>
      </c>
      <c r="W1413" s="17">
        <f>IF(O1413&gt;0,H1413/O1413,"")</f>
        <v/>
      </c>
    </row>
    <row r="1414">
      <c r="A1414" s="13" t="inlineStr">
        <is>
          <t>CE04_B2</t>
        </is>
      </c>
      <c r="B1414" s="13" t="inlineStr">
        <is>
          <t>CE04</t>
        </is>
      </c>
      <c r="C1414" s="13" t="inlineStr">
        <is>
          <t>B2</t>
        </is>
      </c>
      <c r="D1414" s="13" t="n">
        <v>0</v>
      </c>
      <c r="E1414" s="13" t="inlineStr">
        <is>
          <t>E</t>
        </is>
      </c>
      <c r="F1414" s="13" t="n">
        <v>2025</v>
      </c>
      <c r="G1414" s="14" t="n">
        <v>1025597.782933224</v>
      </c>
      <c r="H1414" s="14" t="n">
        <v>273612.8401284611</v>
      </c>
      <c r="I1414" s="14" t="n">
        <v>587923.1895190668</v>
      </c>
      <c r="J1414" s="14" t="n">
        <v>0</v>
      </c>
      <c r="K1414" s="14" t="n">
        <v>61252.59951126995</v>
      </c>
      <c r="L1414" s="14" t="n">
        <v>102809.153774426</v>
      </c>
      <c r="M1414" s="14" t="n">
        <v>0</v>
      </c>
      <c r="N1414" s="14" t="n">
        <v>277487.7270215502</v>
      </c>
      <c r="O1414" s="14" t="n">
        <v>819559.956065219</v>
      </c>
      <c r="P1414" s="14" t="n">
        <v>86001.83109379189</v>
      </c>
      <c r="Q1414" s="14" t="n">
        <v>4067173.949098176</v>
      </c>
      <c r="R1414" s="15">
        <f>IF(D1414=1,"Section 1","Control")</f>
        <v/>
      </c>
      <c r="S1414" s="16">
        <f>N1414/10000</f>
        <v/>
      </c>
      <c r="T1414" s="16">
        <f>P1414/10000</f>
        <v/>
      </c>
      <c r="U1414" s="15">
        <f>IF(N1414&gt;=Summary!$D$3,1,0)</f>
        <v/>
      </c>
      <c r="V1414" s="17">
        <f>IF(N1414&gt;0,P1414/N1414,"")</f>
        <v/>
      </c>
      <c r="W1414" s="17">
        <f>IF(O1414&gt;0,H1414/O1414,"")</f>
        <v/>
      </c>
    </row>
    <row r="1415">
      <c r="A1415" s="13" t="inlineStr">
        <is>
          <t>CE04_B2</t>
        </is>
      </c>
      <c r="B1415" s="13" t="inlineStr">
        <is>
          <t>CE04</t>
        </is>
      </c>
      <c r="C1415" s="13" t="inlineStr">
        <is>
          <t>B2</t>
        </is>
      </c>
      <c r="D1415" s="13" t="n">
        <v>0</v>
      </c>
      <c r="E1415" s="13" t="inlineStr">
        <is>
          <t>E</t>
        </is>
      </c>
      <c r="F1415" s="13" t="n">
        <v>2026</v>
      </c>
      <c r="G1415" s="14" t="n">
        <v>1025597.782933224</v>
      </c>
      <c r="H1415" s="14" t="n">
        <v>315673.11833535</v>
      </c>
      <c r="I1415" s="14" t="n">
        <v>525463.8450633329</v>
      </c>
      <c r="J1415" s="14" t="n">
        <v>0</v>
      </c>
      <c r="K1415" s="14" t="n">
        <v>97768.47980873258</v>
      </c>
      <c r="L1415" s="14" t="n">
        <v>86692.33972580855</v>
      </c>
      <c r="M1415" s="14" t="n">
        <v>0</v>
      </c>
      <c r="N1415" s="14" t="n">
        <v>277487.7270215502</v>
      </c>
      <c r="O1415" s="14" t="n">
        <v>819559.956065219</v>
      </c>
      <c r="P1415" s="14" t="n">
        <v>61126.94468593223</v>
      </c>
      <c r="Q1415" s="14" t="n">
        <v>4067173.949098176</v>
      </c>
      <c r="R1415" s="15">
        <f>IF(D1415=1,"Section 1","Control")</f>
        <v/>
      </c>
      <c r="S1415" s="16">
        <f>N1415/10000</f>
        <v/>
      </c>
      <c r="T1415" s="16">
        <f>P1415/10000</f>
        <v/>
      </c>
      <c r="U1415" s="15">
        <f>IF(N1415&gt;=Summary!$D$3,1,0)</f>
        <v/>
      </c>
      <c r="V1415" s="17">
        <f>IF(N1415&gt;0,P1415/N1415,"")</f>
        <v/>
      </c>
      <c r="W1415" s="17">
        <f>IF(O1415&gt;0,H1415/O1415,"")</f>
        <v/>
      </c>
    </row>
    <row r="1416">
      <c r="A1416" s="13" t="inlineStr">
        <is>
          <t>CE04_B3</t>
        </is>
      </c>
      <c r="B1416" s="13" t="inlineStr">
        <is>
          <t>CE04</t>
        </is>
      </c>
      <c r="C1416" s="13" t="inlineStr">
        <is>
          <t>B3</t>
        </is>
      </c>
      <c r="D1416" s="13" t="n">
        <v>0</v>
      </c>
      <c r="E1416" s="13" t="inlineStr">
        <is>
          <t>E</t>
        </is>
      </c>
      <c r="F1416" s="13" t="n">
        <v>2020</v>
      </c>
      <c r="G1416" s="14" t="n">
        <v>8207802.624653655</v>
      </c>
      <c r="H1416" s="14" t="n">
        <v>2410421.652309881</v>
      </c>
      <c r="I1416" s="14" t="n">
        <v>49823.2434193929</v>
      </c>
      <c r="J1416" s="14" t="n">
        <v>0</v>
      </c>
      <c r="K1416" s="14" t="n">
        <v>32789.80010211421</v>
      </c>
      <c r="L1416" s="14" t="n">
        <v>5714767.928822267</v>
      </c>
      <c r="M1416" s="14" t="n">
        <v>0</v>
      </c>
      <c r="N1416" s="14" t="n">
        <v>2410421.652309881</v>
      </c>
      <c r="O1416" s="14" t="n">
        <v>2493034.695831389</v>
      </c>
      <c r="P1416" s="14" t="n">
        <v>0</v>
      </c>
      <c r="Q1416" s="14" t="n">
        <v>28349705.21403901</v>
      </c>
      <c r="R1416" s="15">
        <f>IF(D1416=1,"Section 1","Control")</f>
        <v/>
      </c>
      <c r="S1416" s="16">
        <f>N1416/10000</f>
        <v/>
      </c>
      <c r="T1416" s="16">
        <f>P1416/10000</f>
        <v/>
      </c>
      <c r="U1416" s="15">
        <f>IF(N1416&gt;=Summary!$D$3,1,0)</f>
        <v/>
      </c>
      <c r="V1416" s="17">
        <f>IF(N1416&gt;0,P1416/N1416,"")</f>
        <v/>
      </c>
      <c r="W1416" s="17">
        <f>IF(O1416&gt;0,H1416/O1416,"")</f>
        <v/>
      </c>
    </row>
    <row r="1417">
      <c r="A1417" s="13" t="inlineStr">
        <is>
          <t>CE04_B3</t>
        </is>
      </c>
      <c r="B1417" s="13" t="inlineStr">
        <is>
          <t>CE04</t>
        </is>
      </c>
      <c r="C1417" s="13" t="inlineStr">
        <is>
          <t>B3</t>
        </is>
      </c>
      <c r="D1417" s="13" t="n">
        <v>0</v>
      </c>
      <c r="E1417" s="13" t="inlineStr">
        <is>
          <t>E</t>
        </is>
      </c>
      <c r="F1417" s="13" t="n">
        <v>2021</v>
      </c>
      <c r="G1417" s="14" t="n">
        <v>8207802.624653655</v>
      </c>
      <c r="H1417" s="14" t="n">
        <v>2407839.233715311</v>
      </c>
      <c r="I1417" s="14" t="n">
        <v>66425.0520214006</v>
      </c>
      <c r="J1417" s="14" t="n">
        <v>0</v>
      </c>
      <c r="K1417" s="14" t="n">
        <v>133284.5592670216</v>
      </c>
      <c r="L1417" s="14" t="n">
        <v>5600253.779649921</v>
      </c>
      <c r="M1417" s="14" t="n">
        <v>0</v>
      </c>
      <c r="N1417" s="14" t="n">
        <v>2410421.652309881</v>
      </c>
      <c r="O1417" s="14" t="n">
        <v>2493034.695831388</v>
      </c>
      <c r="P1417" s="14" t="n">
        <v>48847.60964098164</v>
      </c>
      <c r="Q1417" s="14" t="n">
        <v>28349705.21403902</v>
      </c>
      <c r="R1417" s="15">
        <f>IF(D1417=1,"Section 1","Control")</f>
        <v/>
      </c>
      <c r="S1417" s="16">
        <f>N1417/10000</f>
        <v/>
      </c>
      <c r="T1417" s="16">
        <f>P1417/10000</f>
        <v/>
      </c>
      <c r="U1417" s="15">
        <f>IF(N1417&gt;=Summary!$D$3,1,0)</f>
        <v/>
      </c>
      <c r="V1417" s="17">
        <f>IF(N1417&gt;0,P1417/N1417,"")</f>
        <v/>
      </c>
      <c r="W1417" s="17">
        <f>IF(O1417&gt;0,H1417/O1417,"")</f>
        <v/>
      </c>
    </row>
    <row r="1418">
      <c r="A1418" s="13" t="inlineStr">
        <is>
          <t>CE04_B3</t>
        </is>
      </c>
      <c r="B1418" s="13" t="inlineStr">
        <is>
          <t>CE04</t>
        </is>
      </c>
      <c r="C1418" s="13" t="inlineStr">
        <is>
          <t>B3</t>
        </is>
      </c>
      <c r="D1418" s="13" t="n">
        <v>0</v>
      </c>
      <c r="E1418" s="13" t="inlineStr">
        <is>
          <t>E</t>
        </is>
      </c>
      <c r="F1418" s="13" t="n">
        <v>2022</v>
      </c>
      <c r="G1418" s="14" t="n">
        <v>8207802.624653654</v>
      </c>
      <c r="H1418" s="14" t="n">
        <v>2410947.947609665</v>
      </c>
      <c r="I1418" s="14" t="n">
        <v>28776.05876856785</v>
      </c>
      <c r="J1418" s="14" t="n">
        <v>0</v>
      </c>
      <c r="K1418" s="14" t="n">
        <v>106175.6827126596</v>
      </c>
      <c r="L1418" s="14" t="n">
        <v>5661902.935562762</v>
      </c>
      <c r="M1418" s="14" t="n">
        <v>0</v>
      </c>
      <c r="N1418" s="14" t="n">
        <v>2410421.652309881</v>
      </c>
      <c r="O1418" s="14" t="n">
        <v>2493034.695831388</v>
      </c>
      <c r="P1418" s="14" t="n">
        <v>42310.7921435487</v>
      </c>
      <c r="Q1418" s="14" t="n">
        <v>28349705.21403901</v>
      </c>
      <c r="R1418" s="15">
        <f>IF(D1418=1,"Section 1","Control")</f>
        <v/>
      </c>
      <c r="S1418" s="16">
        <f>N1418/10000</f>
        <v/>
      </c>
      <c r="T1418" s="16">
        <f>P1418/10000</f>
        <v/>
      </c>
      <c r="U1418" s="15">
        <f>IF(N1418&gt;=Summary!$D$3,1,0)</f>
        <v/>
      </c>
      <c r="V1418" s="17">
        <f>IF(N1418&gt;0,P1418/N1418,"")</f>
        <v/>
      </c>
      <c r="W1418" s="17">
        <f>IF(O1418&gt;0,H1418/O1418,"")</f>
        <v/>
      </c>
    </row>
    <row r="1419">
      <c r="A1419" s="13" t="inlineStr">
        <is>
          <t>CE04_B3</t>
        </is>
      </c>
      <c r="B1419" s="13" t="inlineStr">
        <is>
          <t>CE04</t>
        </is>
      </c>
      <c r="C1419" s="13" t="inlineStr">
        <is>
          <t>B3</t>
        </is>
      </c>
      <c r="D1419" s="13" t="n">
        <v>0</v>
      </c>
      <c r="E1419" s="13" t="inlineStr">
        <is>
          <t>E</t>
        </is>
      </c>
      <c r="F1419" s="13" t="n">
        <v>2023</v>
      </c>
      <c r="G1419" s="14" t="n">
        <v>8207802.624653655</v>
      </c>
      <c r="H1419" s="14" t="n">
        <v>2426851.99702295</v>
      </c>
      <c r="I1419" s="14" t="n">
        <v>31352.70669809977</v>
      </c>
      <c r="J1419" s="14" t="n">
        <v>0</v>
      </c>
      <c r="K1419" s="14" t="n">
        <v>66596.81961684881</v>
      </c>
      <c r="L1419" s="14" t="n">
        <v>5683001.101315756</v>
      </c>
      <c r="M1419" s="14" t="n">
        <v>0</v>
      </c>
      <c r="N1419" s="14" t="n">
        <v>2410421.652309881</v>
      </c>
      <c r="O1419" s="14" t="n">
        <v>2493034.695831388</v>
      </c>
      <c r="P1419" s="14" t="n">
        <v>45035.24028009152</v>
      </c>
      <c r="Q1419" s="14" t="n">
        <v>28349705.21403901</v>
      </c>
      <c r="R1419" s="15">
        <f>IF(D1419=1,"Section 1","Control")</f>
        <v/>
      </c>
      <c r="S1419" s="16">
        <f>N1419/10000</f>
        <v/>
      </c>
      <c r="T1419" s="16">
        <f>P1419/10000</f>
        <v/>
      </c>
      <c r="U1419" s="15">
        <f>IF(N1419&gt;=Summary!$D$3,1,0)</f>
        <v/>
      </c>
      <c r="V1419" s="17">
        <f>IF(N1419&gt;0,P1419/N1419,"")</f>
        <v/>
      </c>
      <c r="W1419" s="17">
        <f>IF(O1419&gt;0,H1419/O1419,"")</f>
        <v/>
      </c>
    </row>
    <row r="1420">
      <c r="A1420" s="13" t="inlineStr">
        <is>
          <t>CE04_B3</t>
        </is>
      </c>
      <c r="B1420" s="13" t="inlineStr">
        <is>
          <t>CE04</t>
        </is>
      </c>
      <c r="C1420" s="13" t="inlineStr">
        <is>
          <t>B3</t>
        </is>
      </c>
      <c r="D1420" s="13" t="n">
        <v>0</v>
      </c>
      <c r="E1420" s="13" t="inlineStr">
        <is>
          <t>E</t>
        </is>
      </c>
      <c r="F1420" s="13" t="n">
        <v>2024</v>
      </c>
      <c r="G1420" s="14" t="n">
        <v>8207802.624653655</v>
      </c>
      <c r="H1420" s="14" t="n">
        <v>2430457.788611318</v>
      </c>
      <c r="I1420" s="14" t="n">
        <v>34895.95296699674</v>
      </c>
      <c r="J1420" s="14" t="n">
        <v>0</v>
      </c>
      <c r="K1420" s="14" t="n">
        <v>97689.21292410458</v>
      </c>
      <c r="L1420" s="14" t="n">
        <v>5644759.670151236</v>
      </c>
      <c r="M1420" s="14" t="n">
        <v>0</v>
      </c>
      <c r="N1420" s="14" t="n">
        <v>2410421.652309881</v>
      </c>
      <c r="O1420" s="14" t="n">
        <v>2493034.695831389</v>
      </c>
      <c r="P1420" s="14" t="n">
        <v>61512.09846266204</v>
      </c>
      <c r="Q1420" s="14" t="n">
        <v>28349705.21403901</v>
      </c>
      <c r="R1420" s="15">
        <f>IF(D1420=1,"Section 1","Control")</f>
        <v/>
      </c>
      <c r="S1420" s="16">
        <f>N1420/10000</f>
        <v/>
      </c>
      <c r="T1420" s="16">
        <f>P1420/10000</f>
        <v/>
      </c>
      <c r="U1420" s="15">
        <f>IF(N1420&gt;=Summary!$D$3,1,0)</f>
        <v/>
      </c>
      <c r="V1420" s="17">
        <f>IF(N1420&gt;0,P1420/N1420,"")</f>
        <v/>
      </c>
      <c r="W1420" s="17">
        <f>IF(O1420&gt;0,H1420/O1420,"")</f>
        <v/>
      </c>
    </row>
    <row r="1421">
      <c r="A1421" s="13" t="inlineStr">
        <is>
          <t>CE04_B3</t>
        </is>
      </c>
      <c r="B1421" s="13" t="inlineStr">
        <is>
          <t>CE04</t>
        </is>
      </c>
      <c r="C1421" s="13" t="inlineStr">
        <is>
          <t>B3</t>
        </is>
      </c>
      <c r="D1421" s="13" t="n">
        <v>0</v>
      </c>
      <c r="E1421" s="13" t="inlineStr">
        <is>
          <t>E</t>
        </is>
      </c>
      <c r="F1421" s="13" t="n">
        <v>2025</v>
      </c>
      <c r="G1421" s="14" t="n">
        <v>8207802.624653654</v>
      </c>
      <c r="H1421" s="14" t="n">
        <v>2367448.998228365</v>
      </c>
      <c r="I1421" s="14" t="n">
        <v>55188.55856951545</v>
      </c>
      <c r="J1421" s="14" t="n">
        <v>0</v>
      </c>
      <c r="K1421" s="14" t="n">
        <v>85524.50233576157</v>
      </c>
      <c r="L1421" s="14" t="n">
        <v>5699640.565520013</v>
      </c>
      <c r="M1421" s="14" t="n">
        <v>0</v>
      </c>
      <c r="N1421" s="14" t="n">
        <v>2410421.652309881</v>
      </c>
      <c r="O1421" s="14" t="n">
        <v>2493034.695831388</v>
      </c>
      <c r="P1421" s="14" t="n">
        <v>106663.8105665319</v>
      </c>
      <c r="Q1421" s="14" t="n">
        <v>28349705.21403902</v>
      </c>
      <c r="R1421" s="15">
        <f>IF(D1421=1,"Section 1","Control")</f>
        <v/>
      </c>
      <c r="S1421" s="16">
        <f>N1421/10000</f>
        <v/>
      </c>
      <c r="T1421" s="16">
        <f>P1421/10000</f>
        <v/>
      </c>
      <c r="U1421" s="15">
        <f>IF(N1421&gt;=Summary!$D$3,1,0)</f>
        <v/>
      </c>
      <c r="V1421" s="17">
        <f>IF(N1421&gt;0,P1421/N1421,"")</f>
        <v/>
      </c>
      <c r="W1421" s="17">
        <f>IF(O1421&gt;0,H1421/O1421,"")</f>
        <v/>
      </c>
    </row>
    <row r="1422">
      <c r="A1422" s="13" t="inlineStr">
        <is>
          <t>CE04_B3</t>
        </is>
      </c>
      <c r="B1422" s="13" t="inlineStr">
        <is>
          <t>CE04</t>
        </is>
      </c>
      <c r="C1422" s="13" t="inlineStr">
        <is>
          <t>B3</t>
        </is>
      </c>
      <c r="D1422" s="13" t="n">
        <v>0</v>
      </c>
      <c r="E1422" s="13" t="inlineStr">
        <is>
          <t>E</t>
        </is>
      </c>
      <c r="F1422" s="13" t="n">
        <v>2026</v>
      </c>
      <c r="G1422" s="14" t="n">
        <v>8207802.624653655</v>
      </c>
      <c r="H1422" s="14" t="n">
        <v>2386378.814478257</v>
      </c>
      <c r="I1422" s="14" t="n">
        <v>13524.92557525635</v>
      </c>
      <c r="J1422" s="14" t="n">
        <v>0</v>
      </c>
      <c r="K1422" s="14" t="n">
        <v>86780.57106679281</v>
      </c>
      <c r="L1422" s="14" t="n">
        <v>5721118.313533349</v>
      </c>
      <c r="M1422" s="14" t="n">
        <v>0</v>
      </c>
      <c r="N1422" s="14" t="n">
        <v>2410421.652309881</v>
      </c>
      <c r="O1422" s="14" t="n">
        <v>2493034.695831388</v>
      </c>
      <c r="P1422" s="14" t="n">
        <v>85723.88473011092</v>
      </c>
      <c r="Q1422" s="14" t="n">
        <v>28349705.21403901</v>
      </c>
      <c r="R1422" s="15">
        <f>IF(D1422=1,"Section 1","Control")</f>
        <v/>
      </c>
      <c r="S1422" s="16">
        <f>N1422/10000</f>
        <v/>
      </c>
      <c r="T1422" s="16">
        <f>P1422/10000</f>
        <v/>
      </c>
      <c r="U1422" s="15">
        <f>IF(N1422&gt;=Summary!$D$3,1,0)</f>
        <v/>
      </c>
      <c r="V1422" s="17">
        <f>IF(N1422&gt;0,P1422/N1422,"")</f>
        <v/>
      </c>
      <c r="W1422" s="17">
        <f>IF(O1422&gt;0,H1422/O1422,"")</f>
        <v/>
      </c>
    </row>
    <row r="1423">
      <c r="A1423" s="13" t="inlineStr">
        <is>
          <t>CE04_F</t>
        </is>
      </c>
      <c r="B1423" s="13" t="inlineStr">
        <is>
          <t>CE04</t>
        </is>
      </c>
      <c r="C1423" s="13" t="inlineStr">
        <is>
          <t>F</t>
        </is>
      </c>
      <c r="D1423" s="13" t="n">
        <v>0</v>
      </c>
      <c r="E1423" s="13" t="inlineStr">
        <is>
          <t>E</t>
        </is>
      </c>
      <c r="F1423" s="13" t="n">
        <v>2020</v>
      </c>
      <c r="G1423" s="14" t="n">
        <v>71318.10535188564</v>
      </c>
      <c r="H1423" s="14" t="n">
        <v>4634.263536939435</v>
      </c>
      <c r="I1423" s="14" t="n">
        <v>23426.84070919261</v>
      </c>
      <c r="J1423" s="14" t="n">
        <v>0</v>
      </c>
      <c r="K1423" s="14" t="n">
        <v>43257.00110575358</v>
      </c>
      <c r="L1423" s="14" t="n">
        <v>0</v>
      </c>
      <c r="M1423" s="14" t="n">
        <v>0</v>
      </c>
      <c r="N1423" s="14" t="n">
        <v>4634.263536939435</v>
      </c>
      <c r="O1423" s="14" t="n">
        <v>71318.10535188564</v>
      </c>
      <c r="P1423" s="14" t="n">
        <v>0</v>
      </c>
      <c r="Q1423" s="14" t="n">
        <v>383897.8110936782</v>
      </c>
      <c r="R1423" s="15">
        <f>IF(D1423=1,"Section 1","Control")</f>
        <v/>
      </c>
      <c r="S1423" s="16">
        <f>N1423/10000</f>
        <v/>
      </c>
      <c r="T1423" s="16">
        <f>P1423/10000</f>
        <v/>
      </c>
      <c r="U1423" s="15">
        <f>IF(N1423&gt;=Summary!$D$3,1,0)</f>
        <v/>
      </c>
      <c r="V1423" s="17">
        <f>IF(N1423&gt;0,P1423/N1423,"")</f>
        <v/>
      </c>
      <c r="W1423" s="17">
        <f>IF(O1423&gt;0,H1423/O1423,"")</f>
        <v/>
      </c>
    </row>
    <row r="1424">
      <c r="A1424" s="13" t="inlineStr">
        <is>
          <t>CE04_F</t>
        </is>
      </c>
      <c r="B1424" s="13" t="inlineStr">
        <is>
          <t>CE04</t>
        </is>
      </c>
      <c r="C1424" s="13" t="inlineStr">
        <is>
          <t>F</t>
        </is>
      </c>
      <c r="D1424" s="13" t="n">
        <v>0</v>
      </c>
      <c r="E1424" s="13" t="inlineStr">
        <is>
          <t>E</t>
        </is>
      </c>
      <c r="F1424" s="13" t="n">
        <v>2021</v>
      </c>
      <c r="G1424" s="14" t="n">
        <v>71318.10535188564</v>
      </c>
      <c r="H1424" s="14" t="n">
        <v>4452.686823736452</v>
      </c>
      <c r="I1424" s="14" t="n">
        <v>21725.28439058789</v>
      </c>
      <c r="J1424" s="14" t="n">
        <v>0</v>
      </c>
      <c r="K1424" s="14" t="n">
        <v>45140.13413756127</v>
      </c>
      <c r="L1424" s="14" t="n">
        <v>0</v>
      </c>
      <c r="M1424" s="14" t="n">
        <v>0</v>
      </c>
      <c r="N1424" s="14" t="n">
        <v>4634.263536939435</v>
      </c>
      <c r="O1424" s="14" t="n">
        <v>71318.10535188564</v>
      </c>
      <c r="P1424" s="14" t="n">
        <v>1120.044638270958</v>
      </c>
      <c r="Q1424" s="14" t="n">
        <v>383897.8110936782</v>
      </c>
      <c r="R1424" s="15">
        <f>IF(D1424=1,"Section 1","Control")</f>
        <v/>
      </c>
      <c r="S1424" s="16">
        <f>N1424/10000</f>
        <v/>
      </c>
      <c r="T1424" s="16">
        <f>P1424/10000</f>
        <v/>
      </c>
      <c r="U1424" s="15">
        <f>IF(N1424&gt;=Summary!$D$3,1,0)</f>
        <v/>
      </c>
      <c r="V1424" s="17">
        <f>IF(N1424&gt;0,P1424/N1424,"")</f>
        <v/>
      </c>
      <c r="W1424" s="17">
        <f>IF(O1424&gt;0,H1424/O1424,"")</f>
        <v/>
      </c>
    </row>
    <row r="1425">
      <c r="A1425" s="13" t="inlineStr">
        <is>
          <t>CE04_F</t>
        </is>
      </c>
      <c r="B1425" s="13" t="inlineStr">
        <is>
          <t>CE04</t>
        </is>
      </c>
      <c r="C1425" s="13" t="inlineStr">
        <is>
          <t>F</t>
        </is>
      </c>
      <c r="D1425" s="13" t="n">
        <v>0</v>
      </c>
      <c r="E1425" s="13" t="inlineStr">
        <is>
          <t>E</t>
        </is>
      </c>
      <c r="F1425" s="13" t="n">
        <v>2022</v>
      </c>
      <c r="G1425" s="14" t="n">
        <v>71318.10535188564</v>
      </c>
      <c r="H1425" s="14" t="n">
        <v>4321.82658882889</v>
      </c>
      <c r="I1425" s="14" t="n">
        <v>12109.86512211818</v>
      </c>
      <c r="J1425" s="14" t="n">
        <v>0</v>
      </c>
      <c r="K1425" s="14" t="n">
        <v>54886.41364093856</v>
      </c>
      <c r="L1425" s="14" t="n">
        <v>0</v>
      </c>
      <c r="M1425" s="14" t="n">
        <v>0</v>
      </c>
      <c r="N1425" s="14" t="n">
        <v>4634.263536939434</v>
      </c>
      <c r="O1425" s="14" t="n">
        <v>71318.10535188564</v>
      </c>
      <c r="P1425" s="14" t="n">
        <v>1892.810131686341</v>
      </c>
      <c r="Q1425" s="14" t="n">
        <v>383897.8110936782</v>
      </c>
      <c r="R1425" s="15">
        <f>IF(D1425=1,"Section 1","Control")</f>
        <v/>
      </c>
      <c r="S1425" s="16">
        <f>N1425/10000</f>
        <v/>
      </c>
      <c r="T1425" s="16">
        <f>P1425/10000</f>
        <v/>
      </c>
      <c r="U1425" s="15">
        <f>IF(N1425&gt;=Summary!$D$3,1,0)</f>
        <v/>
      </c>
      <c r="V1425" s="17">
        <f>IF(N1425&gt;0,P1425/N1425,"")</f>
        <v/>
      </c>
      <c r="W1425" s="17">
        <f>IF(O1425&gt;0,H1425/O1425,"")</f>
        <v/>
      </c>
    </row>
    <row r="1426">
      <c r="A1426" s="13" t="inlineStr">
        <is>
          <t>CE04_F</t>
        </is>
      </c>
      <c r="B1426" s="13" t="inlineStr">
        <is>
          <t>CE04</t>
        </is>
      </c>
      <c r="C1426" s="13" t="inlineStr">
        <is>
          <t>F</t>
        </is>
      </c>
      <c r="D1426" s="13" t="n">
        <v>0</v>
      </c>
      <c r="E1426" s="13" t="inlineStr">
        <is>
          <t>E</t>
        </is>
      </c>
      <c r="F1426" s="13" t="n">
        <v>2023</v>
      </c>
      <c r="G1426" s="14" t="n">
        <v>71318.10535188564</v>
      </c>
      <c r="H1426" s="14" t="n">
        <v>2420.887885957606</v>
      </c>
      <c r="I1426" s="14" t="n">
        <v>19079.07142106598</v>
      </c>
      <c r="J1426" s="14" t="n">
        <v>0</v>
      </c>
      <c r="K1426" s="14" t="n">
        <v>49818.14604486204</v>
      </c>
      <c r="L1426" s="14" t="n">
        <v>0</v>
      </c>
      <c r="M1426" s="14" t="n">
        <v>0</v>
      </c>
      <c r="N1426" s="14" t="n">
        <v>4634.263536939434</v>
      </c>
      <c r="O1426" s="14" t="n">
        <v>71318.10535188564</v>
      </c>
      <c r="P1426" s="14" t="n">
        <v>2954.780253331802</v>
      </c>
      <c r="Q1426" s="14" t="n">
        <v>383897.8110936782</v>
      </c>
      <c r="R1426" s="15">
        <f>IF(D1426=1,"Section 1","Control")</f>
        <v/>
      </c>
      <c r="S1426" s="16">
        <f>N1426/10000</f>
        <v/>
      </c>
      <c r="T1426" s="16">
        <f>P1426/10000</f>
        <v/>
      </c>
      <c r="U1426" s="15">
        <f>IF(N1426&gt;=Summary!$D$3,1,0)</f>
        <v/>
      </c>
      <c r="V1426" s="17">
        <f>IF(N1426&gt;0,P1426/N1426,"")</f>
        <v/>
      </c>
      <c r="W1426" s="17">
        <f>IF(O1426&gt;0,H1426/O1426,"")</f>
        <v/>
      </c>
    </row>
    <row r="1427">
      <c r="A1427" s="13" t="inlineStr">
        <is>
          <t>CE04_F</t>
        </is>
      </c>
      <c r="B1427" s="13" t="inlineStr">
        <is>
          <t>CE04</t>
        </is>
      </c>
      <c r="C1427" s="13" t="inlineStr">
        <is>
          <t>F</t>
        </is>
      </c>
      <c r="D1427" s="13" t="n">
        <v>0</v>
      </c>
      <c r="E1427" s="13" t="inlineStr">
        <is>
          <t>E</t>
        </is>
      </c>
      <c r="F1427" s="13" t="n">
        <v>2024</v>
      </c>
      <c r="G1427" s="14" t="n">
        <v>71318.10535188564</v>
      </c>
      <c r="H1427" s="14" t="n">
        <v>4808.483839625938</v>
      </c>
      <c r="I1427" s="14" t="n">
        <v>13830.77509256999</v>
      </c>
      <c r="J1427" s="14" t="n">
        <v>0</v>
      </c>
      <c r="K1427" s="14" t="n">
        <v>52678.8464196897</v>
      </c>
      <c r="L1427" s="14" t="n">
        <v>0</v>
      </c>
      <c r="M1427" s="14" t="n">
        <v>0</v>
      </c>
      <c r="N1427" s="14" t="n">
        <v>4634.263536939434</v>
      </c>
      <c r="O1427" s="14" t="n">
        <v>71318.10535188564</v>
      </c>
      <c r="P1427" s="14" t="n">
        <v>1950.108508510216</v>
      </c>
      <c r="Q1427" s="14" t="n">
        <v>383897.8110936782</v>
      </c>
      <c r="R1427" s="15">
        <f>IF(D1427=1,"Section 1","Control")</f>
        <v/>
      </c>
      <c r="S1427" s="16">
        <f>N1427/10000</f>
        <v/>
      </c>
      <c r="T1427" s="16">
        <f>P1427/10000</f>
        <v/>
      </c>
      <c r="U1427" s="15">
        <f>IF(N1427&gt;=Summary!$D$3,1,0)</f>
        <v/>
      </c>
      <c r="V1427" s="17">
        <f>IF(N1427&gt;0,P1427/N1427,"")</f>
        <v/>
      </c>
      <c r="W1427" s="17">
        <f>IF(O1427&gt;0,H1427/O1427,"")</f>
        <v/>
      </c>
    </row>
    <row r="1428">
      <c r="A1428" s="13" t="inlineStr">
        <is>
          <t>CE04_F</t>
        </is>
      </c>
      <c r="B1428" s="13" t="inlineStr">
        <is>
          <t>CE04</t>
        </is>
      </c>
      <c r="C1428" s="13" t="inlineStr">
        <is>
          <t>F</t>
        </is>
      </c>
      <c r="D1428" s="13" t="n">
        <v>0</v>
      </c>
      <c r="E1428" s="13" t="inlineStr">
        <is>
          <t>E</t>
        </is>
      </c>
      <c r="F1428" s="13" t="n">
        <v>2025</v>
      </c>
      <c r="G1428" s="14" t="n">
        <v>71318.10535188564</v>
      </c>
      <c r="H1428" s="14" t="n">
        <v>6900.287900438494</v>
      </c>
      <c r="I1428" s="14" t="n">
        <v>12403.72553687002</v>
      </c>
      <c r="J1428" s="14" t="n">
        <v>0</v>
      </c>
      <c r="K1428" s="14" t="n">
        <v>52014.09191457712</v>
      </c>
      <c r="L1428" s="14" t="n">
        <v>0</v>
      </c>
      <c r="M1428" s="14" t="n">
        <v>0</v>
      </c>
      <c r="N1428" s="14" t="n">
        <v>4634.263536939435</v>
      </c>
      <c r="O1428" s="14" t="n">
        <v>71318.10535188564</v>
      </c>
      <c r="P1428" s="14" t="n">
        <v>1653.159584494198</v>
      </c>
      <c r="Q1428" s="14" t="n">
        <v>383897.8110936782</v>
      </c>
      <c r="R1428" s="15">
        <f>IF(D1428=1,"Section 1","Control")</f>
        <v/>
      </c>
      <c r="S1428" s="16">
        <f>N1428/10000</f>
        <v/>
      </c>
      <c r="T1428" s="16">
        <f>P1428/10000</f>
        <v/>
      </c>
      <c r="U1428" s="15">
        <f>IF(N1428&gt;=Summary!$D$3,1,0)</f>
        <v/>
      </c>
      <c r="V1428" s="17">
        <f>IF(N1428&gt;0,P1428/N1428,"")</f>
        <v/>
      </c>
      <c r="W1428" s="17">
        <f>IF(O1428&gt;0,H1428/O1428,"")</f>
        <v/>
      </c>
    </row>
    <row r="1429">
      <c r="A1429" s="13" t="inlineStr">
        <is>
          <t>CE04_F</t>
        </is>
      </c>
      <c r="B1429" s="13" t="inlineStr">
        <is>
          <t>CE04</t>
        </is>
      </c>
      <c r="C1429" s="13" t="inlineStr">
        <is>
          <t>F</t>
        </is>
      </c>
      <c r="D1429" s="13" t="n">
        <v>0</v>
      </c>
      <c r="E1429" s="13" t="inlineStr">
        <is>
          <t>E</t>
        </is>
      </c>
      <c r="F1429" s="13" t="n">
        <v>2026</v>
      </c>
      <c r="G1429" s="14" t="n">
        <v>71318.10535188564</v>
      </c>
      <c r="H1429" s="14" t="n">
        <v>7212.722773862351</v>
      </c>
      <c r="I1429" s="14" t="n">
        <v>1766.595313367657</v>
      </c>
      <c r="J1429" s="14" t="n">
        <v>0</v>
      </c>
      <c r="K1429" s="14" t="n">
        <v>62338.78726465562</v>
      </c>
      <c r="L1429" s="14" t="n">
        <v>0</v>
      </c>
      <c r="M1429" s="14" t="n">
        <v>0</v>
      </c>
      <c r="N1429" s="14" t="n">
        <v>4634.263536939434</v>
      </c>
      <c r="O1429" s="14" t="n">
        <v>71318.10535188564</v>
      </c>
      <c r="P1429" s="14" t="n">
        <v>1686.455110198376</v>
      </c>
      <c r="Q1429" s="14" t="n">
        <v>383897.8110936782</v>
      </c>
      <c r="R1429" s="15">
        <f>IF(D1429=1,"Section 1","Control")</f>
        <v/>
      </c>
      <c r="S1429" s="16">
        <f>N1429/10000</f>
        <v/>
      </c>
      <c r="T1429" s="16">
        <f>P1429/10000</f>
        <v/>
      </c>
      <c r="U1429" s="15">
        <f>IF(N1429&gt;=Summary!$D$3,1,0)</f>
        <v/>
      </c>
      <c r="V1429" s="17">
        <f>IF(N1429&gt;0,P1429/N1429,"")</f>
        <v/>
      </c>
      <c r="W1429" s="17">
        <f>IF(O1429&gt;0,H1429/O1429,"")</f>
        <v/>
      </c>
    </row>
    <row r="1430">
      <c r="A1430" s="13" t="inlineStr">
        <is>
          <t>CE05_B1</t>
        </is>
      </c>
      <c r="B1430" s="13" t="inlineStr">
        <is>
          <t>CE05</t>
        </is>
      </c>
      <c r="C1430" s="13" t="inlineStr">
        <is>
          <t>B1</t>
        </is>
      </c>
      <c r="D1430" s="13" t="n">
        <v>0</v>
      </c>
      <c r="E1430" s="13" t="inlineStr">
        <is>
          <t>E</t>
        </is>
      </c>
      <c r="F1430" s="13" t="n">
        <v>2020</v>
      </c>
      <c r="G1430" s="14" t="n">
        <v>1000295.7600673</v>
      </c>
      <c r="H1430" s="14" t="n">
        <v>103532.7829529407</v>
      </c>
      <c r="I1430" s="14" t="n">
        <v>416731.1546612011</v>
      </c>
      <c r="J1430" s="14" t="n">
        <v>0</v>
      </c>
      <c r="K1430" s="14" t="n">
        <v>474829.1363758161</v>
      </c>
      <c r="L1430" s="14" t="n">
        <v>5202.686077342313</v>
      </c>
      <c r="M1430" s="14" t="n">
        <v>0</v>
      </c>
      <c r="N1430" s="14" t="n">
        <v>103532.7829529407</v>
      </c>
      <c r="O1430" s="14" t="n">
        <v>995093.073989958</v>
      </c>
      <c r="P1430" s="14" t="n">
        <v>0</v>
      </c>
      <c r="Q1430" s="14" t="n">
        <v>6597027.539518829</v>
      </c>
      <c r="R1430" s="15">
        <f>IF(D1430=1,"Section 1","Control")</f>
        <v/>
      </c>
      <c r="S1430" s="16">
        <f>N1430/10000</f>
        <v/>
      </c>
      <c r="T1430" s="16">
        <f>P1430/10000</f>
        <v/>
      </c>
      <c r="U1430" s="15">
        <f>IF(N1430&gt;=Summary!$D$3,1,0)</f>
        <v/>
      </c>
      <c r="V1430" s="17">
        <f>IF(N1430&gt;0,P1430/N1430,"")</f>
        <v/>
      </c>
      <c r="W1430" s="17">
        <f>IF(O1430&gt;0,H1430/O1430,"")</f>
        <v/>
      </c>
    </row>
    <row r="1431">
      <c r="A1431" s="13" t="inlineStr">
        <is>
          <t>CE05_B1</t>
        </is>
      </c>
      <c r="B1431" s="13" t="inlineStr">
        <is>
          <t>CE05</t>
        </is>
      </c>
      <c r="C1431" s="13" t="inlineStr">
        <is>
          <t>B1</t>
        </is>
      </c>
      <c r="D1431" s="13" t="n">
        <v>0</v>
      </c>
      <c r="E1431" s="13" t="inlineStr">
        <is>
          <t>E</t>
        </is>
      </c>
      <c r="F1431" s="13" t="n">
        <v>2021</v>
      </c>
      <c r="G1431" s="14" t="n">
        <v>1000295.7600673</v>
      </c>
      <c r="H1431" s="14" t="n">
        <v>85438.22862901876</v>
      </c>
      <c r="I1431" s="14" t="n">
        <v>392034.409572736</v>
      </c>
      <c r="J1431" s="14" t="n">
        <v>0</v>
      </c>
      <c r="K1431" s="14" t="n">
        <v>515887.4980507345</v>
      </c>
      <c r="L1431" s="14" t="n">
        <v>6935.623814810959</v>
      </c>
      <c r="M1431" s="14" t="n">
        <v>0</v>
      </c>
      <c r="N1431" s="14" t="n">
        <v>103532.7829529407</v>
      </c>
      <c r="O1431" s="14" t="n">
        <v>995093.073989958</v>
      </c>
      <c r="P1431" s="14" t="n">
        <v>31628.37808936624</v>
      </c>
      <c r="Q1431" s="14" t="n">
        <v>6597027.539518829</v>
      </c>
      <c r="R1431" s="15">
        <f>IF(D1431=1,"Section 1","Control")</f>
        <v/>
      </c>
      <c r="S1431" s="16">
        <f>N1431/10000</f>
        <v/>
      </c>
      <c r="T1431" s="16">
        <f>P1431/10000</f>
        <v/>
      </c>
      <c r="U1431" s="15">
        <f>IF(N1431&gt;=Summary!$D$3,1,0)</f>
        <v/>
      </c>
      <c r="V1431" s="17">
        <f>IF(N1431&gt;0,P1431/N1431,"")</f>
        <v/>
      </c>
      <c r="W1431" s="17">
        <f>IF(O1431&gt;0,H1431/O1431,"")</f>
        <v/>
      </c>
    </row>
    <row r="1432">
      <c r="A1432" s="13" t="inlineStr">
        <is>
          <t>CE05_B1</t>
        </is>
      </c>
      <c r="B1432" s="13" t="inlineStr">
        <is>
          <t>CE05</t>
        </is>
      </c>
      <c r="C1432" s="13" t="inlineStr">
        <is>
          <t>B1</t>
        </is>
      </c>
      <c r="D1432" s="13" t="n">
        <v>0</v>
      </c>
      <c r="E1432" s="13" t="inlineStr">
        <is>
          <t>E</t>
        </is>
      </c>
      <c r="F1432" s="13" t="n">
        <v>2022</v>
      </c>
      <c r="G1432" s="14" t="n">
        <v>1000295.7600673</v>
      </c>
      <c r="H1432" s="14" t="n">
        <v>66235.63935151941</v>
      </c>
      <c r="I1432" s="14" t="n">
        <v>287376.1425285488</v>
      </c>
      <c r="J1432" s="14" t="n">
        <v>0</v>
      </c>
      <c r="K1432" s="14" t="n">
        <v>639057.2702354582</v>
      </c>
      <c r="L1432" s="14" t="n">
        <v>7626.707951773849</v>
      </c>
      <c r="M1432" s="14" t="n">
        <v>0</v>
      </c>
      <c r="N1432" s="14" t="n">
        <v>103532.7829529407</v>
      </c>
      <c r="O1432" s="14" t="n">
        <v>995093.073989958</v>
      </c>
      <c r="P1432" s="14" t="n">
        <v>60372.46895704082</v>
      </c>
      <c r="Q1432" s="14" t="n">
        <v>6597027.539518828</v>
      </c>
      <c r="R1432" s="15">
        <f>IF(D1432=1,"Section 1","Control")</f>
        <v/>
      </c>
      <c r="S1432" s="16">
        <f>N1432/10000</f>
        <v/>
      </c>
      <c r="T1432" s="16">
        <f>P1432/10000</f>
        <v/>
      </c>
      <c r="U1432" s="15">
        <f>IF(N1432&gt;=Summary!$D$3,1,0)</f>
        <v/>
      </c>
      <c r="V1432" s="17">
        <f>IF(N1432&gt;0,P1432/N1432,"")</f>
        <v/>
      </c>
      <c r="W1432" s="17">
        <f>IF(O1432&gt;0,H1432/O1432,"")</f>
        <v/>
      </c>
    </row>
    <row r="1433">
      <c r="A1433" s="13" t="inlineStr">
        <is>
          <t>CE05_B1</t>
        </is>
      </c>
      <c r="B1433" s="13" t="inlineStr">
        <is>
          <t>CE05</t>
        </is>
      </c>
      <c r="C1433" s="13" t="inlineStr">
        <is>
          <t>B1</t>
        </is>
      </c>
      <c r="D1433" s="13" t="n">
        <v>0</v>
      </c>
      <c r="E1433" s="13" t="inlineStr">
        <is>
          <t>E</t>
        </is>
      </c>
      <c r="F1433" s="13" t="n">
        <v>2023</v>
      </c>
      <c r="G1433" s="14" t="n">
        <v>1000295.7600673</v>
      </c>
      <c r="H1433" s="14" t="n">
        <v>57380.18432934331</v>
      </c>
      <c r="I1433" s="14" t="n">
        <v>388531.0148932662</v>
      </c>
      <c r="J1433" s="14" t="n">
        <v>0</v>
      </c>
      <c r="K1433" s="14" t="n">
        <v>544370.2250538546</v>
      </c>
      <c r="L1433" s="14" t="n">
        <v>10014.33579083611</v>
      </c>
      <c r="M1433" s="14" t="n">
        <v>0</v>
      </c>
      <c r="N1433" s="14" t="n">
        <v>103532.7829529407</v>
      </c>
      <c r="O1433" s="14" t="n">
        <v>995093.073989958</v>
      </c>
      <c r="P1433" s="14" t="n">
        <v>63514.26146820666</v>
      </c>
      <c r="Q1433" s="14" t="n">
        <v>6597027.539518828</v>
      </c>
      <c r="R1433" s="15">
        <f>IF(D1433=1,"Section 1","Control")</f>
        <v/>
      </c>
      <c r="S1433" s="16">
        <f>N1433/10000</f>
        <v/>
      </c>
      <c r="T1433" s="16">
        <f>P1433/10000</f>
        <v/>
      </c>
      <c r="U1433" s="15">
        <f>IF(N1433&gt;=Summary!$D$3,1,0)</f>
        <v/>
      </c>
      <c r="V1433" s="17">
        <f>IF(N1433&gt;0,P1433/N1433,"")</f>
        <v/>
      </c>
      <c r="W1433" s="17">
        <f>IF(O1433&gt;0,H1433/O1433,"")</f>
        <v/>
      </c>
    </row>
    <row r="1434">
      <c r="A1434" s="13" t="inlineStr">
        <is>
          <t>CE05_B1</t>
        </is>
      </c>
      <c r="B1434" s="13" t="inlineStr">
        <is>
          <t>CE05</t>
        </is>
      </c>
      <c r="C1434" s="13" t="inlineStr">
        <is>
          <t>B1</t>
        </is>
      </c>
      <c r="D1434" s="13" t="n">
        <v>0</v>
      </c>
      <c r="E1434" s="13" t="inlineStr">
        <is>
          <t>E</t>
        </is>
      </c>
      <c r="F1434" s="13" t="n">
        <v>2024</v>
      </c>
      <c r="G1434" s="14" t="n">
        <v>1000295.7600673</v>
      </c>
      <c r="H1434" s="14" t="n">
        <v>140319.1042805092</v>
      </c>
      <c r="I1434" s="14" t="n">
        <v>286956.2523473104</v>
      </c>
      <c r="J1434" s="14" t="n">
        <v>0</v>
      </c>
      <c r="K1434" s="14" t="n">
        <v>563775.3578937305</v>
      </c>
      <c r="L1434" s="14" t="n">
        <v>9245.045545750036</v>
      </c>
      <c r="M1434" s="14" t="n">
        <v>0</v>
      </c>
      <c r="N1434" s="14" t="n">
        <v>103532.7829529407</v>
      </c>
      <c r="O1434" s="14" t="n">
        <v>995093.073989958</v>
      </c>
      <c r="P1434" s="14" t="n">
        <v>44905.21863220813</v>
      </c>
      <c r="Q1434" s="14" t="n">
        <v>6597027.539518828</v>
      </c>
      <c r="R1434" s="15">
        <f>IF(D1434=1,"Section 1","Control")</f>
        <v/>
      </c>
      <c r="S1434" s="16">
        <f>N1434/10000</f>
        <v/>
      </c>
      <c r="T1434" s="16">
        <f>P1434/10000</f>
        <v/>
      </c>
      <c r="U1434" s="15">
        <f>IF(N1434&gt;=Summary!$D$3,1,0)</f>
        <v/>
      </c>
      <c r="V1434" s="17">
        <f>IF(N1434&gt;0,P1434/N1434,"")</f>
        <v/>
      </c>
      <c r="W1434" s="17">
        <f>IF(O1434&gt;0,H1434/O1434,"")</f>
        <v/>
      </c>
    </row>
    <row r="1435">
      <c r="A1435" s="13" t="inlineStr">
        <is>
          <t>CE05_B1</t>
        </is>
      </c>
      <c r="B1435" s="13" t="inlineStr">
        <is>
          <t>CE05</t>
        </is>
      </c>
      <c r="C1435" s="13" t="inlineStr">
        <is>
          <t>B1</t>
        </is>
      </c>
      <c r="D1435" s="13" t="n">
        <v>0</v>
      </c>
      <c r="E1435" s="13" t="inlineStr">
        <is>
          <t>E</t>
        </is>
      </c>
      <c r="F1435" s="13" t="n">
        <v>2025</v>
      </c>
      <c r="G1435" s="14" t="n">
        <v>1000295.7600673</v>
      </c>
      <c r="H1435" s="14" t="n">
        <v>169130.4894646439</v>
      </c>
      <c r="I1435" s="14" t="n">
        <v>287419.4693643608</v>
      </c>
      <c r="J1435" s="14" t="n">
        <v>0</v>
      </c>
      <c r="K1435" s="14" t="n">
        <v>532734.5247576246</v>
      </c>
      <c r="L1435" s="14" t="n">
        <v>11011.276480671</v>
      </c>
      <c r="M1435" s="14" t="n">
        <v>0</v>
      </c>
      <c r="N1435" s="14" t="n">
        <v>103532.7829529407</v>
      </c>
      <c r="O1435" s="14" t="n">
        <v>995093.073989958</v>
      </c>
      <c r="P1435" s="14" t="n">
        <v>44612.90878257004</v>
      </c>
      <c r="Q1435" s="14" t="n">
        <v>6597027.539518829</v>
      </c>
      <c r="R1435" s="15">
        <f>IF(D1435=1,"Section 1","Control")</f>
        <v/>
      </c>
      <c r="S1435" s="16">
        <f>N1435/10000</f>
        <v/>
      </c>
      <c r="T1435" s="16">
        <f>P1435/10000</f>
        <v/>
      </c>
      <c r="U1435" s="15">
        <f>IF(N1435&gt;=Summary!$D$3,1,0)</f>
        <v/>
      </c>
      <c r="V1435" s="17">
        <f>IF(N1435&gt;0,P1435/N1435,"")</f>
        <v/>
      </c>
      <c r="W1435" s="17">
        <f>IF(O1435&gt;0,H1435/O1435,"")</f>
        <v/>
      </c>
    </row>
    <row r="1436">
      <c r="A1436" s="13" t="inlineStr">
        <is>
          <t>CE05_B1</t>
        </is>
      </c>
      <c r="B1436" s="13" t="inlineStr">
        <is>
          <t>CE05</t>
        </is>
      </c>
      <c r="C1436" s="13" t="inlineStr">
        <is>
          <t>B1</t>
        </is>
      </c>
      <c r="D1436" s="13" t="n">
        <v>0</v>
      </c>
      <c r="E1436" s="13" t="inlineStr">
        <is>
          <t>E</t>
        </is>
      </c>
      <c r="F1436" s="13" t="n">
        <v>2026</v>
      </c>
      <c r="G1436" s="14" t="n">
        <v>1000295.7600673</v>
      </c>
      <c r="H1436" s="14" t="n">
        <v>211446.7652969959</v>
      </c>
      <c r="I1436" s="14" t="n">
        <v>146394.31683574</v>
      </c>
      <c r="J1436" s="14" t="n">
        <v>0</v>
      </c>
      <c r="K1436" s="14" t="n">
        <v>632943.6522723031</v>
      </c>
      <c r="L1436" s="14" t="n">
        <v>9511.025662261363</v>
      </c>
      <c r="M1436" s="14" t="n">
        <v>0</v>
      </c>
      <c r="N1436" s="14" t="n">
        <v>103532.7829529407</v>
      </c>
      <c r="O1436" s="14" t="n">
        <v>995093.073989958</v>
      </c>
      <c r="P1436" s="14" t="n">
        <v>49887.53520433016</v>
      </c>
      <c r="Q1436" s="14" t="n">
        <v>6597027.539518828</v>
      </c>
      <c r="R1436" s="15">
        <f>IF(D1436=1,"Section 1","Control")</f>
        <v/>
      </c>
      <c r="S1436" s="16">
        <f>N1436/10000</f>
        <v/>
      </c>
      <c r="T1436" s="16">
        <f>P1436/10000</f>
        <v/>
      </c>
      <c r="U1436" s="15">
        <f>IF(N1436&gt;=Summary!$D$3,1,0)</f>
        <v/>
      </c>
      <c r="V1436" s="17">
        <f>IF(N1436&gt;0,P1436/N1436,"")</f>
        <v/>
      </c>
      <c r="W1436" s="17">
        <f>IF(O1436&gt;0,H1436/O1436,"")</f>
        <v/>
      </c>
    </row>
    <row r="1437">
      <c r="A1437" s="13" t="inlineStr">
        <is>
          <t>CE05_B2</t>
        </is>
      </c>
      <c r="B1437" s="13" t="inlineStr">
        <is>
          <t>CE05</t>
        </is>
      </c>
      <c r="C1437" s="13" t="inlineStr">
        <is>
          <t>B2</t>
        </is>
      </c>
      <c r="D1437" s="13" t="n">
        <v>0</v>
      </c>
      <c r="E1437" s="13" t="inlineStr">
        <is>
          <t>E</t>
        </is>
      </c>
      <c r="F1437" s="13" t="n">
        <v>2020</v>
      </c>
      <c r="G1437" s="14" t="n">
        <v>1000806.826539163</v>
      </c>
      <c r="H1437" s="14" t="n">
        <v>107560.8058191636</v>
      </c>
      <c r="I1437" s="14" t="n">
        <v>619785.9313413434</v>
      </c>
      <c r="J1437" s="14" t="n">
        <v>0</v>
      </c>
      <c r="K1437" s="14" t="n">
        <v>83155.45631091548</v>
      </c>
      <c r="L1437" s="14" t="n">
        <v>190304.6330677407</v>
      </c>
      <c r="M1437" s="14" t="n">
        <v>0</v>
      </c>
      <c r="N1437" s="14" t="n">
        <v>107560.8058191636</v>
      </c>
      <c r="O1437" s="14" t="n">
        <v>810502.1934714224</v>
      </c>
      <c r="P1437" s="14" t="n">
        <v>0</v>
      </c>
      <c r="Q1437" s="14" t="n">
        <v>2977128.20394293</v>
      </c>
      <c r="R1437" s="15">
        <f>IF(D1437=1,"Section 1","Control")</f>
        <v/>
      </c>
      <c r="S1437" s="16">
        <f>N1437/10000</f>
        <v/>
      </c>
      <c r="T1437" s="16">
        <f>P1437/10000</f>
        <v/>
      </c>
      <c r="U1437" s="15">
        <f>IF(N1437&gt;=Summary!$D$3,1,0)</f>
        <v/>
      </c>
      <c r="V1437" s="17">
        <f>IF(N1437&gt;0,P1437/N1437,"")</f>
        <v/>
      </c>
      <c r="W1437" s="17">
        <f>IF(O1437&gt;0,H1437/O1437,"")</f>
        <v/>
      </c>
    </row>
    <row r="1438">
      <c r="A1438" s="13" t="inlineStr">
        <is>
          <t>CE05_B2</t>
        </is>
      </c>
      <c r="B1438" s="13" t="inlineStr">
        <is>
          <t>CE05</t>
        </is>
      </c>
      <c r="C1438" s="13" t="inlineStr">
        <is>
          <t>B2</t>
        </is>
      </c>
      <c r="D1438" s="13" t="n">
        <v>0</v>
      </c>
      <c r="E1438" s="13" t="inlineStr">
        <is>
          <t>E</t>
        </is>
      </c>
      <c r="F1438" s="13" t="n">
        <v>2021</v>
      </c>
      <c r="G1438" s="14" t="n">
        <v>1000806.826539163</v>
      </c>
      <c r="H1438" s="14" t="n">
        <v>83634.35697287766</v>
      </c>
      <c r="I1438" s="14" t="n">
        <v>522339.7988606174</v>
      </c>
      <c r="J1438" s="14" t="n">
        <v>0</v>
      </c>
      <c r="K1438" s="14" t="n">
        <v>181409.0271142997</v>
      </c>
      <c r="L1438" s="14" t="n">
        <v>213423.6435913684</v>
      </c>
      <c r="M1438" s="14" t="n">
        <v>0</v>
      </c>
      <c r="N1438" s="14" t="n">
        <v>107560.8058191636</v>
      </c>
      <c r="O1438" s="14" t="n">
        <v>810502.1934714224</v>
      </c>
      <c r="P1438" s="14" t="n">
        <v>34473.27828195609</v>
      </c>
      <c r="Q1438" s="14" t="n">
        <v>2977128.20394293</v>
      </c>
      <c r="R1438" s="15">
        <f>IF(D1438=1,"Section 1","Control")</f>
        <v/>
      </c>
      <c r="S1438" s="16">
        <f>N1438/10000</f>
        <v/>
      </c>
      <c r="T1438" s="16">
        <f>P1438/10000</f>
        <v/>
      </c>
      <c r="U1438" s="15">
        <f>IF(N1438&gt;=Summary!$D$3,1,0)</f>
        <v/>
      </c>
      <c r="V1438" s="17">
        <f>IF(N1438&gt;0,P1438/N1438,"")</f>
        <v/>
      </c>
      <c r="W1438" s="17">
        <f>IF(O1438&gt;0,H1438/O1438,"")</f>
        <v/>
      </c>
    </row>
    <row r="1439">
      <c r="A1439" s="13" t="inlineStr">
        <is>
          <t>CE05_B2</t>
        </is>
      </c>
      <c r="B1439" s="13" t="inlineStr">
        <is>
          <t>CE05</t>
        </is>
      </c>
      <c r="C1439" s="13" t="inlineStr">
        <is>
          <t>B2</t>
        </is>
      </c>
      <c r="D1439" s="13" t="n">
        <v>0</v>
      </c>
      <c r="E1439" s="13" t="inlineStr">
        <is>
          <t>E</t>
        </is>
      </c>
      <c r="F1439" s="13" t="n">
        <v>2022</v>
      </c>
      <c r="G1439" s="14" t="n">
        <v>1000806.826539163</v>
      </c>
      <c r="H1439" s="14" t="n">
        <v>79585.53673640231</v>
      </c>
      <c r="I1439" s="14" t="n">
        <v>484859.2556266337</v>
      </c>
      <c r="J1439" s="14" t="n">
        <v>0</v>
      </c>
      <c r="K1439" s="14" t="n">
        <v>224340.3569030762</v>
      </c>
      <c r="L1439" s="14" t="n">
        <v>212021.6772730509</v>
      </c>
      <c r="M1439" s="14" t="n">
        <v>0</v>
      </c>
      <c r="N1439" s="14" t="n">
        <v>107560.8058191636</v>
      </c>
      <c r="O1439" s="14" t="n">
        <v>810502.1934714224</v>
      </c>
      <c r="P1439" s="14" t="n">
        <v>52372.11786609724</v>
      </c>
      <c r="Q1439" s="14" t="n">
        <v>2977128.20394293</v>
      </c>
      <c r="R1439" s="15">
        <f>IF(D1439=1,"Section 1","Control")</f>
        <v/>
      </c>
      <c r="S1439" s="16">
        <f>N1439/10000</f>
        <v/>
      </c>
      <c r="T1439" s="16">
        <f>P1439/10000</f>
        <v/>
      </c>
      <c r="U1439" s="15">
        <f>IF(N1439&gt;=Summary!$D$3,1,0)</f>
        <v/>
      </c>
      <c r="V1439" s="17">
        <f>IF(N1439&gt;0,P1439/N1439,"")</f>
        <v/>
      </c>
      <c r="W1439" s="17">
        <f>IF(O1439&gt;0,H1439/O1439,"")</f>
        <v/>
      </c>
    </row>
    <row r="1440">
      <c r="A1440" s="13" t="inlineStr">
        <is>
          <t>CE05_B2</t>
        </is>
      </c>
      <c r="B1440" s="13" t="inlineStr">
        <is>
          <t>CE05</t>
        </is>
      </c>
      <c r="C1440" s="13" t="inlineStr">
        <is>
          <t>B2</t>
        </is>
      </c>
      <c r="D1440" s="13" t="n">
        <v>0</v>
      </c>
      <c r="E1440" s="13" t="inlineStr">
        <is>
          <t>E</t>
        </is>
      </c>
      <c r="F1440" s="13" t="n">
        <v>2023</v>
      </c>
      <c r="G1440" s="14" t="n">
        <v>1000806.826539163</v>
      </c>
      <c r="H1440" s="14" t="n">
        <v>70904.40526455149</v>
      </c>
      <c r="I1440" s="14" t="n">
        <v>567695.4677160229</v>
      </c>
      <c r="J1440" s="14" t="n">
        <v>0</v>
      </c>
      <c r="K1440" s="14" t="n">
        <v>139310.6561150644</v>
      </c>
      <c r="L1440" s="14" t="n">
        <v>222896.2974435245</v>
      </c>
      <c r="M1440" s="14" t="n">
        <v>0</v>
      </c>
      <c r="N1440" s="14" t="n">
        <v>107560.8058191636</v>
      </c>
      <c r="O1440" s="14" t="n">
        <v>810502.1934714224</v>
      </c>
      <c r="P1440" s="14" t="n">
        <v>58535.6009516099</v>
      </c>
      <c r="Q1440" s="14" t="n">
        <v>2977128.20394293</v>
      </c>
      <c r="R1440" s="15">
        <f>IF(D1440=1,"Section 1","Control")</f>
        <v/>
      </c>
      <c r="S1440" s="16">
        <f>N1440/10000</f>
        <v/>
      </c>
      <c r="T1440" s="16">
        <f>P1440/10000</f>
        <v/>
      </c>
      <c r="U1440" s="15">
        <f>IF(N1440&gt;=Summary!$D$3,1,0)</f>
        <v/>
      </c>
      <c r="V1440" s="17">
        <f>IF(N1440&gt;0,P1440/N1440,"")</f>
        <v/>
      </c>
      <c r="W1440" s="17">
        <f>IF(O1440&gt;0,H1440/O1440,"")</f>
        <v/>
      </c>
    </row>
    <row r="1441">
      <c r="A1441" s="13" t="inlineStr">
        <is>
          <t>CE05_B2</t>
        </is>
      </c>
      <c r="B1441" s="13" t="inlineStr">
        <is>
          <t>CE05</t>
        </is>
      </c>
      <c r="C1441" s="13" t="inlineStr">
        <is>
          <t>B2</t>
        </is>
      </c>
      <c r="D1441" s="13" t="n">
        <v>0</v>
      </c>
      <c r="E1441" s="13" t="inlineStr">
        <is>
          <t>E</t>
        </is>
      </c>
      <c r="F1441" s="13" t="n">
        <v>2024</v>
      </c>
      <c r="G1441" s="14" t="n">
        <v>1000806.826539163</v>
      </c>
      <c r="H1441" s="14" t="n">
        <v>155030.8578582165</v>
      </c>
      <c r="I1441" s="14" t="n">
        <v>497442.6332996145</v>
      </c>
      <c r="J1441" s="14" t="n">
        <v>0</v>
      </c>
      <c r="K1441" s="14" t="n">
        <v>168051.0046943814</v>
      </c>
      <c r="L1441" s="14" t="n">
        <v>180282.3306869507</v>
      </c>
      <c r="M1441" s="14" t="n">
        <v>0</v>
      </c>
      <c r="N1441" s="14" t="n">
        <v>107560.8058191636</v>
      </c>
      <c r="O1441" s="14" t="n">
        <v>810502.1934714224</v>
      </c>
      <c r="P1441" s="14" t="n">
        <v>33846.07598090079</v>
      </c>
      <c r="Q1441" s="14" t="n">
        <v>2977128.20394293</v>
      </c>
      <c r="R1441" s="15">
        <f>IF(D1441=1,"Section 1","Control")</f>
        <v/>
      </c>
      <c r="S1441" s="16">
        <f>N1441/10000</f>
        <v/>
      </c>
      <c r="T1441" s="16">
        <f>P1441/10000</f>
        <v/>
      </c>
      <c r="U1441" s="15">
        <f>IF(N1441&gt;=Summary!$D$3,1,0)</f>
        <v/>
      </c>
      <c r="V1441" s="17">
        <f>IF(N1441&gt;0,P1441/N1441,"")</f>
        <v/>
      </c>
      <c r="W1441" s="17">
        <f>IF(O1441&gt;0,H1441/O1441,"")</f>
        <v/>
      </c>
    </row>
    <row r="1442">
      <c r="A1442" s="13" t="inlineStr">
        <is>
          <t>CE05_B2</t>
        </is>
      </c>
      <c r="B1442" s="13" t="inlineStr">
        <is>
          <t>CE05</t>
        </is>
      </c>
      <c r="C1442" s="13" t="inlineStr">
        <is>
          <t>B2</t>
        </is>
      </c>
      <c r="D1442" s="13" t="n">
        <v>0</v>
      </c>
      <c r="E1442" s="13" t="inlineStr">
        <is>
          <t>E</t>
        </is>
      </c>
      <c r="F1442" s="13" t="n">
        <v>2025</v>
      </c>
      <c r="G1442" s="14" t="n">
        <v>1000806.826539163</v>
      </c>
      <c r="H1442" s="14" t="n">
        <v>112057.6883002487</v>
      </c>
      <c r="I1442" s="14" t="n">
        <v>565758.1436674232</v>
      </c>
      <c r="J1442" s="14" t="n">
        <v>0</v>
      </c>
      <c r="K1442" s="14" t="n">
        <v>163017.3768511903</v>
      </c>
      <c r="L1442" s="14" t="n">
        <v>159973.617720301</v>
      </c>
      <c r="M1442" s="14" t="n">
        <v>0</v>
      </c>
      <c r="N1442" s="14" t="n">
        <v>107560.8058191636</v>
      </c>
      <c r="O1442" s="14" t="n">
        <v>810502.1934714224</v>
      </c>
      <c r="P1442" s="14" t="n">
        <v>56130.57452978994</v>
      </c>
      <c r="Q1442" s="14" t="n">
        <v>2977128.20394293</v>
      </c>
      <c r="R1442" s="15">
        <f>IF(D1442=1,"Section 1","Control")</f>
        <v/>
      </c>
      <c r="S1442" s="16">
        <f>N1442/10000</f>
        <v/>
      </c>
      <c r="T1442" s="16">
        <f>P1442/10000</f>
        <v/>
      </c>
      <c r="U1442" s="15">
        <f>IF(N1442&gt;=Summary!$D$3,1,0)</f>
        <v/>
      </c>
      <c r="V1442" s="17">
        <f>IF(N1442&gt;0,P1442/N1442,"")</f>
        <v/>
      </c>
      <c r="W1442" s="17">
        <f>IF(O1442&gt;0,H1442/O1442,"")</f>
        <v/>
      </c>
    </row>
    <row r="1443">
      <c r="A1443" s="13" t="inlineStr">
        <is>
          <t>CE05_B2</t>
        </is>
      </c>
      <c r="B1443" s="13" t="inlineStr">
        <is>
          <t>CE05</t>
        </is>
      </c>
      <c r="C1443" s="13" t="inlineStr">
        <is>
          <t>B2</t>
        </is>
      </c>
      <c r="D1443" s="13" t="n">
        <v>0</v>
      </c>
      <c r="E1443" s="13" t="inlineStr">
        <is>
          <t>E</t>
        </is>
      </c>
      <c r="F1443" s="13" t="n">
        <v>2026</v>
      </c>
      <c r="G1443" s="14" t="n">
        <v>1000806.826539163</v>
      </c>
      <c r="H1443" s="14" t="n">
        <v>173288.2312755211</v>
      </c>
      <c r="I1443" s="14" t="n">
        <v>494335.6913989498</v>
      </c>
      <c r="J1443" s="14" t="n">
        <v>0</v>
      </c>
      <c r="K1443" s="14" t="n">
        <v>171959.9939839681</v>
      </c>
      <c r="L1443" s="14" t="n">
        <v>161222.9098807242</v>
      </c>
      <c r="M1443" s="14" t="n">
        <v>0</v>
      </c>
      <c r="N1443" s="14" t="n">
        <v>107560.8058191636</v>
      </c>
      <c r="O1443" s="14" t="n">
        <v>810502.1934714224</v>
      </c>
      <c r="P1443" s="14" t="n">
        <v>42831.13387648638</v>
      </c>
      <c r="Q1443" s="14" t="n">
        <v>2977128.20394293</v>
      </c>
      <c r="R1443" s="15">
        <f>IF(D1443=1,"Section 1","Control")</f>
        <v/>
      </c>
      <c r="S1443" s="16">
        <f>N1443/10000</f>
        <v/>
      </c>
      <c r="T1443" s="16">
        <f>P1443/10000</f>
        <v/>
      </c>
      <c r="U1443" s="15">
        <f>IF(N1443&gt;=Summary!$D$3,1,0)</f>
        <v/>
      </c>
      <c r="V1443" s="17">
        <f>IF(N1443&gt;0,P1443/N1443,"")</f>
        <v/>
      </c>
      <c r="W1443" s="17">
        <f>IF(O1443&gt;0,H1443/O1443,"")</f>
        <v/>
      </c>
    </row>
    <row r="1444">
      <c r="A1444" s="13" t="inlineStr">
        <is>
          <t>CE05_B3</t>
        </is>
      </c>
      <c r="B1444" s="13" t="inlineStr">
        <is>
          <t>CE05</t>
        </is>
      </c>
      <c r="C1444" s="13" t="inlineStr">
        <is>
          <t>B3</t>
        </is>
      </c>
      <c r="D1444" s="13" t="n">
        <v>0</v>
      </c>
      <c r="E1444" s="13" t="inlineStr">
        <is>
          <t>E</t>
        </is>
      </c>
      <c r="F1444" s="13" t="n">
        <v>2020</v>
      </c>
      <c r="G1444" s="14" t="n">
        <v>8337319.514467695</v>
      </c>
      <c r="H1444" s="14" t="n">
        <v>1644919.974148889</v>
      </c>
      <c r="I1444" s="14" t="n">
        <v>28013.63904751048</v>
      </c>
      <c r="J1444" s="14" t="n">
        <v>0</v>
      </c>
      <c r="K1444" s="14" t="n">
        <v>83587.34280966963</v>
      </c>
      <c r="L1444" s="14" t="n">
        <v>6580798.558461627</v>
      </c>
      <c r="M1444" s="14" t="n">
        <v>0</v>
      </c>
      <c r="N1444" s="14" t="n">
        <v>1644919.974148889</v>
      </c>
      <c r="O1444" s="14" t="n">
        <v>1756520.956006069</v>
      </c>
      <c r="P1444" s="14" t="n">
        <v>0</v>
      </c>
      <c r="Q1444" s="14" t="n">
        <v>15619841.10982777</v>
      </c>
      <c r="R1444" s="15">
        <f>IF(D1444=1,"Section 1","Control")</f>
        <v/>
      </c>
      <c r="S1444" s="16">
        <f>N1444/10000</f>
        <v/>
      </c>
      <c r="T1444" s="16">
        <f>P1444/10000</f>
        <v/>
      </c>
      <c r="U1444" s="15">
        <f>IF(N1444&gt;=Summary!$D$3,1,0)</f>
        <v/>
      </c>
      <c r="V1444" s="17">
        <f>IF(N1444&gt;0,P1444/N1444,"")</f>
        <v/>
      </c>
      <c r="W1444" s="17">
        <f>IF(O1444&gt;0,H1444/O1444,"")</f>
        <v/>
      </c>
    </row>
    <row r="1445">
      <c r="A1445" s="13" t="inlineStr">
        <is>
          <t>CE05_B3</t>
        </is>
      </c>
      <c r="B1445" s="13" t="inlineStr">
        <is>
          <t>CE05</t>
        </is>
      </c>
      <c r="C1445" s="13" t="inlineStr">
        <is>
          <t>B3</t>
        </is>
      </c>
      <c r="D1445" s="13" t="n">
        <v>0</v>
      </c>
      <c r="E1445" s="13" t="inlineStr">
        <is>
          <t>E</t>
        </is>
      </c>
      <c r="F1445" s="13" t="n">
        <v>2021</v>
      </c>
      <c r="G1445" s="14" t="n">
        <v>8337319.514467696</v>
      </c>
      <c r="H1445" s="14" t="n">
        <v>1600111.965478785</v>
      </c>
      <c r="I1445" s="14" t="n">
        <v>29270.33540039062</v>
      </c>
      <c r="J1445" s="14" t="n">
        <v>0</v>
      </c>
      <c r="K1445" s="14" t="n">
        <v>188720.108264968</v>
      </c>
      <c r="L1445" s="14" t="n">
        <v>6519217.105323552</v>
      </c>
      <c r="M1445" s="14" t="n">
        <v>0</v>
      </c>
      <c r="N1445" s="14" t="n">
        <v>1644919.974148889</v>
      </c>
      <c r="O1445" s="14" t="n">
        <v>1756520.956006069</v>
      </c>
      <c r="P1445" s="14" t="n">
        <v>55095.21513519287</v>
      </c>
      <c r="Q1445" s="14" t="n">
        <v>15619841.10982777</v>
      </c>
      <c r="R1445" s="15">
        <f>IF(D1445=1,"Section 1","Control")</f>
        <v/>
      </c>
      <c r="S1445" s="16">
        <f>N1445/10000</f>
        <v/>
      </c>
      <c r="T1445" s="16">
        <f>P1445/10000</f>
        <v/>
      </c>
      <c r="U1445" s="15">
        <f>IF(N1445&gt;=Summary!$D$3,1,0)</f>
        <v/>
      </c>
      <c r="V1445" s="17">
        <f>IF(N1445&gt;0,P1445/N1445,"")</f>
        <v/>
      </c>
      <c r="W1445" s="17">
        <f>IF(O1445&gt;0,H1445/O1445,"")</f>
        <v/>
      </c>
    </row>
    <row r="1446">
      <c r="A1446" s="13" t="inlineStr">
        <is>
          <t>CE05_B3</t>
        </is>
      </c>
      <c r="B1446" s="13" t="inlineStr">
        <is>
          <t>CE05</t>
        </is>
      </c>
      <c r="C1446" s="13" t="inlineStr">
        <is>
          <t>B3</t>
        </is>
      </c>
      <c r="D1446" s="13" t="n">
        <v>0</v>
      </c>
      <c r="E1446" s="13" t="inlineStr">
        <is>
          <t>E</t>
        </is>
      </c>
      <c r="F1446" s="13" t="n">
        <v>2022</v>
      </c>
      <c r="G1446" s="14" t="n">
        <v>8337319.514467694</v>
      </c>
      <c r="H1446" s="14" t="n">
        <v>1612595.343954498</v>
      </c>
      <c r="I1446" s="14" t="n">
        <v>16583.04454264922</v>
      </c>
      <c r="J1446" s="14" t="n">
        <v>0</v>
      </c>
      <c r="K1446" s="14" t="n">
        <v>193423.7141804115</v>
      </c>
      <c r="L1446" s="14" t="n">
        <v>6514717.411790137</v>
      </c>
      <c r="M1446" s="14" t="n">
        <v>0</v>
      </c>
      <c r="N1446" s="14" t="n">
        <v>1644919.974148889</v>
      </c>
      <c r="O1446" s="14" t="n">
        <v>1756520.956006069</v>
      </c>
      <c r="P1446" s="14" t="n">
        <v>50051.53701091093</v>
      </c>
      <c r="Q1446" s="14" t="n">
        <v>15619841.10982777</v>
      </c>
      <c r="R1446" s="15">
        <f>IF(D1446=1,"Section 1","Control")</f>
        <v/>
      </c>
      <c r="S1446" s="16">
        <f>N1446/10000</f>
        <v/>
      </c>
      <c r="T1446" s="16">
        <f>P1446/10000</f>
        <v/>
      </c>
      <c r="U1446" s="15">
        <f>IF(N1446&gt;=Summary!$D$3,1,0)</f>
        <v/>
      </c>
      <c r="V1446" s="17">
        <f>IF(N1446&gt;0,P1446/N1446,"")</f>
        <v/>
      </c>
      <c r="W1446" s="17">
        <f>IF(O1446&gt;0,H1446/O1446,"")</f>
        <v/>
      </c>
    </row>
    <row r="1447">
      <c r="A1447" s="13" t="inlineStr">
        <is>
          <t>CE05_B3</t>
        </is>
      </c>
      <c r="B1447" s="13" t="inlineStr">
        <is>
          <t>CE05</t>
        </is>
      </c>
      <c r="C1447" s="13" t="inlineStr">
        <is>
          <t>B3</t>
        </is>
      </c>
      <c r="D1447" s="13" t="n">
        <v>0</v>
      </c>
      <c r="E1447" s="13" t="inlineStr">
        <is>
          <t>E</t>
        </is>
      </c>
      <c r="F1447" s="13" t="n">
        <v>2023</v>
      </c>
      <c r="G1447" s="14" t="n">
        <v>8337319.514467696</v>
      </c>
      <c r="H1447" s="14" t="n">
        <v>1611795.277688958</v>
      </c>
      <c r="I1447" s="14" t="n">
        <v>29955.89271063711</v>
      </c>
      <c r="J1447" s="14" t="n">
        <v>0</v>
      </c>
      <c r="K1447" s="14" t="n">
        <v>122001.5491601383</v>
      </c>
      <c r="L1447" s="14" t="n">
        <v>6573566.794907964</v>
      </c>
      <c r="M1447" s="14" t="n">
        <v>0</v>
      </c>
      <c r="N1447" s="14" t="n">
        <v>1644919.974148889</v>
      </c>
      <c r="O1447" s="14" t="n">
        <v>1756520.956006069</v>
      </c>
      <c r="P1447" s="14" t="n">
        <v>64189.73233214733</v>
      </c>
      <c r="Q1447" s="14" t="n">
        <v>15619841.10982777</v>
      </c>
      <c r="R1447" s="15">
        <f>IF(D1447=1,"Section 1","Control")</f>
        <v/>
      </c>
      <c r="S1447" s="16">
        <f>N1447/10000</f>
        <v/>
      </c>
      <c r="T1447" s="16">
        <f>P1447/10000</f>
        <v/>
      </c>
      <c r="U1447" s="15">
        <f>IF(N1447&gt;=Summary!$D$3,1,0)</f>
        <v/>
      </c>
      <c r="V1447" s="17">
        <f>IF(N1447&gt;0,P1447/N1447,"")</f>
        <v/>
      </c>
      <c r="W1447" s="17">
        <f>IF(O1447&gt;0,H1447/O1447,"")</f>
        <v/>
      </c>
    </row>
    <row r="1448">
      <c r="A1448" s="13" t="inlineStr">
        <is>
          <t>CE05_B3</t>
        </is>
      </c>
      <c r="B1448" s="13" t="inlineStr">
        <is>
          <t>CE05</t>
        </is>
      </c>
      <c r="C1448" s="13" t="inlineStr">
        <is>
          <t>B3</t>
        </is>
      </c>
      <c r="D1448" s="13" t="n">
        <v>0</v>
      </c>
      <c r="E1448" s="13" t="inlineStr">
        <is>
          <t>E</t>
        </is>
      </c>
      <c r="F1448" s="13" t="n">
        <v>2024</v>
      </c>
      <c r="G1448" s="14" t="n">
        <v>8337319.514467694</v>
      </c>
      <c r="H1448" s="14" t="n">
        <v>1636433.838797476</v>
      </c>
      <c r="I1448" s="14" t="n">
        <v>10648.66344356163</v>
      </c>
      <c r="J1448" s="14" t="n">
        <v>0</v>
      </c>
      <c r="K1448" s="14" t="n">
        <v>155519.4084912768</v>
      </c>
      <c r="L1448" s="14" t="n">
        <v>6534717.603735381</v>
      </c>
      <c r="M1448" s="14" t="n">
        <v>0</v>
      </c>
      <c r="N1448" s="14" t="n">
        <v>1644919.974148889</v>
      </c>
      <c r="O1448" s="14" t="n">
        <v>1756520.956006069</v>
      </c>
      <c r="P1448" s="14" t="n">
        <v>56814.27414918787</v>
      </c>
      <c r="Q1448" s="14" t="n">
        <v>15619841.10982777</v>
      </c>
      <c r="R1448" s="15">
        <f>IF(D1448=1,"Section 1","Control")</f>
        <v/>
      </c>
      <c r="S1448" s="16">
        <f>N1448/10000</f>
        <v/>
      </c>
      <c r="T1448" s="16">
        <f>P1448/10000</f>
        <v/>
      </c>
      <c r="U1448" s="15">
        <f>IF(N1448&gt;=Summary!$D$3,1,0)</f>
        <v/>
      </c>
      <c r="V1448" s="17">
        <f>IF(N1448&gt;0,P1448/N1448,"")</f>
        <v/>
      </c>
      <c r="W1448" s="17">
        <f>IF(O1448&gt;0,H1448/O1448,"")</f>
        <v/>
      </c>
    </row>
    <row r="1449">
      <c r="A1449" s="13" t="inlineStr">
        <is>
          <t>CE05_B3</t>
        </is>
      </c>
      <c r="B1449" s="13" t="inlineStr">
        <is>
          <t>CE05</t>
        </is>
      </c>
      <c r="C1449" s="13" t="inlineStr">
        <is>
          <t>B3</t>
        </is>
      </c>
      <c r="D1449" s="13" t="n">
        <v>0</v>
      </c>
      <c r="E1449" s="13" t="inlineStr">
        <is>
          <t>E</t>
        </is>
      </c>
      <c r="F1449" s="13" t="n">
        <v>2025</v>
      </c>
      <c r="G1449" s="14" t="n">
        <v>8337319.514467695</v>
      </c>
      <c r="H1449" s="14" t="n">
        <v>1627241.612798234</v>
      </c>
      <c r="I1449" s="14" t="n">
        <v>15067.12748392142</v>
      </c>
      <c r="J1449" s="14" t="n">
        <v>0</v>
      </c>
      <c r="K1449" s="14" t="n">
        <v>125307.4012239643</v>
      </c>
      <c r="L1449" s="14" t="n">
        <v>6569703.372961576</v>
      </c>
      <c r="M1449" s="14" t="n">
        <v>0</v>
      </c>
      <c r="N1449" s="14" t="n">
        <v>1644919.974148889</v>
      </c>
      <c r="O1449" s="14" t="n">
        <v>1756520.956006069</v>
      </c>
      <c r="P1449" s="14" t="n">
        <v>58782.95676808077</v>
      </c>
      <c r="Q1449" s="14" t="n">
        <v>15619841.10982777</v>
      </c>
      <c r="R1449" s="15">
        <f>IF(D1449=1,"Section 1","Control")</f>
        <v/>
      </c>
      <c r="S1449" s="16">
        <f>N1449/10000</f>
        <v/>
      </c>
      <c r="T1449" s="16">
        <f>P1449/10000</f>
        <v/>
      </c>
      <c r="U1449" s="15">
        <f>IF(N1449&gt;=Summary!$D$3,1,0)</f>
        <v/>
      </c>
      <c r="V1449" s="17">
        <f>IF(N1449&gt;0,P1449/N1449,"")</f>
        <v/>
      </c>
      <c r="W1449" s="17">
        <f>IF(O1449&gt;0,H1449/O1449,"")</f>
        <v/>
      </c>
    </row>
    <row r="1450">
      <c r="A1450" s="13" t="inlineStr">
        <is>
          <t>CE05_B3</t>
        </is>
      </c>
      <c r="B1450" s="13" t="inlineStr">
        <is>
          <t>CE05</t>
        </is>
      </c>
      <c r="C1450" s="13" t="inlineStr">
        <is>
          <t>B3</t>
        </is>
      </c>
      <c r="D1450" s="13" t="n">
        <v>0</v>
      </c>
      <c r="E1450" s="13" t="inlineStr">
        <is>
          <t>E</t>
        </is>
      </c>
      <c r="F1450" s="13" t="n">
        <v>2026</v>
      </c>
      <c r="G1450" s="14" t="n">
        <v>8337319.514467694</v>
      </c>
      <c r="H1450" s="14" t="n">
        <v>1606347.560915928</v>
      </c>
      <c r="I1450" s="14" t="n">
        <v>13901.55649677351</v>
      </c>
      <c r="J1450" s="14" t="n">
        <v>0</v>
      </c>
      <c r="K1450" s="14" t="n">
        <v>143951.3907881195</v>
      </c>
      <c r="L1450" s="14" t="n">
        <v>6573119.006266874</v>
      </c>
      <c r="M1450" s="14" t="n">
        <v>0</v>
      </c>
      <c r="N1450" s="14" t="n">
        <v>1644919.974148889</v>
      </c>
      <c r="O1450" s="14" t="n">
        <v>1756520.956006069</v>
      </c>
      <c r="P1450" s="14" t="n">
        <v>77075.76074873982</v>
      </c>
      <c r="Q1450" s="14" t="n">
        <v>15619841.10982777</v>
      </c>
      <c r="R1450" s="15">
        <f>IF(D1450=1,"Section 1","Control")</f>
        <v/>
      </c>
      <c r="S1450" s="16">
        <f>N1450/10000</f>
        <v/>
      </c>
      <c r="T1450" s="16">
        <f>P1450/10000</f>
        <v/>
      </c>
      <c r="U1450" s="15">
        <f>IF(N1450&gt;=Summary!$D$3,1,0)</f>
        <v/>
      </c>
      <c r="V1450" s="17">
        <f>IF(N1450&gt;0,P1450/N1450,"")</f>
        <v/>
      </c>
      <c r="W1450" s="17">
        <f>IF(O1450&gt;0,H1450/O1450,"")</f>
        <v/>
      </c>
    </row>
    <row r="1451">
      <c r="A1451" s="13" t="inlineStr">
        <is>
          <t>CE05_F</t>
        </is>
      </c>
      <c r="B1451" s="13" t="inlineStr">
        <is>
          <t>CE05</t>
        </is>
      </c>
      <c r="C1451" s="13" t="inlineStr">
        <is>
          <t>F</t>
        </is>
      </c>
      <c r="D1451" s="13" t="n">
        <v>0</v>
      </c>
      <c r="E1451" s="13" t="inlineStr">
        <is>
          <t>E</t>
        </is>
      </c>
      <c r="F1451" s="13" t="n">
        <v>2020</v>
      </c>
      <c r="G1451" s="14" t="n">
        <v>69483.66447308109</v>
      </c>
      <c r="H1451" s="14" t="n">
        <v>1220.320360131357</v>
      </c>
      <c r="I1451" s="14" t="n">
        <v>20547.65908478382</v>
      </c>
      <c r="J1451" s="14" t="n">
        <v>0</v>
      </c>
      <c r="K1451" s="14" t="n">
        <v>47715.68502816593</v>
      </c>
      <c r="L1451" s="14" t="n">
        <v>0</v>
      </c>
      <c r="M1451" s="14" t="n">
        <v>0</v>
      </c>
      <c r="N1451" s="14" t="n">
        <v>1220.320360131357</v>
      </c>
      <c r="O1451" s="14" t="n">
        <v>69483.66447308109</v>
      </c>
      <c r="P1451" s="14" t="n">
        <v>0</v>
      </c>
      <c r="Q1451" s="14" t="n">
        <v>414094.6707542869</v>
      </c>
      <c r="R1451" s="15">
        <f>IF(D1451=1,"Section 1","Control")</f>
        <v/>
      </c>
      <c r="S1451" s="16">
        <f>N1451/10000</f>
        <v/>
      </c>
      <c r="T1451" s="16">
        <f>P1451/10000</f>
        <v/>
      </c>
      <c r="U1451" s="15">
        <f>IF(N1451&gt;=Summary!$D$3,1,0)</f>
        <v/>
      </c>
      <c r="V1451" s="17">
        <f>IF(N1451&gt;0,P1451/N1451,"")</f>
        <v/>
      </c>
      <c r="W1451" s="17">
        <f>IF(O1451&gt;0,H1451/O1451,"")</f>
        <v/>
      </c>
    </row>
    <row r="1452">
      <c r="A1452" s="13" t="inlineStr">
        <is>
          <t>CE05_F</t>
        </is>
      </c>
      <c r="B1452" s="13" t="inlineStr">
        <is>
          <t>CE05</t>
        </is>
      </c>
      <c r="C1452" s="13" t="inlineStr">
        <is>
          <t>F</t>
        </is>
      </c>
      <c r="D1452" s="13" t="n">
        <v>0</v>
      </c>
      <c r="E1452" s="13" t="inlineStr">
        <is>
          <t>E</t>
        </is>
      </c>
      <c r="F1452" s="13" t="n">
        <v>2021</v>
      </c>
      <c r="G1452" s="14" t="n">
        <v>69483.66447308109</v>
      </c>
      <c r="H1452" s="14" t="n">
        <v>1297.365813790116</v>
      </c>
      <c r="I1452" s="14" t="n">
        <v>13190.4821500292</v>
      </c>
      <c r="J1452" s="14" t="n">
        <v>0</v>
      </c>
      <c r="K1452" s="14" t="n">
        <v>54995.81650926177</v>
      </c>
      <c r="L1452" s="14" t="n">
        <v>0</v>
      </c>
      <c r="M1452" s="14" t="n">
        <v>0</v>
      </c>
      <c r="N1452" s="14" t="n">
        <v>1220.320360131357</v>
      </c>
      <c r="O1452" s="14" t="n">
        <v>69483.66447308109</v>
      </c>
      <c r="P1452" s="14" t="n">
        <v>400.708013048359</v>
      </c>
      <c r="Q1452" s="14" t="n">
        <v>414094.6707542869</v>
      </c>
      <c r="R1452" s="15">
        <f>IF(D1452=1,"Section 1","Control")</f>
        <v/>
      </c>
      <c r="S1452" s="16">
        <f>N1452/10000</f>
        <v/>
      </c>
      <c r="T1452" s="16">
        <f>P1452/10000</f>
        <v/>
      </c>
      <c r="U1452" s="15">
        <f>IF(N1452&gt;=Summary!$D$3,1,0)</f>
        <v/>
      </c>
      <c r="V1452" s="17">
        <f>IF(N1452&gt;0,P1452/N1452,"")</f>
        <v/>
      </c>
      <c r="W1452" s="17">
        <f>IF(O1452&gt;0,H1452/O1452,"")</f>
        <v/>
      </c>
    </row>
    <row r="1453">
      <c r="A1453" s="13" t="inlineStr">
        <is>
          <t>CE05_F</t>
        </is>
      </c>
      <c r="B1453" s="13" t="inlineStr">
        <is>
          <t>CE05</t>
        </is>
      </c>
      <c r="C1453" s="13" t="inlineStr">
        <is>
          <t>F</t>
        </is>
      </c>
      <c r="D1453" s="13" t="n">
        <v>0</v>
      </c>
      <c r="E1453" s="13" t="inlineStr">
        <is>
          <t>E</t>
        </is>
      </c>
      <c r="F1453" s="13" t="n">
        <v>2022</v>
      </c>
      <c r="G1453" s="14" t="n">
        <v>69483.66447308109</v>
      </c>
      <c r="H1453" s="14" t="n">
        <v>1303.173162931554</v>
      </c>
      <c r="I1453" s="14" t="n">
        <v>10147.80879549513</v>
      </c>
      <c r="J1453" s="14" t="n">
        <v>0</v>
      </c>
      <c r="K1453" s="14" t="n">
        <v>58032.68251465442</v>
      </c>
      <c r="L1453" s="14" t="n">
        <v>0</v>
      </c>
      <c r="M1453" s="14" t="n">
        <v>0</v>
      </c>
      <c r="N1453" s="14" t="n">
        <v>1220.320360131357</v>
      </c>
      <c r="O1453" s="14" t="n">
        <v>69483.66447308109</v>
      </c>
      <c r="P1453" s="14" t="n">
        <v>388.7061412138098</v>
      </c>
      <c r="Q1453" s="14" t="n">
        <v>414094.6707542869</v>
      </c>
      <c r="R1453" s="15">
        <f>IF(D1453=1,"Section 1","Control")</f>
        <v/>
      </c>
      <c r="S1453" s="16">
        <f>N1453/10000</f>
        <v/>
      </c>
      <c r="T1453" s="16">
        <f>P1453/10000</f>
        <v/>
      </c>
      <c r="U1453" s="15">
        <f>IF(N1453&gt;=Summary!$D$3,1,0)</f>
        <v/>
      </c>
      <c r="V1453" s="17">
        <f>IF(N1453&gt;0,P1453/N1453,"")</f>
        <v/>
      </c>
      <c r="W1453" s="17">
        <f>IF(O1453&gt;0,H1453/O1453,"")</f>
        <v/>
      </c>
    </row>
    <row r="1454">
      <c r="A1454" s="13" t="inlineStr">
        <is>
          <t>CE05_F</t>
        </is>
      </c>
      <c r="B1454" s="13" t="inlineStr">
        <is>
          <t>CE05</t>
        </is>
      </c>
      <c r="C1454" s="13" t="inlineStr">
        <is>
          <t>F</t>
        </is>
      </c>
      <c r="D1454" s="13" t="n">
        <v>0</v>
      </c>
      <c r="E1454" s="13" t="inlineStr">
        <is>
          <t>E</t>
        </is>
      </c>
      <c r="F1454" s="13" t="n">
        <v>2023</v>
      </c>
      <c r="G1454" s="14" t="n">
        <v>69483.66447308109</v>
      </c>
      <c r="H1454" s="14" t="n">
        <v>1093.72037862142</v>
      </c>
      <c r="I1454" s="14" t="n">
        <v>10956.19468051686</v>
      </c>
      <c r="J1454" s="14" t="n">
        <v>0</v>
      </c>
      <c r="K1454" s="14" t="n">
        <v>57433.74941394282</v>
      </c>
      <c r="L1454" s="14" t="n">
        <v>0</v>
      </c>
      <c r="M1454" s="14" t="n">
        <v>0</v>
      </c>
      <c r="N1454" s="14" t="n">
        <v>1220.320360131357</v>
      </c>
      <c r="O1454" s="14" t="n">
        <v>69483.66447308109</v>
      </c>
      <c r="P1454" s="14" t="n">
        <v>400.708013048359</v>
      </c>
      <c r="Q1454" s="14" t="n">
        <v>414094.6707542869</v>
      </c>
      <c r="R1454" s="15">
        <f>IF(D1454=1,"Section 1","Control")</f>
        <v/>
      </c>
      <c r="S1454" s="16">
        <f>N1454/10000</f>
        <v/>
      </c>
      <c r="T1454" s="16">
        <f>P1454/10000</f>
        <v/>
      </c>
      <c r="U1454" s="15">
        <f>IF(N1454&gt;=Summary!$D$3,1,0)</f>
        <v/>
      </c>
      <c r="V1454" s="17">
        <f>IF(N1454&gt;0,P1454/N1454,"")</f>
        <v/>
      </c>
      <c r="W1454" s="17">
        <f>IF(O1454&gt;0,H1454/O1454,"")</f>
        <v/>
      </c>
    </row>
    <row r="1455">
      <c r="A1455" s="13" t="inlineStr">
        <is>
          <t>CE05_F</t>
        </is>
      </c>
      <c r="B1455" s="13" t="inlineStr">
        <is>
          <t>CE05</t>
        </is>
      </c>
      <c r="C1455" s="13" t="inlineStr">
        <is>
          <t>F</t>
        </is>
      </c>
      <c r="D1455" s="13" t="n">
        <v>0</v>
      </c>
      <c r="E1455" s="13" t="inlineStr">
        <is>
          <t>E</t>
        </is>
      </c>
      <c r="F1455" s="13" t="n">
        <v>2024</v>
      </c>
      <c r="G1455" s="14" t="n">
        <v>69483.66447308109</v>
      </c>
      <c r="H1455" s="14" t="n">
        <v>2561.438109603583</v>
      </c>
      <c r="I1455" s="14" t="n">
        <v>6772.174641897163</v>
      </c>
      <c r="J1455" s="14" t="n">
        <v>0</v>
      </c>
      <c r="K1455" s="14" t="n">
        <v>60150.05172158034</v>
      </c>
      <c r="L1455" s="14" t="n">
        <v>0</v>
      </c>
      <c r="M1455" s="14" t="n">
        <v>0</v>
      </c>
      <c r="N1455" s="14" t="n">
        <v>1220.320360131357</v>
      </c>
      <c r="O1455" s="14" t="n">
        <v>69483.66447308109</v>
      </c>
      <c r="P1455" s="14" t="n">
        <v>352.3133685542088</v>
      </c>
      <c r="Q1455" s="14" t="n">
        <v>414094.6707542869</v>
      </c>
      <c r="R1455" s="15">
        <f>IF(D1455=1,"Section 1","Control")</f>
        <v/>
      </c>
      <c r="S1455" s="16">
        <f>N1455/10000</f>
        <v/>
      </c>
      <c r="T1455" s="16">
        <f>P1455/10000</f>
        <v/>
      </c>
      <c r="U1455" s="15">
        <f>IF(N1455&gt;=Summary!$D$3,1,0)</f>
        <v/>
      </c>
      <c r="V1455" s="17">
        <f>IF(N1455&gt;0,P1455/N1455,"")</f>
        <v/>
      </c>
      <c r="W1455" s="17">
        <f>IF(O1455&gt;0,H1455/O1455,"")</f>
        <v/>
      </c>
    </row>
    <row r="1456">
      <c r="A1456" s="13" t="inlineStr">
        <is>
          <t>CE05_F</t>
        </is>
      </c>
      <c r="B1456" s="13" t="inlineStr">
        <is>
          <t>CE05</t>
        </is>
      </c>
      <c r="C1456" s="13" t="inlineStr">
        <is>
          <t>F</t>
        </is>
      </c>
      <c r="D1456" s="13" t="n">
        <v>0</v>
      </c>
      <c r="E1456" s="13" t="inlineStr">
        <is>
          <t>E</t>
        </is>
      </c>
      <c r="F1456" s="13" t="n">
        <v>2025</v>
      </c>
      <c r="G1456" s="14" t="n">
        <v>69483.66447308109</v>
      </c>
      <c r="H1456" s="14" t="n">
        <v>2758.888640609442</v>
      </c>
      <c r="I1456" s="14" t="n">
        <v>8009.144765696805</v>
      </c>
      <c r="J1456" s="14" t="n">
        <v>0</v>
      </c>
      <c r="K1456" s="14" t="n">
        <v>58715.63106677485</v>
      </c>
      <c r="L1456" s="14" t="n">
        <v>0</v>
      </c>
      <c r="M1456" s="14" t="n">
        <v>0</v>
      </c>
      <c r="N1456" s="14" t="n">
        <v>1220.320360131357</v>
      </c>
      <c r="O1456" s="14" t="n">
        <v>69483.66447308109</v>
      </c>
      <c r="P1456" s="14" t="n">
        <v>352.3133685542088</v>
      </c>
      <c r="Q1456" s="14" t="n">
        <v>414094.6707542869</v>
      </c>
      <c r="R1456" s="15">
        <f>IF(D1456=1,"Section 1","Control")</f>
        <v/>
      </c>
      <c r="S1456" s="16">
        <f>N1456/10000</f>
        <v/>
      </c>
      <c r="T1456" s="16">
        <f>P1456/10000</f>
        <v/>
      </c>
      <c r="U1456" s="15">
        <f>IF(N1456&gt;=Summary!$D$3,1,0)</f>
        <v/>
      </c>
      <c r="V1456" s="17">
        <f>IF(N1456&gt;0,P1456/N1456,"")</f>
        <v/>
      </c>
      <c r="W1456" s="17">
        <f>IF(O1456&gt;0,H1456/O1456,"")</f>
        <v/>
      </c>
    </row>
    <row r="1457">
      <c r="A1457" s="13" t="inlineStr">
        <is>
          <t>CE05_F</t>
        </is>
      </c>
      <c r="B1457" s="13" t="inlineStr">
        <is>
          <t>CE05</t>
        </is>
      </c>
      <c r="C1457" s="13" t="inlineStr">
        <is>
          <t>F</t>
        </is>
      </c>
      <c r="D1457" s="13" t="n">
        <v>0</v>
      </c>
      <c r="E1457" s="13" t="inlineStr">
        <is>
          <t>E</t>
        </is>
      </c>
      <c r="F1457" s="13" t="n">
        <v>2026</v>
      </c>
      <c r="G1457" s="14" t="n">
        <v>69483.66447308109</v>
      </c>
      <c r="H1457" s="14" t="n">
        <v>2586.21604419783</v>
      </c>
      <c r="I1457" s="14" t="n">
        <v>592.3521041870117</v>
      </c>
      <c r="J1457" s="14" t="n">
        <v>0</v>
      </c>
      <c r="K1457" s="14" t="n">
        <v>66305.09632469626</v>
      </c>
      <c r="L1457" s="14" t="n">
        <v>0</v>
      </c>
      <c r="M1457" s="14" t="n">
        <v>0</v>
      </c>
      <c r="N1457" s="14" t="n">
        <v>1220.320360131357</v>
      </c>
      <c r="O1457" s="14" t="n">
        <v>69483.66447308109</v>
      </c>
      <c r="P1457" s="14" t="n">
        <v>408.0641971962125</v>
      </c>
      <c r="Q1457" s="14" t="n">
        <v>414094.6707542869</v>
      </c>
      <c r="R1457" s="15">
        <f>IF(D1457=1,"Section 1","Control")</f>
        <v/>
      </c>
      <c r="S1457" s="16">
        <f>N1457/10000</f>
        <v/>
      </c>
      <c r="T1457" s="16">
        <f>P1457/10000</f>
        <v/>
      </c>
      <c r="U1457" s="15">
        <f>IF(N1457&gt;=Summary!$D$3,1,0)</f>
        <v/>
      </c>
      <c r="V1457" s="17">
        <f>IF(N1457&gt;0,P1457/N1457,"")</f>
        <v/>
      </c>
      <c r="W1457" s="17">
        <f>IF(O1457&gt;0,H1457/O1457,"")</f>
        <v/>
      </c>
    </row>
    <row r="1458">
      <c r="A1458" s="13" t="inlineStr">
        <is>
          <t>CE06_B1</t>
        </is>
      </c>
      <c r="B1458" s="13" t="inlineStr">
        <is>
          <t>CE06</t>
        </is>
      </c>
      <c r="C1458" s="13" t="inlineStr">
        <is>
          <t>B1</t>
        </is>
      </c>
      <c r="D1458" s="13" t="n">
        <v>0</v>
      </c>
      <c r="E1458" s="13" t="inlineStr">
        <is>
          <t>E</t>
        </is>
      </c>
      <c r="F1458" s="13" t="n">
        <v>2020</v>
      </c>
      <c r="G1458" s="14" t="n">
        <v>974768.6751452576</v>
      </c>
      <c r="H1458" s="14" t="n">
        <v>99664.79938303628</v>
      </c>
      <c r="I1458" s="14" t="n">
        <v>672411.5719554825</v>
      </c>
      <c r="J1458" s="14" t="n">
        <v>0</v>
      </c>
      <c r="K1458" s="14" t="n">
        <v>192573.4221765556</v>
      </c>
      <c r="L1458" s="14" t="n">
        <v>10118.8816301832</v>
      </c>
      <c r="M1458" s="14" t="n">
        <v>0</v>
      </c>
      <c r="N1458" s="14" t="n">
        <v>99664.79938303628</v>
      </c>
      <c r="O1458" s="14" t="n">
        <v>964649.7935150744</v>
      </c>
      <c r="P1458" s="14" t="n">
        <v>0</v>
      </c>
      <c r="Q1458" s="14" t="n">
        <v>6705537.166449692</v>
      </c>
      <c r="R1458" s="15">
        <f>IF(D1458=1,"Section 1","Control")</f>
        <v/>
      </c>
      <c r="S1458" s="16">
        <f>N1458/10000</f>
        <v/>
      </c>
      <c r="T1458" s="16">
        <f>P1458/10000</f>
        <v/>
      </c>
      <c r="U1458" s="15">
        <f>IF(N1458&gt;=Summary!$D$3,1,0)</f>
        <v/>
      </c>
      <c r="V1458" s="17">
        <f>IF(N1458&gt;0,P1458/N1458,"")</f>
        <v/>
      </c>
      <c r="W1458" s="17">
        <f>IF(O1458&gt;0,H1458/O1458,"")</f>
        <v/>
      </c>
    </row>
    <row r="1459">
      <c r="A1459" s="13" t="inlineStr">
        <is>
          <t>CE06_B1</t>
        </is>
      </c>
      <c r="B1459" s="13" t="inlineStr">
        <is>
          <t>CE06</t>
        </is>
      </c>
      <c r="C1459" s="13" t="inlineStr">
        <is>
          <t>B1</t>
        </is>
      </c>
      <c r="D1459" s="13" t="n">
        <v>0</v>
      </c>
      <c r="E1459" s="13" t="inlineStr">
        <is>
          <t>E</t>
        </is>
      </c>
      <c r="F1459" s="13" t="n">
        <v>2021</v>
      </c>
      <c r="G1459" s="14" t="n">
        <v>974768.6751452576</v>
      </c>
      <c r="H1459" s="14" t="n">
        <v>47742.86270159553</v>
      </c>
      <c r="I1459" s="14" t="n">
        <v>684367.5965099559</v>
      </c>
      <c r="J1459" s="14" t="n">
        <v>0</v>
      </c>
      <c r="K1459" s="14" t="n">
        <v>224832.0878522387</v>
      </c>
      <c r="L1459" s="14" t="n">
        <v>17826.12808146757</v>
      </c>
      <c r="M1459" s="14" t="n">
        <v>0</v>
      </c>
      <c r="N1459" s="14" t="n">
        <v>99664.79938303628</v>
      </c>
      <c r="O1459" s="14" t="n">
        <v>964649.7935150744</v>
      </c>
      <c r="P1459" s="14" t="n">
        <v>61095.27673378738</v>
      </c>
      <c r="Q1459" s="14" t="n">
        <v>6705537.166449692</v>
      </c>
      <c r="R1459" s="15">
        <f>IF(D1459=1,"Section 1","Control")</f>
        <v/>
      </c>
      <c r="S1459" s="16">
        <f>N1459/10000</f>
        <v/>
      </c>
      <c r="T1459" s="16">
        <f>P1459/10000</f>
        <v/>
      </c>
      <c r="U1459" s="15">
        <f>IF(N1459&gt;=Summary!$D$3,1,0)</f>
        <v/>
      </c>
      <c r="V1459" s="17">
        <f>IF(N1459&gt;0,P1459/N1459,"")</f>
        <v/>
      </c>
      <c r="W1459" s="17">
        <f>IF(O1459&gt;0,H1459/O1459,"")</f>
        <v/>
      </c>
    </row>
    <row r="1460">
      <c r="A1460" s="13" t="inlineStr">
        <is>
          <t>CE06_B1</t>
        </is>
      </c>
      <c r="B1460" s="13" t="inlineStr">
        <is>
          <t>CE06</t>
        </is>
      </c>
      <c r="C1460" s="13" t="inlineStr">
        <is>
          <t>B1</t>
        </is>
      </c>
      <c r="D1460" s="13" t="n">
        <v>0</v>
      </c>
      <c r="E1460" s="13" t="inlineStr">
        <is>
          <t>E</t>
        </is>
      </c>
      <c r="F1460" s="13" t="n">
        <v>2022</v>
      </c>
      <c r="G1460" s="14" t="n">
        <v>974768.6751452576</v>
      </c>
      <c r="H1460" s="14" t="n">
        <v>94651.60627106312</v>
      </c>
      <c r="I1460" s="14" t="n">
        <v>557387.0423416137</v>
      </c>
      <c r="J1460" s="14" t="n">
        <v>0</v>
      </c>
      <c r="K1460" s="14" t="n">
        <v>304534.1599888222</v>
      </c>
      <c r="L1460" s="14" t="n">
        <v>18195.86654375862</v>
      </c>
      <c r="M1460" s="14" t="n">
        <v>0</v>
      </c>
      <c r="N1460" s="14" t="n">
        <v>99664.79938303628</v>
      </c>
      <c r="O1460" s="14" t="n">
        <v>964649.7935150744</v>
      </c>
      <c r="P1460" s="14" t="n">
        <v>48247.50395325305</v>
      </c>
      <c r="Q1460" s="14" t="n">
        <v>6705537.166449692</v>
      </c>
      <c r="R1460" s="15">
        <f>IF(D1460=1,"Section 1","Control")</f>
        <v/>
      </c>
      <c r="S1460" s="16">
        <f>N1460/10000</f>
        <v/>
      </c>
      <c r="T1460" s="16">
        <f>P1460/10000</f>
        <v/>
      </c>
      <c r="U1460" s="15">
        <f>IF(N1460&gt;=Summary!$D$3,1,0)</f>
        <v/>
      </c>
      <c r="V1460" s="17">
        <f>IF(N1460&gt;0,P1460/N1460,"")</f>
        <v/>
      </c>
      <c r="W1460" s="17">
        <f>IF(O1460&gt;0,H1460/O1460,"")</f>
        <v/>
      </c>
    </row>
    <row r="1461">
      <c r="A1461" s="13" t="inlineStr">
        <is>
          <t>CE06_B1</t>
        </is>
      </c>
      <c r="B1461" s="13" t="inlineStr">
        <is>
          <t>CE06</t>
        </is>
      </c>
      <c r="C1461" s="13" t="inlineStr">
        <is>
          <t>B1</t>
        </is>
      </c>
      <c r="D1461" s="13" t="n">
        <v>0</v>
      </c>
      <c r="E1461" s="13" t="inlineStr">
        <is>
          <t>E</t>
        </is>
      </c>
      <c r="F1461" s="13" t="n">
        <v>2023</v>
      </c>
      <c r="G1461" s="14" t="n">
        <v>974768.6751452576</v>
      </c>
      <c r="H1461" s="14" t="n">
        <v>79152.90457865396</v>
      </c>
      <c r="I1461" s="14" t="n">
        <v>621368.4653163835</v>
      </c>
      <c r="J1461" s="14" t="n">
        <v>0</v>
      </c>
      <c r="K1461" s="14" t="n">
        <v>247006.5496935377</v>
      </c>
      <c r="L1461" s="14" t="n">
        <v>27240.75555668251</v>
      </c>
      <c r="M1461" s="14" t="n">
        <v>0</v>
      </c>
      <c r="N1461" s="14" t="n">
        <v>99664.79938303628</v>
      </c>
      <c r="O1461" s="14" t="n">
        <v>964649.7935150744</v>
      </c>
      <c r="P1461" s="14" t="n">
        <v>49234.76575924742</v>
      </c>
      <c r="Q1461" s="14" t="n">
        <v>6705537.166449692</v>
      </c>
      <c r="R1461" s="15">
        <f>IF(D1461=1,"Section 1","Control")</f>
        <v/>
      </c>
      <c r="S1461" s="16">
        <f>N1461/10000</f>
        <v/>
      </c>
      <c r="T1461" s="16">
        <f>P1461/10000</f>
        <v/>
      </c>
      <c r="U1461" s="15">
        <f>IF(N1461&gt;=Summary!$D$3,1,0)</f>
        <v/>
      </c>
      <c r="V1461" s="17">
        <f>IF(N1461&gt;0,P1461/N1461,"")</f>
        <v/>
      </c>
      <c r="W1461" s="17">
        <f>IF(O1461&gt;0,H1461/O1461,"")</f>
        <v/>
      </c>
    </row>
    <row r="1462">
      <c r="A1462" s="13" t="inlineStr">
        <is>
          <t>CE06_B1</t>
        </is>
      </c>
      <c r="B1462" s="13" t="inlineStr">
        <is>
          <t>CE06</t>
        </is>
      </c>
      <c r="C1462" s="13" t="inlineStr">
        <is>
          <t>B1</t>
        </is>
      </c>
      <c r="D1462" s="13" t="n">
        <v>0</v>
      </c>
      <c r="E1462" s="13" t="inlineStr">
        <is>
          <t>E</t>
        </is>
      </c>
      <c r="F1462" s="13" t="n">
        <v>2024</v>
      </c>
      <c r="G1462" s="14" t="n">
        <v>974768.6751452576</v>
      </c>
      <c r="H1462" s="14" t="n">
        <v>148305.8333318074</v>
      </c>
      <c r="I1462" s="14" t="n">
        <v>533375.1430167104</v>
      </c>
      <c r="J1462" s="14" t="n">
        <v>0</v>
      </c>
      <c r="K1462" s="14" t="n">
        <v>266996.8124700509</v>
      </c>
      <c r="L1462" s="14" t="n">
        <v>26090.88632668888</v>
      </c>
      <c r="M1462" s="14" t="n">
        <v>0</v>
      </c>
      <c r="N1462" s="14" t="n">
        <v>99664.79938303628</v>
      </c>
      <c r="O1462" s="14" t="n">
        <v>964649.7935150744</v>
      </c>
      <c r="P1462" s="14" t="n">
        <v>34418.27162771786</v>
      </c>
      <c r="Q1462" s="14" t="n">
        <v>6705537.166449692</v>
      </c>
      <c r="R1462" s="15">
        <f>IF(D1462=1,"Section 1","Control")</f>
        <v/>
      </c>
      <c r="S1462" s="16">
        <f>N1462/10000</f>
        <v/>
      </c>
      <c r="T1462" s="16">
        <f>P1462/10000</f>
        <v/>
      </c>
      <c r="U1462" s="15">
        <f>IF(N1462&gt;=Summary!$D$3,1,0)</f>
        <v/>
      </c>
      <c r="V1462" s="17">
        <f>IF(N1462&gt;0,P1462/N1462,"")</f>
        <v/>
      </c>
      <c r="W1462" s="17">
        <f>IF(O1462&gt;0,H1462/O1462,"")</f>
        <v/>
      </c>
    </row>
    <row r="1463">
      <c r="A1463" s="13" t="inlineStr">
        <is>
          <t>CE06_B1</t>
        </is>
      </c>
      <c r="B1463" s="13" t="inlineStr">
        <is>
          <t>CE06</t>
        </is>
      </c>
      <c r="C1463" s="13" t="inlineStr">
        <is>
          <t>B1</t>
        </is>
      </c>
      <c r="D1463" s="13" t="n">
        <v>0</v>
      </c>
      <c r="E1463" s="13" t="inlineStr">
        <is>
          <t>E</t>
        </is>
      </c>
      <c r="F1463" s="13" t="n">
        <v>2025</v>
      </c>
      <c r="G1463" s="14" t="n">
        <v>974768.6751452576</v>
      </c>
      <c r="H1463" s="14" t="n">
        <v>149430.9327242384</v>
      </c>
      <c r="I1463" s="14" t="n">
        <v>550826.6419149062</v>
      </c>
      <c r="J1463" s="14" t="n">
        <v>0</v>
      </c>
      <c r="K1463" s="14" t="n">
        <v>226782.4782891666</v>
      </c>
      <c r="L1463" s="14" t="n">
        <v>47728.62221694648</v>
      </c>
      <c r="M1463" s="14" t="n">
        <v>0</v>
      </c>
      <c r="N1463" s="14" t="n">
        <v>99664.79938303628</v>
      </c>
      <c r="O1463" s="14" t="n">
        <v>964649.7935150744</v>
      </c>
      <c r="P1463" s="14" t="n">
        <v>36945.63229911654</v>
      </c>
      <c r="Q1463" s="14" t="n">
        <v>6705537.166449692</v>
      </c>
      <c r="R1463" s="15">
        <f>IF(D1463=1,"Section 1","Control")</f>
        <v/>
      </c>
      <c r="S1463" s="16">
        <f>N1463/10000</f>
        <v/>
      </c>
      <c r="T1463" s="16">
        <f>P1463/10000</f>
        <v/>
      </c>
      <c r="U1463" s="15">
        <f>IF(N1463&gt;=Summary!$D$3,1,0)</f>
        <v/>
      </c>
      <c r="V1463" s="17">
        <f>IF(N1463&gt;0,P1463/N1463,"")</f>
        <v/>
      </c>
      <c r="W1463" s="17">
        <f>IF(O1463&gt;0,H1463/O1463,"")</f>
        <v/>
      </c>
    </row>
    <row r="1464">
      <c r="A1464" s="13" t="inlineStr">
        <is>
          <t>CE06_B1</t>
        </is>
      </c>
      <c r="B1464" s="13" t="inlineStr">
        <is>
          <t>CE06</t>
        </is>
      </c>
      <c r="C1464" s="13" t="inlineStr">
        <is>
          <t>B1</t>
        </is>
      </c>
      <c r="D1464" s="13" t="n">
        <v>0</v>
      </c>
      <c r="E1464" s="13" t="inlineStr">
        <is>
          <t>E</t>
        </is>
      </c>
      <c r="F1464" s="13" t="n">
        <v>2026</v>
      </c>
      <c r="G1464" s="14" t="n">
        <v>974768.6751452576</v>
      </c>
      <c r="H1464" s="14" t="n">
        <v>174293.450795701</v>
      </c>
      <c r="I1464" s="14" t="n">
        <v>441247.1503959806</v>
      </c>
      <c r="J1464" s="14" t="n">
        <v>0</v>
      </c>
      <c r="K1464" s="14" t="n">
        <v>324728.796502925</v>
      </c>
      <c r="L1464" s="14" t="n">
        <v>34499.27745065128</v>
      </c>
      <c r="M1464" s="14" t="n">
        <v>0</v>
      </c>
      <c r="N1464" s="14" t="n">
        <v>99664.79938303628</v>
      </c>
      <c r="O1464" s="14" t="n">
        <v>964649.7935150744</v>
      </c>
      <c r="P1464" s="14" t="n">
        <v>34794.59932131299</v>
      </c>
      <c r="Q1464" s="14" t="n">
        <v>6705537.166449692</v>
      </c>
      <c r="R1464" s="15">
        <f>IF(D1464=1,"Section 1","Control")</f>
        <v/>
      </c>
      <c r="S1464" s="16">
        <f>N1464/10000</f>
        <v/>
      </c>
      <c r="T1464" s="16">
        <f>P1464/10000</f>
        <v/>
      </c>
      <c r="U1464" s="15">
        <f>IF(N1464&gt;=Summary!$D$3,1,0)</f>
        <v/>
      </c>
      <c r="V1464" s="17">
        <f>IF(N1464&gt;0,P1464/N1464,"")</f>
        <v/>
      </c>
      <c r="W1464" s="17">
        <f>IF(O1464&gt;0,H1464/O1464,"")</f>
        <v/>
      </c>
    </row>
    <row r="1465">
      <c r="A1465" s="13" t="inlineStr">
        <is>
          <t>CE06_B2</t>
        </is>
      </c>
      <c r="B1465" s="13" t="inlineStr">
        <is>
          <t>CE06</t>
        </is>
      </c>
      <c r="C1465" s="13" t="inlineStr">
        <is>
          <t>B2</t>
        </is>
      </c>
      <c r="D1465" s="13" t="n">
        <v>0</v>
      </c>
      <c r="E1465" s="13" t="inlineStr">
        <is>
          <t>E</t>
        </is>
      </c>
      <c r="F1465" s="13" t="n">
        <v>2020</v>
      </c>
      <c r="G1465" s="14" t="n">
        <v>974766.3418141084</v>
      </c>
      <c r="H1465" s="14" t="n">
        <v>196173.449159151</v>
      </c>
      <c r="I1465" s="14" t="n">
        <v>317887.013205734</v>
      </c>
      <c r="J1465" s="14" t="n">
        <v>0</v>
      </c>
      <c r="K1465" s="14" t="n">
        <v>22203.47081714705</v>
      </c>
      <c r="L1465" s="14" t="n">
        <v>438502.4086320766</v>
      </c>
      <c r="M1465" s="14" t="n">
        <v>0</v>
      </c>
      <c r="N1465" s="14" t="n">
        <v>196173.449159151</v>
      </c>
      <c r="O1465" s="14" t="n">
        <v>536263.9331820318</v>
      </c>
      <c r="P1465" s="14" t="n">
        <v>0</v>
      </c>
      <c r="Q1465" s="14" t="n">
        <v>3316488.528135412</v>
      </c>
      <c r="R1465" s="15">
        <f>IF(D1465=1,"Section 1","Control")</f>
        <v/>
      </c>
      <c r="S1465" s="16">
        <f>N1465/10000</f>
        <v/>
      </c>
      <c r="T1465" s="16">
        <f>P1465/10000</f>
        <v/>
      </c>
      <c r="U1465" s="15">
        <f>IF(N1465&gt;=Summary!$D$3,1,0)</f>
        <v/>
      </c>
      <c r="V1465" s="17">
        <f>IF(N1465&gt;0,P1465/N1465,"")</f>
        <v/>
      </c>
      <c r="W1465" s="17">
        <f>IF(O1465&gt;0,H1465/O1465,"")</f>
        <v/>
      </c>
    </row>
    <row r="1466">
      <c r="A1466" s="13" t="inlineStr">
        <is>
          <t>CE06_B2</t>
        </is>
      </c>
      <c r="B1466" s="13" t="inlineStr">
        <is>
          <t>CE06</t>
        </is>
      </c>
      <c r="C1466" s="13" t="inlineStr">
        <is>
          <t>B2</t>
        </is>
      </c>
      <c r="D1466" s="13" t="n">
        <v>0</v>
      </c>
      <c r="E1466" s="13" t="inlineStr">
        <is>
          <t>E</t>
        </is>
      </c>
      <c r="F1466" s="13" t="n">
        <v>2021</v>
      </c>
      <c r="G1466" s="14" t="n">
        <v>974766.3418141084</v>
      </c>
      <c r="H1466" s="14" t="n">
        <v>39468.02892937753</v>
      </c>
      <c r="I1466" s="14" t="n">
        <v>396129.9576576083</v>
      </c>
      <c r="J1466" s="14" t="n">
        <v>0</v>
      </c>
      <c r="K1466" s="14" t="n">
        <v>97846.62659334668</v>
      </c>
      <c r="L1466" s="14" t="n">
        <v>441321.728633776</v>
      </c>
      <c r="M1466" s="14" t="n">
        <v>0</v>
      </c>
      <c r="N1466" s="14" t="n">
        <v>196173.4491591509</v>
      </c>
      <c r="O1466" s="14" t="n">
        <v>536263.9331820318</v>
      </c>
      <c r="P1466" s="14" t="n">
        <v>161937.4243422265</v>
      </c>
      <c r="Q1466" s="14" t="n">
        <v>3316488.528135412</v>
      </c>
      <c r="R1466" s="15">
        <f>IF(D1466=1,"Section 1","Control")</f>
        <v/>
      </c>
      <c r="S1466" s="16">
        <f>N1466/10000</f>
        <v/>
      </c>
      <c r="T1466" s="16">
        <f>P1466/10000</f>
        <v/>
      </c>
      <c r="U1466" s="15">
        <f>IF(N1466&gt;=Summary!$D$3,1,0)</f>
        <v/>
      </c>
      <c r="V1466" s="17">
        <f>IF(N1466&gt;0,P1466/N1466,"")</f>
        <v/>
      </c>
      <c r="W1466" s="17">
        <f>IF(O1466&gt;0,H1466/O1466,"")</f>
        <v/>
      </c>
    </row>
    <row r="1467">
      <c r="A1467" s="13" t="inlineStr">
        <is>
          <t>CE06_B2</t>
        </is>
      </c>
      <c r="B1467" s="13" t="inlineStr">
        <is>
          <t>CE06</t>
        </is>
      </c>
      <c r="C1467" s="13" t="inlineStr">
        <is>
          <t>B2</t>
        </is>
      </c>
      <c r="D1467" s="13" t="n">
        <v>0</v>
      </c>
      <c r="E1467" s="13" t="inlineStr">
        <is>
          <t>E</t>
        </is>
      </c>
      <c r="F1467" s="13" t="n">
        <v>2022</v>
      </c>
      <c r="G1467" s="14" t="n">
        <v>974766.3418141084</v>
      </c>
      <c r="H1467" s="14" t="n">
        <v>84035.68459625244</v>
      </c>
      <c r="I1467" s="14" t="n">
        <v>336695.0968068142</v>
      </c>
      <c r="J1467" s="14" t="n">
        <v>0</v>
      </c>
      <c r="K1467" s="14" t="n">
        <v>114125.8246124567</v>
      </c>
      <c r="L1467" s="14" t="n">
        <v>439909.7357985852</v>
      </c>
      <c r="M1467" s="14" t="n">
        <v>0</v>
      </c>
      <c r="N1467" s="14" t="n">
        <v>196173.4491591509</v>
      </c>
      <c r="O1467" s="14" t="n">
        <v>536263.9331820318</v>
      </c>
      <c r="P1467" s="14" t="n">
        <v>142986.229540148</v>
      </c>
      <c r="Q1467" s="14" t="n">
        <v>3316488.528135412</v>
      </c>
      <c r="R1467" s="15">
        <f>IF(D1467=1,"Section 1","Control")</f>
        <v/>
      </c>
      <c r="S1467" s="16">
        <f>N1467/10000</f>
        <v/>
      </c>
      <c r="T1467" s="16">
        <f>P1467/10000</f>
        <v/>
      </c>
      <c r="U1467" s="15">
        <f>IF(N1467&gt;=Summary!$D$3,1,0)</f>
        <v/>
      </c>
      <c r="V1467" s="17">
        <f>IF(N1467&gt;0,P1467/N1467,"")</f>
        <v/>
      </c>
      <c r="W1467" s="17">
        <f>IF(O1467&gt;0,H1467/O1467,"")</f>
        <v/>
      </c>
    </row>
    <row r="1468">
      <c r="A1468" s="13" t="inlineStr">
        <is>
          <t>CE06_B2</t>
        </is>
      </c>
      <c r="B1468" s="13" t="inlineStr">
        <is>
          <t>CE06</t>
        </is>
      </c>
      <c r="C1468" s="13" t="inlineStr">
        <is>
          <t>B2</t>
        </is>
      </c>
      <c r="D1468" s="13" t="n">
        <v>0</v>
      </c>
      <c r="E1468" s="13" t="inlineStr">
        <is>
          <t>E</t>
        </is>
      </c>
      <c r="F1468" s="13" t="n">
        <v>2023</v>
      </c>
      <c r="G1468" s="14" t="n">
        <v>974766.3418141084</v>
      </c>
      <c r="H1468" s="14" t="n">
        <v>60950.41602911856</v>
      </c>
      <c r="I1468" s="14" t="n">
        <v>421565.8857971191</v>
      </c>
      <c r="J1468" s="14" t="n">
        <v>0</v>
      </c>
      <c r="K1468" s="14" t="n">
        <v>50904.31416736678</v>
      </c>
      <c r="L1468" s="14" t="n">
        <v>441345.725820504</v>
      </c>
      <c r="M1468" s="14" t="n">
        <v>0</v>
      </c>
      <c r="N1468" s="14" t="n">
        <v>196173.449159151</v>
      </c>
      <c r="O1468" s="14" t="n">
        <v>536263.9331820318</v>
      </c>
      <c r="P1468" s="14" t="n">
        <v>156136.3301707548</v>
      </c>
      <c r="Q1468" s="14" t="n">
        <v>3316488.528135412</v>
      </c>
      <c r="R1468" s="15">
        <f>IF(D1468=1,"Section 1","Control")</f>
        <v/>
      </c>
      <c r="S1468" s="16">
        <f>N1468/10000</f>
        <v/>
      </c>
      <c r="T1468" s="16">
        <f>P1468/10000</f>
        <v/>
      </c>
      <c r="U1468" s="15">
        <f>IF(N1468&gt;=Summary!$D$3,1,0)</f>
        <v/>
      </c>
      <c r="V1468" s="17">
        <f>IF(N1468&gt;0,P1468/N1468,"")</f>
        <v/>
      </c>
      <c r="W1468" s="17">
        <f>IF(O1468&gt;0,H1468/O1468,"")</f>
        <v/>
      </c>
    </row>
    <row r="1469">
      <c r="A1469" s="13" t="inlineStr">
        <is>
          <t>CE06_B2</t>
        </is>
      </c>
      <c r="B1469" s="13" t="inlineStr">
        <is>
          <t>CE06</t>
        </is>
      </c>
      <c r="C1469" s="13" t="inlineStr">
        <is>
          <t>B2</t>
        </is>
      </c>
      <c r="D1469" s="13" t="n">
        <v>0</v>
      </c>
      <c r="E1469" s="13" t="inlineStr">
        <is>
          <t>E</t>
        </is>
      </c>
      <c r="F1469" s="13" t="n">
        <v>2024</v>
      </c>
      <c r="G1469" s="14" t="n">
        <v>974766.3418141084</v>
      </c>
      <c r="H1469" s="14" t="n">
        <v>172004.3751197366</v>
      </c>
      <c r="I1469" s="14" t="n">
        <v>313135.2321696561</v>
      </c>
      <c r="J1469" s="14" t="n">
        <v>0</v>
      </c>
      <c r="K1469" s="14" t="n">
        <v>50147.53269192564</v>
      </c>
      <c r="L1469" s="14" t="n">
        <v>439479.2018327901</v>
      </c>
      <c r="M1469" s="14" t="n">
        <v>0</v>
      </c>
      <c r="N1469" s="14" t="n">
        <v>196173.449159151</v>
      </c>
      <c r="O1469" s="14" t="n">
        <v>536263.9331820318</v>
      </c>
      <c r="P1469" s="14" t="n">
        <v>112739.5328243779</v>
      </c>
      <c r="Q1469" s="14" t="n">
        <v>3316488.528135412</v>
      </c>
      <c r="R1469" s="15">
        <f>IF(D1469=1,"Section 1","Control")</f>
        <v/>
      </c>
      <c r="S1469" s="16">
        <f>N1469/10000</f>
        <v/>
      </c>
      <c r="T1469" s="16">
        <f>P1469/10000</f>
        <v/>
      </c>
      <c r="U1469" s="15">
        <f>IF(N1469&gt;=Summary!$D$3,1,0)</f>
        <v/>
      </c>
      <c r="V1469" s="17">
        <f>IF(N1469&gt;0,P1469/N1469,"")</f>
        <v/>
      </c>
      <c r="W1469" s="17">
        <f>IF(O1469&gt;0,H1469/O1469,"")</f>
        <v/>
      </c>
    </row>
    <row r="1470">
      <c r="A1470" s="13" t="inlineStr">
        <is>
          <t>CE06_B2</t>
        </is>
      </c>
      <c r="B1470" s="13" t="inlineStr">
        <is>
          <t>CE06</t>
        </is>
      </c>
      <c r="C1470" s="13" t="inlineStr">
        <is>
          <t>B2</t>
        </is>
      </c>
      <c r="D1470" s="13" t="n">
        <v>0</v>
      </c>
      <c r="E1470" s="13" t="inlineStr">
        <is>
          <t>E</t>
        </is>
      </c>
      <c r="F1470" s="13" t="n">
        <v>2025</v>
      </c>
      <c r="G1470" s="14" t="n">
        <v>974766.3418141084</v>
      </c>
      <c r="H1470" s="14" t="n">
        <v>93809.42550443763</v>
      </c>
      <c r="I1470" s="14" t="n">
        <v>395577.6828003529</v>
      </c>
      <c r="J1470" s="14" t="n">
        <v>0</v>
      </c>
      <c r="K1470" s="14" t="n">
        <v>45005.29679149552</v>
      </c>
      <c r="L1470" s="14" t="n">
        <v>440373.9367178226</v>
      </c>
      <c r="M1470" s="14" t="n">
        <v>0</v>
      </c>
      <c r="N1470" s="14" t="n">
        <v>196173.4491591509</v>
      </c>
      <c r="O1470" s="14" t="n">
        <v>536263.9331820318</v>
      </c>
      <c r="P1470" s="14" t="n">
        <v>158752.3081637813</v>
      </c>
      <c r="Q1470" s="14" t="n">
        <v>3316488.528135412</v>
      </c>
      <c r="R1470" s="15">
        <f>IF(D1470=1,"Section 1","Control")</f>
        <v/>
      </c>
      <c r="S1470" s="16">
        <f>N1470/10000</f>
        <v/>
      </c>
      <c r="T1470" s="16">
        <f>P1470/10000</f>
        <v/>
      </c>
      <c r="U1470" s="15">
        <f>IF(N1470&gt;=Summary!$D$3,1,0)</f>
        <v/>
      </c>
      <c r="V1470" s="17">
        <f>IF(N1470&gt;0,P1470/N1470,"")</f>
        <v/>
      </c>
      <c r="W1470" s="17">
        <f>IF(O1470&gt;0,H1470/O1470,"")</f>
        <v/>
      </c>
    </row>
    <row r="1471">
      <c r="A1471" s="13" t="inlineStr">
        <is>
          <t>CE06_B2</t>
        </is>
      </c>
      <c r="B1471" s="13" t="inlineStr">
        <is>
          <t>CE06</t>
        </is>
      </c>
      <c r="C1471" s="13" t="inlineStr">
        <is>
          <t>B2</t>
        </is>
      </c>
      <c r="D1471" s="13" t="n">
        <v>0</v>
      </c>
      <c r="E1471" s="13" t="inlineStr">
        <is>
          <t>E</t>
        </is>
      </c>
      <c r="F1471" s="13" t="n">
        <v>2026</v>
      </c>
      <c r="G1471" s="14" t="n">
        <v>974766.3418141084</v>
      </c>
      <c r="H1471" s="14" t="n">
        <v>123535.7659018722</v>
      </c>
      <c r="I1471" s="14" t="n">
        <v>241852.8981190101</v>
      </c>
      <c r="J1471" s="14" t="n">
        <v>0</v>
      </c>
      <c r="K1471" s="14" t="n">
        <v>168699.0406282911</v>
      </c>
      <c r="L1471" s="14" t="n">
        <v>440678.637164935</v>
      </c>
      <c r="M1471" s="14" t="n">
        <v>0</v>
      </c>
      <c r="N1471" s="14" t="n">
        <v>196173.4491591509</v>
      </c>
      <c r="O1471" s="14" t="n">
        <v>536263.9331820318</v>
      </c>
      <c r="P1471" s="14" t="n">
        <v>135267.9790369071</v>
      </c>
      <c r="Q1471" s="14" t="n">
        <v>3316488.528135412</v>
      </c>
      <c r="R1471" s="15">
        <f>IF(D1471=1,"Section 1","Control")</f>
        <v/>
      </c>
      <c r="S1471" s="16">
        <f>N1471/10000</f>
        <v/>
      </c>
      <c r="T1471" s="16">
        <f>P1471/10000</f>
        <v/>
      </c>
      <c r="U1471" s="15">
        <f>IF(N1471&gt;=Summary!$D$3,1,0)</f>
        <v/>
      </c>
      <c r="V1471" s="17">
        <f>IF(N1471&gt;0,P1471/N1471,"")</f>
        <v/>
      </c>
      <c r="W1471" s="17">
        <f>IF(O1471&gt;0,H1471/O1471,"")</f>
        <v/>
      </c>
    </row>
    <row r="1472">
      <c r="A1472" s="13" t="inlineStr">
        <is>
          <t>CE06_B3</t>
        </is>
      </c>
      <c r="B1472" s="13" t="inlineStr">
        <is>
          <t>CE06</t>
        </is>
      </c>
      <c r="C1472" s="13" t="inlineStr">
        <is>
          <t>B3</t>
        </is>
      </c>
      <c r="D1472" s="13" t="n">
        <v>0</v>
      </c>
      <c r="E1472" s="13" t="inlineStr">
        <is>
          <t>E</t>
        </is>
      </c>
      <c r="F1472" s="13" t="n">
        <v>2020</v>
      </c>
      <c r="G1472" s="14" t="n">
        <v>7459291.131397442</v>
      </c>
      <c r="H1472" s="14" t="n">
        <v>2485617.859870132</v>
      </c>
      <c r="I1472" s="14" t="n">
        <v>25364.63242693134</v>
      </c>
      <c r="J1472" s="14" t="n">
        <v>0</v>
      </c>
      <c r="K1472" s="14" t="n">
        <v>59274.04141735002</v>
      </c>
      <c r="L1472" s="14" t="n">
        <v>4889034.597683027</v>
      </c>
      <c r="M1472" s="14" t="n">
        <v>0</v>
      </c>
      <c r="N1472" s="14" t="n">
        <v>2485617.859870132</v>
      </c>
      <c r="O1472" s="14" t="n">
        <v>2570256.533714414</v>
      </c>
      <c r="P1472" s="14" t="n">
        <v>0</v>
      </c>
      <c r="Q1472" s="14" t="n">
        <v>25863438.91763345</v>
      </c>
      <c r="R1472" s="15">
        <f>IF(D1472=1,"Section 1","Control")</f>
        <v/>
      </c>
      <c r="S1472" s="16">
        <f>N1472/10000</f>
        <v/>
      </c>
      <c r="T1472" s="16">
        <f>P1472/10000</f>
        <v/>
      </c>
      <c r="U1472" s="15">
        <f>IF(N1472&gt;=Summary!$D$3,1,0)</f>
        <v/>
      </c>
      <c r="V1472" s="17">
        <f>IF(N1472&gt;0,P1472/N1472,"")</f>
        <v/>
      </c>
      <c r="W1472" s="17">
        <f>IF(O1472&gt;0,H1472/O1472,"")</f>
        <v/>
      </c>
    </row>
    <row r="1473">
      <c r="A1473" s="13" t="inlineStr">
        <is>
          <t>CE06_B3</t>
        </is>
      </c>
      <c r="B1473" s="13" t="inlineStr">
        <is>
          <t>CE06</t>
        </is>
      </c>
      <c r="C1473" s="13" t="inlineStr">
        <is>
          <t>B3</t>
        </is>
      </c>
      <c r="D1473" s="13" t="n">
        <v>0</v>
      </c>
      <c r="E1473" s="13" t="inlineStr">
        <is>
          <t>E</t>
        </is>
      </c>
      <c r="F1473" s="13" t="n">
        <v>2021</v>
      </c>
      <c r="G1473" s="14" t="n">
        <v>7459291.131397443</v>
      </c>
      <c r="H1473" s="14" t="n">
        <v>2452630.328203478</v>
      </c>
      <c r="I1473" s="14" t="n">
        <v>29577.31590920244</v>
      </c>
      <c r="J1473" s="14" t="n">
        <v>0</v>
      </c>
      <c r="K1473" s="14" t="n">
        <v>249019.8068822824</v>
      </c>
      <c r="L1473" s="14" t="n">
        <v>4728063.680402478</v>
      </c>
      <c r="M1473" s="14" t="n">
        <v>0</v>
      </c>
      <c r="N1473" s="14" t="n">
        <v>2485617.859870132</v>
      </c>
      <c r="O1473" s="14" t="n">
        <v>2570256.533714414</v>
      </c>
      <c r="P1473" s="14" t="n">
        <v>42239.13931229535</v>
      </c>
      <c r="Q1473" s="14" t="n">
        <v>25863438.91763345</v>
      </c>
      <c r="R1473" s="15">
        <f>IF(D1473=1,"Section 1","Control")</f>
        <v/>
      </c>
      <c r="S1473" s="16">
        <f>N1473/10000</f>
        <v/>
      </c>
      <c r="T1473" s="16">
        <f>P1473/10000</f>
        <v/>
      </c>
      <c r="U1473" s="15">
        <f>IF(N1473&gt;=Summary!$D$3,1,0)</f>
        <v/>
      </c>
      <c r="V1473" s="17">
        <f>IF(N1473&gt;0,P1473/N1473,"")</f>
        <v/>
      </c>
      <c r="W1473" s="17">
        <f>IF(O1473&gt;0,H1473/O1473,"")</f>
        <v/>
      </c>
    </row>
    <row r="1474">
      <c r="A1474" s="13" t="inlineStr">
        <is>
          <t>CE06_B3</t>
        </is>
      </c>
      <c r="B1474" s="13" t="inlineStr">
        <is>
          <t>CE06</t>
        </is>
      </c>
      <c r="C1474" s="13" t="inlineStr">
        <is>
          <t>B3</t>
        </is>
      </c>
      <c r="D1474" s="13" t="n">
        <v>0</v>
      </c>
      <c r="E1474" s="13" t="inlineStr">
        <is>
          <t>E</t>
        </is>
      </c>
      <c r="F1474" s="13" t="n">
        <v>2022</v>
      </c>
      <c r="G1474" s="14" t="n">
        <v>7459291.131397442</v>
      </c>
      <c r="H1474" s="14" t="n">
        <v>2451354.440912045</v>
      </c>
      <c r="I1474" s="14" t="n">
        <v>37667.00937649597</v>
      </c>
      <c r="J1474" s="14" t="n">
        <v>0</v>
      </c>
      <c r="K1474" s="14" t="n">
        <v>165655.6753448785</v>
      </c>
      <c r="L1474" s="14" t="n">
        <v>4804614.005764023</v>
      </c>
      <c r="M1474" s="14" t="n">
        <v>0</v>
      </c>
      <c r="N1474" s="14" t="n">
        <v>2485617.859870133</v>
      </c>
      <c r="O1474" s="14" t="n">
        <v>2570256.533714414</v>
      </c>
      <c r="P1474" s="14" t="n">
        <v>47336.18987235275</v>
      </c>
      <c r="Q1474" s="14" t="n">
        <v>25863438.91763345</v>
      </c>
      <c r="R1474" s="15">
        <f>IF(D1474=1,"Section 1","Control")</f>
        <v/>
      </c>
      <c r="S1474" s="16">
        <f>N1474/10000</f>
        <v/>
      </c>
      <c r="T1474" s="16">
        <f>P1474/10000</f>
        <v/>
      </c>
      <c r="U1474" s="15">
        <f>IF(N1474&gt;=Summary!$D$3,1,0)</f>
        <v/>
      </c>
      <c r="V1474" s="17">
        <f>IF(N1474&gt;0,P1474/N1474,"")</f>
        <v/>
      </c>
      <c r="W1474" s="17">
        <f>IF(O1474&gt;0,H1474/O1474,"")</f>
        <v/>
      </c>
    </row>
    <row r="1475">
      <c r="A1475" s="13" t="inlineStr">
        <is>
          <t>CE06_B3</t>
        </is>
      </c>
      <c r="B1475" s="13" t="inlineStr">
        <is>
          <t>CE06</t>
        </is>
      </c>
      <c r="C1475" s="13" t="inlineStr">
        <is>
          <t>B3</t>
        </is>
      </c>
      <c r="D1475" s="13" t="n">
        <v>0</v>
      </c>
      <c r="E1475" s="13" t="inlineStr">
        <is>
          <t>E</t>
        </is>
      </c>
      <c r="F1475" s="13" t="n">
        <v>2023</v>
      </c>
      <c r="G1475" s="14" t="n">
        <v>7459291.131397443</v>
      </c>
      <c r="H1475" s="14" t="n">
        <v>2463736.917982602</v>
      </c>
      <c r="I1475" s="14" t="n">
        <v>33519.6083058376</v>
      </c>
      <c r="J1475" s="14" t="n">
        <v>0</v>
      </c>
      <c r="K1475" s="14" t="n">
        <v>103784.5168672749</v>
      </c>
      <c r="L1475" s="14" t="n">
        <v>4858250.088241727</v>
      </c>
      <c r="M1475" s="14" t="n">
        <v>0</v>
      </c>
      <c r="N1475" s="14" t="n">
        <v>2485617.859870133</v>
      </c>
      <c r="O1475" s="14" t="n">
        <v>2570256.533714414</v>
      </c>
      <c r="P1475" s="14" t="n">
        <v>45966.84623939663</v>
      </c>
      <c r="Q1475" s="14" t="n">
        <v>25863438.91763345</v>
      </c>
      <c r="R1475" s="15">
        <f>IF(D1475=1,"Section 1","Control")</f>
        <v/>
      </c>
      <c r="S1475" s="16">
        <f>N1475/10000</f>
        <v/>
      </c>
      <c r="T1475" s="16">
        <f>P1475/10000</f>
        <v/>
      </c>
      <c r="U1475" s="15">
        <f>IF(N1475&gt;=Summary!$D$3,1,0)</f>
        <v/>
      </c>
      <c r="V1475" s="17">
        <f>IF(N1475&gt;0,P1475/N1475,"")</f>
        <v/>
      </c>
      <c r="W1475" s="17">
        <f>IF(O1475&gt;0,H1475/O1475,"")</f>
        <v/>
      </c>
    </row>
    <row r="1476">
      <c r="A1476" s="13" t="inlineStr">
        <is>
          <t>CE06_B3</t>
        </is>
      </c>
      <c r="B1476" s="13" t="inlineStr">
        <is>
          <t>CE06</t>
        </is>
      </c>
      <c r="C1476" s="13" t="inlineStr">
        <is>
          <t>B3</t>
        </is>
      </c>
      <c r="D1476" s="13" t="n">
        <v>0</v>
      </c>
      <c r="E1476" s="13" t="inlineStr">
        <is>
          <t>E</t>
        </is>
      </c>
      <c r="F1476" s="13" t="n">
        <v>2024</v>
      </c>
      <c r="G1476" s="14" t="n">
        <v>7459291.131397443</v>
      </c>
      <c r="H1476" s="14" t="n">
        <v>2471951.066117859</v>
      </c>
      <c r="I1476" s="14" t="n">
        <v>30021.22607891606</v>
      </c>
      <c r="J1476" s="14" t="n">
        <v>0</v>
      </c>
      <c r="K1476" s="14" t="n">
        <v>121129.9229045195</v>
      </c>
      <c r="L1476" s="14" t="n">
        <v>4836188.916296147</v>
      </c>
      <c r="M1476" s="14" t="n">
        <v>0</v>
      </c>
      <c r="N1476" s="14" t="n">
        <v>2485617.859870133</v>
      </c>
      <c r="O1476" s="14" t="n">
        <v>2570256.533714414</v>
      </c>
      <c r="P1476" s="14" t="n">
        <v>43302.90434528425</v>
      </c>
      <c r="Q1476" s="14" t="n">
        <v>25863438.91763345</v>
      </c>
      <c r="R1476" s="15">
        <f>IF(D1476=1,"Section 1","Control")</f>
        <v/>
      </c>
      <c r="S1476" s="16">
        <f>N1476/10000</f>
        <v/>
      </c>
      <c r="T1476" s="16">
        <f>P1476/10000</f>
        <v/>
      </c>
      <c r="U1476" s="15">
        <f>IF(N1476&gt;=Summary!$D$3,1,0)</f>
        <v/>
      </c>
      <c r="V1476" s="17">
        <f>IF(N1476&gt;0,P1476/N1476,"")</f>
        <v/>
      </c>
      <c r="W1476" s="17">
        <f>IF(O1476&gt;0,H1476/O1476,"")</f>
        <v/>
      </c>
    </row>
    <row r="1477">
      <c r="A1477" s="13" t="inlineStr">
        <is>
          <t>CE06_B3</t>
        </is>
      </c>
      <c r="B1477" s="13" t="inlineStr">
        <is>
          <t>CE06</t>
        </is>
      </c>
      <c r="C1477" s="13" t="inlineStr">
        <is>
          <t>B3</t>
        </is>
      </c>
      <c r="D1477" s="13" t="n">
        <v>0</v>
      </c>
      <c r="E1477" s="13" t="inlineStr">
        <is>
          <t>E</t>
        </is>
      </c>
      <c r="F1477" s="13" t="n">
        <v>2025</v>
      </c>
      <c r="G1477" s="14" t="n">
        <v>7459291.131397442</v>
      </c>
      <c r="H1477" s="14" t="n">
        <v>2443576.628573428</v>
      </c>
      <c r="I1477" s="14" t="n">
        <v>63456.33759107403</v>
      </c>
      <c r="J1477" s="14" t="n">
        <v>0</v>
      </c>
      <c r="K1477" s="14" t="n">
        <v>107484.4163494634</v>
      </c>
      <c r="L1477" s="14" t="n">
        <v>4844773.748883476</v>
      </c>
      <c r="M1477" s="14" t="n">
        <v>0</v>
      </c>
      <c r="N1477" s="14" t="n">
        <v>2485617.859870132</v>
      </c>
      <c r="O1477" s="14" t="n">
        <v>2570256.533714414</v>
      </c>
      <c r="P1477" s="14" t="n">
        <v>75253.79167863434</v>
      </c>
      <c r="Q1477" s="14" t="n">
        <v>25863438.91763345</v>
      </c>
      <c r="R1477" s="15">
        <f>IF(D1477=1,"Section 1","Control")</f>
        <v/>
      </c>
      <c r="S1477" s="16">
        <f>N1477/10000</f>
        <v/>
      </c>
      <c r="T1477" s="16">
        <f>P1477/10000</f>
        <v/>
      </c>
      <c r="U1477" s="15">
        <f>IF(N1477&gt;=Summary!$D$3,1,0)</f>
        <v/>
      </c>
      <c r="V1477" s="17">
        <f>IF(N1477&gt;0,P1477/N1477,"")</f>
        <v/>
      </c>
      <c r="W1477" s="17">
        <f>IF(O1477&gt;0,H1477/O1477,"")</f>
        <v/>
      </c>
    </row>
    <row r="1478">
      <c r="A1478" s="13" t="inlineStr">
        <is>
          <t>CE06_B3</t>
        </is>
      </c>
      <c r="B1478" s="13" t="inlineStr">
        <is>
          <t>CE06</t>
        </is>
      </c>
      <c r="C1478" s="13" t="inlineStr">
        <is>
          <t>B3</t>
        </is>
      </c>
      <c r="D1478" s="13" t="n">
        <v>0</v>
      </c>
      <c r="E1478" s="13" t="inlineStr">
        <is>
          <t>E</t>
        </is>
      </c>
      <c r="F1478" s="13" t="n">
        <v>2026</v>
      </c>
      <c r="G1478" s="14" t="n">
        <v>7459291.131397443</v>
      </c>
      <c r="H1478" s="14" t="n">
        <v>2420039.366490352</v>
      </c>
      <c r="I1478" s="14" t="n">
        <v>32749.14225694245</v>
      </c>
      <c r="J1478" s="14" t="n">
        <v>0</v>
      </c>
      <c r="K1478" s="14" t="n">
        <v>156312.3360845229</v>
      </c>
      <c r="L1478" s="14" t="n">
        <v>4850190.286565622</v>
      </c>
      <c r="M1478" s="14" t="n">
        <v>0</v>
      </c>
      <c r="N1478" s="14" t="n">
        <v>2485617.859870133</v>
      </c>
      <c r="O1478" s="14" t="n">
        <v>2570256.533714414</v>
      </c>
      <c r="P1478" s="14" t="n">
        <v>90468.40567327759</v>
      </c>
      <c r="Q1478" s="14" t="n">
        <v>25863438.91763344</v>
      </c>
      <c r="R1478" s="15">
        <f>IF(D1478=1,"Section 1","Control")</f>
        <v/>
      </c>
      <c r="S1478" s="16">
        <f>N1478/10000</f>
        <v/>
      </c>
      <c r="T1478" s="16">
        <f>P1478/10000</f>
        <v/>
      </c>
      <c r="U1478" s="15">
        <f>IF(N1478&gt;=Summary!$D$3,1,0)</f>
        <v/>
      </c>
      <c r="V1478" s="17">
        <f>IF(N1478&gt;0,P1478/N1478,"")</f>
        <v/>
      </c>
      <c r="W1478" s="17">
        <f>IF(O1478&gt;0,H1478/O1478,"")</f>
        <v/>
      </c>
    </row>
    <row r="1479">
      <c r="A1479" s="13" t="inlineStr">
        <is>
          <t>CE06_F</t>
        </is>
      </c>
      <c r="B1479" s="13" t="inlineStr">
        <is>
          <t>CE06</t>
        </is>
      </c>
      <c r="C1479" s="13" t="inlineStr">
        <is>
          <t>F</t>
        </is>
      </c>
      <c r="D1479" s="13" t="n">
        <v>0</v>
      </c>
      <c r="E1479" s="13" t="inlineStr">
        <is>
          <t>E</t>
        </is>
      </c>
      <c r="F1479" s="13" t="n">
        <v>2020</v>
      </c>
      <c r="G1479" s="14" t="n">
        <v>67655.30606414196</v>
      </c>
      <c r="H1479" s="14" t="n">
        <v>8666.558609248143</v>
      </c>
      <c r="I1479" s="14" t="n">
        <v>39976.90840666527</v>
      </c>
      <c r="J1479" s="14" t="n">
        <v>0</v>
      </c>
      <c r="K1479" s="14" t="n">
        <v>19011.83904822854</v>
      </c>
      <c r="L1479" s="14" t="n">
        <v>0</v>
      </c>
      <c r="M1479" s="14" t="n">
        <v>0</v>
      </c>
      <c r="N1479" s="14" t="n">
        <v>8666.558609248143</v>
      </c>
      <c r="O1479" s="14" t="n">
        <v>67655.30606414196</v>
      </c>
      <c r="P1479" s="14" t="n">
        <v>0</v>
      </c>
      <c r="Q1479" s="14" t="n">
        <v>399403.9439226937</v>
      </c>
      <c r="R1479" s="15">
        <f>IF(D1479=1,"Section 1","Control")</f>
        <v/>
      </c>
      <c r="S1479" s="16">
        <f>N1479/10000</f>
        <v/>
      </c>
      <c r="T1479" s="16">
        <f>P1479/10000</f>
        <v/>
      </c>
      <c r="U1479" s="15">
        <f>IF(N1479&gt;=Summary!$D$3,1,0)</f>
        <v/>
      </c>
      <c r="V1479" s="17">
        <f>IF(N1479&gt;0,P1479/N1479,"")</f>
        <v/>
      </c>
      <c r="W1479" s="17">
        <f>IF(O1479&gt;0,H1479/O1479,"")</f>
        <v/>
      </c>
    </row>
    <row r="1480">
      <c r="A1480" s="13" t="inlineStr">
        <is>
          <t>CE06_F</t>
        </is>
      </c>
      <c r="B1480" s="13" t="inlineStr">
        <is>
          <t>CE06</t>
        </is>
      </c>
      <c r="C1480" s="13" t="inlineStr">
        <is>
          <t>F</t>
        </is>
      </c>
      <c r="D1480" s="13" t="n">
        <v>0</v>
      </c>
      <c r="E1480" s="13" t="inlineStr">
        <is>
          <t>E</t>
        </is>
      </c>
      <c r="F1480" s="13" t="n">
        <v>2021</v>
      </c>
      <c r="G1480" s="14" t="n">
        <v>67655.30606414196</v>
      </c>
      <c r="H1480" s="14" t="n">
        <v>4302.500515298283</v>
      </c>
      <c r="I1480" s="14" t="n">
        <v>40489.89247639975</v>
      </c>
      <c r="J1480" s="14" t="n">
        <v>0</v>
      </c>
      <c r="K1480" s="14" t="n">
        <v>22862.91307244395</v>
      </c>
      <c r="L1480" s="14" t="n">
        <v>0</v>
      </c>
      <c r="M1480" s="14" t="n">
        <v>0</v>
      </c>
      <c r="N1480" s="14" t="n">
        <v>8666.558609248143</v>
      </c>
      <c r="O1480" s="14" t="n">
        <v>67655.30606414196</v>
      </c>
      <c r="P1480" s="14" t="n">
        <v>4571.962464785109</v>
      </c>
      <c r="Q1480" s="14" t="n">
        <v>399403.9439226937</v>
      </c>
      <c r="R1480" s="15">
        <f>IF(D1480=1,"Section 1","Control")</f>
        <v/>
      </c>
      <c r="S1480" s="16">
        <f>N1480/10000</f>
        <v/>
      </c>
      <c r="T1480" s="16">
        <f>P1480/10000</f>
        <v/>
      </c>
      <c r="U1480" s="15">
        <f>IF(N1480&gt;=Summary!$D$3,1,0)</f>
        <v/>
      </c>
      <c r="V1480" s="17">
        <f>IF(N1480&gt;0,P1480/N1480,"")</f>
        <v/>
      </c>
      <c r="W1480" s="17">
        <f>IF(O1480&gt;0,H1480/O1480,"")</f>
        <v/>
      </c>
    </row>
    <row r="1481">
      <c r="A1481" s="13" t="inlineStr">
        <is>
          <t>CE06_F</t>
        </is>
      </c>
      <c r="B1481" s="13" t="inlineStr">
        <is>
          <t>CE06</t>
        </is>
      </c>
      <c r="C1481" s="13" t="inlineStr">
        <is>
          <t>F</t>
        </is>
      </c>
      <c r="D1481" s="13" t="n">
        <v>0</v>
      </c>
      <c r="E1481" s="13" t="inlineStr">
        <is>
          <t>E</t>
        </is>
      </c>
      <c r="F1481" s="13" t="n">
        <v>2022</v>
      </c>
      <c r="G1481" s="14" t="n">
        <v>67655.30606414196</v>
      </c>
      <c r="H1481" s="14" t="n">
        <v>6653.718603754978</v>
      </c>
      <c r="I1481" s="14" t="n">
        <v>29203.81459904091</v>
      </c>
      <c r="J1481" s="14" t="n">
        <v>0</v>
      </c>
      <c r="K1481" s="14" t="n">
        <v>31797.77286134608</v>
      </c>
      <c r="L1481" s="14" t="n">
        <v>0</v>
      </c>
      <c r="M1481" s="14" t="n">
        <v>0</v>
      </c>
      <c r="N1481" s="14" t="n">
        <v>8666.558609248143</v>
      </c>
      <c r="O1481" s="14" t="n">
        <v>67655.30606414196</v>
      </c>
      <c r="P1481" s="14" t="n">
        <v>4143.377159717036</v>
      </c>
      <c r="Q1481" s="14" t="n">
        <v>399403.9439226937</v>
      </c>
      <c r="R1481" s="15">
        <f>IF(D1481=1,"Section 1","Control")</f>
        <v/>
      </c>
      <c r="S1481" s="16">
        <f>N1481/10000</f>
        <v/>
      </c>
      <c r="T1481" s="16">
        <f>P1481/10000</f>
        <v/>
      </c>
      <c r="U1481" s="15">
        <f>IF(N1481&gt;=Summary!$D$3,1,0)</f>
        <v/>
      </c>
      <c r="V1481" s="17">
        <f>IF(N1481&gt;0,P1481/N1481,"")</f>
        <v/>
      </c>
      <c r="W1481" s="17">
        <f>IF(O1481&gt;0,H1481/O1481,"")</f>
        <v/>
      </c>
    </row>
    <row r="1482">
      <c r="A1482" s="13" t="inlineStr">
        <is>
          <t>CE06_F</t>
        </is>
      </c>
      <c r="B1482" s="13" t="inlineStr">
        <is>
          <t>CE06</t>
        </is>
      </c>
      <c r="C1482" s="13" t="inlineStr">
        <is>
          <t>F</t>
        </is>
      </c>
      <c r="D1482" s="13" t="n">
        <v>0</v>
      </c>
      <c r="E1482" s="13" t="inlineStr">
        <is>
          <t>E</t>
        </is>
      </c>
      <c r="F1482" s="13" t="n">
        <v>2023</v>
      </c>
      <c r="G1482" s="14" t="n">
        <v>67655.30606414196</v>
      </c>
      <c r="H1482" s="14" t="n">
        <v>6108.211011729521</v>
      </c>
      <c r="I1482" s="14" t="n">
        <v>40129.83549936332</v>
      </c>
      <c r="J1482" s="14" t="n">
        <v>0</v>
      </c>
      <c r="K1482" s="14" t="n">
        <v>21417.25955304912</v>
      </c>
      <c r="L1482" s="14" t="n">
        <v>0</v>
      </c>
      <c r="M1482" s="14" t="n">
        <v>0</v>
      </c>
      <c r="N1482" s="14" t="n">
        <v>8666.558609248143</v>
      </c>
      <c r="O1482" s="14" t="n">
        <v>67655.30606414196</v>
      </c>
      <c r="P1482" s="14" t="n">
        <v>4259.524920893651</v>
      </c>
      <c r="Q1482" s="14" t="n">
        <v>399403.9439226937</v>
      </c>
      <c r="R1482" s="15">
        <f>IF(D1482=1,"Section 1","Control")</f>
        <v/>
      </c>
      <c r="S1482" s="16">
        <f>N1482/10000</f>
        <v/>
      </c>
      <c r="T1482" s="16">
        <f>P1482/10000</f>
        <v/>
      </c>
      <c r="U1482" s="15">
        <f>IF(N1482&gt;=Summary!$D$3,1,0)</f>
        <v/>
      </c>
      <c r="V1482" s="17">
        <f>IF(N1482&gt;0,P1482/N1482,"")</f>
        <v/>
      </c>
      <c r="W1482" s="17">
        <f>IF(O1482&gt;0,H1482/O1482,"")</f>
        <v/>
      </c>
    </row>
    <row r="1483">
      <c r="A1483" s="13" t="inlineStr">
        <is>
          <t>CE06_F</t>
        </is>
      </c>
      <c r="B1483" s="13" t="inlineStr">
        <is>
          <t>CE06</t>
        </is>
      </c>
      <c r="C1483" s="13" t="inlineStr">
        <is>
          <t>F</t>
        </is>
      </c>
      <c r="D1483" s="13" t="n">
        <v>0</v>
      </c>
      <c r="E1483" s="13" t="inlineStr">
        <is>
          <t>E</t>
        </is>
      </c>
      <c r="F1483" s="13" t="n">
        <v>2024</v>
      </c>
      <c r="G1483" s="14" t="n">
        <v>67655.30606414196</v>
      </c>
      <c r="H1483" s="14" t="n">
        <v>14469.30161288392</v>
      </c>
      <c r="I1483" s="14" t="n">
        <v>32586.81214177747</v>
      </c>
      <c r="J1483" s="14" t="n">
        <v>0</v>
      </c>
      <c r="K1483" s="14" t="n">
        <v>20599.19230948056</v>
      </c>
      <c r="L1483" s="14" t="n">
        <v>0</v>
      </c>
      <c r="M1483" s="14" t="n">
        <v>0</v>
      </c>
      <c r="N1483" s="14" t="n">
        <v>8666.558609248143</v>
      </c>
      <c r="O1483" s="14" t="n">
        <v>67655.30606414196</v>
      </c>
      <c r="P1483" s="14" t="n">
        <v>3676.076101026349</v>
      </c>
      <c r="Q1483" s="14" t="n">
        <v>399403.9439226937</v>
      </c>
      <c r="R1483" s="15">
        <f>IF(D1483=1,"Section 1","Control")</f>
        <v/>
      </c>
      <c r="S1483" s="16">
        <f>N1483/10000</f>
        <v/>
      </c>
      <c r="T1483" s="16">
        <f>P1483/10000</f>
        <v/>
      </c>
      <c r="U1483" s="15">
        <f>IF(N1483&gt;=Summary!$D$3,1,0)</f>
        <v/>
      </c>
      <c r="V1483" s="17">
        <f>IF(N1483&gt;0,P1483/N1483,"")</f>
        <v/>
      </c>
      <c r="W1483" s="17">
        <f>IF(O1483&gt;0,H1483/O1483,"")</f>
        <v/>
      </c>
    </row>
    <row r="1484">
      <c r="A1484" s="13" t="inlineStr">
        <is>
          <t>CE06_F</t>
        </is>
      </c>
      <c r="B1484" s="13" t="inlineStr">
        <is>
          <t>CE06</t>
        </is>
      </c>
      <c r="C1484" s="13" t="inlineStr">
        <is>
          <t>F</t>
        </is>
      </c>
      <c r="D1484" s="13" t="n">
        <v>0</v>
      </c>
      <c r="E1484" s="13" t="inlineStr">
        <is>
          <t>E</t>
        </is>
      </c>
      <c r="F1484" s="13" t="n">
        <v>2025</v>
      </c>
      <c r="G1484" s="14" t="n">
        <v>67655.30606414196</v>
      </c>
      <c r="H1484" s="14" t="n">
        <v>14631.13399074779</v>
      </c>
      <c r="I1484" s="14" t="n">
        <v>34928.35106769635</v>
      </c>
      <c r="J1484" s="14" t="n">
        <v>0</v>
      </c>
      <c r="K1484" s="14" t="n">
        <v>18095.82100569781</v>
      </c>
      <c r="L1484" s="14" t="n">
        <v>0</v>
      </c>
      <c r="M1484" s="14" t="n">
        <v>0</v>
      </c>
      <c r="N1484" s="14" t="n">
        <v>8666.558609248143</v>
      </c>
      <c r="O1484" s="14" t="n">
        <v>67655.30606414196</v>
      </c>
      <c r="P1484" s="14" t="n">
        <v>3676.076101026349</v>
      </c>
      <c r="Q1484" s="14" t="n">
        <v>399403.9439226937</v>
      </c>
      <c r="R1484" s="15">
        <f>IF(D1484=1,"Section 1","Control")</f>
        <v/>
      </c>
      <c r="S1484" s="16">
        <f>N1484/10000</f>
        <v/>
      </c>
      <c r="T1484" s="16">
        <f>P1484/10000</f>
        <v/>
      </c>
      <c r="U1484" s="15">
        <f>IF(N1484&gt;=Summary!$D$3,1,0)</f>
        <v/>
      </c>
      <c r="V1484" s="17">
        <f>IF(N1484&gt;0,P1484/N1484,"")</f>
        <v/>
      </c>
      <c r="W1484" s="17">
        <f>IF(O1484&gt;0,H1484/O1484,"")</f>
        <v/>
      </c>
    </row>
    <row r="1485">
      <c r="A1485" s="13" t="inlineStr">
        <is>
          <t>CE06_F</t>
        </is>
      </c>
      <c r="B1485" s="13" t="inlineStr">
        <is>
          <t>CE06</t>
        </is>
      </c>
      <c r="C1485" s="13" t="inlineStr">
        <is>
          <t>F</t>
        </is>
      </c>
      <c r="D1485" s="13" t="n">
        <v>0</v>
      </c>
      <c r="E1485" s="13" t="inlineStr">
        <is>
          <t>E</t>
        </is>
      </c>
      <c r="F1485" s="13" t="n">
        <v>2026</v>
      </c>
      <c r="G1485" s="14" t="n">
        <v>67655.30606414196</v>
      </c>
      <c r="H1485" s="14" t="n">
        <v>17847.26650674857</v>
      </c>
      <c r="I1485" s="14" t="n">
        <v>22957.38732892204</v>
      </c>
      <c r="J1485" s="14" t="n">
        <v>0</v>
      </c>
      <c r="K1485" s="14" t="n">
        <v>26850.65222847134</v>
      </c>
      <c r="L1485" s="14" t="n">
        <v>0</v>
      </c>
      <c r="M1485" s="14" t="n">
        <v>0</v>
      </c>
      <c r="N1485" s="14" t="n">
        <v>8666.558609248143</v>
      </c>
      <c r="O1485" s="14" t="n">
        <v>67655.30606414196</v>
      </c>
      <c r="P1485" s="14" t="n">
        <v>3676.076101026349</v>
      </c>
      <c r="Q1485" s="14" t="n">
        <v>399403.9439226937</v>
      </c>
      <c r="R1485" s="15">
        <f>IF(D1485=1,"Section 1","Control")</f>
        <v/>
      </c>
      <c r="S1485" s="16">
        <f>N1485/10000</f>
        <v/>
      </c>
      <c r="T1485" s="16">
        <f>P1485/10000</f>
        <v/>
      </c>
      <c r="U1485" s="15">
        <f>IF(N1485&gt;=Summary!$D$3,1,0)</f>
        <v/>
      </c>
      <c r="V1485" s="17">
        <f>IF(N1485&gt;0,P1485/N1485,"")</f>
        <v/>
      </c>
      <c r="W1485" s="17">
        <f>IF(O1485&gt;0,H1485/O1485,"")</f>
        <v/>
      </c>
    </row>
    <row r="1486">
      <c r="A1486" s="13" t="inlineStr">
        <is>
          <t>CE07_B1</t>
        </is>
      </c>
      <c r="B1486" s="13" t="inlineStr">
        <is>
          <t>CE07</t>
        </is>
      </c>
      <c r="C1486" s="13" t="inlineStr">
        <is>
          <t>B1</t>
        </is>
      </c>
      <c r="D1486" s="13" t="n">
        <v>0</v>
      </c>
      <c r="E1486" s="13" t="inlineStr">
        <is>
          <t>E</t>
        </is>
      </c>
      <c r="F1486" s="13" t="n">
        <v>2020</v>
      </c>
      <c r="G1486" s="14" t="n">
        <v>1000755.595273814</v>
      </c>
      <c r="H1486" s="14" t="n">
        <v>70106.6345204372</v>
      </c>
      <c r="I1486" s="14" t="n">
        <v>790060.504113949</v>
      </c>
      <c r="J1486" s="14" t="n">
        <v>0</v>
      </c>
      <c r="K1486" s="14" t="n">
        <v>140588.4566394282</v>
      </c>
      <c r="L1486" s="14" t="n">
        <v>0</v>
      </c>
      <c r="M1486" s="14" t="n">
        <v>0</v>
      </c>
      <c r="N1486" s="14" t="n">
        <v>70106.6345204372</v>
      </c>
      <c r="O1486" s="14" t="n">
        <v>1000755.595273814</v>
      </c>
      <c r="P1486" s="14" t="n">
        <v>0</v>
      </c>
      <c r="Q1486" s="14" t="n">
        <v>7211288.061893838</v>
      </c>
      <c r="R1486" s="15">
        <f>IF(D1486=1,"Section 1","Control")</f>
        <v/>
      </c>
      <c r="S1486" s="16">
        <f>N1486/10000</f>
        <v/>
      </c>
      <c r="T1486" s="16">
        <f>P1486/10000</f>
        <v/>
      </c>
      <c r="U1486" s="15">
        <f>IF(N1486&gt;=Summary!$D$3,1,0)</f>
        <v/>
      </c>
      <c r="V1486" s="17">
        <f>IF(N1486&gt;0,P1486/N1486,"")</f>
        <v/>
      </c>
      <c r="W1486" s="17">
        <f>IF(O1486&gt;0,H1486/O1486,"")</f>
        <v/>
      </c>
    </row>
    <row r="1487">
      <c r="A1487" s="13" t="inlineStr">
        <is>
          <t>CE07_B1</t>
        </is>
      </c>
      <c r="B1487" s="13" t="inlineStr">
        <is>
          <t>CE07</t>
        </is>
      </c>
      <c r="C1487" s="13" t="inlineStr">
        <is>
          <t>B1</t>
        </is>
      </c>
      <c r="D1487" s="13" t="n">
        <v>0</v>
      </c>
      <c r="E1487" s="13" t="inlineStr">
        <is>
          <t>E</t>
        </is>
      </c>
      <c r="F1487" s="13" t="n">
        <v>2021</v>
      </c>
      <c r="G1487" s="14" t="n">
        <v>1000755.595273814</v>
      </c>
      <c r="H1487" s="14" t="n">
        <v>65753.30606168859</v>
      </c>
      <c r="I1487" s="14" t="n">
        <v>752167.6372899372</v>
      </c>
      <c r="J1487" s="14" t="n">
        <v>0</v>
      </c>
      <c r="K1487" s="14" t="n">
        <v>182593.0620856192</v>
      </c>
      <c r="L1487" s="14" t="n">
        <v>241.5898365693934</v>
      </c>
      <c r="M1487" s="14" t="n">
        <v>0</v>
      </c>
      <c r="N1487" s="14" t="n">
        <v>70106.6345204372</v>
      </c>
      <c r="O1487" s="14" t="n">
        <v>1000755.595273814</v>
      </c>
      <c r="P1487" s="14" t="n">
        <v>18521.01226118499</v>
      </c>
      <c r="Q1487" s="14" t="n">
        <v>7211288.061893838</v>
      </c>
      <c r="R1487" s="15">
        <f>IF(D1487=1,"Section 1","Control")</f>
        <v/>
      </c>
      <c r="S1487" s="16">
        <f>N1487/10000</f>
        <v/>
      </c>
      <c r="T1487" s="16">
        <f>P1487/10000</f>
        <v/>
      </c>
      <c r="U1487" s="15">
        <f>IF(N1487&gt;=Summary!$D$3,1,0)</f>
        <v/>
      </c>
      <c r="V1487" s="17">
        <f>IF(N1487&gt;0,P1487/N1487,"")</f>
        <v/>
      </c>
      <c r="W1487" s="17">
        <f>IF(O1487&gt;0,H1487/O1487,"")</f>
        <v/>
      </c>
    </row>
    <row r="1488">
      <c r="A1488" s="13" t="inlineStr">
        <is>
          <t>CE07_B1</t>
        </is>
      </c>
      <c r="B1488" s="13" t="inlineStr">
        <is>
          <t>CE07</t>
        </is>
      </c>
      <c r="C1488" s="13" t="inlineStr">
        <is>
          <t>B1</t>
        </is>
      </c>
      <c r="D1488" s="13" t="n">
        <v>0</v>
      </c>
      <c r="E1488" s="13" t="inlineStr">
        <is>
          <t>E</t>
        </is>
      </c>
      <c r="F1488" s="13" t="n">
        <v>2022</v>
      </c>
      <c r="G1488" s="14" t="n">
        <v>1000755.595273814</v>
      </c>
      <c r="H1488" s="14" t="n">
        <v>85362.36675247492</v>
      </c>
      <c r="I1488" s="14" t="n">
        <v>725144.0116014966</v>
      </c>
      <c r="J1488" s="14" t="n">
        <v>0</v>
      </c>
      <c r="K1488" s="14" t="n">
        <v>190209.7262734806</v>
      </c>
      <c r="L1488" s="14" t="n">
        <v>39.49064636230469</v>
      </c>
      <c r="M1488" s="14" t="n">
        <v>0</v>
      </c>
      <c r="N1488" s="14" t="n">
        <v>70106.6345204372</v>
      </c>
      <c r="O1488" s="14" t="n">
        <v>1000755.595273814</v>
      </c>
      <c r="P1488" s="14" t="n">
        <v>27129.96900927973</v>
      </c>
      <c r="Q1488" s="14" t="n">
        <v>7211288.061893838</v>
      </c>
      <c r="R1488" s="15">
        <f>IF(D1488=1,"Section 1","Control")</f>
        <v/>
      </c>
      <c r="S1488" s="16">
        <f>N1488/10000</f>
        <v/>
      </c>
      <c r="T1488" s="16">
        <f>P1488/10000</f>
        <v/>
      </c>
      <c r="U1488" s="15">
        <f>IF(N1488&gt;=Summary!$D$3,1,0)</f>
        <v/>
      </c>
      <c r="V1488" s="17">
        <f>IF(N1488&gt;0,P1488/N1488,"")</f>
        <v/>
      </c>
      <c r="W1488" s="17">
        <f>IF(O1488&gt;0,H1488/O1488,"")</f>
        <v/>
      </c>
    </row>
    <row r="1489">
      <c r="A1489" s="13" t="inlineStr">
        <is>
          <t>CE07_B1</t>
        </is>
      </c>
      <c r="B1489" s="13" t="inlineStr">
        <is>
          <t>CE07</t>
        </is>
      </c>
      <c r="C1489" s="13" t="inlineStr">
        <is>
          <t>B1</t>
        </is>
      </c>
      <c r="D1489" s="13" t="n">
        <v>0</v>
      </c>
      <c r="E1489" s="13" t="inlineStr">
        <is>
          <t>E</t>
        </is>
      </c>
      <c r="F1489" s="13" t="n">
        <v>2023</v>
      </c>
      <c r="G1489" s="14" t="n">
        <v>1000755.595273814</v>
      </c>
      <c r="H1489" s="14" t="n">
        <v>67984.36337064856</v>
      </c>
      <c r="I1489" s="14" t="n">
        <v>773546.3667254578</v>
      </c>
      <c r="J1489" s="14" t="n">
        <v>0</v>
      </c>
      <c r="K1489" s="14" t="n">
        <v>158945.3333241182</v>
      </c>
      <c r="L1489" s="14" t="n">
        <v>279.5318535898246</v>
      </c>
      <c r="M1489" s="14" t="n">
        <v>0</v>
      </c>
      <c r="N1489" s="14" t="n">
        <v>70106.6345204372</v>
      </c>
      <c r="O1489" s="14" t="n">
        <v>1000755.595273814</v>
      </c>
      <c r="P1489" s="14" t="n">
        <v>30585.38136279536</v>
      </c>
      <c r="Q1489" s="14" t="n">
        <v>7211288.061893838</v>
      </c>
      <c r="R1489" s="15">
        <f>IF(D1489=1,"Section 1","Control")</f>
        <v/>
      </c>
      <c r="S1489" s="16">
        <f>N1489/10000</f>
        <v/>
      </c>
      <c r="T1489" s="16">
        <f>P1489/10000</f>
        <v/>
      </c>
      <c r="U1489" s="15">
        <f>IF(N1489&gt;=Summary!$D$3,1,0)</f>
        <v/>
      </c>
      <c r="V1489" s="17">
        <f>IF(N1489&gt;0,P1489/N1489,"")</f>
        <v/>
      </c>
      <c r="W1489" s="17">
        <f>IF(O1489&gt;0,H1489/O1489,"")</f>
        <v/>
      </c>
    </row>
    <row r="1490">
      <c r="A1490" s="13" t="inlineStr">
        <is>
          <t>CE07_B1</t>
        </is>
      </c>
      <c r="B1490" s="13" t="inlineStr">
        <is>
          <t>CE07</t>
        </is>
      </c>
      <c r="C1490" s="13" t="inlineStr">
        <is>
          <t>B1</t>
        </is>
      </c>
      <c r="D1490" s="13" t="n">
        <v>0</v>
      </c>
      <c r="E1490" s="13" t="inlineStr">
        <is>
          <t>E</t>
        </is>
      </c>
      <c r="F1490" s="13" t="n">
        <v>2024</v>
      </c>
      <c r="G1490" s="14" t="n">
        <v>1000755.595273814</v>
      </c>
      <c r="H1490" s="14" t="n">
        <v>167973.3542945113</v>
      </c>
      <c r="I1490" s="14" t="n">
        <v>689931.1938435273</v>
      </c>
      <c r="J1490" s="14" t="n">
        <v>0</v>
      </c>
      <c r="K1490" s="14" t="n">
        <v>142114.2753675573</v>
      </c>
      <c r="L1490" s="14" t="n">
        <v>736.7717682183957</v>
      </c>
      <c r="M1490" s="14" t="n">
        <v>0</v>
      </c>
      <c r="N1490" s="14" t="n">
        <v>70106.6345204372</v>
      </c>
      <c r="O1490" s="14" t="n">
        <v>1000755.595273814</v>
      </c>
      <c r="P1490" s="14" t="n">
        <v>29744.11823042327</v>
      </c>
      <c r="Q1490" s="14" t="n">
        <v>7211288.061893838</v>
      </c>
      <c r="R1490" s="15">
        <f>IF(D1490=1,"Section 1","Control")</f>
        <v/>
      </c>
      <c r="S1490" s="16">
        <f>N1490/10000</f>
        <v/>
      </c>
      <c r="T1490" s="16">
        <f>P1490/10000</f>
        <v/>
      </c>
      <c r="U1490" s="15">
        <f>IF(N1490&gt;=Summary!$D$3,1,0)</f>
        <v/>
      </c>
      <c r="V1490" s="17">
        <f>IF(N1490&gt;0,P1490/N1490,"")</f>
        <v/>
      </c>
      <c r="W1490" s="17">
        <f>IF(O1490&gt;0,H1490/O1490,"")</f>
        <v/>
      </c>
    </row>
    <row r="1491">
      <c r="A1491" s="13" t="inlineStr">
        <is>
          <t>CE07_B1</t>
        </is>
      </c>
      <c r="B1491" s="13" t="inlineStr">
        <is>
          <t>CE07</t>
        </is>
      </c>
      <c r="C1491" s="13" t="inlineStr">
        <is>
          <t>B1</t>
        </is>
      </c>
      <c r="D1491" s="13" t="n">
        <v>0</v>
      </c>
      <c r="E1491" s="13" t="inlineStr">
        <is>
          <t>E</t>
        </is>
      </c>
      <c r="F1491" s="13" t="n">
        <v>2025</v>
      </c>
      <c r="G1491" s="14" t="n">
        <v>1000755.595273814</v>
      </c>
      <c r="H1491" s="14" t="n">
        <v>184978.5452807856</v>
      </c>
      <c r="I1491" s="14" t="n">
        <v>664113.6883629593</v>
      </c>
      <c r="J1491" s="14" t="n">
        <v>0</v>
      </c>
      <c r="K1491" s="14" t="n">
        <v>145568.6376436121</v>
      </c>
      <c r="L1491" s="14" t="n">
        <v>6094.723986457375</v>
      </c>
      <c r="M1491" s="14" t="n">
        <v>0</v>
      </c>
      <c r="N1491" s="14" t="n">
        <v>70106.6345204372</v>
      </c>
      <c r="O1491" s="14" t="n">
        <v>1000755.595273814</v>
      </c>
      <c r="P1491" s="14" t="n">
        <v>32518.88680955475</v>
      </c>
      <c r="Q1491" s="14" t="n">
        <v>7211288.061893838</v>
      </c>
      <c r="R1491" s="15">
        <f>IF(D1491=1,"Section 1","Control")</f>
        <v/>
      </c>
      <c r="S1491" s="16">
        <f>N1491/10000</f>
        <v/>
      </c>
      <c r="T1491" s="16">
        <f>P1491/10000</f>
        <v/>
      </c>
      <c r="U1491" s="15">
        <f>IF(N1491&gt;=Summary!$D$3,1,0)</f>
        <v/>
      </c>
      <c r="V1491" s="17">
        <f>IF(N1491&gt;0,P1491/N1491,"")</f>
        <v/>
      </c>
      <c r="W1491" s="17">
        <f>IF(O1491&gt;0,H1491/O1491,"")</f>
        <v/>
      </c>
    </row>
    <row r="1492">
      <c r="A1492" s="13" t="inlineStr">
        <is>
          <t>CE07_B1</t>
        </is>
      </c>
      <c r="B1492" s="13" t="inlineStr">
        <is>
          <t>CE07</t>
        </is>
      </c>
      <c r="C1492" s="13" t="inlineStr">
        <is>
          <t>B1</t>
        </is>
      </c>
      <c r="D1492" s="13" t="n">
        <v>0</v>
      </c>
      <c r="E1492" s="13" t="inlineStr">
        <is>
          <t>E</t>
        </is>
      </c>
      <c r="F1492" s="13" t="n">
        <v>2026</v>
      </c>
      <c r="G1492" s="14" t="n">
        <v>1000755.595273814</v>
      </c>
      <c r="H1492" s="14" t="n">
        <v>103874.858671869</v>
      </c>
      <c r="I1492" s="14" t="n">
        <v>665945.3894399006</v>
      </c>
      <c r="J1492" s="14" t="n">
        <v>0</v>
      </c>
      <c r="K1492" s="14" t="n">
        <v>228081.9534005258</v>
      </c>
      <c r="L1492" s="14" t="n">
        <v>2853.39376151889</v>
      </c>
      <c r="M1492" s="14" t="n">
        <v>0</v>
      </c>
      <c r="N1492" s="14" t="n">
        <v>70106.6345204372</v>
      </c>
      <c r="O1492" s="14" t="n">
        <v>1000755.595273814</v>
      </c>
      <c r="P1492" s="14" t="n">
        <v>43910.6176746144</v>
      </c>
      <c r="Q1492" s="14" t="n">
        <v>7211288.061893838</v>
      </c>
      <c r="R1492" s="15">
        <f>IF(D1492=1,"Section 1","Control")</f>
        <v/>
      </c>
      <c r="S1492" s="16">
        <f>N1492/10000</f>
        <v/>
      </c>
      <c r="T1492" s="16">
        <f>P1492/10000</f>
        <v/>
      </c>
      <c r="U1492" s="15">
        <f>IF(N1492&gt;=Summary!$D$3,1,0)</f>
        <v/>
      </c>
      <c r="V1492" s="17">
        <f>IF(N1492&gt;0,P1492/N1492,"")</f>
        <v/>
      </c>
      <c r="W1492" s="17">
        <f>IF(O1492&gt;0,H1492/O1492,"")</f>
        <v/>
      </c>
    </row>
    <row r="1493">
      <c r="A1493" s="13" t="inlineStr">
        <is>
          <t>CE07_B2</t>
        </is>
      </c>
      <c r="B1493" s="13" t="inlineStr">
        <is>
          <t>CE07</t>
        </is>
      </c>
      <c r="C1493" s="13" t="inlineStr">
        <is>
          <t>B2</t>
        </is>
      </c>
      <c r="D1493" s="13" t="n">
        <v>0</v>
      </c>
      <c r="E1493" s="13" t="inlineStr">
        <is>
          <t>E</t>
        </is>
      </c>
      <c r="F1493" s="13" t="n">
        <v>2020</v>
      </c>
      <c r="G1493" s="14" t="n">
        <v>1000755.97613666</v>
      </c>
      <c r="H1493" s="14" t="n">
        <v>112096.5744865866</v>
      </c>
      <c r="I1493" s="14" t="n">
        <v>428039.8372978959</v>
      </c>
      <c r="J1493" s="14" t="n">
        <v>0</v>
      </c>
      <c r="K1493" s="14" t="n">
        <v>23358.04838439343</v>
      </c>
      <c r="L1493" s="14" t="n">
        <v>437261.5159677842</v>
      </c>
      <c r="M1493" s="14" t="n">
        <v>0</v>
      </c>
      <c r="N1493" s="14" t="n">
        <v>112096.5744865866</v>
      </c>
      <c r="O1493" s="14" t="n">
        <v>563494.460168876</v>
      </c>
      <c r="P1493" s="14" t="n">
        <v>0</v>
      </c>
      <c r="Q1493" s="14" t="n">
        <v>3881518.958011491</v>
      </c>
      <c r="R1493" s="15">
        <f>IF(D1493=1,"Section 1","Control")</f>
        <v/>
      </c>
      <c r="S1493" s="16">
        <f>N1493/10000</f>
        <v/>
      </c>
      <c r="T1493" s="16">
        <f>P1493/10000</f>
        <v/>
      </c>
      <c r="U1493" s="15">
        <f>IF(N1493&gt;=Summary!$D$3,1,0)</f>
        <v/>
      </c>
      <c r="V1493" s="17">
        <f>IF(N1493&gt;0,P1493/N1493,"")</f>
        <v/>
      </c>
      <c r="W1493" s="17">
        <f>IF(O1493&gt;0,H1493/O1493,"")</f>
        <v/>
      </c>
    </row>
    <row r="1494">
      <c r="A1494" s="13" t="inlineStr">
        <is>
          <t>CE07_B2</t>
        </is>
      </c>
      <c r="B1494" s="13" t="inlineStr">
        <is>
          <t>CE07</t>
        </is>
      </c>
      <c r="C1494" s="13" t="inlineStr">
        <is>
          <t>B2</t>
        </is>
      </c>
      <c r="D1494" s="13" t="n">
        <v>0</v>
      </c>
      <c r="E1494" s="13" t="inlineStr">
        <is>
          <t>E</t>
        </is>
      </c>
      <c r="F1494" s="13" t="n">
        <v>2021</v>
      </c>
      <c r="G1494" s="14" t="n">
        <v>1000755.97613666</v>
      </c>
      <c r="H1494" s="14" t="n">
        <v>105741.0895384845</v>
      </c>
      <c r="I1494" s="14" t="n">
        <v>351041.1035866831</v>
      </c>
      <c r="J1494" s="14" t="n">
        <v>0</v>
      </c>
      <c r="K1494" s="14" t="n">
        <v>100849.8287127925</v>
      </c>
      <c r="L1494" s="14" t="n">
        <v>443123.9542987001</v>
      </c>
      <c r="M1494" s="14" t="n">
        <v>0</v>
      </c>
      <c r="N1494" s="14" t="n">
        <v>112096.5744865866</v>
      </c>
      <c r="O1494" s="14" t="n">
        <v>563494.460168876</v>
      </c>
      <c r="P1494" s="14" t="n">
        <v>29435.32454367245</v>
      </c>
      <c r="Q1494" s="14" t="n">
        <v>3881518.958011491</v>
      </c>
      <c r="R1494" s="15">
        <f>IF(D1494=1,"Section 1","Control")</f>
        <v/>
      </c>
      <c r="S1494" s="16">
        <f>N1494/10000</f>
        <v/>
      </c>
      <c r="T1494" s="16">
        <f>P1494/10000</f>
        <v/>
      </c>
      <c r="U1494" s="15">
        <f>IF(N1494&gt;=Summary!$D$3,1,0)</f>
        <v/>
      </c>
      <c r="V1494" s="17">
        <f>IF(N1494&gt;0,P1494/N1494,"")</f>
        <v/>
      </c>
      <c r="W1494" s="17">
        <f>IF(O1494&gt;0,H1494/O1494,"")</f>
        <v/>
      </c>
    </row>
    <row r="1495">
      <c r="A1495" s="13" t="inlineStr">
        <is>
          <t>CE07_B2</t>
        </is>
      </c>
      <c r="B1495" s="13" t="inlineStr">
        <is>
          <t>CE07</t>
        </is>
      </c>
      <c r="C1495" s="13" t="inlineStr">
        <is>
          <t>B2</t>
        </is>
      </c>
      <c r="D1495" s="13" t="n">
        <v>0</v>
      </c>
      <c r="E1495" s="13" t="inlineStr">
        <is>
          <t>E</t>
        </is>
      </c>
      <c r="F1495" s="13" t="n">
        <v>2022</v>
      </c>
      <c r="G1495" s="14" t="n">
        <v>1000755.97613666</v>
      </c>
      <c r="H1495" s="14" t="n">
        <v>167060.593773696</v>
      </c>
      <c r="I1495" s="14" t="n">
        <v>263099.7977407717</v>
      </c>
      <c r="J1495" s="14" t="n">
        <v>0</v>
      </c>
      <c r="K1495" s="14" t="n">
        <v>126473.1339076622</v>
      </c>
      <c r="L1495" s="14" t="n">
        <v>444122.4507145303</v>
      </c>
      <c r="M1495" s="14" t="n">
        <v>0</v>
      </c>
      <c r="N1495" s="14" t="n">
        <v>112096.5744865866</v>
      </c>
      <c r="O1495" s="14" t="n">
        <v>563494.460168876</v>
      </c>
      <c r="P1495" s="14" t="n">
        <v>30945.6190834195</v>
      </c>
      <c r="Q1495" s="14" t="n">
        <v>3881518.958011491</v>
      </c>
      <c r="R1495" s="15">
        <f>IF(D1495=1,"Section 1","Control")</f>
        <v/>
      </c>
      <c r="S1495" s="16">
        <f>N1495/10000</f>
        <v/>
      </c>
      <c r="T1495" s="16">
        <f>P1495/10000</f>
        <v/>
      </c>
      <c r="U1495" s="15">
        <f>IF(N1495&gt;=Summary!$D$3,1,0)</f>
        <v/>
      </c>
      <c r="V1495" s="17">
        <f>IF(N1495&gt;0,P1495/N1495,"")</f>
        <v/>
      </c>
      <c r="W1495" s="17">
        <f>IF(O1495&gt;0,H1495/O1495,"")</f>
        <v/>
      </c>
    </row>
    <row r="1496">
      <c r="A1496" s="13" t="inlineStr">
        <is>
          <t>CE07_B2</t>
        </is>
      </c>
      <c r="B1496" s="13" t="inlineStr">
        <is>
          <t>CE07</t>
        </is>
      </c>
      <c r="C1496" s="13" t="inlineStr">
        <is>
          <t>B2</t>
        </is>
      </c>
      <c r="D1496" s="13" t="n">
        <v>0</v>
      </c>
      <c r="E1496" s="13" t="inlineStr">
        <is>
          <t>E</t>
        </is>
      </c>
      <c r="F1496" s="13" t="n">
        <v>2023</v>
      </c>
      <c r="G1496" s="14" t="n">
        <v>1000755.97613666</v>
      </c>
      <c r="H1496" s="14" t="n">
        <v>148244.8422914093</v>
      </c>
      <c r="I1496" s="14" t="n">
        <v>296157.4996318743</v>
      </c>
      <c r="J1496" s="14" t="n">
        <v>0</v>
      </c>
      <c r="K1496" s="14" t="n">
        <v>98605.71776912911</v>
      </c>
      <c r="L1496" s="14" t="n">
        <v>457747.9164442474</v>
      </c>
      <c r="M1496" s="14" t="n">
        <v>0</v>
      </c>
      <c r="N1496" s="14" t="n">
        <v>112096.5744865866</v>
      </c>
      <c r="O1496" s="14" t="n">
        <v>563494.460168876</v>
      </c>
      <c r="P1496" s="14" t="n">
        <v>31767.93612883325</v>
      </c>
      <c r="Q1496" s="14" t="n">
        <v>3881518.958011491</v>
      </c>
      <c r="R1496" s="15">
        <f>IF(D1496=1,"Section 1","Control")</f>
        <v/>
      </c>
      <c r="S1496" s="16">
        <f>N1496/10000</f>
        <v/>
      </c>
      <c r="T1496" s="16">
        <f>P1496/10000</f>
        <v/>
      </c>
      <c r="U1496" s="15">
        <f>IF(N1496&gt;=Summary!$D$3,1,0)</f>
        <v/>
      </c>
      <c r="V1496" s="17">
        <f>IF(N1496&gt;0,P1496/N1496,"")</f>
        <v/>
      </c>
      <c r="W1496" s="17">
        <f>IF(O1496&gt;0,H1496/O1496,"")</f>
        <v/>
      </c>
    </row>
    <row r="1497">
      <c r="A1497" s="13" t="inlineStr">
        <is>
          <t>CE07_B2</t>
        </is>
      </c>
      <c r="B1497" s="13" t="inlineStr">
        <is>
          <t>CE07</t>
        </is>
      </c>
      <c r="C1497" s="13" t="inlineStr">
        <is>
          <t>B2</t>
        </is>
      </c>
      <c r="D1497" s="13" t="n">
        <v>0</v>
      </c>
      <c r="E1497" s="13" t="inlineStr">
        <is>
          <t>E</t>
        </is>
      </c>
      <c r="F1497" s="13" t="n">
        <v>2024</v>
      </c>
      <c r="G1497" s="14" t="n">
        <v>1000755.97613666</v>
      </c>
      <c r="H1497" s="14" t="n">
        <v>274869.6896402694</v>
      </c>
      <c r="I1497" s="14" t="n">
        <v>154044.4785773183</v>
      </c>
      <c r="J1497" s="14" t="n">
        <v>0</v>
      </c>
      <c r="K1497" s="14" t="n">
        <v>113958.3843932507</v>
      </c>
      <c r="L1497" s="14" t="n">
        <v>457883.4235258214</v>
      </c>
      <c r="M1497" s="14" t="n">
        <v>0</v>
      </c>
      <c r="N1497" s="14" t="n">
        <v>112096.5744865866</v>
      </c>
      <c r="O1497" s="14" t="n">
        <v>563494.460168876</v>
      </c>
      <c r="P1497" s="14" t="n">
        <v>17069.24117733825</v>
      </c>
      <c r="Q1497" s="14" t="n">
        <v>3881518.958011491</v>
      </c>
      <c r="R1497" s="15">
        <f>IF(D1497=1,"Section 1","Control")</f>
        <v/>
      </c>
      <c r="S1497" s="16">
        <f>N1497/10000</f>
        <v/>
      </c>
      <c r="T1497" s="16">
        <f>P1497/10000</f>
        <v/>
      </c>
      <c r="U1497" s="15">
        <f>IF(N1497&gt;=Summary!$D$3,1,0)</f>
        <v/>
      </c>
      <c r="V1497" s="17">
        <f>IF(N1497&gt;0,P1497/N1497,"")</f>
        <v/>
      </c>
      <c r="W1497" s="17">
        <f>IF(O1497&gt;0,H1497/O1497,"")</f>
        <v/>
      </c>
    </row>
    <row r="1498">
      <c r="A1498" s="13" t="inlineStr">
        <is>
          <t>CE07_B2</t>
        </is>
      </c>
      <c r="B1498" s="13" t="inlineStr">
        <is>
          <t>CE07</t>
        </is>
      </c>
      <c r="C1498" s="13" t="inlineStr">
        <is>
          <t>B2</t>
        </is>
      </c>
      <c r="D1498" s="13" t="n">
        <v>0</v>
      </c>
      <c r="E1498" s="13" t="inlineStr">
        <is>
          <t>E</t>
        </is>
      </c>
      <c r="F1498" s="13" t="n">
        <v>2025</v>
      </c>
      <c r="G1498" s="14" t="n">
        <v>1000755.97613666</v>
      </c>
      <c r="H1498" s="14" t="n">
        <v>191333.0193981395</v>
      </c>
      <c r="I1498" s="14" t="n">
        <v>250706.8479516722</v>
      </c>
      <c r="J1498" s="14" t="n">
        <v>0</v>
      </c>
      <c r="K1498" s="14" t="n">
        <v>90325.44547579894</v>
      </c>
      <c r="L1498" s="14" t="n">
        <v>468390.6633110496</v>
      </c>
      <c r="M1498" s="14" t="n">
        <v>0</v>
      </c>
      <c r="N1498" s="14" t="n">
        <v>112096.5744865866</v>
      </c>
      <c r="O1498" s="14" t="n">
        <v>563494.460168876</v>
      </c>
      <c r="P1498" s="14" t="n">
        <v>41099.50324234308</v>
      </c>
      <c r="Q1498" s="14" t="n">
        <v>3881518.958011491</v>
      </c>
      <c r="R1498" s="15">
        <f>IF(D1498=1,"Section 1","Control")</f>
        <v/>
      </c>
      <c r="S1498" s="16">
        <f>N1498/10000</f>
        <v/>
      </c>
      <c r="T1498" s="16">
        <f>P1498/10000</f>
        <v/>
      </c>
      <c r="U1498" s="15">
        <f>IF(N1498&gt;=Summary!$D$3,1,0)</f>
        <v/>
      </c>
      <c r="V1498" s="17">
        <f>IF(N1498&gt;0,P1498/N1498,"")</f>
        <v/>
      </c>
      <c r="W1498" s="17">
        <f>IF(O1498&gt;0,H1498/O1498,"")</f>
        <v/>
      </c>
    </row>
    <row r="1499">
      <c r="A1499" s="13" t="inlineStr">
        <is>
          <t>CE07_B2</t>
        </is>
      </c>
      <c r="B1499" s="13" t="inlineStr">
        <is>
          <t>CE07</t>
        </is>
      </c>
      <c r="C1499" s="13" t="inlineStr">
        <is>
          <t>B2</t>
        </is>
      </c>
      <c r="D1499" s="13" t="n">
        <v>0</v>
      </c>
      <c r="E1499" s="13" t="inlineStr">
        <is>
          <t>E</t>
        </is>
      </c>
      <c r="F1499" s="13" t="n">
        <v>2026</v>
      </c>
      <c r="G1499" s="14" t="n">
        <v>1000755.97613666</v>
      </c>
      <c r="H1499" s="14" t="n">
        <v>94625.80802627269</v>
      </c>
      <c r="I1499" s="14" t="n">
        <v>288344.8067529118</v>
      </c>
      <c r="J1499" s="14" t="n">
        <v>0</v>
      </c>
      <c r="K1499" s="14" t="n">
        <v>160889.206119313</v>
      </c>
      <c r="L1499" s="14" t="n">
        <v>456896.1552381628</v>
      </c>
      <c r="M1499" s="14" t="n">
        <v>0</v>
      </c>
      <c r="N1499" s="14" t="n">
        <v>112096.5744865866</v>
      </c>
      <c r="O1499" s="14" t="n">
        <v>563494.460168876</v>
      </c>
      <c r="P1499" s="14" t="n">
        <v>54181.49092063156</v>
      </c>
      <c r="Q1499" s="14" t="n">
        <v>3881518.958011491</v>
      </c>
      <c r="R1499" s="15">
        <f>IF(D1499=1,"Section 1","Control")</f>
        <v/>
      </c>
      <c r="S1499" s="16">
        <f>N1499/10000</f>
        <v/>
      </c>
      <c r="T1499" s="16">
        <f>P1499/10000</f>
        <v/>
      </c>
      <c r="U1499" s="15">
        <f>IF(N1499&gt;=Summary!$D$3,1,0)</f>
        <v/>
      </c>
      <c r="V1499" s="17">
        <f>IF(N1499&gt;0,P1499/N1499,"")</f>
        <v/>
      </c>
      <c r="W1499" s="17">
        <f>IF(O1499&gt;0,H1499/O1499,"")</f>
        <v/>
      </c>
    </row>
    <row r="1500">
      <c r="A1500" s="13" t="inlineStr">
        <is>
          <t>CE07_B3</t>
        </is>
      </c>
      <c r="B1500" s="13" t="inlineStr">
        <is>
          <t>CE07</t>
        </is>
      </c>
      <c r="C1500" s="13" t="inlineStr">
        <is>
          <t>B3</t>
        </is>
      </c>
      <c r="D1500" s="13" t="n">
        <v>0</v>
      </c>
      <c r="E1500" s="13" t="inlineStr">
        <is>
          <t>E</t>
        </is>
      </c>
      <c r="F1500" s="13" t="n">
        <v>2020</v>
      </c>
      <c r="G1500" s="14" t="n">
        <v>8006291.158263323</v>
      </c>
      <c r="H1500" s="14" t="n">
        <v>3091381.730853841</v>
      </c>
      <c r="I1500" s="14" t="n">
        <v>78821.22162242216</v>
      </c>
      <c r="J1500" s="14" t="n">
        <v>0</v>
      </c>
      <c r="K1500" s="14" t="n">
        <v>141568.1180095</v>
      </c>
      <c r="L1500" s="14" t="n">
        <v>4694520.087777561</v>
      </c>
      <c r="M1500" s="14" t="n">
        <v>0</v>
      </c>
      <c r="N1500" s="14" t="n">
        <v>3091381.730853841</v>
      </c>
      <c r="O1500" s="14" t="n">
        <v>3311771.070485764</v>
      </c>
      <c r="P1500" s="14" t="n">
        <v>0</v>
      </c>
      <c r="Q1500" s="14" t="n">
        <v>28041218.74520051</v>
      </c>
      <c r="R1500" s="15">
        <f>IF(D1500=1,"Section 1","Control")</f>
        <v/>
      </c>
      <c r="S1500" s="16">
        <f>N1500/10000</f>
        <v/>
      </c>
      <c r="T1500" s="16">
        <f>P1500/10000</f>
        <v/>
      </c>
      <c r="U1500" s="15">
        <f>IF(N1500&gt;=Summary!$D$3,1,0)</f>
        <v/>
      </c>
      <c r="V1500" s="17">
        <f>IF(N1500&gt;0,P1500/N1500,"")</f>
        <v/>
      </c>
      <c r="W1500" s="17">
        <f>IF(O1500&gt;0,H1500/O1500,"")</f>
        <v/>
      </c>
    </row>
    <row r="1501">
      <c r="A1501" s="13" t="inlineStr">
        <is>
          <t>CE07_B3</t>
        </is>
      </c>
      <c r="B1501" s="13" t="inlineStr">
        <is>
          <t>CE07</t>
        </is>
      </c>
      <c r="C1501" s="13" t="inlineStr">
        <is>
          <t>B3</t>
        </is>
      </c>
      <c r="D1501" s="13" t="n">
        <v>0</v>
      </c>
      <c r="E1501" s="13" t="inlineStr">
        <is>
          <t>E</t>
        </is>
      </c>
      <c r="F1501" s="13" t="n">
        <v>2021</v>
      </c>
      <c r="G1501" s="14" t="n">
        <v>8006291.158263324</v>
      </c>
      <c r="H1501" s="14" t="n">
        <v>2992460.612036163</v>
      </c>
      <c r="I1501" s="14" t="n">
        <v>62288.60433331658</v>
      </c>
      <c r="J1501" s="14" t="n">
        <v>0</v>
      </c>
      <c r="K1501" s="14" t="n">
        <v>599421.9281837015</v>
      </c>
      <c r="L1501" s="14" t="n">
        <v>4352120.013710141</v>
      </c>
      <c r="M1501" s="14" t="n">
        <v>0</v>
      </c>
      <c r="N1501" s="14" t="n">
        <v>3091381.730853841</v>
      </c>
      <c r="O1501" s="14" t="n">
        <v>3311771.070485764</v>
      </c>
      <c r="P1501" s="14" t="n">
        <v>110643.5400554283</v>
      </c>
      <c r="Q1501" s="14" t="n">
        <v>28041218.7452005</v>
      </c>
      <c r="R1501" s="15">
        <f>IF(D1501=1,"Section 1","Control")</f>
        <v/>
      </c>
      <c r="S1501" s="16">
        <f>N1501/10000</f>
        <v/>
      </c>
      <c r="T1501" s="16">
        <f>P1501/10000</f>
        <v/>
      </c>
      <c r="U1501" s="15">
        <f>IF(N1501&gt;=Summary!$D$3,1,0)</f>
        <v/>
      </c>
      <c r="V1501" s="17">
        <f>IF(N1501&gt;0,P1501/N1501,"")</f>
        <v/>
      </c>
      <c r="W1501" s="17">
        <f>IF(O1501&gt;0,H1501/O1501,"")</f>
        <v/>
      </c>
    </row>
    <row r="1502">
      <c r="A1502" s="13" t="inlineStr">
        <is>
          <t>CE07_B3</t>
        </is>
      </c>
      <c r="B1502" s="13" t="inlineStr">
        <is>
          <t>CE07</t>
        </is>
      </c>
      <c r="C1502" s="13" t="inlineStr">
        <is>
          <t>B3</t>
        </is>
      </c>
      <c r="D1502" s="13" t="n">
        <v>0</v>
      </c>
      <c r="E1502" s="13" t="inlineStr">
        <is>
          <t>E</t>
        </is>
      </c>
      <c r="F1502" s="13" t="n">
        <v>2022</v>
      </c>
      <c r="G1502" s="14" t="n">
        <v>8006291.158263324</v>
      </c>
      <c r="H1502" s="14" t="n">
        <v>2996783.699298156</v>
      </c>
      <c r="I1502" s="14" t="n">
        <v>50904.29698205088</v>
      </c>
      <c r="J1502" s="14" t="n">
        <v>0</v>
      </c>
      <c r="K1502" s="14" t="n">
        <v>271946.7196721993</v>
      </c>
      <c r="L1502" s="14" t="n">
        <v>4686656.442310917</v>
      </c>
      <c r="M1502" s="14" t="n">
        <v>0</v>
      </c>
      <c r="N1502" s="14" t="n">
        <v>3091381.730853841</v>
      </c>
      <c r="O1502" s="14" t="n">
        <v>3311771.070485764</v>
      </c>
      <c r="P1502" s="14" t="n">
        <v>117266.771080795</v>
      </c>
      <c r="Q1502" s="14" t="n">
        <v>28041218.7452005</v>
      </c>
      <c r="R1502" s="15">
        <f>IF(D1502=1,"Section 1","Control")</f>
        <v/>
      </c>
      <c r="S1502" s="16">
        <f>N1502/10000</f>
        <v/>
      </c>
      <c r="T1502" s="16">
        <f>P1502/10000</f>
        <v/>
      </c>
      <c r="U1502" s="15">
        <f>IF(N1502&gt;=Summary!$D$3,1,0)</f>
        <v/>
      </c>
      <c r="V1502" s="17">
        <f>IF(N1502&gt;0,P1502/N1502,"")</f>
        <v/>
      </c>
      <c r="W1502" s="17">
        <f>IF(O1502&gt;0,H1502/O1502,"")</f>
        <v/>
      </c>
    </row>
    <row r="1503">
      <c r="A1503" s="13" t="inlineStr">
        <is>
          <t>CE07_B3</t>
        </is>
      </c>
      <c r="B1503" s="13" t="inlineStr">
        <is>
          <t>CE07</t>
        </is>
      </c>
      <c r="C1503" s="13" t="inlineStr">
        <is>
          <t>B3</t>
        </is>
      </c>
      <c r="D1503" s="13" t="n">
        <v>0</v>
      </c>
      <c r="E1503" s="13" t="inlineStr">
        <is>
          <t>E</t>
        </is>
      </c>
      <c r="F1503" s="13" t="n">
        <v>2023</v>
      </c>
      <c r="G1503" s="14" t="n">
        <v>8006291.158263324</v>
      </c>
      <c r="H1503" s="14" t="n">
        <v>2987919.721598338</v>
      </c>
      <c r="I1503" s="14" t="n">
        <v>76670.58181547277</v>
      </c>
      <c r="J1503" s="14" t="n">
        <v>0</v>
      </c>
      <c r="K1503" s="14" t="n">
        <v>227421.0551991781</v>
      </c>
      <c r="L1503" s="14" t="n">
        <v>4714279.799650334</v>
      </c>
      <c r="M1503" s="14" t="n">
        <v>0</v>
      </c>
      <c r="N1503" s="14" t="n">
        <v>3091381.73085384</v>
      </c>
      <c r="O1503" s="14" t="n">
        <v>3311771.070485763</v>
      </c>
      <c r="P1503" s="14" t="n">
        <v>127163.2980274276</v>
      </c>
      <c r="Q1503" s="14" t="n">
        <v>28041218.74520051</v>
      </c>
      <c r="R1503" s="15">
        <f>IF(D1503=1,"Section 1","Control")</f>
        <v/>
      </c>
      <c r="S1503" s="16">
        <f>N1503/10000</f>
        <v/>
      </c>
      <c r="T1503" s="16">
        <f>P1503/10000</f>
        <v/>
      </c>
      <c r="U1503" s="15">
        <f>IF(N1503&gt;=Summary!$D$3,1,0)</f>
        <v/>
      </c>
      <c r="V1503" s="17">
        <f>IF(N1503&gt;0,P1503/N1503,"")</f>
        <v/>
      </c>
      <c r="W1503" s="17">
        <f>IF(O1503&gt;0,H1503/O1503,"")</f>
        <v/>
      </c>
    </row>
    <row r="1504">
      <c r="A1504" s="13" t="inlineStr">
        <is>
          <t>CE07_B3</t>
        </is>
      </c>
      <c r="B1504" s="13" t="inlineStr">
        <is>
          <t>CE07</t>
        </is>
      </c>
      <c r="C1504" s="13" t="inlineStr">
        <is>
          <t>B3</t>
        </is>
      </c>
      <c r="D1504" s="13" t="n">
        <v>0</v>
      </c>
      <c r="E1504" s="13" t="inlineStr">
        <is>
          <t>E</t>
        </is>
      </c>
      <c r="F1504" s="13" t="n">
        <v>2024</v>
      </c>
      <c r="G1504" s="14" t="n">
        <v>8006291.158263324</v>
      </c>
      <c r="H1504" s="14" t="n">
        <v>3005333.990225639</v>
      </c>
      <c r="I1504" s="14" t="n">
        <v>61658.73112532673</v>
      </c>
      <c r="J1504" s="14" t="n">
        <v>0</v>
      </c>
      <c r="K1504" s="14" t="n">
        <v>265817.3836553835</v>
      </c>
      <c r="L1504" s="14" t="n">
        <v>4673481.053256975</v>
      </c>
      <c r="M1504" s="14" t="n">
        <v>0</v>
      </c>
      <c r="N1504" s="14" t="n">
        <v>3091381.73085384</v>
      </c>
      <c r="O1504" s="14" t="n">
        <v>3311771.070485763</v>
      </c>
      <c r="P1504" s="14" t="n">
        <v>134694.8855107027</v>
      </c>
      <c r="Q1504" s="14" t="n">
        <v>28041218.74520051</v>
      </c>
      <c r="R1504" s="15">
        <f>IF(D1504=1,"Section 1","Control")</f>
        <v/>
      </c>
      <c r="S1504" s="16">
        <f>N1504/10000</f>
        <v/>
      </c>
      <c r="T1504" s="16">
        <f>P1504/10000</f>
        <v/>
      </c>
      <c r="U1504" s="15">
        <f>IF(N1504&gt;=Summary!$D$3,1,0)</f>
        <v/>
      </c>
      <c r="V1504" s="17">
        <f>IF(N1504&gt;0,P1504/N1504,"")</f>
        <v/>
      </c>
      <c r="W1504" s="17">
        <f>IF(O1504&gt;0,H1504/O1504,"")</f>
        <v/>
      </c>
    </row>
    <row r="1505">
      <c r="A1505" s="13" t="inlineStr">
        <is>
          <t>CE07_B3</t>
        </is>
      </c>
      <c r="B1505" s="13" t="inlineStr">
        <is>
          <t>CE07</t>
        </is>
      </c>
      <c r="C1505" s="13" t="inlineStr">
        <is>
          <t>B3</t>
        </is>
      </c>
      <c r="D1505" s="13" t="n">
        <v>0</v>
      </c>
      <c r="E1505" s="13" t="inlineStr">
        <is>
          <t>E</t>
        </is>
      </c>
      <c r="F1505" s="13" t="n">
        <v>2025</v>
      </c>
      <c r="G1505" s="14" t="n">
        <v>8006291.158263324</v>
      </c>
      <c r="H1505" s="14" t="n">
        <v>2944302.013486377</v>
      </c>
      <c r="I1505" s="14" t="n">
        <v>88771.8015807507</v>
      </c>
      <c r="J1505" s="14" t="n">
        <v>0</v>
      </c>
      <c r="K1505" s="14" t="n">
        <v>271903.938120165</v>
      </c>
      <c r="L1505" s="14" t="n">
        <v>4701313.405076031</v>
      </c>
      <c r="M1505" s="14" t="n">
        <v>0</v>
      </c>
      <c r="N1505" s="14" t="n">
        <v>3091381.73085384</v>
      </c>
      <c r="O1505" s="14" t="n">
        <v>3311771.070485763</v>
      </c>
      <c r="P1505" s="14" t="n">
        <v>183547.5945065966</v>
      </c>
      <c r="Q1505" s="14" t="n">
        <v>28041218.74520051</v>
      </c>
      <c r="R1505" s="15">
        <f>IF(D1505=1,"Section 1","Control")</f>
        <v/>
      </c>
      <c r="S1505" s="16">
        <f>N1505/10000</f>
        <v/>
      </c>
      <c r="T1505" s="16">
        <f>P1505/10000</f>
        <v/>
      </c>
      <c r="U1505" s="15">
        <f>IF(N1505&gt;=Summary!$D$3,1,0)</f>
        <v/>
      </c>
      <c r="V1505" s="17">
        <f>IF(N1505&gt;0,P1505/N1505,"")</f>
        <v/>
      </c>
      <c r="W1505" s="17">
        <f>IF(O1505&gt;0,H1505/O1505,"")</f>
        <v/>
      </c>
    </row>
    <row r="1506">
      <c r="A1506" s="13" t="inlineStr">
        <is>
          <t>CE07_B3</t>
        </is>
      </c>
      <c r="B1506" s="13" t="inlineStr">
        <is>
          <t>CE07</t>
        </is>
      </c>
      <c r="C1506" s="13" t="inlineStr">
        <is>
          <t>B3</t>
        </is>
      </c>
      <c r="D1506" s="13" t="n">
        <v>0</v>
      </c>
      <c r="E1506" s="13" t="inlineStr">
        <is>
          <t>E</t>
        </is>
      </c>
      <c r="F1506" s="13" t="n">
        <v>2026</v>
      </c>
      <c r="G1506" s="14" t="n">
        <v>8006291.158263324</v>
      </c>
      <c r="H1506" s="14" t="n">
        <v>2947088.395701749</v>
      </c>
      <c r="I1506" s="14" t="n">
        <v>15933.85503997803</v>
      </c>
      <c r="J1506" s="14" t="n">
        <v>0</v>
      </c>
      <c r="K1506" s="14" t="n">
        <v>336104.0463168275</v>
      </c>
      <c r="L1506" s="14" t="n">
        <v>4707164.861204769</v>
      </c>
      <c r="M1506" s="14" t="n">
        <v>0</v>
      </c>
      <c r="N1506" s="14" t="n">
        <v>3091381.73085384</v>
      </c>
      <c r="O1506" s="14" t="n">
        <v>3311771.070485763</v>
      </c>
      <c r="P1506" s="14" t="n">
        <v>187283.5033295576</v>
      </c>
      <c r="Q1506" s="14" t="n">
        <v>28041218.7452005</v>
      </c>
      <c r="R1506" s="15">
        <f>IF(D1506=1,"Section 1","Control")</f>
        <v/>
      </c>
      <c r="S1506" s="16">
        <f>N1506/10000</f>
        <v/>
      </c>
      <c r="T1506" s="16">
        <f>P1506/10000</f>
        <v/>
      </c>
      <c r="U1506" s="15">
        <f>IF(N1506&gt;=Summary!$D$3,1,0)</f>
        <v/>
      </c>
      <c r="V1506" s="17">
        <f>IF(N1506&gt;0,P1506/N1506,"")</f>
        <v/>
      </c>
      <c r="W1506" s="17">
        <f>IF(O1506&gt;0,H1506/O1506,"")</f>
        <v/>
      </c>
    </row>
    <row r="1507">
      <c r="A1507" s="13" t="inlineStr">
        <is>
          <t>CE07_F</t>
        </is>
      </c>
      <c r="B1507" s="13" t="inlineStr">
        <is>
          <t>CE07</t>
        </is>
      </c>
      <c r="C1507" s="13" t="inlineStr">
        <is>
          <t>F</t>
        </is>
      </c>
      <c r="D1507" s="13" t="n">
        <v>0</v>
      </c>
      <c r="E1507" s="13" t="inlineStr">
        <is>
          <t>E</t>
        </is>
      </c>
      <c r="F1507" s="13" t="n">
        <v>2020</v>
      </c>
      <c r="G1507" s="14" t="n">
        <v>69461.15235335405</v>
      </c>
      <c r="H1507" s="14" t="n">
        <v>6425.689347988951</v>
      </c>
      <c r="I1507" s="14" t="n">
        <v>46653.56594340006</v>
      </c>
      <c r="J1507" s="14" t="n">
        <v>0</v>
      </c>
      <c r="K1507" s="14" t="n">
        <v>16381.89706196505</v>
      </c>
      <c r="L1507" s="14" t="n">
        <v>0</v>
      </c>
      <c r="M1507" s="14" t="n">
        <v>0</v>
      </c>
      <c r="N1507" s="14" t="n">
        <v>6425.689347988951</v>
      </c>
      <c r="O1507" s="14" t="n">
        <v>69461.15235335405</v>
      </c>
      <c r="P1507" s="14" t="n">
        <v>0</v>
      </c>
      <c r="Q1507" s="14" t="n">
        <v>516097.8440274107</v>
      </c>
      <c r="R1507" s="15">
        <f>IF(D1507=1,"Section 1","Control")</f>
        <v/>
      </c>
      <c r="S1507" s="16">
        <f>N1507/10000</f>
        <v/>
      </c>
      <c r="T1507" s="16">
        <f>P1507/10000</f>
        <v/>
      </c>
      <c r="U1507" s="15">
        <f>IF(N1507&gt;=Summary!$D$3,1,0)</f>
        <v/>
      </c>
      <c r="V1507" s="17">
        <f>IF(N1507&gt;0,P1507/N1507,"")</f>
        <v/>
      </c>
      <c r="W1507" s="17">
        <f>IF(O1507&gt;0,H1507/O1507,"")</f>
        <v/>
      </c>
    </row>
    <row r="1508">
      <c r="A1508" s="13" t="inlineStr">
        <is>
          <t>CE07_F</t>
        </is>
      </c>
      <c r="B1508" s="13" t="inlineStr">
        <is>
          <t>CE07</t>
        </is>
      </c>
      <c r="C1508" s="13" t="inlineStr">
        <is>
          <t>F</t>
        </is>
      </c>
      <c r="D1508" s="13" t="n">
        <v>0</v>
      </c>
      <c r="E1508" s="13" t="inlineStr">
        <is>
          <t>E</t>
        </is>
      </c>
      <c r="F1508" s="13" t="n">
        <v>2021</v>
      </c>
      <c r="G1508" s="14" t="n">
        <v>69461.15235335405</v>
      </c>
      <c r="H1508" s="14" t="n">
        <v>6443.497664148666</v>
      </c>
      <c r="I1508" s="14" t="n">
        <v>44176.51774947222</v>
      </c>
      <c r="J1508" s="14" t="n">
        <v>0</v>
      </c>
      <c r="K1508" s="14" t="n">
        <v>18841.13693973317</v>
      </c>
      <c r="L1508" s="14" t="n">
        <v>0</v>
      </c>
      <c r="M1508" s="14" t="n">
        <v>0</v>
      </c>
      <c r="N1508" s="14" t="n">
        <v>6425.689347988951</v>
      </c>
      <c r="O1508" s="14" t="n">
        <v>69461.15235335405</v>
      </c>
      <c r="P1508" s="14" t="n">
        <v>729.4097880344765</v>
      </c>
      <c r="Q1508" s="14" t="n">
        <v>516097.8440274107</v>
      </c>
      <c r="R1508" s="15">
        <f>IF(D1508=1,"Section 1","Control")</f>
        <v/>
      </c>
      <c r="S1508" s="16">
        <f>N1508/10000</f>
        <v/>
      </c>
      <c r="T1508" s="16">
        <f>P1508/10000</f>
        <v/>
      </c>
      <c r="U1508" s="15">
        <f>IF(N1508&gt;=Summary!$D$3,1,0)</f>
        <v/>
      </c>
      <c r="V1508" s="17">
        <f>IF(N1508&gt;0,P1508/N1508,"")</f>
        <v/>
      </c>
      <c r="W1508" s="17">
        <f>IF(O1508&gt;0,H1508/O1508,"")</f>
        <v/>
      </c>
    </row>
    <row r="1509">
      <c r="A1509" s="13" t="inlineStr">
        <is>
          <t>CE07_F</t>
        </is>
      </c>
      <c r="B1509" s="13" t="inlineStr">
        <is>
          <t>CE07</t>
        </is>
      </c>
      <c r="C1509" s="13" t="inlineStr">
        <is>
          <t>F</t>
        </is>
      </c>
      <c r="D1509" s="13" t="n">
        <v>0</v>
      </c>
      <c r="E1509" s="13" t="inlineStr">
        <is>
          <t>E</t>
        </is>
      </c>
      <c r="F1509" s="13" t="n">
        <v>2022</v>
      </c>
      <c r="G1509" s="14" t="n">
        <v>69461.15235335405</v>
      </c>
      <c r="H1509" s="14" t="n">
        <v>7592.201886734308</v>
      </c>
      <c r="I1509" s="14" t="n">
        <v>38141.8557544783</v>
      </c>
      <c r="J1509" s="14" t="n">
        <v>0</v>
      </c>
      <c r="K1509" s="14" t="n">
        <v>23727.09471214145</v>
      </c>
      <c r="L1509" s="14" t="n">
        <v>0</v>
      </c>
      <c r="M1509" s="14" t="n">
        <v>0</v>
      </c>
      <c r="N1509" s="14" t="n">
        <v>6425.689347988951</v>
      </c>
      <c r="O1509" s="14" t="n">
        <v>69461.15235335405</v>
      </c>
      <c r="P1509" s="14" t="n">
        <v>531.9578989963906</v>
      </c>
      <c r="Q1509" s="14" t="n">
        <v>516097.8440274107</v>
      </c>
      <c r="R1509" s="15">
        <f>IF(D1509=1,"Section 1","Control")</f>
        <v/>
      </c>
      <c r="S1509" s="16">
        <f>N1509/10000</f>
        <v/>
      </c>
      <c r="T1509" s="16">
        <f>P1509/10000</f>
        <v/>
      </c>
      <c r="U1509" s="15">
        <f>IF(N1509&gt;=Summary!$D$3,1,0)</f>
        <v/>
      </c>
      <c r="V1509" s="17">
        <f>IF(N1509&gt;0,P1509/N1509,"")</f>
        <v/>
      </c>
      <c r="W1509" s="17">
        <f>IF(O1509&gt;0,H1509/O1509,"")</f>
        <v/>
      </c>
    </row>
    <row r="1510">
      <c r="A1510" s="13" t="inlineStr">
        <is>
          <t>CE07_F</t>
        </is>
      </c>
      <c r="B1510" s="13" t="inlineStr">
        <is>
          <t>CE07</t>
        </is>
      </c>
      <c r="C1510" s="13" t="inlineStr">
        <is>
          <t>F</t>
        </is>
      </c>
      <c r="D1510" s="13" t="n">
        <v>0</v>
      </c>
      <c r="E1510" s="13" t="inlineStr">
        <is>
          <t>E</t>
        </is>
      </c>
      <c r="F1510" s="13" t="n">
        <v>2023</v>
      </c>
      <c r="G1510" s="14" t="n">
        <v>69461.15235335405</v>
      </c>
      <c r="H1510" s="14" t="n">
        <v>7098.572621902765</v>
      </c>
      <c r="I1510" s="14" t="n">
        <v>45543.96729299508</v>
      </c>
      <c r="J1510" s="14" t="n">
        <v>0</v>
      </c>
      <c r="K1510" s="14" t="n">
        <v>16818.61243845622</v>
      </c>
      <c r="L1510" s="14" t="n">
        <v>0</v>
      </c>
      <c r="M1510" s="14" t="n">
        <v>0</v>
      </c>
      <c r="N1510" s="14" t="n">
        <v>6425.689347988951</v>
      </c>
      <c r="O1510" s="14" t="n">
        <v>69461.15235335405</v>
      </c>
      <c r="P1510" s="14" t="n">
        <v>531.9578989963906</v>
      </c>
      <c r="Q1510" s="14" t="n">
        <v>516097.8440274107</v>
      </c>
      <c r="R1510" s="15">
        <f>IF(D1510=1,"Section 1","Control")</f>
        <v/>
      </c>
      <c r="S1510" s="16">
        <f>N1510/10000</f>
        <v/>
      </c>
      <c r="T1510" s="16">
        <f>P1510/10000</f>
        <v/>
      </c>
      <c r="U1510" s="15">
        <f>IF(N1510&gt;=Summary!$D$3,1,0)</f>
        <v/>
      </c>
      <c r="V1510" s="17">
        <f>IF(N1510&gt;0,P1510/N1510,"")</f>
        <v/>
      </c>
      <c r="W1510" s="17">
        <f>IF(O1510&gt;0,H1510/O1510,"")</f>
        <v/>
      </c>
    </row>
    <row r="1511">
      <c r="A1511" s="13" t="inlineStr">
        <is>
          <t>CE07_F</t>
        </is>
      </c>
      <c r="B1511" s="13" t="inlineStr">
        <is>
          <t>CE07</t>
        </is>
      </c>
      <c r="C1511" s="13" t="inlineStr">
        <is>
          <t>F</t>
        </is>
      </c>
      <c r="D1511" s="13" t="n">
        <v>0</v>
      </c>
      <c r="E1511" s="13" t="inlineStr">
        <is>
          <t>E</t>
        </is>
      </c>
      <c r="F1511" s="13" t="n">
        <v>2024</v>
      </c>
      <c r="G1511" s="14" t="n">
        <v>69461.15235335405</v>
      </c>
      <c r="H1511" s="14" t="n">
        <v>9364.619530322503</v>
      </c>
      <c r="I1511" s="14" t="n">
        <v>45030.59388879514</v>
      </c>
      <c r="J1511" s="14" t="n">
        <v>0</v>
      </c>
      <c r="K1511" s="14" t="n">
        <v>15065.93893423642</v>
      </c>
      <c r="L1511" s="14" t="n">
        <v>0</v>
      </c>
      <c r="M1511" s="14" t="n">
        <v>0</v>
      </c>
      <c r="N1511" s="14" t="n">
        <v>6425.689347988951</v>
      </c>
      <c r="O1511" s="14" t="n">
        <v>69461.15235335405</v>
      </c>
      <c r="P1511" s="14" t="n">
        <v>470.3993641273648</v>
      </c>
      <c r="Q1511" s="14" t="n">
        <v>516097.8440274107</v>
      </c>
      <c r="R1511" s="15">
        <f>IF(D1511=1,"Section 1","Control")</f>
        <v/>
      </c>
      <c r="S1511" s="16">
        <f>N1511/10000</f>
        <v/>
      </c>
      <c r="T1511" s="16">
        <f>P1511/10000</f>
        <v/>
      </c>
      <c r="U1511" s="15">
        <f>IF(N1511&gt;=Summary!$D$3,1,0)</f>
        <v/>
      </c>
      <c r="V1511" s="17">
        <f>IF(N1511&gt;0,P1511/N1511,"")</f>
        <v/>
      </c>
      <c r="W1511" s="17">
        <f>IF(O1511&gt;0,H1511/O1511,"")</f>
        <v/>
      </c>
    </row>
    <row r="1512">
      <c r="A1512" s="13" t="inlineStr">
        <is>
          <t>CE07_F</t>
        </is>
      </c>
      <c r="B1512" s="13" t="inlineStr">
        <is>
          <t>CE07</t>
        </is>
      </c>
      <c r="C1512" s="13" t="inlineStr">
        <is>
          <t>F</t>
        </is>
      </c>
      <c r="D1512" s="13" t="n">
        <v>0</v>
      </c>
      <c r="E1512" s="13" t="inlineStr">
        <is>
          <t>E</t>
        </is>
      </c>
      <c r="F1512" s="13" t="n">
        <v>2025</v>
      </c>
      <c r="G1512" s="14" t="n">
        <v>69461.15235335405</v>
      </c>
      <c r="H1512" s="14" t="n">
        <v>8461.763578975902</v>
      </c>
      <c r="I1512" s="14" t="n">
        <v>45717.80118342381</v>
      </c>
      <c r="J1512" s="14" t="n">
        <v>0</v>
      </c>
      <c r="K1512" s="14" t="n">
        <v>15281.58759095435</v>
      </c>
      <c r="L1512" s="14" t="n">
        <v>0</v>
      </c>
      <c r="M1512" s="14" t="n">
        <v>0</v>
      </c>
      <c r="N1512" s="14" t="n">
        <v>6425.689347988951</v>
      </c>
      <c r="O1512" s="14" t="n">
        <v>69461.15235335405</v>
      </c>
      <c r="P1512" s="14" t="n">
        <v>856.7846514234355</v>
      </c>
      <c r="Q1512" s="14" t="n">
        <v>516097.8440274107</v>
      </c>
      <c r="R1512" s="15">
        <f>IF(D1512=1,"Section 1","Control")</f>
        <v/>
      </c>
      <c r="S1512" s="16">
        <f>N1512/10000</f>
        <v/>
      </c>
      <c r="T1512" s="16">
        <f>P1512/10000</f>
        <v/>
      </c>
      <c r="U1512" s="15">
        <f>IF(N1512&gt;=Summary!$D$3,1,0)</f>
        <v/>
      </c>
      <c r="V1512" s="17">
        <f>IF(N1512&gt;0,P1512/N1512,"")</f>
        <v/>
      </c>
      <c r="W1512" s="17">
        <f>IF(O1512&gt;0,H1512/O1512,"")</f>
        <v/>
      </c>
    </row>
    <row r="1513">
      <c r="A1513" s="13" t="inlineStr">
        <is>
          <t>CE07_F</t>
        </is>
      </c>
      <c r="B1513" s="13" t="inlineStr">
        <is>
          <t>CE07</t>
        </is>
      </c>
      <c r="C1513" s="13" t="inlineStr">
        <is>
          <t>F</t>
        </is>
      </c>
      <c r="D1513" s="13" t="n">
        <v>0</v>
      </c>
      <c r="E1513" s="13" t="inlineStr">
        <is>
          <t>E</t>
        </is>
      </c>
      <c r="F1513" s="13" t="n">
        <v>2026</v>
      </c>
      <c r="G1513" s="14" t="n">
        <v>69461.15235335405</v>
      </c>
      <c r="H1513" s="14" t="n">
        <v>14778.27895418055</v>
      </c>
      <c r="I1513" s="14" t="n">
        <v>37804.25015767415</v>
      </c>
      <c r="J1513" s="14" t="n">
        <v>0</v>
      </c>
      <c r="K1513" s="14" t="n">
        <v>16878.62324149936</v>
      </c>
      <c r="L1513" s="14" t="n">
        <v>0</v>
      </c>
      <c r="M1513" s="14" t="n">
        <v>0</v>
      </c>
      <c r="N1513" s="14" t="n">
        <v>6425.689347988951</v>
      </c>
      <c r="O1513" s="14" t="n">
        <v>69461.15235335405</v>
      </c>
      <c r="P1513" s="14" t="n">
        <v>641.1367518406288</v>
      </c>
      <c r="Q1513" s="14" t="n">
        <v>516097.8440274107</v>
      </c>
      <c r="R1513" s="15">
        <f>IF(D1513=1,"Section 1","Control")</f>
        <v/>
      </c>
      <c r="S1513" s="16">
        <f>N1513/10000</f>
        <v/>
      </c>
      <c r="T1513" s="16">
        <f>P1513/10000</f>
        <v/>
      </c>
      <c r="U1513" s="15">
        <f>IF(N1513&gt;=Summary!$D$3,1,0)</f>
        <v/>
      </c>
      <c r="V1513" s="17">
        <f>IF(N1513&gt;0,P1513/N1513,"")</f>
        <v/>
      </c>
      <c r="W1513" s="17">
        <f>IF(O1513&gt;0,H1513/O1513,"")</f>
        <v/>
      </c>
    </row>
    <row r="1514">
      <c r="A1514" s="13" t="inlineStr">
        <is>
          <t>CE08_B1</t>
        </is>
      </c>
      <c r="B1514" s="13" t="inlineStr">
        <is>
          <t>CE08</t>
        </is>
      </c>
      <c r="C1514" s="13" t="inlineStr">
        <is>
          <t>B1</t>
        </is>
      </c>
      <c r="D1514" s="13" t="n">
        <v>0</v>
      </c>
      <c r="E1514" s="13" t="inlineStr">
        <is>
          <t>E</t>
        </is>
      </c>
      <c r="F1514" s="13" t="n">
        <v>2020</v>
      </c>
      <c r="G1514" s="14" t="n">
        <v>999987.3392800724</v>
      </c>
      <c r="H1514" s="14" t="n">
        <v>369698.2927144967</v>
      </c>
      <c r="I1514" s="14" t="n">
        <v>458762.9059564626</v>
      </c>
      <c r="J1514" s="14" t="n">
        <v>0</v>
      </c>
      <c r="K1514" s="14" t="n">
        <v>171526.1406091129</v>
      </c>
      <c r="L1514" s="14" t="n">
        <v>0</v>
      </c>
      <c r="M1514" s="14" t="n">
        <v>0</v>
      </c>
      <c r="N1514" s="14" t="n">
        <v>369698.2927144967</v>
      </c>
      <c r="O1514" s="14" t="n">
        <v>999987.3392800724</v>
      </c>
      <c r="P1514" s="14" t="n">
        <v>0</v>
      </c>
      <c r="Q1514" s="14" t="n">
        <v>6910290.108840344</v>
      </c>
      <c r="R1514" s="15">
        <f>IF(D1514=1,"Section 1","Control")</f>
        <v/>
      </c>
      <c r="S1514" s="16">
        <f>N1514/10000</f>
        <v/>
      </c>
      <c r="T1514" s="16">
        <f>P1514/10000</f>
        <v/>
      </c>
      <c r="U1514" s="15">
        <f>IF(N1514&gt;=Summary!$D$3,1,0)</f>
        <v/>
      </c>
      <c r="V1514" s="17">
        <f>IF(N1514&gt;0,P1514/N1514,"")</f>
        <v/>
      </c>
      <c r="W1514" s="17">
        <f>IF(O1514&gt;0,H1514/O1514,"")</f>
        <v/>
      </c>
    </row>
    <row r="1515">
      <c r="A1515" s="13" t="inlineStr">
        <is>
          <t>CE08_B1</t>
        </is>
      </c>
      <c r="B1515" s="13" t="inlineStr">
        <is>
          <t>CE08</t>
        </is>
      </c>
      <c r="C1515" s="13" t="inlineStr">
        <is>
          <t>B1</t>
        </is>
      </c>
      <c r="D1515" s="13" t="n">
        <v>0</v>
      </c>
      <c r="E1515" s="13" t="inlineStr">
        <is>
          <t>E</t>
        </is>
      </c>
      <c r="F1515" s="13" t="n">
        <v>2021</v>
      </c>
      <c r="G1515" s="14" t="n">
        <v>999987.3392800724</v>
      </c>
      <c r="H1515" s="14" t="n">
        <v>257103.7409454944</v>
      </c>
      <c r="I1515" s="14" t="n">
        <v>493666.3216509052</v>
      </c>
      <c r="J1515" s="14" t="n">
        <v>0</v>
      </c>
      <c r="K1515" s="14" t="n">
        <v>249217.2766836727</v>
      </c>
      <c r="L1515" s="14" t="n">
        <v>0</v>
      </c>
      <c r="M1515" s="14" t="n">
        <v>0</v>
      </c>
      <c r="N1515" s="14" t="n">
        <v>369698.2927144967</v>
      </c>
      <c r="O1515" s="14" t="n">
        <v>999987.3392800724</v>
      </c>
      <c r="P1515" s="14" t="n">
        <v>143107.3679244696</v>
      </c>
      <c r="Q1515" s="14" t="n">
        <v>6910290.108840344</v>
      </c>
      <c r="R1515" s="15">
        <f>IF(D1515=1,"Section 1","Control")</f>
        <v/>
      </c>
      <c r="S1515" s="16">
        <f>N1515/10000</f>
        <v/>
      </c>
      <c r="T1515" s="16">
        <f>P1515/10000</f>
        <v/>
      </c>
      <c r="U1515" s="15">
        <f>IF(N1515&gt;=Summary!$D$3,1,0)</f>
        <v/>
      </c>
      <c r="V1515" s="17">
        <f>IF(N1515&gt;0,P1515/N1515,"")</f>
        <v/>
      </c>
      <c r="W1515" s="17">
        <f>IF(O1515&gt;0,H1515/O1515,"")</f>
        <v/>
      </c>
    </row>
    <row r="1516">
      <c r="A1516" s="13" t="inlineStr">
        <is>
          <t>CE08_B1</t>
        </is>
      </c>
      <c r="B1516" s="13" t="inlineStr">
        <is>
          <t>CE08</t>
        </is>
      </c>
      <c r="C1516" s="13" t="inlineStr">
        <is>
          <t>B1</t>
        </is>
      </c>
      <c r="D1516" s="13" t="n">
        <v>0</v>
      </c>
      <c r="E1516" s="13" t="inlineStr">
        <is>
          <t>E</t>
        </is>
      </c>
      <c r="F1516" s="13" t="n">
        <v>2022</v>
      </c>
      <c r="G1516" s="14" t="n">
        <v>999987.3392800724</v>
      </c>
      <c r="H1516" s="14" t="n">
        <v>288836.7365754371</v>
      </c>
      <c r="I1516" s="14" t="n">
        <v>415000.290558729</v>
      </c>
      <c r="J1516" s="14" t="n">
        <v>0</v>
      </c>
      <c r="K1516" s="14" t="n">
        <v>296150.3121459064</v>
      </c>
      <c r="L1516" s="14" t="n">
        <v>0</v>
      </c>
      <c r="M1516" s="14" t="n">
        <v>0</v>
      </c>
      <c r="N1516" s="14" t="n">
        <v>369698.2927144967</v>
      </c>
      <c r="O1516" s="14" t="n">
        <v>999987.3392800724</v>
      </c>
      <c r="P1516" s="14" t="n">
        <v>143179.0659601847</v>
      </c>
      <c r="Q1516" s="14" t="n">
        <v>6910290.108840344</v>
      </c>
      <c r="R1516" s="15">
        <f>IF(D1516=1,"Section 1","Control")</f>
        <v/>
      </c>
      <c r="S1516" s="16">
        <f>N1516/10000</f>
        <v/>
      </c>
      <c r="T1516" s="16">
        <f>P1516/10000</f>
        <v/>
      </c>
      <c r="U1516" s="15">
        <f>IF(N1516&gt;=Summary!$D$3,1,0)</f>
        <v/>
      </c>
      <c r="V1516" s="17">
        <f>IF(N1516&gt;0,P1516/N1516,"")</f>
        <v/>
      </c>
      <c r="W1516" s="17">
        <f>IF(O1516&gt;0,H1516/O1516,"")</f>
        <v/>
      </c>
    </row>
    <row r="1517">
      <c r="A1517" s="13" t="inlineStr">
        <is>
          <t>CE08_B1</t>
        </is>
      </c>
      <c r="B1517" s="13" t="inlineStr">
        <is>
          <t>CE08</t>
        </is>
      </c>
      <c r="C1517" s="13" t="inlineStr">
        <is>
          <t>B1</t>
        </is>
      </c>
      <c r="D1517" s="13" t="n">
        <v>0</v>
      </c>
      <c r="E1517" s="13" t="inlineStr">
        <is>
          <t>E</t>
        </is>
      </c>
      <c r="F1517" s="13" t="n">
        <v>2023</v>
      </c>
      <c r="G1517" s="14" t="n">
        <v>999987.3392800724</v>
      </c>
      <c r="H1517" s="14" t="n">
        <v>270531.890540957</v>
      </c>
      <c r="I1517" s="14" t="n">
        <v>506178.0355213538</v>
      </c>
      <c r="J1517" s="14" t="n">
        <v>0</v>
      </c>
      <c r="K1517" s="14" t="n">
        <v>222092.6935674929</v>
      </c>
      <c r="L1517" s="14" t="n">
        <v>1184.719650268555</v>
      </c>
      <c r="M1517" s="14" t="n">
        <v>0</v>
      </c>
      <c r="N1517" s="14" t="n">
        <v>369698.2927144967</v>
      </c>
      <c r="O1517" s="14" t="n">
        <v>999987.3392800724</v>
      </c>
      <c r="P1517" s="14" t="n">
        <v>150642.7107301301</v>
      </c>
      <c r="Q1517" s="14" t="n">
        <v>6910290.108840344</v>
      </c>
      <c r="R1517" s="15">
        <f>IF(D1517=1,"Section 1","Control")</f>
        <v/>
      </c>
      <c r="S1517" s="16">
        <f>N1517/10000</f>
        <v/>
      </c>
      <c r="T1517" s="16">
        <f>P1517/10000</f>
        <v/>
      </c>
      <c r="U1517" s="15">
        <f>IF(N1517&gt;=Summary!$D$3,1,0)</f>
        <v/>
      </c>
      <c r="V1517" s="17">
        <f>IF(N1517&gt;0,P1517/N1517,"")</f>
        <v/>
      </c>
      <c r="W1517" s="17">
        <f>IF(O1517&gt;0,H1517/O1517,"")</f>
        <v/>
      </c>
    </row>
    <row r="1518">
      <c r="A1518" s="13" t="inlineStr">
        <is>
          <t>CE08_B1</t>
        </is>
      </c>
      <c r="B1518" s="13" t="inlineStr">
        <is>
          <t>CE08</t>
        </is>
      </c>
      <c r="C1518" s="13" t="inlineStr">
        <is>
          <t>B1</t>
        </is>
      </c>
      <c r="D1518" s="13" t="n">
        <v>0</v>
      </c>
      <c r="E1518" s="13" t="inlineStr">
        <is>
          <t>E</t>
        </is>
      </c>
      <c r="F1518" s="13" t="n">
        <v>2024</v>
      </c>
      <c r="G1518" s="14" t="n">
        <v>999987.3392800724</v>
      </c>
      <c r="H1518" s="14" t="n">
        <v>350316.4957493502</v>
      </c>
      <c r="I1518" s="14" t="n">
        <v>436943.6234616747</v>
      </c>
      <c r="J1518" s="14" t="n">
        <v>0</v>
      </c>
      <c r="K1518" s="14" t="n">
        <v>212727.2200690475</v>
      </c>
      <c r="L1518" s="14" t="n">
        <v>0</v>
      </c>
      <c r="M1518" s="14" t="n">
        <v>0</v>
      </c>
      <c r="N1518" s="14" t="n">
        <v>369698.2927144967</v>
      </c>
      <c r="O1518" s="14" t="n">
        <v>999987.3392800724</v>
      </c>
      <c r="P1518" s="14" t="n">
        <v>130173.1861094157</v>
      </c>
      <c r="Q1518" s="14" t="n">
        <v>6910290.108840344</v>
      </c>
      <c r="R1518" s="15">
        <f>IF(D1518=1,"Section 1","Control")</f>
        <v/>
      </c>
      <c r="S1518" s="16">
        <f>N1518/10000</f>
        <v/>
      </c>
      <c r="T1518" s="16">
        <f>P1518/10000</f>
        <v/>
      </c>
      <c r="U1518" s="15">
        <f>IF(N1518&gt;=Summary!$D$3,1,0)</f>
        <v/>
      </c>
      <c r="V1518" s="17">
        <f>IF(N1518&gt;0,P1518/N1518,"")</f>
        <v/>
      </c>
      <c r="W1518" s="17">
        <f>IF(O1518&gt;0,H1518/O1518,"")</f>
        <v/>
      </c>
    </row>
    <row r="1519">
      <c r="A1519" s="13" t="inlineStr">
        <is>
          <t>CE08_B1</t>
        </is>
      </c>
      <c r="B1519" s="13" t="inlineStr">
        <is>
          <t>CE08</t>
        </is>
      </c>
      <c r="C1519" s="13" t="inlineStr">
        <is>
          <t>B1</t>
        </is>
      </c>
      <c r="D1519" s="13" t="n">
        <v>0</v>
      </c>
      <c r="E1519" s="13" t="inlineStr">
        <is>
          <t>E</t>
        </is>
      </c>
      <c r="F1519" s="13" t="n">
        <v>2025</v>
      </c>
      <c r="G1519" s="14" t="n">
        <v>999987.3392800724</v>
      </c>
      <c r="H1519" s="14" t="n">
        <v>350930.2160419838</v>
      </c>
      <c r="I1519" s="14" t="n">
        <v>464225.6237931194</v>
      </c>
      <c r="J1519" s="14" t="n">
        <v>0</v>
      </c>
      <c r="K1519" s="14" t="n">
        <v>182462.0604496077</v>
      </c>
      <c r="L1519" s="14" t="n">
        <v>2369.438995361328</v>
      </c>
      <c r="M1519" s="14" t="n">
        <v>0</v>
      </c>
      <c r="N1519" s="14" t="n">
        <v>369698.2927144967</v>
      </c>
      <c r="O1519" s="14" t="n">
        <v>999987.3392800724</v>
      </c>
      <c r="P1519" s="14" t="n">
        <v>134772.2316977707</v>
      </c>
      <c r="Q1519" s="14" t="n">
        <v>6910290.108840344</v>
      </c>
      <c r="R1519" s="15">
        <f>IF(D1519=1,"Section 1","Control")</f>
        <v/>
      </c>
      <c r="S1519" s="16">
        <f>N1519/10000</f>
        <v/>
      </c>
      <c r="T1519" s="16">
        <f>P1519/10000</f>
        <v/>
      </c>
      <c r="U1519" s="15">
        <f>IF(N1519&gt;=Summary!$D$3,1,0)</f>
        <v/>
      </c>
      <c r="V1519" s="17">
        <f>IF(N1519&gt;0,P1519/N1519,"")</f>
        <v/>
      </c>
      <c r="W1519" s="17">
        <f>IF(O1519&gt;0,H1519/O1519,"")</f>
        <v/>
      </c>
    </row>
    <row r="1520">
      <c r="A1520" s="13" t="inlineStr">
        <is>
          <t>CE08_B1</t>
        </is>
      </c>
      <c r="B1520" s="13" t="inlineStr">
        <is>
          <t>CE08</t>
        </is>
      </c>
      <c r="C1520" s="13" t="inlineStr">
        <is>
          <t>B1</t>
        </is>
      </c>
      <c r="D1520" s="13" t="n">
        <v>0</v>
      </c>
      <c r="E1520" s="13" t="inlineStr">
        <is>
          <t>E</t>
        </is>
      </c>
      <c r="F1520" s="13" t="n">
        <v>2026</v>
      </c>
      <c r="G1520" s="14" t="n">
        <v>999987.3392800724</v>
      </c>
      <c r="H1520" s="14" t="n">
        <v>416401.7580852135</v>
      </c>
      <c r="I1520" s="14" t="n">
        <v>350301.7406264062</v>
      </c>
      <c r="J1520" s="14" t="n">
        <v>0</v>
      </c>
      <c r="K1520" s="14" t="n">
        <v>232296.57460013</v>
      </c>
      <c r="L1520" s="14" t="n">
        <v>987.265968322754</v>
      </c>
      <c r="M1520" s="14" t="n">
        <v>0</v>
      </c>
      <c r="N1520" s="14" t="n">
        <v>369698.2927144967</v>
      </c>
      <c r="O1520" s="14" t="n">
        <v>999987.3392800724</v>
      </c>
      <c r="P1520" s="14" t="n">
        <v>91680.54097140442</v>
      </c>
      <c r="Q1520" s="14" t="n">
        <v>6910290.108840344</v>
      </c>
      <c r="R1520" s="15">
        <f>IF(D1520=1,"Section 1","Control")</f>
        <v/>
      </c>
      <c r="S1520" s="16">
        <f>N1520/10000</f>
        <v/>
      </c>
      <c r="T1520" s="16">
        <f>P1520/10000</f>
        <v/>
      </c>
      <c r="U1520" s="15">
        <f>IF(N1520&gt;=Summary!$D$3,1,0)</f>
        <v/>
      </c>
      <c r="V1520" s="17">
        <f>IF(N1520&gt;0,P1520/N1520,"")</f>
        <v/>
      </c>
      <c r="W1520" s="17">
        <f>IF(O1520&gt;0,H1520/O1520,"")</f>
        <v/>
      </c>
    </row>
    <row r="1521">
      <c r="A1521" s="13" t="inlineStr">
        <is>
          <t>CE08_B2</t>
        </is>
      </c>
      <c r="B1521" s="13" t="inlineStr">
        <is>
          <t>CE08</t>
        </is>
      </c>
      <c r="C1521" s="13" t="inlineStr">
        <is>
          <t>B2</t>
        </is>
      </c>
      <c r="D1521" s="13" t="n">
        <v>0</v>
      </c>
      <c r="E1521" s="13" t="inlineStr">
        <is>
          <t>E</t>
        </is>
      </c>
      <c r="F1521" s="13" t="n">
        <v>2020</v>
      </c>
      <c r="G1521" s="14" t="n">
        <v>999613.8590799968</v>
      </c>
      <c r="H1521" s="14" t="n">
        <v>225921.9907358208</v>
      </c>
      <c r="I1521" s="14" t="n">
        <v>422089.7691933427</v>
      </c>
      <c r="J1521" s="14" t="n">
        <v>0</v>
      </c>
      <c r="K1521" s="14" t="n">
        <v>54026.38477753282</v>
      </c>
      <c r="L1521" s="14" t="n">
        <v>297575.7143733006</v>
      </c>
      <c r="M1521" s="14" t="n">
        <v>0</v>
      </c>
      <c r="N1521" s="14" t="n">
        <v>225921.9907358208</v>
      </c>
      <c r="O1521" s="14" t="n">
        <v>702038.1447066964</v>
      </c>
      <c r="P1521" s="14" t="n">
        <v>0</v>
      </c>
      <c r="Q1521" s="14" t="n">
        <v>5162796.972127398</v>
      </c>
      <c r="R1521" s="15">
        <f>IF(D1521=1,"Section 1","Control")</f>
        <v/>
      </c>
      <c r="S1521" s="16">
        <f>N1521/10000</f>
        <v/>
      </c>
      <c r="T1521" s="16">
        <f>P1521/10000</f>
        <v/>
      </c>
      <c r="U1521" s="15">
        <f>IF(N1521&gt;=Summary!$D$3,1,0)</f>
        <v/>
      </c>
      <c r="V1521" s="17">
        <f>IF(N1521&gt;0,P1521/N1521,"")</f>
        <v/>
      </c>
      <c r="W1521" s="17">
        <f>IF(O1521&gt;0,H1521/O1521,"")</f>
        <v/>
      </c>
    </row>
    <row r="1522">
      <c r="A1522" s="13" t="inlineStr">
        <is>
          <t>CE08_B2</t>
        </is>
      </c>
      <c r="B1522" s="13" t="inlineStr">
        <is>
          <t>CE08</t>
        </is>
      </c>
      <c r="C1522" s="13" t="inlineStr">
        <is>
          <t>B2</t>
        </is>
      </c>
      <c r="D1522" s="13" t="n">
        <v>0</v>
      </c>
      <c r="E1522" s="13" t="inlineStr">
        <is>
          <t>E</t>
        </is>
      </c>
      <c r="F1522" s="13" t="n">
        <v>2021</v>
      </c>
      <c r="G1522" s="14" t="n">
        <v>999613.8590799968</v>
      </c>
      <c r="H1522" s="14" t="n">
        <v>205499.8518159756</v>
      </c>
      <c r="I1522" s="14" t="n">
        <v>354724.393778483</v>
      </c>
      <c r="J1522" s="14" t="n">
        <v>0</v>
      </c>
      <c r="K1522" s="14" t="n">
        <v>130210.1705156514</v>
      </c>
      <c r="L1522" s="14" t="n">
        <v>309179.442969887</v>
      </c>
      <c r="M1522" s="14" t="n">
        <v>0</v>
      </c>
      <c r="N1522" s="14" t="n">
        <v>225921.9907358208</v>
      </c>
      <c r="O1522" s="14" t="n">
        <v>702038.1447066964</v>
      </c>
      <c r="P1522" s="14" t="n">
        <v>37589.3930987489</v>
      </c>
      <c r="Q1522" s="14" t="n">
        <v>5162796.972127398</v>
      </c>
      <c r="R1522" s="15">
        <f>IF(D1522=1,"Section 1","Control")</f>
        <v/>
      </c>
      <c r="S1522" s="16">
        <f>N1522/10000</f>
        <v/>
      </c>
      <c r="T1522" s="16">
        <f>P1522/10000</f>
        <v/>
      </c>
      <c r="U1522" s="15">
        <f>IF(N1522&gt;=Summary!$D$3,1,0)</f>
        <v/>
      </c>
      <c r="V1522" s="17">
        <f>IF(N1522&gt;0,P1522/N1522,"")</f>
        <v/>
      </c>
      <c r="W1522" s="17">
        <f>IF(O1522&gt;0,H1522/O1522,"")</f>
        <v/>
      </c>
    </row>
    <row r="1523">
      <c r="A1523" s="13" t="inlineStr">
        <is>
          <t>CE08_B2</t>
        </is>
      </c>
      <c r="B1523" s="13" t="inlineStr">
        <is>
          <t>CE08</t>
        </is>
      </c>
      <c r="C1523" s="13" t="inlineStr">
        <is>
          <t>B2</t>
        </is>
      </c>
      <c r="D1523" s="13" t="n">
        <v>0</v>
      </c>
      <c r="E1523" s="13" t="inlineStr">
        <is>
          <t>E</t>
        </is>
      </c>
      <c r="F1523" s="13" t="n">
        <v>2022</v>
      </c>
      <c r="G1523" s="14" t="n">
        <v>999613.8590799968</v>
      </c>
      <c r="H1523" s="14" t="n">
        <v>268820.7162387923</v>
      </c>
      <c r="I1523" s="14" t="n">
        <v>322210.9864582735</v>
      </c>
      <c r="J1523" s="14" t="n">
        <v>0</v>
      </c>
      <c r="K1523" s="14" t="n">
        <v>94866.68483488791</v>
      </c>
      <c r="L1523" s="14" t="n">
        <v>313715.4715480431</v>
      </c>
      <c r="M1523" s="14" t="n">
        <v>0</v>
      </c>
      <c r="N1523" s="14" t="n">
        <v>225921.9907358208</v>
      </c>
      <c r="O1523" s="14" t="n">
        <v>702038.1447066964</v>
      </c>
      <c r="P1523" s="14" t="n">
        <v>53148.79252633489</v>
      </c>
      <c r="Q1523" s="14" t="n">
        <v>5162796.972127398</v>
      </c>
      <c r="R1523" s="15">
        <f>IF(D1523=1,"Section 1","Control")</f>
        <v/>
      </c>
      <c r="S1523" s="16">
        <f>N1523/10000</f>
        <v/>
      </c>
      <c r="T1523" s="16">
        <f>P1523/10000</f>
        <v/>
      </c>
      <c r="U1523" s="15">
        <f>IF(N1523&gt;=Summary!$D$3,1,0)</f>
        <v/>
      </c>
      <c r="V1523" s="17">
        <f>IF(N1523&gt;0,P1523/N1523,"")</f>
        <v/>
      </c>
      <c r="W1523" s="17">
        <f>IF(O1523&gt;0,H1523/O1523,"")</f>
        <v/>
      </c>
    </row>
    <row r="1524">
      <c r="A1524" s="13" t="inlineStr">
        <is>
          <t>CE08_B2</t>
        </is>
      </c>
      <c r="B1524" s="13" t="inlineStr">
        <is>
          <t>CE08</t>
        </is>
      </c>
      <c r="C1524" s="13" t="inlineStr">
        <is>
          <t>B2</t>
        </is>
      </c>
      <c r="D1524" s="13" t="n">
        <v>0</v>
      </c>
      <c r="E1524" s="13" t="inlineStr">
        <is>
          <t>E</t>
        </is>
      </c>
      <c r="F1524" s="13" t="n">
        <v>2023</v>
      </c>
      <c r="G1524" s="14" t="n">
        <v>999613.8590799968</v>
      </c>
      <c r="H1524" s="14" t="n">
        <v>239972.9183652094</v>
      </c>
      <c r="I1524" s="14" t="n">
        <v>341778.5844167672</v>
      </c>
      <c r="J1524" s="14" t="n">
        <v>0</v>
      </c>
      <c r="K1524" s="14" t="n">
        <v>77751.52308699665</v>
      </c>
      <c r="L1524" s="14" t="n">
        <v>340110.8332110237</v>
      </c>
      <c r="M1524" s="14" t="n">
        <v>0</v>
      </c>
      <c r="N1524" s="14" t="n">
        <v>225921.9907358208</v>
      </c>
      <c r="O1524" s="14" t="n">
        <v>702038.1447066964</v>
      </c>
      <c r="P1524" s="14" t="n">
        <v>62047.96993456074</v>
      </c>
      <c r="Q1524" s="14" t="n">
        <v>5162796.972127398</v>
      </c>
      <c r="R1524" s="15">
        <f>IF(D1524=1,"Section 1","Control")</f>
        <v/>
      </c>
      <c r="S1524" s="16">
        <f>N1524/10000</f>
        <v/>
      </c>
      <c r="T1524" s="16">
        <f>P1524/10000</f>
        <v/>
      </c>
      <c r="U1524" s="15">
        <f>IF(N1524&gt;=Summary!$D$3,1,0)</f>
        <v/>
      </c>
      <c r="V1524" s="17">
        <f>IF(N1524&gt;0,P1524/N1524,"")</f>
        <v/>
      </c>
      <c r="W1524" s="17">
        <f>IF(O1524&gt;0,H1524/O1524,"")</f>
        <v/>
      </c>
    </row>
    <row r="1525">
      <c r="A1525" s="13" t="inlineStr">
        <is>
          <t>CE08_B2</t>
        </is>
      </c>
      <c r="B1525" s="13" t="inlineStr">
        <is>
          <t>CE08</t>
        </is>
      </c>
      <c r="C1525" s="13" t="inlineStr">
        <is>
          <t>B2</t>
        </is>
      </c>
      <c r="D1525" s="13" t="n">
        <v>0</v>
      </c>
      <c r="E1525" s="13" t="inlineStr">
        <is>
          <t>E</t>
        </is>
      </c>
      <c r="F1525" s="13" t="n">
        <v>2024</v>
      </c>
      <c r="G1525" s="14" t="n">
        <v>999613.8590799968</v>
      </c>
      <c r="H1525" s="14" t="n">
        <v>309146.8525020226</v>
      </c>
      <c r="I1525" s="14" t="n">
        <v>266658.8253940059</v>
      </c>
      <c r="J1525" s="14" t="n">
        <v>0</v>
      </c>
      <c r="K1525" s="14" t="n">
        <v>82315.16984184115</v>
      </c>
      <c r="L1525" s="14" t="n">
        <v>341493.0113421272</v>
      </c>
      <c r="M1525" s="14" t="n">
        <v>0</v>
      </c>
      <c r="N1525" s="14" t="n">
        <v>225921.9907358208</v>
      </c>
      <c r="O1525" s="14" t="n">
        <v>702038.1447066963</v>
      </c>
      <c r="P1525" s="14" t="n">
        <v>46748.74272024117</v>
      </c>
      <c r="Q1525" s="14" t="n">
        <v>5162796.972127398</v>
      </c>
      <c r="R1525" s="15">
        <f>IF(D1525=1,"Section 1","Control")</f>
        <v/>
      </c>
      <c r="S1525" s="16">
        <f>N1525/10000</f>
        <v/>
      </c>
      <c r="T1525" s="16">
        <f>P1525/10000</f>
        <v/>
      </c>
      <c r="U1525" s="15">
        <f>IF(N1525&gt;=Summary!$D$3,1,0)</f>
        <v/>
      </c>
      <c r="V1525" s="17">
        <f>IF(N1525&gt;0,P1525/N1525,"")</f>
        <v/>
      </c>
      <c r="W1525" s="17">
        <f>IF(O1525&gt;0,H1525/O1525,"")</f>
        <v/>
      </c>
    </row>
    <row r="1526">
      <c r="A1526" s="13" t="inlineStr">
        <is>
          <t>CE08_B2</t>
        </is>
      </c>
      <c r="B1526" s="13" t="inlineStr">
        <is>
          <t>CE08</t>
        </is>
      </c>
      <c r="C1526" s="13" t="inlineStr">
        <is>
          <t>B2</t>
        </is>
      </c>
      <c r="D1526" s="13" t="n">
        <v>0</v>
      </c>
      <c r="E1526" s="13" t="inlineStr">
        <is>
          <t>E</t>
        </is>
      </c>
      <c r="F1526" s="13" t="n">
        <v>2025</v>
      </c>
      <c r="G1526" s="14" t="n">
        <v>999613.8590799968</v>
      </c>
      <c r="H1526" s="14" t="n">
        <v>207225.4371953328</v>
      </c>
      <c r="I1526" s="14" t="n">
        <v>351107.1488294415</v>
      </c>
      <c r="J1526" s="14" t="n">
        <v>0</v>
      </c>
      <c r="K1526" s="14" t="n">
        <v>92655.13825731464</v>
      </c>
      <c r="L1526" s="14" t="n">
        <v>348626.1347979078</v>
      </c>
      <c r="M1526" s="14" t="n">
        <v>0</v>
      </c>
      <c r="N1526" s="14" t="n">
        <v>225921.9907358208</v>
      </c>
      <c r="O1526" s="14" t="n">
        <v>702038.1447066964</v>
      </c>
      <c r="P1526" s="14" t="n">
        <v>103425.2384427538</v>
      </c>
      <c r="Q1526" s="14" t="n">
        <v>5162796.972127398</v>
      </c>
      <c r="R1526" s="15">
        <f>IF(D1526=1,"Section 1","Control")</f>
        <v/>
      </c>
      <c r="S1526" s="16">
        <f>N1526/10000</f>
        <v/>
      </c>
      <c r="T1526" s="16">
        <f>P1526/10000</f>
        <v/>
      </c>
      <c r="U1526" s="15">
        <f>IF(N1526&gt;=Summary!$D$3,1,0)</f>
        <v/>
      </c>
      <c r="V1526" s="17">
        <f>IF(N1526&gt;0,P1526/N1526,"")</f>
        <v/>
      </c>
      <c r="W1526" s="17">
        <f>IF(O1526&gt;0,H1526/O1526,"")</f>
        <v/>
      </c>
    </row>
    <row r="1527">
      <c r="A1527" s="13" t="inlineStr">
        <is>
          <t>CE08_B2</t>
        </is>
      </c>
      <c r="B1527" s="13" t="inlineStr">
        <is>
          <t>CE08</t>
        </is>
      </c>
      <c r="C1527" s="13" t="inlineStr">
        <is>
          <t>B2</t>
        </is>
      </c>
      <c r="D1527" s="13" t="n">
        <v>0</v>
      </c>
      <c r="E1527" s="13" t="inlineStr">
        <is>
          <t>E</t>
        </is>
      </c>
      <c r="F1527" s="13" t="n">
        <v>2026</v>
      </c>
      <c r="G1527" s="14" t="n">
        <v>999613.8590799968</v>
      </c>
      <c r="H1527" s="14" t="n">
        <v>235553.7171437582</v>
      </c>
      <c r="I1527" s="14" t="n">
        <v>270859.3035199932</v>
      </c>
      <c r="J1527" s="14" t="n">
        <v>0</v>
      </c>
      <c r="K1527" s="14" t="n">
        <v>148449.8361073213</v>
      </c>
      <c r="L1527" s="14" t="n">
        <v>344751.0023089241</v>
      </c>
      <c r="M1527" s="14" t="n">
        <v>0</v>
      </c>
      <c r="N1527" s="14" t="n">
        <v>225921.9907358208</v>
      </c>
      <c r="O1527" s="14" t="n">
        <v>702038.1447066964</v>
      </c>
      <c r="P1527" s="14" t="n">
        <v>71764.32874719956</v>
      </c>
      <c r="Q1527" s="14" t="n">
        <v>5162796.972127398</v>
      </c>
      <c r="R1527" s="15">
        <f>IF(D1527=1,"Section 1","Control")</f>
        <v/>
      </c>
      <c r="S1527" s="16">
        <f>N1527/10000</f>
        <v/>
      </c>
      <c r="T1527" s="16">
        <f>P1527/10000</f>
        <v/>
      </c>
      <c r="U1527" s="15">
        <f>IF(N1527&gt;=Summary!$D$3,1,0)</f>
        <v/>
      </c>
      <c r="V1527" s="17">
        <f>IF(N1527&gt;0,P1527/N1527,"")</f>
        <v/>
      </c>
      <c r="W1527" s="17">
        <f>IF(O1527&gt;0,H1527/O1527,"")</f>
        <v/>
      </c>
    </row>
    <row r="1528">
      <c r="A1528" s="13" t="inlineStr">
        <is>
          <t>CE08_B3</t>
        </is>
      </c>
      <c r="B1528" s="13" t="inlineStr">
        <is>
          <t>CE08</t>
        </is>
      </c>
      <c r="C1528" s="13" t="inlineStr">
        <is>
          <t>B3</t>
        </is>
      </c>
      <c r="D1528" s="13" t="n">
        <v>0</v>
      </c>
      <c r="E1528" s="13" t="inlineStr">
        <is>
          <t>E</t>
        </is>
      </c>
      <c r="F1528" s="13" t="n">
        <v>2020</v>
      </c>
      <c r="G1528" s="14" t="n">
        <v>8151169.021282271</v>
      </c>
      <c r="H1528" s="14" t="n">
        <v>5169487.619659065</v>
      </c>
      <c r="I1528" s="14" t="n">
        <v>203035.0935188742</v>
      </c>
      <c r="J1528" s="14" t="n">
        <v>0</v>
      </c>
      <c r="K1528" s="14" t="n">
        <v>96650.99167178285</v>
      </c>
      <c r="L1528" s="14" t="n">
        <v>2681995.316432549</v>
      </c>
      <c r="M1528" s="14" t="n">
        <v>0</v>
      </c>
      <c r="N1528" s="14" t="n">
        <v>5169487.619659065</v>
      </c>
      <c r="O1528" s="14" t="n">
        <v>5469173.704849723</v>
      </c>
      <c r="P1528" s="14" t="n">
        <v>0</v>
      </c>
      <c r="Q1528" s="14" t="n">
        <v>48636120.21621372</v>
      </c>
      <c r="R1528" s="15">
        <f>IF(D1528=1,"Section 1","Control")</f>
        <v/>
      </c>
      <c r="S1528" s="16">
        <f>N1528/10000</f>
        <v/>
      </c>
      <c r="T1528" s="16">
        <f>P1528/10000</f>
        <v/>
      </c>
      <c r="U1528" s="15">
        <f>IF(N1528&gt;=Summary!$D$3,1,0)</f>
        <v/>
      </c>
      <c r="V1528" s="17">
        <f>IF(N1528&gt;0,P1528/N1528,"")</f>
        <v/>
      </c>
      <c r="W1528" s="17">
        <f>IF(O1528&gt;0,H1528/O1528,"")</f>
        <v/>
      </c>
    </row>
    <row r="1529">
      <c r="A1529" s="13" t="inlineStr">
        <is>
          <t>CE08_B3</t>
        </is>
      </c>
      <c r="B1529" s="13" t="inlineStr">
        <is>
          <t>CE08</t>
        </is>
      </c>
      <c r="C1529" s="13" t="inlineStr">
        <is>
          <t>B3</t>
        </is>
      </c>
      <c r="D1529" s="13" t="n">
        <v>0</v>
      </c>
      <c r="E1529" s="13" t="inlineStr">
        <is>
          <t>E</t>
        </is>
      </c>
      <c r="F1529" s="13" t="n">
        <v>2021</v>
      </c>
      <c r="G1529" s="14" t="n">
        <v>8151169.021282271</v>
      </c>
      <c r="H1529" s="14" t="n">
        <v>4948261.734337003</v>
      </c>
      <c r="I1529" s="14" t="n">
        <v>276417.0698121015</v>
      </c>
      <c r="J1529" s="14" t="n">
        <v>0</v>
      </c>
      <c r="K1529" s="14" t="n">
        <v>504234.7026485069</v>
      </c>
      <c r="L1529" s="14" t="n">
        <v>2422255.51448466</v>
      </c>
      <c r="M1529" s="14" t="n">
        <v>0</v>
      </c>
      <c r="N1529" s="14" t="n">
        <v>5169487.619659064</v>
      </c>
      <c r="O1529" s="14" t="n">
        <v>5469173.704849722</v>
      </c>
      <c r="P1529" s="14" t="n">
        <v>275631.1149832333</v>
      </c>
      <c r="Q1529" s="14" t="n">
        <v>48636120.21621372</v>
      </c>
      <c r="R1529" s="15">
        <f>IF(D1529=1,"Section 1","Control")</f>
        <v/>
      </c>
      <c r="S1529" s="16">
        <f>N1529/10000</f>
        <v/>
      </c>
      <c r="T1529" s="16">
        <f>P1529/10000</f>
        <v/>
      </c>
      <c r="U1529" s="15">
        <f>IF(N1529&gt;=Summary!$D$3,1,0)</f>
        <v/>
      </c>
      <c r="V1529" s="17">
        <f>IF(N1529&gt;0,P1529/N1529,"")</f>
        <v/>
      </c>
      <c r="W1529" s="17">
        <f>IF(O1529&gt;0,H1529/O1529,"")</f>
        <v/>
      </c>
    </row>
    <row r="1530">
      <c r="A1530" s="13" t="inlineStr">
        <is>
          <t>CE08_B3</t>
        </is>
      </c>
      <c r="B1530" s="13" t="inlineStr">
        <is>
          <t>CE08</t>
        </is>
      </c>
      <c r="C1530" s="13" t="inlineStr">
        <is>
          <t>B3</t>
        </is>
      </c>
      <c r="D1530" s="13" t="n">
        <v>0</v>
      </c>
      <c r="E1530" s="13" t="inlineStr">
        <is>
          <t>E</t>
        </is>
      </c>
      <c r="F1530" s="13" t="n">
        <v>2022</v>
      </c>
      <c r="G1530" s="14" t="n">
        <v>8151169.021282271</v>
      </c>
      <c r="H1530" s="14" t="n">
        <v>5022581.382351715</v>
      </c>
      <c r="I1530" s="14" t="n">
        <v>179576.0330045214</v>
      </c>
      <c r="J1530" s="14" t="n">
        <v>0</v>
      </c>
      <c r="K1530" s="14" t="n">
        <v>415403.3956491507</v>
      </c>
      <c r="L1530" s="14" t="n">
        <v>2533608.210276884</v>
      </c>
      <c r="M1530" s="14" t="n">
        <v>0</v>
      </c>
      <c r="N1530" s="14" t="n">
        <v>5169487.619659065</v>
      </c>
      <c r="O1530" s="14" t="n">
        <v>5469173.704849723</v>
      </c>
      <c r="P1530" s="14" t="n">
        <v>250675.3685803582</v>
      </c>
      <c r="Q1530" s="14" t="n">
        <v>48636120.21621372</v>
      </c>
      <c r="R1530" s="15">
        <f>IF(D1530=1,"Section 1","Control")</f>
        <v/>
      </c>
      <c r="S1530" s="16">
        <f>N1530/10000</f>
        <v/>
      </c>
      <c r="T1530" s="16">
        <f>P1530/10000</f>
        <v/>
      </c>
      <c r="U1530" s="15">
        <f>IF(N1530&gt;=Summary!$D$3,1,0)</f>
        <v/>
      </c>
      <c r="V1530" s="17">
        <f>IF(N1530&gt;0,P1530/N1530,"")</f>
        <v/>
      </c>
      <c r="W1530" s="17">
        <f>IF(O1530&gt;0,H1530/O1530,"")</f>
        <v/>
      </c>
    </row>
    <row r="1531">
      <c r="A1531" s="13" t="inlineStr">
        <is>
          <t>CE08_B3</t>
        </is>
      </c>
      <c r="B1531" s="13" t="inlineStr">
        <is>
          <t>CE08</t>
        </is>
      </c>
      <c r="C1531" s="13" t="inlineStr">
        <is>
          <t>B3</t>
        </is>
      </c>
      <c r="D1531" s="13" t="n">
        <v>0</v>
      </c>
      <c r="E1531" s="13" t="inlineStr">
        <is>
          <t>E</t>
        </is>
      </c>
      <c r="F1531" s="13" t="n">
        <v>2023</v>
      </c>
      <c r="G1531" s="14" t="n">
        <v>8151169.021282271</v>
      </c>
      <c r="H1531" s="14" t="n">
        <v>5017601.578155698</v>
      </c>
      <c r="I1531" s="14" t="n">
        <v>202939.8096521116</v>
      </c>
      <c r="J1531" s="14" t="n">
        <v>0</v>
      </c>
      <c r="K1531" s="14" t="n">
        <v>284248.9827622058</v>
      </c>
      <c r="L1531" s="14" t="n">
        <v>2646378.650712256</v>
      </c>
      <c r="M1531" s="14" t="n">
        <v>0</v>
      </c>
      <c r="N1531" s="14" t="n">
        <v>5169487.619659064</v>
      </c>
      <c r="O1531" s="14" t="n">
        <v>5469173.704849722</v>
      </c>
      <c r="P1531" s="14" t="n">
        <v>256797.9923710542</v>
      </c>
      <c r="Q1531" s="14" t="n">
        <v>48636120.21621373</v>
      </c>
      <c r="R1531" s="15">
        <f>IF(D1531=1,"Section 1","Control")</f>
        <v/>
      </c>
      <c r="S1531" s="16">
        <f>N1531/10000</f>
        <v/>
      </c>
      <c r="T1531" s="16">
        <f>P1531/10000</f>
        <v/>
      </c>
      <c r="U1531" s="15">
        <f>IF(N1531&gt;=Summary!$D$3,1,0)</f>
        <v/>
      </c>
      <c r="V1531" s="17">
        <f>IF(N1531&gt;0,P1531/N1531,"")</f>
        <v/>
      </c>
      <c r="W1531" s="17">
        <f>IF(O1531&gt;0,H1531/O1531,"")</f>
        <v/>
      </c>
    </row>
    <row r="1532">
      <c r="A1532" s="13" t="inlineStr">
        <is>
          <t>CE08_B3</t>
        </is>
      </c>
      <c r="B1532" s="13" t="inlineStr">
        <is>
          <t>CE08</t>
        </is>
      </c>
      <c r="C1532" s="13" t="inlineStr">
        <is>
          <t>B3</t>
        </is>
      </c>
      <c r="D1532" s="13" t="n">
        <v>0</v>
      </c>
      <c r="E1532" s="13" t="inlineStr">
        <is>
          <t>E</t>
        </is>
      </c>
      <c r="F1532" s="13" t="n">
        <v>2024</v>
      </c>
      <c r="G1532" s="14" t="n">
        <v>8151169.021282271</v>
      </c>
      <c r="H1532" s="14" t="n">
        <v>5106951.896409817</v>
      </c>
      <c r="I1532" s="14" t="n">
        <v>100386.3067808264</v>
      </c>
      <c r="J1532" s="14" t="n">
        <v>0</v>
      </c>
      <c r="K1532" s="14" t="n">
        <v>340418.3327277688</v>
      </c>
      <c r="L1532" s="14" t="n">
        <v>2603412.485363859</v>
      </c>
      <c r="M1532" s="14" t="n">
        <v>0</v>
      </c>
      <c r="N1532" s="14" t="n">
        <v>5169487.619659065</v>
      </c>
      <c r="O1532" s="14" t="n">
        <v>5469173.704849723</v>
      </c>
      <c r="P1532" s="14" t="n">
        <v>234082.1186293658</v>
      </c>
      <c r="Q1532" s="14" t="n">
        <v>48636120.21621372</v>
      </c>
      <c r="R1532" s="15">
        <f>IF(D1532=1,"Section 1","Control")</f>
        <v/>
      </c>
      <c r="S1532" s="16">
        <f>N1532/10000</f>
        <v/>
      </c>
      <c r="T1532" s="16">
        <f>P1532/10000</f>
        <v/>
      </c>
      <c r="U1532" s="15">
        <f>IF(N1532&gt;=Summary!$D$3,1,0)</f>
        <v/>
      </c>
      <c r="V1532" s="17">
        <f>IF(N1532&gt;0,P1532/N1532,"")</f>
        <v/>
      </c>
      <c r="W1532" s="17">
        <f>IF(O1532&gt;0,H1532/O1532,"")</f>
        <v/>
      </c>
    </row>
    <row r="1533">
      <c r="A1533" s="13" t="inlineStr">
        <is>
          <t>CE08_B3</t>
        </is>
      </c>
      <c r="B1533" s="13" t="inlineStr">
        <is>
          <t>CE08</t>
        </is>
      </c>
      <c r="C1533" s="13" t="inlineStr">
        <is>
          <t>B3</t>
        </is>
      </c>
      <c r="D1533" s="13" t="n">
        <v>0</v>
      </c>
      <c r="E1533" s="13" t="inlineStr">
        <is>
          <t>E</t>
        </is>
      </c>
      <c r="F1533" s="13" t="n">
        <v>2025</v>
      </c>
      <c r="G1533" s="14" t="n">
        <v>8151169.021282271</v>
      </c>
      <c r="H1533" s="14" t="n">
        <v>5064919.470032337</v>
      </c>
      <c r="I1533" s="14" t="n">
        <v>95404.53428625967</v>
      </c>
      <c r="J1533" s="14" t="n">
        <v>0</v>
      </c>
      <c r="K1533" s="14" t="n">
        <v>242768.1110146616</v>
      </c>
      <c r="L1533" s="14" t="n">
        <v>2748076.905949012</v>
      </c>
      <c r="M1533" s="14" t="n">
        <v>0</v>
      </c>
      <c r="N1533" s="14" t="n">
        <v>5169487.619659064</v>
      </c>
      <c r="O1533" s="14" t="n">
        <v>5469173.704849723</v>
      </c>
      <c r="P1533" s="14" t="n">
        <v>248617.4349349676</v>
      </c>
      <c r="Q1533" s="14" t="n">
        <v>48636120.21621372</v>
      </c>
      <c r="R1533" s="15">
        <f>IF(D1533=1,"Section 1","Control")</f>
        <v/>
      </c>
      <c r="S1533" s="16">
        <f>N1533/10000</f>
        <v/>
      </c>
      <c r="T1533" s="16">
        <f>P1533/10000</f>
        <v/>
      </c>
      <c r="U1533" s="15">
        <f>IF(N1533&gt;=Summary!$D$3,1,0)</f>
        <v/>
      </c>
      <c r="V1533" s="17">
        <f>IF(N1533&gt;0,P1533/N1533,"")</f>
        <v/>
      </c>
      <c r="W1533" s="17">
        <f>IF(O1533&gt;0,H1533/O1533,"")</f>
        <v/>
      </c>
    </row>
    <row r="1534">
      <c r="A1534" s="13" t="inlineStr">
        <is>
          <t>CE08_B3</t>
        </is>
      </c>
      <c r="B1534" s="13" t="inlineStr">
        <is>
          <t>CE08</t>
        </is>
      </c>
      <c r="C1534" s="13" t="inlineStr">
        <is>
          <t>B3</t>
        </is>
      </c>
      <c r="D1534" s="13" t="n">
        <v>0</v>
      </c>
      <c r="E1534" s="13" t="inlineStr">
        <is>
          <t>E</t>
        </is>
      </c>
      <c r="F1534" s="13" t="n">
        <v>2026</v>
      </c>
      <c r="G1534" s="14" t="n">
        <v>8151169.021282271</v>
      </c>
      <c r="H1534" s="14" t="n">
        <v>4900437.776324852</v>
      </c>
      <c r="I1534" s="14" t="n">
        <v>100364.2929905312</v>
      </c>
      <c r="J1534" s="14" t="n">
        <v>0</v>
      </c>
      <c r="K1534" s="14" t="n">
        <v>403905.3001486984</v>
      </c>
      <c r="L1534" s="14" t="n">
        <v>2746461.651818189</v>
      </c>
      <c r="M1534" s="14" t="n">
        <v>0</v>
      </c>
      <c r="N1534" s="14" t="n">
        <v>5169487.619659064</v>
      </c>
      <c r="O1534" s="14" t="n">
        <v>5469173.704849723</v>
      </c>
      <c r="P1534" s="14" t="n">
        <v>398200.7978516224</v>
      </c>
      <c r="Q1534" s="14" t="n">
        <v>48636120.21621372</v>
      </c>
      <c r="R1534" s="15">
        <f>IF(D1534=1,"Section 1","Control")</f>
        <v/>
      </c>
      <c r="S1534" s="16">
        <f>N1534/10000</f>
        <v/>
      </c>
      <c r="T1534" s="16">
        <f>P1534/10000</f>
        <v/>
      </c>
      <c r="U1534" s="15">
        <f>IF(N1534&gt;=Summary!$D$3,1,0)</f>
        <v/>
      </c>
      <c r="V1534" s="17">
        <f>IF(N1534&gt;0,P1534/N1534,"")</f>
        <v/>
      </c>
      <c r="W1534" s="17">
        <f>IF(O1534&gt;0,H1534/O1534,"")</f>
        <v/>
      </c>
    </row>
    <row r="1535">
      <c r="A1535" s="13" t="inlineStr">
        <is>
          <t>CE08_F</t>
        </is>
      </c>
      <c r="B1535" s="13" t="inlineStr">
        <is>
          <t>CE08</t>
        </is>
      </c>
      <c r="C1535" s="13" t="inlineStr">
        <is>
          <t>F</t>
        </is>
      </c>
      <c r="D1535" s="13" t="n">
        <v>0</v>
      </c>
      <c r="E1535" s="13" t="inlineStr">
        <is>
          <t>E</t>
        </is>
      </c>
      <c r="F1535" s="13" t="n">
        <v>2020</v>
      </c>
      <c r="G1535" s="14" t="n">
        <v>69345.54057485542</v>
      </c>
      <c r="H1535" s="14" t="n">
        <v>36563.84112937777</v>
      </c>
      <c r="I1535" s="14" t="n">
        <v>20953.15148052141</v>
      </c>
      <c r="J1535" s="14" t="n">
        <v>0</v>
      </c>
      <c r="K1535" s="14" t="n">
        <v>11828.54796495624</v>
      </c>
      <c r="L1535" s="14" t="n">
        <v>0</v>
      </c>
      <c r="M1535" s="14" t="n">
        <v>0</v>
      </c>
      <c r="N1535" s="14" t="n">
        <v>36563.84112937777</v>
      </c>
      <c r="O1535" s="14" t="n">
        <v>69345.54057485542</v>
      </c>
      <c r="P1535" s="14" t="n">
        <v>0</v>
      </c>
      <c r="Q1535" s="14" t="n">
        <v>453742.4177438774</v>
      </c>
      <c r="R1535" s="15">
        <f>IF(D1535=1,"Section 1","Control")</f>
        <v/>
      </c>
      <c r="S1535" s="16">
        <f>N1535/10000</f>
        <v/>
      </c>
      <c r="T1535" s="16">
        <f>P1535/10000</f>
        <v/>
      </c>
      <c r="U1535" s="15">
        <f>IF(N1535&gt;=Summary!$D$3,1,0)</f>
        <v/>
      </c>
      <c r="V1535" s="17">
        <f>IF(N1535&gt;0,P1535/N1535,"")</f>
        <v/>
      </c>
      <c r="W1535" s="17">
        <f>IF(O1535&gt;0,H1535/O1535,"")</f>
        <v/>
      </c>
    </row>
    <row r="1536">
      <c r="A1536" s="13" t="inlineStr">
        <is>
          <t>CE08_F</t>
        </is>
      </c>
      <c r="B1536" s="13" t="inlineStr">
        <is>
          <t>CE08</t>
        </is>
      </c>
      <c r="C1536" s="13" t="inlineStr">
        <is>
          <t>F</t>
        </is>
      </c>
      <c r="D1536" s="13" t="n">
        <v>0</v>
      </c>
      <c r="E1536" s="13" t="inlineStr">
        <is>
          <t>E</t>
        </is>
      </c>
      <c r="F1536" s="13" t="n">
        <v>2021</v>
      </c>
      <c r="G1536" s="14" t="n">
        <v>69345.54057485542</v>
      </c>
      <c r="H1536" s="14" t="n">
        <v>9827.690667934041</v>
      </c>
      <c r="I1536" s="14" t="n">
        <v>40200.44869016759</v>
      </c>
      <c r="J1536" s="14" t="n">
        <v>0</v>
      </c>
      <c r="K1536" s="14" t="n">
        <v>19317.40121675379</v>
      </c>
      <c r="L1536" s="14" t="n">
        <v>0</v>
      </c>
      <c r="M1536" s="14" t="n">
        <v>0</v>
      </c>
      <c r="N1536" s="14" t="n">
        <v>36563.84112937777</v>
      </c>
      <c r="O1536" s="14" t="n">
        <v>69345.54057485542</v>
      </c>
      <c r="P1536" s="14" t="n">
        <v>30414.95458385991</v>
      </c>
      <c r="Q1536" s="14" t="n">
        <v>453742.4177438774</v>
      </c>
      <c r="R1536" s="15">
        <f>IF(D1536=1,"Section 1","Control")</f>
        <v/>
      </c>
      <c r="S1536" s="16">
        <f>N1536/10000</f>
        <v/>
      </c>
      <c r="T1536" s="16">
        <f>P1536/10000</f>
        <v/>
      </c>
      <c r="U1536" s="15">
        <f>IF(N1536&gt;=Summary!$D$3,1,0)</f>
        <v/>
      </c>
      <c r="V1536" s="17">
        <f>IF(N1536&gt;0,P1536/N1536,"")</f>
        <v/>
      </c>
      <c r="W1536" s="17">
        <f>IF(O1536&gt;0,H1536/O1536,"")</f>
        <v/>
      </c>
    </row>
    <row r="1537">
      <c r="A1537" s="13" t="inlineStr">
        <is>
          <t>CE08_F</t>
        </is>
      </c>
      <c r="B1537" s="13" t="inlineStr">
        <is>
          <t>CE08</t>
        </is>
      </c>
      <c r="C1537" s="13" t="inlineStr">
        <is>
          <t>F</t>
        </is>
      </c>
      <c r="D1537" s="13" t="n">
        <v>0</v>
      </c>
      <c r="E1537" s="13" t="inlineStr">
        <is>
          <t>E</t>
        </is>
      </c>
      <c r="F1537" s="13" t="n">
        <v>2022</v>
      </c>
      <c r="G1537" s="14" t="n">
        <v>69345.54057485542</v>
      </c>
      <c r="H1537" s="14" t="n">
        <v>9585.714720632515</v>
      </c>
      <c r="I1537" s="14" t="n">
        <v>32972.15850964715</v>
      </c>
      <c r="J1537" s="14" t="n">
        <v>0</v>
      </c>
      <c r="K1537" s="14" t="n">
        <v>26787.66734457577</v>
      </c>
      <c r="L1537" s="14" t="n">
        <v>0</v>
      </c>
      <c r="M1537" s="14" t="n">
        <v>0</v>
      </c>
      <c r="N1537" s="14" t="n">
        <v>36563.84112937777</v>
      </c>
      <c r="O1537" s="14" t="n">
        <v>69345.54057485542</v>
      </c>
      <c r="P1537" s="14" t="n">
        <v>30687.12865480909</v>
      </c>
      <c r="Q1537" s="14" t="n">
        <v>453742.4177438774</v>
      </c>
      <c r="R1537" s="15">
        <f>IF(D1537=1,"Section 1","Control")</f>
        <v/>
      </c>
      <c r="S1537" s="16">
        <f>N1537/10000</f>
        <v/>
      </c>
      <c r="T1537" s="16">
        <f>P1537/10000</f>
        <v/>
      </c>
      <c r="U1537" s="15">
        <f>IF(N1537&gt;=Summary!$D$3,1,0)</f>
        <v/>
      </c>
      <c r="V1537" s="17">
        <f>IF(N1537&gt;0,P1537/N1537,"")</f>
        <v/>
      </c>
      <c r="W1537" s="17">
        <f>IF(O1537&gt;0,H1537/O1537,"")</f>
        <v/>
      </c>
    </row>
    <row r="1538">
      <c r="A1538" s="13" t="inlineStr">
        <is>
          <t>CE08_F</t>
        </is>
      </c>
      <c r="B1538" s="13" t="inlineStr">
        <is>
          <t>CE08</t>
        </is>
      </c>
      <c r="C1538" s="13" t="inlineStr">
        <is>
          <t>F</t>
        </is>
      </c>
      <c r="D1538" s="13" t="n">
        <v>0</v>
      </c>
      <c r="E1538" s="13" t="inlineStr">
        <is>
          <t>E</t>
        </is>
      </c>
      <c r="F1538" s="13" t="n">
        <v>2023</v>
      </c>
      <c r="G1538" s="14" t="n">
        <v>69345.54057485542</v>
      </c>
      <c r="H1538" s="14" t="n">
        <v>10807.20534401688</v>
      </c>
      <c r="I1538" s="14" t="n">
        <v>37500.78059315401</v>
      </c>
      <c r="J1538" s="14" t="n">
        <v>0</v>
      </c>
      <c r="K1538" s="14" t="n">
        <v>21037.55463768454</v>
      </c>
      <c r="L1538" s="14" t="n">
        <v>0</v>
      </c>
      <c r="M1538" s="14" t="n">
        <v>0</v>
      </c>
      <c r="N1538" s="14" t="n">
        <v>36563.84112937777</v>
      </c>
      <c r="O1538" s="14" t="n">
        <v>69345.54057485542</v>
      </c>
      <c r="P1538" s="14" t="n">
        <v>28751.32510265276</v>
      </c>
      <c r="Q1538" s="14" t="n">
        <v>453742.4177438774</v>
      </c>
      <c r="R1538" s="15">
        <f>IF(D1538=1,"Section 1","Control")</f>
        <v/>
      </c>
      <c r="S1538" s="16">
        <f>N1538/10000</f>
        <v/>
      </c>
      <c r="T1538" s="16">
        <f>P1538/10000</f>
        <v/>
      </c>
      <c r="U1538" s="15">
        <f>IF(N1538&gt;=Summary!$D$3,1,0)</f>
        <v/>
      </c>
      <c r="V1538" s="17">
        <f>IF(N1538&gt;0,P1538/N1538,"")</f>
        <v/>
      </c>
      <c r="W1538" s="17">
        <f>IF(O1538&gt;0,H1538/O1538,"")</f>
        <v/>
      </c>
    </row>
    <row r="1539">
      <c r="A1539" s="13" t="inlineStr">
        <is>
          <t>CE08_F</t>
        </is>
      </c>
      <c r="B1539" s="13" t="inlineStr">
        <is>
          <t>CE08</t>
        </is>
      </c>
      <c r="C1539" s="13" t="inlineStr">
        <is>
          <t>F</t>
        </is>
      </c>
      <c r="D1539" s="13" t="n">
        <v>0</v>
      </c>
      <c r="E1539" s="13" t="inlineStr">
        <is>
          <t>E</t>
        </is>
      </c>
      <c r="F1539" s="13" t="n">
        <v>2024</v>
      </c>
      <c r="G1539" s="14" t="n">
        <v>69345.54057485542</v>
      </c>
      <c r="H1539" s="14" t="n">
        <v>17966.96937477262</v>
      </c>
      <c r="I1539" s="14" t="n">
        <v>30263.97122536453</v>
      </c>
      <c r="J1539" s="14" t="n">
        <v>0</v>
      </c>
      <c r="K1539" s="14" t="n">
        <v>21114.59997471828</v>
      </c>
      <c r="L1539" s="14" t="n">
        <v>0</v>
      </c>
      <c r="M1539" s="14" t="n">
        <v>0</v>
      </c>
      <c r="N1539" s="14" t="n">
        <v>36563.84112937777</v>
      </c>
      <c r="O1539" s="14" t="n">
        <v>69345.54057485542</v>
      </c>
      <c r="P1539" s="14" t="n">
        <v>23600.15293480369</v>
      </c>
      <c r="Q1539" s="14" t="n">
        <v>453742.4177438774</v>
      </c>
      <c r="R1539" s="15">
        <f>IF(D1539=1,"Section 1","Control")</f>
        <v/>
      </c>
      <c r="S1539" s="16">
        <f>N1539/10000</f>
        <v/>
      </c>
      <c r="T1539" s="16">
        <f>P1539/10000</f>
        <v/>
      </c>
      <c r="U1539" s="15">
        <f>IF(N1539&gt;=Summary!$D$3,1,0)</f>
        <v/>
      </c>
      <c r="V1539" s="17">
        <f>IF(N1539&gt;0,P1539/N1539,"")</f>
        <v/>
      </c>
      <c r="W1539" s="17">
        <f>IF(O1539&gt;0,H1539/O1539,"")</f>
        <v/>
      </c>
    </row>
    <row r="1540">
      <c r="A1540" s="13" t="inlineStr">
        <is>
          <t>CE08_F</t>
        </is>
      </c>
      <c r="B1540" s="13" t="inlineStr">
        <is>
          <t>CE08</t>
        </is>
      </c>
      <c r="C1540" s="13" t="inlineStr">
        <is>
          <t>F</t>
        </is>
      </c>
      <c r="D1540" s="13" t="n">
        <v>0</v>
      </c>
      <c r="E1540" s="13" t="inlineStr">
        <is>
          <t>E</t>
        </is>
      </c>
      <c r="F1540" s="13" t="n">
        <v>2025</v>
      </c>
      <c r="G1540" s="14" t="n">
        <v>69345.54057485542</v>
      </c>
      <c r="H1540" s="14" t="n">
        <v>19767.65335077024</v>
      </c>
      <c r="I1540" s="14" t="n">
        <v>29643.74138527665</v>
      </c>
      <c r="J1540" s="14" t="n">
        <v>0</v>
      </c>
      <c r="K1540" s="14" t="n">
        <v>19934.14583880854</v>
      </c>
      <c r="L1540" s="14" t="n">
        <v>0</v>
      </c>
      <c r="M1540" s="14" t="n">
        <v>0</v>
      </c>
      <c r="N1540" s="14" t="n">
        <v>36563.84112937777</v>
      </c>
      <c r="O1540" s="14" t="n">
        <v>69345.54057485542</v>
      </c>
      <c r="P1540" s="14" t="n">
        <v>21464.188797027</v>
      </c>
      <c r="Q1540" s="14" t="n">
        <v>453742.4177438774</v>
      </c>
      <c r="R1540" s="15">
        <f>IF(D1540=1,"Section 1","Control")</f>
        <v/>
      </c>
      <c r="S1540" s="16">
        <f>N1540/10000</f>
        <v/>
      </c>
      <c r="T1540" s="16">
        <f>P1540/10000</f>
        <v/>
      </c>
      <c r="U1540" s="15">
        <f>IF(N1540&gt;=Summary!$D$3,1,0)</f>
        <v/>
      </c>
      <c r="V1540" s="17">
        <f>IF(N1540&gt;0,P1540/N1540,"")</f>
        <v/>
      </c>
      <c r="W1540" s="17">
        <f>IF(O1540&gt;0,H1540/O1540,"")</f>
        <v/>
      </c>
    </row>
    <row r="1541">
      <c r="A1541" s="13" t="inlineStr">
        <is>
          <t>CE08_F</t>
        </is>
      </c>
      <c r="B1541" s="13" t="inlineStr">
        <is>
          <t>CE08</t>
        </is>
      </c>
      <c r="C1541" s="13" t="inlineStr">
        <is>
          <t>F</t>
        </is>
      </c>
      <c r="D1541" s="13" t="n">
        <v>0</v>
      </c>
      <c r="E1541" s="13" t="inlineStr">
        <is>
          <t>E</t>
        </is>
      </c>
      <c r="F1541" s="13" t="n">
        <v>2026</v>
      </c>
      <c r="G1541" s="14" t="n">
        <v>69345.54057485542</v>
      </c>
      <c r="H1541" s="14" t="n">
        <v>32897.43251342774</v>
      </c>
      <c r="I1541" s="14" t="n">
        <v>14012.51385599772</v>
      </c>
      <c r="J1541" s="14" t="n">
        <v>0</v>
      </c>
      <c r="K1541" s="14" t="n">
        <v>22435.59420542997</v>
      </c>
      <c r="L1541" s="14" t="n">
        <v>0</v>
      </c>
      <c r="M1541" s="14" t="n">
        <v>0</v>
      </c>
      <c r="N1541" s="14" t="n">
        <v>36563.84112937777</v>
      </c>
      <c r="O1541" s="14" t="n">
        <v>69345.54057485542</v>
      </c>
      <c r="P1541" s="14" t="n">
        <v>12393.01631457759</v>
      </c>
      <c r="Q1541" s="14" t="n">
        <v>453742.4177438774</v>
      </c>
      <c r="R1541" s="15">
        <f>IF(D1541=1,"Section 1","Control")</f>
        <v/>
      </c>
      <c r="S1541" s="16">
        <f>N1541/10000</f>
        <v/>
      </c>
      <c r="T1541" s="16">
        <f>P1541/10000</f>
        <v/>
      </c>
      <c r="U1541" s="15">
        <f>IF(N1541&gt;=Summary!$D$3,1,0)</f>
        <v/>
      </c>
      <c r="V1541" s="17">
        <f>IF(N1541&gt;0,P1541/N1541,"")</f>
        <v/>
      </c>
      <c r="W1541" s="17">
        <f>IF(O1541&gt;0,H1541/O1541,"")</f>
        <v/>
      </c>
    </row>
    <row r="1542">
      <c r="A1542" s="13" t="inlineStr">
        <is>
          <t>CE09_B1</t>
        </is>
      </c>
      <c r="B1542" s="13" t="inlineStr">
        <is>
          <t>CE09</t>
        </is>
      </c>
      <c r="C1542" s="13" t="inlineStr">
        <is>
          <t>B1</t>
        </is>
      </c>
      <c r="D1542" s="13" t="n">
        <v>0</v>
      </c>
      <c r="E1542" s="13" t="inlineStr">
        <is>
          <t>E</t>
        </is>
      </c>
      <c r="F1542" s="13" t="n">
        <v>2020</v>
      </c>
      <c r="G1542" s="14" t="n">
        <v>1000213.304723343</v>
      </c>
      <c r="H1542" s="14" t="n">
        <v>247943.5342096965</v>
      </c>
      <c r="I1542" s="14" t="n">
        <v>507574.3930189244</v>
      </c>
      <c r="J1542" s="14" t="n">
        <v>0</v>
      </c>
      <c r="K1542" s="14" t="n">
        <v>244695.3774947222</v>
      </c>
      <c r="L1542" s="14" t="n">
        <v>0</v>
      </c>
      <c r="M1542" s="14" t="n">
        <v>0</v>
      </c>
      <c r="N1542" s="14" t="n">
        <v>247943.5342096965</v>
      </c>
      <c r="O1542" s="14" t="n">
        <v>1000213.304723343</v>
      </c>
      <c r="P1542" s="14" t="n">
        <v>0</v>
      </c>
      <c r="Q1542" s="14" t="n">
        <v>7743782.304251667</v>
      </c>
      <c r="R1542" s="15">
        <f>IF(D1542=1,"Section 1","Control")</f>
        <v/>
      </c>
      <c r="S1542" s="16">
        <f>N1542/10000</f>
        <v/>
      </c>
      <c r="T1542" s="16">
        <f>P1542/10000</f>
        <v/>
      </c>
      <c r="U1542" s="15">
        <f>IF(N1542&gt;=Summary!$D$3,1,0)</f>
        <v/>
      </c>
      <c r="V1542" s="17">
        <f>IF(N1542&gt;0,P1542/N1542,"")</f>
        <v/>
      </c>
      <c r="W1542" s="17">
        <f>IF(O1542&gt;0,H1542/O1542,"")</f>
        <v/>
      </c>
    </row>
    <row r="1543">
      <c r="A1543" s="13" t="inlineStr">
        <is>
          <t>CE09_B1</t>
        </is>
      </c>
      <c r="B1543" s="13" t="inlineStr">
        <is>
          <t>CE09</t>
        </is>
      </c>
      <c r="C1543" s="13" t="inlineStr">
        <is>
          <t>B1</t>
        </is>
      </c>
      <c r="D1543" s="13" t="n">
        <v>0</v>
      </c>
      <c r="E1543" s="13" t="inlineStr">
        <is>
          <t>E</t>
        </is>
      </c>
      <c r="F1543" s="13" t="n">
        <v>2021</v>
      </c>
      <c r="G1543" s="14" t="n">
        <v>1000213.304723343</v>
      </c>
      <c r="H1543" s="14" t="n">
        <v>162960.1558168299</v>
      </c>
      <c r="I1543" s="14" t="n">
        <v>474544.1100405525</v>
      </c>
      <c r="J1543" s="14" t="n">
        <v>0</v>
      </c>
      <c r="K1543" s="14" t="n">
        <v>362493.7740243651</v>
      </c>
      <c r="L1543" s="14" t="n">
        <v>215.264841595818</v>
      </c>
      <c r="M1543" s="14" t="n">
        <v>0</v>
      </c>
      <c r="N1543" s="14" t="n">
        <v>247943.5342096965</v>
      </c>
      <c r="O1543" s="14" t="n">
        <v>1000213.304723343</v>
      </c>
      <c r="P1543" s="14" t="n">
        <v>98575.42827034745</v>
      </c>
      <c r="Q1543" s="14" t="n">
        <v>7743782.304251667</v>
      </c>
      <c r="R1543" s="15">
        <f>IF(D1543=1,"Section 1","Control")</f>
        <v/>
      </c>
      <c r="S1543" s="16">
        <f>N1543/10000</f>
        <v/>
      </c>
      <c r="T1543" s="16">
        <f>P1543/10000</f>
        <v/>
      </c>
      <c r="U1543" s="15">
        <f>IF(N1543&gt;=Summary!$D$3,1,0)</f>
        <v/>
      </c>
      <c r="V1543" s="17">
        <f>IF(N1543&gt;0,P1543/N1543,"")</f>
        <v/>
      </c>
      <c r="W1543" s="17">
        <f>IF(O1543&gt;0,H1543/O1543,"")</f>
        <v/>
      </c>
    </row>
    <row r="1544">
      <c r="A1544" s="13" t="inlineStr">
        <is>
          <t>CE09_B1</t>
        </is>
      </c>
      <c r="B1544" s="13" t="inlineStr">
        <is>
          <t>CE09</t>
        </is>
      </c>
      <c r="C1544" s="13" t="inlineStr">
        <is>
          <t>B1</t>
        </is>
      </c>
      <c r="D1544" s="13" t="n">
        <v>0</v>
      </c>
      <c r="E1544" s="13" t="inlineStr">
        <is>
          <t>E</t>
        </is>
      </c>
      <c r="F1544" s="13" t="n">
        <v>2022</v>
      </c>
      <c r="G1544" s="14" t="n">
        <v>1000213.304723343</v>
      </c>
      <c r="H1544" s="14" t="n">
        <v>194912.9018134024</v>
      </c>
      <c r="I1544" s="14" t="n">
        <v>397245.255458757</v>
      </c>
      <c r="J1544" s="14" t="n">
        <v>0</v>
      </c>
      <c r="K1544" s="14" t="n">
        <v>408055.1474511839</v>
      </c>
      <c r="L1544" s="14" t="n">
        <v>0</v>
      </c>
      <c r="M1544" s="14" t="n">
        <v>0</v>
      </c>
      <c r="N1544" s="14" t="n">
        <v>247943.5342096965</v>
      </c>
      <c r="O1544" s="14" t="n">
        <v>1000213.304723343</v>
      </c>
      <c r="P1544" s="14" t="n">
        <v>103620.0912383435</v>
      </c>
      <c r="Q1544" s="14" t="n">
        <v>7743782.304251667</v>
      </c>
      <c r="R1544" s="15">
        <f>IF(D1544=1,"Section 1","Control")</f>
        <v/>
      </c>
      <c r="S1544" s="16">
        <f>N1544/10000</f>
        <v/>
      </c>
      <c r="T1544" s="16">
        <f>P1544/10000</f>
        <v/>
      </c>
      <c r="U1544" s="15">
        <f>IF(N1544&gt;=Summary!$D$3,1,0)</f>
        <v/>
      </c>
      <c r="V1544" s="17">
        <f>IF(N1544&gt;0,P1544/N1544,"")</f>
        <v/>
      </c>
      <c r="W1544" s="17">
        <f>IF(O1544&gt;0,H1544/O1544,"")</f>
        <v/>
      </c>
    </row>
    <row r="1545">
      <c r="A1545" s="13" t="inlineStr">
        <is>
          <t>CE09_B1</t>
        </is>
      </c>
      <c r="B1545" s="13" t="inlineStr">
        <is>
          <t>CE09</t>
        </is>
      </c>
      <c r="C1545" s="13" t="inlineStr">
        <is>
          <t>B1</t>
        </is>
      </c>
      <c r="D1545" s="13" t="n">
        <v>0</v>
      </c>
      <c r="E1545" s="13" t="inlineStr">
        <is>
          <t>E</t>
        </is>
      </c>
      <c r="F1545" s="13" t="n">
        <v>2023</v>
      </c>
      <c r="G1545" s="14" t="n">
        <v>1000213.304723343</v>
      </c>
      <c r="H1545" s="14" t="n">
        <v>215856.2504558489</v>
      </c>
      <c r="I1545" s="14" t="n">
        <v>426890.1046615002</v>
      </c>
      <c r="J1545" s="14" t="n">
        <v>0</v>
      </c>
      <c r="K1545" s="14" t="n">
        <v>355776.1920109768</v>
      </c>
      <c r="L1545" s="14" t="n">
        <v>1690.757595017377</v>
      </c>
      <c r="M1545" s="14" t="n">
        <v>0</v>
      </c>
      <c r="N1545" s="14" t="n">
        <v>247943.5342096965</v>
      </c>
      <c r="O1545" s="14" t="n">
        <v>1000213.304723343</v>
      </c>
      <c r="P1545" s="14" t="n">
        <v>108407.4255002789</v>
      </c>
      <c r="Q1545" s="14" t="n">
        <v>7743782.304251667</v>
      </c>
      <c r="R1545" s="15">
        <f>IF(D1545=1,"Section 1","Control")</f>
        <v/>
      </c>
      <c r="S1545" s="16">
        <f>N1545/10000</f>
        <v/>
      </c>
      <c r="T1545" s="16">
        <f>P1545/10000</f>
        <v/>
      </c>
      <c r="U1545" s="15">
        <f>IF(N1545&gt;=Summary!$D$3,1,0)</f>
        <v/>
      </c>
      <c r="V1545" s="17">
        <f>IF(N1545&gt;0,P1545/N1545,"")</f>
        <v/>
      </c>
      <c r="W1545" s="17">
        <f>IF(O1545&gt;0,H1545/O1545,"")</f>
        <v/>
      </c>
    </row>
    <row r="1546">
      <c r="A1546" s="13" t="inlineStr">
        <is>
          <t>CE09_B1</t>
        </is>
      </c>
      <c r="B1546" s="13" t="inlineStr">
        <is>
          <t>CE09</t>
        </is>
      </c>
      <c r="C1546" s="13" t="inlineStr">
        <is>
          <t>B1</t>
        </is>
      </c>
      <c r="D1546" s="13" t="n">
        <v>0</v>
      </c>
      <c r="E1546" s="13" t="inlineStr">
        <is>
          <t>E</t>
        </is>
      </c>
      <c r="F1546" s="13" t="n">
        <v>2024</v>
      </c>
      <c r="G1546" s="14" t="n">
        <v>1000213.304723343</v>
      </c>
      <c r="H1546" s="14" t="n">
        <v>287355.0749712776</v>
      </c>
      <c r="I1546" s="14" t="n">
        <v>341279.9418022305</v>
      </c>
      <c r="J1546" s="14" t="n">
        <v>0</v>
      </c>
      <c r="K1546" s="14" t="n">
        <v>369887.5303548177</v>
      </c>
      <c r="L1546" s="14" t="n">
        <v>1690.757595017377</v>
      </c>
      <c r="M1546" s="14" t="n">
        <v>0</v>
      </c>
      <c r="N1546" s="14" t="n">
        <v>247943.5342096965</v>
      </c>
      <c r="O1546" s="14" t="n">
        <v>1000213.304723343</v>
      </c>
      <c r="P1546" s="14" t="n">
        <v>104149.5442366058</v>
      </c>
      <c r="Q1546" s="14" t="n">
        <v>7743782.304251667</v>
      </c>
      <c r="R1546" s="15">
        <f>IF(D1546=1,"Section 1","Control")</f>
        <v/>
      </c>
      <c r="S1546" s="16">
        <f>N1546/10000</f>
        <v/>
      </c>
      <c r="T1546" s="16">
        <f>P1546/10000</f>
        <v/>
      </c>
      <c r="U1546" s="15">
        <f>IF(N1546&gt;=Summary!$D$3,1,0)</f>
        <v/>
      </c>
      <c r="V1546" s="17">
        <f>IF(N1546&gt;0,P1546/N1546,"")</f>
        <v/>
      </c>
      <c r="W1546" s="17">
        <f>IF(O1546&gt;0,H1546/O1546,"")</f>
        <v/>
      </c>
    </row>
    <row r="1547">
      <c r="A1547" s="13" t="inlineStr">
        <is>
          <t>CE09_B1</t>
        </is>
      </c>
      <c r="B1547" s="13" t="inlineStr">
        <is>
          <t>CE09</t>
        </is>
      </c>
      <c r="C1547" s="13" t="inlineStr">
        <is>
          <t>B1</t>
        </is>
      </c>
      <c r="D1547" s="13" t="n">
        <v>0</v>
      </c>
      <c r="E1547" s="13" t="inlineStr">
        <is>
          <t>E</t>
        </is>
      </c>
      <c r="F1547" s="13" t="n">
        <v>2025</v>
      </c>
      <c r="G1547" s="14" t="n">
        <v>1000213.304723343</v>
      </c>
      <c r="H1547" s="14" t="n">
        <v>384865.5111601886</v>
      </c>
      <c r="I1547" s="14" t="n">
        <v>285167.7586267209</v>
      </c>
      <c r="J1547" s="14" t="n">
        <v>0</v>
      </c>
      <c r="K1547" s="14" t="n">
        <v>327069.150298444</v>
      </c>
      <c r="L1547" s="14" t="n">
        <v>3110.884637989717</v>
      </c>
      <c r="M1547" s="14" t="n">
        <v>0</v>
      </c>
      <c r="N1547" s="14" t="n">
        <v>247943.5342096965</v>
      </c>
      <c r="O1547" s="14" t="n">
        <v>1000213.304723343</v>
      </c>
      <c r="P1547" s="14" t="n">
        <v>115016.015829019</v>
      </c>
      <c r="Q1547" s="14" t="n">
        <v>7743782.304251667</v>
      </c>
      <c r="R1547" s="15">
        <f>IF(D1547=1,"Section 1","Control")</f>
        <v/>
      </c>
      <c r="S1547" s="16">
        <f>N1547/10000</f>
        <v/>
      </c>
      <c r="T1547" s="16">
        <f>P1547/10000</f>
        <v/>
      </c>
      <c r="U1547" s="15">
        <f>IF(N1547&gt;=Summary!$D$3,1,0)</f>
        <v/>
      </c>
      <c r="V1547" s="17">
        <f>IF(N1547&gt;0,P1547/N1547,"")</f>
        <v/>
      </c>
      <c r="W1547" s="17">
        <f>IF(O1547&gt;0,H1547/O1547,"")</f>
        <v/>
      </c>
    </row>
    <row r="1548">
      <c r="A1548" s="13" t="inlineStr">
        <is>
          <t>CE09_B1</t>
        </is>
      </c>
      <c r="B1548" s="13" t="inlineStr">
        <is>
          <t>CE09</t>
        </is>
      </c>
      <c r="C1548" s="13" t="inlineStr">
        <is>
          <t>B1</t>
        </is>
      </c>
      <c r="D1548" s="13" t="n">
        <v>0</v>
      </c>
      <c r="E1548" s="13" t="inlineStr">
        <is>
          <t>E</t>
        </is>
      </c>
      <c r="F1548" s="13" t="n">
        <v>2026</v>
      </c>
      <c r="G1548" s="14" t="n">
        <v>1000213.304723343</v>
      </c>
      <c r="H1548" s="14" t="n">
        <v>262573.994734162</v>
      </c>
      <c r="I1548" s="14" t="n">
        <v>319152.3658406276</v>
      </c>
      <c r="J1548" s="14" t="n">
        <v>0</v>
      </c>
      <c r="K1548" s="14" t="n">
        <v>416796.1865535362</v>
      </c>
      <c r="L1548" s="14" t="n">
        <v>1690.757595017377</v>
      </c>
      <c r="M1548" s="14" t="n">
        <v>0</v>
      </c>
      <c r="N1548" s="14" t="n">
        <v>247943.5342096965</v>
      </c>
      <c r="O1548" s="14" t="n">
        <v>1000213.304723343</v>
      </c>
      <c r="P1548" s="14" t="n">
        <v>125433.4195465088</v>
      </c>
      <c r="Q1548" s="14" t="n">
        <v>7743782.304251667</v>
      </c>
      <c r="R1548" s="15">
        <f>IF(D1548=1,"Section 1","Control")</f>
        <v/>
      </c>
      <c r="S1548" s="16">
        <f>N1548/10000</f>
        <v/>
      </c>
      <c r="T1548" s="16">
        <f>P1548/10000</f>
        <v/>
      </c>
      <c r="U1548" s="15">
        <f>IF(N1548&gt;=Summary!$D$3,1,0)</f>
        <v/>
      </c>
      <c r="V1548" s="17">
        <f>IF(N1548&gt;0,P1548/N1548,"")</f>
        <v/>
      </c>
      <c r="W1548" s="17">
        <f>IF(O1548&gt;0,H1548/O1548,"")</f>
        <v/>
      </c>
    </row>
    <row r="1549">
      <c r="A1549" s="13" t="inlineStr">
        <is>
          <t>CE09_B2</t>
        </is>
      </c>
      <c r="B1549" s="13" t="inlineStr">
        <is>
          <t>CE09</t>
        </is>
      </c>
      <c r="C1549" s="13" t="inlineStr">
        <is>
          <t>B2</t>
        </is>
      </c>
      <c r="D1549" s="13" t="n">
        <v>0</v>
      </c>
      <c r="E1549" s="13" t="inlineStr">
        <is>
          <t>E</t>
        </is>
      </c>
      <c r="F1549" s="13" t="n">
        <v>2020</v>
      </c>
      <c r="G1549" s="14" t="n">
        <v>1000843.213261085</v>
      </c>
      <c r="H1549" s="14" t="n">
        <v>101799.693945851</v>
      </c>
      <c r="I1549" s="14" t="n">
        <v>451975.5922482659</v>
      </c>
      <c r="J1549" s="14" t="n">
        <v>0</v>
      </c>
      <c r="K1549" s="14" t="n">
        <v>16588.76235321644</v>
      </c>
      <c r="L1549" s="14" t="n">
        <v>430479.1647137512</v>
      </c>
      <c r="M1549" s="14" t="n">
        <v>0</v>
      </c>
      <c r="N1549" s="14" t="n">
        <v>101799.693945851</v>
      </c>
      <c r="O1549" s="14" t="n">
        <v>570364.0485473333</v>
      </c>
      <c r="P1549" s="14" t="n">
        <v>0</v>
      </c>
      <c r="Q1549" s="14" t="n">
        <v>4013127.594321158</v>
      </c>
      <c r="R1549" s="15">
        <f>IF(D1549=1,"Section 1","Control")</f>
        <v/>
      </c>
      <c r="S1549" s="16">
        <f>N1549/10000</f>
        <v/>
      </c>
      <c r="T1549" s="16">
        <f>P1549/10000</f>
        <v/>
      </c>
      <c r="U1549" s="15">
        <f>IF(N1549&gt;=Summary!$D$3,1,0)</f>
        <v/>
      </c>
      <c r="V1549" s="17">
        <f>IF(N1549&gt;0,P1549/N1549,"")</f>
        <v/>
      </c>
      <c r="W1549" s="17">
        <f>IF(O1549&gt;0,H1549/O1549,"")</f>
        <v/>
      </c>
    </row>
    <row r="1550">
      <c r="A1550" s="13" t="inlineStr">
        <is>
          <t>CE09_B2</t>
        </is>
      </c>
      <c r="B1550" s="13" t="inlineStr">
        <is>
          <t>CE09</t>
        </is>
      </c>
      <c r="C1550" s="13" t="inlineStr">
        <is>
          <t>B2</t>
        </is>
      </c>
      <c r="D1550" s="13" t="n">
        <v>0</v>
      </c>
      <c r="E1550" s="13" t="inlineStr">
        <is>
          <t>E</t>
        </is>
      </c>
      <c r="F1550" s="13" t="n">
        <v>2021</v>
      </c>
      <c r="G1550" s="14" t="n">
        <v>1000843.213261085</v>
      </c>
      <c r="H1550" s="14" t="n">
        <v>80048.69186191932</v>
      </c>
      <c r="I1550" s="14" t="n">
        <v>417841.427158251</v>
      </c>
      <c r="J1550" s="14" t="n">
        <v>0</v>
      </c>
      <c r="K1550" s="14" t="n">
        <v>61538.41636325612</v>
      </c>
      <c r="L1550" s="14" t="n">
        <v>441414.6778776581</v>
      </c>
      <c r="M1550" s="14" t="n">
        <v>0</v>
      </c>
      <c r="N1550" s="14" t="n">
        <v>101799.693945851</v>
      </c>
      <c r="O1550" s="14" t="n">
        <v>570364.0485473333</v>
      </c>
      <c r="P1550" s="14" t="n">
        <v>29899.11760565066</v>
      </c>
      <c r="Q1550" s="14" t="n">
        <v>4013127.594321158</v>
      </c>
      <c r="R1550" s="15">
        <f>IF(D1550=1,"Section 1","Control")</f>
        <v/>
      </c>
      <c r="S1550" s="16">
        <f>N1550/10000</f>
        <v/>
      </c>
      <c r="T1550" s="16">
        <f>P1550/10000</f>
        <v/>
      </c>
      <c r="U1550" s="15">
        <f>IF(N1550&gt;=Summary!$D$3,1,0)</f>
        <v/>
      </c>
      <c r="V1550" s="17">
        <f>IF(N1550&gt;0,P1550/N1550,"")</f>
        <v/>
      </c>
      <c r="W1550" s="17">
        <f>IF(O1550&gt;0,H1550/O1550,"")</f>
        <v/>
      </c>
    </row>
    <row r="1551">
      <c r="A1551" s="13" t="inlineStr">
        <is>
          <t>CE09_B2</t>
        </is>
      </c>
      <c r="B1551" s="13" t="inlineStr">
        <is>
          <t>CE09</t>
        </is>
      </c>
      <c r="C1551" s="13" t="inlineStr">
        <is>
          <t>B2</t>
        </is>
      </c>
      <c r="D1551" s="13" t="n">
        <v>0</v>
      </c>
      <c r="E1551" s="13" t="inlineStr">
        <is>
          <t>E</t>
        </is>
      </c>
      <c r="F1551" s="13" t="n">
        <v>2022</v>
      </c>
      <c r="G1551" s="14" t="n">
        <v>1000843.213261085</v>
      </c>
      <c r="H1551" s="14" t="n">
        <v>113563.700062561</v>
      </c>
      <c r="I1551" s="14" t="n">
        <v>392590.9307136685</v>
      </c>
      <c r="J1551" s="14" t="n">
        <v>0</v>
      </c>
      <c r="K1551" s="14" t="n">
        <v>72155.24871141024</v>
      </c>
      <c r="L1551" s="14" t="n">
        <v>422533.3337734448</v>
      </c>
      <c r="M1551" s="14" t="n">
        <v>0</v>
      </c>
      <c r="N1551" s="14" t="n">
        <v>101799.693945851</v>
      </c>
      <c r="O1551" s="14" t="n">
        <v>570364.0485473333</v>
      </c>
      <c r="P1551" s="14" t="n">
        <v>35751.03587371227</v>
      </c>
      <c r="Q1551" s="14" t="n">
        <v>4013127.594321158</v>
      </c>
      <c r="R1551" s="15">
        <f>IF(D1551=1,"Section 1","Control")</f>
        <v/>
      </c>
      <c r="S1551" s="16">
        <f>N1551/10000</f>
        <v/>
      </c>
      <c r="T1551" s="16">
        <f>P1551/10000</f>
        <v/>
      </c>
      <c r="U1551" s="15">
        <f>IF(N1551&gt;=Summary!$D$3,1,0)</f>
        <v/>
      </c>
      <c r="V1551" s="17">
        <f>IF(N1551&gt;0,P1551/N1551,"")</f>
        <v/>
      </c>
      <c r="W1551" s="17">
        <f>IF(O1551&gt;0,H1551/O1551,"")</f>
        <v/>
      </c>
    </row>
    <row r="1552">
      <c r="A1552" s="13" t="inlineStr">
        <is>
          <t>CE09_B2</t>
        </is>
      </c>
      <c r="B1552" s="13" t="inlineStr">
        <is>
          <t>CE09</t>
        </is>
      </c>
      <c r="C1552" s="13" t="inlineStr">
        <is>
          <t>B2</t>
        </is>
      </c>
      <c r="D1552" s="13" t="n">
        <v>0</v>
      </c>
      <c r="E1552" s="13" t="inlineStr">
        <is>
          <t>E</t>
        </is>
      </c>
      <c r="F1552" s="13" t="n">
        <v>2023</v>
      </c>
      <c r="G1552" s="14" t="n">
        <v>1000843.213261085</v>
      </c>
      <c r="H1552" s="14" t="n">
        <v>97421.2253805123</v>
      </c>
      <c r="I1552" s="14" t="n">
        <v>403176.3388025321</v>
      </c>
      <c r="J1552" s="14" t="n">
        <v>0</v>
      </c>
      <c r="K1552" s="14" t="n">
        <v>41463.85999639174</v>
      </c>
      <c r="L1552" s="14" t="n">
        <v>458781.7890816484</v>
      </c>
      <c r="M1552" s="14" t="n">
        <v>0</v>
      </c>
      <c r="N1552" s="14" t="n">
        <v>101799.693945851</v>
      </c>
      <c r="O1552" s="14" t="n">
        <v>570364.0485473333</v>
      </c>
      <c r="P1552" s="14" t="n">
        <v>52633.77828213561</v>
      </c>
      <c r="Q1552" s="14" t="n">
        <v>4013127.594321158</v>
      </c>
      <c r="R1552" s="15">
        <f>IF(D1552=1,"Section 1","Control")</f>
        <v/>
      </c>
      <c r="S1552" s="16">
        <f>N1552/10000</f>
        <v/>
      </c>
      <c r="T1552" s="16">
        <f>P1552/10000</f>
        <v/>
      </c>
      <c r="U1552" s="15">
        <f>IF(N1552&gt;=Summary!$D$3,1,0)</f>
        <v/>
      </c>
      <c r="V1552" s="17">
        <f>IF(N1552&gt;0,P1552/N1552,"")</f>
        <v/>
      </c>
      <c r="W1552" s="17">
        <f>IF(O1552&gt;0,H1552/O1552,"")</f>
        <v/>
      </c>
    </row>
    <row r="1553">
      <c r="A1553" s="13" t="inlineStr">
        <is>
          <t>CE09_B2</t>
        </is>
      </c>
      <c r="B1553" s="13" t="inlineStr">
        <is>
          <t>CE09</t>
        </is>
      </c>
      <c r="C1553" s="13" t="inlineStr">
        <is>
          <t>B2</t>
        </is>
      </c>
      <c r="D1553" s="13" t="n">
        <v>0</v>
      </c>
      <c r="E1553" s="13" t="inlineStr">
        <is>
          <t>E</t>
        </is>
      </c>
      <c r="F1553" s="13" t="n">
        <v>2024</v>
      </c>
      <c r="G1553" s="14" t="n">
        <v>1000843.213261085</v>
      </c>
      <c r="H1553" s="14" t="n">
        <v>174153.9212809245</v>
      </c>
      <c r="I1553" s="14" t="n">
        <v>323590.5345616658</v>
      </c>
      <c r="J1553" s="14" t="n">
        <v>0</v>
      </c>
      <c r="K1553" s="14" t="n">
        <v>42737.33192327162</v>
      </c>
      <c r="L1553" s="14" t="n">
        <v>460361.4254952226</v>
      </c>
      <c r="M1553" s="14" t="n">
        <v>0</v>
      </c>
      <c r="N1553" s="14" t="n">
        <v>101799.693945851</v>
      </c>
      <c r="O1553" s="14" t="n">
        <v>570364.0485473333</v>
      </c>
      <c r="P1553" s="14" t="n">
        <v>39226.12641547708</v>
      </c>
      <c r="Q1553" s="14" t="n">
        <v>4013127.594321158</v>
      </c>
      <c r="R1553" s="15">
        <f>IF(D1553=1,"Section 1","Control")</f>
        <v/>
      </c>
      <c r="S1553" s="16">
        <f>N1553/10000</f>
        <v/>
      </c>
      <c r="T1553" s="16">
        <f>P1553/10000</f>
        <v/>
      </c>
      <c r="U1553" s="15">
        <f>IF(N1553&gt;=Summary!$D$3,1,0)</f>
        <v/>
      </c>
      <c r="V1553" s="17">
        <f>IF(N1553&gt;0,P1553/N1553,"")</f>
        <v/>
      </c>
      <c r="W1553" s="17">
        <f>IF(O1553&gt;0,H1553/O1553,"")</f>
        <v/>
      </c>
    </row>
    <row r="1554">
      <c r="A1554" s="13" t="inlineStr">
        <is>
          <t>CE09_B2</t>
        </is>
      </c>
      <c r="B1554" s="13" t="inlineStr">
        <is>
          <t>CE09</t>
        </is>
      </c>
      <c r="C1554" s="13" t="inlineStr">
        <is>
          <t>B2</t>
        </is>
      </c>
      <c r="D1554" s="13" t="n">
        <v>0</v>
      </c>
      <c r="E1554" s="13" t="inlineStr">
        <is>
          <t>E</t>
        </is>
      </c>
      <c r="F1554" s="13" t="n">
        <v>2025</v>
      </c>
      <c r="G1554" s="14" t="n">
        <v>1000843.213261085</v>
      </c>
      <c r="H1554" s="14" t="n">
        <v>225587.581626204</v>
      </c>
      <c r="I1554" s="14" t="n">
        <v>268299.1023906334</v>
      </c>
      <c r="J1554" s="14" t="n">
        <v>0</v>
      </c>
      <c r="K1554" s="14" t="n">
        <v>45252.41180599437</v>
      </c>
      <c r="L1554" s="14" t="n">
        <v>461704.1174382528</v>
      </c>
      <c r="M1554" s="14" t="n">
        <v>0</v>
      </c>
      <c r="N1554" s="14" t="n">
        <v>101799.693945851</v>
      </c>
      <c r="O1554" s="14" t="n">
        <v>570364.0485473333</v>
      </c>
      <c r="P1554" s="14" t="n">
        <v>45372.6295476876</v>
      </c>
      <c r="Q1554" s="14" t="n">
        <v>4013127.594321158</v>
      </c>
      <c r="R1554" s="15">
        <f>IF(D1554=1,"Section 1","Control")</f>
        <v/>
      </c>
      <c r="S1554" s="16">
        <f>N1554/10000</f>
        <v/>
      </c>
      <c r="T1554" s="16">
        <f>P1554/10000</f>
        <v/>
      </c>
      <c r="U1554" s="15">
        <f>IF(N1554&gt;=Summary!$D$3,1,0)</f>
        <v/>
      </c>
      <c r="V1554" s="17">
        <f>IF(N1554&gt;0,P1554/N1554,"")</f>
        <v/>
      </c>
      <c r="W1554" s="17">
        <f>IF(O1554&gt;0,H1554/O1554,"")</f>
        <v/>
      </c>
    </row>
    <row r="1555">
      <c r="A1555" s="13" t="inlineStr">
        <is>
          <t>CE09_B2</t>
        </is>
      </c>
      <c r="B1555" s="13" t="inlineStr">
        <is>
          <t>CE09</t>
        </is>
      </c>
      <c r="C1555" s="13" t="inlineStr">
        <is>
          <t>B2</t>
        </is>
      </c>
      <c r="D1555" s="13" t="n">
        <v>0</v>
      </c>
      <c r="E1555" s="13" t="inlineStr">
        <is>
          <t>E</t>
        </is>
      </c>
      <c r="F1555" s="13" t="n">
        <v>2026</v>
      </c>
      <c r="G1555" s="14" t="n">
        <v>1000843.213261085</v>
      </c>
      <c r="H1555" s="14" t="n">
        <v>149624.4277668373</v>
      </c>
      <c r="I1555" s="14" t="n">
        <v>329765.5221851722</v>
      </c>
      <c r="J1555" s="14" t="n">
        <v>0</v>
      </c>
      <c r="K1555" s="14" t="n">
        <v>61388.02027082257</v>
      </c>
      <c r="L1555" s="14" t="n">
        <v>460065.2430382524</v>
      </c>
      <c r="M1555" s="14" t="n">
        <v>0</v>
      </c>
      <c r="N1555" s="14" t="n">
        <v>101799.693945851</v>
      </c>
      <c r="O1555" s="14" t="n">
        <v>570364.0485473333</v>
      </c>
      <c r="P1555" s="14" t="n">
        <v>44676.1465423584</v>
      </c>
      <c r="Q1555" s="14" t="n">
        <v>4013127.594321158</v>
      </c>
      <c r="R1555" s="15">
        <f>IF(D1555=1,"Section 1","Control")</f>
        <v/>
      </c>
      <c r="S1555" s="16">
        <f>N1555/10000</f>
        <v/>
      </c>
      <c r="T1555" s="16">
        <f>P1555/10000</f>
        <v/>
      </c>
      <c r="U1555" s="15">
        <f>IF(N1555&gt;=Summary!$D$3,1,0)</f>
        <v/>
      </c>
      <c r="V1555" s="17">
        <f>IF(N1555&gt;0,P1555/N1555,"")</f>
        <v/>
      </c>
      <c r="W1555" s="17">
        <f>IF(O1555&gt;0,H1555/O1555,"")</f>
        <v/>
      </c>
    </row>
    <row r="1556">
      <c r="A1556" s="13" t="inlineStr">
        <is>
          <t>CE09_B3</t>
        </is>
      </c>
      <c r="B1556" s="13" t="inlineStr">
        <is>
          <t>CE09</t>
        </is>
      </c>
      <c r="C1556" s="13" t="inlineStr">
        <is>
          <t>B3</t>
        </is>
      </c>
      <c r="D1556" s="13" t="n">
        <v>0</v>
      </c>
      <c r="E1556" s="13" t="inlineStr">
        <is>
          <t>E</t>
        </is>
      </c>
      <c r="F1556" s="13" t="n">
        <v>2020</v>
      </c>
      <c r="G1556" s="14" t="n">
        <v>7844042.387343435</v>
      </c>
      <c r="H1556" s="14" t="n">
        <v>3409934.447172816</v>
      </c>
      <c r="I1556" s="14" t="n">
        <v>197482.6123144113</v>
      </c>
      <c r="J1556" s="14" t="n">
        <v>0</v>
      </c>
      <c r="K1556" s="14" t="n">
        <v>29621.67530128629</v>
      </c>
      <c r="L1556" s="14" t="n">
        <v>4207003.65255492</v>
      </c>
      <c r="M1556" s="14" t="n">
        <v>0</v>
      </c>
      <c r="N1556" s="14" t="n">
        <v>3409934.447172816</v>
      </c>
      <c r="O1556" s="14" t="n">
        <v>3637038.734788514</v>
      </c>
      <c r="P1556" s="14" t="n">
        <v>0</v>
      </c>
      <c r="Q1556" s="14" t="n">
        <v>30682271.77230481</v>
      </c>
      <c r="R1556" s="15">
        <f>IF(D1556=1,"Section 1","Control")</f>
        <v/>
      </c>
      <c r="S1556" s="16">
        <f>N1556/10000</f>
        <v/>
      </c>
      <c r="T1556" s="16">
        <f>P1556/10000</f>
        <v/>
      </c>
      <c r="U1556" s="15">
        <f>IF(N1556&gt;=Summary!$D$3,1,0)</f>
        <v/>
      </c>
      <c r="V1556" s="17">
        <f>IF(N1556&gt;0,P1556/N1556,"")</f>
        <v/>
      </c>
      <c r="W1556" s="17">
        <f>IF(O1556&gt;0,H1556/O1556,"")</f>
        <v/>
      </c>
    </row>
    <row r="1557">
      <c r="A1557" s="13" t="inlineStr">
        <is>
          <t>CE09_B3</t>
        </is>
      </c>
      <c r="B1557" s="13" t="inlineStr">
        <is>
          <t>CE09</t>
        </is>
      </c>
      <c r="C1557" s="13" t="inlineStr">
        <is>
          <t>B3</t>
        </is>
      </c>
      <c r="D1557" s="13" t="n">
        <v>0</v>
      </c>
      <c r="E1557" s="13" t="inlineStr">
        <is>
          <t>E</t>
        </is>
      </c>
      <c r="F1557" s="13" t="n">
        <v>2021</v>
      </c>
      <c r="G1557" s="14" t="n">
        <v>7844042.387343436</v>
      </c>
      <c r="H1557" s="14" t="n">
        <v>3275780.15527661</v>
      </c>
      <c r="I1557" s="14" t="n">
        <v>290541.6611106125</v>
      </c>
      <c r="J1557" s="14" t="n">
        <v>0</v>
      </c>
      <c r="K1557" s="14" t="n">
        <v>129449.2431474274</v>
      </c>
      <c r="L1557" s="14" t="n">
        <v>4148271.327808784</v>
      </c>
      <c r="M1557" s="14" t="n">
        <v>0</v>
      </c>
      <c r="N1557" s="14" t="n">
        <v>3409934.447172816</v>
      </c>
      <c r="O1557" s="14" t="n">
        <v>3637038.734788514</v>
      </c>
      <c r="P1557" s="14" t="n">
        <v>148870.1638212017</v>
      </c>
      <c r="Q1557" s="14" t="n">
        <v>30682271.77230481</v>
      </c>
      <c r="R1557" s="15">
        <f>IF(D1557=1,"Section 1","Control")</f>
        <v/>
      </c>
      <c r="S1557" s="16">
        <f>N1557/10000</f>
        <v/>
      </c>
      <c r="T1557" s="16">
        <f>P1557/10000</f>
        <v/>
      </c>
      <c r="U1557" s="15">
        <f>IF(N1557&gt;=Summary!$D$3,1,0)</f>
        <v/>
      </c>
      <c r="V1557" s="17">
        <f>IF(N1557&gt;0,P1557/N1557,"")</f>
        <v/>
      </c>
      <c r="W1557" s="17">
        <f>IF(O1557&gt;0,H1557/O1557,"")</f>
        <v/>
      </c>
    </row>
    <row r="1558">
      <c r="A1558" s="13" t="inlineStr">
        <is>
          <t>CE09_B3</t>
        </is>
      </c>
      <c r="B1558" s="13" t="inlineStr">
        <is>
          <t>CE09</t>
        </is>
      </c>
      <c r="C1558" s="13" t="inlineStr">
        <is>
          <t>B3</t>
        </is>
      </c>
      <c r="D1558" s="13" t="n">
        <v>0</v>
      </c>
      <c r="E1558" s="13" t="inlineStr">
        <is>
          <t>E</t>
        </is>
      </c>
      <c r="F1558" s="13" t="n">
        <v>2022</v>
      </c>
      <c r="G1558" s="14" t="n">
        <v>7844042.387343435</v>
      </c>
      <c r="H1558" s="14" t="n">
        <v>3357624.922573345</v>
      </c>
      <c r="I1558" s="14" t="n">
        <v>207315.4232572369</v>
      </c>
      <c r="J1558" s="14" t="n">
        <v>0</v>
      </c>
      <c r="K1558" s="14" t="n">
        <v>137212.7477424472</v>
      </c>
      <c r="L1558" s="14" t="n">
        <v>4141889.293770405</v>
      </c>
      <c r="M1558" s="14" t="n">
        <v>0</v>
      </c>
      <c r="N1558" s="14" t="n">
        <v>3409934.447172816</v>
      </c>
      <c r="O1558" s="14" t="n">
        <v>3637038.734788514</v>
      </c>
      <c r="P1558" s="14" t="n">
        <v>96561.65262157962</v>
      </c>
      <c r="Q1558" s="14" t="n">
        <v>30682271.77230481</v>
      </c>
      <c r="R1558" s="15">
        <f>IF(D1558=1,"Section 1","Control")</f>
        <v/>
      </c>
      <c r="S1558" s="16">
        <f>N1558/10000</f>
        <v/>
      </c>
      <c r="T1558" s="16">
        <f>P1558/10000</f>
        <v/>
      </c>
      <c r="U1558" s="15">
        <f>IF(N1558&gt;=Summary!$D$3,1,0)</f>
        <v/>
      </c>
      <c r="V1558" s="17">
        <f>IF(N1558&gt;0,P1558/N1558,"")</f>
        <v/>
      </c>
      <c r="W1558" s="17">
        <f>IF(O1558&gt;0,H1558/O1558,"")</f>
        <v/>
      </c>
    </row>
    <row r="1559">
      <c r="A1559" s="13" t="inlineStr">
        <is>
          <t>CE09_B3</t>
        </is>
      </c>
      <c r="B1559" s="13" t="inlineStr">
        <is>
          <t>CE09</t>
        </is>
      </c>
      <c r="C1559" s="13" t="inlineStr">
        <is>
          <t>B3</t>
        </is>
      </c>
      <c r="D1559" s="13" t="n">
        <v>0</v>
      </c>
      <c r="E1559" s="13" t="inlineStr">
        <is>
          <t>E</t>
        </is>
      </c>
      <c r="F1559" s="13" t="n">
        <v>2023</v>
      </c>
      <c r="G1559" s="14" t="n">
        <v>7844042.387343435</v>
      </c>
      <c r="H1559" s="14" t="n">
        <v>3315485.5362302</v>
      </c>
      <c r="I1559" s="14" t="n">
        <v>259534.6307548673</v>
      </c>
      <c r="J1559" s="14" t="n">
        <v>0</v>
      </c>
      <c r="K1559" s="14" t="n">
        <v>61809.88930822635</v>
      </c>
      <c r="L1559" s="14" t="n">
        <v>4207212.33105014</v>
      </c>
      <c r="M1559" s="14" t="n">
        <v>0</v>
      </c>
      <c r="N1559" s="14" t="n">
        <v>3409934.447172816</v>
      </c>
      <c r="O1559" s="14" t="n">
        <v>3637038.734788514</v>
      </c>
      <c r="P1559" s="14" t="n">
        <v>116729.1191067564</v>
      </c>
      <c r="Q1559" s="14" t="n">
        <v>30682271.77230481</v>
      </c>
      <c r="R1559" s="15">
        <f>IF(D1559=1,"Section 1","Control")</f>
        <v/>
      </c>
      <c r="S1559" s="16">
        <f>N1559/10000</f>
        <v/>
      </c>
      <c r="T1559" s="16">
        <f>P1559/10000</f>
        <v/>
      </c>
      <c r="U1559" s="15">
        <f>IF(N1559&gt;=Summary!$D$3,1,0)</f>
        <v/>
      </c>
      <c r="V1559" s="17">
        <f>IF(N1559&gt;0,P1559/N1559,"")</f>
        <v/>
      </c>
      <c r="W1559" s="17">
        <f>IF(O1559&gt;0,H1559/O1559,"")</f>
        <v/>
      </c>
    </row>
    <row r="1560">
      <c r="A1560" s="13" t="inlineStr">
        <is>
          <t>CE09_B3</t>
        </is>
      </c>
      <c r="B1560" s="13" t="inlineStr">
        <is>
          <t>CE09</t>
        </is>
      </c>
      <c r="C1560" s="13" t="inlineStr">
        <is>
          <t>B3</t>
        </is>
      </c>
      <c r="D1560" s="13" t="n">
        <v>0</v>
      </c>
      <c r="E1560" s="13" t="inlineStr">
        <is>
          <t>E</t>
        </is>
      </c>
      <c r="F1560" s="13" t="n">
        <v>2024</v>
      </c>
      <c r="G1560" s="14" t="n">
        <v>7844042.387343435</v>
      </c>
      <c r="H1560" s="14" t="n">
        <v>3379807.995089333</v>
      </c>
      <c r="I1560" s="14" t="n">
        <v>193161.0562646305</v>
      </c>
      <c r="J1560" s="14" t="n">
        <v>0</v>
      </c>
      <c r="K1560" s="14" t="n">
        <v>60051.86426406562</v>
      </c>
      <c r="L1560" s="14" t="n">
        <v>4211021.471725404</v>
      </c>
      <c r="M1560" s="14" t="n">
        <v>0</v>
      </c>
      <c r="N1560" s="14" t="n">
        <v>3409934.447172816</v>
      </c>
      <c r="O1560" s="14" t="n">
        <v>3637038.734788514</v>
      </c>
      <c r="P1560" s="14" t="n">
        <v>86016.26541278312</v>
      </c>
      <c r="Q1560" s="14" t="n">
        <v>30682271.77230482</v>
      </c>
      <c r="R1560" s="15">
        <f>IF(D1560=1,"Section 1","Control")</f>
        <v/>
      </c>
      <c r="S1560" s="16">
        <f>N1560/10000</f>
        <v/>
      </c>
      <c r="T1560" s="16">
        <f>P1560/10000</f>
        <v/>
      </c>
      <c r="U1560" s="15">
        <f>IF(N1560&gt;=Summary!$D$3,1,0)</f>
        <v/>
      </c>
      <c r="V1560" s="17">
        <f>IF(N1560&gt;0,P1560/N1560,"")</f>
        <v/>
      </c>
      <c r="W1560" s="17">
        <f>IF(O1560&gt;0,H1560/O1560,"")</f>
        <v/>
      </c>
    </row>
    <row r="1561">
      <c r="A1561" s="13" t="inlineStr">
        <is>
          <t>CE09_B3</t>
        </is>
      </c>
      <c r="B1561" s="13" t="inlineStr">
        <is>
          <t>CE09</t>
        </is>
      </c>
      <c r="C1561" s="13" t="inlineStr">
        <is>
          <t>B3</t>
        </is>
      </c>
      <c r="D1561" s="13" t="n">
        <v>0</v>
      </c>
      <c r="E1561" s="13" t="inlineStr">
        <is>
          <t>E</t>
        </is>
      </c>
      <c r="F1561" s="13" t="n">
        <v>2025</v>
      </c>
      <c r="G1561" s="14" t="n">
        <v>7844042.387343436</v>
      </c>
      <c r="H1561" s="14" t="n">
        <v>3310831.621024726</v>
      </c>
      <c r="I1561" s="14" t="n">
        <v>262445.5758885103</v>
      </c>
      <c r="J1561" s="14" t="n">
        <v>0</v>
      </c>
      <c r="K1561" s="14" t="n">
        <v>46136.83547833013</v>
      </c>
      <c r="L1561" s="14" t="n">
        <v>4224628.354951866</v>
      </c>
      <c r="M1561" s="14" t="n">
        <v>0</v>
      </c>
      <c r="N1561" s="14" t="n">
        <v>3409934.447172816</v>
      </c>
      <c r="O1561" s="14" t="n">
        <v>3637038.734788513</v>
      </c>
      <c r="P1561" s="14" t="n">
        <v>127358.7952667236</v>
      </c>
      <c r="Q1561" s="14" t="n">
        <v>30682271.77230482</v>
      </c>
      <c r="R1561" s="15">
        <f>IF(D1561=1,"Section 1","Control")</f>
        <v/>
      </c>
      <c r="S1561" s="16">
        <f>N1561/10000</f>
        <v/>
      </c>
      <c r="T1561" s="16">
        <f>P1561/10000</f>
        <v/>
      </c>
      <c r="U1561" s="15">
        <f>IF(N1561&gt;=Summary!$D$3,1,0)</f>
        <v/>
      </c>
      <c r="V1561" s="17">
        <f>IF(N1561&gt;0,P1561/N1561,"")</f>
        <v/>
      </c>
      <c r="W1561" s="17">
        <f>IF(O1561&gt;0,H1561/O1561,"")</f>
        <v/>
      </c>
    </row>
    <row r="1562">
      <c r="A1562" s="13" t="inlineStr">
        <is>
          <t>CE09_B3</t>
        </is>
      </c>
      <c r="B1562" s="13" t="inlineStr">
        <is>
          <t>CE09</t>
        </is>
      </c>
      <c r="C1562" s="13" t="inlineStr">
        <is>
          <t>B3</t>
        </is>
      </c>
      <c r="D1562" s="13" t="n">
        <v>0</v>
      </c>
      <c r="E1562" s="13" t="inlineStr">
        <is>
          <t>E</t>
        </is>
      </c>
      <c r="F1562" s="13" t="n">
        <v>2026</v>
      </c>
      <c r="G1562" s="14" t="n">
        <v>7844042.387343436</v>
      </c>
      <c r="H1562" s="14" t="n">
        <v>3332929.411840012</v>
      </c>
      <c r="I1562" s="14" t="n">
        <v>208967.6755581127</v>
      </c>
      <c r="J1562" s="14" t="n">
        <v>0</v>
      </c>
      <c r="K1562" s="14" t="n">
        <v>73288.17868996414</v>
      </c>
      <c r="L1562" s="14" t="n">
        <v>4228857.121255344</v>
      </c>
      <c r="M1562" s="14" t="n">
        <v>0</v>
      </c>
      <c r="N1562" s="14" t="n">
        <v>3409934.447172816</v>
      </c>
      <c r="O1562" s="14" t="n">
        <v>3637038.734788514</v>
      </c>
      <c r="P1562" s="14" t="n">
        <v>105813.3865931193</v>
      </c>
      <c r="Q1562" s="14" t="n">
        <v>30682271.77230482</v>
      </c>
      <c r="R1562" s="15">
        <f>IF(D1562=1,"Section 1","Control")</f>
        <v/>
      </c>
      <c r="S1562" s="16">
        <f>N1562/10000</f>
        <v/>
      </c>
      <c r="T1562" s="16">
        <f>P1562/10000</f>
        <v/>
      </c>
      <c r="U1562" s="15">
        <f>IF(N1562&gt;=Summary!$D$3,1,0)</f>
        <v/>
      </c>
      <c r="V1562" s="17">
        <f>IF(N1562&gt;0,P1562/N1562,"")</f>
        <v/>
      </c>
      <c r="W1562" s="17">
        <f>IF(O1562&gt;0,H1562/O1562,"")</f>
        <v/>
      </c>
    </row>
    <row r="1563">
      <c r="A1563" s="13" t="inlineStr">
        <is>
          <t>CE09_F</t>
        </is>
      </c>
      <c r="B1563" s="13" t="inlineStr">
        <is>
          <t>CE09</t>
        </is>
      </c>
      <c r="C1563" s="13" t="inlineStr">
        <is>
          <t>F</t>
        </is>
      </c>
      <c r="D1563" s="13" t="n">
        <v>0</v>
      </c>
      <c r="E1563" s="13" t="inlineStr">
        <is>
          <t>E</t>
        </is>
      </c>
      <c r="F1563" s="13" t="n">
        <v>2020</v>
      </c>
      <c r="G1563" s="14" t="n">
        <v>69637.77720477535</v>
      </c>
      <c r="H1563" s="14" t="n">
        <v>2743.817861519608</v>
      </c>
      <c r="I1563" s="14" t="n">
        <v>34764.12371984744</v>
      </c>
      <c r="J1563" s="14" t="n">
        <v>0</v>
      </c>
      <c r="K1563" s="14" t="n">
        <v>32129.8356234083</v>
      </c>
      <c r="L1563" s="14" t="n">
        <v>0</v>
      </c>
      <c r="M1563" s="14" t="n">
        <v>0</v>
      </c>
      <c r="N1563" s="14" t="n">
        <v>2743.817861519608</v>
      </c>
      <c r="O1563" s="14" t="n">
        <v>69637.77720477535</v>
      </c>
      <c r="P1563" s="14" t="n">
        <v>0</v>
      </c>
      <c r="Q1563" s="14" t="n">
        <v>472356.0903953701</v>
      </c>
      <c r="R1563" s="15">
        <f>IF(D1563=1,"Section 1","Control")</f>
        <v/>
      </c>
      <c r="S1563" s="16">
        <f>N1563/10000</f>
        <v/>
      </c>
      <c r="T1563" s="16">
        <f>P1563/10000</f>
        <v/>
      </c>
      <c r="U1563" s="15">
        <f>IF(N1563&gt;=Summary!$D$3,1,0)</f>
        <v/>
      </c>
      <c r="V1563" s="17">
        <f>IF(N1563&gt;0,P1563/N1563,"")</f>
        <v/>
      </c>
      <c r="W1563" s="17">
        <f>IF(O1563&gt;0,H1563/O1563,"")</f>
        <v/>
      </c>
    </row>
    <row r="1564">
      <c r="A1564" s="13" t="inlineStr">
        <is>
          <t>CE09_F</t>
        </is>
      </c>
      <c r="B1564" s="13" t="inlineStr">
        <is>
          <t>CE09</t>
        </is>
      </c>
      <c r="C1564" s="13" t="inlineStr">
        <is>
          <t>F</t>
        </is>
      </c>
      <c r="D1564" s="13" t="n">
        <v>0</v>
      </c>
      <c r="E1564" s="13" t="inlineStr">
        <is>
          <t>E</t>
        </is>
      </c>
      <c r="F1564" s="13" t="n">
        <v>2021</v>
      </c>
      <c r="G1564" s="14" t="n">
        <v>69637.77720477535</v>
      </c>
      <c r="H1564" s="14" t="n">
        <v>1600.527474556717</v>
      </c>
      <c r="I1564" s="14" t="n">
        <v>28700.37921295166</v>
      </c>
      <c r="J1564" s="14" t="n">
        <v>0</v>
      </c>
      <c r="K1564" s="14" t="n">
        <v>39336.87051726696</v>
      </c>
      <c r="L1564" s="14" t="n">
        <v>0</v>
      </c>
      <c r="M1564" s="14" t="n">
        <v>0</v>
      </c>
      <c r="N1564" s="14" t="n">
        <v>2743.817861519608</v>
      </c>
      <c r="O1564" s="14" t="n">
        <v>69637.77720477535</v>
      </c>
      <c r="P1564" s="14" t="n">
        <v>1242.016728210449</v>
      </c>
      <c r="Q1564" s="14" t="n">
        <v>472356.0903953701</v>
      </c>
      <c r="R1564" s="15">
        <f>IF(D1564=1,"Section 1","Control")</f>
        <v/>
      </c>
      <c r="S1564" s="16">
        <f>N1564/10000</f>
        <v/>
      </c>
      <c r="T1564" s="16">
        <f>P1564/10000</f>
        <v/>
      </c>
      <c r="U1564" s="15">
        <f>IF(N1564&gt;=Summary!$D$3,1,0)</f>
        <v/>
      </c>
      <c r="V1564" s="17">
        <f>IF(N1564&gt;0,P1564/N1564,"")</f>
        <v/>
      </c>
      <c r="W1564" s="17">
        <f>IF(O1564&gt;0,H1564/O1564,"")</f>
        <v/>
      </c>
    </row>
    <row r="1565">
      <c r="A1565" s="13" t="inlineStr">
        <is>
          <t>CE09_F</t>
        </is>
      </c>
      <c r="B1565" s="13" t="inlineStr">
        <is>
          <t>CE09</t>
        </is>
      </c>
      <c r="C1565" s="13" t="inlineStr">
        <is>
          <t>F</t>
        </is>
      </c>
      <c r="D1565" s="13" t="n">
        <v>0</v>
      </c>
      <c r="E1565" s="13" t="inlineStr">
        <is>
          <t>E</t>
        </is>
      </c>
      <c r="F1565" s="13" t="n">
        <v>2022</v>
      </c>
      <c r="G1565" s="14" t="n">
        <v>69637.77720477535</v>
      </c>
      <c r="H1565" s="14" t="n">
        <v>1171.55207899505</v>
      </c>
      <c r="I1565" s="14" t="n">
        <v>28870.35044142779</v>
      </c>
      <c r="J1565" s="14" t="n">
        <v>0</v>
      </c>
      <c r="K1565" s="14" t="n">
        <v>39595.87468435249</v>
      </c>
      <c r="L1565" s="14" t="n">
        <v>0</v>
      </c>
      <c r="M1565" s="14" t="n">
        <v>0</v>
      </c>
      <c r="N1565" s="14" t="n">
        <v>2743.817861519608</v>
      </c>
      <c r="O1565" s="14" t="n">
        <v>69637.77720477535</v>
      </c>
      <c r="P1565" s="14" t="n">
        <v>1572.265782524558</v>
      </c>
      <c r="Q1565" s="14" t="n">
        <v>472356.0903953701</v>
      </c>
      <c r="R1565" s="15">
        <f>IF(D1565=1,"Section 1","Control")</f>
        <v/>
      </c>
      <c r="S1565" s="16">
        <f>N1565/10000</f>
        <v/>
      </c>
      <c r="T1565" s="16">
        <f>P1565/10000</f>
        <v/>
      </c>
      <c r="U1565" s="15">
        <f>IF(N1565&gt;=Summary!$D$3,1,0)</f>
        <v/>
      </c>
      <c r="V1565" s="17">
        <f>IF(N1565&gt;0,P1565/N1565,"")</f>
        <v/>
      </c>
      <c r="W1565" s="17">
        <f>IF(O1565&gt;0,H1565/O1565,"")</f>
        <v/>
      </c>
    </row>
    <row r="1566">
      <c r="A1566" s="13" t="inlineStr">
        <is>
          <t>CE09_F</t>
        </is>
      </c>
      <c r="B1566" s="13" t="inlineStr">
        <is>
          <t>CE09</t>
        </is>
      </c>
      <c r="C1566" s="13" t="inlineStr">
        <is>
          <t>F</t>
        </is>
      </c>
      <c r="D1566" s="13" t="n">
        <v>0</v>
      </c>
      <c r="E1566" s="13" t="inlineStr">
        <is>
          <t>E</t>
        </is>
      </c>
      <c r="F1566" s="13" t="n">
        <v>2023</v>
      </c>
      <c r="G1566" s="14" t="n">
        <v>69637.77720477535</v>
      </c>
      <c r="H1566" s="14" t="n">
        <v>1269.11738020953</v>
      </c>
      <c r="I1566" s="14" t="n">
        <v>32456.63259968477</v>
      </c>
      <c r="J1566" s="14" t="n">
        <v>0</v>
      </c>
      <c r="K1566" s="14" t="n">
        <v>35912.02722488104</v>
      </c>
      <c r="L1566" s="14" t="n">
        <v>0</v>
      </c>
      <c r="M1566" s="14" t="n">
        <v>0</v>
      </c>
      <c r="N1566" s="14" t="n">
        <v>2743.817861519608</v>
      </c>
      <c r="O1566" s="14" t="n">
        <v>69637.77720477535</v>
      </c>
      <c r="P1566" s="14" t="n">
        <v>1715.90273808498</v>
      </c>
      <c r="Q1566" s="14" t="n">
        <v>472356.0903953701</v>
      </c>
      <c r="R1566" s="15">
        <f>IF(D1566=1,"Section 1","Control")</f>
        <v/>
      </c>
      <c r="S1566" s="16">
        <f>N1566/10000</f>
        <v/>
      </c>
      <c r="T1566" s="16">
        <f>P1566/10000</f>
        <v/>
      </c>
      <c r="U1566" s="15">
        <f>IF(N1566&gt;=Summary!$D$3,1,0)</f>
        <v/>
      </c>
      <c r="V1566" s="17">
        <f>IF(N1566&gt;0,P1566/N1566,"")</f>
        <v/>
      </c>
      <c r="W1566" s="17">
        <f>IF(O1566&gt;0,H1566/O1566,"")</f>
        <v/>
      </c>
    </row>
    <row r="1567">
      <c r="A1567" s="13" t="inlineStr">
        <is>
          <t>CE09_F</t>
        </is>
      </c>
      <c r="B1567" s="13" t="inlineStr">
        <is>
          <t>CE09</t>
        </is>
      </c>
      <c r="C1567" s="13" t="inlineStr">
        <is>
          <t>F</t>
        </is>
      </c>
      <c r="D1567" s="13" t="n">
        <v>0</v>
      </c>
      <c r="E1567" s="13" t="inlineStr">
        <is>
          <t>E</t>
        </is>
      </c>
      <c r="F1567" s="13" t="n">
        <v>2024</v>
      </c>
      <c r="G1567" s="14" t="n">
        <v>69637.77720477535</v>
      </c>
      <c r="H1567" s="14" t="n">
        <v>4537.542924469592</v>
      </c>
      <c r="I1567" s="14" t="n">
        <v>29469.2929918177</v>
      </c>
      <c r="J1567" s="14" t="n">
        <v>0</v>
      </c>
      <c r="K1567" s="14" t="n">
        <v>35630.94128848804</v>
      </c>
      <c r="L1567" s="14" t="n">
        <v>0</v>
      </c>
      <c r="M1567" s="14" t="n">
        <v>0</v>
      </c>
      <c r="N1567" s="14" t="n">
        <v>2743.817861519608</v>
      </c>
      <c r="O1567" s="14" t="n">
        <v>69637.77720477535</v>
      </c>
      <c r="P1567" s="14" t="n">
        <v>1199.815050970339</v>
      </c>
      <c r="Q1567" s="14" t="n">
        <v>472356.0903953701</v>
      </c>
      <c r="R1567" s="15">
        <f>IF(D1567=1,"Section 1","Control")</f>
        <v/>
      </c>
      <c r="S1567" s="16">
        <f>N1567/10000</f>
        <v/>
      </c>
      <c r="T1567" s="16">
        <f>P1567/10000</f>
        <v/>
      </c>
      <c r="U1567" s="15">
        <f>IF(N1567&gt;=Summary!$D$3,1,0)</f>
        <v/>
      </c>
      <c r="V1567" s="17">
        <f>IF(N1567&gt;0,P1567/N1567,"")</f>
        <v/>
      </c>
      <c r="W1567" s="17">
        <f>IF(O1567&gt;0,H1567/O1567,"")</f>
        <v/>
      </c>
    </row>
    <row r="1568">
      <c r="A1568" s="13" t="inlineStr">
        <is>
          <t>CE09_F</t>
        </is>
      </c>
      <c r="B1568" s="13" t="inlineStr">
        <is>
          <t>CE09</t>
        </is>
      </c>
      <c r="C1568" s="13" t="inlineStr">
        <is>
          <t>F</t>
        </is>
      </c>
      <c r="D1568" s="13" t="n">
        <v>0</v>
      </c>
      <c r="E1568" s="13" t="inlineStr">
        <is>
          <t>E</t>
        </is>
      </c>
      <c r="F1568" s="13" t="n">
        <v>2025</v>
      </c>
      <c r="G1568" s="14" t="n">
        <v>69637.77720477535</v>
      </c>
      <c r="H1568" s="14" t="n">
        <v>9630.285897946822</v>
      </c>
      <c r="I1568" s="14" t="n">
        <v>26958.92267704384</v>
      </c>
      <c r="J1568" s="14" t="n">
        <v>0</v>
      </c>
      <c r="K1568" s="14" t="n">
        <v>33048.56862978467</v>
      </c>
      <c r="L1568" s="14" t="n">
        <v>0</v>
      </c>
      <c r="M1568" s="14" t="n">
        <v>0</v>
      </c>
      <c r="N1568" s="14" t="n">
        <v>2743.817861519608</v>
      </c>
      <c r="O1568" s="14" t="n">
        <v>69637.77720477535</v>
      </c>
      <c r="P1568" s="14" t="n">
        <v>1209.106806347417</v>
      </c>
      <c r="Q1568" s="14" t="n">
        <v>472356.0903953701</v>
      </c>
      <c r="R1568" s="15">
        <f>IF(D1568=1,"Section 1","Control")</f>
        <v/>
      </c>
      <c r="S1568" s="16">
        <f>N1568/10000</f>
        <v/>
      </c>
      <c r="T1568" s="16">
        <f>P1568/10000</f>
        <v/>
      </c>
      <c r="U1568" s="15">
        <f>IF(N1568&gt;=Summary!$D$3,1,0)</f>
        <v/>
      </c>
      <c r="V1568" s="17">
        <f>IF(N1568&gt;0,P1568/N1568,"")</f>
        <v/>
      </c>
      <c r="W1568" s="17">
        <f>IF(O1568&gt;0,H1568/O1568,"")</f>
        <v/>
      </c>
    </row>
    <row r="1569">
      <c r="A1569" s="13" t="inlineStr">
        <is>
          <t>CE09_F</t>
        </is>
      </c>
      <c r="B1569" s="13" t="inlineStr">
        <is>
          <t>CE09</t>
        </is>
      </c>
      <c r="C1569" s="13" t="inlineStr">
        <is>
          <t>F</t>
        </is>
      </c>
      <c r="D1569" s="13" t="n">
        <v>0</v>
      </c>
      <c r="E1569" s="13" t="inlineStr">
        <is>
          <t>E</t>
        </is>
      </c>
      <c r="F1569" s="13" t="n">
        <v>2026</v>
      </c>
      <c r="G1569" s="14" t="n">
        <v>69637.77720477535</v>
      </c>
      <c r="H1569" s="14" t="n">
        <v>5354.068877545526</v>
      </c>
      <c r="I1569" s="14" t="n">
        <v>24272.79667705461</v>
      </c>
      <c r="J1569" s="14" t="n">
        <v>0</v>
      </c>
      <c r="K1569" s="14" t="n">
        <v>40010.9116501752</v>
      </c>
      <c r="L1569" s="14" t="n">
        <v>0</v>
      </c>
      <c r="M1569" s="14" t="n">
        <v>0</v>
      </c>
      <c r="N1569" s="14" t="n">
        <v>2743.817861519608</v>
      </c>
      <c r="O1569" s="14" t="n">
        <v>69637.77720477535</v>
      </c>
      <c r="P1569" s="14" t="n">
        <v>1322.932594000125</v>
      </c>
      <c r="Q1569" s="14" t="n">
        <v>472356.0903953701</v>
      </c>
      <c r="R1569" s="15">
        <f>IF(D1569=1,"Section 1","Control")</f>
        <v/>
      </c>
      <c r="S1569" s="16">
        <f>N1569/10000</f>
        <v/>
      </c>
      <c r="T1569" s="16">
        <f>P1569/10000</f>
        <v/>
      </c>
      <c r="U1569" s="15">
        <f>IF(N1569&gt;=Summary!$D$3,1,0)</f>
        <v/>
      </c>
      <c r="V1569" s="17">
        <f>IF(N1569&gt;0,P1569/N1569,"")</f>
        <v/>
      </c>
      <c r="W1569" s="17">
        <f>IF(O1569&gt;0,H1569/O1569,"")</f>
        <v/>
      </c>
    </row>
    <row r="1570">
      <c r="A1570" s="13" t="inlineStr">
        <is>
          <t>CE10_B1</t>
        </is>
      </c>
      <c r="B1570" s="13" t="inlineStr">
        <is>
          <t>CE10</t>
        </is>
      </c>
      <c r="C1570" s="13" t="inlineStr">
        <is>
          <t>B1</t>
        </is>
      </c>
      <c r="D1570" s="13" t="n">
        <v>0</v>
      </c>
      <c r="E1570" s="13" t="inlineStr">
        <is>
          <t>E</t>
        </is>
      </c>
      <c r="F1570" s="13" t="n">
        <v>2020</v>
      </c>
      <c r="G1570" s="14" t="n">
        <v>999549.2232332114</v>
      </c>
      <c r="H1570" s="14" t="n">
        <v>303950.2589174458</v>
      </c>
      <c r="I1570" s="14" t="n">
        <v>572126.7761301375</v>
      </c>
      <c r="J1570" s="14" t="n">
        <v>0</v>
      </c>
      <c r="K1570" s="14" t="n">
        <v>78471.23369709089</v>
      </c>
      <c r="L1570" s="14" t="n">
        <v>45000.95448853737</v>
      </c>
      <c r="M1570" s="14" t="n">
        <v>0</v>
      </c>
      <c r="N1570" s="14" t="n">
        <v>303950.2589174458</v>
      </c>
      <c r="O1570" s="14" t="n">
        <v>954548.2687446742</v>
      </c>
      <c r="P1570" s="14" t="n">
        <v>0</v>
      </c>
      <c r="Q1570" s="14" t="n">
        <v>6506635.51242209</v>
      </c>
      <c r="R1570" s="15">
        <f>IF(D1570=1,"Section 1","Control")</f>
        <v/>
      </c>
      <c r="S1570" s="16">
        <f>N1570/10000</f>
        <v/>
      </c>
      <c r="T1570" s="16">
        <f>P1570/10000</f>
        <v/>
      </c>
      <c r="U1570" s="15">
        <f>IF(N1570&gt;=Summary!$D$3,1,0)</f>
        <v/>
      </c>
      <c r="V1570" s="17">
        <f>IF(N1570&gt;0,P1570/N1570,"")</f>
        <v/>
      </c>
      <c r="W1570" s="17">
        <f>IF(O1570&gt;0,H1570/O1570,"")</f>
        <v/>
      </c>
    </row>
    <row r="1571">
      <c r="A1571" s="13" t="inlineStr">
        <is>
          <t>CE10_B1</t>
        </is>
      </c>
      <c r="B1571" s="13" t="inlineStr">
        <is>
          <t>CE10</t>
        </is>
      </c>
      <c r="C1571" s="13" t="inlineStr">
        <is>
          <t>B1</t>
        </is>
      </c>
      <c r="D1571" s="13" t="n">
        <v>0</v>
      </c>
      <c r="E1571" s="13" t="inlineStr">
        <is>
          <t>E</t>
        </is>
      </c>
      <c r="F1571" s="13" t="n">
        <v>2021</v>
      </c>
      <c r="G1571" s="14" t="n">
        <v>999549.2232332114</v>
      </c>
      <c r="H1571" s="14" t="n">
        <v>158013.6528399299</v>
      </c>
      <c r="I1571" s="14" t="n">
        <v>594884.6770506913</v>
      </c>
      <c r="J1571" s="14" t="n">
        <v>0</v>
      </c>
      <c r="K1571" s="14" t="n">
        <v>198184.7975095861</v>
      </c>
      <c r="L1571" s="14" t="n">
        <v>48466.09583300423</v>
      </c>
      <c r="M1571" s="14" t="n">
        <v>0</v>
      </c>
      <c r="N1571" s="14" t="n">
        <v>303950.2589174458</v>
      </c>
      <c r="O1571" s="14" t="n">
        <v>954548.2687446742</v>
      </c>
      <c r="P1571" s="14" t="n">
        <v>150629.8037960576</v>
      </c>
      <c r="Q1571" s="14" t="n">
        <v>6506635.51242209</v>
      </c>
      <c r="R1571" s="15">
        <f>IF(D1571=1,"Section 1","Control")</f>
        <v/>
      </c>
      <c r="S1571" s="16">
        <f>N1571/10000</f>
        <v/>
      </c>
      <c r="T1571" s="16">
        <f>P1571/10000</f>
        <v/>
      </c>
      <c r="U1571" s="15">
        <f>IF(N1571&gt;=Summary!$D$3,1,0)</f>
        <v/>
      </c>
      <c r="V1571" s="17">
        <f>IF(N1571&gt;0,P1571/N1571,"")</f>
        <v/>
      </c>
      <c r="W1571" s="17">
        <f>IF(O1571&gt;0,H1571/O1571,"")</f>
        <v/>
      </c>
    </row>
    <row r="1572">
      <c r="A1572" s="13" t="inlineStr">
        <is>
          <t>CE10_B1</t>
        </is>
      </c>
      <c r="B1572" s="13" t="inlineStr">
        <is>
          <t>CE10</t>
        </is>
      </c>
      <c r="C1572" s="13" t="inlineStr">
        <is>
          <t>B1</t>
        </is>
      </c>
      <c r="D1572" s="13" t="n">
        <v>0</v>
      </c>
      <c r="E1572" s="13" t="inlineStr">
        <is>
          <t>E</t>
        </is>
      </c>
      <c r="F1572" s="13" t="n">
        <v>2022</v>
      </c>
      <c r="G1572" s="14" t="n">
        <v>999549.2232332114</v>
      </c>
      <c r="H1572" s="14" t="n">
        <v>144241.9972253537</v>
      </c>
      <c r="I1572" s="14" t="n">
        <v>647806.931590989</v>
      </c>
      <c r="J1572" s="14" t="n">
        <v>0</v>
      </c>
      <c r="K1572" s="14" t="n">
        <v>161478.3751838235</v>
      </c>
      <c r="L1572" s="14" t="n">
        <v>46021.91923304539</v>
      </c>
      <c r="M1572" s="14" t="n">
        <v>0</v>
      </c>
      <c r="N1572" s="14" t="n">
        <v>303950.2589174458</v>
      </c>
      <c r="O1572" s="14" t="n">
        <v>954548.2687446742</v>
      </c>
      <c r="P1572" s="14" t="n">
        <v>172671.2520466225</v>
      </c>
      <c r="Q1572" s="14" t="n">
        <v>6506635.51242209</v>
      </c>
      <c r="R1572" s="15">
        <f>IF(D1572=1,"Section 1","Control")</f>
        <v/>
      </c>
      <c r="S1572" s="16">
        <f>N1572/10000</f>
        <v/>
      </c>
      <c r="T1572" s="16">
        <f>P1572/10000</f>
        <v/>
      </c>
      <c r="U1572" s="15">
        <f>IF(N1572&gt;=Summary!$D$3,1,0)</f>
        <v/>
      </c>
      <c r="V1572" s="17">
        <f>IF(N1572&gt;0,P1572/N1572,"")</f>
        <v/>
      </c>
      <c r="W1572" s="17">
        <f>IF(O1572&gt;0,H1572/O1572,"")</f>
        <v/>
      </c>
    </row>
    <row r="1573">
      <c r="A1573" s="13" t="inlineStr">
        <is>
          <t>CE10_B1</t>
        </is>
      </c>
      <c r="B1573" s="13" t="inlineStr">
        <is>
          <t>CE10</t>
        </is>
      </c>
      <c r="C1573" s="13" t="inlineStr">
        <is>
          <t>B1</t>
        </is>
      </c>
      <c r="D1573" s="13" t="n">
        <v>0</v>
      </c>
      <c r="E1573" s="13" t="inlineStr">
        <is>
          <t>E</t>
        </is>
      </c>
      <c r="F1573" s="13" t="n">
        <v>2023</v>
      </c>
      <c r="G1573" s="14" t="n">
        <v>999549.2232332114</v>
      </c>
      <c r="H1573" s="14" t="n">
        <v>148993.8870444803</v>
      </c>
      <c r="I1573" s="14" t="n">
        <v>636987.209825224</v>
      </c>
      <c r="J1573" s="14" t="n">
        <v>0</v>
      </c>
      <c r="K1573" s="14" t="n">
        <v>140286.8972947962</v>
      </c>
      <c r="L1573" s="14" t="n">
        <v>73281.22906871123</v>
      </c>
      <c r="M1573" s="14" t="n">
        <v>0</v>
      </c>
      <c r="N1573" s="14" t="n">
        <v>303950.2589174458</v>
      </c>
      <c r="O1573" s="14" t="n">
        <v>954548.2687446742</v>
      </c>
      <c r="P1573" s="14" t="n">
        <v>179958.9319503784</v>
      </c>
      <c r="Q1573" s="14" t="n">
        <v>6506635.51242209</v>
      </c>
      <c r="R1573" s="15">
        <f>IF(D1573=1,"Section 1","Control")</f>
        <v/>
      </c>
      <c r="S1573" s="16">
        <f>N1573/10000</f>
        <v/>
      </c>
      <c r="T1573" s="16">
        <f>P1573/10000</f>
        <v/>
      </c>
      <c r="U1573" s="15">
        <f>IF(N1573&gt;=Summary!$D$3,1,0)</f>
        <v/>
      </c>
      <c r="V1573" s="17">
        <f>IF(N1573&gt;0,P1573/N1573,"")</f>
        <v/>
      </c>
      <c r="W1573" s="17">
        <f>IF(O1573&gt;0,H1573/O1573,"")</f>
        <v/>
      </c>
    </row>
    <row r="1574">
      <c r="A1574" s="13" t="inlineStr">
        <is>
          <t>CE10_B1</t>
        </is>
      </c>
      <c r="B1574" s="13" t="inlineStr">
        <is>
          <t>CE10</t>
        </is>
      </c>
      <c r="C1574" s="13" t="inlineStr">
        <is>
          <t>B1</t>
        </is>
      </c>
      <c r="D1574" s="13" t="n">
        <v>0</v>
      </c>
      <c r="E1574" s="13" t="inlineStr">
        <is>
          <t>E</t>
        </is>
      </c>
      <c r="F1574" s="13" t="n">
        <v>2024</v>
      </c>
      <c r="G1574" s="14" t="n">
        <v>999549.2232332114</v>
      </c>
      <c r="H1574" s="14" t="n">
        <v>195530.159935596</v>
      </c>
      <c r="I1574" s="14" t="n">
        <v>574687.0482803644</v>
      </c>
      <c r="J1574" s="14" t="n">
        <v>0</v>
      </c>
      <c r="K1574" s="14" t="n">
        <v>159342.4918292775</v>
      </c>
      <c r="L1574" s="14" t="n">
        <v>69989.52318797391</v>
      </c>
      <c r="M1574" s="14" t="n">
        <v>0</v>
      </c>
      <c r="N1574" s="14" t="n">
        <v>303950.2589174458</v>
      </c>
      <c r="O1574" s="14" t="n">
        <v>954548.2687446742</v>
      </c>
      <c r="P1574" s="14" t="n">
        <v>165650.906611005</v>
      </c>
      <c r="Q1574" s="14" t="n">
        <v>6506635.51242209</v>
      </c>
      <c r="R1574" s="15">
        <f>IF(D1574=1,"Section 1","Control")</f>
        <v/>
      </c>
      <c r="S1574" s="16">
        <f>N1574/10000</f>
        <v/>
      </c>
      <c r="T1574" s="16">
        <f>P1574/10000</f>
        <v/>
      </c>
      <c r="U1574" s="15">
        <f>IF(N1574&gt;=Summary!$D$3,1,0)</f>
        <v/>
      </c>
      <c r="V1574" s="17">
        <f>IF(N1574&gt;0,P1574/N1574,"")</f>
        <v/>
      </c>
      <c r="W1574" s="17">
        <f>IF(O1574&gt;0,H1574/O1574,"")</f>
        <v/>
      </c>
    </row>
    <row r="1575">
      <c r="A1575" s="13" t="inlineStr">
        <is>
          <t>CE10_B1</t>
        </is>
      </c>
      <c r="B1575" s="13" t="inlineStr">
        <is>
          <t>CE10</t>
        </is>
      </c>
      <c r="C1575" s="13" t="inlineStr">
        <is>
          <t>B1</t>
        </is>
      </c>
      <c r="D1575" s="13" t="n">
        <v>0</v>
      </c>
      <c r="E1575" s="13" t="inlineStr">
        <is>
          <t>E</t>
        </is>
      </c>
      <c r="F1575" s="13" t="n">
        <v>2025</v>
      </c>
      <c r="G1575" s="14" t="n">
        <v>999549.2232332114</v>
      </c>
      <c r="H1575" s="14" t="n">
        <v>338480.5474159091</v>
      </c>
      <c r="I1575" s="14" t="n">
        <v>431271.9859362134</v>
      </c>
      <c r="J1575" s="14" t="n">
        <v>0</v>
      </c>
      <c r="K1575" s="14" t="n">
        <v>145852.8693588257</v>
      </c>
      <c r="L1575" s="14" t="n">
        <v>83943.82052226347</v>
      </c>
      <c r="M1575" s="14" t="n">
        <v>0</v>
      </c>
      <c r="N1575" s="14" t="n">
        <v>303950.2589174458</v>
      </c>
      <c r="O1575" s="14" t="n">
        <v>954548.2687446742</v>
      </c>
      <c r="P1575" s="14" t="n">
        <v>158848.4791888667</v>
      </c>
      <c r="Q1575" s="14" t="n">
        <v>6506635.51242209</v>
      </c>
      <c r="R1575" s="15">
        <f>IF(D1575=1,"Section 1","Control")</f>
        <v/>
      </c>
      <c r="S1575" s="16">
        <f>N1575/10000</f>
        <v/>
      </c>
      <c r="T1575" s="16">
        <f>P1575/10000</f>
        <v/>
      </c>
      <c r="U1575" s="15">
        <f>IF(N1575&gt;=Summary!$D$3,1,0)</f>
        <v/>
      </c>
      <c r="V1575" s="17">
        <f>IF(N1575&gt;0,P1575/N1575,"")</f>
        <v/>
      </c>
      <c r="W1575" s="17">
        <f>IF(O1575&gt;0,H1575/O1575,"")</f>
        <v/>
      </c>
    </row>
    <row r="1576">
      <c r="A1576" s="13" t="inlineStr">
        <is>
          <t>CE10_B1</t>
        </is>
      </c>
      <c r="B1576" s="13" t="inlineStr">
        <is>
          <t>CE10</t>
        </is>
      </c>
      <c r="C1576" s="13" t="inlineStr">
        <is>
          <t>B1</t>
        </is>
      </c>
      <c r="D1576" s="13" t="n">
        <v>0</v>
      </c>
      <c r="E1576" s="13" t="inlineStr">
        <is>
          <t>E</t>
        </is>
      </c>
      <c r="F1576" s="13" t="n">
        <v>2026</v>
      </c>
      <c r="G1576" s="14" t="n">
        <v>999549.2232332114</v>
      </c>
      <c r="H1576" s="14" t="n">
        <v>164220.4785665774</v>
      </c>
      <c r="I1576" s="14" t="n">
        <v>503871.0304284188</v>
      </c>
      <c r="J1576" s="14" t="n">
        <v>0</v>
      </c>
      <c r="K1576" s="14" t="n">
        <v>256794.2995005589</v>
      </c>
      <c r="L1576" s="14" t="n">
        <v>74663.41473765654</v>
      </c>
      <c r="M1576" s="14" t="n">
        <v>0</v>
      </c>
      <c r="N1576" s="14" t="n">
        <v>303950.2589174458</v>
      </c>
      <c r="O1576" s="14" t="n">
        <v>954548.2687446744</v>
      </c>
      <c r="P1576" s="14" t="n">
        <v>187583.505667563</v>
      </c>
      <c r="Q1576" s="14" t="n">
        <v>6506635.51242209</v>
      </c>
      <c r="R1576" s="15">
        <f>IF(D1576=1,"Section 1","Control")</f>
        <v/>
      </c>
      <c r="S1576" s="16">
        <f>N1576/10000</f>
        <v/>
      </c>
      <c r="T1576" s="16">
        <f>P1576/10000</f>
        <v/>
      </c>
      <c r="U1576" s="15">
        <f>IF(N1576&gt;=Summary!$D$3,1,0)</f>
        <v/>
      </c>
      <c r="V1576" s="17">
        <f>IF(N1576&gt;0,P1576/N1576,"")</f>
        <v/>
      </c>
      <c r="W1576" s="17">
        <f>IF(O1576&gt;0,H1576/O1576,"")</f>
        <v/>
      </c>
    </row>
    <row r="1577">
      <c r="A1577" s="13" t="inlineStr">
        <is>
          <t>CE10_B2</t>
        </is>
      </c>
      <c r="B1577" s="13" t="inlineStr">
        <is>
          <t>CE10</t>
        </is>
      </c>
      <c r="C1577" s="13" t="inlineStr">
        <is>
          <t>B2</t>
        </is>
      </c>
      <c r="D1577" s="13" t="n">
        <v>0</v>
      </c>
      <c r="E1577" s="13" t="inlineStr">
        <is>
          <t>E</t>
        </is>
      </c>
      <c r="F1577" s="13" t="n">
        <v>2020</v>
      </c>
      <c r="G1577" s="14" t="n">
        <v>1000096.669950119</v>
      </c>
      <c r="H1577" s="14" t="n">
        <v>184079.3188920862</v>
      </c>
      <c r="I1577" s="14" t="n">
        <v>310942.6694097782</v>
      </c>
      <c r="J1577" s="14" t="n">
        <v>0</v>
      </c>
      <c r="K1577" s="14" t="n">
        <v>5321.125564305923</v>
      </c>
      <c r="L1577" s="14" t="n">
        <v>499753.5560839486</v>
      </c>
      <c r="M1577" s="14" t="n">
        <v>0</v>
      </c>
      <c r="N1577" s="14" t="n">
        <v>184079.3188920862</v>
      </c>
      <c r="O1577" s="14" t="n">
        <v>500343.1138661706</v>
      </c>
      <c r="P1577" s="14" t="n">
        <v>0</v>
      </c>
      <c r="Q1577" s="14" t="n">
        <v>2685867.412314082</v>
      </c>
      <c r="R1577" s="15">
        <f>IF(D1577=1,"Section 1","Control")</f>
        <v/>
      </c>
      <c r="S1577" s="16">
        <f>N1577/10000</f>
        <v/>
      </c>
      <c r="T1577" s="16">
        <f>P1577/10000</f>
        <v/>
      </c>
      <c r="U1577" s="15">
        <f>IF(N1577&gt;=Summary!$D$3,1,0)</f>
        <v/>
      </c>
      <c r="V1577" s="17">
        <f>IF(N1577&gt;0,P1577/N1577,"")</f>
        <v/>
      </c>
      <c r="W1577" s="17">
        <f>IF(O1577&gt;0,H1577/O1577,"")</f>
        <v/>
      </c>
    </row>
    <row r="1578">
      <c r="A1578" s="13" t="inlineStr">
        <is>
          <t>CE10_B2</t>
        </is>
      </c>
      <c r="B1578" s="13" t="inlineStr">
        <is>
          <t>CE10</t>
        </is>
      </c>
      <c r="C1578" s="13" t="inlineStr">
        <is>
          <t>B2</t>
        </is>
      </c>
      <c r="D1578" s="13" t="n">
        <v>0</v>
      </c>
      <c r="E1578" s="13" t="inlineStr">
        <is>
          <t>E</t>
        </is>
      </c>
      <c r="F1578" s="13" t="n">
        <v>2021</v>
      </c>
      <c r="G1578" s="14" t="n">
        <v>1000096.669950119</v>
      </c>
      <c r="H1578" s="14" t="n">
        <v>173162.9040281707</v>
      </c>
      <c r="I1578" s="14" t="n">
        <v>316123.295448393</v>
      </c>
      <c r="J1578" s="14" t="n">
        <v>0</v>
      </c>
      <c r="K1578" s="14" t="n">
        <v>10686.78263077082</v>
      </c>
      <c r="L1578" s="14" t="n">
        <v>500123.6878427843</v>
      </c>
      <c r="M1578" s="14" t="n">
        <v>0</v>
      </c>
      <c r="N1578" s="14" t="n">
        <v>184079.3188920862</v>
      </c>
      <c r="O1578" s="14" t="n">
        <v>500343.1138661706</v>
      </c>
      <c r="P1578" s="14" t="n">
        <v>28676.57103480919</v>
      </c>
      <c r="Q1578" s="14" t="n">
        <v>2685867.412314082</v>
      </c>
      <c r="R1578" s="15">
        <f>IF(D1578=1,"Section 1","Control")</f>
        <v/>
      </c>
      <c r="S1578" s="16">
        <f>N1578/10000</f>
        <v/>
      </c>
      <c r="T1578" s="16">
        <f>P1578/10000</f>
        <v/>
      </c>
      <c r="U1578" s="15">
        <f>IF(N1578&gt;=Summary!$D$3,1,0)</f>
        <v/>
      </c>
      <c r="V1578" s="17">
        <f>IF(N1578&gt;0,P1578/N1578,"")</f>
        <v/>
      </c>
      <c r="W1578" s="17">
        <f>IF(O1578&gt;0,H1578/O1578,"")</f>
        <v/>
      </c>
    </row>
    <row r="1579">
      <c r="A1579" s="13" t="inlineStr">
        <is>
          <t>CE10_B2</t>
        </is>
      </c>
      <c r="B1579" s="13" t="inlineStr">
        <is>
          <t>CE10</t>
        </is>
      </c>
      <c r="C1579" s="13" t="inlineStr">
        <is>
          <t>B2</t>
        </is>
      </c>
      <c r="D1579" s="13" t="n">
        <v>0</v>
      </c>
      <c r="E1579" s="13" t="inlineStr">
        <is>
          <t>E</t>
        </is>
      </c>
      <c r="F1579" s="13" t="n">
        <v>2022</v>
      </c>
      <c r="G1579" s="14" t="n">
        <v>1000096.669950119</v>
      </c>
      <c r="H1579" s="14" t="n">
        <v>198811.4915904026</v>
      </c>
      <c r="I1579" s="14" t="n">
        <v>258821.7569504682</v>
      </c>
      <c r="J1579" s="14" t="n">
        <v>0</v>
      </c>
      <c r="K1579" s="14" t="n">
        <v>43336.68922909007</v>
      </c>
      <c r="L1579" s="14" t="n">
        <v>499126.7321801579</v>
      </c>
      <c r="M1579" s="14" t="n">
        <v>0</v>
      </c>
      <c r="N1579" s="14" t="n">
        <v>184079.3188920862</v>
      </c>
      <c r="O1579" s="14" t="n">
        <v>500343.1138661706</v>
      </c>
      <c r="P1579" s="14" t="n">
        <v>38331.536571757</v>
      </c>
      <c r="Q1579" s="14" t="n">
        <v>2685867.412314082</v>
      </c>
      <c r="R1579" s="15">
        <f>IF(D1579=1,"Section 1","Control")</f>
        <v/>
      </c>
      <c r="S1579" s="16">
        <f>N1579/10000</f>
        <v/>
      </c>
      <c r="T1579" s="16">
        <f>P1579/10000</f>
        <v/>
      </c>
      <c r="U1579" s="15">
        <f>IF(N1579&gt;=Summary!$D$3,1,0)</f>
        <v/>
      </c>
      <c r="V1579" s="17">
        <f>IF(N1579&gt;0,P1579/N1579,"")</f>
        <v/>
      </c>
      <c r="W1579" s="17">
        <f>IF(O1579&gt;0,H1579/O1579,"")</f>
        <v/>
      </c>
    </row>
    <row r="1580">
      <c r="A1580" s="13" t="inlineStr">
        <is>
          <t>CE10_B2</t>
        </is>
      </c>
      <c r="B1580" s="13" t="inlineStr">
        <is>
          <t>CE10</t>
        </is>
      </c>
      <c r="C1580" s="13" t="inlineStr">
        <is>
          <t>B2</t>
        </is>
      </c>
      <c r="D1580" s="13" t="n">
        <v>0</v>
      </c>
      <c r="E1580" s="13" t="inlineStr">
        <is>
          <t>E</t>
        </is>
      </c>
      <c r="F1580" s="13" t="n">
        <v>2023</v>
      </c>
      <c r="G1580" s="14" t="n">
        <v>1000096.669950119</v>
      </c>
      <c r="H1580" s="14" t="n">
        <v>215938.7074108049</v>
      </c>
      <c r="I1580" s="14" t="n">
        <v>268238.9532374961</v>
      </c>
      <c r="J1580" s="14" t="n">
        <v>0</v>
      </c>
      <c r="K1580" s="14" t="n">
        <v>15795.32145903344</v>
      </c>
      <c r="L1580" s="14" t="n">
        <v>500123.6878427843</v>
      </c>
      <c r="M1580" s="14" t="n">
        <v>0</v>
      </c>
      <c r="N1580" s="14" t="n">
        <v>184079.3188920862</v>
      </c>
      <c r="O1580" s="14" t="n">
        <v>500343.1138661706</v>
      </c>
      <c r="P1580" s="14" t="n">
        <v>35979.90406682632</v>
      </c>
      <c r="Q1580" s="14" t="n">
        <v>2685867.412314082</v>
      </c>
      <c r="R1580" s="15">
        <f>IF(D1580=1,"Section 1","Control")</f>
        <v/>
      </c>
      <c r="S1580" s="16">
        <f>N1580/10000</f>
        <v/>
      </c>
      <c r="T1580" s="16">
        <f>P1580/10000</f>
        <v/>
      </c>
      <c r="U1580" s="15">
        <f>IF(N1580&gt;=Summary!$D$3,1,0)</f>
        <v/>
      </c>
      <c r="V1580" s="17">
        <f>IF(N1580&gt;0,P1580/N1580,"")</f>
        <v/>
      </c>
      <c r="W1580" s="17">
        <f>IF(O1580&gt;0,H1580/O1580,"")</f>
        <v/>
      </c>
    </row>
    <row r="1581">
      <c r="A1581" s="13" t="inlineStr">
        <is>
          <t>CE10_B2</t>
        </is>
      </c>
      <c r="B1581" s="13" t="inlineStr">
        <is>
          <t>CE10</t>
        </is>
      </c>
      <c r="C1581" s="13" t="inlineStr">
        <is>
          <t>B2</t>
        </is>
      </c>
      <c r="D1581" s="13" t="n">
        <v>0</v>
      </c>
      <c r="E1581" s="13" t="inlineStr">
        <is>
          <t>E</t>
        </is>
      </c>
      <c r="F1581" s="13" t="n">
        <v>2024</v>
      </c>
      <c r="G1581" s="14" t="n">
        <v>1000096.669950119</v>
      </c>
      <c r="H1581" s="14" t="n">
        <v>254952.3908387427</v>
      </c>
      <c r="I1581" s="14" t="n">
        <v>230378.2212326349</v>
      </c>
      <c r="J1581" s="14" t="n">
        <v>0</v>
      </c>
      <c r="K1581" s="14" t="n">
        <v>14642.37003595689</v>
      </c>
      <c r="L1581" s="14" t="n">
        <v>500123.6878427843</v>
      </c>
      <c r="M1581" s="14" t="n">
        <v>0</v>
      </c>
      <c r="N1581" s="14" t="n">
        <v>184079.3188920862</v>
      </c>
      <c r="O1581" s="14" t="n">
        <v>500343.1138661706</v>
      </c>
      <c r="P1581" s="14" t="n">
        <v>25875.42555883071</v>
      </c>
      <c r="Q1581" s="14" t="n">
        <v>2685867.412314082</v>
      </c>
      <c r="R1581" s="15">
        <f>IF(D1581=1,"Section 1","Control")</f>
        <v/>
      </c>
      <c r="S1581" s="16">
        <f>N1581/10000</f>
        <v/>
      </c>
      <c r="T1581" s="16">
        <f>P1581/10000</f>
        <v/>
      </c>
      <c r="U1581" s="15">
        <f>IF(N1581&gt;=Summary!$D$3,1,0)</f>
        <v/>
      </c>
      <c r="V1581" s="17">
        <f>IF(N1581&gt;0,P1581/N1581,"")</f>
        <v/>
      </c>
      <c r="W1581" s="17">
        <f>IF(O1581&gt;0,H1581/O1581,"")</f>
        <v/>
      </c>
    </row>
    <row r="1582">
      <c r="A1582" s="13" t="inlineStr">
        <is>
          <t>CE10_B2</t>
        </is>
      </c>
      <c r="B1582" s="13" t="inlineStr">
        <is>
          <t>CE10</t>
        </is>
      </c>
      <c r="C1582" s="13" t="inlineStr">
        <is>
          <t>B2</t>
        </is>
      </c>
      <c r="D1582" s="13" t="n">
        <v>0</v>
      </c>
      <c r="E1582" s="13" t="inlineStr">
        <is>
          <t>E</t>
        </is>
      </c>
      <c r="F1582" s="13" t="n">
        <v>2025</v>
      </c>
      <c r="G1582" s="14" t="n">
        <v>1000096.669950119</v>
      </c>
      <c r="H1582" s="14" t="n">
        <v>320083.0839787503</v>
      </c>
      <c r="I1582" s="14" t="n">
        <v>168801.6530621098</v>
      </c>
      <c r="J1582" s="14" t="n">
        <v>0</v>
      </c>
      <c r="K1582" s="14" t="n">
        <v>11088.24506647446</v>
      </c>
      <c r="L1582" s="14" t="n">
        <v>500123.6878427843</v>
      </c>
      <c r="M1582" s="14" t="n">
        <v>0</v>
      </c>
      <c r="N1582" s="14" t="n">
        <v>184079.3188920862</v>
      </c>
      <c r="O1582" s="14" t="n">
        <v>500343.1138661705</v>
      </c>
      <c r="P1582" s="14" t="n">
        <v>36289.65275723326</v>
      </c>
      <c r="Q1582" s="14" t="n">
        <v>2685867.412314082</v>
      </c>
      <c r="R1582" s="15">
        <f>IF(D1582=1,"Section 1","Control")</f>
        <v/>
      </c>
      <c r="S1582" s="16">
        <f>N1582/10000</f>
        <v/>
      </c>
      <c r="T1582" s="16">
        <f>P1582/10000</f>
        <v/>
      </c>
      <c r="U1582" s="15">
        <f>IF(N1582&gt;=Summary!$D$3,1,0)</f>
        <v/>
      </c>
      <c r="V1582" s="17">
        <f>IF(N1582&gt;0,P1582/N1582,"")</f>
        <v/>
      </c>
      <c r="W1582" s="17">
        <f>IF(O1582&gt;0,H1582/O1582,"")</f>
        <v/>
      </c>
    </row>
    <row r="1583">
      <c r="A1583" s="13" t="inlineStr">
        <is>
          <t>CE10_B2</t>
        </is>
      </c>
      <c r="B1583" s="13" t="inlineStr">
        <is>
          <t>CE10</t>
        </is>
      </c>
      <c r="C1583" s="13" t="inlineStr">
        <is>
          <t>B2</t>
        </is>
      </c>
      <c r="D1583" s="13" t="n">
        <v>0</v>
      </c>
      <c r="E1583" s="13" t="inlineStr">
        <is>
          <t>E</t>
        </is>
      </c>
      <c r="F1583" s="13" t="n">
        <v>2026</v>
      </c>
      <c r="G1583" s="14" t="n">
        <v>1000096.669950119</v>
      </c>
      <c r="H1583" s="14" t="n">
        <v>242364.9467963724</v>
      </c>
      <c r="I1583" s="14" t="n">
        <v>227418.0997958314</v>
      </c>
      <c r="J1583" s="14" t="n">
        <v>0</v>
      </c>
      <c r="K1583" s="14" t="n">
        <v>30189.93551513073</v>
      </c>
      <c r="L1583" s="14" t="n">
        <v>500123.6878427843</v>
      </c>
      <c r="M1583" s="14" t="n">
        <v>0</v>
      </c>
      <c r="N1583" s="14" t="n">
        <v>184079.3188920862</v>
      </c>
      <c r="O1583" s="14" t="n">
        <v>500343.1138661706</v>
      </c>
      <c r="P1583" s="14" t="n">
        <v>42234.12454148835</v>
      </c>
      <c r="Q1583" s="14" t="n">
        <v>2685867.412314082</v>
      </c>
      <c r="R1583" s="15">
        <f>IF(D1583=1,"Section 1","Control")</f>
        <v/>
      </c>
      <c r="S1583" s="16">
        <f>N1583/10000</f>
        <v/>
      </c>
      <c r="T1583" s="16">
        <f>P1583/10000</f>
        <v/>
      </c>
      <c r="U1583" s="15">
        <f>IF(N1583&gt;=Summary!$D$3,1,0)</f>
        <v/>
      </c>
      <c r="V1583" s="17">
        <f>IF(N1583&gt;0,P1583/N1583,"")</f>
        <v/>
      </c>
      <c r="W1583" s="17">
        <f>IF(O1583&gt;0,H1583/O1583,"")</f>
        <v/>
      </c>
    </row>
    <row r="1584">
      <c r="A1584" s="13" t="inlineStr">
        <is>
          <t>CE10_B3</t>
        </is>
      </c>
      <c r="B1584" s="13" t="inlineStr">
        <is>
          <t>CE10</t>
        </is>
      </c>
      <c r="C1584" s="13" t="inlineStr">
        <is>
          <t>B3</t>
        </is>
      </c>
      <c r="D1584" s="13" t="n">
        <v>0</v>
      </c>
      <c r="E1584" s="13" t="inlineStr">
        <is>
          <t>E</t>
        </is>
      </c>
      <c r="F1584" s="13" t="n">
        <v>2020</v>
      </c>
      <c r="G1584" s="14" t="n">
        <v>8000305.53380408</v>
      </c>
      <c r="H1584" s="14" t="n">
        <v>2322561.047619629</v>
      </c>
      <c r="I1584" s="14" t="n">
        <v>329975.0264803419</v>
      </c>
      <c r="J1584" s="14" t="n">
        <v>0</v>
      </c>
      <c r="K1584" s="14" t="n">
        <v>43945.46459000531</v>
      </c>
      <c r="L1584" s="14" t="n">
        <v>5303823.995114105</v>
      </c>
      <c r="M1584" s="14" t="n">
        <v>0</v>
      </c>
      <c r="N1584" s="14" t="n">
        <v>2322561.047619629</v>
      </c>
      <c r="O1584" s="14" t="n">
        <v>2696481.538689976</v>
      </c>
      <c r="P1584" s="14" t="n">
        <v>0</v>
      </c>
      <c r="Q1584" s="14" t="n">
        <v>23817720.84151911</v>
      </c>
      <c r="R1584" s="15">
        <f>IF(D1584=1,"Section 1","Control")</f>
        <v/>
      </c>
      <c r="S1584" s="16">
        <f>N1584/10000</f>
        <v/>
      </c>
      <c r="T1584" s="16">
        <f>P1584/10000</f>
        <v/>
      </c>
      <c r="U1584" s="15">
        <f>IF(N1584&gt;=Summary!$D$3,1,0)</f>
        <v/>
      </c>
      <c r="V1584" s="17">
        <f>IF(N1584&gt;0,P1584/N1584,"")</f>
        <v/>
      </c>
      <c r="W1584" s="17">
        <f>IF(O1584&gt;0,H1584/O1584,"")</f>
        <v/>
      </c>
    </row>
    <row r="1585">
      <c r="A1585" s="13" t="inlineStr">
        <is>
          <t>CE10_B3</t>
        </is>
      </c>
      <c r="B1585" s="13" t="inlineStr">
        <is>
          <t>CE10</t>
        </is>
      </c>
      <c r="C1585" s="13" t="inlineStr">
        <is>
          <t>B3</t>
        </is>
      </c>
      <c r="D1585" s="13" t="n">
        <v>0</v>
      </c>
      <c r="E1585" s="13" t="inlineStr">
        <is>
          <t>E</t>
        </is>
      </c>
      <c r="F1585" s="13" t="n">
        <v>2021</v>
      </c>
      <c r="G1585" s="14" t="n">
        <v>8000305.533804082</v>
      </c>
      <c r="H1585" s="14" t="n">
        <v>2176284.639968692</v>
      </c>
      <c r="I1585" s="14" t="n">
        <v>407130.5221727558</v>
      </c>
      <c r="J1585" s="14" t="n">
        <v>0</v>
      </c>
      <c r="K1585" s="14" t="n">
        <v>211845.7191408943</v>
      </c>
      <c r="L1585" s="14" t="n">
        <v>5205044.652521739</v>
      </c>
      <c r="M1585" s="14" t="n">
        <v>0</v>
      </c>
      <c r="N1585" s="14" t="n">
        <v>2322561.047619629</v>
      </c>
      <c r="O1585" s="14" t="n">
        <v>2696481.538689976</v>
      </c>
      <c r="P1585" s="14" t="n">
        <v>234985.3310119629</v>
      </c>
      <c r="Q1585" s="14" t="n">
        <v>23817720.84151911</v>
      </c>
      <c r="R1585" s="15">
        <f>IF(D1585=1,"Section 1","Control")</f>
        <v/>
      </c>
      <c r="S1585" s="16">
        <f>N1585/10000</f>
        <v/>
      </c>
      <c r="T1585" s="16">
        <f>P1585/10000</f>
        <v/>
      </c>
      <c r="U1585" s="15">
        <f>IF(N1585&gt;=Summary!$D$3,1,0)</f>
        <v/>
      </c>
      <c r="V1585" s="17">
        <f>IF(N1585&gt;0,P1585/N1585,"")</f>
        <v/>
      </c>
      <c r="W1585" s="17">
        <f>IF(O1585&gt;0,H1585/O1585,"")</f>
        <v/>
      </c>
    </row>
    <row r="1586">
      <c r="A1586" s="13" t="inlineStr">
        <is>
          <t>CE10_B3</t>
        </is>
      </c>
      <c r="B1586" s="13" t="inlineStr">
        <is>
          <t>CE10</t>
        </is>
      </c>
      <c r="C1586" s="13" t="inlineStr">
        <is>
          <t>B3</t>
        </is>
      </c>
      <c r="D1586" s="13" t="n">
        <v>0</v>
      </c>
      <c r="E1586" s="13" t="inlineStr">
        <is>
          <t>E</t>
        </is>
      </c>
      <c r="F1586" s="13" t="n">
        <v>2022</v>
      </c>
      <c r="G1586" s="14" t="n">
        <v>8000305.53380408</v>
      </c>
      <c r="H1586" s="14" t="n">
        <v>2189482.002014938</v>
      </c>
      <c r="I1586" s="14" t="n">
        <v>339857.3763516893</v>
      </c>
      <c r="J1586" s="14" t="n">
        <v>0</v>
      </c>
      <c r="K1586" s="14" t="n">
        <v>194799.4474507949</v>
      </c>
      <c r="L1586" s="14" t="n">
        <v>5276166.707986658</v>
      </c>
      <c r="M1586" s="14" t="n">
        <v>0</v>
      </c>
      <c r="N1586" s="14" t="n">
        <v>2322561.047619629</v>
      </c>
      <c r="O1586" s="14" t="n">
        <v>2696481.538689976</v>
      </c>
      <c r="P1586" s="14" t="n">
        <v>221067.1185873293</v>
      </c>
      <c r="Q1586" s="14" t="n">
        <v>23817720.84151911</v>
      </c>
      <c r="R1586" s="15">
        <f>IF(D1586=1,"Section 1","Control")</f>
        <v/>
      </c>
      <c r="S1586" s="16">
        <f>N1586/10000</f>
        <v/>
      </c>
      <c r="T1586" s="16">
        <f>P1586/10000</f>
        <v/>
      </c>
      <c r="U1586" s="15">
        <f>IF(N1586&gt;=Summary!$D$3,1,0)</f>
        <v/>
      </c>
      <c r="V1586" s="17">
        <f>IF(N1586&gt;0,P1586/N1586,"")</f>
        <v/>
      </c>
      <c r="W1586" s="17">
        <f>IF(O1586&gt;0,H1586/O1586,"")</f>
        <v/>
      </c>
    </row>
    <row r="1587">
      <c r="A1587" s="13" t="inlineStr">
        <is>
          <t>CE10_B3</t>
        </is>
      </c>
      <c r="B1587" s="13" t="inlineStr">
        <is>
          <t>CE10</t>
        </is>
      </c>
      <c r="C1587" s="13" t="inlineStr">
        <is>
          <t>B3</t>
        </is>
      </c>
      <c r="D1587" s="13" t="n">
        <v>0</v>
      </c>
      <c r="E1587" s="13" t="inlineStr">
        <is>
          <t>E</t>
        </is>
      </c>
      <c r="F1587" s="13" t="n">
        <v>2023</v>
      </c>
      <c r="G1587" s="14" t="n">
        <v>8000305.53380408</v>
      </c>
      <c r="H1587" s="14" t="n">
        <v>2136132.280073039</v>
      </c>
      <c r="I1587" s="14" t="n">
        <v>444131.7916903329</v>
      </c>
      <c r="J1587" s="14" t="n">
        <v>0</v>
      </c>
      <c r="K1587" s="14" t="n">
        <v>124071.2303023394</v>
      </c>
      <c r="L1587" s="14" t="n">
        <v>5295970.23173837</v>
      </c>
      <c r="M1587" s="14" t="n">
        <v>0</v>
      </c>
      <c r="N1587" s="14" t="n">
        <v>2322561.047619629</v>
      </c>
      <c r="O1587" s="14" t="n">
        <v>2696481.538689977</v>
      </c>
      <c r="P1587" s="14" t="n">
        <v>263478.6564448638</v>
      </c>
      <c r="Q1587" s="14" t="n">
        <v>23817720.84151911</v>
      </c>
      <c r="R1587" s="15">
        <f>IF(D1587=1,"Section 1","Control")</f>
        <v/>
      </c>
      <c r="S1587" s="16">
        <f>N1587/10000</f>
        <v/>
      </c>
      <c r="T1587" s="16">
        <f>P1587/10000</f>
        <v/>
      </c>
      <c r="U1587" s="15">
        <f>IF(N1587&gt;=Summary!$D$3,1,0)</f>
        <v/>
      </c>
      <c r="V1587" s="17">
        <f>IF(N1587&gt;0,P1587/N1587,"")</f>
        <v/>
      </c>
      <c r="W1587" s="17">
        <f>IF(O1587&gt;0,H1587/O1587,"")</f>
        <v/>
      </c>
    </row>
    <row r="1588">
      <c r="A1588" s="13" t="inlineStr">
        <is>
          <t>CE10_B3</t>
        </is>
      </c>
      <c r="B1588" s="13" t="inlineStr">
        <is>
          <t>CE10</t>
        </is>
      </c>
      <c r="C1588" s="13" t="inlineStr">
        <is>
          <t>B3</t>
        </is>
      </c>
      <c r="D1588" s="13" t="n">
        <v>0</v>
      </c>
      <c r="E1588" s="13" t="inlineStr">
        <is>
          <t>E</t>
        </is>
      </c>
      <c r="F1588" s="13" t="n">
        <v>2024</v>
      </c>
      <c r="G1588" s="14" t="n">
        <v>8000305.53380408</v>
      </c>
      <c r="H1588" s="14" t="n">
        <v>2156957.829621977</v>
      </c>
      <c r="I1588" s="14" t="n">
        <v>318514.6139365701</v>
      </c>
      <c r="J1588" s="14" t="n">
        <v>0</v>
      </c>
      <c r="K1588" s="14" t="n">
        <v>239822.4171140783</v>
      </c>
      <c r="L1588" s="14" t="n">
        <v>5285010.673131456</v>
      </c>
      <c r="M1588" s="14" t="n">
        <v>0</v>
      </c>
      <c r="N1588" s="14" t="n">
        <v>2322561.047619629</v>
      </c>
      <c r="O1588" s="14" t="n">
        <v>2696481.538689976</v>
      </c>
      <c r="P1588" s="14" t="n">
        <v>302873.7692518945</v>
      </c>
      <c r="Q1588" s="14" t="n">
        <v>23817720.84151911</v>
      </c>
      <c r="R1588" s="15">
        <f>IF(D1588=1,"Section 1","Control")</f>
        <v/>
      </c>
      <c r="S1588" s="16">
        <f>N1588/10000</f>
        <v/>
      </c>
      <c r="T1588" s="16">
        <f>P1588/10000</f>
        <v/>
      </c>
      <c r="U1588" s="15">
        <f>IF(N1588&gt;=Summary!$D$3,1,0)</f>
        <v/>
      </c>
      <c r="V1588" s="17">
        <f>IF(N1588&gt;0,P1588/N1588,"")</f>
        <v/>
      </c>
      <c r="W1588" s="17">
        <f>IF(O1588&gt;0,H1588/O1588,"")</f>
        <v/>
      </c>
    </row>
    <row r="1589">
      <c r="A1589" s="13" t="inlineStr">
        <is>
          <t>CE10_B3</t>
        </is>
      </c>
      <c r="B1589" s="13" t="inlineStr">
        <is>
          <t>CE10</t>
        </is>
      </c>
      <c r="C1589" s="13" t="inlineStr">
        <is>
          <t>B3</t>
        </is>
      </c>
      <c r="D1589" s="13" t="n">
        <v>0</v>
      </c>
      <c r="E1589" s="13" t="inlineStr">
        <is>
          <t>E</t>
        </is>
      </c>
      <c r="F1589" s="13" t="n">
        <v>2025</v>
      </c>
      <c r="G1589" s="14" t="n">
        <v>8000305.53380408</v>
      </c>
      <c r="H1589" s="14" t="n">
        <v>2130316.490102192</v>
      </c>
      <c r="I1589" s="14" t="n">
        <v>323407.9462872375</v>
      </c>
      <c r="J1589" s="14" t="n">
        <v>0</v>
      </c>
      <c r="K1589" s="14" t="n">
        <v>203580.6540448656</v>
      </c>
      <c r="L1589" s="14" t="n">
        <v>5343000.443369786</v>
      </c>
      <c r="M1589" s="14" t="n">
        <v>0</v>
      </c>
      <c r="N1589" s="14" t="n">
        <v>2322561.047619629</v>
      </c>
      <c r="O1589" s="14" t="n">
        <v>2696481.538689977</v>
      </c>
      <c r="P1589" s="14" t="n">
        <v>317988.9795365875</v>
      </c>
      <c r="Q1589" s="14" t="n">
        <v>23817720.84151911</v>
      </c>
      <c r="R1589" s="15">
        <f>IF(D1589=1,"Section 1","Control")</f>
        <v/>
      </c>
      <c r="S1589" s="16">
        <f>N1589/10000</f>
        <v/>
      </c>
      <c r="T1589" s="16">
        <f>P1589/10000</f>
        <v/>
      </c>
      <c r="U1589" s="15">
        <f>IF(N1589&gt;=Summary!$D$3,1,0)</f>
        <v/>
      </c>
      <c r="V1589" s="17">
        <f>IF(N1589&gt;0,P1589/N1589,"")</f>
        <v/>
      </c>
      <c r="W1589" s="17">
        <f>IF(O1589&gt;0,H1589/O1589,"")</f>
        <v/>
      </c>
    </row>
    <row r="1590">
      <c r="A1590" s="13" t="inlineStr">
        <is>
          <t>CE10_B3</t>
        </is>
      </c>
      <c r="B1590" s="13" t="inlineStr">
        <is>
          <t>CE10</t>
        </is>
      </c>
      <c r="C1590" s="13" t="inlineStr">
        <is>
          <t>B3</t>
        </is>
      </c>
      <c r="D1590" s="13" t="n">
        <v>0</v>
      </c>
      <c r="E1590" s="13" t="inlineStr">
        <is>
          <t>E</t>
        </is>
      </c>
      <c r="F1590" s="13" t="n">
        <v>2026</v>
      </c>
      <c r="G1590" s="14" t="n">
        <v>8000305.533804081</v>
      </c>
      <c r="H1590" s="14" t="n">
        <v>2169230.896783866</v>
      </c>
      <c r="I1590" s="14" t="n">
        <v>254771.611732812</v>
      </c>
      <c r="J1590" s="14" t="n">
        <v>0</v>
      </c>
      <c r="K1590" s="14" t="n">
        <v>245707.7501184501</v>
      </c>
      <c r="L1590" s="14" t="n">
        <v>5330595.275168953</v>
      </c>
      <c r="M1590" s="14" t="n">
        <v>0</v>
      </c>
      <c r="N1590" s="14" t="n">
        <v>2322561.047619629</v>
      </c>
      <c r="O1590" s="14" t="n">
        <v>2696481.538689977</v>
      </c>
      <c r="P1590" s="14" t="n">
        <v>298409.0880006977</v>
      </c>
      <c r="Q1590" s="14" t="n">
        <v>23817720.84151911</v>
      </c>
      <c r="R1590" s="15">
        <f>IF(D1590=1,"Section 1","Control")</f>
        <v/>
      </c>
      <c r="S1590" s="16">
        <f>N1590/10000</f>
        <v/>
      </c>
      <c r="T1590" s="16">
        <f>P1590/10000</f>
        <v/>
      </c>
      <c r="U1590" s="15">
        <f>IF(N1590&gt;=Summary!$D$3,1,0)</f>
        <v/>
      </c>
      <c r="V1590" s="17">
        <f>IF(N1590&gt;0,P1590/N1590,"")</f>
        <v/>
      </c>
      <c r="W1590" s="17">
        <f>IF(O1590&gt;0,H1590/O1590,"")</f>
        <v/>
      </c>
    </row>
    <row r="1591">
      <c r="A1591" s="13" t="inlineStr">
        <is>
          <t>CE10_F</t>
        </is>
      </c>
      <c r="B1591" s="13" t="inlineStr">
        <is>
          <t>CE10</t>
        </is>
      </c>
      <c r="C1591" s="13" t="inlineStr">
        <is>
          <t>F</t>
        </is>
      </c>
      <c r="D1591" s="13" t="n">
        <v>0</v>
      </c>
      <c r="E1591" s="13" t="inlineStr">
        <is>
          <t>E</t>
        </is>
      </c>
      <c r="F1591" s="13" t="n">
        <v>2020</v>
      </c>
      <c r="G1591" s="14" t="n">
        <v>69533.99998052261</v>
      </c>
      <c r="H1591" s="14" t="n">
        <v>2650.527196308211</v>
      </c>
      <c r="I1591" s="14" t="n">
        <v>60485.94957571592</v>
      </c>
      <c r="J1591" s="14" t="n">
        <v>0</v>
      </c>
      <c r="K1591" s="14" t="n">
        <v>6397.523208498488</v>
      </c>
      <c r="L1591" s="14" t="n">
        <v>0</v>
      </c>
      <c r="M1591" s="14" t="n">
        <v>0</v>
      </c>
      <c r="N1591" s="14" t="n">
        <v>2650.527196308211</v>
      </c>
      <c r="O1591" s="14" t="n">
        <v>69533.99998052261</v>
      </c>
      <c r="P1591" s="14" t="n">
        <v>0</v>
      </c>
      <c r="Q1591" s="14" t="n">
        <v>353077.4808838191</v>
      </c>
      <c r="R1591" s="15">
        <f>IF(D1591=1,"Section 1","Control")</f>
        <v/>
      </c>
      <c r="S1591" s="16">
        <f>N1591/10000</f>
        <v/>
      </c>
      <c r="T1591" s="16">
        <f>P1591/10000</f>
        <v/>
      </c>
      <c r="U1591" s="15">
        <f>IF(N1591&gt;=Summary!$D$3,1,0)</f>
        <v/>
      </c>
      <c r="V1591" s="17">
        <f>IF(N1591&gt;0,P1591/N1591,"")</f>
        <v/>
      </c>
      <c r="W1591" s="17">
        <f>IF(O1591&gt;0,H1591/O1591,"")</f>
        <v/>
      </c>
    </row>
    <row r="1592">
      <c r="A1592" s="13" t="inlineStr">
        <is>
          <t>CE10_F</t>
        </is>
      </c>
      <c r="B1592" s="13" t="inlineStr">
        <is>
          <t>CE10</t>
        </is>
      </c>
      <c r="C1592" s="13" t="inlineStr">
        <is>
          <t>F</t>
        </is>
      </c>
      <c r="D1592" s="13" t="n">
        <v>0</v>
      </c>
      <c r="E1592" s="13" t="inlineStr">
        <is>
          <t>E</t>
        </is>
      </c>
      <c r="F1592" s="13" t="n">
        <v>2021</v>
      </c>
      <c r="G1592" s="14" t="n">
        <v>69533.99998052261</v>
      </c>
      <c r="H1592" s="14" t="n">
        <v>882.7352971694048</v>
      </c>
      <c r="I1592" s="14" t="n">
        <v>56478.79548615099</v>
      </c>
      <c r="J1592" s="14" t="n">
        <v>0</v>
      </c>
      <c r="K1592" s="14" t="n">
        <v>12172.46919720219</v>
      </c>
      <c r="L1592" s="14" t="n">
        <v>0</v>
      </c>
      <c r="M1592" s="14" t="n">
        <v>0</v>
      </c>
      <c r="N1592" s="14" t="n">
        <v>2650.527196308211</v>
      </c>
      <c r="O1592" s="14" t="n">
        <v>69533.99998052261</v>
      </c>
      <c r="P1592" s="14" t="n">
        <v>1866.519071990369</v>
      </c>
      <c r="Q1592" s="14" t="n">
        <v>353077.4808838191</v>
      </c>
      <c r="R1592" s="15">
        <f>IF(D1592=1,"Section 1","Control")</f>
        <v/>
      </c>
      <c r="S1592" s="16">
        <f>N1592/10000</f>
        <v/>
      </c>
      <c r="T1592" s="16">
        <f>P1592/10000</f>
        <v/>
      </c>
      <c r="U1592" s="15">
        <f>IF(N1592&gt;=Summary!$D$3,1,0)</f>
        <v/>
      </c>
      <c r="V1592" s="17">
        <f>IF(N1592&gt;0,P1592/N1592,"")</f>
        <v/>
      </c>
      <c r="W1592" s="17">
        <f>IF(O1592&gt;0,H1592/O1592,"")</f>
        <v/>
      </c>
    </row>
    <row r="1593">
      <c r="A1593" s="13" t="inlineStr">
        <is>
          <t>CE10_F</t>
        </is>
      </c>
      <c r="B1593" s="13" t="inlineStr">
        <is>
          <t>CE10</t>
        </is>
      </c>
      <c r="C1593" s="13" t="inlineStr">
        <is>
          <t>F</t>
        </is>
      </c>
      <c r="D1593" s="13" t="n">
        <v>0</v>
      </c>
      <c r="E1593" s="13" t="inlineStr">
        <is>
          <t>E</t>
        </is>
      </c>
      <c r="F1593" s="13" t="n">
        <v>2022</v>
      </c>
      <c r="G1593" s="14" t="n">
        <v>69533.99998052261</v>
      </c>
      <c r="H1593" s="14" t="n">
        <v>1712.043818215763</v>
      </c>
      <c r="I1593" s="14" t="n">
        <v>59455.71117547728</v>
      </c>
      <c r="J1593" s="14" t="n">
        <v>0</v>
      </c>
      <c r="K1593" s="14" t="n">
        <v>8366.24498682957</v>
      </c>
      <c r="L1593" s="14" t="n">
        <v>0</v>
      </c>
      <c r="M1593" s="14" t="n">
        <v>0</v>
      </c>
      <c r="N1593" s="14" t="n">
        <v>2650.527196308211</v>
      </c>
      <c r="O1593" s="14" t="n">
        <v>69533.99998052261</v>
      </c>
      <c r="P1593" s="14" t="n">
        <v>1963.309761496151</v>
      </c>
      <c r="Q1593" s="14" t="n">
        <v>353077.4808838191</v>
      </c>
      <c r="R1593" s="15">
        <f>IF(D1593=1,"Section 1","Control")</f>
        <v/>
      </c>
      <c r="S1593" s="16">
        <f>N1593/10000</f>
        <v/>
      </c>
      <c r="T1593" s="16">
        <f>P1593/10000</f>
        <v/>
      </c>
      <c r="U1593" s="15">
        <f>IF(N1593&gt;=Summary!$D$3,1,0)</f>
        <v/>
      </c>
      <c r="V1593" s="17">
        <f>IF(N1593&gt;0,P1593/N1593,"")</f>
        <v/>
      </c>
      <c r="W1593" s="17">
        <f>IF(O1593&gt;0,H1593/O1593,"")</f>
        <v/>
      </c>
    </row>
    <row r="1594">
      <c r="A1594" s="13" t="inlineStr">
        <is>
          <t>CE10_F</t>
        </is>
      </c>
      <c r="B1594" s="13" t="inlineStr">
        <is>
          <t>CE10</t>
        </is>
      </c>
      <c r="C1594" s="13" t="inlineStr">
        <is>
          <t>F</t>
        </is>
      </c>
      <c r="D1594" s="13" t="n">
        <v>0</v>
      </c>
      <c r="E1594" s="13" t="inlineStr">
        <is>
          <t>E</t>
        </is>
      </c>
      <c r="F1594" s="13" t="n">
        <v>2023</v>
      </c>
      <c r="G1594" s="14" t="n">
        <v>69533.99998052261</v>
      </c>
      <c r="H1594" s="14" t="n">
        <v>1293.517180528828</v>
      </c>
      <c r="I1594" s="14" t="n">
        <v>60384.12703854431</v>
      </c>
      <c r="J1594" s="14" t="n">
        <v>0</v>
      </c>
      <c r="K1594" s="14" t="n">
        <v>7856.355761449478</v>
      </c>
      <c r="L1594" s="14" t="n">
        <v>0</v>
      </c>
      <c r="M1594" s="14" t="n">
        <v>0</v>
      </c>
      <c r="N1594" s="14" t="n">
        <v>2650.527196308211</v>
      </c>
      <c r="O1594" s="14" t="n">
        <v>69533.99998052261</v>
      </c>
      <c r="P1594" s="14" t="n">
        <v>1540.526027634565</v>
      </c>
      <c r="Q1594" s="14" t="n">
        <v>353077.4808838191</v>
      </c>
      <c r="R1594" s="15">
        <f>IF(D1594=1,"Section 1","Control")</f>
        <v/>
      </c>
      <c r="S1594" s="16">
        <f>N1594/10000</f>
        <v/>
      </c>
      <c r="T1594" s="16">
        <f>P1594/10000</f>
        <v/>
      </c>
      <c r="U1594" s="15">
        <f>IF(N1594&gt;=Summary!$D$3,1,0)</f>
        <v/>
      </c>
      <c r="V1594" s="17">
        <f>IF(N1594&gt;0,P1594/N1594,"")</f>
        <v/>
      </c>
      <c r="W1594" s="17">
        <f>IF(O1594&gt;0,H1594/O1594,"")</f>
        <v/>
      </c>
    </row>
    <row r="1595">
      <c r="A1595" s="13" t="inlineStr">
        <is>
          <t>CE10_F</t>
        </is>
      </c>
      <c r="B1595" s="13" t="inlineStr">
        <is>
          <t>CE10</t>
        </is>
      </c>
      <c r="C1595" s="13" t="inlineStr">
        <is>
          <t>F</t>
        </is>
      </c>
      <c r="D1595" s="13" t="n">
        <v>0</v>
      </c>
      <c r="E1595" s="13" t="inlineStr">
        <is>
          <t>E</t>
        </is>
      </c>
      <c r="F1595" s="13" t="n">
        <v>2024</v>
      </c>
      <c r="G1595" s="14" t="n">
        <v>69533.99998052261</v>
      </c>
      <c r="H1595" s="14" t="n">
        <v>1917.62516706878</v>
      </c>
      <c r="I1595" s="14" t="n">
        <v>61171.62436086619</v>
      </c>
      <c r="J1595" s="14" t="n">
        <v>0</v>
      </c>
      <c r="K1595" s="14" t="n">
        <v>6444.750452587652</v>
      </c>
      <c r="L1595" s="14" t="n">
        <v>0</v>
      </c>
      <c r="M1595" s="14" t="n">
        <v>0</v>
      </c>
      <c r="N1595" s="14" t="n">
        <v>2650.527196308211</v>
      </c>
      <c r="O1595" s="14" t="n">
        <v>69533.99998052261</v>
      </c>
      <c r="P1595" s="14" t="n">
        <v>1677.970625215418</v>
      </c>
      <c r="Q1595" s="14" t="n">
        <v>353077.4808838191</v>
      </c>
      <c r="R1595" s="15">
        <f>IF(D1595=1,"Section 1","Control")</f>
        <v/>
      </c>
      <c r="S1595" s="16">
        <f>N1595/10000</f>
        <v/>
      </c>
      <c r="T1595" s="16">
        <f>P1595/10000</f>
        <v/>
      </c>
      <c r="U1595" s="15">
        <f>IF(N1595&gt;=Summary!$D$3,1,0)</f>
        <v/>
      </c>
      <c r="V1595" s="17">
        <f>IF(N1595&gt;0,P1595/N1595,"")</f>
        <v/>
      </c>
      <c r="W1595" s="17">
        <f>IF(O1595&gt;0,H1595/O1595,"")</f>
        <v/>
      </c>
    </row>
    <row r="1596">
      <c r="A1596" s="13" t="inlineStr">
        <is>
          <t>CE10_F</t>
        </is>
      </c>
      <c r="B1596" s="13" t="inlineStr">
        <is>
          <t>CE10</t>
        </is>
      </c>
      <c r="C1596" s="13" t="inlineStr">
        <is>
          <t>F</t>
        </is>
      </c>
      <c r="D1596" s="13" t="n">
        <v>0</v>
      </c>
      <c r="E1596" s="13" t="inlineStr">
        <is>
          <t>E</t>
        </is>
      </c>
      <c r="F1596" s="13" t="n">
        <v>2025</v>
      </c>
      <c r="G1596" s="14" t="n">
        <v>69533.99998052261</v>
      </c>
      <c r="H1596" s="14" t="n">
        <v>11476.70898482379</v>
      </c>
      <c r="I1596" s="14" t="n">
        <v>52983.10509984634</v>
      </c>
      <c r="J1596" s="14" t="n">
        <v>0</v>
      </c>
      <c r="K1596" s="14" t="n">
        <v>5074.185895852482</v>
      </c>
      <c r="L1596" s="14" t="n">
        <v>0</v>
      </c>
      <c r="M1596" s="14" t="n">
        <v>0</v>
      </c>
      <c r="N1596" s="14" t="n">
        <v>2650.527196308211</v>
      </c>
      <c r="O1596" s="14" t="n">
        <v>69533.99998052261</v>
      </c>
      <c r="P1596" s="14" t="n">
        <v>866.4741883820178</v>
      </c>
      <c r="Q1596" s="14" t="n">
        <v>353077.4808838191</v>
      </c>
      <c r="R1596" s="15">
        <f>IF(D1596=1,"Section 1","Control")</f>
        <v/>
      </c>
      <c r="S1596" s="16">
        <f>N1596/10000</f>
        <v/>
      </c>
      <c r="T1596" s="16">
        <f>P1596/10000</f>
        <v/>
      </c>
      <c r="U1596" s="15">
        <f>IF(N1596&gt;=Summary!$D$3,1,0)</f>
        <v/>
      </c>
      <c r="V1596" s="17">
        <f>IF(N1596&gt;0,P1596/N1596,"")</f>
        <v/>
      </c>
      <c r="W1596" s="17">
        <f>IF(O1596&gt;0,H1596/O1596,"")</f>
        <v/>
      </c>
    </row>
    <row r="1597">
      <c r="A1597" s="13" t="inlineStr">
        <is>
          <t>CE10_F</t>
        </is>
      </c>
      <c r="B1597" s="13" t="inlineStr">
        <is>
          <t>CE10</t>
        </is>
      </c>
      <c r="C1597" s="13" t="inlineStr">
        <is>
          <t>F</t>
        </is>
      </c>
      <c r="D1597" s="13" t="n">
        <v>0</v>
      </c>
      <c r="E1597" s="13" t="inlineStr">
        <is>
          <t>E</t>
        </is>
      </c>
      <c r="F1597" s="13" t="n">
        <v>2026</v>
      </c>
      <c r="G1597" s="14" t="n">
        <v>69533.99998052261</v>
      </c>
      <c r="H1597" s="14" t="n">
        <v>2590.127864792767</v>
      </c>
      <c r="I1597" s="14" t="n">
        <v>53108.13489152498</v>
      </c>
      <c r="J1597" s="14" t="n">
        <v>0</v>
      </c>
      <c r="K1597" s="14" t="n">
        <v>13835.73722420487</v>
      </c>
      <c r="L1597" s="14" t="n">
        <v>0</v>
      </c>
      <c r="M1597" s="14" t="n">
        <v>0</v>
      </c>
      <c r="N1597" s="14" t="n">
        <v>2650.52719630821</v>
      </c>
      <c r="O1597" s="14" t="n">
        <v>69533.99998052261</v>
      </c>
      <c r="P1597" s="14" t="n">
        <v>1269.5122697718</v>
      </c>
      <c r="Q1597" s="14" t="n">
        <v>353077.4808838191</v>
      </c>
      <c r="R1597" s="15">
        <f>IF(D1597=1,"Section 1","Control")</f>
        <v/>
      </c>
      <c r="S1597" s="16">
        <f>N1597/10000</f>
        <v/>
      </c>
      <c r="T1597" s="16">
        <f>P1597/10000</f>
        <v/>
      </c>
      <c r="U1597" s="15">
        <f>IF(N1597&gt;=Summary!$D$3,1,0)</f>
        <v/>
      </c>
      <c r="V1597" s="17">
        <f>IF(N1597&gt;0,P1597/N1597,"")</f>
        <v/>
      </c>
      <c r="W1597" s="17">
        <f>IF(O1597&gt;0,H1597/O1597,"")</f>
        <v/>
      </c>
    </row>
    <row r="1598">
      <c r="A1598" s="13" t="inlineStr">
        <is>
          <t>CE11_B1</t>
        </is>
      </c>
      <c r="B1598" s="13" t="inlineStr">
        <is>
          <t>CE11</t>
        </is>
      </c>
      <c r="C1598" s="13" t="inlineStr">
        <is>
          <t>B1</t>
        </is>
      </c>
      <c r="D1598" s="13" t="n">
        <v>0</v>
      </c>
      <c r="E1598" s="13" t="inlineStr">
        <is>
          <t>E</t>
        </is>
      </c>
      <c r="F1598" s="13" t="n">
        <v>2020</v>
      </c>
      <c r="G1598" s="14" t="n">
        <v>1000622.328943919</v>
      </c>
      <c r="H1598" s="14" t="n">
        <v>255754.4131234862</v>
      </c>
      <c r="I1598" s="14" t="n">
        <v>416855.5157806396</v>
      </c>
      <c r="J1598" s="14" t="n">
        <v>0</v>
      </c>
      <c r="K1598" s="14" t="n">
        <v>147489.6104456284</v>
      </c>
      <c r="L1598" s="14" t="n">
        <v>180522.7895941641</v>
      </c>
      <c r="M1598" s="14" t="n">
        <v>0</v>
      </c>
      <c r="N1598" s="14" t="n">
        <v>255754.4131234862</v>
      </c>
      <c r="O1598" s="14" t="n">
        <v>820099.5393497542</v>
      </c>
      <c r="P1598" s="14" t="n">
        <v>0</v>
      </c>
      <c r="Q1598" s="14" t="n">
        <v>5211095.924998744</v>
      </c>
      <c r="R1598" s="15">
        <f>IF(D1598=1,"Section 1","Control")</f>
        <v/>
      </c>
      <c r="S1598" s="16">
        <f>N1598/10000</f>
        <v/>
      </c>
      <c r="T1598" s="16">
        <f>P1598/10000</f>
        <v/>
      </c>
      <c r="U1598" s="15">
        <f>IF(N1598&gt;=Summary!$D$3,1,0)</f>
        <v/>
      </c>
      <c r="V1598" s="17">
        <f>IF(N1598&gt;0,P1598/N1598,"")</f>
        <v/>
      </c>
      <c r="W1598" s="17">
        <f>IF(O1598&gt;0,H1598/O1598,"")</f>
        <v/>
      </c>
    </row>
    <row r="1599">
      <c r="A1599" s="13" t="inlineStr">
        <is>
          <t>CE11_B1</t>
        </is>
      </c>
      <c r="B1599" s="13" t="inlineStr">
        <is>
          <t>CE11</t>
        </is>
      </c>
      <c r="C1599" s="13" t="inlineStr">
        <is>
          <t>B1</t>
        </is>
      </c>
      <c r="D1599" s="13" t="n">
        <v>0</v>
      </c>
      <c r="E1599" s="13" t="inlineStr">
        <is>
          <t>E</t>
        </is>
      </c>
      <c r="F1599" s="13" t="n">
        <v>2021</v>
      </c>
      <c r="G1599" s="14" t="n">
        <v>1000622.328943919</v>
      </c>
      <c r="H1599" s="14" t="n">
        <v>237350.5511259192</v>
      </c>
      <c r="I1599" s="14" t="n">
        <v>322499.0379321528</v>
      </c>
      <c r="J1599" s="14" t="n">
        <v>0</v>
      </c>
      <c r="K1599" s="14" t="n">
        <v>279856.1317833695</v>
      </c>
      <c r="L1599" s="14" t="n">
        <v>160916.6081024769</v>
      </c>
      <c r="M1599" s="14" t="n">
        <v>0</v>
      </c>
      <c r="N1599" s="14" t="n">
        <v>255754.4131234862</v>
      </c>
      <c r="O1599" s="14" t="n">
        <v>820099.5393497542</v>
      </c>
      <c r="P1599" s="14" t="n">
        <v>36182.51655521766</v>
      </c>
      <c r="Q1599" s="14" t="n">
        <v>5211095.924998744</v>
      </c>
      <c r="R1599" s="15">
        <f>IF(D1599=1,"Section 1","Control")</f>
        <v/>
      </c>
      <c r="S1599" s="16">
        <f>N1599/10000</f>
        <v/>
      </c>
      <c r="T1599" s="16">
        <f>P1599/10000</f>
        <v/>
      </c>
      <c r="U1599" s="15">
        <f>IF(N1599&gt;=Summary!$D$3,1,0)</f>
        <v/>
      </c>
      <c r="V1599" s="17">
        <f>IF(N1599&gt;0,P1599/N1599,"")</f>
        <v/>
      </c>
      <c r="W1599" s="17">
        <f>IF(O1599&gt;0,H1599/O1599,"")</f>
        <v/>
      </c>
    </row>
    <row r="1600">
      <c r="A1600" s="13" t="inlineStr">
        <is>
          <t>CE11_B1</t>
        </is>
      </c>
      <c r="B1600" s="13" t="inlineStr">
        <is>
          <t>CE11</t>
        </is>
      </c>
      <c r="C1600" s="13" t="inlineStr">
        <is>
          <t>B1</t>
        </is>
      </c>
      <c r="D1600" s="13" t="n">
        <v>0</v>
      </c>
      <c r="E1600" s="13" t="inlineStr">
        <is>
          <t>E</t>
        </is>
      </c>
      <c r="F1600" s="13" t="n">
        <v>2022</v>
      </c>
      <c r="G1600" s="14" t="n">
        <v>1000622.328943919</v>
      </c>
      <c r="H1600" s="14" t="n">
        <v>266428.5089657952</v>
      </c>
      <c r="I1600" s="14" t="n">
        <v>326710.9001959408</v>
      </c>
      <c r="J1600" s="14" t="n">
        <v>0</v>
      </c>
      <c r="K1600" s="14" t="n">
        <v>231998.7022864248</v>
      </c>
      <c r="L1600" s="14" t="n">
        <v>175484.2174957575</v>
      </c>
      <c r="M1600" s="14" t="n">
        <v>0</v>
      </c>
      <c r="N1600" s="14" t="n">
        <v>255754.4131234862</v>
      </c>
      <c r="O1600" s="14" t="n">
        <v>820099.5393497542</v>
      </c>
      <c r="P1600" s="14" t="n">
        <v>38526.88618678672</v>
      </c>
      <c r="Q1600" s="14" t="n">
        <v>5211095.924998744</v>
      </c>
      <c r="R1600" s="15">
        <f>IF(D1600=1,"Section 1","Control")</f>
        <v/>
      </c>
      <c r="S1600" s="16">
        <f>N1600/10000</f>
        <v/>
      </c>
      <c r="T1600" s="16">
        <f>P1600/10000</f>
        <v/>
      </c>
      <c r="U1600" s="15">
        <f>IF(N1600&gt;=Summary!$D$3,1,0)</f>
        <v/>
      </c>
      <c r="V1600" s="17">
        <f>IF(N1600&gt;0,P1600/N1600,"")</f>
        <v/>
      </c>
      <c r="W1600" s="17">
        <f>IF(O1600&gt;0,H1600/O1600,"")</f>
        <v/>
      </c>
    </row>
    <row r="1601">
      <c r="A1601" s="13" t="inlineStr">
        <is>
          <t>CE11_B1</t>
        </is>
      </c>
      <c r="B1601" s="13" t="inlineStr">
        <is>
          <t>CE11</t>
        </is>
      </c>
      <c r="C1601" s="13" t="inlineStr">
        <is>
          <t>B1</t>
        </is>
      </c>
      <c r="D1601" s="13" t="n">
        <v>0</v>
      </c>
      <c r="E1601" s="13" t="inlineStr">
        <is>
          <t>E</t>
        </is>
      </c>
      <c r="F1601" s="13" t="n">
        <v>2023</v>
      </c>
      <c r="G1601" s="14" t="n">
        <v>1000622.328943919</v>
      </c>
      <c r="H1601" s="14" t="n">
        <v>224067.5305276309</v>
      </c>
      <c r="I1601" s="14" t="n">
        <v>410264.7604555915</v>
      </c>
      <c r="J1601" s="14" t="n">
        <v>0</v>
      </c>
      <c r="K1601" s="14" t="n">
        <v>154781.3368598489</v>
      </c>
      <c r="L1601" s="14" t="n">
        <v>211508.7011008469</v>
      </c>
      <c r="M1601" s="14" t="n">
        <v>0</v>
      </c>
      <c r="N1601" s="14" t="n">
        <v>255754.4131234862</v>
      </c>
      <c r="O1601" s="14" t="n">
        <v>820099.5393497542</v>
      </c>
      <c r="P1601" s="14" t="n">
        <v>71394.51546918083</v>
      </c>
      <c r="Q1601" s="14" t="n">
        <v>5211095.924998744</v>
      </c>
      <c r="R1601" s="15">
        <f>IF(D1601=1,"Section 1","Control")</f>
        <v/>
      </c>
      <c r="S1601" s="16">
        <f>N1601/10000</f>
        <v/>
      </c>
      <c r="T1601" s="16">
        <f>P1601/10000</f>
        <v/>
      </c>
      <c r="U1601" s="15">
        <f>IF(N1601&gt;=Summary!$D$3,1,0)</f>
        <v/>
      </c>
      <c r="V1601" s="17">
        <f>IF(N1601&gt;0,P1601/N1601,"")</f>
        <v/>
      </c>
      <c r="W1601" s="17">
        <f>IF(O1601&gt;0,H1601/O1601,"")</f>
        <v/>
      </c>
    </row>
    <row r="1602">
      <c r="A1602" s="13" t="inlineStr">
        <is>
          <t>CE11_B1</t>
        </is>
      </c>
      <c r="B1602" s="13" t="inlineStr">
        <is>
          <t>CE11</t>
        </is>
      </c>
      <c r="C1602" s="13" t="inlineStr">
        <is>
          <t>B1</t>
        </is>
      </c>
      <c r="D1602" s="13" t="n">
        <v>0</v>
      </c>
      <c r="E1602" s="13" t="inlineStr">
        <is>
          <t>E</t>
        </is>
      </c>
      <c r="F1602" s="13" t="n">
        <v>2024</v>
      </c>
      <c r="G1602" s="14" t="n">
        <v>1000622.328943919</v>
      </c>
      <c r="H1602" s="14" t="n">
        <v>273836.4528682634</v>
      </c>
      <c r="I1602" s="14" t="n">
        <v>367458.2493744494</v>
      </c>
      <c r="J1602" s="14" t="n">
        <v>0</v>
      </c>
      <c r="K1602" s="14" t="n">
        <v>168150.6741074506</v>
      </c>
      <c r="L1602" s="14" t="n">
        <v>191176.9525937548</v>
      </c>
      <c r="M1602" s="14" t="n">
        <v>0</v>
      </c>
      <c r="N1602" s="14" t="n">
        <v>255754.4131234862</v>
      </c>
      <c r="O1602" s="14" t="n">
        <v>820099.5393497542</v>
      </c>
      <c r="P1602" s="14" t="n">
        <v>59887.22165284999</v>
      </c>
      <c r="Q1602" s="14" t="n">
        <v>5211095.924998745</v>
      </c>
      <c r="R1602" s="15">
        <f>IF(D1602=1,"Section 1","Control")</f>
        <v/>
      </c>
      <c r="S1602" s="16">
        <f>N1602/10000</f>
        <v/>
      </c>
      <c r="T1602" s="16">
        <f>P1602/10000</f>
        <v/>
      </c>
      <c r="U1602" s="15">
        <f>IF(N1602&gt;=Summary!$D$3,1,0)</f>
        <v/>
      </c>
      <c r="V1602" s="17">
        <f>IF(N1602&gt;0,P1602/N1602,"")</f>
        <v/>
      </c>
      <c r="W1602" s="17">
        <f>IF(O1602&gt;0,H1602/O1602,"")</f>
        <v/>
      </c>
    </row>
    <row r="1603">
      <c r="A1603" s="13" t="inlineStr">
        <is>
          <t>CE11_B1</t>
        </is>
      </c>
      <c r="B1603" s="13" t="inlineStr">
        <is>
          <t>CE11</t>
        </is>
      </c>
      <c r="C1603" s="13" t="inlineStr">
        <is>
          <t>B1</t>
        </is>
      </c>
      <c r="D1603" s="13" t="n">
        <v>0</v>
      </c>
      <c r="E1603" s="13" t="inlineStr">
        <is>
          <t>E</t>
        </is>
      </c>
      <c r="F1603" s="13" t="n">
        <v>2025</v>
      </c>
      <c r="G1603" s="14" t="n">
        <v>1000622.328943919</v>
      </c>
      <c r="H1603" s="14" t="n">
        <v>257343.2884928386</v>
      </c>
      <c r="I1603" s="14" t="n">
        <v>374063.0824275896</v>
      </c>
      <c r="J1603" s="14" t="n">
        <v>0</v>
      </c>
      <c r="K1603" s="14" t="n">
        <v>152811.4930575801</v>
      </c>
      <c r="L1603" s="14" t="n">
        <v>216404.4649659101</v>
      </c>
      <c r="M1603" s="14" t="n">
        <v>0</v>
      </c>
      <c r="N1603" s="14" t="n">
        <v>255754.4131234862</v>
      </c>
      <c r="O1603" s="14" t="n">
        <v>820099.5393497542</v>
      </c>
      <c r="P1603" s="14" t="n">
        <v>70923.34425081739</v>
      </c>
      <c r="Q1603" s="14" t="n">
        <v>5211095.924998744</v>
      </c>
      <c r="R1603" s="15">
        <f>IF(D1603=1,"Section 1","Control")</f>
        <v/>
      </c>
      <c r="S1603" s="16">
        <f>N1603/10000</f>
        <v/>
      </c>
      <c r="T1603" s="16">
        <f>P1603/10000</f>
        <v/>
      </c>
      <c r="U1603" s="15">
        <f>IF(N1603&gt;=Summary!$D$3,1,0)</f>
        <v/>
      </c>
      <c r="V1603" s="17">
        <f>IF(N1603&gt;0,P1603/N1603,"")</f>
        <v/>
      </c>
      <c r="W1603" s="17">
        <f>IF(O1603&gt;0,H1603/O1603,"")</f>
        <v/>
      </c>
    </row>
    <row r="1604">
      <c r="A1604" s="13" t="inlineStr">
        <is>
          <t>CE11_B1</t>
        </is>
      </c>
      <c r="B1604" s="13" t="inlineStr">
        <is>
          <t>CE11</t>
        </is>
      </c>
      <c r="C1604" s="13" t="inlineStr">
        <is>
          <t>B1</t>
        </is>
      </c>
      <c r="D1604" s="13" t="n">
        <v>0</v>
      </c>
      <c r="E1604" s="13" t="inlineStr">
        <is>
          <t>E</t>
        </is>
      </c>
      <c r="F1604" s="13" t="n">
        <v>2026</v>
      </c>
      <c r="G1604" s="14" t="n">
        <v>1000622.328943919</v>
      </c>
      <c r="H1604" s="14" t="n">
        <v>249305.3882663204</v>
      </c>
      <c r="I1604" s="14" t="n">
        <v>264952.8992859186</v>
      </c>
      <c r="J1604" s="14" t="n">
        <v>0</v>
      </c>
      <c r="K1604" s="14" t="n">
        <v>276368.3943524827</v>
      </c>
      <c r="L1604" s="14" t="n">
        <v>209995.6470391966</v>
      </c>
      <c r="M1604" s="14" t="n">
        <v>0</v>
      </c>
      <c r="N1604" s="14" t="n">
        <v>255754.4131234862</v>
      </c>
      <c r="O1604" s="14" t="n">
        <v>820099.5393497542</v>
      </c>
      <c r="P1604" s="14" t="n">
        <v>81008.99439775056</v>
      </c>
      <c r="Q1604" s="14" t="n">
        <v>5211095.924998744</v>
      </c>
      <c r="R1604" s="15">
        <f>IF(D1604=1,"Section 1","Control")</f>
        <v/>
      </c>
      <c r="S1604" s="16">
        <f>N1604/10000</f>
        <v/>
      </c>
      <c r="T1604" s="16">
        <f>P1604/10000</f>
        <v/>
      </c>
      <c r="U1604" s="15">
        <f>IF(N1604&gt;=Summary!$D$3,1,0)</f>
        <v/>
      </c>
      <c r="V1604" s="17">
        <f>IF(N1604&gt;0,P1604/N1604,"")</f>
        <v/>
      </c>
      <c r="W1604" s="17">
        <f>IF(O1604&gt;0,H1604/O1604,"")</f>
        <v/>
      </c>
    </row>
    <row r="1605">
      <c r="A1605" s="13" t="inlineStr">
        <is>
          <t>CE11_B2</t>
        </is>
      </c>
      <c r="B1605" s="13" t="inlineStr">
        <is>
          <t>CE11</t>
        </is>
      </c>
      <c r="C1605" s="13" t="inlineStr">
        <is>
          <t>B2</t>
        </is>
      </c>
      <c r="D1605" s="13" t="n">
        <v>0</v>
      </c>
      <c r="E1605" s="13" t="inlineStr">
        <is>
          <t>E</t>
        </is>
      </c>
      <c r="F1605" s="13" t="n">
        <v>2020</v>
      </c>
      <c r="G1605" s="14" t="n">
        <v>1000225.377237088</v>
      </c>
      <c r="H1605" s="14" t="n">
        <v>216367.3436765484</v>
      </c>
      <c r="I1605" s="14" t="n">
        <v>203009.9474842745</v>
      </c>
      <c r="J1605" s="14" t="n">
        <v>0</v>
      </c>
      <c r="K1605" s="14" t="n">
        <v>34011.38538899141</v>
      </c>
      <c r="L1605" s="14" t="n">
        <v>546836.7006872735</v>
      </c>
      <c r="M1605" s="14" t="n">
        <v>0</v>
      </c>
      <c r="N1605" s="14" t="n">
        <v>216367.3436765484</v>
      </c>
      <c r="O1605" s="14" t="n">
        <v>453388.6765498144</v>
      </c>
      <c r="P1605" s="14" t="n">
        <v>0</v>
      </c>
      <c r="Q1605" s="14" t="n">
        <v>3279785.999425013</v>
      </c>
      <c r="R1605" s="15">
        <f>IF(D1605=1,"Section 1","Control")</f>
        <v/>
      </c>
      <c r="S1605" s="16">
        <f>N1605/10000</f>
        <v/>
      </c>
      <c r="T1605" s="16">
        <f>P1605/10000</f>
        <v/>
      </c>
      <c r="U1605" s="15">
        <f>IF(N1605&gt;=Summary!$D$3,1,0)</f>
        <v/>
      </c>
      <c r="V1605" s="17">
        <f>IF(N1605&gt;0,P1605/N1605,"")</f>
        <v/>
      </c>
      <c r="W1605" s="17">
        <f>IF(O1605&gt;0,H1605/O1605,"")</f>
        <v/>
      </c>
    </row>
    <row r="1606">
      <c r="A1606" s="13" t="inlineStr">
        <is>
          <t>CE11_B2</t>
        </is>
      </c>
      <c r="B1606" s="13" t="inlineStr">
        <is>
          <t>CE11</t>
        </is>
      </c>
      <c r="C1606" s="13" t="inlineStr">
        <is>
          <t>B2</t>
        </is>
      </c>
      <c r="D1606" s="13" t="n">
        <v>0</v>
      </c>
      <c r="E1606" s="13" t="inlineStr">
        <is>
          <t>E</t>
        </is>
      </c>
      <c r="F1606" s="13" t="n">
        <v>2021</v>
      </c>
      <c r="G1606" s="14" t="n">
        <v>1000225.377237088</v>
      </c>
      <c r="H1606" s="14" t="n">
        <v>205088.1231366326</v>
      </c>
      <c r="I1606" s="14" t="n">
        <v>181602.6567062677</v>
      </c>
      <c r="J1606" s="14" t="n">
        <v>0</v>
      </c>
      <c r="K1606" s="14" t="n">
        <v>66697.89670691398</v>
      </c>
      <c r="L1606" s="14" t="n">
        <v>546836.7006872735</v>
      </c>
      <c r="M1606" s="14" t="n">
        <v>0</v>
      </c>
      <c r="N1606" s="14" t="n">
        <v>216367.3436765484</v>
      </c>
      <c r="O1606" s="14" t="n">
        <v>453388.6765498144</v>
      </c>
      <c r="P1606" s="14" t="n">
        <v>24644.80320868398</v>
      </c>
      <c r="Q1606" s="14" t="n">
        <v>3279785.999425013</v>
      </c>
      <c r="R1606" s="15">
        <f>IF(D1606=1,"Section 1","Control")</f>
        <v/>
      </c>
      <c r="S1606" s="16">
        <f>N1606/10000</f>
        <v/>
      </c>
      <c r="T1606" s="16">
        <f>P1606/10000</f>
        <v/>
      </c>
      <c r="U1606" s="15">
        <f>IF(N1606&gt;=Summary!$D$3,1,0)</f>
        <v/>
      </c>
      <c r="V1606" s="17">
        <f>IF(N1606&gt;0,P1606/N1606,"")</f>
        <v/>
      </c>
      <c r="W1606" s="17">
        <f>IF(O1606&gt;0,H1606/O1606,"")</f>
        <v/>
      </c>
    </row>
    <row r="1607">
      <c r="A1607" s="13" t="inlineStr">
        <is>
          <t>CE11_B2</t>
        </is>
      </c>
      <c r="B1607" s="13" t="inlineStr">
        <is>
          <t>CE11</t>
        </is>
      </c>
      <c r="C1607" s="13" t="inlineStr">
        <is>
          <t>B2</t>
        </is>
      </c>
      <c r="D1607" s="13" t="n">
        <v>0</v>
      </c>
      <c r="E1607" s="13" t="inlineStr">
        <is>
          <t>E</t>
        </is>
      </c>
      <c r="F1607" s="13" t="n">
        <v>2022</v>
      </c>
      <c r="G1607" s="14" t="n">
        <v>1000225.377237088</v>
      </c>
      <c r="H1607" s="14" t="n">
        <v>220736.0261454264</v>
      </c>
      <c r="I1607" s="14" t="n">
        <v>163225.2603988049</v>
      </c>
      <c r="J1607" s="14" t="n">
        <v>0</v>
      </c>
      <c r="K1607" s="14" t="n">
        <v>69427.39000558291</v>
      </c>
      <c r="L1607" s="14" t="n">
        <v>546836.7006872735</v>
      </c>
      <c r="M1607" s="14" t="n">
        <v>0</v>
      </c>
      <c r="N1607" s="14" t="n">
        <v>216367.3436765484</v>
      </c>
      <c r="O1607" s="14" t="n">
        <v>453388.6765498143</v>
      </c>
      <c r="P1607" s="14" t="n">
        <v>38287.19982320748</v>
      </c>
      <c r="Q1607" s="14" t="n">
        <v>3279785.999425013</v>
      </c>
      <c r="R1607" s="15">
        <f>IF(D1607=1,"Section 1","Control")</f>
        <v/>
      </c>
      <c r="S1607" s="16">
        <f>N1607/10000</f>
        <v/>
      </c>
      <c r="T1607" s="16">
        <f>P1607/10000</f>
        <v/>
      </c>
      <c r="U1607" s="15">
        <f>IF(N1607&gt;=Summary!$D$3,1,0)</f>
        <v/>
      </c>
      <c r="V1607" s="17">
        <f>IF(N1607&gt;0,P1607/N1607,"")</f>
        <v/>
      </c>
      <c r="W1607" s="17">
        <f>IF(O1607&gt;0,H1607/O1607,"")</f>
        <v/>
      </c>
    </row>
    <row r="1608">
      <c r="A1608" s="13" t="inlineStr">
        <is>
          <t>CE11_B2</t>
        </is>
      </c>
      <c r="B1608" s="13" t="inlineStr">
        <is>
          <t>CE11</t>
        </is>
      </c>
      <c r="C1608" s="13" t="inlineStr">
        <is>
          <t>B2</t>
        </is>
      </c>
      <c r="D1608" s="13" t="n">
        <v>0</v>
      </c>
      <c r="E1608" s="13" t="inlineStr">
        <is>
          <t>E</t>
        </is>
      </c>
      <c r="F1608" s="13" t="n">
        <v>2023</v>
      </c>
      <c r="G1608" s="14" t="n">
        <v>1000225.377237088</v>
      </c>
      <c r="H1608" s="14" t="n">
        <v>243120.4901530846</v>
      </c>
      <c r="I1608" s="14" t="n">
        <v>154358.9458953858</v>
      </c>
      <c r="J1608" s="14" t="n">
        <v>0</v>
      </c>
      <c r="K1608" s="14" t="n">
        <v>55909.24050134398</v>
      </c>
      <c r="L1608" s="14" t="n">
        <v>546836.7006872736</v>
      </c>
      <c r="M1608" s="14" t="n">
        <v>0</v>
      </c>
      <c r="N1608" s="14" t="n">
        <v>216367.3436765484</v>
      </c>
      <c r="O1608" s="14" t="n">
        <v>453388.6765498143</v>
      </c>
      <c r="P1608" s="14" t="n">
        <v>34102.76868639179</v>
      </c>
      <c r="Q1608" s="14" t="n">
        <v>3279785.999425013</v>
      </c>
      <c r="R1608" s="15">
        <f>IF(D1608=1,"Section 1","Control")</f>
        <v/>
      </c>
      <c r="S1608" s="16">
        <f>N1608/10000</f>
        <v/>
      </c>
      <c r="T1608" s="16">
        <f>P1608/10000</f>
        <v/>
      </c>
      <c r="U1608" s="15">
        <f>IF(N1608&gt;=Summary!$D$3,1,0)</f>
        <v/>
      </c>
      <c r="V1608" s="17">
        <f>IF(N1608&gt;0,P1608/N1608,"")</f>
        <v/>
      </c>
      <c r="W1608" s="17">
        <f>IF(O1608&gt;0,H1608/O1608,"")</f>
        <v/>
      </c>
    </row>
    <row r="1609">
      <c r="A1609" s="13" t="inlineStr">
        <is>
          <t>CE11_B2</t>
        </is>
      </c>
      <c r="B1609" s="13" t="inlineStr">
        <is>
          <t>CE11</t>
        </is>
      </c>
      <c r="C1609" s="13" t="inlineStr">
        <is>
          <t>B2</t>
        </is>
      </c>
      <c r="D1609" s="13" t="n">
        <v>0</v>
      </c>
      <c r="E1609" s="13" t="inlineStr">
        <is>
          <t>E</t>
        </is>
      </c>
      <c r="F1609" s="13" t="n">
        <v>2024</v>
      </c>
      <c r="G1609" s="14" t="n">
        <v>1000225.377237088</v>
      </c>
      <c r="H1609" s="14" t="n">
        <v>319569.0040575514</v>
      </c>
      <c r="I1609" s="14" t="n">
        <v>78545.00053734872</v>
      </c>
      <c r="J1609" s="14" t="n">
        <v>0</v>
      </c>
      <c r="K1609" s="14" t="n">
        <v>55274.67195491417</v>
      </c>
      <c r="L1609" s="14" t="n">
        <v>546836.7006872735</v>
      </c>
      <c r="M1609" s="14" t="n">
        <v>0</v>
      </c>
      <c r="N1609" s="14" t="n">
        <v>216367.3436765484</v>
      </c>
      <c r="O1609" s="14" t="n">
        <v>453388.6765498143</v>
      </c>
      <c r="P1609" s="14" t="n">
        <v>24909.21590372721</v>
      </c>
      <c r="Q1609" s="14" t="n">
        <v>3279785.999425013</v>
      </c>
      <c r="R1609" s="15">
        <f>IF(D1609=1,"Section 1","Control")</f>
        <v/>
      </c>
      <c r="S1609" s="16">
        <f>N1609/10000</f>
        <v/>
      </c>
      <c r="T1609" s="16">
        <f>P1609/10000</f>
        <v/>
      </c>
      <c r="U1609" s="15">
        <f>IF(N1609&gt;=Summary!$D$3,1,0)</f>
        <v/>
      </c>
      <c r="V1609" s="17">
        <f>IF(N1609&gt;0,P1609/N1609,"")</f>
        <v/>
      </c>
      <c r="W1609" s="17">
        <f>IF(O1609&gt;0,H1609/O1609,"")</f>
        <v/>
      </c>
    </row>
    <row r="1610">
      <c r="A1610" s="13" t="inlineStr">
        <is>
          <t>CE11_B2</t>
        </is>
      </c>
      <c r="B1610" s="13" t="inlineStr">
        <is>
          <t>CE11</t>
        </is>
      </c>
      <c r="C1610" s="13" t="inlineStr">
        <is>
          <t>B2</t>
        </is>
      </c>
      <c r="D1610" s="13" t="n">
        <v>0</v>
      </c>
      <c r="E1610" s="13" t="inlineStr">
        <is>
          <t>E</t>
        </is>
      </c>
      <c r="F1610" s="13" t="n">
        <v>2025</v>
      </c>
      <c r="G1610" s="14" t="n">
        <v>1000225.377237088</v>
      </c>
      <c r="H1610" s="14" t="n">
        <v>286621.9148540721</v>
      </c>
      <c r="I1610" s="14" t="n">
        <v>119884.2007298788</v>
      </c>
      <c r="J1610" s="14" t="n">
        <v>0</v>
      </c>
      <c r="K1610" s="14" t="n">
        <v>46882.5609658634</v>
      </c>
      <c r="L1610" s="14" t="n">
        <v>546836.7006872735</v>
      </c>
      <c r="M1610" s="14" t="n">
        <v>0</v>
      </c>
      <c r="N1610" s="14" t="n">
        <v>216367.3436765484</v>
      </c>
      <c r="O1610" s="14" t="n">
        <v>453388.6765498143</v>
      </c>
      <c r="P1610" s="14" t="n">
        <v>39265.96208900003</v>
      </c>
      <c r="Q1610" s="14" t="n">
        <v>3279785.999425013</v>
      </c>
      <c r="R1610" s="15">
        <f>IF(D1610=1,"Section 1","Control")</f>
        <v/>
      </c>
      <c r="S1610" s="16">
        <f>N1610/10000</f>
        <v/>
      </c>
      <c r="T1610" s="16">
        <f>P1610/10000</f>
        <v/>
      </c>
      <c r="U1610" s="15">
        <f>IF(N1610&gt;=Summary!$D$3,1,0)</f>
        <v/>
      </c>
      <c r="V1610" s="17">
        <f>IF(N1610&gt;0,P1610/N1610,"")</f>
        <v/>
      </c>
      <c r="W1610" s="17">
        <f>IF(O1610&gt;0,H1610/O1610,"")</f>
        <v/>
      </c>
    </row>
    <row r="1611">
      <c r="A1611" s="13" t="inlineStr">
        <is>
          <t>CE11_B2</t>
        </is>
      </c>
      <c r="B1611" s="13" t="inlineStr">
        <is>
          <t>CE11</t>
        </is>
      </c>
      <c r="C1611" s="13" t="inlineStr">
        <is>
          <t>B2</t>
        </is>
      </c>
      <c r="D1611" s="13" t="n">
        <v>0</v>
      </c>
      <c r="E1611" s="13" t="inlineStr">
        <is>
          <t>E</t>
        </is>
      </c>
      <c r="F1611" s="13" t="n">
        <v>2026</v>
      </c>
      <c r="G1611" s="14" t="n">
        <v>1000225.377237088</v>
      </c>
      <c r="H1611" s="14" t="n">
        <v>244429.8824307311</v>
      </c>
      <c r="I1611" s="14" t="n">
        <v>102073.5578904096</v>
      </c>
      <c r="J1611" s="14" t="n">
        <v>0</v>
      </c>
      <c r="K1611" s="14" t="n">
        <v>106885.2362286736</v>
      </c>
      <c r="L1611" s="14" t="n">
        <v>546836.7006872735</v>
      </c>
      <c r="M1611" s="14" t="n">
        <v>0</v>
      </c>
      <c r="N1611" s="14" t="n">
        <v>216367.3436765484</v>
      </c>
      <c r="O1611" s="14" t="n">
        <v>453388.6765498144</v>
      </c>
      <c r="P1611" s="14" t="n">
        <v>47307.32260999493</v>
      </c>
      <c r="Q1611" s="14" t="n">
        <v>3279785.999425013</v>
      </c>
      <c r="R1611" s="15">
        <f>IF(D1611=1,"Section 1","Control")</f>
        <v/>
      </c>
      <c r="S1611" s="16">
        <f>N1611/10000</f>
        <v/>
      </c>
      <c r="T1611" s="16">
        <f>P1611/10000</f>
        <v/>
      </c>
      <c r="U1611" s="15">
        <f>IF(N1611&gt;=Summary!$D$3,1,0)</f>
        <v/>
      </c>
      <c r="V1611" s="17">
        <f>IF(N1611&gt;0,P1611/N1611,"")</f>
        <v/>
      </c>
      <c r="W1611" s="17">
        <f>IF(O1611&gt;0,H1611/O1611,"")</f>
        <v/>
      </c>
    </row>
    <row r="1612">
      <c r="A1612" s="13" t="inlineStr">
        <is>
          <t>CE11_B3</t>
        </is>
      </c>
      <c r="B1612" s="13" t="inlineStr">
        <is>
          <t>CE11</t>
        </is>
      </c>
      <c r="C1612" s="13" t="inlineStr">
        <is>
          <t>B3</t>
        </is>
      </c>
      <c r="D1612" s="13" t="n">
        <v>0</v>
      </c>
      <c r="E1612" s="13" t="inlineStr">
        <is>
          <t>E</t>
        </is>
      </c>
      <c r="F1612" s="13" t="n">
        <v>2020</v>
      </c>
      <c r="G1612" s="14" t="n">
        <v>8000545.536315856</v>
      </c>
      <c r="H1612" s="14" t="n">
        <v>943797.84109895</v>
      </c>
      <c r="I1612" s="14" t="n">
        <v>350861.6790059407</v>
      </c>
      <c r="J1612" s="14" t="n">
        <v>0</v>
      </c>
      <c r="K1612" s="14" t="n">
        <v>111059.3678425508</v>
      </c>
      <c r="L1612" s="14" t="n">
        <v>6594826.648368416</v>
      </c>
      <c r="M1612" s="14" t="n">
        <v>0</v>
      </c>
      <c r="N1612" s="14" t="n">
        <v>943797.84109895</v>
      </c>
      <c r="O1612" s="14" t="n">
        <v>1405718.887947442</v>
      </c>
      <c r="P1612" s="14" t="n">
        <v>0</v>
      </c>
      <c r="Q1612" s="14" t="n">
        <v>9866442.994076926</v>
      </c>
      <c r="R1612" s="15">
        <f>IF(D1612=1,"Section 1","Control")</f>
        <v/>
      </c>
      <c r="S1612" s="16">
        <f>N1612/10000</f>
        <v/>
      </c>
      <c r="T1612" s="16">
        <f>P1612/10000</f>
        <v/>
      </c>
      <c r="U1612" s="15">
        <f>IF(N1612&gt;=Summary!$D$3,1,0)</f>
        <v/>
      </c>
      <c r="V1612" s="17">
        <f>IF(N1612&gt;0,P1612/N1612,"")</f>
        <v/>
      </c>
      <c r="W1612" s="17">
        <f>IF(O1612&gt;0,H1612/O1612,"")</f>
        <v/>
      </c>
    </row>
    <row r="1613">
      <c r="A1613" s="13" t="inlineStr">
        <is>
          <t>CE11_B3</t>
        </is>
      </c>
      <c r="B1613" s="13" t="inlineStr">
        <is>
          <t>CE11</t>
        </is>
      </c>
      <c r="C1613" s="13" t="inlineStr">
        <is>
          <t>B3</t>
        </is>
      </c>
      <c r="D1613" s="13" t="n">
        <v>0</v>
      </c>
      <c r="E1613" s="13" t="inlineStr">
        <is>
          <t>E</t>
        </is>
      </c>
      <c r="F1613" s="13" t="n">
        <v>2021</v>
      </c>
      <c r="G1613" s="14" t="n">
        <v>8000545.536315856</v>
      </c>
      <c r="H1613" s="14" t="n">
        <v>857767.6986006196</v>
      </c>
      <c r="I1613" s="14" t="n">
        <v>397986.4749179616</v>
      </c>
      <c r="J1613" s="14" t="n">
        <v>0</v>
      </c>
      <c r="K1613" s="14" t="n">
        <v>228122.5382489372</v>
      </c>
      <c r="L1613" s="14" t="n">
        <v>6516668.82454834</v>
      </c>
      <c r="M1613" s="14" t="n">
        <v>0</v>
      </c>
      <c r="N1613" s="14" t="n">
        <v>943797.84109895</v>
      </c>
      <c r="O1613" s="14" t="n">
        <v>1405718.887947442</v>
      </c>
      <c r="P1613" s="14" t="n">
        <v>137936.2365695729</v>
      </c>
      <c r="Q1613" s="14" t="n">
        <v>9866442.994076926</v>
      </c>
      <c r="R1613" s="15">
        <f>IF(D1613=1,"Section 1","Control")</f>
        <v/>
      </c>
      <c r="S1613" s="16">
        <f>N1613/10000</f>
        <v/>
      </c>
      <c r="T1613" s="16">
        <f>P1613/10000</f>
        <v/>
      </c>
      <c r="U1613" s="15">
        <f>IF(N1613&gt;=Summary!$D$3,1,0)</f>
        <v/>
      </c>
      <c r="V1613" s="17">
        <f>IF(N1613&gt;0,P1613/N1613,"")</f>
        <v/>
      </c>
      <c r="W1613" s="17">
        <f>IF(O1613&gt;0,H1613/O1613,"")</f>
        <v/>
      </c>
    </row>
    <row r="1614">
      <c r="A1614" s="13" t="inlineStr">
        <is>
          <t>CE11_B3</t>
        </is>
      </c>
      <c r="B1614" s="13" t="inlineStr">
        <is>
          <t>CE11</t>
        </is>
      </c>
      <c r="C1614" s="13" t="inlineStr">
        <is>
          <t>B3</t>
        </is>
      </c>
      <c r="D1614" s="13" t="n">
        <v>0</v>
      </c>
      <c r="E1614" s="13" t="inlineStr">
        <is>
          <t>E</t>
        </is>
      </c>
      <c r="F1614" s="13" t="n">
        <v>2022</v>
      </c>
      <c r="G1614" s="14" t="n">
        <v>8000545.536315856</v>
      </c>
      <c r="H1614" s="14" t="n">
        <v>777593.550260716</v>
      </c>
      <c r="I1614" s="14" t="n">
        <v>447118.8301348518</v>
      </c>
      <c r="J1614" s="14" t="n">
        <v>0</v>
      </c>
      <c r="K1614" s="14" t="n">
        <v>217498.506074494</v>
      </c>
      <c r="L1614" s="14" t="n">
        <v>6558334.649845797</v>
      </c>
      <c r="M1614" s="14" t="n">
        <v>0</v>
      </c>
      <c r="N1614" s="14" t="n">
        <v>943797.84109895</v>
      </c>
      <c r="O1614" s="14" t="n">
        <v>1405718.887947442</v>
      </c>
      <c r="P1614" s="14" t="n">
        <v>227943.2755005481</v>
      </c>
      <c r="Q1614" s="14" t="n">
        <v>9866442.994076924</v>
      </c>
      <c r="R1614" s="15">
        <f>IF(D1614=1,"Section 1","Control")</f>
        <v/>
      </c>
      <c r="S1614" s="16">
        <f>N1614/10000</f>
        <v/>
      </c>
      <c r="T1614" s="16">
        <f>P1614/10000</f>
        <v/>
      </c>
      <c r="U1614" s="15">
        <f>IF(N1614&gt;=Summary!$D$3,1,0)</f>
        <v/>
      </c>
      <c r="V1614" s="17">
        <f>IF(N1614&gt;0,P1614/N1614,"")</f>
        <v/>
      </c>
      <c r="W1614" s="17">
        <f>IF(O1614&gt;0,H1614/O1614,"")</f>
        <v/>
      </c>
    </row>
    <row r="1615">
      <c r="A1615" s="13" t="inlineStr">
        <is>
          <t>CE11_B3</t>
        </is>
      </c>
      <c r="B1615" s="13" t="inlineStr">
        <is>
          <t>CE11</t>
        </is>
      </c>
      <c r="C1615" s="13" t="inlineStr">
        <is>
          <t>B3</t>
        </is>
      </c>
      <c r="D1615" s="13" t="n">
        <v>0</v>
      </c>
      <c r="E1615" s="13" t="inlineStr">
        <is>
          <t>E</t>
        </is>
      </c>
      <c r="F1615" s="13" t="n">
        <v>2023</v>
      </c>
      <c r="G1615" s="14" t="n">
        <v>8000545.536315856</v>
      </c>
      <c r="H1615" s="14" t="n">
        <v>714797.0527241129</v>
      </c>
      <c r="I1615" s="14" t="n">
        <v>557778.1221933402</v>
      </c>
      <c r="J1615" s="14" t="n">
        <v>0</v>
      </c>
      <c r="K1615" s="14" t="n">
        <v>153331.445731638</v>
      </c>
      <c r="L1615" s="14" t="n">
        <v>6574638.915666767</v>
      </c>
      <c r="M1615" s="14" t="n">
        <v>0</v>
      </c>
      <c r="N1615" s="14" t="n">
        <v>943797.84109895</v>
      </c>
      <c r="O1615" s="14" t="n">
        <v>1405718.887947442</v>
      </c>
      <c r="P1615" s="14" t="n">
        <v>312220.4460026461</v>
      </c>
      <c r="Q1615" s="14" t="n">
        <v>9866442.994076924</v>
      </c>
      <c r="R1615" s="15">
        <f>IF(D1615=1,"Section 1","Control")</f>
        <v/>
      </c>
      <c r="S1615" s="16">
        <f>N1615/10000</f>
        <v/>
      </c>
      <c r="T1615" s="16">
        <f>P1615/10000</f>
        <v/>
      </c>
      <c r="U1615" s="15">
        <f>IF(N1615&gt;=Summary!$D$3,1,0)</f>
        <v/>
      </c>
      <c r="V1615" s="17">
        <f>IF(N1615&gt;0,P1615/N1615,"")</f>
        <v/>
      </c>
      <c r="W1615" s="17">
        <f>IF(O1615&gt;0,H1615/O1615,"")</f>
        <v/>
      </c>
    </row>
    <row r="1616">
      <c r="A1616" s="13" t="inlineStr">
        <is>
          <t>CE11_B3</t>
        </is>
      </c>
      <c r="B1616" s="13" t="inlineStr">
        <is>
          <t>CE11</t>
        </is>
      </c>
      <c r="C1616" s="13" t="inlineStr">
        <is>
          <t>B3</t>
        </is>
      </c>
      <c r="D1616" s="13" t="n">
        <v>0</v>
      </c>
      <c r="E1616" s="13" t="inlineStr">
        <is>
          <t>E</t>
        </is>
      </c>
      <c r="F1616" s="13" t="n">
        <v>2024</v>
      </c>
      <c r="G1616" s="14" t="n">
        <v>8000545.536315856</v>
      </c>
      <c r="H1616" s="14" t="n">
        <v>868821.5400021422</v>
      </c>
      <c r="I1616" s="14" t="n">
        <v>381855.9919826732</v>
      </c>
      <c r="J1616" s="14" t="n">
        <v>0</v>
      </c>
      <c r="K1616" s="14" t="n">
        <v>181872.6708939795</v>
      </c>
      <c r="L1616" s="14" t="n">
        <v>6567995.333437064</v>
      </c>
      <c r="M1616" s="14" t="n">
        <v>0</v>
      </c>
      <c r="N1616" s="14" t="n">
        <v>943797.84109895</v>
      </c>
      <c r="O1616" s="14" t="n">
        <v>1405718.887947442</v>
      </c>
      <c r="P1616" s="14" t="n">
        <v>225705.9285803402</v>
      </c>
      <c r="Q1616" s="14" t="n">
        <v>9866442.994076924</v>
      </c>
      <c r="R1616" s="15">
        <f>IF(D1616=1,"Section 1","Control")</f>
        <v/>
      </c>
      <c r="S1616" s="16">
        <f>N1616/10000</f>
        <v/>
      </c>
      <c r="T1616" s="16">
        <f>P1616/10000</f>
        <v/>
      </c>
      <c r="U1616" s="15">
        <f>IF(N1616&gt;=Summary!$D$3,1,0)</f>
        <v/>
      </c>
      <c r="V1616" s="17">
        <f>IF(N1616&gt;0,P1616/N1616,"")</f>
        <v/>
      </c>
      <c r="W1616" s="17">
        <f>IF(O1616&gt;0,H1616/O1616,"")</f>
        <v/>
      </c>
    </row>
    <row r="1617">
      <c r="A1617" s="13" t="inlineStr">
        <is>
          <t>CE11_B3</t>
        </is>
      </c>
      <c r="B1617" s="13" t="inlineStr">
        <is>
          <t>CE11</t>
        </is>
      </c>
      <c r="C1617" s="13" t="inlineStr">
        <is>
          <t>B3</t>
        </is>
      </c>
      <c r="D1617" s="13" t="n">
        <v>0</v>
      </c>
      <c r="E1617" s="13" t="inlineStr">
        <is>
          <t>E</t>
        </is>
      </c>
      <c r="F1617" s="13" t="n">
        <v>2025</v>
      </c>
      <c r="G1617" s="14" t="n">
        <v>8000545.536315856</v>
      </c>
      <c r="H1617" s="14" t="n">
        <v>743478.2559137382</v>
      </c>
      <c r="I1617" s="14" t="n">
        <v>530120.361575078</v>
      </c>
      <c r="J1617" s="14" t="n">
        <v>0</v>
      </c>
      <c r="K1617" s="14" t="n">
        <v>122029.6043517767</v>
      </c>
      <c r="L1617" s="14" t="n">
        <v>6604917.314475266</v>
      </c>
      <c r="M1617" s="14" t="n">
        <v>0</v>
      </c>
      <c r="N1617" s="14" t="n">
        <v>943797.84109895</v>
      </c>
      <c r="O1617" s="14" t="n">
        <v>1405718.887947442</v>
      </c>
      <c r="P1617" s="14" t="n">
        <v>315979.5800802194</v>
      </c>
      <c r="Q1617" s="14" t="n">
        <v>9866442.994076924</v>
      </c>
      <c r="R1617" s="15">
        <f>IF(D1617=1,"Section 1","Control")</f>
        <v/>
      </c>
      <c r="S1617" s="16">
        <f>N1617/10000</f>
        <v/>
      </c>
      <c r="T1617" s="16">
        <f>P1617/10000</f>
        <v/>
      </c>
      <c r="U1617" s="15">
        <f>IF(N1617&gt;=Summary!$D$3,1,0)</f>
        <v/>
      </c>
      <c r="V1617" s="17">
        <f>IF(N1617&gt;0,P1617/N1617,"")</f>
        <v/>
      </c>
      <c r="W1617" s="17">
        <f>IF(O1617&gt;0,H1617/O1617,"")</f>
        <v/>
      </c>
    </row>
    <row r="1618">
      <c r="A1618" s="13" t="inlineStr">
        <is>
          <t>CE11_B3</t>
        </is>
      </c>
      <c r="B1618" s="13" t="inlineStr">
        <is>
          <t>CE11</t>
        </is>
      </c>
      <c r="C1618" s="13" t="inlineStr">
        <is>
          <t>B3</t>
        </is>
      </c>
      <c r="D1618" s="13" t="n">
        <v>0</v>
      </c>
      <c r="E1618" s="13" t="inlineStr">
        <is>
          <t>E</t>
        </is>
      </c>
      <c r="F1618" s="13" t="n">
        <v>2026</v>
      </c>
      <c r="G1618" s="14" t="n">
        <v>8000545.536315857</v>
      </c>
      <c r="H1618" s="14" t="n">
        <v>854432.1643570845</v>
      </c>
      <c r="I1618" s="14" t="n">
        <v>366651.5415167416</v>
      </c>
      <c r="J1618" s="14" t="n">
        <v>0</v>
      </c>
      <c r="K1618" s="14" t="n">
        <v>179989.0082414814</v>
      </c>
      <c r="L1618" s="14" t="n">
        <v>6599472.822200551</v>
      </c>
      <c r="M1618" s="14" t="n">
        <v>0</v>
      </c>
      <c r="N1618" s="14" t="n">
        <v>943797.84109895</v>
      </c>
      <c r="O1618" s="14" t="n">
        <v>1405718.887947442</v>
      </c>
      <c r="P1618" s="14" t="n">
        <v>241249.312084183</v>
      </c>
      <c r="Q1618" s="14" t="n">
        <v>9866442.994076926</v>
      </c>
      <c r="R1618" s="15">
        <f>IF(D1618=1,"Section 1","Control")</f>
        <v/>
      </c>
      <c r="S1618" s="16">
        <f>N1618/10000</f>
        <v/>
      </c>
      <c r="T1618" s="16">
        <f>P1618/10000</f>
        <v/>
      </c>
      <c r="U1618" s="15">
        <f>IF(N1618&gt;=Summary!$D$3,1,0)</f>
        <v/>
      </c>
      <c r="V1618" s="17">
        <f>IF(N1618&gt;0,P1618/N1618,"")</f>
        <v/>
      </c>
      <c r="W1618" s="17">
        <f>IF(O1618&gt;0,H1618/O1618,"")</f>
        <v/>
      </c>
    </row>
    <row r="1619">
      <c r="A1619" s="13" t="inlineStr">
        <is>
          <t>CE11_F</t>
        </is>
      </c>
      <c r="B1619" s="13" t="inlineStr">
        <is>
          <t>CE11</t>
        </is>
      </c>
      <c r="C1619" s="13" t="inlineStr">
        <is>
          <t>F</t>
        </is>
      </c>
      <c r="D1619" s="13" t="n">
        <v>0</v>
      </c>
      <c r="E1619" s="13" t="inlineStr">
        <is>
          <t>E</t>
        </is>
      </c>
      <c r="F1619" s="13" t="n">
        <v>2020</v>
      </c>
      <c r="G1619" s="14" t="n">
        <v>69255.98247351553</v>
      </c>
      <c r="H1619" s="14" t="n">
        <v>11360.64304827522</v>
      </c>
      <c r="I1619" s="14" t="n">
        <v>44227.18264719645</v>
      </c>
      <c r="J1619" s="14" t="n">
        <v>0</v>
      </c>
      <c r="K1619" s="14" t="n">
        <v>7929.565258729224</v>
      </c>
      <c r="L1619" s="14" t="n">
        <v>5738.591519314635</v>
      </c>
      <c r="M1619" s="14" t="n">
        <v>0</v>
      </c>
      <c r="N1619" s="14" t="n">
        <v>11360.64304827522</v>
      </c>
      <c r="O1619" s="14" t="n">
        <v>63517.39095420089</v>
      </c>
      <c r="P1619" s="14" t="n">
        <v>0</v>
      </c>
      <c r="Q1619" s="14" t="n">
        <v>321018.481170475</v>
      </c>
      <c r="R1619" s="15">
        <f>IF(D1619=1,"Section 1","Control")</f>
        <v/>
      </c>
      <c r="S1619" s="16">
        <f>N1619/10000</f>
        <v/>
      </c>
      <c r="T1619" s="16">
        <f>P1619/10000</f>
        <v/>
      </c>
      <c r="U1619" s="15">
        <f>IF(N1619&gt;=Summary!$D$3,1,0)</f>
        <v/>
      </c>
      <c r="V1619" s="17">
        <f>IF(N1619&gt;0,P1619/N1619,"")</f>
        <v/>
      </c>
      <c r="W1619" s="17">
        <f>IF(O1619&gt;0,H1619/O1619,"")</f>
        <v/>
      </c>
    </row>
    <row r="1620">
      <c r="A1620" s="13" t="inlineStr">
        <is>
          <t>CE11_F</t>
        </is>
      </c>
      <c r="B1620" s="13" t="inlineStr">
        <is>
          <t>CE11</t>
        </is>
      </c>
      <c r="C1620" s="13" t="inlineStr">
        <is>
          <t>F</t>
        </is>
      </c>
      <c r="D1620" s="13" t="n">
        <v>0</v>
      </c>
      <c r="E1620" s="13" t="inlineStr">
        <is>
          <t>E</t>
        </is>
      </c>
      <c r="F1620" s="13" t="n">
        <v>2021</v>
      </c>
      <c r="G1620" s="14" t="n">
        <v>69255.98247351553</v>
      </c>
      <c r="H1620" s="14" t="n">
        <v>11107.04785985011</v>
      </c>
      <c r="I1620" s="14" t="n">
        <v>35309.96501512715</v>
      </c>
      <c r="J1620" s="14" t="n">
        <v>0</v>
      </c>
      <c r="K1620" s="14" t="n">
        <v>22501.74711345598</v>
      </c>
      <c r="L1620" s="14" t="n">
        <v>337.2224850822897</v>
      </c>
      <c r="M1620" s="14" t="n">
        <v>0</v>
      </c>
      <c r="N1620" s="14" t="n">
        <v>11360.64304827522</v>
      </c>
      <c r="O1620" s="14" t="n">
        <v>63517.39095420089</v>
      </c>
      <c r="P1620" s="14" t="n">
        <v>1306.301840688668</v>
      </c>
      <c r="Q1620" s="14" t="n">
        <v>321018.481170475</v>
      </c>
      <c r="R1620" s="15">
        <f>IF(D1620=1,"Section 1","Control")</f>
        <v/>
      </c>
      <c r="S1620" s="16">
        <f>N1620/10000</f>
        <v/>
      </c>
      <c r="T1620" s="16">
        <f>P1620/10000</f>
        <v/>
      </c>
      <c r="U1620" s="15">
        <f>IF(N1620&gt;=Summary!$D$3,1,0)</f>
        <v/>
      </c>
      <c r="V1620" s="17">
        <f>IF(N1620&gt;0,P1620/N1620,"")</f>
        <v/>
      </c>
      <c r="W1620" s="17">
        <f>IF(O1620&gt;0,H1620/O1620,"")</f>
        <v/>
      </c>
    </row>
    <row r="1621">
      <c r="A1621" s="13" t="inlineStr">
        <is>
          <t>CE11_F</t>
        </is>
      </c>
      <c r="B1621" s="13" t="inlineStr">
        <is>
          <t>CE11</t>
        </is>
      </c>
      <c r="C1621" s="13" t="inlineStr">
        <is>
          <t>F</t>
        </is>
      </c>
      <c r="D1621" s="13" t="n">
        <v>0</v>
      </c>
      <c r="E1621" s="13" t="inlineStr">
        <is>
          <t>E</t>
        </is>
      </c>
      <c r="F1621" s="13" t="n">
        <v>2022</v>
      </c>
      <c r="G1621" s="14" t="n">
        <v>69255.98247351553</v>
      </c>
      <c r="H1621" s="14" t="n">
        <v>14677.88858974681</v>
      </c>
      <c r="I1621" s="14" t="n">
        <v>38138.20798471489</v>
      </c>
      <c r="J1621" s="14" t="n">
        <v>0</v>
      </c>
      <c r="K1621" s="14" t="n">
        <v>14325.56614682067</v>
      </c>
      <c r="L1621" s="14" t="n">
        <v>2114.319752233169</v>
      </c>
      <c r="M1621" s="14" t="n">
        <v>0</v>
      </c>
      <c r="N1621" s="14" t="n">
        <v>11360.64304827522</v>
      </c>
      <c r="O1621" s="14" t="n">
        <v>63517.39095420089</v>
      </c>
      <c r="P1621" s="14" t="n">
        <v>959.0131559184952</v>
      </c>
      <c r="Q1621" s="14" t="n">
        <v>321018.481170475</v>
      </c>
      <c r="R1621" s="15">
        <f>IF(D1621=1,"Section 1","Control")</f>
        <v/>
      </c>
      <c r="S1621" s="16">
        <f>N1621/10000</f>
        <v/>
      </c>
      <c r="T1621" s="16">
        <f>P1621/10000</f>
        <v/>
      </c>
      <c r="U1621" s="15">
        <f>IF(N1621&gt;=Summary!$D$3,1,0)</f>
        <v/>
      </c>
      <c r="V1621" s="17">
        <f>IF(N1621&gt;0,P1621/N1621,"")</f>
        <v/>
      </c>
      <c r="W1621" s="17">
        <f>IF(O1621&gt;0,H1621/O1621,"")</f>
        <v/>
      </c>
    </row>
    <row r="1622">
      <c r="A1622" s="13" t="inlineStr">
        <is>
          <t>CE11_F</t>
        </is>
      </c>
      <c r="B1622" s="13" t="inlineStr">
        <is>
          <t>CE11</t>
        </is>
      </c>
      <c r="C1622" s="13" t="inlineStr">
        <is>
          <t>F</t>
        </is>
      </c>
      <c r="D1622" s="13" t="n">
        <v>0</v>
      </c>
      <c r="E1622" s="13" t="inlineStr">
        <is>
          <t>E</t>
        </is>
      </c>
      <c r="F1622" s="13" t="n">
        <v>2023</v>
      </c>
      <c r="G1622" s="14" t="n">
        <v>69255.98247351553</v>
      </c>
      <c r="H1622" s="14" t="n">
        <v>8548.649530567844</v>
      </c>
      <c r="I1622" s="14" t="n">
        <v>45076.24095052083</v>
      </c>
      <c r="J1622" s="14" t="n">
        <v>0</v>
      </c>
      <c r="K1622" s="14" t="n">
        <v>9793.772842496985</v>
      </c>
      <c r="L1622" s="14" t="n">
        <v>5837.319149929869</v>
      </c>
      <c r="M1622" s="14" t="n">
        <v>0</v>
      </c>
      <c r="N1622" s="14" t="n">
        <v>11360.64304827522</v>
      </c>
      <c r="O1622" s="14" t="n">
        <v>63517.39095420089</v>
      </c>
      <c r="P1622" s="14" t="n">
        <v>3575.486929022097</v>
      </c>
      <c r="Q1622" s="14" t="n">
        <v>321018.481170475</v>
      </c>
      <c r="R1622" s="15">
        <f>IF(D1622=1,"Section 1","Control")</f>
        <v/>
      </c>
      <c r="S1622" s="16">
        <f>N1622/10000</f>
        <v/>
      </c>
      <c r="T1622" s="16">
        <f>P1622/10000</f>
        <v/>
      </c>
      <c r="U1622" s="15">
        <f>IF(N1622&gt;=Summary!$D$3,1,0)</f>
        <v/>
      </c>
      <c r="V1622" s="17">
        <f>IF(N1622&gt;0,P1622/N1622,"")</f>
        <v/>
      </c>
      <c r="W1622" s="17">
        <f>IF(O1622&gt;0,H1622/O1622,"")</f>
        <v/>
      </c>
    </row>
    <row r="1623">
      <c r="A1623" s="13" t="inlineStr">
        <is>
          <t>CE11_F</t>
        </is>
      </c>
      <c r="B1623" s="13" t="inlineStr">
        <is>
          <t>CE11</t>
        </is>
      </c>
      <c r="C1623" s="13" t="inlineStr">
        <is>
          <t>F</t>
        </is>
      </c>
      <c r="D1623" s="13" t="n">
        <v>0</v>
      </c>
      <c r="E1623" s="13" t="inlineStr">
        <is>
          <t>E</t>
        </is>
      </c>
      <c r="F1623" s="13" t="n">
        <v>2024</v>
      </c>
      <c r="G1623" s="14" t="n">
        <v>69255.98247351553</v>
      </c>
      <c r="H1623" s="14" t="n">
        <v>11072.59136627796</v>
      </c>
      <c r="I1623" s="14" t="n">
        <v>43201.19257974063</v>
      </c>
      <c r="J1623" s="14" t="n">
        <v>0</v>
      </c>
      <c r="K1623" s="14" t="n">
        <v>12966.60645165537</v>
      </c>
      <c r="L1623" s="14" t="n">
        <v>2015.592075841567</v>
      </c>
      <c r="M1623" s="14" t="n">
        <v>0</v>
      </c>
      <c r="N1623" s="14" t="n">
        <v>11360.64304827522</v>
      </c>
      <c r="O1623" s="14" t="n">
        <v>63517.39095420089</v>
      </c>
      <c r="P1623" s="14" t="n">
        <v>3245.232615571864</v>
      </c>
      <c r="Q1623" s="14" t="n">
        <v>321018.481170475</v>
      </c>
      <c r="R1623" s="15">
        <f>IF(D1623=1,"Section 1","Control")</f>
        <v/>
      </c>
      <c r="S1623" s="16">
        <f>N1623/10000</f>
        <v/>
      </c>
      <c r="T1623" s="16">
        <f>P1623/10000</f>
        <v/>
      </c>
      <c r="U1623" s="15">
        <f>IF(N1623&gt;=Summary!$D$3,1,0)</f>
        <v/>
      </c>
      <c r="V1623" s="17">
        <f>IF(N1623&gt;0,P1623/N1623,"")</f>
        <v/>
      </c>
      <c r="W1623" s="17">
        <f>IF(O1623&gt;0,H1623/O1623,"")</f>
        <v/>
      </c>
    </row>
    <row r="1624">
      <c r="A1624" s="13" t="inlineStr">
        <is>
          <t>CE11_F</t>
        </is>
      </c>
      <c r="B1624" s="13" t="inlineStr">
        <is>
          <t>CE11</t>
        </is>
      </c>
      <c r="C1624" s="13" t="inlineStr">
        <is>
          <t>F</t>
        </is>
      </c>
      <c r="D1624" s="13" t="n">
        <v>0</v>
      </c>
      <c r="E1624" s="13" t="inlineStr">
        <is>
          <t>E</t>
        </is>
      </c>
      <c r="F1624" s="13" t="n">
        <v>2025</v>
      </c>
      <c r="G1624" s="14" t="n">
        <v>69255.98247351553</v>
      </c>
      <c r="H1624" s="14" t="n">
        <v>9395.384303283692</v>
      </c>
      <c r="I1624" s="14" t="n">
        <v>45449.08393560671</v>
      </c>
      <c r="J1624" s="14" t="n">
        <v>0</v>
      </c>
      <c r="K1624" s="14" t="n">
        <v>10023.74911624684</v>
      </c>
      <c r="L1624" s="14" t="n">
        <v>4387.765118378284</v>
      </c>
      <c r="M1624" s="14" t="n">
        <v>0</v>
      </c>
      <c r="N1624" s="14" t="n">
        <v>11360.64304827522</v>
      </c>
      <c r="O1624" s="14" t="n">
        <v>63517.39095420089</v>
      </c>
      <c r="P1624" s="14" t="n">
        <v>4187.209870671291</v>
      </c>
      <c r="Q1624" s="14" t="n">
        <v>321018.481170475</v>
      </c>
      <c r="R1624" s="15">
        <f>IF(D1624=1,"Section 1","Control")</f>
        <v/>
      </c>
      <c r="S1624" s="16">
        <f>N1624/10000</f>
        <v/>
      </c>
      <c r="T1624" s="16">
        <f>P1624/10000</f>
        <v/>
      </c>
      <c r="U1624" s="15">
        <f>IF(N1624&gt;=Summary!$D$3,1,0)</f>
        <v/>
      </c>
      <c r="V1624" s="17">
        <f>IF(N1624&gt;0,P1624/N1624,"")</f>
        <v/>
      </c>
      <c r="W1624" s="17">
        <f>IF(O1624&gt;0,H1624/O1624,"")</f>
        <v/>
      </c>
    </row>
    <row r="1625">
      <c r="A1625" s="13" t="inlineStr">
        <is>
          <t>CE11_F</t>
        </is>
      </c>
      <c r="B1625" s="13" t="inlineStr">
        <is>
          <t>CE11</t>
        </is>
      </c>
      <c r="C1625" s="13" t="inlineStr">
        <is>
          <t>F</t>
        </is>
      </c>
      <c r="D1625" s="13" t="n">
        <v>0</v>
      </c>
      <c r="E1625" s="13" t="inlineStr">
        <is>
          <t>E</t>
        </is>
      </c>
      <c r="F1625" s="13" t="n">
        <v>2026</v>
      </c>
      <c r="G1625" s="14" t="n">
        <v>69255.98247351553</v>
      </c>
      <c r="H1625" s="14" t="n">
        <v>10756.27627030915</v>
      </c>
      <c r="I1625" s="14" t="n">
        <v>34038.89658550188</v>
      </c>
      <c r="J1625" s="14" t="n">
        <v>0</v>
      </c>
      <c r="K1625" s="14" t="n">
        <v>18394.67459247066</v>
      </c>
      <c r="L1625" s="14" t="n">
        <v>6066.135025233847</v>
      </c>
      <c r="M1625" s="14" t="n">
        <v>0</v>
      </c>
      <c r="N1625" s="14" t="n">
        <v>11360.64304827522</v>
      </c>
      <c r="O1625" s="14" t="n">
        <v>63517.39095420089</v>
      </c>
      <c r="P1625" s="14" t="n">
        <v>3863.538348209157</v>
      </c>
      <c r="Q1625" s="14" t="n">
        <v>321018.481170475</v>
      </c>
      <c r="R1625" s="15">
        <f>IF(D1625=1,"Section 1","Control")</f>
        <v/>
      </c>
      <c r="S1625" s="16">
        <f>N1625/10000</f>
        <v/>
      </c>
      <c r="T1625" s="16">
        <f>P1625/10000</f>
        <v/>
      </c>
      <c r="U1625" s="15">
        <f>IF(N1625&gt;=Summary!$D$3,1,0)</f>
        <v/>
      </c>
      <c r="V1625" s="17">
        <f>IF(N1625&gt;0,P1625/N1625,"")</f>
        <v/>
      </c>
      <c r="W1625" s="17">
        <f>IF(O1625&gt;0,H1625/O1625,"")</f>
        <v/>
      </c>
    </row>
    <row r="1626">
      <c r="A1626" s="13" t="inlineStr">
        <is>
          <t>CE12_B1</t>
        </is>
      </c>
      <c r="B1626" s="13" t="inlineStr">
        <is>
          <t>CE12</t>
        </is>
      </c>
      <c r="C1626" s="13" t="inlineStr">
        <is>
          <t>B1</t>
        </is>
      </c>
      <c r="D1626" s="13" t="n">
        <v>0</v>
      </c>
      <c r="E1626" s="13" t="inlineStr">
        <is>
          <t>E</t>
        </is>
      </c>
      <c r="F1626" s="13" t="n">
        <v>2020</v>
      </c>
      <c r="G1626" s="14" t="n">
        <v>1000562.636214911</v>
      </c>
      <c r="H1626" s="14" t="n">
        <v>170439.1408018822</v>
      </c>
      <c r="I1626" s="14" t="n">
        <v>491542.1818208882</v>
      </c>
      <c r="J1626" s="14" t="n">
        <v>0</v>
      </c>
      <c r="K1626" s="14" t="n">
        <v>171196.8497070911</v>
      </c>
      <c r="L1626" s="14" t="n">
        <v>167384.4638850492</v>
      </c>
      <c r="M1626" s="14" t="n">
        <v>0</v>
      </c>
      <c r="N1626" s="14" t="n">
        <v>170439.1408018822</v>
      </c>
      <c r="O1626" s="14" t="n">
        <v>833178.1723298614</v>
      </c>
      <c r="P1626" s="14" t="n">
        <v>0</v>
      </c>
      <c r="Q1626" s="14" t="n">
        <v>6135398.702578736</v>
      </c>
      <c r="R1626" s="15">
        <f>IF(D1626=1,"Section 1","Control")</f>
        <v/>
      </c>
      <c r="S1626" s="16">
        <f>N1626/10000</f>
        <v/>
      </c>
      <c r="T1626" s="16">
        <f>P1626/10000</f>
        <v/>
      </c>
      <c r="U1626" s="15">
        <f>IF(N1626&gt;=Summary!$D$3,1,0)</f>
        <v/>
      </c>
      <c r="V1626" s="17">
        <f>IF(N1626&gt;0,P1626/N1626,"")</f>
        <v/>
      </c>
      <c r="W1626" s="17">
        <f>IF(O1626&gt;0,H1626/O1626,"")</f>
        <v/>
      </c>
    </row>
    <row r="1627">
      <c r="A1627" s="13" t="inlineStr">
        <is>
          <t>CE12_B1</t>
        </is>
      </c>
      <c r="B1627" s="13" t="inlineStr">
        <is>
          <t>CE12</t>
        </is>
      </c>
      <c r="C1627" s="13" t="inlineStr">
        <is>
          <t>B1</t>
        </is>
      </c>
      <c r="D1627" s="13" t="n">
        <v>0</v>
      </c>
      <c r="E1627" s="13" t="inlineStr">
        <is>
          <t>E</t>
        </is>
      </c>
      <c r="F1627" s="13" t="n">
        <v>2021</v>
      </c>
      <c r="G1627" s="14" t="n">
        <v>1000562.63621491</v>
      </c>
      <c r="H1627" s="14" t="n">
        <v>107991.5768529555</v>
      </c>
      <c r="I1627" s="14" t="n">
        <v>494877.371596572</v>
      </c>
      <c r="J1627" s="14" t="n">
        <v>0</v>
      </c>
      <c r="K1627" s="14" t="n">
        <v>241103.526755778</v>
      </c>
      <c r="L1627" s="14" t="n">
        <v>156590.1610096052</v>
      </c>
      <c r="M1627" s="14" t="n">
        <v>0</v>
      </c>
      <c r="N1627" s="14" t="n">
        <v>170439.1408018822</v>
      </c>
      <c r="O1627" s="14" t="n">
        <v>833178.1723298614</v>
      </c>
      <c r="P1627" s="14" t="n">
        <v>84227.97212371828</v>
      </c>
      <c r="Q1627" s="14" t="n">
        <v>6135398.702578736</v>
      </c>
      <c r="R1627" s="15">
        <f>IF(D1627=1,"Section 1","Control")</f>
        <v/>
      </c>
      <c r="S1627" s="16">
        <f>N1627/10000</f>
        <v/>
      </c>
      <c r="T1627" s="16">
        <f>P1627/10000</f>
        <v/>
      </c>
      <c r="U1627" s="15">
        <f>IF(N1627&gt;=Summary!$D$3,1,0)</f>
        <v/>
      </c>
      <c r="V1627" s="17">
        <f>IF(N1627&gt;0,P1627/N1627,"")</f>
        <v/>
      </c>
      <c r="W1627" s="17">
        <f>IF(O1627&gt;0,H1627/O1627,"")</f>
        <v/>
      </c>
    </row>
    <row r="1628">
      <c r="A1628" s="13" t="inlineStr">
        <is>
          <t>CE12_B1</t>
        </is>
      </c>
      <c r="B1628" s="13" t="inlineStr">
        <is>
          <t>CE12</t>
        </is>
      </c>
      <c r="C1628" s="13" t="inlineStr">
        <is>
          <t>B1</t>
        </is>
      </c>
      <c r="D1628" s="13" t="n">
        <v>0</v>
      </c>
      <c r="E1628" s="13" t="inlineStr">
        <is>
          <t>E</t>
        </is>
      </c>
      <c r="F1628" s="13" t="n">
        <v>2022</v>
      </c>
      <c r="G1628" s="14" t="n">
        <v>1000562.636214911</v>
      </c>
      <c r="H1628" s="14" t="n">
        <v>209299.9991274965</v>
      </c>
      <c r="I1628" s="14" t="n">
        <v>400298.7095198987</v>
      </c>
      <c r="J1628" s="14" t="n">
        <v>0</v>
      </c>
      <c r="K1628" s="14" t="n">
        <v>216031.5661554074</v>
      </c>
      <c r="L1628" s="14" t="n">
        <v>174932.3614121081</v>
      </c>
      <c r="M1628" s="14" t="n">
        <v>0</v>
      </c>
      <c r="N1628" s="14" t="n">
        <v>170439.1408018822</v>
      </c>
      <c r="O1628" s="14" t="n">
        <v>833178.1723298614</v>
      </c>
      <c r="P1628" s="14" t="n">
        <v>52798.68910160438</v>
      </c>
      <c r="Q1628" s="14" t="n">
        <v>6135398.702578736</v>
      </c>
      <c r="R1628" s="15">
        <f>IF(D1628=1,"Section 1","Control")</f>
        <v/>
      </c>
      <c r="S1628" s="16">
        <f>N1628/10000</f>
        <v/>
      </c>
      <c r="T1628" s="16">
        <f>P1628/10000</f>
        <v/>
      </c>
      <c r="U1628" s="15">
        <f>IF(N1628&gt;=Summary!$D$3,1,0)</f>
        <v/>
      </c>
      <c r="V1628" s="17">
        <f>IF(N1628&gt;0,P1628/N1628,"")</f>
        <v/>
      </c>
      <c r="W1628" s="17">
        <f>IF(O1628&gt;0,H1628/O1628,"")</f>
        <v/>
      </c>
    </row>
    <row r="1629">
      <c r="A1629" s="13" t="inlineStr">
        <is>
          <t>CE12_B1</t>
        </is>
      </c>
      <c r="B1629" s="13" t="inlineStr">
        <is>
          <t>CE12</t>
        </is>
      </c>
      <c r="C1629" s="13" t="inlineStr">
        <is>
          <t>B1</t>
        </is>
      </c>
      <c r="D1629" s="13" t="n">
        <v>0</v>
      </c>
      <c r="E1629" s="13" t="inlineStr">
        <is>
          <t>E</t>
        </is>
      </c>
      <c r="F1629" s="13" t="n">
        <v>2023</v>
      </c>
      <c r="G1629" s="14" t="n">
        <v>1000562.636214911</v>
      </c>
      <c r="H1629" s="14" t="n">
        <v>171306.2040516872</v>
      </c>
      <c r="I1629" s="14" t="n">
        <v>441114.0443659763</v>
      </c>
      <c r="J1629" s="14" t="n">
        <v>0</v>
      </c>
      <c r="K1629" s="14" t="n">
        <v>193999.0177635641</v>
      </c>
      <c r="L1629" s="14" t="n">
        <v>194143.3700336831</v>
      </c>
      <c r="M1629" s="14" t="n">
        <v>0</v>
      </c>
      <c r="N1629" s="14" t="n">
        <v>170439.1408018822</v>
      </c>
      <c r="O1629" s="14" t="n">
        <v>833178.1723298614</v>
      </c>
      <c r="P1629" s="14" t="n">
        <v>69055.08822697659</v>
      </c>
      <c r="Q1629" s="14" t="n">
        <v>6135398.702578736</v>
      </c>
      <c r="R1629" s="15">
        <f>IF(D1629=1,"Section 1","Control")</f>
        <v/>
      </c>
      <c r="S1629" s="16">
        <f>N1629/10000</f>
        <v/>
      </c>
      <c r="T1629" s="16">
        <f>P1629/10000</f>
        <v/>
      </c>
      <c r="U1629" s="15">
        <f>IF(N1629&gt;=Summary!$D$3,1,0)</f>
        <v/>
      </c>
      <c r="V1629" s="17">
        <f>IF(N1629&gt;0,P1629/N1629,"")</f>
        <v/>
      </c>
      <c r="W1629" s="17">
        <f>IF(O1629&gt;0,H1629/O1629,"")</f>
        <v/>
      </c>
    </row>
    <row r="1630">
      <c r="A1630" s="13" t="inlineStr">
        <is>
          <t>CE12_B1</t>
        </is>
      </c>
      <c r="B1630" s="13" t="inlineStr">
        <is>
          <t>CE12</t>
        </is>
      </c>
      <c r="C1630" s="13" t="inlineStr">
        <is>
          <t>B1</t>
        </is>
      </c>
      <c r="D1630" s="13" t="n">
        <v>0</v>
      </c>
      <c r="E1630" s="13" t="inlineStr">
        <is>
          <t>E</t>
        </is>
      </c>
      <c r="F1630" s="13" t="n">
        <v>2024</v>
      </c>
      <c r="G1630" s="14" t="n">
        <v>1000562.636214911</v>
      </c>
      <c r="H1630" s="14" t="n">
        <v>261801.2584165387</v>
      </c>
      <c r="I1630" s="14" t="n">
        <v>365101.5040979722</v>
      </c>
      <c r="J1630" s="14" t="n">
        <v>0</v>
      </c>
      <c r="K1630" s="14" t="n">
        <v>189433.0965983971</v>
      </c>
      <c r="L1630" s="14" t="n">
        <v>184226.7771020029</v>
      </c>
      <c r="M1630" s="14" t="n">
        <v>0</v>
      </c>
      <c r="N1630" s="14" t="n">
        <v>170439.1408018823</v>
      </c>
      <c r="O1630" s="14" t="n">
        <v>833178.1723298614</v>
      </c>
      <c r="P1630" s="14" t="n">
        <v>51235.76004282634</v>
      </c>
      <c r="Q1630" s="14" t="n">
        <v>6135398.702578736</v>
      </c>
      <c r="R1630" s="15">
        <f>IF(D1630=1,"Section 1","Control")</f>
        <v/>
      </c>
      <c r="S1630" s="16">
        <f>N1630/10000</f>
        <v/>
      </c>
      <c r="T1630" s="16">
        <f>P1630/10000</f>
        <v/>
      </c>
      <c r="U1630" s="15">
        <f>IF(N1630&gt;=Summary!$D$3,1,0)</f>
        <v/>
      </c>
      <c r="V1630" s="17">
        <f>IF(N1630&gt;0,P1630/N1630,"")</f>
        <v/>
      </c>
      <c r="W1630" s="17">
        <f>IF(O1630&gt;0,H1630/O1630,"")</f>
        <v/>
      </c>
    </row>
    <row r="1631">
      <c r="A1631" s="13" t="inlineStr">
        <is>
          <t>CE12_B1</t>
        </is>
      </c>
      <c r="B1631" s="13" t="inlineStr">
        <is>
          <t>CE12</t>
        </is>
      </c>
      <c r="C1631" s="13" t="inlineStr">
        <is>
          <t>B1</t>
        </is>
      </c>
      <c r="D1631" s="13" t="n">
        <v>0</v>
      </c>
      <c r="E1631" s="13" t="inlineStr">
        <is>
          <t>E</t>
        </is>
      </c>
      <c r="F1631" s="13" t="n">
        <v>2025</v>
      </c>
      <c r="G1631" s="14" t="n">
        <v>1000562.636214911</v>
      </c>
      <c r="H1631" s="14" t="n">
        <v>266487.1643642052</v>
      </c>
      <c r="I1631" s="14" t="n">
        <v>369159.6693004533</v>
      </c>
      <c r="J1631" s="14" t="n">
        <v>0</v>
      </c>
      <c r="K1631" s="14" t="n">
        <v>160550.7531571033</v>
      </c>
      <c r="L1631" s="14" t="n">
        <v>204365.0493931489</v>
      </c>
      <c r="M1631" s="14" t="n">
        <v>0</v>
      </c>
      <c r="N1631" s="14" t="n">
        <v>170439.1408018823</v>
      </c>
      <c r="O1631" s="14" t="n">
        <v>833178.1723298614</v>
      </c>
      <c r="P1631" s="14" t="n">
        <v>47009.06199053596</v>
      </c>
      <c r="Q1631" s="14" t="n">
        <v>6135398.702578736</v>
      </c>
      <c r="R1631" s="15">
        <f>IF(D1631=1,"Section 1","Control")</f>
        <v/>
      </c>
      <c r="S1631" s="16">
        <f>N1631/10000</f>
        <v/>
      </c>
      <c r="T1631" s="16">
        <f>P1631/10000</f>
        <v/>
      </c>
      <c r="U1631" s="15">
        <f>IF(N1631&gt;=Summary!$D$3,1,0)</f>
        <v/>
      </c>
      <c r="V1631" s="17">
        <f>IF(N1631&gt;0,P1631/N1631,"")</f>
        <v/>
      </c>
      <c r="W1631" s="17">
        <f>IF(O1631&gt;0,H1631/O1631,"")</f>
        <v/>
      </c>
    </row>
    <row r="1632">
      <c r="A1632" s="13" t="inlineStr">
        <is>
          <t>CE12_B1</t>
        </is>
      </c>
      <c r="B1632" s="13" t="inlineStr">
        <is>
          <t>CE12</t>
        </is>
      </c>
      <c r="C1632" s="13" t="inlineStr">
        <is>
          <t>B1</t>
        </is>
      </c>
      <c r="D1632" s="13" t="n">
        <v>0</v>
      </c>
      <c r="E1632" s="13" t="inlineStr">
        <is>
          <t>E</t>
        </is>
      </c>
      <c r="F1632" s="13" t="n">
        <v>2026</v>
      </c>
      <c r="G1632" s="14" t="n">
        <v>1000562.636214911</v>
      </c>
      <c r="H1632" s="14" t="n">
        <v>258789.1117378684</v>
      </c>
      <c r="I1632" s="14" t="n">
        <v>304767.6292913997</v>
      </c>
      <c r="J1632" s="14" t="n">
        <v>0</v>
      </c>
      <c r="K1632" s="14" t="n">
        <v>244892.8456433464</v>
      </c>
      <c r="L1632" s="14" t="n">
        <v>192113.0495422961</v>
      </c>
      <c r="M1632" s="14" t="n">
        <v>0</v>
      </c>
      <c r="N1632" s="14" t="n">
        <v>170439.1408018822</v>
      </c>
      <c r="O1632" s="14" t="n">
        <v>833178.1723298614</v>
      </c>
      <c r="P1632" s="14" t="n">
        <v>44920.28852766448</v>
      </c>
      <c r="Q1632" s="14" t="n">
        <v>6135398.702578736</v>
      </c>
      <c r="R1632" s="15">
        <f>IF(D1632=1,"Section 1","Control")</f>
        <v/>
      </c>
      <c r="S1632" s="16">
        <f>N1632/10000</f>
        <v/>
      </c>
      <c r="T1632" s="16">
        <f>P1632/10000</f>
        <v/>
      </c>
      <c r="U1632" s="15">
        <f>IF(N1632&gt;=Summary!$D$3,1,0)</f>
        <v/>
      </c>
      <c r="V1632" s="17">
        <f>IF(N1632&gt;0,P1632/N1632,"")</f>
        <v/>
      </c>
      <c r="W1632" s="17">
        <f>IF(O1632&gt;0,H1632/O1632,"")</f>
        <v/>
      </c>
    </row>
    <row r="1633">
      <c r="A1633" s="13" t="inlineStr">
        <is>
          <t>CE12_B2</t>
        </is>
      </c>
      <c r="B1633" s="13" t="inlineStr">
        <is>
          <t>CE12</t>
        </is>
      </c>
      <c r="C1633" s="13" t="inlineStr">
        <is>
          <t>B2</t>
        </is>
      </c>
      <c r="D1633" s="13" t="n">
        <v>0</v>
      </c>
      <c r="E1633" s="13" t="inlineStr">
        <is>
          <t>E</t>
        </is>
      </c>
      <c r="F1633" s="13" t="n">
        <v>2020</v>
      </c>
      <c r="G1633" s="14" t="n">
        <v>1000078.273143095</v>
      </c>
      <c r="H1633" s="14" t="n">
        <v>420685.761619927</v>
      </c>
      <c r="I1633" s="14" t="n">
        <v>74257.87262441598</v>
      </c>
      <c r="J1633" s="14" t="n">
        <v>0</v>
      </c>
      <c r="K1633" s="14" t="n">
        <v>5373.820935118432</v>
      </c>
      <c r="L1633" s="14" t="n">
        <v>499760.8179636337</v>
      </c>
      <c r="M1633" s="14" t="n">
        <v>0</v>
      </c>
      <c r="N1633" s="14" t="n">
        <v>420685.761619927</v>
      </c>
      <c r="O1633" s="14" t="n">
        <v>500317.4551794614</v>
      </c>
      <c r="P1633" s="14" t="n">
        <v>0</v>
      </c>
      <c r="Q1633" s="14" t="n">
        <v>4434091.258210486</v>
      </c>
      <c r="R1633" s="15">
        <f>IF(D1633=1,"Section 1","Control")</f>
        <v/>
      </c>
      <c r="S1633" s="16">
        <f>N1633/10000</f>
        <v/>
      </c>
      <c r="T1633" s="16">
        <f>P1633/10000</f>
        <v/>
      </c>
      <c r="U1633" s="15">
        <f>IF(N1633&gt;=Summary!$D$3,1,0)</f>
        <v/>
      </c>
      <c r="V1633" s="17">
        <f>IF(N1633&gt;0,P1633/N1633,"")</f>
        <v/>
      </c>
      <c r="W1633" s="17">
        <f>IF(O1633&gt;0,H1633/O1633,"")</f>
        <v/>
      </c>
    </row>
    <row r="1634">
      <c r="A1634" s="13" t="inlineStr">
        <is>
          <t>CE12_B2</t>
        </is>
      </c>
      <c r="B1634" s="13" t="inlineStr">
        <is>
          <t>CE12</t>
        </is>
      </c>
      <c r="C1634" s="13" t="inlineStr">
        <is>
          <t>B2</t>
        </is>
      </c>
      <c r="D1634" s="13" t="n">
        <v>0</v>
      </c>
      <c r="E1634" s="13" t="inlineStr">
        <is>
          <t>E</t>
        </is>
      </c>
      <c r="F1634" s="13" t="n">
        <v>2021</v>
      </c>
      <c r="G1634" s="14" t="n">
        <v>1000078.273143095</v>
      </c>
      <c r="H1634" s="14" t="n">
        <v>295393.0841875861</v>
      </c>
      <c r="I1634" s="14" t="n">
        <v>166276.578981796</v>
      </c>
      <c r="J1634" s="14" t="n">
        <v>0</v>
      </c>
      <c r="K1634" s="14" t="n">
        <v>38647.79201007918</v>
      </c>
      <c r="L1634" s="14" t="n">
        <v>499760.8179636337</v>
      </c>
      <c r="M1634" s="14" t="n">
        <v>0</v>
      </c>
      <c r="N1634" s="14" t="n">
        <v>420685.761619927</v>
      </c>
      <c r="O1634" s="14" t="n">
        <v>500317.4551794614</v>
      </c>
      <c r="P1634" s="14" t="n">
        <v>134168.3968447816</v>
      </c>
      <c r="Q1634" s="14" t="n">
        <v>4434091.258210486</v>
      </c>
      <c r="R1634" s="15">
        <f>IF(D1634=1,"Section 1","Control")</f>
        <v/>
      </c>
      <c r="S1634" s="16">
        <f>N1634/10000</f>
        <v/>
      </c>
      <c r="T1634" s="16">
        <f>P1634/10000</f>
        <v/>
      </c>
      <c r="U1634" s="15">
        <f>IF(N1634&gt;=Summary!$D$3,1,0)</f>
        <v/>
      </c>
      <c r="V1634" s="17">
        <f>IF(N1634&gt;0,P1634/N1634,"")</f>
        <v/>
      </c>
      <c r="W1634" s="17">
        <f>IF(O1634&gt;0,H1634/O1634,"")</f>
        <v/>
      </c>
    </row>
    <row r="1635">
      <c r="A1635" s="13" t="inlineStr">
        <is>
          <t>CE12_B2</t>
        </is>
      </c>
      <c r="B1635" s="13" t="inlineStr">
        <is>
          <t>CE12</t>
        </is>
      </c>
      <c r="C1635" s="13" t="inlineStr">
        <is>
          <t>B2</t>
        </is>
      </c>
      <c r="D1635" s="13" t="n">
        <v>0</v>
      </c>
      <c r="E1635" s="13" t="inlineStr">
        <is>
          <t>E</t>
        </is>
      </c>
      <c r="F1635" s="13" t="n">
        <v>2022</v>
      </c>
      <c r="G1635" s="14" t="n">
        <v>1000078.273143095</v>
      </c>
      <c r="H1635" s="14" t="n">
        <v>335350.0860941868</v>
      </c>
      <c r="I1635" s="14" t="n">
        <v>120262.407669576</v>
      </c>
      <c r="J1635" s="14" t="n">
        <v>0</v>
      </c>
      <c r="K1635" s="14" t="n">
        <v>44704.96141569849</v>
      </c>
      <c r="L1635" s="14" t="n">
        <v>499760.8179636337</v>
      </c>
      <c r="M1635" s="14" t="n">
        <v>0</v>
      </c>
      <c r="N1635" s="14" t="n">
        <v>420685.761619927</v>
      </c>
      <c r="O1635" s="14" t="n">
        <v>500317.4551794614</v>
      </c>
      <c r="P1635" s="14" t="n">
        <v>104170.8065130795</v>
      </c>
      <c r="Q1635" s="14" t="n">
        <v>4434091.258210486</v>
      </c>
      <c r="R1635" s="15">
        <f>IF(D1635=1,"Section 1","Control")</f>
        <v/>
      </c>
      <c r="S1635" s="16">
        <f>N1635/10000</f>
        <v/>
      </c>
      <c r="T1635" s="16">
        <f>P1635/10000</f>
        <v/>
      </c>
      <c r="U1635" s="15">
        <f>IF(N1635&gt;=Summary!$D$3,1,0)</f>
        <v/>
      </c>
      <c r="V1635" s="17">
        <f>IF(N1635&gt;0,P1635/N1635,"")</f>
        <v/>
      </c>
      <c r="W1635" s="17">
        <f>IF(O1635&gt;0,H1635/O1635,"")</f>
        <v/>
      </c>
    </row>
    <row r="1636">
      <c r="A1636" s="13" t="inlineStr">
        <is>
          <t>CE12_B2</t>
        </is>
      </c>
      <c r="B1636" s="13" t="inlineStr">
        <is>
          <t>CE12</t>
        </is>
      </c>
      <c r="C1636" s="13" t="inlineStr">
        <is>
          <t>B2</t>
        </is>
      </c>
      <c r="D1636" s="13" t="n">
        <v>0</v>
      </c>
      <c r="E1636" s="13" t="inlineStr">
        <is>
          <t>E</t>
        </is>
      </c>
      <c r="F1636" s="13" t="n">
        <v>2023</v>
      </c>
      <c r="G1636" s="14" t="n">
        <v>1000078.273143095</v>
      </c>
      <c r="H1636" s="14" t="n">
        <v>357648.7002930285</v>
      </c>
      <c r="I1636" s="14" t="n">
        <v>101506.7245408601</v>
      </c>
      <c r="J1636" s="14" t="n">
        <v>0</v>
      </c>
      <c r="K1636" s="14" t="n">
        <v>41162.03034557268</v>
      </c>
      <c r="L1636" s="14" t="n">
        <v>499760.8179636337</v>
      </c>
      <c r="M1636" s="14" t="n">
        <v>0</v>
      </c>
      <c r="N1636" s="14" t="n">
        <v>420685.761619927</v>
      </c>
      <c r="O1636" s="14" t="n">
        <v>500317.4551794614</v>
      </c>
      <c r="P1636" s="14" t="n">
        <v>85005.11459742526</v>
      </c>
      <c r="Q1636" s="14" t="n">
        <v>4434091.258210486</v>
      </c>
      <c r="R1636" s="15">
        <f>IF(D1636=1,"Section 1","Control")</f>
        <v/>
      </c>
      <c r="S1636" s="16">
        <f>N1636/10000</f>
        <v/>
      </c>
      <c r="T1636" s="16">
        <f>P1636/10000</f>
        <v/>
      </c>
      <c r="U1636" s="15">
        <f>IF(N1636&gt;=Summary!$D$3,1,0)</f>
        <v/>
      </c>
      <c r="V1636" s="17">
        <f>IF(N1636&gt;0,P1636/N1636,"")</f>
        <v/>
      </c>
      <c r="W1636" s="17">
        <f>IF(O1636&gt;0,H1636/O1636,"")</f>
        <v/>
      </c>
    </row>
    <row r="1637">
      <c r="A1637" s="13" t="inlineStr">
        <is>
          <t>CE12_B2</t>
        </is>
      </c>
      <c r="B1637" s="13" t="inlineStr">
        <is>
          <t>CE12</t>
        </is>
      </c>
      <c r="C1637" s="13" t="inlineStr">
        <is>
          <t>B2</t>
        </is>
      </c>
      <c r="D1637" s="13" t="n">
        <v>0</v>
      </c>
      <c r="E1637" s="13" t="inlineStr">
        <is>
          <t>E</t>
        </is>
      </c>
      <c r="F1637" s="13" t="n">
        <v>2024</v>
      </c>
      <c r="G1637" s="14" t="n">
        <v>1000078.273143095</v>
      </c>
      <c r="H1637" s="14" t="n">
        <v>402975.3793305341</v>
      </c>
      <c r="I1637" s="14" t="n">
        <v>54721.99229856004</v>
      </c>
      <c r="J1637" s="14" t="n">
        <v>0</v>
      </c>
      <c r="K1637" s="14" t="n">
        <v>42620.08355036717</v>
      </c>
      <c r="L1637" s="14" t="n">
        <v>499760.8179636337</v>
      </c>
      <c r="M1637" s="14" t="n">
        <v>0</v>
      </c>
      <c r="N1637" s="14" t="n">
        <v>420685.761619927</v>
      </c>
      <c r="O1637" s="14" t="n">
        <v>500317.4551794614</v>
      </c>
      <c r="P1637" s="14" t="n">
        <v>53636.82503931381</v>
      </c>
      <c r="Q1637" s="14" t="n">
        <v>4434091.258210486</v>
      </c>
      <c r="R1637" s="15">
        <f>IF(D1637=1,"Section 1","Control")</f>
        <v/>
      </c>
      <c r="S1637" s="16">
        <f>N1637/10000</f>
        <v/>
      </c>
      <c r="T1637" s="16">
        <f>P1637/10000</f>
        <v/>
      </c>
      <c r="U1637" s="15">
        <f>IF(N1637&gt;=Summary!$D$3,1,0)</f>
        <v/>
      </c>
      <c r="V1637" s="17">
        <f>IF(N1637&gt;0,P1637/N1637,"")</f>
        <v/>
      </c>
      <c r="W1637" s="17">
        <f>IF(O1637&gt;0,H1637/O1637,"")</f>
        <v/>
      </c>
    </row>
    <row r="1638">
      <c r="A1638" s="13" t="inlineStr">
        <is>
          <t>CE12_B2</t>
        </is>
      </c>
      <c r="B1638" s="13" t="inlineStr">
        <is>
          <t>CE12</t>
        </is>
      </c>
      <c r="C1638" s="13" t="inlineStr">
        <is>
          <t>B2</t>
        </is>
      </c>
      <c r="D1638" s="13" t="n">
        <v>0</v>
      </c>
      <c r="E1638" s="13" t="inlineStr">
        <is>
          <t>E</t>
        </is>
      </c>
      <c r="F1638" s="13" t="n">
        <v>2025</v>
      </c>
      <c r="G1638" s="14" t="n">
        <v>1000078.273143095</v>
      </c>
      <c r="H1638" s="14" t="n">
        <v>408808.8067469877</v>
      </c>
      <c r="I1638" s="14" t="n">
        <v>57368.22296528533</v>
      </c>
      <c r="J1638" s="14" t="n">
        <v>0</v>
      </c>
      <c r="K1638" s="14" t="n">
        <v>34140.42546718822</v>
      </c>
      <c r="L1638" s="14" t="n">
        <v>499760.8179636337</v>
      </c>
      <c r="M1638" s="14" t="n">
        <v>0</v>
      </c>
      <c r="N1638" s="14" t="n">
        <v>420685.761619927</v>
      </c>
      <c r="O1638" s="14" t="n">
        <v>500317.4551794614</v>
      </c>
      <c r="P1638" s="14" t="n">
        <v>57148.73768400304</v>
      </c>
      <c r="Q1638" s="14" t="n">
        <v>4434091.258210486</v>
      </c>
      <c r="R1638" s="15">
        <f>IF(D1638=1,"Section 1","Control")</f>
        <v/>
      </c>
      <c r="S1638" s="16">
        <f>N1638/10000</f>
        <v/>
      </c>
      <c r="T1638" s="16">
        <f>P1638/10000</f>
        <v/>
      </c>
      <c r="U1638" s="15">
        <f>IF(N1638&gt;=Summary!$D$3,1,0)</f>
        <v/>
      </c>
      <c r="V1638" s="17">
        <f>IF(N1638&gt;0,P1638/N1638,"")</f>
        <v/>
      </c>
      <c r="W1638" s="17">
        <f>IF(O1638&gt;0,H1638/O1638,"")</f>
        <v/>
      </c>
    </row>
    <row r="1639">
      <c r="A1639" s="13" t="inlineStr">
        <is>
          <t>CE12_B2</t>
        </is>
      </c>
      <c r="B1639" s="13" t="inlineStr">
        <is>
          <t>CE12</t>
        </is>
      </c>
      <c r="C1639" s="13" t="inlineStr">
        <is>
          <t>B2</t>
        </is>
      </c>
      <c r="D1639" s="13" t="n">
        <v>0</v>
      </c>
      <c r="E1639" s="13" t="inlineStr">
        <is>
          <t>E</t>
        </is>
      </c>
      <c r="F1639" s="13" t="n">
        <v>2026</v>
      </c>
      <c r="G1639" s="14" t="n">
        <v>1000078.273143095</v>
      </c>
      <c r="H1639" s="14" t="n">
        <v>394953.0335348989</v>
      </c>
      <c r="I1639" s="14" t="n">
        <v>52158.55465973498</v>
      </c>
      <c r="J1639" s="14" t="n">
        <v>0</v>
      </c>
      <c r="K1639" s="14" t="n">
        <v>53205.86698482737</v>
      </c>
      <c r="L1639" s="14" t="n">
        <v>499760.8179636337</v>
      </c>
      <c r="M1639" s="14" t="n">
        <v>0</v>
      </c>
      <c r="N1639" s="14" t="n">
        <v>420685.761619927</v>
      </c>
      <c r="O1639" s="14" t="n">
        <v>500317.4551794614</v>
      </c>
      <c r="P1639" s="14" t="n">
        <v>63863.68116921817</v>
      </c>
      <c r="Q1639" s="14" t="n">
        <v>4434091.258210486</v>
      </c>
      <c r="R1639" s="15">
        <f>IF(D1639=1,"Section 1","Control")</f>
        <v/>
      </c>
      <c r="S1639" s="16">
        <f>N1639/10000</f>
        <v/>
      </c>
      <c r="T1639" s="16">
        <f>P1639/10000</f>
        <v/>
      </c>
      <c r="U1639" s="15">
        <f>IF(N1639&gt;=Summary!$D$3,1,0)</f>
        <v/>
      </c>
      <c r="V1639" s="17">
        <f>IF(N1639&gt;0,P1639/N1639,"")</f>
        <v/>
      </c>
      <c r="W1639" s="17">
        <f>IF(O1639&gt;0,H1639/O1639,"")</f>
        <v/>
      </c>
    </row>
    <row r="1640">
      <c r="A1640" s="13" t="inlineStr">
        <is>
          <t>CE12_B3</t>
        </is>
      </c>
      <c r="B1640" s="13" t="inlineStr">
        <is>
          <t>CE12</t>
        </is>
      </c>
      <c r="C1640" s="13" t="inlineStr">
        <is>
          <t>B3</t>
        </is>
      </c>
      <c r="D1640" s="13" t="n">
        <v>0</v>
      </c>
      <c r="E1640" s="13" t="inlineStr">
        <is>
          <t>E</t>
        </is>
      </c>
      <c r="F1640" s="13" t="n">
        <v>2020</v>
      </c>
      <c r="G1640" s="14" t="n">
        <v>8003026.182203017</v>
      </c>
      <c r="H1640" s="14" t="n">
        <v>1745239.876994264</v>
      </c>
      <c r="I1640" s="14" t="n">
        <v>378350.5825288062</v>
      </c>
      <c r="J1640" s="14" t="n">
        <v>0</v>
      </c>
      <c r="K1640" s="14" t="n">
        <v>140226.6349304798</v>
      </c>
      <c r="L1640" s="14" t="n">
        <v>5739209.087749465</v>
      </c>
      <c r="M1640" s="14" t="n">
        <v>0</v>
      </c>
      <c r="N1640" s="14" t="n">
        <v>1745239.876994264</v>
      </c>
      <c r="O1640" s="14" t="n">
        <v>2263817.09445355</v>
      </c>
      <c r="P1640" s="14" t="n">
        <v>0</v>
      </c>
      <c r="Q1640" s="14" t="n">
        <v>17271580.48065164</v>
      </c>
      <c r="R1640" s="15">
        <f>IF(D1640=1,"Section 1","Control")</f>
        <v/>
      </c>
      <c r="S1640" s="16">
        <f>N1640/10000</f>
        <v/>
      </c>
      <c r="T1640" s="16">
        <f>P1640/10000</f>
        <v/>
      </c>
      <c r="U1640" s="15">
        <f>IF(N1640&gt;=Summary!$D$3,1,0)</f>
        <v/>
      </c>
      <c r="V1640" s="17">
        <f>IF(N1640&gt;0,P1640/N1640,"")</f>
        <v/>
      </c>
      <c r="W1640" s="17">
        <f>IF(O1640&gt;0,H1640/O1640,"")</f>
        <v/>
      </c>
    </row>
    <row r="1641">
      <c r="A1641" s="13" t="inlineStr">
        <is>
          <t>CE12_B3</t>
        </is>
      </c>
      <c r="B1641" s="13" t="inlineStr">
        <is>
          <t>CE12</t>
        </is>
      </c>
      <c r="C1641" s="13" t="inlineStr">
        <is>
          <t>B3</t>
        </is>
      </c>
      <c r="D1641" s="13" t="n">
        <v>0</v>
      </c>
      <c r="E1641" s="13" t="inlineStr">
        <is>
          <t>E</t>
        </is>
      </c>
      <c r="F1641" s="13" t="n">
        <v>2021</v>
      </c>
      <c r="G1641" s="14" t="n">
        <v>8003026.182203019</v>
      </c>
      <c r="H1641" s="14" t="n">
        <v>1605368.42928015</v>
      </c>
      <c r="I1641" s="14" t="n">
        <v>368280.1776132322</v>
      </c>
      <c r="J1641" s="14" t="n">
        <v>0</v>
      </c>
      <c r="K1641" s="14" t="n">
        <v>462048.6826073441</v>
      </c>
      <c r="L1641" s="14" t="n">
        <v>5567328.892702288</v>
      </c>
      <c r="M1641" s="14" t="n">
        <v>0</v>
      </c>
      <c r="N1641" s="14" t="n">
        <v>1745239.876994264</v>
      </c>
      <c r="O1641" s="14" t="n">
        <v>2263817.09445355</v>
      </c>
      <c r="P1641" s="14" t="n">
        <v>187316.3396443087</v>
      </c>
      <c r="Q1641" s="14" t="n">
        <v>17271580.48065164</v>
      </c>
      <c r="R1641" s="15">
        <f>IF(D1641=1,"Section 1","Control")</f>
        <v/>
      </c>
      <c r="S1641" s="16">
        <f>N1641/10000</f>
        <v/>
      </c>
      <c r="T1641" s="16">
        <f>P1641/10000</f>
        <v/>
      </c>
      <c r="U1641" s="15">
        <f>IF(N1641&gt;=Summary!$D$3,1,0)</f>
        <v/>
      </c>
      <c r="V1641" s="17">
        <f>IF(N1641&gt;0,P1641/N1641,"")</f>
        <v/>
      </c>
      <c r="W1641" s="17">
        <f>IF(O1641&gt;0,H1641/O1641,"")</f>
        <v/>
      </c>
    </row>
    <row r="1642">
      <c r="A1642" s="13" t="inlineStr">
        <is>
          <t>CE12_B3</t>
        </is>
      </c>
      <c r="B1642" s="13" t="inlineStr">
        <is>
          <t>CE12</t>
        </is>
      </c>
      <c r="C1642" s="13" t="inlineStr">
        <is>
          <t>B3</t>
        </is>
      </c>
      <c r="D1642" s="13" t="n">
        <v>0</v>
      </c>
      <c r="E1642" s="13" t="inlineStr">
        <is>
          <t>E</t>
        </is>
      </c>
      <c r="F1642" s="13" t="n">
        <v>2022</v>
      </c>
      <c r="G1642" s="14" t="n">
        <v>8003026.182203017</v>
      </c>
      <c r="H1642" s="14" t="n">
        <v>1609521.31706884</v>
      </c>
      <c r="I1642" s="14" t="n">
        <v>361714.3714863497</v>
      </c>
      <c r="J1642" s="14" t="n">
        <v>0</v>
      </c>
      <c r="K1642" s="14" t="n">
        <v>380950.399724145</v>
      </c>
      <c r="L1642" s="14" t="n">
        <v>5650840.09392368</v>
      </c>
      <c r="M1642" s="14" t="n">
        <v>0</v>
      </c>
      <c r="N1642" s="14" t="n">
        <v>1745239.876994264</v>
      </c>
      <c r="O1642" s="14" t="n">
        <v>2263817.09445355</v>
      </c>
      <c r="P1642" s="14" t="n">
        <v>205891.7887816186</v>
      </c>
      <c r="Q1642" s="14" t="n">
        <v>17271580.48065164</v>
      </c>
      <c r="R1642" s="15">
        <f>IF(D1642=1,"Section 1","Control")</f>
        <v/>
      </c>
      <c r="S1642" s="16">
        <f>N1642/10000</f>
        <v/>
      </c>
      <c r="T1642" s="16">
        <f>P1642/10000</f>
        <v/>
      </c>
      <c r="U1642" s="15">
        <f>IF(N1642&gt;=Summary!$D$3,1,0)</f>
        <v/>
      </c>
      <c r="V1642" s="17">
        <f>IF(N1642&gt;0,P1642/N1642,"")</f>
        <v/>
      </c>
      <c r="W1642" s="17">
        <f>IF(O1642&gt;0,H1642/O1642,"")</f>
        <v/>
      </c>
    </row>
    <row r="1643">
      <c r="A1643" s="13" t="inlineStr">
        <is>
          <t>CE12_B3</t>
        </is>
      </c>
      <c r="B1643" s="13" t="inlineStr">
        <is>
          <t>CE12</t>
        </is>
      </c>
      <c r="C1643" s="13" t="inlineStr">
        <is>
          <t>B3</t>
        </is>
      </c>
      <c r="D1643" s="13" t="n">
        <v>0</v>
      </c>
      <c r="E1643" s="13" t="inlineStr">
        <is>
          <t>E</t>
        </is>
      </c>
      <c r="F1643" s="13" t="n">
        <v>2023</v>
      </c>
      <c r="G1643" s="14" t="n">
        <v>8003026.182203019</v>
      </c>
      <c r="H1643" s="14" t="n">
        <v>1578338.139872712</v>
      </c>
      <c r="I1643" s="14" t="n">
        <v>493997.0841499778</v>
      </c>
      <c r="J1643" s="14" t="n">
        <v>0</v>
      </c>
      <c r="K1643" s="14" t="n">
        <v>227226.1489132451</v>
      </c>
      <c r="L1643" s="14" t="n">
        <v>5703464.809267081</v>
      </c>
      <c r="M1643" s="14" t="n">
        <v>0</v>
      </c>
      <c r="N1643" s="14" t="n">
        <v>1745239.876994264</v>
      </c>
      <c r="O1643" s="14" t="n">
        <v>2263817.09445355</v>
      </c>
      <c r="P1643" s="14" t="n">
        <v>259246.4795891855</v>
      </c>
      <c r="Q1643" s="14" t="n">
        <v>17271580.48065164</v>
      </c>
      <c r="R1643" s="15">
        <f>IF(D1643=1,"Section 1","Control")</f>
        <v/>
      </c>
      <c r="S1643" s="16">
        <f>N1643/10000</f>
        <v/>
      </c>
      <c r="T1643" s="16">
        <f>P1643/10000</f>
        <v/>
      </c>
      <c r="U1643" s="15">
        <f>IF(N1643&gt;=Summary!$D$3,1,0)</f>
        <v/>
      </c>
      <c r="V1643" s="17">
        <f>IF(N1643&gt;0,P1643/N1643,"")</f>
        <v/>
      </c>
      <c r="W1643" s="17">
        <f>IF(O1643&gt;0,H1643/O1643,"")</f>
        <v/>
      </c>
    </row>
    <row r="1644">
      <c r="A1644" s="13" t="inlineStr">
        <is>
          <t>CE12_B3</t>
        </is>
      </c>
      <c r="B1644" s="13" t="inlineStr">
        <is>
          <t>CE12</t>
        </is>
      </c>
      <c r="C1644" s="13" t="inlineStr">
        <is>
          <t>B3</t>
        </is>
      </c>
      <c r="D1644" s="13" t="n">
        <v>0</v>
      </c>
      <c r="E1644" s="13" t="inlineStr">
        <is>
          <t>E</t>
        </is>
      </c>
      <c r="F1644" s="13" t="n">
        <v>2024</v>
      </c>
      <c r="G1644" s="14" t="n">
        <v>8003026.182203019</v>
      </c>
      <c r="H1644" s="14" t="n">
        <v>1619681.522683267</v>
      </c>
      <c r="I1644" s="14" t="n">
        <v>423926.1208827898</v>
      </c>
      <c r="J1644" s="14" t="n">
        <v>0</v>
      </c>
      <c r="K1644" s="14" t="n">
        <v>271753.2507923799</v>
      </c>
      <c r="L1644" s="14" t="n">
        <v>5687665.287844579</v>
      </c>
      <c r="M1644" s="14" t="n">
        <v>0</v>
      </c>
      <c r="N1644" s="14" t="n">
        <v>1745239.876994264</v>
      </c>
      <c r="O1644" s="14" t="n">
        <v>2263817.09445355</v>
      </c>
      <c r="P1644" s="14" t="n">
        <v>244218.421245201</v>
      </c>
      <c r="Q1644" s="14" t="n">
        <v>17271580.48065164</v>
      </c>
      <c r="R1644" s="15">
        <f>IF(D1644=1,"Section 1","Control")</f>
        <v/>
      </c>
      <c r="S1644" s="16">
        <f>N1644/10000</f>
        <v/>
      </c>
      <c r="T1644" s="16">
        <f>P1644/10000</f>
        <v/>
      </c>
      <c r="U1644" s="15">
        <f>IF(N1644&gt;=Summary!$D$3,1,0)</f>
        <v/>
      </c>
      <c r="V1644" s="17">
        <f>IF(N1644&gt;0,P1644/N1644,"")</f>
        <v/>
      </c>
      <c r="W1644" s="17">
        <f>IF(O1644&gt;0,H1644/O1644,"")</f>
        <v/>
      </c>
    </row>
    <row r="1645">
      <c r="A1645" s="13" t="inlineStr">
        <is>
          <t>CE12_B3</t>
        </is>
      </c>
      <c r="B1645" s="13" t="inlineStr">
        <is>
          <t>CE12</t>
        </is>
      </c>
      <c r="C1645" s="13" t="inlineStr">
        <is>
          <t>B3</t>
        </is>
      </c>
      <c r="D1645" s="13" t="n">
        <v>0</v>
      </c>
      <c r="E1645" s="13" t="inlineStr">
        <is>
          <t>E</t>
        </is>
      </c>
      <c r="F1645" s="13" t="n">
        <v>2025</v>
      </c>
      <c r="G1645" s="14" t="n">
        <v>8003026.182203018</v>
      </c>
      <c r="H1645" s="14" t="n">
        <v>1477116.323806882</v>
      </c>
      <c r="I1645" s="14" t="n">
        <v>581549.8226841646</v>
      </c>
      <c r="J1645" s="14" t="n">
        <v>0</v>
      </c>
      <c r="K1645" s="14" t="n">
        <v>183217.8039076562</v>
      </c>
      <c r="L1645" s="14" t="n">
        <v>5761142.231804312</v>
      </c>
      <c r="M1645" s="14" t="n">
        <v>0</v>
      </c>
      <c r="N1645" s="14" t="n">
        <v>1745239.876994264</v>
      </c>
      <c r="O1645" s="14" t="n">
        <v>2263817.09445355</v>
      </c>
      <c r="P1645" s="14" t="n">
        <v>381706.1164897245</v>
      </c>
      <c r="Q1645" s="14" t="n">
        <v>17271580.48065164</v>
      </c>
      <c r="R1645" s="15">
        <f>IF(D1645=1,"Section 1","Control")</f>
        <v/>
      </c>
      <c r="S1645" s="16">
        <f>N1645/10000</f>
        <v/>
      </c>
      <c r="T1645" s="16">
        <f>P1645/10000</f>
        <v/>
      </c>
      <c r="U1645" s="15">
        <f>IF(N1645&gt;=Summary!$D$3,1,0)</f>
        <v/>
      </c>
      <c r="V1645" s="17">
        <f>IF(N1645&gt;0,P1645/N1645,"")</f>
        <v/>
      </c>
      <c r="W1645" s="17">
        <f>IF(O1645&gt;0,H1645/O1645,"")</f>
        <v/>
      </c>
    </row>
    <row r="1646">
      <c r="A1646" s="13" t="inlineStr">
        <is>
          <t>CE12_B3</t>
        </is>
      </c>
      <c r="B1646" s="13" t="inlineStr">
        <is>
          <t>CE12</t>
        </is>
      </c>
      <c r="C1646" s="13" t="inlineStr">
        <is>
          <t>B3</t>
        </is>
      </c>
      <c r="D1646" s="13" t="n">
        <v>0</v>
      </c>
      <c r="E1646" s="13" t="inlineStr">
        <is>
          <t>E</t>
        </is>
      </c>
      <c r="F1646" s="13" t="n">
        <v>2026</v>
      </c>
      <c r="G1646" s="14" t="n">
        <v>8003026.182203018</v>
      </c>
      <c r="H1646" s="14" t="n">
        <v>1533394.894211593</v>
      </c>
      <c r="I1646" s="14" t="n">
        <v>463929.9166925766</v>
      </c>
      <c r="J1646" s="14" t="n">
        <v>0</v>
      </c>
      <c r="K1646" s="14" t="n">
        <v>217802.45037025</v>
      </c>
      <c r="L1646" s="14" t="n">
        <v>5787898.920928595</v>
      </c>
      <c r="M1646" s="14" t="n">
        <v>0</v>
      </c>
      <c r="N1646" s="14" t="n">
        <v>1745239.876994264</v>
      </c>
      <c r="O1646" s="14" t="n">
        <v>2263817.09445355</v>
      </c>
      <c r="P1646" s="14" t="n">
        <v>336745.7299387912</v>
      </c>
      <c r="Q1646" s="14" t="n">
        <v>17271580.48065164</v>
      </c>
      <c r="R1646" s="15">
        <f>IF(D1646=1,"Section 1","Control")</f>
        <v/>
      </c>
      <c r="S1646" s="16">
        <f>N1646/10000</f>
        <v/>
      </c>
      <c r="T1646" s="16">
        <f>P1646/10000</f>
        <v/>
      </c>
      <c r="U1646" s="15">
        <f>IF(N1646&gt;=Summary!$D$3,1,0)</f>
        <v/>
      </c>
      <c r="V1646" s="17">
        <f>IF(N1646&gt;0,P1646/N1646,"")</f>
        <v/>
      </c>
      <c r="W1646" s="17">
        <f>IF(O1646&gt;0,H1646/O1646,"")</f>
        <v/>
      </c>
    </row>
    <row r="1647">
      <c r="A1647" s="13" t="inlineStr">
        <is>
          <t>CE12_F</t>
        </is>
      </c>
      <c r="B1647" s="13" t="inlineStr">
        <is>
          <t>CE12</t>
        </is>
      </c>
      <c r="C1647" s="13" t="inlineStr">
        <is>
          <t>F</t>
        </is>
      </c>
      <c r="D1647" s="13" t="n">
        <v>0</v>
      </c>
      <c r="E1647" s="13" t="inlineStr">
        <is>
          <t>E</t>
        </is>
      </c>
      <c r="F1647" s="13" t="n">
        <v>2020</v>
      </c>
      <c r="G1647" s="14" t="n">
        <v>69275.20407753738</v>
      </c>
      <c r="H1647" s="14" t="n">
        <v>17542.59821971819</v>
      </c>
      <c r="I1647" s="14" t="n">
        <v>27972.11249841428</v>
      </c>
      <c r="J1647" s="14" t="n">
        <v>0</v>
      </c>
      <c r="K1647" s="14" t="n">
        <v>23590.9137178608</v>
      </c>
      <c r="L1647" s="14" t="n">
        <v>169.5796415441176</v>
      </c>
      <c r="M1647" s="14" t="n">
        <v>0</v>
      </c>
      <c r="N1647" s="14" t="n">
        <v>17542.59821971819</v>
      </c>
      <c r="O1647" s="14" t="n">
        <v>69105.62443599326</v>
      </c>
      <c r="P1647" s="14" t="n">
        <v>0</v>
      </c>
      <c r="Q1647" s="14" t="n">
        <v>619727.9818308514</v>
      </c>
      <c r="R1647" s="15">
        <f>IF(D1647=1,"Section 1","Control")</f>
        <v/>
      </c>
      <c r="S1647" s="16">
        <f>N1647/10000</f>
        <v/>
      </c>
      <c r="T1647" s="16">
        <f>P1647/10000</f>
        <v/>
      </c>
      <c r="U1647" s="15">
        <f>IF(N1647&gt;=Summary!$D$3,1,0)</f>
        <v/>
      </c>
      <c r="V1647" s="17">
        <f>IF(N1647&gt;0,P1647/N1647,"")</f>
        <v/>
      </c>
      <c r="W1647" s="17">
        <f>IF(O1647&gt;0,H1647/O1647,"")</f>
        <v/>
      </c>
    </row>
    <row r="1648">
      <c r="A1648" s="13" t="inlineStr">
        <is>
          <t>CE12_F</t>
        </is>
      </c>
      <c r="B1648" s="13" t="inlineStr">
        <is>
          <t>CE12</t>
        </is>
      </c>
      <c r="C1648" s="13" t="inlineStr">
        <is>
          <t>F</t>
        </is>
      </c>
      <c r="D1648" s="13" t="n">
        <v>0</v>
      </c>
      <c r="E1648" s="13" t="inlineStr">
        <is>
          <t>E</t>
        </is>
      </c>
      <c r="F1648" s="13" t="n">
        <v>2021</v>
      </c>
      <c r="G1648" s="14" t="n">
        <v>69275.20407753739</v>
      </c>
      <c r="H1648" s="14" t="n">
        <v>9873.95523035386</v>
      </c>
      <c r="I1648" s="14" t="n">
        <v>21087.1011003382</v>
      </c>
      <c r="J1648" s="14" t="n">
        <v>0</v>
      </c>
      <c r="K1648" s="14" t="n">
        <v>38314.14774684532</v>
      </c>
      <c r="L1648" s="14" t="n">
        <v>0</v>
      </c>
      <c r="M1648" s="14" t="n">
        <v>0</v>
      </c>
      <c r="N1648" s="14" t="n">
        <v>17542.59821971819</v>
      </c>
      <c r="O1648" s="14" t="n">
        <v>69105.62443599328</v>
      </c>
      <c r="P1648" s="14" t="n">
        <v>9094.196015451467</v>
      </c>
      <c r="Q1648" s="14" t="n">
        <v>619727.9818308514</v>
      </c>
      <c r="R1648" s="15">
        <f>IF(D1648=1,"Section 1","Control")</f>
        <v/>
      </c>
      <c r="S1648" s="16">
        <f>N1648/10000</f>
        <v/>
      </c>
      <c r="T1648" s="16">
        <f>P1648/10000</f>
        <v/>
      </c>
      <c r="U1648" s="15">
        <f>IF(N1648&gt;=Summary!$D$3,1,0)</f>
        <v/>
      </c>
      <c r="V1648" s="17">
        <f>IF(N1648&gt;0,P1648/N1648,"")</f>
        <v/>
      </c>
      <c r="W1648" s="17">
        <f>IF(O1648&gt;0,H1648/O1648,"")</f>
        <v/>
      </c>
    </row>
    <row r="1649">
      <c r="A1649" s="13" t="inlineStr">
        <is>
          <t>CE12_F</t>
        </is>
      </c>
      <c r="B1649" s="13" t="inlineStr">
        <is>
          <t>CE12</t>
        </is>
      </c>
      <c r="C1649" s="13" t="inlineStr">
        <is>
          <t>F</t>
        </is>
      </c>
      <c r="D1649" s="13" t="n">
        <v>0</v>
      </c>
      <c r="E1649" s="13" t="inlineStr">
        <is>
          <t>E</t>
        </is>
      </c>
      <c r="F1649" s="13" t="n">
        <v>2022</v>
      </c>
      <c r="G1649" s="14" t="n">
        <v>69275.20407753738</v>
      </c>
      <c r="H1649" s="14" t="n">
        <v>11766.81952191521</v>
      </c>
      <c r="I1649" s="14" t="n">
        <v>16762.43404678643</v>
      </c>
      <c r="J1649" s="14" t="n">
        <v>0</v>
      </c>
      <c r="K1649" s="14" t="n">
        <v>40745.95050883574</v>
      </c>
      <c r="L1649" s="14" t="n">
        <v>0</v>
      </c>
      <c r="M1649" s="14" t="n">
        <v>0</v>
      </c>
      <c r="N1649" s="14" t="n">
        <v>17542.59821971819</v>
      </c>
      <c r="O1649" s="14" t="n">
        <v>69105.62443599326</v>
      </c>
      <c r="P1649" s="14" t="n">
        <v>9019.472887974158</v>
      </c>
      <c r="Q1649" s="14" t="n">
        <v>619727.9818308513</v>
      </c>
      <c r="R1649" s="15">
        <f>IF(D1649=1,"Section 1","Control")</f>
        <v/>
      </c>
      <c r="S1649" s="16">
        <f>N1649/10000</f>
        <v/>
      </c>
      <c r="T1649" s="16">
        <f>P1649/10000</f>
        <v/>
      </c>
      <c r="U1649" s="15">
        <f>IF(N1649&gt;=Summary!$D$3,1,0)</f>
        <v/>
      </c>
      <c r="V1649" s="17">
        <f>IF(N1649&gt;0,P1649/N1649,"")</f>
        <v/>
      </c>
      <c r="W1649" s="17">
        <f>IF(O1649&gt;0,H1649/O1649,"")</f>
        <v/>
      </c>
    </row>
    <row r="1650">
      <c r="A1650" s="13" t="inlineStr">
        <is>
          <t>CE12_F</t>
        </is>
      </c>
      <c r="B1650" s="13" t="inlineStr">
        <is>
          <t>CE12</t>
        </is>
      </c>
      <c r="C1650" s="13" t="inlineStr">
        <is>
          <t>F</t>
        </is>
      </c>
      <c r="D1650" s="13" t="n">
        <v>0</v>
      </c>
      <c r="E1650" s="13" t="inlineStr">
        <is>
          <t>E</t>
        </is>
      </c>
      <c r="F1650" s="13" t="n">
        <v>2023</v>
      </c>
      <c r="G1650" s="14" t="n">
        <v>69275.20407753738</v>
      </c>
      <c r="H1650" s="14" t="n">
        <v>6933.795066474464</v>
      </c>
      <c r="I1650" s="14" t="n">
        <v>29747.66469852223</v>
      </c>
      <c r="J1650" s="14" t="n">
        <v>0</v>
      </c>
      <c r="K1650" s="14" t="n">
        <v>32155.85727676691</v>
      </c>
      <c r="L1650" s="14" t="n">
        <v>437.8870357737821</v>
      </c>
      <c r="M1650" s="14" t="n">
        <v>0</v>
      </c>
      <c r="N1650" s="14" t="n">
        <v>17542.59821971819</v>
      </c>
      <c r="O1650" s="14" t="n">
        <v>69105.62443599326</v>
      </c>
      <c r="P1650" s="14" t="n">
        <v>13946.19148260378</v>
      </c>
      <c r="Q1650" s="14" t="n">
        <v>619727.9818308513</v>
      </c>
      <c r="R1650" s="15">
        <f>IF(D1650=1,"Section 1","Control")</f>
        <v/>
      </c>
      <c r="S1650" s="16">
        <f>N1650/10000</f>
        <v/>
      </c>
      <c r="T1650" s="16">
        <f>P1650/10000</f>
        <v/>
      </c>
      <c r="U1650" s="15">
        <f>IF(N1650&gt;=Summary!$D$3,1,0)</f>
        <v/>
      </c>
      <c r="V1650" s="17">
        <f>IF(N1650&gt;0,P1650/N1650,"")</f>
        <v/>
      </c>
      <c r="W1650" s="17">
        <f>IF(O1650&gt;0,H1650/O1650,"")</f>
        <v/>
      </c>
    </row>
    <row r="1651">
      <c r="A1651" s="13" t="inlineStr">
        <is>
          <t>CE12_F</t>
        </is>
      </c>
      <c r="B1651" s="13" t="inlineStr">
        <is>
          <t>CE12</t>
        </is>
      </c>
      <c r="C1651" s="13" t="inlineStr">
        <is>
          <t>F</t>
        </is>
      </c>
      <c r="D1651" s="13" t="n">
        <v>0</v>
      </c>
      <c r="E1651" s="13" t="inlineStr">
        <is>
          <t>E</t>
        </is>
      </c>
      <c r="F1651" s="13" t="n">
        <v>2024</v>
      </c>
      <c r="G1651" s="14" t="n">
        <v>69275.20407753738</v>
      </c>
      <c r="H1651" s="14" t="n">
        <v>10815.92894406786</v>
      </c>
      <c r="I1651" s="14" t="n">
        <v>21664.75745562385</v>
      </c>
      <c r="J1651" s="14" t="n">
        <v>0</v>
      </c>
      <c r="K1651" s="14" t="n">
        <v>36794.51767784567</v>
      </c>
      <c r="L1651" s="14" t="n">
        <v>0</v>
      </c>
      <c r="M1651" s="14" t="n">
        <v>0</v>
      </c>
      <c r="N1651" s="14" t="n">
        <v>17542.59821971819</v>
      </c>
      <c r="O1651" s="14" t="n">
        <v>69105.62443599326</v>
      </c>
      <c r="P1651" s="14" t="n">
        <v>13528.04954175762</v>
      </c>
      <c r="Q1651" s="14" t="n">
        <v>619727.9818308514</v>
      </c>
      <c r="R1651" s="15">
        <f>IF(D1651=1,"Section 1","Control")</f>
        <v/>
      </c>
      <c r="S1651" s="16">
        <f>N1651/10000</f>
        <v/>
      </c>
      <c r="T1651" s="16">
        <f>P1651/10000</f>
        <v/>
      </c>
      <c r="U1651" s="15">
        <f>IF(N1651&gt;=Summary!$D$3,1,0)</f>
        <v/>
      </c>
      <c r="V1651" s="17">
        <f>IF(N1651&gt;0,P1651/N1651,"")</f>
        <v/>
      </c>
      <c r="W1651" s="17">
        <f>IF(O1651&gt;0,H1651/O1651,"")</f>
        <v/>
      </c>
    </row>
    <row r="1652">
      <c r="A1652" s="13" t="inlineStr">
        <is>
          <t>CE12_F</t>
        </is>
      </c>
      <c r="B1652" s="13" t="inlineStr">
        <is>
          <t>CE12</t>
        </is>
      </c>
      <c r="C1652" s="13" t="inlineStr">
        <is>
          <t>F</t>
        </is>
      </c>
      <c r="D1652" s="13" t="n">
        <v>0</v>
      </c>
      <c r="E1652" s="13" t="inlineStr">
        <is>
          <t>E</t>
        </is>
      </c>
      <c r="F1652" s="13" t="n">
        <v>2025</v>
      </c>
      <c r="G1652" s="14" t="n">
        <v>69275.20407753738</v>
      </c>
      <c r="H1652" s="14" t="n">
        <v>11918.58387430228</v>
      </c>
      <c r="I1652" s="14" t="n">
        <v>24326.92542946011</v>
      </c>
      <c r="J1652" s="14" t="n">
        <v>0</v>
      </c>
      <c r="K1652" s="14" t="n">
        <v>33029.69477377498</v>
      </c>
      <c r="L1652" s="14" t="n">
        <v>0</v>
      </c>
      <c r="M1652" s="14" t="n">
        <v>0</v>
      </c>
      <c r="N1652" s="14" t="n">
        <v>17542.59821971819</v>
      </c>
      <c r="O1652" s="14" t="n">
        <v>69105.62443599326</v>
      </c>
      <c r="P1652" s="14" t="n">
        <v>12930.64860941569</v>
      </c>
      <c r="Q1652" s="14" t="n">
        <v>619727.9818308514</v>
      </c>
      <c r="R1652" s="15">
        <f>IF(D1652=1,"Section 1","Control")</f>
        <v/>
      </c>
      <c r="S1652" s="16">
        <f>N1652/10000</f>
        <v/>
      </c>
      <c r="T1652" s="16">
        <f>P1652/10000</f>
        <v/>
      </c>
      <c r="U1652" s="15">
        <f>IF(N1652&gt;=Summary!$D$3,1,0)</f>
        <v/>
      </c>
      <c r="V1652" s="17">
        <f>IF(N1652&gt;0,P1652/N1652,"")</f>
        <v/>
      </c>
      <c r="W1652" s="17">
        <f>IF(O1652&gt;0,H1652/O1652,"")</f>
        <v/>
      </c>
    </row>
    <row r="1653">
      <c r="A1653" s="13" t="inlineStr">
        <is>
          <t>CE12_F</t>
        </is>
      </c>
      <c r="B1653" s="13" t="inlineStr">
        <is>
          <t>CE12</t>
        </is>
      </c>
      <c r="C1653" s="13" t="inlineStr">
        <is>
          <t>F</t>
        </is>
      </c>
      <c r="D1653" s="13" t="n">
        <v>0</v>
      </c>
      <c r="E1653" s="13" t="inlineStr">
        <is>
          <t>E</t>
        </is>
      </c>
      <c r="F1653" s="13" t="n">
        <v>2026</v>
      </c>
      <c r="G1653" s="14" t="n">
        <v>69275.20407753738</v>
      </c>
      <c r="H1653" s="14" t="n">
        <v>12683.6307987288</v>
      </c>
      <c r="I1653" s="14" t="n">
        <v>11098.94285403981</v>
      </c>
      <c r="J1653" s="14" t="n">
        <v>0</v>
      </c>
      <c r="K1653" s="14" t="n">
        <v>45492.63042476878</v>
      </c>
      <c r="L1653" s="14" t="n">
        <v>0</v>
      </c>
      <c r="M1653" s="14" t="n">
        <v>0</v>
      </c>
      <c r="N1653" s="14" t="n">
        <v>17542.59821971819</v>
      </c>
      <c r="O1653" s="14" t="n">
        <v>69105.62443599326</v>
      </c>
      <c r="P1653" s="14" t="n">
        <v>10995.58009380266</v>
      </c>
      <c r="Q1653" s="14" t="n">
        <v>619727.9818308514</v>
      </c>
      <c r="R1653" s="15">
        <f>IF(D1653=1,"Section 1","Control")</f>
        <v/>
      </c>
      <c r="S1653" s="16">
        <f>N1653/10000</f>
        <v/>
      </c>
      <c r="T1653" s="16">
        <f>P1653/10000</f>
        <v/>
      </c>
      <c r="U1653" s="15">
        <f>IF(N1653&gt;=Summary!$D$3,1,0)</f>
        <v/>
      </c>
      <c r="V1653" s="17">
        <f>IF(N1653&gt;0,P1653/N1653,"")</f>
        <v/>
      </c>
      <c r="W1653" s="17">
        <f>IF(O1653&gt;0,H1653/O1653,"")</f>
        <v/>
      </c>
    </row>
    <row r="1654">
      <c r="A1654" s="13" t="inlineStr">
        <is>
          <t>CE13_B1</t>
        </is>
      </c>
      <c r="B1654" s="13" t="inlineStr">
        <is>
          <t>CE13</t>
        </is>
      </c>
      <c r="C1654" s="13" t="inlineStr">
        <is>
          <t>B1</t>
        </is>
      </c>
      <c r="D1654" s="13" t="n">
        <v>0</v>
      </c>
      <c r="E1654" s="13" t="inlineStr">
        <is>
          <t>E</t>
        </is>
      </c>
      <c r="F1654" s="13" t="n">
        <v>2020</v>
      </c>
      <c r="G1654" s="14" t="n">
        <v>1000754.089847639</v>
      </c>
      <c r="H1654" s="14" t="n">
        <v>297302.9365480909</v>
      </c>
      <c r="I1654" s="14" t="n">
        <v>502063.3222220627</v>
      </c>
      <c r="J1654" s="14" t="n">
        <v>0</v>
      </c>
      <c r="K1654" s="14" t="n">
        <v>46881.29791140089</v>
      </c>
      <c r="L1654" s="14" t="n">
        <v>154506.5331660851</v>
      </c>
      <c r="M1654" s="14" t="n">
        <v>0</v>
      </c>
      <c r="N1654" s="14" t="n">
        <v>297302.9365480909</v>
      </c>
      <c r="O1654" s="14" t="n">
        <v>846247.5566815543</v>
      </c>
      <c r="P1654" s="14" t="n">
        <v>0</v>
      </c>
      <c r="Q1654" s="14" t="n">
        <v>6368984.975303592</v>
      </c>
      <c r="R1654" s="15">
        <f>IF(D1654=1,"Section 1","Control")</f>
        <v/>
      </c>
      <c r="S1654" s="16">
        <f>N1654/10000</f>
        <v/>
      </c>
      <c r="T1654" s="16">
        <f>P1654/10000</f>
        <v/>
      </c>
      <c r="U1654" s="15">
        <f>IF(N1654&gt;=Summary!$D$3,1,0)</f>
        <v/>
      </c>
      <c r="V1654" s="17">
        <f>IF(N1654&gt;0,P1654/N1654,"")</f>
        <v/>
      </c>
      <c r="W1654" s="17">
        <f>IF(O1654&gt;0,H1654/O1654,"")</f>
        <v/>
      </c>
    </row>
    <row r="1655">
      <c r="A1655" s="13" t="inlineStr">
        <is>
          <t>CE13_B1</t>
        </is>
      </c>
      <c r="B1655" s="13" t="inlineStr">
        <is>
          <t>CE13</t>
        </is>
      </c>
      <c r="C1655" s="13" t="inlineStr">
        <is>
          <t>B1</t>
        </is>
      </c>
      <c r="D1655" s="13" t="n">
        <v>0</v>
      </c>
      <c r="E1655" s="13" t="inlineStr">
        <is>
          <t>E</t>
        </is>
      </c>
      <c r="F1655" s="13" t="n">
        <v>2021</v>
      </c>
      <c r="G1655" s="14" t="n">
        <v>1000754.089847639</v>
      </c>
      <c r="H1655" s="14" t="n">
        <v>256704.3921667361</v>
      </c>
      <c r="I1655" s="14" t="n">
        <v>500170.3524919099</v>
      </c>
      <c r="J1655" s="14" t="n">
        <v>0</v>
      </c>
      <c r="K1655" s="14" t="n">
        <v>80777.98879466337</v>
      </c>
      <c r="L1655" s="14" t="n">
        <v>163101.3563943302</v>
      </c>
      <c r="M1655" s="14" t="n">
        <v>0</v>
      </c>
      <c r="N1655" s="14" t="n">
        <v>297302.9365480909</v>
      </c>
      <c r="O1655" s="14" t="n">
        <v>846247.5566815543</v>
      </c>
      <c r="P1655" s="14" t="n">
        <v>73486.0915836409</v>
      </c>
      <c r="Q1655" s="14" t="n">
        <v>6368984.975303592</v>
      </c>
      <c r="R1655" s="15">
        <f>IF(D1655=1,"Section 1","Control")</f>
        <v/>
      </c>
      <c r="S1655" s="16">
        <f>N1655/10000</f>
        <v/>
      </c>
      <c r="T1655" s="16">
        <f>P1655/10000</f>
        <v/>
      </c>
      <c r="U1655" s="15">
        <f>IF(N1655&gt;=Summary!$D$3,1,0)</f>
        <v/>
      </c>
      <c r="V1655" s="17">
        <f>IF(N1655&gt;0,P1655/N1655,"")</f>
        <v/>
      </c>
      <c r="W1655" s="17">
        <f>IF(O1655&gt;0,H1655/O1655,"")</f>
        <v/>
      </c>
    </row>
    <row r="1656">
      <c r="A1656" s="13" t="inlineStr">
        <is>
          <t>CE13_B1</t>
        </is>
      </c>
      <c r="B1656" s="13" t="inlineStr">
        <is>
          <t>CE13</t>
        </is>
      </c>
      <c r="C1656" s="13" t="inlineStr">
        <is>
          <t>B1</t>
        </is>
      </c>
      <c r="D1656" s="13" t="n">
        <v>0</v>
      </c>
      <c r="E1656" s="13" t="inlineStr">
        <is>
          <t>E</t>
        </is>
      </c>
      <c r="F1656" s="13" t="n">
        <v>2022</v>
      </c>
      <c r="G1656" s="14" t="n">
        <v>1000754.089847639</v>
      </c>
      <c r="H1656" s="14" t="n">
        <v>265885.7560175578</v>
      </c>
      <c r="I1656" s="14" t="n">
        <v>494649.4060592953</v>
      </c>
      <c r="J1656" s="14" t="n">
        <v>0</v>
      </c>
      <c r="K1656" s="14" t="n">
        <v>69067.88673493628</v>
      </c>
      <c r="L1656" s="14" t="n">
        <v>171151.0410358504</v>
      </c>
      <c r="M1656" s="14" t="n">
        <v>0</v>
      </c>
      <c r="N1656" s="14" t="n">
        <v>297302.9365480909</v>
      </c>
      <c r="O1656" s="14" t="n">
        <v>846247.5566815543</v>
      </c>
      <c r="P1656" s="14" t="n">
        <v>85475.09689378925</v>
      </c>
      <c r="Q1656" s="14" t="n">
        <v>6368984.975303592</v>
      </c>
      <c r="R1656" s="15">
        <f>IF(D1656=1,"Section 1","Control")</f>
        <v/>
      </c>
      <c r="S1656" s="16">
        <f>N1656/10000</f>
        <v/>
      </c>
      <c r="T1656" s="16">
        <f>P1656/10000</f>
        <v/>
      </c>
      <c r="U1656" s="15">
        <f>IF(N1656&gt;=Summary!$D$3,1,0)</f>
        <v/>
      </c>
      <c r="V1656" s="17">
        <f>IF(N1656&gt;0,P1656/N1656,"")</f>
        <v/>
      </c>
      <c r="W1656" s="17">
        <f>IF(O1656&gt;0,H1656/O1656,"")</f>
        <v/>
      </c>
    </row>
    <row r="1657">
      <c r="A1657" s="13" t="inlineStr">
        <is>
          <t>CE13_B1</t>
        </is>
      </c>
      <c r="B1657" s="13" t="inlineStr">
        <is>
          <t>CE13</t>
        </is>
      </c>
      <c r="C1657" s="13" t="inlineStr">
        <is>
          <t>B1</t>
        </is>
      </c>
      <c r="D1657" s="13" t="n">
        <v>0</v>
      </c>
      <c r="E1657" s="13" t="inlineStr">
        <is>
          <t>E</t>
        </is>
      </c>
      <c r="F1657" s="13" t="n">
        <v>2023</v>
      </c>
      <c r="G1657" s="14" t="n">
        <v>1000754.089847639</v>
      </c>
      <c r="H1657" s="14" t="n">
        <v>258869.3659831627</v>
      </c>
      <c r="I1657" s="14" t="n">
        <v>497619.3386301678</v>
      </c>
      <c r="J1657" s="14" t="n">
        <v>0</v>
      </c>
      <c r="K1657" s="14" t="n">
        <v>56173.64476898793</v>
      </c>
      <c r="L1657" s="14" t="n">
        <v>188091.7404653213</v>
      </c>
      <c r="M1657" s="14" t="n">
        <v>0</v>
      </c>
      <c r="N1657" s="14" t="n">
        <v>297302.9365480909</v>
      </c>
      <c r="O1657" s="14" t="n">
        <v>846247.5566815543</v>
      </c>
      <c r="P1657" s="14" t="n">
        <v>84859.57873277852</v>
      </c>
      <c r="Q1657" s="14" t="n">
        <v>6368984.975303592</v>
      </c>
      <c r="R1657" s="15">
        <f>IF(D1657=1,"Section 1","Control")</f>
        <v/>
      </c>
      <c r="S1657" s="16">
        <f>N1657/10000</f>
        <v/>
      </c>
      <c r="T1657" s="16">
        <f>P1657/10000</f>
        <v/>
      </c>
      <c r="U1657" s="15">
        <f>IF(N1657&gt;=Summary!$D$3,1,0)</f>
        <v/>
      </c>
      <c r="V1657" s="17">
        <f>IF(N1657&gt;0,P1657/N1657,"")</f>
        <v/>
      </c>
      <c r="W1657" s="17">
        <f>IF(O1657&gt;0,H1657/O1657,"")</f>
        <v/>
      </c>
    </row>
    <row r="1658">
      <c r="A1658" s="13" t="inlineStr">
        <is>
          <t>CE13_B1</t>
        </is>
      </c>
      <c r="B1658" s="13" t="inlineStr">
        <is>
          <t>CE13</t>
        </is>
      </c>
      <c r="C1658" s="13" t="inlineStr">
        <is>
          <t>B1</t>
        </is>
      </c>
      <c r="D1658" s="13" t="n">
        <v>0</v>
      </c>
      <c r="E1658" s="13" t="inlineStr">
        <is>
          <t>E</t>
        </is>
      </c>
      <c r="F1658" s="13" t="n">
        <v>2024</v>
      </c>
      <c r="G1658" s="14" t="n">
        <v>1000754.089847639</v>
      </c>
      <c r="H1658" s="14" t="n">
        <v>340535.761806473</v>
      </c>
      <c r="I1658" s="14" t="n">
        <v>418928.3718034333</v>
      </c>
      <c r="J1658" s="14" t="n">
        <v>0</v>
      </c>
      <c r="K1658" s="14" t="n">
        <v>54295.84787869921</v>
      </c>
      <c r="L1658" s="14" t="n">
        <v>186994.108359034</v>
      </c>
      <c r="M1658" s="14" t="n">
        <v>0</v>
      </c>
      <c r="N1658" s="14" t="n">
        <v>297302.9365480909</v>
      </c>
      <c r="O1658" s="14" t="n">
        <v>846247.5566815543</v>
      </c>
      <c r="P1658" s="14" t="n">
        <v>65360.27876275755</v>
      </c>
      <c r="Q1658" s="14" t="n">
        <v>6368984.975303592</v>
      </c>
      <c r="R1658" s="15">
        <f>IF(D1658=1,"Section 1","Control")</f>
        <v/>
      </c>
      <c r="S1658" s="16">
        <f>N1658/10000</f>
        <v/>
      </c>
      <c r="T1658" s="16">
        <f>P1658/10000</f>
        <v/>
      </c>
      <c r="U1658" s="15">
        <f>IF(N1658&gt;=Summary!$D$3,1,0)</f>
        <v/>
      </c>
      <c r="V1658" s="17">
        <f>IF(N1658&gt;0,P1658/N1658,"")</f>
        <v/>
      </c>
      <c r="W1658" s="17">
        <f>IF(O1658&gt;0,H1658/O1658,"")</f>
        <v/>
      </c>
    </row>
    <row r="1659">
      <c r="A1659" s="13" t="inlineStr">
        <is>
          <t>CE13_B1</t>
        </is>
      </c>
      <c r="B1659" s="13" t="inlineStr">
        <is>
          <t>CE13</t>
        </is>
      </c>
      <c r="C1659" s="13" t="inlineStr">
        <is>
          <t>B1</t>
        </is>
      </c>
      <c r="D1659" s="13" t="n">
        <v>0</v>
      </c>
      <c r="E1659" s="13" t="inlineStr">
        <is>
          <t>E</t>
        </is>
      </c>
      <c r="F1659" s="13" t="n">
        <v>2025</v>
      </c>
      <c r="G1659" s="14" t="n">
        <v>1000754.089847639</v>
      </c>
      <c r="H1659" s="14" t="n">
        <v>369114.32113444</v>
      </c>
      <c r="I1659" s="14" t="n">
        <v>379961.9573646695</v>
      </c>
      <c r="J1659" s="14" t="n">
        <v>0</v>
      </c>
      <c r="K1659" s="14" t="n">
        <v>51730.49225484811</v>
      </c>
      <c r="L1659" s="14" t="n">
        <v>199947.3190936818</v>
      </c>
      <c r="M1659" s="14" t="n">
        <v>0</v>
      </c>
      <c r="N1659" s="14" t="n">
        <v>297302.9365480909</v>
      </c>
      <c r="O1659" s="14" t="n">
        <v>846247.5566815543</v>
      </c>
      <c r="P1659" s="14" t="n">
        <v>67571.91529687619</v>
      </c>
      <c r="Q1659" s="14" t="n">
        <v>6368984.975303592</v>
      </c>
      <c r="R1659" s="15">
        <f>IF(D1659=1,"Section 1","Control")</f>
        <v/>
      </c>
      <c r="S1659" s="16">
        <f>N1659/10000</f>
        <v/>
      </c>
      <c r="T1659" s="16">
        <f>P1659/10000</f>
        <v/>
      </c>
      <c r="U1659" s="15">
        <f>IF(N1659&gt;=Summary!$D$3,1,0)</f>
        <v/>
      </c>
      <c r="V1659" s="17">
        <f>IF(N1659&gt;0,P1659/N1659,"")</f>
        <v/>
      </c>
      <c r="W1659" s="17">
        <f>IF(O1659&gt;0,H1659/O1659,"")</f>
        <v/>
      </c>
    </row>
    <row r="1660">
      <c r="A1660" s="13" t="inlineStr">
        <is>
          <t>CE13_B1</t>
        </is>
      </c>
      <c r="B1660" s="13" t="inlineStr">
        <is>
          <t>CE13</t>
        </is>
      </c>
      <c r="C1660" s="13" t="inlineStr">
        <is>
          <t>B1</t>
        </is>
      </c>
      <c r="D1660" s="13" t="n">
        <v>0</v>
      </c>
      <c r="E1660" s="13" t="inlineStr">
        <is>
          <t>E</t>
        </is>
      </c>
      <c r="F1660" s="13" t="n">
        <v>2026</v>
      </c>
      <c r="G1660" s="14" t="n">
        <v>1000754.089847639</v>
      </c>
      <c r="H1660" s="14" t="n">
        <v>348691.3969793881</v>
      </c>
      <c r="I1660" s="14" t="n">
        <v>389766.8018219892</v>
      </c>
      <c r="J1660" s="14" t="n">
        <v>0</v>
      </c>
      <c r="K1660" s="14" t="n">
        <v>66700.76538806991</v>
      </c>
      <c r="L1660" s="14" t="n">
        <v>195595.1256581924</v>
      </c>
      <c r="M1660" s="14" t="n">
        <v>0</v>
      </c>
      <c r="N1660" s="14" t="n">
        <v>297302.9365480909</v>
      </c>
      <c r="O1660" s="14" t="n">
        <v>846247.5566815543</v>
      </c>
      <c r="P1660" s="14" t="n">
        <v>73859.07647645241</v>
      </c>
      <c r="Q1660" s="14" t="n">
        <v>6368984.975303592</v>
      </c>
      <c r="R1660" s="15">
        <f>IF(D1660=1,"Section 1","Control")</f>
        <v/>
      </c>
      <c r="S1660" s="16">
        <f>N1660/10000</f>
        <v/>
      </c>
      <c r="T1660" s="16">
        <f>P1660/10000</f>
        <v/>
      </c>
      <c r="U1660" s="15">
        <f>IF(N1660&gt;=Summary!$D$3,1,0)</f>
        <v/>
      </c>
      <c r="V1660" s="17">
        <f>IF(N1660&gt;0,P1660/N1660,"")</f>
        <v/>
      </c>
      <c r="W1660" s="17">
        <f>IF(O1660&gt;0,H1660/O1660,"")</f>
        <v/>
      </c>
    </row>
    <row r="1661">
      <c r="A1661" s="13" t="inlineStr">
        <is>
          <t>CE13_B2</t>
        </is>
      </c>
      <c r="B1661" s="13" t="inlineStr">
        <is>
          <t>CE13</t>
        </is>
      </c>
      <c r="C1661" s="13" t="inlineStr">
        <is>
          <t>B2</t>
        </is>
      </c>
      <c r="D1661" s="13" t="n">
        <v>0</v>
      </c>
      <c r="E1661" s="13" t="inlineStr">
        <is>
          <t>E</t>
        </is>
      </c>
      <c r="F1661" s="13" t="n">
        <v>2020</v>
      </c>
      <c r="G1661" s="14" t="n">
        <v>1000480.093373976</v>
      </c>
      <c r="H1661" s="14" t="n">
        <v>69723.7897977642</v>
      </c>
      <c r="I1661" s="14" t="n">
        <v>417991.1773115869</v>
      </c>
      <c r="J1661" s="14" t="n">
        <v>0</v>
      </c>
      <c r="K1661" s="14" t="n">
        <v>7030.501733129165</v>
      </c>
      <c r="L1661" s="14" t="n">
        <v>505734.6245314953</v>
      </c>
      <c r="M1661" s="14" t="n">
        <v>0</v>
      </c>
      <c r="N1661" s="14" t="n">
        <v>69723.7897977642</v>
      </c>
      <c r="O1661" s="14" t="n">
        <v>494745.4688424802</v>
      </c>
      <c r="P1661" s="14" t="n">
        <v>0</v>
      </c>
      <c r="Q1661" s="14" t="n">
        <v>2685601.131965457</v>
      </c>
      <c r="R1661" s="15">
        <f>IF(D1661=1,"Section 1","Control")</f>
        <v/>
      </c>
      <c r="S1661" s="16">
        <f>N1661/10000</f>
        <v/>
      </c>
      <c r="T1661" s="16">
        <f>P1661/10000</f>
        <v/>
      </c>
      <c r="U1661" s="15">
        <f>IF(N1661&gt;=Summary!$D$3,1,0)</f>
        <v/>
      </c>
      <c r="V1661" s="17">
        <f>IF(N1661&gt;0,P1661/N1661,"")</f>
        <v/>
      </c>
      <c r="W1661" s="17">
        <f>IF(O1661&gt;0,H1661/O1661,"")</f>
        <v/>
      </c>
    </row>
    <row r="1662">
      <c r="A1662" s="13" t="inlineStr">
        <is>
          <t>CE13_B2</t>
        </is>
      </c>
      <c r="B1662" s="13" t="inlineStr">
        <is>
          <t>CE13</t>
        </is>
      </c>
      <c r="C1662" s="13" t="inlineStr">
        <is>
          <t>B2</t>
        </is>
      </c>
      <c r="D1662" s="13" t="n">
        <v>0</v>
      </c>
      <c r="E1662" s="13" t="inlineStr">
        <is>
          <t>E</t>
        </is>
      </c>
      <c r="F1662" s="13" t="n">
        <v>2021</v>
      </c>
      <c r="G1662" s="14" t="n">
        <v>1000480.093373976</v>
      </c>
      <c r="H1662" s="14" t="n">
        <v>68311.41665134804</v>
      </c>
      <c r="I1662" s="14" t="n">
        <v>417297.36914248</v>
      </c>
      <c r="J1662" s="14" t="n">
        <v>0</v>
      </c>
      <c r="K1662" s="14" t="n">
        <v>9136.683048652199</v>
      </c>
      <c r="L1662" s="14" t="n">
        <v>505734.6245314952</v>
      </c>
      <c r="M1662" s="14" t="n">
        <v>0</v>
      </c>
      <c r="N1662" s="14" t="n">
        <v>69723.7897977642</v>
      </c>
      <c r="O1662" s="14" t="n">
        <v>494745.4688424802</v>
      </c>
      <c r="P1662" s="14" t="n">
        <v>15122.66750410491</v>
      </c>
      <c r="Q1662" s="14" t="n">
        <v>2685601.131965457</v>
      </c>
      <c r="R1662" s="15">
        <f>IF(D1662=1,"Section 1","Control")</f>
        <v/>
      </c>
      <c r="S1662" s="16">
        <f>N1662/10000</f>
        <v/>
      </c>
      <c r="T1662" s="16">
        <f>P1662/10000</f>
        <v/>
      </c>
      <c r="U1662" s="15">
        <f>IF(N1662&gt;=Summary!$D$3,1,0)</f>
        <v/>
      </c>
      <c r="V1662" s="17">
        <f>IF(N1662&gt;0,P1662/N1662,"")</f>
        <v/>
      </c>
      <c r="W1662" s="17">
        <f>IF(O1662&gt;0,H1662/O1662,"")</f>
        <v/>
      </c>
    </row>
    <row r="1663">
      <c r="A1663" s="13" t="inlineStr">
        <is>
          <t>CE13_B2</t>
        </is>
      </c>
      <c r="B1663" s="13" t="inlineStr">
        <is>
          <t>CE13</t>
        </is>
      </c>
      <c r="C1663" s="13" t="inlineStr">
        <is>
          <t>B2</t>
        </is>
      </c>
      <c r="D1663" s="13" t="n">
        <v>0</v>
      </c>
      <c r="E1663" s="13" t="inlineStr">
        <is>
          <t>E</t>
        </is>
      </c>
      <c r="F1663" s="13" t="n">
        <v>2022</v>
      </c>
      <c r="G1663" s="14" t="n">
        <v>1000480.093373976</v>
      </c>
      <c r="H1663" s="14" t="n">
        <v>105060.7076032452</v>
      </c>
      <c r="I1663" s="14" t="n">
        <v>376228.8694874782</v>
      </c>
      <c r="J1663" s="14" t="n">
        <v>0</v>
      </c>
      <c r="K1663" s="14" t="n">
        <v>13455.89175175685</v>
      </c>
      <c r="L1663" s="14" t="n">
        <v>505734.6245314953</v>
      </c>
      <c r="M1663" s="14" t="n">
        <v>0</v>
      </c>
      <c r="N1663" s="14" t="n">
        <v>69723.7897977642</v>
      </c>
      <c r="O1663" s="14" t="n">
        <v>494745.4688424802</v>
      </c>
      <c r="P1663" s="14" t="n">
        <v>8653.138326218548</v>
      </c>
      <c r="Q1663" s="14" t="n">
        <v>2685601.131965457</v>
      </c>
      <c r="R1663" s="15">
        <f>IF(D1663=1,"Section 1","Control")</f>
        <v/>
      </c>
      <c r="S1663" s="16">
        <f>N1663/10000</f>
        <v/>
      </c>
      <c r="T1663" s="16">
        <f>P1663/10000</f>
        <v/>
      </c>
      <c r="U1663" s="15">
        <f>IF(N1663&gt;=Summary!$D$3,1,0)</f>
        <v/>
      </c>
      <c r="V1663" s="17">
        <f>IF(N1663&gt;0,P1663/N1663,"")</f>
        <v/>
      </c>
      <c r="W1663" s="17">
        <f>IF(O1663&gt;0,H1663/O1663,"")</f>
        <v/>
      </c>
    </row>
    <row r="1664">
      <c r="A1664" s="13" t="inlineStr">
        <is>
          <t>CE13_B2</t>
        </is>
      </c>
      <c r="B1664" s="13" t="inlineStr">
        <is>
          <t>CE13</t>
        </is>
      </c>
      <c r="C1664" s="13" t="inlineStr">
        <is>
          <t>B2</t>
        </is>
      </c>
      <c r="D1664" s="13" t="n">
        <v>0</v>
      </c>
      <c r="E1664" s="13" t="inlineStr">
        <is>
          <t>E</t>
        </is>
      </c>
      <c r="F1664" s="13" t="n">
        <v>2023</v>
      </c>
      <c r="G1664" s="14" t="n">
        <v>1000480.093373976</v>
      </c>
      <c r="H1664" s="14" t="n">
        <v>173677.9181134093</v>
      </c>
      <c r="I1664" s="14" t="n">
        <v>315622.076619885</v>
      </c>
      <c r="J1664" s="14" t="n">
        <v>0</v>
      </c>
      <c r="K1664" s="14" t="n">
        <v>5445.474109185911</v>
      </c>
      <c r="L1664" s="14" t="n">
        <v>505734.6245314953</v>
      </c>
      <c r="M1664" s="14" t="n">
        <v>0</v>
      </c>
      <c r="N1664" s="14" t="n">
        <v>69723.7897977642</v>
      </c>
      <c r="O1664" s="14" t="n">
        <v>494745.4688424802</v>
      </c>
      <c r="P1664" s="14" t="n">
        <v>5167.491605631511</v>
      </c>
      <c r="Q1664" s="14" t="n">
        <v>2685601.131965457</v>
      </c>
      <c r="R1664" s="15">
        <f>IF(D1664=1,"Section 1","Control")</f>
        <v/>
      </c>
      <c r="S1664" s="16">
        <f>N1664/10000</f>
        <v/>
      </c>
      <c r="T1664" s="16">
        <f>P1664/10000</f>
        <v/>
      </c>
      <c r="U1664" s="15">
        <f>IF(N1664&gt;=Summary!$D$3,1,0)</f>
        <v/>
      </c>
      <c r="V1664" s="17">
        <f>IF(N1664&gt;0,P1664/N1664,"")</f>
        <v/>
      </c>
      <c r="W1664" s="17">
        <f>IF(O1664&gt;0,H1664/O1664,"")</f>
        <v/>
      </c>
    </row>
    <row r="1665">
      <c r="A1665" s="13" t="inlineStr">
        <is>
          <t>CE13_B2</t>
        </is>
      </c>
      <c r="B1665" s="13" t="inlineStr">
        <is>
          <t>CE13</t>
        </is>
      </c>
      <c r="C1665" s="13" t="inlineStr">
        <is>
          <t>B2</t>
        </is>
      </c>
      <c r="D1665" s="13" t="n">
        <v>0</v>
      </c>
      <c r="E1665" s="13" t="inlineStr">
        <is>
          <t>E</t>
        </is>
      </c>
      <c r="F1665" s="13" t="n">
        <v>2024</v>
      </c>
      <c r="G1665" s="14" t="n">
        <v>1000480.093373976</v>
      </c>
      <c r="H1665" s="14" t="n">
        <v>198740.2898155661</v>
      </c>
      <c r="I1665" s="14" t="n">
        <v>288486.8284941729</v>
      </c>
      <c r="J1665" s="14" t="n">
        <v>0</v>
      </c>
      <c r="K1665" s="14" t="n">
        <v>7518.350532741173</v>
      </c>
      <c r="L1665" s="14" t="n">
        <v>505734.6245314953</v>
      </c>
      <c r="M1665" s="14" t="n">
        <v>0</v>
      </c>
      <c r="N1665" s="14" t="n">
        <v>69723.7897977642</v>
      </c>
      <c r="O1665" s="14" t="n">
        <v>494745.4688424802</v>
      </c>
      <c r="P1665" s="14" t="n">
        <v>3644.381147227568</v>
      </c>
      <c r="Q1665" s="14" t="n">
        <v>2685601.131965457</v>
      </c>
      <c r="R1665" s="15">
        <f>IF(D1665=1,"Section 1","Control")</f>
        <v/>
      </c>
      <c r="S1665" s="16">
        <f>N1665/10000</f>
        <v/>
      </c>
      <c r="T1665" s="16">
        <f>P1665/10000</f>
        <v/>
      </c>
      <c r="U1665" s="15">
        <f>IF(N1665&gt;=Summary!$D$3,1,0)</f>
        <v/>
      </c>
      <c r="V1665" s="17">
        <f>IF(N1665&gt;0,P1665/N1665,"")</f>
        <v/>
      </c>
      <c r="W1665" s="17">
        <f>IF(O1665&gt;0,H1665/O1665,"")</f>
        <v/>
      </c>
    </row>
    <row r="1666">
      <c r="A1666" s="13" t="inlineStr">
        <is>
          <t>CE13_B2</t>
        </is>
      </c>
      <c r="B1666" s="13" t="inlineStr">
        <is>
          <t>CE13</t>
        </is>
      </c>
      <c r="C1666" s="13" t="inlineStr">
        <is>
          <t>B2</t>
        </is>
      </c>
      <c r="D1666" s="13" t="n">
        <v>0</v>
      </c>
      <c r="E1666" s="13" t="inlineStr">
        <is>
          <t>E</t>
        </is>
      </c>
      <c r="F1666" s="13" t="n">
        <v>2025</v>
      </c>
      <c r="G1666" s="14" t="n">
        <v>1000480.093373976</v>
      </c>
      <c r="H1666" s="14" t="n">
        <v>316775.9624557196</v>
      </c>
      <c r="I1666" s="14" t="n">
        <v>173412.963898453</v>
      </c>
      <c r="J1666" s="14" t="n">
        <v>0</v>
      </c>
      <c r="K1666" s="14" t="n">
        <v>4556.542488307578</v>
      </c>
      <c r="L1666" s="14" t="n">
        <v>505734.6245314953</v>
      </c>
      <c r="M1666" s="14" t="n">
        <v>0</v>
      </c>
      <c r="N1666" s="14" t="n">
        <v>69723.7897977642</v>
      </c>
      <c r="O1666" s="14" t="n">
        <v>494745.4688424802</v>
      </c>
      <c r="P1666" s="14" t="n">
        <v>3289.741944615981</v>
      </c>
      <c r="Q1666" s="14" t="n">
        <v>2685601.131965457</v>
      </c>
      <c r="R1666" s="15">
        <f>IF(D1666=1,"Section 1","Control")</f>
        <v/>
      </c>
      <c r="S1666" s="16">
        <f>N1666/10000</f>
        <v/>
      </c>
      <c r="T1666" s="16">
        <f>P1666/10000</f>
        <v/>
      </c>
      <c r="U1666" s="15">
        <f>IF(N1666&gt;=Summary!$D$3,1,0)</f>
        <v/>
      </c>
      <c r="V1666" s="17">
        <f>IF(N1666&gt;0,P1666/N1666,"")</f>
        <v/>
      </c>
      <c r="W1666" s="17">
        <f>IF(O1666&gt;0,H1666/O1666,"")</f>
        <v/>
      </c>
    </row>
    <row r="1667">
      <c r="A1667" s="13" t="inlineStr">
        <is>
          <t>CE13_B2</t>
        </is>
      </c>
      <c r="B1667" s="13" t="inlineStr">
        <is>
          <t>CE13</t>
        </is>
      </c>
      <c r="C1667" s="13" t="inlineStr">
        <is>
          <t>B2</t>
        </is>
      </c>
      <c r="D1667" s="13" t="n">
        <v>0</v>
      </c>
      <c r="E1667" s="13" t="inlineStr">
        <is>
          <t>E</t>
        </is>
      </c>
      <c r="F1667" s="13" t="n">
        <v>2026</v>
      </c>
      <c r="G1667" s="14" t="n">
        <v>1000480.093373976</v>
      </c>
      <c r="H1667" s="14" t="n">
        <v>250513.0214460485</v>
      </c>
      <c r="I1667" s="14" t="n">
        <v>235951.7785719628</v>
      </c>
      <c r="J1667" s="14" t="n">
        <v>0</v>
      </c>
      <c r="K1667" s="14" t="n">
        <v>8280.668824468874</v>
      </c>
      <c r="L1667" s="14" t="n">
        <v>505734.6245314953</v>
      </c>
      <c r="M1667" s="14" t="n">
        <v>0</v>
      </c>
      <c r="N1667" s="14" t="n">
        <v>69723.7897977642</v>
      </c>
      <c r="O1667" s="14" t="n">
        <v>494745.4688424802</v>
      </c>
      <c r="P1667" s="14" t="n">
        <v>3469.771075379615</v>
      </c>
      <c r="Q1667" s="14" t="n">
        <v>2685601.131965457</v>
      </c>
      <c r="R1667" s="15">
        <f>IF(D1667=1,"Section 1","Control")</f>
        <v/>
      </c>
      <c r="S1667" s="16">
        <f>N1667/10000</f>
        <v/>
      </c>
      <c r="T1667" s="16">
        <f>P1667/10000</f>
        <v/>
      </c>
      <c r="U1667" s="15">
        <f>IF(N1667&gt;=Summary!$D$3,1,0)</f>
        <v/>
      </c>
      <c r="V1667" s="17">
        <f>IF(N1667&gt;0,P1667/N1667,"")</f>
        <v/>
      </c>
      <c r="W1667" s="17">
        <f>IF(O1667&gt;0,H1667/O1667,"")</f>
        <v/>
      </c>
    </row>
    <row r="1668">
      <c r="A1668" s="13" t="inlineStr">
        <is>
          <t>CE13_B3</t>
        </is>
      </c>
      <c r="B1668" s="13" t="inlineStr">
        <is>
          <t>CE13</t>
        </is>
      </c>
      <c r="C1668" s="13" t="inlineStr">
        <is>
          <t>B3</t>
        </is>
      </c>
      <c r="D1668" s="13" t="n">
        <v>0</v>
      </c>
      <c r="E1668" s="13" t="inlineStr">
        <is>
          <t>E</t>
        </is>
      </c>
      <c r="F1668" s="13" t="n">
        <v>2020</v>
      </c>
      <c r="G1668" s="14" t="n">
        <v>8004959.076006273</v>
      </c>
      <c r="H1668" s="14" t="n">
        <v>2304306.012412875</v>
      </c>
      <c r="I1668" s="14" t="n">
        <v>629070.4516155467</v>
      </c>
      <c r="J1668" s="14" t="n">
        <v>0</v>
      </c>
      <c r="K1668" s="14" t="n">
        <v>113184.7888463338</v>
      </c>
      <c r="L1668" s="14" t="n">
        <v>4958397.823131516</v>
      </c>
      <c r="M1668" s="14" t="n">
        <v>0</v>
      </c>
      <c r="N1668" s="14" t="n">
        <v>2304306.012412875</v>
      </c>
      <c r="O1668" s="14" t="n">
        <v>3046561.252874756</v>
      </c>
      <c r="P1668" s="14" t="n">
        <v>0</v>
      </c>
      <c r="Q1668" s="14" t="n">
        <v>29230783.90702368</v>
      </c>
      <c r="R1668" s="15">
        <f>IF(D1668=1,"Section 1","Control")</f>
        <v/>
      </c>
      <c r="S1668" s="16">
        <f>N1668/10000</f>
        <v/>
      </c>
      <c r="T1668" s="16">
        <f>P1668/10000</f>
        <v/>
      </c>
      <c r="U1668" s="15">
        <f>IF(N1668&gt;=Summary!$D$3,1,0)</f>
        <v/>
      </c>
      <c r="V1668" s="17">
        <f>IF(N1668&gt;0,P1668/N1668,"")</f>
        <v/>
      </c>
      <c r="W1668" s="17">
        <f>IF(O1668&gt;0,H1668/O1668,"")</f>
        <v/>
      </c>
    </row>
    <row r="1669">
      <c r="A1669" s="13" t="inlineStr">
        <is>
          <t>CE13_B3</t>
        </is>
      </c>
      <c r="B1669" s="13" t="inlineStr">
        <is>
          <t>CE13</t>
        </is>
      </c>
      <c r="C1669" s="13" t="inlineStr">
        <is>
          <t>B3</t>
        </is>
      </c>
      <c r="D1669" s="13" t="n">
        <v>0</v>
      </c>
      <c r="E1669" s="13" t="inlineStr">
        <is>
          <t>E</t>
        </is>
      </c>
      <c r="F1669" s="13" t="n">
        <v>2021</v>
      </c>
      <c r="G1669" s="14" t="n">
        <v>8004959.076006273</v>
      </c>
      <c r="H1669" s="14" t="n">
        <v>2129632.014864394</v>
      </c>
      <c r="I1669" s="14" t="n">
        <v>659037.9079531201</v>
      </c>
      <c r="J1669" s="14" t="n">
        <v>0</v>
      </c>
      <c r="K1669" s="14" t="n">
        <v>272027.8203903796</v>
      </c>
      <c r="L1669" s="14" t="n">
        <v>4944261.332798378</v>
      </c>
      <c r="M1669" s="14" t="n">
        <v>0</v>
      </c>
      <c r="N1669" s="14" t="n">
        <v>2304306.012412875</v>
      </c>
      <c r="O1669" s="14" t="n">
        <v>3046561.252874756</v>
      </c>
      <c r="P1669" s="14" t="n">
        <v>185040.0819906198</v>
      </c>
      <c r="Q1669" s="14" t="n">
        <v>29230783.90702368</v>
      </c>
      <c r="R1669" s="15">
        <f>IF(D1669=1,"Section 1","Control")</f>
        <v/>
      </c>
      <c r="S1669" s="16">
        <f>N1669/10000</f>
        <v/>
      </c>
      <c r="T1669" s="16">
        <f>P1669/10000</f>
        <v/>
      </c>
      <c r="U1669" s="15">
        <f>IF(N1669&gt;=Summary!$D$3,1,0)</f>
        <v/>
      </c>
      <c r="V1669" s="17">
        <f>IF(N1669&gt;0,P1669/N1669,"")</f>
        <v/>
      </c>
      <c r="W1669" s="17">
        <f>IF(O1669&gt;0,H1669/O1669,"")</f>
        <v/>
      </c>
    </row>
    <row r="1670">
      <c r="A1670" s="13" t="inlineStr">
        <is>
          <t>CE13_B3</t>
        </is>
      </c>
      <c r="B1670" s="13" t="inlineStr">
        <is>
          <t>CE13</t>
        </is>
      </c>
      <c r="C1670" s="13" t="inlineStr">
        <is>
          <t>B3</t>
        </is>
      </c>
      <c r="D1670" s="13" t="n">
        <v>0</v>
      </c>
      <c r="E1670" s="13" t="inlineStr">
        <is>
          <t>E</t>
        </is>
      </c>
      <c r="F1670" s="13" t="n">
        <v>2022</v>
      </c>
      <c r="G1670" s="14" t="n">
        <v>8004959.076006273</v>
      </c>
      <c r="H1670" s="14" t="n">
        <v>2082228.922251563</v>
      </c>
      <c r="I1670" s="14" t="n">
        <v>739156.0074668734</v>
      </c>
      <c r="J1670" s="14" t="n">
        <v>0</v>
      </c>
      <c r="K1670" s="14" t="n">
        <v>319374.6328203687</v>
      </c>
      <c r="L1670" s="14" t="n">
        <v>4864199.513467466</v>
      </c>
      <c r="M1670" s="14" t="n">
        <v>0</v>
      </c>
      <c r="N1670" s="14" t="n">
        <v>2304306.012412875</v>
      </c>
      <c r="O1670" s="14" t="n">
        <v>3046561.252874756</v>
      </c>
      <c r="P1670" s="14" t="n">
        <v>239382.9262850593</v>
      </c>
      <c r="Q1670" s="14" t="n">
        <v>29230783.90702368</v>
      </c>
      <c r="R1670" s="15">
        <f>IF(D1670=1,"Section 1","Control")</f>
        <v/>
      </c>
      <c r="S1670" s="16">
        <f>N1670/10000</f>
        <v/>
      </c>
      <c r="T1670" s="16">
        <f>P1670/10000</f>
        <v/>
      </c>
      <c r="U1670" s="15">
        <f>IF(N1670&gt;=Summary!$D$3,1,0)</f>
        <v/>
      </c>
      <c r="V1670" s="17">
        <f>IF(N1670&gt;0,P1670/N1670,"")</f>
        <v/>
      </c>
      <c r="W1670" s="17">
        <f>IF(O1670&gt;0,H1670/O1670,"")</f>
        <v/>
      </c>
    </row>
    <row r="1671">
      <c r="A1671" s="13" t="inlineStr">
        <is>
          <t>CE13_B3</t>
        </is>
      </c>
      <c r="B1671" s="13" t="inlineStr">
        <is>
          <t>CE13</t>
        </is>
      </c>
      <c r="C1671" s="13" t="inlineStr">
        <is>
          <t>B3</t>
        </is>
      </c>
      <c r="D1671" s="13" t="n">
        <v>0</v>
      </c>
      <c r="E1671" s="13" t="inlineStr">
        <is>
          <t>E</t>
        </is>
      </c>
      <c r="F1671" s="13" t="n">
        <v>2023</v>
      </c>
      <c r="G1671" s="14" t="n">
        <v>8004959.076006273</v>
      </c>
      <c r="H1671" s="14" t="n">
        <v>1993496.014693376</v>
      </c>
      <c r="I1671" s="14" t="n">
        <v>908417.7107074212</v>
      </c>
      <c r="J1671" s="14" t="n">
        <v>0</v>
      </c>
      <c r="K1671" s="14" t="n">
        <v>132483.3614741905</v>
      </c>
      <c r="L1671" s="14" t="n">
        <v>4970561.989131284</v>
      </c>
      <c r="M1671" s="14" t="n">
        <v>0</v>
      </c>
      <c r="N1671" s="14" t="n">
        <v>2304306.012412875</v>
      </c>
      <c r="O1671" s="14" t="n">
        <v>3046561.252874756</v>
      </c>
      <c r="P1671" s="14" t="n">
        <v>332466.5961618161</v>
      </c>
      <c r="Q1671" s="14" t="n">
        <v>29230783.90702368</v>
      </c>
      <c r="R1671" s="15">
        <f>IF(D1671=1,"Section 1","Control")</f>
        <v/>
      </c>
      <c r="S1671" s="16">
        <f>N1671/10000</f>
        <v/>
      </c>
      <c r="T1671" s="16">
        <f>P1671/10000</f>
        <v/>
      </c>
      <c r="U1671" s="15">
        <f>IF(N1671&gt;=Summary!$D$3,1,0)</f>
        <v/>
      </c>
      <c r="V1671" s="17">
        <f>IF(N1671&gt;0,P1671/N1671,"")</f>
        <v/>
      </c>
      <c r="W1671" s="17">
        <f>IF(O1671&gt;0,H1671/O1671,"")</f>
        <v/>
      </c>
    </row>
    <row r="1672">
      <c r="A1672" s="13" t="inlineStr">
        <is>
          <t>CE13_B3</t>
        </is>
      </c>
      <c r="B1672" s="13" t="inlineStr">
        <is>
          <t>CE13</t>
        </is>
      </c>
      <c r="C1672" s="13" t="inlineStr">
        <is>
          <t>B3</t>
        </is>
      </c>
      <c r="D1672" s="13" t="n">
        <v>0</v>
      </c>
      <c r="E1672" s="13" t="inlineStr">
        <is>
          <t>E</t>
        </is>
      </c>
      <c r="F1672" s="13" t="n">
        <v>2024</v>
      </c>
      <c r="G1672" s="14" t="n">
        <v>8004959.076006273</v>
      </c>
      <c r="H1672" s="14" t="n">
        <v>2101222.09357198</v>
      </c>
      <c r="I1672" s="14" t="n">
        <v>830630.2251670987</v>
      </c>
      <c r="J1672" s="14" t="n">
        <v>0</v>
      </c>
      <c r="K1672" s="14" t="n">
        <v>157200.7290020213</v>
      </c>
      <c r="L1672" s="14" t="n">
        <v>4915906.028265172</v>
      </c>
      <c r="M1672" s="14" t="n">
        <v>0</v>
      </c>
      <c r="N1672" s="14" t="n">
        <v>2304306.012412875</v>
      </c>
      <c r="O1672" s="14" t="n">
        <v>3046561.252874756</v>
      </c>
      <c r="P1672" s="14" t="n">
        <v>254174.1796017217</v>
      </c>
      <c r="Q1672" s="14" t="n">
        <v>29230783.90702368</v>
      </c>
      <c r="R1672" s="15">
        <f>IF(D1672=1,"Section 1","Control")</f>
        <v/>
      </c>
      <c r="S1672" s="16">
        <f>N1672/10000</f>
        <v/>
      </c>
      <c r="T1672" s="16">
        <f>P1672/10000</f>
        <v/>
      </c>
      <c r="U1672" s="15">
        <f>IF(N1672&gt;=Summary!$D$3,1,0)</f>
        <v/>
      </c>
      <c r="V1672" s="17">
        <f>IF(N1672&gt;0,P1672/N1672,"")</f>
        <v/>
      </c>
      <c r="W1672" s="17">
        <f>IF(O1672&gt;0,H1672/O1672,"")</f>
        <v/>
      </c>
    </row>
    <row r="1673">
      <c r="A1673" s="13" t="inlineStr">
        <is>
          <t>CE13_B3</t>
        </is>
      </c>
      <c r="B1673" s="13" t="inlineStr">
        <is>
          <t>CE13</t>
        </is>
      </c>
      <c r="C1673" s="13" t="inlineStr">
        <is>
          <t>B3</t>
        </is>
      </c>
      <c r="D1673" s="13" t="n">
        <v>0</v>
      </c>
      <c r="E1673" s="13" t="inlineStr">
        <is>
          <t>E</t>
        </is>
      </c>
      <c r="F1673" s="13" t="n">
        <v>2025</v>
      </c>
      <c r="G1673" s="14" t="n">
        <v>8004959.076006273</v>
      </c>
      <c r="H1673" s="14" t="n">
        <v>2068510.694906766</v>
      </c>
      <c r="I1673" s="14" t="n">
        <v>841937.7135843014</v>
      </c>
      <c r="J1673" s="14" t="n">
        <v>0</v>
      </c>
      <c r="K1673" s="14" t="n">
        <v>123281.831649152</v>
      </c>
      <c r="L1673" s="14" t="n">
        <v>4971228.835866053</v>
      </c>
      <c r="M1673" s="14" t="n">
        <v>0</v>
      </c>
      <c r="N1673" s="14" t="n">
        <v>2304306.012412875</v>
      </c>
      <c r="O1673" s="14" t="n">
        <v>3046561.252874756</v>
      </c>
      <c r="P1673" s="14" t="n">
        <v>315304.7800256169</v>
      </c>
      <c r="Q1673" s="14" t="n">
        <v>29230783.90702368</v>
      </c>
      <c r="R1673" s="15">
        <f>IF(D1673=1,"Section 1","Control")</f>
        <v/>
      </c>
      <c r="S1673" s="16">
        <f>N1673/10000</f>
        <v/>
      </c>
      <c r="T1673" s="16">
        <f>P1673/10000</f>
        <v/>
      </c>
      <c r="U1673" s="15">
        <f>IF(N1673&gt;=Summary!$D$3,1,0)</f>
        <v/>
      </c>
      <c r="V1673" s="17">
        <f>IF(N1673&gt;0,P1673/N1673,"")</f>
        <v/>
      </c>
      <c r="W1673" s="17">
        <f>IF(O1673&gt;0,H1673/O1673,"")</f>
        <v/>
      </c>
    </row>
    <row r="1674">
      <c r="A1674" s="13" t="inlineStr">
        <is>
          <t>CE13_B3</t>
        </is>
      </c>
      <c r="B1674" s="13" t="inlineStr">
        <is>
          <t>CE13</t>
        </is>
      </c>
      <c r="C1674" s="13" t="inlineStr">
        <is>
          <t>B3</t>
        </is>
      </c>
      <c r="D1674" s="13" t="n">
        <v>0</v>
      </c>
      <c r="E1674" s="13" t="inlineStr">
        <is>
          <t>E</t>
        </is>
      </c>
      <c r="F1674" s="13" t="n">
        <v>2026</v>
      </c>
      <c r="G1674" s="14" t="n">
        <v>8004959.076006273</v>
      </c>
      <c r="H1674" s="14" t="n">
        <v>2320579.285344711</v>
      </c>
      <c r="I1674" s="14" t="n">
        <v>550153.1029660094</v>
      </c>
      <c r="J1674" s="14" t="n">
        <v>0</v>
      </c>
      <c r="K1674" s="14" t="n">
        <v>153201.2110494875</v>
      </c>
      <c r="L1674" s="14" t="n">
        <v>4981025.476646064</v>
      </c>
      <c r="M1674" s="14" t="n">
        <v>0</v>
      </c>
      <c r="N1674" s="14" t="n">
        <v>2304306.012412875</v>
      </c>
      <c r="O1674" s="14" t="n">
        <v>3046561.252874756</v>
      </c>
      <c r="P1674" s="14" t="n">
        <v>167595.5992294012</v>
      </c>
      <c r="Q1674" s="14" t="n">
        <v>29230783.90702368</v>
      </c>
      <c r="R1674" s="15">
        <f>IF(D1674=1,"Section 1","Control")</f>
        <v/>
      </c>
      <c r="S1674" s="16">
        <f>N1674/10000</f>
        <v/>
      </c>
      <c r="T1674" s="16">
        <f>P1674/10000</f>
        <v/>
      </c>
      <c r="U1674" s="15">
        <f>IF(N1674&gt;=Summary!$D$3,1,0)</f>
        <v/>
      </c>
      <c r="V1674" s="17">
        <f>IF(N1674&gt;0,P1674/N1674,"")</f>
        <v/>
      </c>
      <c r="W1674" s="17">
        <f>IF(O1674&gt;0,H1674/O1674,"")</f>
        <v/>
      </c>
    </row>
    <row r="1675">
      <c r="A1675" s="13" t="inlineStr">
        <is>
          <t>CE13_F</t>
        </is>
      </c>
      <c r="B1675" s="13" t="inlineStr">
        <is>
          <t>CE13</t>
        </is>
      </c>
      <c r="C1675" s="13" t="inlineStr">
        <is>
          <t>F</t>
        </is>
      </c>
      <c r="D1675" s="13" t="n">
        <v>0</v>
      </c>
      <c r="E1675" s="13" t="inlineStr">
        <is>
          <t>E</t>
        </is>
      </c>
      <c r="F1675" s="13" t="n">
        <v>2020</v>
      </c>
      <c r="G1675" s="14" t="n">
        <v>69371.8351211548</v>
      </c>
      <c r="H1675" s="14" t="n">
        <v>2990.885296810375</v>
      </c>
      <c r="I1675" s="14" t="n">
        <v>63856.99376092052</v>
      </c>
      <c r="J1675" s="14" t="n">
        <v>0</v>
      </c>
      <c r="K1675" s="14" t="n">
        <v>2523.956063423905</v>
      </c>
      <c r="L1675" s="14" t="n">
        <v>0</v>
      </c>
      <c r="M1675" s="14" t="n">
        <v>0</v>
      </c>
      <c r="N1675" s="14" t="n">
        <v>2990.885296810375</v>
      </c>
      <c r="O1675" s="14" t="n">
        <v>69371.8351211548</v>
      </c>
      <c r="P1675" s="14" t="n">
        <v>0</v>
      </c>
      <c r="Q1675" s="14" t="n">
        <v>420916.9559813856</v>
      </c>
      <c r="R1675" s="15">
        <f>IF(D1675=1,"Section 1","Control")</f>
        <v/>
      </c>
      <c r="S1675" s="16">
        <f>N1675/10000</f>
        <v/>
      </c>
      <c r="T1675" s="16">
        <f>P1675/10000</f>
        <v/>
      </c>
      <c r="U1675" s="15">
        <f>IF(N1675&gt;=Summary!$D$3,1,0)</f>
        <v/>
      </c>
      <c r="V1675" s="17">
        <f>IF(N1675&gt;0,P1675/N1675,"")</f>
        <v/>
      </c>
      <c r="W1675" s="17">
        <f>IF(O1675&gt;0,H1675/O1675,"")</f>
        <v/>
      </c>
    </row>
    <row r="1676">
      <c r="A1676" s="13" t="inlineStr">
        <is>
          <t>CE13_F</t>
        </is>
      </c>
      <c r="B1676" s="13" t="inlineStr">
        <is>
          <t>CE13</t>
        </is>
      </c>
      <c r="C1676" s="13" t="inlineStr">
        <is>
          <t>F</t>
        </is>
      </c>
      <c r="D1676" s="13" t="n">
        <v>0</v>
      </c>
      <c r="E1676" s="13" t="inlineStr">
        <is>
          <t>E</t>
        </is>
      </c>
      <c r="F1676" s="13" t="n">
        <v>2021</v>
      </c>
      <c r="G1676" s="14" t="n">
        <v>69371.8351211548</v>
      </c>
      <c r="H1676" s="14" t="n">
        <v>3492.269989372702</v>
      </c>
      <c r="I1676" s="14" t="n">
        <v>57285.95829057883</v>
      </c>
      <c r="J1676" s="14" t="n">
        <v>0</v>
      </c>
      <c r="K1676" s="14" t="n">
        <v>8593.606841203278</v>
      </c>
      <c r="L1676" s="14" t="n">
        <v>0</v>
      </c>
      <c r="M1676" s="14" t="n">
        <v>0</v>
      </c>
      <c r="N1676" s="14" t="n">
        <v>2990.885296810375</v>
      </c>
      <c r="O1676" s="14" t="n">
        <v>69371.8351211548</v>
      </c>
      <c r="P1676" s="14" t="n">
        <v>502.1587999231675</v>
      </c>
      <c r="Q1676" s="14" t="n">
        <v>420916.9559813856</v>
      </c>
      <c r="R1676" s="15">
        <f>IF(D1676=1,"Section 1","Control")</f>
        <v/>
      </c>
      <c r="S1676" s="16">
        <f>N1676/10000</f>
        <v/>
      </c>
      <c r="T1676" s="16">
        <f>P1676/10000</f>
        <v/>
      </c>
      <c r="U1676" s="15">
        <f>IF(N1676&gt;=Summary!$D$3,1,0)</f>
        <v/>
      </c>
      <c r="V1676" s="17">
        <f>IF(N1676&gt;0,P1676/N1676,"")</f>
        <v/>
      </c>
      <c r="W1676" s="17">
        <f>IF(O1676&gt;0,H1676/O1676,"")</f>
        <v/>
      </c>
    </row>
    <row r="1677">
      <c r="A1677" s="13" t="inlineStr">
        <is>
          <t>CE13_F</t>
        </is>
      </c>
      <c r="B1677" s="13" t="inlineStr">
        <is>
          <t>CE13</t>
        </is>
      </c>
      <c r="C1677" s="13" t="inlineStr">
        <is>
          <t>F</t>
        </is>
      </c>
      <c r="D1677" s="13" t="n">
        <v>0</v>
      </c>
      <c r="E1677" s="13" t="inlineStr">
        <is>
          <t>E</t>
        </is>
      </c>
      <c r="F1677" s="13" t="n">
        <v>2022</v>
      </c>
      <c r="G1677" s="14" t="n">
        <v>69371.8351211548</v>
      </c>
      <c r="H1677" s="14" t="n">
        <v>4871.367956064261</v>
      </c>
      <c r="I1677" s="14" t="n">
        <v>57352.94083222036</v>
      </c>
      <c r="J1677" s="14" t="n">
        <v>0</v>
      </c>
      <c r="K1677" s="14" t="n">
        <v>7147.526332870182</v>
      </c>
      <c r="L1677" s="14" t="n">
        <v>0</v>
      </c>
      <c r="M1677" s="14" t="n">
        <v>0</v>
      </c>
      <c r="N1677" s="14" t="n">
        <v>2990.885296810375</v>
      </c>
      <c r="O1677" s="14" t="n">
        <v>69371.8351211548</v>
      </c>
      <c r="P1677" s="14" t="n">
        <v>891.2637471217735</v>
      </c>
      <c r="Q1677" s="14" t="n">
        <v>420916.9559813856</v>
      </c>
      <c r="R1677" s="15">
        <f>IF(D1677=1,"Section 1","Control")</f>
        <v/>
      </c>
      <c r="S1677" s="16">
        <f>N1677/10000</f>
        <v/>
      </c>
      <c r="T1677" s="16">
        <f>P1677/10000</f>
        <v/>
      </c>
      <c r="U1677" s="15">
        <f>IF(N1677&gt;=Summary!$D$3,1,0)</f>
        <v/>
      </c>
      <c r="V1677" s="17">
        <f>IF(N1677&gt;0,P1677/N1677,"")</f>
        <v/>
      </c>
      <c r="W1677" s="17">
        <f>IF(O1677&gt;0,H1677/O1677,"")</f>
        <v/>
      </c>
    </row>
    <row r="1678">
      <c r="A1678" s="13" t="inlineStr">
        <is>
          <t>CE13_F</t>
        </is>
      </c>
      <c r="B1678" s="13" t="inlineStr">
        <is>
          <t>CE13</t>
        </is>
      </c>
      <c r="C1678" s="13" t="inlineStr">
        <is>
          <t>F</t>
        </is>
      </c>
      <c r="D1678" s="13" t="n">
        <v>0</v>
      </c>
      <c r="E1678" s="13" t="inlineStr">
        <is>
          <t>E</t>
        </is>
      </c>
      <c r="F1678" s="13" t="n">
        <v>2023</v>
      </c>
      <c r="G1678" s="14" t="n">
        <v>69371.8351211548</v>
      </c>
      <c r="H1678" s="14" t="n">
        <v>1892.097229931401</v>
      </c>
      <c r="I1678" s="14" t="n">
        <v>63812.47387832942</v>
      </c>
      <c r="J1678" s="14" t="n">
        <v>0</v>
      </c>
      <c r="K1678" s="14" t="n">
        <v>3667.264012893976</v>
      </c>
      <c r="L1678" s="14" t="n">
        <v>0</v>
      </c>
      <c r="M1678" s="14" t="n">
        <v>0</v>
      </c>
      <c r="N1678" s="14" t="n">
        <v>2990.885296810375</v>
      </c>
      <c r="O1678" s="14" t="n">
        <v>69371.8351211548</v>
      </c>
      <c r="P1678" s="14" t="n">
        <v>1849.896232395546</v>
      </c>
      <c r="Q1678" s="14" t="n">
        <v>420916.9559813856</v>
      </c>
      <c r="R1678" s="15">
        <f>IF(D1678=1,"Section 1","Control")</f>
        <v/>
      </c>
      <c r="S1678" s="16">
        <f>N1678/10000</f>
        <v/>
      </c>
      <c r="T1678" s="16">
        <f>P1678/10000</f>
        <v/>
      </c>
      <c r="U1678" s="15">
        <f>IF(N1678&gt;=Summary!$D$3,1,0)</f>
        <v/>
      </c>
      <c r="V1678" s="17">
        <f>IF(N1678&gt;0,P1678/N1678,"")</f>
        <v/>
      </c>
      <c r="W1678" s="17">
        <f>IF(O1678&gt;0,H1678/O1678,"")</f>
        <v/>
      </c>
    </row>
    <row r="1679">
      <c r="A1679" s="13" t="inlineStr">
        <is>
          <t>CE13_F</t>
        </is>
      </c>
      <c r="B1679" s="13" t="inlineStr">
        <is>
          <t>CE13</t>
        </is>
      </c>
      <c r="C1679" s="13" t="inlineStr">
        <is>
          <t>F</t>
        </is>
      </c>
      <c r="D1679" s="13" t="n">
        <v>0</v>
      </c>
      <c r="E1679" s="13" t="inlineStr">
        <is>
          <t>E</t>
        </is>
      </c>
      <c r="F1679" s="13" t="n">
        <v>2024</v>
      </c>
      <c r="G1679" s="14" t="n">
        <v>69371.8351211548</v>
      </c>
      <c r="H1679" s="14" t="n">
        <v>4275.125508117676</v>
      </c>
      <c r="I1679" s="14" t="n">
        <v>63246.81625441011</v>
      </c>
      <c r="J1679" s="14" t="n">
        <v>0</v>
      </c>
      <c r="K1679" s="14" t="n">
        <v>1849.89335862702</v>
      </c>
      <c r="L1679" s="14" t="n">
        <v>0</v>
      </c>
      <c r="M1679" s="14" t="n">
        <v>0</v>
      </c>
      <c r="N1679" s="14" t="n">
        <v>2990.885296810375</v>
      </c>
      <c r="O1679" s="14" t="n">
        <v>69371.8351211548</v>
      </c>
      <c r="P1679" s="14" t="n">
        <v>948.5647735894894</v>
      </c>
      <c r="Q1679" s="14" t="n">
        <v>420916.9559813856</v>
      </c>
      <c r="R1679" s="15">
        <f>IF(D1679=1,"Section 1","Control")</f>
        <v/>
      </c>
      <c r="S1679" s="16">
        <f>N1679/10000</f>
        <v/>
      </c>
      <c r="T1679" s="16">
        <f>P1679/10000</f>
        <v/>
      </c>
      <c r="U1679" s="15">
        <f>IF(N1679&gt;=Summary!$D$3,1,0)</f>
        <v/>
      </c>
      <c r="V1679" s="17">
        <f>IF(N1679&gt;0,P1679/N1679,"")</f>
        <v/>
      </c>
      <c r="W1679" s="17">
        <f>IF(O1679&gt;0,H1679/O1679,"")</f>
        <v/>
      </c>
    </row>
    <row r="1680">
      <c r="A1680" s="13" t="inlineStr">
        <is>
          <t>CE13_F</t>
        </is>
      </c>
      <c r="B1680" s="13" t="inlineStr">
        <is>
          <t>CE13</t>
        </is>
      </c>
      <c r="C1680" s="13" t="inlineStr">
        <is>
          <t>F</t>
        </is>
      </c>
      <c r="D1680" s="13" t="n">
        <v>0</v>
      </c>
      <c r="E1680" s="13" t="inlineStr">
        <is>
          <t>E</t>
        </is>
      </c>
      <c r="F1680" s="13" t="n">
        <v>2025</v>
      </c>
      <c r="G1680" s="14" t="n">
        <v>69371.8351211548</v>
      </c>
      <c r="H1680" s="14" t="n">
        <v>3819.039934764189</v>
      </c>
      <c r="I1680" s="14" t="n">
        <v>63824.47337021175</v>
      </c>
      <c r="J1680" s="14" t="n">
        <v>0</v>
      </c>
      <c r="K1680" s="14" t="n">
        <v>1728.321816178864</v>
      </c>
      <c r="L1680" s="14" t="n">
        <v>0</v>
      </c>
      <c r="M1680" s="14" t="n">
        <v>0</v>
      </c>
      <c r="N1680" s="14" t="n">
        <v>2990.885296810375</v>
      </c>
      <c r="O1680" s="14" t="n">
        <v>69371.8351211548</v>
      </c>
      <c r="P1680" s="14" t="n">
        <v>948.5647049249386</v>
      </c>
      <c r="Q1680" s="14" t="n">
        <v>420916.9559813856</v>
      </c>
      <c r="R1680" s="15">
        <f>IF(D1680=1,"Section 1","Control")</f>
        <v/>
      </c>
      <c r="S1680" s="16">
        <f>N1680/10000</f>
        <v/>
      </c>
      <c r="T1680" s="16">
        <f>P1680/10000</f>
        <v/>
      </c>
      <c r="U1680" s="15">
        <f>IF(N1680&gt;=Summary!$D$3,1,0)</f>
        <v/>
      </c>
      <c r="V1680" s="17">
        <f>IF(N1680&gt;0,P1680/N1680,"")</f>
        <v/>
      </c>
      <c r="W1680" s="17">
        <f>IF(O1680&gt;0,H1680/O1680,"")</f>
        <v/>
      </c>
    </row>
    <row r="1681">
      <c r="A1681" s="13" t="inlineStr">
        <is>
          <t>CE13_F</t>
        </is>
      </c>
      <c r="B1681" s="13" t="inlineStr">
        <is>
          <t>CE13</t>
        </is>
      </c>
      <c r="C1681" s="13" t="inlineStr">
        <is>
          <t>F</t>
        </is>
      </c>
      <c r="D1681" s="13" t="n">
        <v>0</v>
      </c>
      <c r="E1681" s="13" t="inlineStr">
        <is>
          <t>E</t>
        </is>
      </c>
      <c r="F1681" s="13" t="n">
        <v>2026</v>
      </c>
      <c r="G1681" s="14" t="n">
        <v>69371.8351211548</v>
      </c>
      <c r="H1681" s="14" t="n">
        <v>6572.200989038804</v>
      </c>
      <c r="I1681" s="14" t="n">
        <v>59293.04345074824</v>
      </c>
      <c r="J1681" s="14" t="n">
        <v>0</v>
      </c>
      <c r="K1681" s="14" t="n">
        <v>3506.590681367762</v>
      </c>
      <c r="L1681" s="14" t="n">
        <v>0</v>
      </c>
      <c r="M1681" s="14" t="n">
        <v>0</v>
      </c>
      <c r="N1681" s="14" t="n">
        <v>2990.885296810375</v>
      </c>
      <c r="O1681" s="14" t="n">
        <v>69371.8351211548</v>
      </c>
      <c r="P1681" s="14" t="n">
        <v>706.5841369628906</v>
      </c>
      <c r="Q1681" s="14" t="n">
        <v>420916.9559813856</v>
      </c>
      <c r="R1681" s="15">
        <f>IF(D1681=1,"Section 1","Control")</f>
        <v/>
      </c>
      <c r="S1681" s="16">
        <f>N1681/10000</f>
        <v/>
      </c>
      <c r="T1681" s="16">
        <f>P1681/10000</f>
        <v/>
      </c>
      <c r="U1681" s="15">
        <f>IF(N1681&gt;=Summary!$D$3,1,0)</f>
        <v/>
      </c>
      <c r="V1681" s="17">
        <f>IF(N1681&gt;0,P1681/N1681,"")</f>
        <v/>
      </c>
      <c r="W1681" s="17">
        <f>IF(O1681&gt;0,H1681/O1681,"")</f>
        <v/>
      </c>
    </row>
    <row r="1682">
      <c r="A1682" s="13" t="inlineStr">
        <is>
          <t>CE14_B1</t>
        </is>
      </c>
      <c r="B1682" s="13" t="inlineStr">
        <is>
          <t>CE14</t>
        </is>
      </c>
      <c r="C1682" s="13" t="inlineStr">
        <is>
          <t>B1</t>
        </is>
      </c>
      <c r="D1682" s="13" t="n">
        <v>0</v>
      </c>
      <c r="E1682" s="13" t="inlineStr">
        <is>
          <t>E</t>
        </is>
      </c>
      <c r="F1682" s="13" t="n">
        <v>2020</v>
      </c>
      <c r="G1682" s="14" t="n">
        <v>1025513.662758173</v>
      </c>
      <c r="H1682" s="14" t="n">
        <v>232463.7834638708</v>
      </c>
      <c r="I1682" s="14" t="n">
        <v>508482.3045953788</v>
      </c>
      <c r="J1682" s="14" t="n">
        <v>0</v>
      </c>
      <c r="K1682" s="14" t="n">
        <v>121299.6059286679</v>
      </c>
      <c r="L1682" s="14" t="n">
        <v>163267.9687702553</v>
      </c>
      <c r="M1682" s="14" t="n">
        <v>0</v>
      </c>
      <c r="N1682" s="14" t="n">
        <v>232463.7834638708</v>
      </c>
      <c r="O1682" s="14" t="n">
        <v>862245.6939879175</v>
      </c>
      <c r="P1682" s="14" t="n">
        <v>0</v>
      </c>
      <c r="Q1682" s="14" t="n">
        <v>6619599.753841506</v>
      </c>
      <c r="R1682" s="15">
        <f>IF(D1682=1,"Section 1","Control")</f>
        <v/>
      </c>
      <c r="S1682" s="16">
        <f>N1682/10000</f>
        <v/>
      </c>
      <c r="T1682" s="16">
        <f>P1682/10000</f>
        <v/>
      </c>
      <c r="U1682" s="15">
        <f>IF(N1682&gt;=Summary!$D$3,1,0)</f>
        <v/>
      </c>
      <c r="V1682" s="17">
        <f>IF(N1682&gt;0,P1682/N1682,"")</f>
        <v/>
      </c>
      <c r="W1682" s="17">
        <f>IF(O1682&gt;0,H1682/O1682,"")</f>
        <v/>
      </c>
    </row>
    <row r="1683">
      <c r="A1683" s="13" t="inlineStr">
        <is>
          <t>CE14_B1</t>
        </is>
      </c>
      <c r="B1683" s="13" t="inlineStr">
        <is>
          <t>CE14</t>
        </is>
      </c>
      <c r="C1683" s="13" t="inlineStr">
        <is>
          <t>B1</t>
        </is>
      </c>
      <c r="D1683" s="13" t="n">
        <v>0</v>
      </c>
      <c r="E1683" s="13" t="inlineStr">
        <is>
          <t>E</t>
        </is>
      </c>
      <c r="F1683" s="13" t="n">
        <v>2021</v>
      </c>
      <c r="G1683" s="14" t="n">
        <v>1025513.662758173</v>
      </c>
      <c r="H1683" s="14" t="n">
        <v>223456.5234476127</v>
      </c>
      <c r="I1683" s="14" t="n">
        <v>434707.7697112738</v>
      </c>
      <c r="J1683" s="14" t="n">
        <v>0</v>
      </c>
      <c r="K1683" s="14" t="n">
        <v>197758.8676857443</v>
      </c>
      <c r="L1683" s="14" t="n">
        <v>169590.5019135419</v>
      </c>
      <c r="M1683" s="14" t="n">
        <v>0</v>
      </c>
      <c r="N1683" s="14" t="n">
        <v>232463.7834638708</v>
      </c>
      <c r="O1683" s="14" t="n">
        <v>862245.6939879174</v>
      </c>
      <c r="P1683" s="14" t="n">
        <v>41795.01840159098</v>
      </c>
      <c r="Q1683" s="14" t="n">
        <v>6619599.753841506</v>
      </c>
      <c r="R1683" s="15">
        <f>IF(D1683=1,"Section 1","Control")</f>
        <v/>
      </c>
      <c r="S1683" s="16">
        <f>N1683/10000</f>
        <v/>
      </c>
      <c r="T1683" s="16">
        <f>P1683/10000</f>
        <v/>
      </c>
      <c r="U1683" s="15">
        <f>IF(N1683&gt;=Summary!$D$3,1,0)</f>
        <v/>
      </c>
      <c r="V1683" s="17">
        <f>IF(N1683&gt;0,P1683/N1683,"")</f>
        <v/>
      </c>
      <c r="W1683" s="17">
        <f>IF(O1683&gt;0,H1683/O1683,"")</f>
        <v/>
      </c>
    </row>
    <row r="1684">
      <c r="A1684" s="13" t="inlineStr">
        <is>
          <t>CE14_B1</t>
        </is>
      </c>
      <c r="B1684" s="13" t="inlineStr">
        <is>
          <t>CE14</t>
        </is>
      </c>
      <c r="C1684" s="13" t="inlineStr">
        <is>
          <t>B1</t>
        </is>
      </c>
      <c r="D1684" s="13" t="n">
        <v>0</v>
      </c>
      <c r="E1684" s="13" t="inlineStr">
        <is>
          <t>E</t>
        </is>
      </c>
      <c r="F1684" s="13" t="n">
        <v>2022</v>
      </c>
      <c r="G1684" s="14" t="n">
        <v>1025513.662758173</v>
      </c>
      <c r="H1684" s="14" t="n">
        <v>225395.375142565</v>
      </c>
      <c r="I1684" s="14" t="n">
        <v>414762.8858401429</v>
      </c>
      <c r="J1684" s="14" t="n">
        <v>0</v>
      </c>
      <c r="K1684" s="14" t="n">
        <v>217495.9480212043</v>
      </c>
      <c r="L1684" s="14" t="n">
        <v>167859.4537542606</v>
      </c>
      <c r="M1684" s="14" t="n">
        <v>0</v>
      </c>
      <c r="N1684" s="14" t="n">
        <v>232463.7834638708</v>
      </c>
      <c r="O1684" s="14" t="n">
        <v>862245.6939879176</v>
      </c>
      <c r="P1684" s="14" t="n">
        <v>52126.29537138098</v>
      </c>
      <c r="Q1684" s="14" t="n">
        <v>6619599.753841506</v>
      </c>
      <c r="R1684" s="15">
        <f>IF(D1684=1,"Section 1","Control")</f>
        <v/>
      </c>
      <c r="S1684" s="16">
        <f>N1684/10000</f>
        <v/>
      </c>
      <c r="T1684" s="16">
        <f>P1684/10000</f>
        <v/>
      </c>
      <c r="U1684" s="15">
        <f>IF(N1684&gt;=Summary!$D$3,1,0)</f>
        <v/>
      </c>
      <c r="V1684" s="17">
        <f>IF(N1684&gt;0,P1684/N1684,"")</f>
        <v/>
      </c>
      <c r="W1684" s="17">
        <f>IF(O1684&gt;0,H1684/O1684,"")</f>
        <v/>
      </c>
    </row>
    <row r="1685">
      <c r="A1685" s="13" t="inlineStr">
        <is>
          <t>CE14_B1</t>
        </is>
      </c>
      <c r="B1685" s="13" t="inlineStr">
        <is>
          <t>CE14</t>
        </is>
      </c>
      <c r="C1685" s="13" t="inlineStr">
        <is>
          <t>B1</t>
        </is>
      </c>
      <c r="D1685" s="13" t="n">
        <v>0</v>
      </c>
      <c r="E1685" s="13" t="inlineStr">
        <is>
          <t>E</t>
        </is>
      </c>
      <c r="F1685" s="13" t="n">
        <v>2023</v>
      </c>
      <c r="G1685" s="14" t="n">
        <v>1025513.662758173</v>
      </c>
      <c r="H1685" s="14" t="n">
        <v>209321.8877989227</v>
      </c>
      <c r="I1685" s="14" t="n">
        <v>445731.4108603683</v>
      </c>
      <c r="J1685" s="14" t="n">
        <v>0</v>
      </c>
      <c r="K1685" s="14" t="n">
        <v>177640.6511472216</v>
      </c>
      <c r="L1685" s="14" t="n">
        <v>192819.7129516602</v>
      </c>
      <c r="M1685" s="14" t="n">
        <v>0</v>
      </c>
      <c r="N1685" s="14" t="n">
        <v>232463.7834638708</v>
      </c>
      <c r="O1685" s="14" t="n">
        <v>862245.6939879175</v>
      </c>
      <c r="P1685" s="14" t="n">
        <v>72349.02481070124</v>
      </c>
      <c r="Q1685" s="14" t="n">
        <v>6619599.753841506</v>
      </c>
      <c r="R1685" s="15">
        <f>IF(D1685=1,"Section 1","Control")</f>
        <v/>
      </c>
      <c r="S1685" s="16">
        <f>N1685/10000</f>
        <v/>
      </c>
      <c r="T1685" s="16">
        <f>P1685/10000</f>
        <v/>
      </c>
      <c r="U1685" s="15">
        <f>IF(N1685&gt;=Summary!$D$3,1,0)</f>
        <v/>
      </c>
      <c r="V1685" s="17">
        <f>IF(N1685&gt;0,P1685/N1685,"")</f>
        <v/>
      </c>
      <c r="W1685" s="17">
        <f>IF(O1685&gt;0,H1685/O1685,"")</f>
        <v/>
      </c>
    </row>
    <row r="1686">
      <c r="A1686" s="13" t="inlineStr">
        <is>
          <t>CE14_B1</t>
        </is>
      </c>
      <c r="B1686" s="13" t="inlineStr">
        <is>
          <t>CE14</t>
        </is>
      </c>
      <c r="C1686" s="13" t="inlineStr">
        <is>
          <t>B1</t>
        </is>
      </c>
      <c r="D1686" s="13" t="n">
        <v>0</v>
      </c>
      <c r="E1686" s="13" t="inlineStr">
        <is>
          <t>E</t>
        </is>
      </c>
      <c r="F1686" s="13" t="n">
        <v>2024</v>
      </c>
      <c r="G1686" s="14" t="n">
        <v>1025513.662758173</v>
      </c>
      <c r="H1686" s="14" t="n">
        <v>292528.6872169644</v>
      </c>
      <c r="I1686" s="14" t="n">
        <v>354013.8556825825</v>
      </c>
      <c r="J1686" s="14" t="n">
        <v>0</v>
      </c>
      <c r="K1686" s="14" t="n">
        <v>190298.0283821854</v>
      </c>
      <c r="L1686" s="14" t="n">
        <v>188673.0914764404</v>
      </c>
      <c r="M1686" s="14" t="n">
        <v>0</v>
      </c>
      <c r="N1686" s="14" t="n">
        <v>232463.7834638708</v>
      </c>
      <c r="O1686" s="14" t="n">
        <v>862245.6939879174</v>
      </c>
      <c r="P1686" s="14" t="n">
        <v>56943.59015470018</v>
      </c>
      <c r="Q1686" s="14" t="n">
        <v>6619599.753841506</v>
      </c>
      <c r="R1686" s="15">
        <f>IF(D1686=1,"Section 1","Control")</f>
        <v/>
      </c>
      <c r="S1686" s="16">
        <f>N1686/10000</f>
        <v/>
      </c>
      <c r="T1686" s="16">
        <f>P1686/10000</f>
        <v/>
      </c>
      <c r="U1686" s="15">
        <f>IF(N1686&gt;=Summary!$D$3,1,0)</f>
        <v/>
      </c>
      <c r="V1686" s="17">
        <f>IF(N1686&gt;0,P1686/N1686,"")</f>
        <v/>
      </c>
      <c r="W1686" s="17">
        <f>IF(O1686&gt;0,H1686/O1686,"")</f>
        <v/>
      </c>
    </row>
    <row r="1687">
      <c r="A1687" s="13" t="inlineStr">
        <is>
          <t>CE14_B1</t>
        </is>
      </c>
      <c r="B1687" s="13" t="inlineStr">
        <is>
          <t>CE14</t>
        </is>
      </c>
      <c r="C1687" s="13" t="inlineStr">
        <is>
          <t>B1</t>
        </is>
      </c>
      <c r="D1687" s="13" t="n">
        <v>0</v>
      </c>
      <c r="E1687" s="13" t="inlineStr">
        <is>
          <t>E</t>
        </is>
      </c>
      <c r="F1687" s="13" t="n">
        <v>2025</v>
      </c>
      <c r="G1687" s="14" t="n">
        <v>1025513.662758173</v>
      </c>
      <c r="H1687" s="14" t="n">
        <v>298891.8277860155</v>
      </c>
      <c r="I1687" s="14" t="n">
        <v>369185.1134243535</v>
      </c>
      <c r="J1687" s="14" t="n">
        <v>0</v>
      </c>
      <c r="K1687" s="14" t="n">
        <v>158405.2093177048</v>
      </c>
      <c r="L1687" s="14" t="n">
        <v>199031.512230099</v>
      </c>
      <c r="M1687" s="14" t="n">
        <v>0</v>
      </c>
      <c r="N1687" s="14" t="n">
        <v>232463.7834638708</v>
      </c>
      <c r="O1687" s="14" t="n">
        <v>862245.6939879175</v>
      </c>
      <c r="P1687" s="14" t="n">
        <v>58253.00228780111</v>
      </c>
      <c r="Q1687" s="14" t="n">
        <v>6619599.753841506</v>
      </c>
      <c r="R1687" s="15">
        <f>IF(D1687=1,"Section 1","Control")</f>
        <v/>
      </c>
      <c r="S1687" s="16">
        <f>N1687/10000</f>
        <v/>
      </c>
      <c r="T1687" s="16">
        <f>P1687/10000</f>
        <v/>
      </c>
      <c r="U1687" s="15">
        <f>IF(N1687&gt;=Summary!$D$3,1,0)</f>
        <v/>
      </c>
      <c r="V1687" s="17">
        <f>IF(N1687&gt;0,P1687/N1687,"")</f>
        <v/>
      </c>
      <c r="W1687" s="17">
        <f>IF(O1687&gt;0,H1687/O1687,"")</f>
        <v/>
      </c>
    </row>
    <row r="1688">
      <c r="A1688" s="13" t="inlineStr">
        <is>
          <t>CE14_B1</t>
        </is>
      </c>
      <c r="B1688" s="13" t="inlineStr">
        <is>
          <t>CE14</t>
        </is>
      </c>
      <c r="C1688" s="13" t="inlineStr">
        <is>
          <t>B1</t>
        </is>
      </c>
      <c r="D1688" s="13" t="n">
        <v>0</v>
      </c>
      <c r="E1688" s="13" t="inlineStr">
        <is>
          <t>E</t>
        </is>
      </c>
      <c r="F1688" s="13" t="n">
        <v>2026</v>
      </c>
      <c r="G1688" s="14" t="n">
        <v>1025513.662758173</v>
      </c>
      <c r="H1688" s="14" t="n">
        <v>314649.229778574</v>
      </c>
      <c r="I1688" s="14" t="n">
        <v>337472.8360142128</v>
      </c>
      <c r="J1688" s="14" t="n">
        <v>0</v>
      </c>
      <c r="K1688" s="14" t="n">
        <v>187285.4643436208</v>
      </c>
      <c r="L1688" s="14" t="n">
        <v>186106.1326217652</v>
      </c>
      <c r="M1688" s="14" t="n">
        <v>0</v>
      </c>
      <c r="N1688" s="14" t="n">
        <v>232463.7834638708</v>
      </c>
      <c r="O1688" s="14" t="n">
        <v>862245.6939879175</v>
      </c>
      <c r="P1688" s="14" t="n">
        <v>54073.12521817076</v>
      </c>
      <c r="Q1688" s="14" t="n">
        <v>6619599.753841506</v>
      </c>
      <c r="R1688" s="15">
        <f>IF(D1688=1,"Section 1","Control")</f>
        <v/>
      </c>
      <c r="S1688" s="16">
        <f>N1688/10000</f>
        <v/>
      </c>
      <c r="T1688" s="16">
        <f>P1688/10000</f>
        <v/>
      </c>
      <c r="U1688" s="15">
        <f>IF(N1688&gt;=Summary!$D$3,1,0)</f>
        <v/>
      </c>
      <c r="V1688" s="17">
        <f>IF(N1688&gt;0,P1688/N1688,"")</f>
        <v/>
      </c>
      <c r="W1688" s="17">
        <f>IF(O1688&gt;0,H1688/O1688,"")</f>
        <v/>
      </c>
    </row>
    <row r="1689">
      <c r="A1689" s="13" t="inlineStr">
        <is>
          <t>CE14_B2</t>
        </is>
      </c>
      <c r="B1689" s="13" t="inlineStr">
        <is>
          <t>CE14</t>
        </is>
      </c>
      <c r="C1689" s="13" t="inlineStr">
        <is>
          <t>B2</t>
        </is>
      </c>
      <c r="D1689" s="13" t="n">
        <v>0</v>
      </c>
      <c r="E1689" s="13" t="inlineStr">
        <is>
          <t>E</t>
        </is>
      </c>
      <c r="F1689" s="13" t="n">
        <v>2020</v>
      </c>
      <c r="G1689" s="14" t="n">
        <v>1025766.469278014</v>
      </c>
      <c r="H1689" s="14" t="n">
        <v>120779.2372992721</v>
      </c>
      <c r="I1689" s="14" t="n">
        <v>391613.6102166866</v>
      </c>
      <c r="J1689" s="14" t="n">
        <v>0</v>
      </c>
      <c r="K1689" s="14" t="n">
        <v>739.0976991840438</v>
      </c>
      <c r="L1689" s="14" t="n">
        <v>512634.5240628708</v>
      </c>
      <c r="M1689" s="14" t="n">
        <v>0</v>
      </c>
      <c r="N1689" s="14" t="n">
        <v>120779.2372992721</v>
      </c>
      <c r="O1689" s="14" t="n">
        <v>513131.9452151428</v>
      </c>
      <c r="P1689" s="14" t="n">
        <v>0</v>
      </c>
      <c r="Q1689" s="14" t="n">
        <v>3571325.861196959</v>
      </c>
      <c r="R1689" s="15">
        <f>IF(D1689=1,"Section 1","Control")</f>
        <v/>
      </c>
      <c r="S1689" s="16">
        <f>N1689/10000</f>
        <v/>
      </c>
      <c r="T1689" s="16">
        <f>P1689/10000</f>
        <v/>
      </c>
      <c r="U1689" s="15">
        <f>IF(N1689&gt;=Summary!$D$3,1,0)</f>
        <v/>
      </c>
      <c r="V1689" s="17">
        <f>IF(N1689&gt;0,P1689/N1689,"")</f>
        <v/>
      </c>
      <c r="W1689" s="17">
        <f>IF(O1689&gt;0,H1689/O1689,"")</f>
        <v/>
      </c>
    </row>
    <row r="1690">
      <c r="A1690" s="13" t="inlineStr">
        <is>
          <t>CE14_B2</t>
        </is>
      </c>
      <c r="B1690" s="13" t="inlineStr">
        <is>
          <t>CE14</t>
        </is>
      </c>
      <c r="C1690" s="13" t="inlineStr">
        <is>
          <t>B2</t>
        </is>
      </c>
      <c r="D1690" s="13" t="n">
        <v>0</v>
      </c>
      <c r="E1690" s="13" t="inlineStr">
        <is>
          <t>E</t>
        </is>
      </c>
      <c r="F1690" s="13" t="n">
        <v>2021</v>
      </c>
      <c r="G1690" s="14" t="n">
        <v>1025766.469278014</v>
      </c>
      <c r="H1690" s="14" t="n">
        <v>107903.2325221043</v>
      </c>
      <c r="I1690" s="14" t="n">
        <v>399484.728484868</v>
      </c>
      <c r="J1690" s="14" t="n">
        <v>0</v>
      </c>
      <c r="K1690" s="14" t="n">
        <v>5743.984208170574</v>
      </c>
      <c r="L1690" s="14" t="n">
        <v>512634.5240628708</v>
      </c>
      <c r="M1690" s="14" t="n">
        <v>0</v>
      </c>
      <c r="N1690" s="14" t="n">
        <v>120779.2372992721</v>
      </c>
      <c r="O1690" s="14" t="n">
        <v>513131.9452151428</v>
      </c>
      <c r="P1690" s="14" t="n">
        <v>20685.52130100026</v>
      </c>
      <c r="Q1690" s="14" t="n">
        <v>3571325.861196959</v>
      </c>
      <c r="R1690" s="15">
        <f>IF(D1690=1,"Section 1","Control")</f>
        <v/>
      </c>
      <c r="S1690" s="16">
        <f>N1690/10000</f>
        <v/>
      </c>
      <c r="T1690" s="16">
        <f>P1690/10000</f>
        <v/>
      </c>
      <c r="U1690" s="15">
        <f>IF(N1690&gt;=Summary!$D$3,1,0)</f>
        <v/>
      </c>
      <c r="V1690" s="17">
        <f>IF(N1690&gt;0,P1690/N1690,"")</f>
        <v/>
      </c>
      <c r="W1690" s="17">
        <f>IF(O1690&gt;0,H1690/O1690,"")</f>
        <v/>
      </c>
    </row>
    <row r="1691">
      <c r="A1691" s="13" t="inlineStr">
        <is>
          <t>CE14_B2</t>
        </is>
      </c>
      <c r="B1691" s="13" t="inlineStr">
        <is>
          <t>CE14</t>
        </is>
      </c>
      <c r="C1691" s="13" t="inlineStr">
        <is>
          <t>B2</t>
        </is>
      </c>
      <c r="D1691" s="13" t="n">
        <v>0</v>
      </c>
      <c r="E1691" s="13" t="inlineStr">
        <is>
          <t>E</t>
        </is>
      </c>
      <c r="F1691" s="13" t="n">
        <v>2022</v>
      </c>
      <c r="G1691" s="14" t="n">
        <v>1025766.469278014</v>
      </c>
      <c r="H1691" s="14" t="n">
        <v>113033.2243672988</v>
      </c>
      <c r="I1691" s="14" t="n">
        <v>348867.5082048901</v>
      </c>
      <c r="J1691" s="14" t="n">
        <v>0</v>
      </c>
      <c r="K1691" s="14" t="n">
        <v>51231.21264295391</v>
      </c>
      <c r="L1691" s="14" t="n">
        <v>512634.5240628708</v>
      </c>
      <c r="M1691" s="14" t="n">
        <v>0</v>
      </c>
      <c r="N1691" s="14" t="n">
        <v>120779.2372992721</v>
      </c>
      <c r="O1691" s="14" t="n">
        <v>513131.9452151429</v>
      </c>
      <c r="P1691" s="14" t="n">
        <v>17433.30993870754</v>
      </c>
      <c r="Q1691" s="14" t="n">
        <v>3571325.86119696</v>
      </c>
      <c r="R1691" s="15">
        <f>IF(D1691=1,"Section 1","Control")</f>
        <v/>
      </c>
      <c r="S1691" s="16">
        <f>N1691/10000</f>
        <v/>
      </c>
      <c r="T1691" s="16">
        <f>P1691/10000</f>
        <v/>
      </c>
      <c r="U1691" s="15">
        <f>IF(N1691&gt;=Summary!$D$3,1,0)</f>
        <v/>
      </c>
      <c r="V1691" s="17">
        <f>IF(N1691&gt;0,P1691/N1691,"")</f>
        <v/>
      </c>
      <c r="W1691" s="17">
        <f>IF(O1691&gt;0,H1691/O1691,"")</f>
        <v/>
      </c>
    </row>
    <row r="1692">
      <c r="A1692" s="13" t="inlineStr">
        <is>
          <t>CE14_B2</t>
        </is>
      </c>
      <c r="B1692" s="13" t="inlineStr">
        <is>
          <t>CE14</t>
        </is>
      </c>
      <c r="C1692" s="13" t="inlineStr">
        <is>
          <t>B2</t>
        </is>
      </c>
      <c r="D1692" s="13" t="n">
        <v>0</v>
      </c>
      <c r="E1692" s="13" t="inlineStr">
        <is>
          <t>E</t>
        </is>
      </c>
      <c r="F1692" s="13" t="n">
        <v>2023</v>
      </c>
      <c r="G1692" s="14" t="n">
        <v>1025766.469278014</v>
      </c>
      <c r="H1692" s="14" t="n">
        <v>157930.5504181507</v>
      </c>
      <c r="I1692" s="14" t="n">
        <v>348609.5112022249</v>
      </c>
      <c r="J1692" s="14" t="n">
        <v>0</v>
      </c>
      <c r="K1692" s="14" t="n">
        <v>6591.883594767252</v>
      </c>
      <c r="L1692" s="14" t="n">
        <v>512634.5240628708</v>
      </c>
      <c r="M1692" s="14" t="n">
        <v>0</v>
      </c>
      <c r="N1692" s="14" t="n">
        <v>120779.2372992721</v>
      </c>
      <c r="O1692" s="14" t="n">
        <v>513131.9452151429</v>
      </c>
      <c r="P1692" s="14" t="n">
        <v>6330.93893585205</v>
      </c>
      <c r="Q1692" s="14" t="n">
        <v>3571325.861196959</v>
      </c>
      <c r="R1692" s="15">
        <f>IF(D1692=1,"Section 1","Control")</f>
        <v/>
      </c>
      <c r="S1692" s="16">
        <f>N1692/10000</f>
        <v/>
      </c>
      <c r="T1692" s="16">
        <f>P1692/10000</f>
        <v/>
      </c>
      <c r="U1692" s="15">
        <f>IF(N1692&gt;=Summary!$D$3,1,0)</f>
        <v/>
      </c>
      <c r="V1692" s="17">
        <f>IF(N1692&gt;0,P1692/N1692,"")</f>
        <v/>
      </c>
      <c r="W1692" s="17">
        <f>IF(O1692&gt;0,H1692/O1692,"")</f>
        <v/>
      </c>
    </row>
    <row r="1693">
      <c r="A1693" s="13" t="inlineStr">
        <is>
          <t>CE14_B2</t>
        </is>
      </c>
      <c r="B1693" s="13" t="inlineStr">
        <is>
          <t>CE14</t>
        </is>
      </c>
      <c r="C1693" s="13" t="inlineStr">
        <is>
          <t>B2</t>
        </is>
      </c>
      <c r="D1693" s="13" t="n">
        <v>0</v>
      </c>
      <c r="E1693" s="13" t="inlineStr">
        <is>
          <t>E</t>
        </is>
      </c>
      <c r="F1693" s="13" t="n">
        <v>2024</v>
      </c>
      <c r="G1693" s="14" t="n">
        <v>1025766.469278014</v>
      </c>
      <c r="H1693" s="14" t="n">
        <v>189703.7045493631</v>
      </c>
      <c r="I1693" s="14" t="n">
        <v>318461.284672277</v>
      </c>
      <c r="J1693" s="14" t="n">
        <v>0</v>
      </c>
      <c r="K1693" s="14" t="n">
        <v>4966.955993502748</v>
      </c>
      <c r="L1693" s="14" t="n">
        <v>512634.5240628708</v>
      </c>
      <c r="M1693" s="14" t="n">
        <v>0</v>
      </c>
      <c r="N1693" s="14" t="n">
        <v>120779.2372992721</v>
      </c>
      <c r="O1693" s="14" t="n">
        <v>513131.9452151429</v>
      </c>
      <c r="P1693" s="14" t="n">
        <v>6320.094334830489</v>
      </c>
      <c r="Q1693" s="14" t="n">
        <v>3571325.86119696</v>
      </c>
      <c r="R1693" s="15">
        <f>IF(D1693=1,"Section 1","Control")</f>
        <v/>
      </c>
      <c r="S1693" s="16">
        <f>N1693/10000</f>
        <v/>
      </c>
      <c r="T1693" s="16">
        <f>P1693/10000</f>
        <v/>
      </c>
      <c r="U1693" s="15">
        <f>IF(N1693&gt;=Summary!$D$3,1,0)</f>
        <v/>
      </c>
      <c r="V1693" s="17">
        <f>IF(N1693&gt;0,P1693/N1693,"")</f>
        <v/>
      </c>
      <c r="W1693" s="17">
        <f>IF(O1693&gt;0,H1693/O1693,"")</f>
        <v/>
      </c>
    </row>
    <row r="1694">
      <c r="A1694" s="13" t="inlineStr">
        <is>
          <t>CE14_B2</t>
        </is>
      </c>
      <c r="B1694" s="13" t="inlineStr">
        <is>
          <t>CE14</t>
        </is>
      </c>
      <c r="C1694" s="13" t="inlineStr">
        <is>
          <t>B2</t>
        </is>
      </c>
      <c r="D1694" s="13" t="n">
        <v>0</v>
      </c>
      <c r="E1694" s="13" t="inlineStr">
        <is>
          <t>E</t>
        </is>
      </c>
      <c r="F1694" s="13" t="n">
        <v>2025</v>
      </c>
      <c r="G1694" s="14" t="n">
        <v>1025766.469278014</v>
      </c>
      <c r="H1694" s="14" t="n">
        <v>164865.0842733944</v>
      </c>
      <c r="I1694" s="14" t="n">
        <v>343102.4516553989</v>
      </c>
      <c r="J1694" s="14" t="n">
        <v>0</v>
      </c>
      <c r="K1694" s="14" t="n">
        <v>5164.409286349428</v>
      </c>
      <c r="L1694" s="14" t="n">
        <v>512634.5240628708</v>
      </c>
      <c r="M1694" s="14" t="n">
        <v>0</v>
      </c>
      <c r="N1694" s="14" t="n">
        <v>120779.2372992721</v>
      </c>
      <c r="O1694" s="14" t="n">
        <v>513131.9452151428</v>
      </c>
      <c r="P1694" s="14" t="n">
        <v>7880.37283187567</v>
      </c>
      <c r="Q1694" s="14" t="n">
        <v>3571325.861196959</v>
      </c>
      <c r="R1694" s="15">
        <f>IF(D1694=1,"Section 1","Control")</f>
        <v/>
      </c>
      <c r="S1694" s="16">
        <f>N1694/10000</f>
        <v/>
      </c>
      <c r="T1694" s="16">
        <f>P1694/10000</f>
        <v/>
      </c>
      <c r="U1694" s="15">
        <f>IF(N1694&gt;=Summary!$D$3,1,0)</f>
        <v/>
      </c>
      <c r="V1694" s="17">
        <f>IF(N1694&gt;0,P1694/N1694,"")</f>
        <v/>
      </c>
      <c r="W1694" s="17">
        <f>IF(O1694&gt;0,H1694/O1694,"")</f>
        <v/>
      </c>
    </row>
    <row r="1695">
      <c r="A1695" s="13" t="inlineStr">
        <is>
          <t>CE14_B2</t>
        </is>
      </c>
      <c r="B1695" s="13" t="inlineStr">
        <is>
          <t>CE14</t>
        </is>
      </c>
      <c r="C1695" s="13" t="inlineStr">
        <is>
          <t>B2</t>
        </is>
      </c>
      <c r="D1695" s="13" t="n">
        <v>0</v>
      </c>
      <c r="E1695" s="13" t="inlineStr">
        <is>
          <t>E</t>
        </is>
      </c>
      <c r="F1695" s="13" t="n">
        <v>2026</v>
      </c>
      <c r="G1695" s="14" t="n">
        <v>1025766.469278014</v>
      </c>
      <c r="H1695" s="14" t="n">
        <v>207842.4167415245</v>
      </c>
      <c r="I1695" s="14" t="n">
        <v>300125.1226357552</v>
      </c>
      <c r="J1695" s="14" t="n">
        <v>0</v>
      </c>
      <c r="K1695" s="14" t="n">
        <v>5164.4058378631</v>
      </c>
      <c r="L1695" s="14" t="n">
        <v>512634.5240628708</v>
      </c>
      <c r="M1695" s="14" t="n">
        <v>0</v>
      </c>
      <c r="N1695" s="14" t="n">
        <v>120779.2372992721</v>
      </c>
      <c r="O1695" s="14" t="n">
        <v>513131.9452151429</v>
      </c>
      <c r="P1695" s="14" t="n">
        <v>3520.114233159084</v>
      </c>
      <c r="Q1695" s="14" t="n">
        <v>3571325.861196959</v>
      </c>
      <c r="R1695" s="15">
        <f>IF(D1695=1,"Section 1","Control")</f>
        <v/>
      </c>
      <c r="S1695" s="16">
        <f>N1695/10000</f>
        <v/>
      </c>
      <c r="T1695" s="16">
        <f>P1695/10000</f>
        <v/>
      </c>
      <c r="U1695" s="15">
        <f>IF(N1695&gt;=Summary!$D$3,1,0)</f>
        <v/>
      </c>
      <c r="V1695" s="17">
        <f>IF(N1695&gt;0,P1695/N1695,"")</f>
        <v/>
      </c>
      <c r="W1695" s="17">
        <f>IF(O1695&gt;0,H1695/O1695,"")</f>
        <v/>
      </c>
    </row>
    <row r="1696">
      <c r="A1696" s="13" t="inlineStr">
        <is>
          <t>CE14_B3</t>
        </is>
      </c>
      <c r="B1696" s="13" t="inlineStr">
        <is>
          <t>CE14</t>
        </is>
      </c>
      <c r="C1696" s="13" t="inlineStr">
        <is>
          <t>B3</t>
        </is>
      </c>
      <c r="D1696" s="13" t="n">
        <v>0</v>
      </c>
      <c r="E1696" s="13" t="inlineStr">
        <is>
          <t>E</t>
        </is>
      </c>
      <c r="F1696" s="13" t="n">
        <v>2020</v>
      </c>
      <c r="G1696" s="14" t="n">
        <v>8205737.849878768</v>
      </c>
      <c r="H1696" s="14" t="n">
        <v>2553951.450207938</v>
      </c>
      <c r="I1696" s="14" t="n">
        <v>952333.8929114848</v>
      </c>
      <c r="J1696" s="14" t="n">
        <v>0</v>
      </c>
      <c r="K1696" s="14" t="n">
        <v>36920.57426569321</v>
      </c>
      <c r="L1696" s="14" t="n">
        <v>4662531.932493651</v>
      </c>
      <c r="M1696" s="14" t="n">
        <v>0</v>
      </c>
      <c r="N1696" s="14" t="n">
        <v>2553951.450207938</v>
      </c>
      <c r="O1696" s="14" t="n">
        <v>3543205.917385117</v>
      </c>
      <c r="P1696" s="14" t="n">
        <v>0</v>
      </c>
      <c r="Q1696" s="14" t="n">
        <v>35201131.4306749</v>
      </c>
      <c r="R1696" s="15">
        <f>IF(D1696=1,"Section 1","Control")</f>
        <v/>
      </c>
      <c r="S1696" s="16">
        <f>N1696/10000</f>
        <v/>
      </c>
      <c r="T1696" s="16">
        <f>P1696/10000</f>
        <v/>
      </c>
      <c r="U1696" s="15">
        <f>IF(N1696&gt;=Summary!$D$3,1,0)</f>
        <v/>
      </c>
      <c r="V1696" s="17">
        <f>IF(N1696&gt;0,P1696/N1696,"")</f>
        <v/>
      </c>
      <c r="W1696" s="17">
        <f>IF(O1696&gt;0,H1696/O1696,"")</f>
        <v/>
      </c>
    </row>
    <row r="1697">
      <c r="A1697" s="13" t="inlineStr">
        <is>
          <t>CE14_B3</t>
        </is>
      </c>
      <c r="B1697" s="13" t="inlineStr">
        <is>
          <t>CE14</t>
        </is>
      </c>
      <c r="C1697" s="13" t="inlineStr">
        <is>
          <t>B3</t>
        </is>
      </c>
      <c r="D1697" s="13" t="n">
        <v>0</v>
      </c>
      <c r="E1697" s="13" t="inlineStr">
        <is>
          <t>E</t>
        </is>
      </c>
      <c r="F1697" s="13" t="n">
        <v>2021</v>
      </c>
      <c r="G1697" s="14" t="n">
        <v>8205737.849878767</v>
      </c>
      <c r="H1697" s="14" t="n">
        <v>2323622.524051652</v>
      </c>
      <c r="I1697" s="14" t="n">
        <v>941209.402841426</v>
      </c>
      <c r="J1697" s="14" t="n">
        <v>0</v>
      </c>
      <c r="K1697" s="14" t="n">
        <v>333310.7511992212</v>
      </c>
      <c r="L1697" s="14" t="n">
        <v>4607595.171786468</v>
      </c>
      <c r="M1697" s="14" t="n">
        <v>0</v>
      </c>
      <c r="N1697" s="14" t="n">
        <v>2553951.450207938</v>
      </c>
      <c r="O1697" s="14" t="n">
        <v>3543205.917385116</v>
      </c>
      <c r="P1697" s="14" t="n">
        <v>239325.656981285</v>
      </c>
      <c r="Q1697" s="14" t="n">
        <v>35201131.4306749</v>
      </c>
      <c r="R1697" s="15">
        <f>IF(D1697=1,"Section 1","Control")</f>
        <v/>
      </c>
      <c r="S1697" s="16">
        <f>N1697/10000</f>
        <v/>
      </c>
      <c r="T1697" s="16">
        <f>P1697/10000</f>
        <v/>
      </c>
      <c r="U1697" s="15">
        <f>IF(N1697&gt;=Summary!$D$3,1,0)</f>
        <v/>
      </c>
      <c r="V1697" s="17">
        <f>IF(N1697&gt;0,P1697/N1697,"")</f>
        <v/>
      </c>
      <c r="W1697" s="17">
        <f>IF(O1697&gt;0,H1697/O1697,"")</f>
        <v/>
      </c>
    </row>
    <row r="1698">
      <c r="A1698" s="13" t="inlineStr">
        <is>
          <t>CE14_B3</t>
        </is>
      </c>
      <c r="B1698" s="13" t="inlineStr">
        <is>
          <t>CE14</t>
        </is>
      </c>
      <c r="C1698" s="13" t="inlineStr">
        <is>
          <t>B3</t>
        </is>
      </c>
      <c r="D1698" s="13" t="n">
        <v>0</v>
      </c>
      <c r="E1698" s="13" t="inlineStr">
        <is>
          <t>E</t>
        </is>
      </c>
      <c r="F1698" s="13" t="n">
        <v>2022</v>
      </c>
      <c r="G1698" s="14" t="n">
        <v>8205737.849878767</v>
      </c>
      <c r="H1698" s="14" t="n">
        <v>2322814.83992534</v>
      </c>
      <c r="I1698" s="14" t="n">
        <v>954502.7671927956</v>
      </c>
      <c r="J1698" s="14" t="n">
        <v>0</v>
      </c>
      <c r="K1698" s="14" t="n">
        <v>378531.8544069477</v>
      </c>
      <c r="L1698" s="14" t="n">
        <v>4549888.388353685</v>
      </c>
      <c r="M1698" s="14" t="n">
        <v>0</v>
      </c>
      <c r="N1698" s="14" t="n">
        <v>2553951.450207938</v>
      </c>
      <c r="O1698" s="14" t="n">
        <v>3543205.917385116</v>
      </c>
      <c r="P1698" s="14" t="n">
        <v>255541.8244169348</v>
      </c>
      <c r="Q1698" s="14" t="n">
        <v>35201131.4306749</v>
      </c>
      <c r="R1698" s="15">
        <f>IF(D1698=1,"Section 1","Control")</f>
        <v/>
      </c>
      <c r="S1698" s="16">
        <f>N1698/10000</f>
        <v/>
      </c>
      <c r="T1698" s="16">
        <f>P1698/10000</f>
        <v/>
      </c>
      <c r="U1698" s="15">
        <f>IF(N1698&gt;=Summary!$D$3,1,0)</f>
        <v/>
      </c>
      <c r="V1698" s="17">
        <f>IF(N1698&gt;0,P1698/N1698,"")</f>
        <v/>
      </c>
      <c r="W1698" s="17">
        <f>IF(O1698&gt;0,H1698/O1698,"")</f>
        <v/>
      </c>
    </row>
    <row r="1699">
      <c r="A1699" s="13" t="inlineStr">
        <is>
          <t>CE14_B3</t>
        </is>
      </c>
      <c r="B1699" s="13" t="inlineStr">
        <is>
          <t>CE14</t>
        </is>
      </c>
      <c r="C1699" s="13" t="inlineStr">
        <is>
          <t>B3</t>
        </is>
      </c>
      <c r="D1699" s="13" t="n">
        <v>0</v>
      </c>
      <c r="E1699" s="13" t="inlineStr">
        <is>
          <t>E</t>
        </is>
      </c>
      <c r="F1699" s="13" t="n">
        <v>2023</v>
      </c>
      <c r="G1699" s="14" t="n">
        <v>8205737.849878768</v>
      </c>
      <c r="H1699" s="14" t="n">
        <v>2363863.98224577</v>
      </c>
      <c r="I1699" s="14" t="n">
        <v>986751.6467680988</v>
      </c>
      <c r="J1699" s="14" t="n">
        <v>0</v>
      </c>
      <c r="K1699" s="14" t="n">
        <v>188907.3328527114</v>
      </c>
      <c r="L1699" s="14" t="n">
        <v>4666214.888012188</v>
      </c>
      <c r="M1699" s="14" t="n">
        <v>0</v>
      </c>
      <c r="N1699" s="14" t="n">
        <v>2553951.450207938</v>
      </c>
      <c r="O1699" s="14" t="n">
        <v>3543205.917385116</v>
      </c>
      <c r="P1699" s="14" t="n">
        <v>229103.5915181478</v>
      </c>
      <c r="Q1699" s="14" t="n">
        <v>35201131.4306749</v>
      </c>
      <c r="R1699" s="15">
        <f>IF(D1699=1,"Section 1","Control")</f>
        <v/>
      </c>
      <c r="S1699" s="16">
        <f>N1699/10000</f>
        <v/>
      </c>
      <c r="T1699" s="16">
        <f>P1699/10000</f>
        <v/>
      </c>
      <c r="U1699" s="15">
        <f>IF(N1699&gt;=Summary!$D$3,1,0)</f>
        <v/>
      </c>
      <c r="V1699" s="17">
        <f>IF(N1699&gt;0,P1699/N1699,"")</f>
        <v/>
      </c>
      <c r="W1699" s="17">
        <f>IF(O1699&gt;0,H1699/O1699,"")</f>
        <v/>
      </c>
    </row>
    <row r="1700">
      <c r="A1700" s="13" t="inlineStr">
        <is>
          <t>CE14_B3</t>
        </is>
      </c>
      <c r="B1700" s="13" t="inlineStr">
        <is>
          <t>CE14</t>
        </is>
      </c>
      <c r="C1700" s="13" t="inlineStr">
        <is>
          <t>B3</t>
        </is>
      </c>
      <c r="D1700" s="13" t="n">
        <v>0</v>
      </c>
      <c r="E1700" s="13" t="inlineStr">
        <is>
          <t>E</t>
        </is>
      </c>
      <c r="F1700" s="13" t="n">
        <v>2024</v>
      </c>
      <c r="G1700" s="14" t="n">
        <v>8205737.849878768</v>
      </c>
      <c r="H1700" s="14" t="n">
        <v>2461685.767528848</v>
      </c>
      <c r="I1700" s="14" t="n">
        <v>922557.4634354536</v>
      </c>
      <c r="J1700" s="14" t="n">
        <v>0</v>
      </c>
      <c r="K1700" s="14" t="n">
        <v>182911.1011865952</v>
      </c>
      <c r="L1700" s="14" t="n">
        <v>4638583.517727871</v>
      </c>
      <c r="M1700" s="14" t="n">
        <v>0</v>
      </c>
      <c r="N1700" s="14" t="n">
        <v>2553951.450207938</v>
      </c>
      <c r="O1700" s="14" t="n">
        <v>3543205.917385116</v>
      </c>
      <c r="P1700" s="14" t="n">
        <v>174831.5385436114</v>
      </c>
      <c r="Q1700" s="14" t="n">
        <v>35201131.4306749</v>
      </c>
      <c r="R1700" s="15">
        <f>IF(D1700=1,"Section 1","Control")</f>
        <v/>
      </c>
      <c r="S1700" s="16">
        <f>N1700/10000</f>
        <v/>
      </c>
      <c r="T1700" s="16">
        <f>P1700/10000</f>
        <v/>
      </c>
      <c r="U1700" s="15">
        <f>IF(N1700&gt;=Summary!$D$3,1,0)</f>
        <v/>
      </c>
      <c r="V1700" s="17">
        <f>IF(N1700&gt;0,P1700/N1700,"")</f>
        <v/>
      </c>
      <c r="W1700" s="17">
        <f>IF(O1700&gt;0,H1700/O1700,"")</f>
        <v/>
      </c>
    </row>
    <row r="1701">
      <c r="A1701" s="13" t="inlineStr">
        <is>
          <t>CE14_B3</t>
        </is>
      </c>
      <c r="B1701" s="13" t="inlineStr">
        <is>
          <t>CE14</t>
        </is>
      </c>
      <c r="C1701" s="13" t="inlineStr">
        <is>
          <t>B3</t>
        </is>
      </c>
      <c r="D1701" s="13" t="n">
        <v>0</v>
      </c>
      <c r="E1701" s="13" t="inlineStr">
        <is>
          <t>E</t>
        </is>
      </c>
      <c r="F1701" s="13" t="n">
        <v>2025</v>
      </c>
      <c r="G1701" s="14" t="n">
        <v>8205737.849878767</v>
      </c>
      <c r="H1701" s="14" t="n">
        <v>2442888.099269403</v>
      </c>
      <c r="I1701" s="14" t="n">
        <v>923212.6151294784</v>
      </c>
      <c r="J1701" s="14" t="n">
        <v>0</v>
      </c>
      <c r="K1701" s="14" t="n">
        <v>183430.8893450269</v>
      </c>
      <c r="L1701" s="14" t="n">
        <v>4656206.24613486</v>
      </c>
      <c r="M1701" s="14" t="n">
        <v>0</v>
      </c>
      <c r="N1701" s="14" t="n">
        <v>2553951.450207938</v>
      </c>
      <c r="O1701" s="14" t="n">
        <v>3543205.917385116</v>
      </c>
      <c r="P1701" s="14" t="n">
        <v>200643.0110525991</v>
      </c>
      <c r="Q1701" s="14" t="n">
        <v>35201131.4306749</v>
      </c>
      <c r="R1701" s="15">
        <f>IF(D1701=1,"Section 1","Control")</f>
        <v/>
      </c>
      <c r="S1701" s="16">
        <f>N1701/10000</f>
        <v/>
      </c>
      <c r="T1701" s="16">
        <f>P1701/10000</f>
        <v/>
      </c>
      <c r="U1701" s="15">
        <f>IF(N1701&gt;=Summary!$D$3,1,0)</f>
        <v/>
      </c>
      <c r="V1701" s="17">
        <f>IF(N1701&gt;0,P1701/N1701,"")</f>
        <v/>
      </c>
      <c r="W1701" s="17">
        <f>IF(O1701&gt;0,H1701/O1701,"")</f>
        <v/>
      </c>
    </row>
    <row r="1702">
      <c r="A1702" s="13" t="inlineStr">
        <is>
          <t>CE14_B3</t>
        </is>
      </c>
      <c r="B1702" s="13" t="inlineStr">
        <is>
          <t>CE14</t>
        </is>
      </c>
      <c r="C1702" s="13" t="inlineStr">
        <is>
          <t>B3</t>
        </is>
      </c>
      <c r="D1702" s="13" t="n">
        <v>0</v>
      </c>
      <c r="E1702" s="13" t="inlineStr">
        <is>
          <t>E</t>
        </is>
      </c>
      <c r="F1702" s="13" t="n">
        <v>2026</v>
      </c>
      <c r="G1702" s="14" t="n">
        <v>8205737.849878767</v>
      </c>
      <c r="H1702" s="14" t="n">
        <v>2639318.367852274</v>
      </c>
      <c r="I1702" s="14" t="n">
        <v>713123.8327293247</v>
      </c>
      <c r="J1702" s="14" t="n">
        <v>0</v>
      </c>
      <c r="K1702" s="14" t="n">
        <v>193337.9270575729</v>
      </c>
      <c r="L1702" s="14" t="n">
        <v>4659957.722239595</v>
      </c>
      <c r="M1702" s="14" t="n">
        <v>0</v>
      </c>
      <c r="N1702" s="14" t="n">
        <v>2553951.450207938</v>
      </c>
      <c r="O1702" s="14" t="n">
        <v>3543205.917385116</v>
      </c>
      <c r="P1702" s="14" t="n">
        <v>148665.2291908414</v>
      </c>
      <c r="Q1702" s="14" t="n">
        <v>35201131.4306749</v>
      </c>
      <c r="R1702" s="15">
        <f>IF(D1702=1,"Section 1","Control")</f>
        <v/>
      </c>
      <c r="S1702" s="16">
        <f>N1702/10000</f>
        <v/>
      </c>
      <c r="T1702" s="16">
        <f>P1702/10000</f>
        <v/>
      </c>
      <c r="U1702" s="15">
        <f>IF(N1702&gt;=Summary!$D$3,1,0)</f>
        <v/>
      </c>
      <c r="V1702" s="17">
        <f>IF(N1702&gt;0,P1702/N1702,"")</f>
        <v/>
      </c>
      <c r="W1702" s="17">
        <f>IF(O1702&gt;0,H1702/O1702,"")</f>
        <v/>
      </c>
    </row>
    <row r="1703">
      <c r="A1703" s="13" t="inlineStr">
        <is>
          <t>CE14_F</t>
        </is>
      </c>
      <c r="B1703" s="13" t="inlineStr">
        <is>
          <t>CE14</t>
        </is>
      </c>
      <c r="C1703" s="13" t="inlineStr">
        <is>
          <t>F</t>
        </is>
      </c>
      <c r="D1703" s="13" t="n">
        <v>0</v>
      </c>
      <c r="E1703" s="13" t="inlineStr">
        <is>
          <t>E</t>
        </is>
      </c>
      <c r="F1703" s="13" t="n">
        <v>2020</v>
      </c>
      <c r="G1703" s="14" t="n">
        <v>71071.34379460951</v>
      </c>
      <c r="H1703" s="14" t="n">
        <v>29055.19487373502</v>
      </c>
      <c r="I1703" s="14" t="n">
        <v>26405.03683615293</v>
      </c>
      <c r="J1703" s="14" t="n">
        <v>0</v>
      </c>
      <c r="K1703" s="14" t="n">
        <v>15611.11208472158</v>
      </c>
      <c r="L1703" s="14" t="n">
        <v>0</v>
      </c>
      <c r="M1703" s="14" t="n">
        <v>0</v>
      </c>
      <c r="N1703" s="14" t="n">
        <v>29055.19487373502</v>
      </c>
      <c r="O1703" s="14" t="n">
        <v>71071.34379460951</v>
      </c>
      <c r="P1703" s="14" t="n">
        <v>0</v>
      </c>
      <c r="Q1703" s="14" t="n">
        <v>547129.6919974533</v>
      </c>
      <c r="R1703" s="15">
        <f>IF(D1703=1,"Section 1","Control")</f>
        <v/>
      </c>
      <c r="S1703" s="16">
        <f>N1703/10000</f>
        <v/>
      </c>
      <c r="T1703" s="16">
        <f>P1703/10000</f>
        <v/>
      </c>
      <c r="U1703" s="15">
        <f>IF(N1703&gt;=Summary!$D$3,1,0)</f>
        <v/>
      </c>
      <c r="V1703" s="17">
        <f>IF(N1703&gt;0,P1703/N1703,"")</f>
        <v/>
      </c>
      <c r="W1703" s="17">
        <f>IF(O1703&gt;0,H1703/O1703,"")</f>
        <v/>
      </c>
    </row>
    <row r="1704">
      <c r="A1704" s="13" t="inlineStr">
        <is>
          <t>CE14_F</t>
        </is>
      </c>
      <c r="B1704" s="13" t="inlineStr">
        <is>
          <t>CE14</t>
        </is>
      </c>
      <c r="C1704" s="13" t="inlineStr">
        <is>
          <t>F</t>
        </is>
      </c>
      <c r="D1704" s="13" t="n">
        <v>0</v>
      </c>
      <c r="E1704" s="13" t="inlineStr">
        <is>
          <t>E</t>
        </is>
      </c>
      <c r="F1704" s="13" t="n">
        <v>2021</v>
      </c>
      <c r="G1704" s="14" t="n">
        <v>71071.34379460951</v>
      </c>
      <c r="H1704" s="14" t="n">
        <v>26768.94904680439</v>
      </c>
      <c r="I1704" s="14" t="n">
        <v>15153.08275251202</v>
      </c>
      <c r="J1704" s="14" t="n">
        <v>0</v>
      </c>
      <c r="K1704" s="14" t="n">
        <v>29149.31199529312</v>
      </c>
      <c r="L1704" s="14" t="n">
        <v>0</v>
      </c>
      <c r="M1704" s="14" t="n">
        <v>0</v>
      </c>
      <c r="N1704" s="14" t="n">
        <v>29055.19487373502</v>
      </c>
      <c r="O1704" s="14" t="n">
        <v>71071.34379460951</v>
      </c>
      <c r="P1704" s="14" t="n">
        <v>5939.585678459616</v>
      </c>
      <c r="Q1704" s="14" t="n">
        <v>547129.6919974533</v>
      </c>
      <c r="R1704" s="15">
        <f>IF(D1704=1,"Section 1","Control")</f>
        <v/>
      </c>
      <c r="S1704" s="16">
        <f>N1704/10000</f>
        <v/>
      </c>
      <c r="T1704" s="16">
        <f>P1704/10000</f>
        <v/>
      </c>
      <c r="U1704" s="15">
        <f>IF(N1704&gt;=Summary!$D$3,1,0)</f>
        <v/>
      </c>
      <c r="V1704" s="17">
        <f>IF(N1704&gt;0,P1704/N1704,"")</f>
        <v/>
      </c>
      <c r="W1704" s="17">
        <f>IF(O1704&gt;0,H1704/O1704,"")</f>
        <v/>
      </c>
    </row>
    <row r="1705">
      <c r="A1705" s="13" t="inlineStr">
        <is>
          <t>CE14_F</t>
        </is>
      </c>
      <c r="B1705" s="13" t="inlineStr">
        <is>
          <t>CE14</t>
        </is>
      </c>
      <c r="C1705" s="13" t="inlineStr">
        <is>
          <t>F</t>
        </is>
      </c>
      <c r="D1705" s="13" t="n">
        <v>0</v>
      </c>
      <c r="E1705" s="13" t="inlineStr">
        <is>
          <t>E</t>
        </is>
      </c>
      <c r="F1705" s="13" t="n">
        <v>2022</v>
      </c>
      <c r="G1705" s="14" t="n">
        <v>71071.34379460951</v>
      </c>
      <c r="H1705" s="14" t="n">
        <v>25342.61377632291</v>
      </c>
      <c r="I1705" s="14" t="n">
        <v>10718.81587201287</v>
      </c>
      <c r="J1705" s="14" t="n">
        <v>0</v>
      </c>
      <c r="K1705" s="14" t="n">
        <v>35009.91414627375</v>
      </c>
      <c r="L1705" s="14" t="n">
        <v>0</v>
      </c>
      <c r="M1705" s="14" t="n">
        <v>0</v>
      </c>
      <c r="N1705" s="14" t="n">
        <v>29055.19487373502</v>
      </c>
      <c r="O1705" s="14" t="n">
        <v>71071.34379460951</v>
      </c>
      <c r="P1705" s="14" t="n">
        <v>7276.872063520843</v>
      </c>
      <c r="Q1705" s="14" t="n">
        <v>547129.6919974533</v>
      </c>
      <c r="R1705" s="15">
        <f>IF(D1705=1,"Section 1","Control")</f>
        <v/>
      </c>
      <c r="S1705" s="16">
        <f>N1705/10000</f>
        <v/>
      </c>
      <c r="T1705" s="16">
        <f>P1705/10000</f>
        <v/>
      </c>
      <c r="U1705" s="15">
        <f>IF(N1705&gt;=Summary!$D$3,1,0)</f>
        <v/>
      </c>
      <c r="V1705" s="17">
        <f>IF(N1705&gt;0,P1705/N1705,"")</f>
        <v/>
      </c>
      <c r="W1705" s="17">
        <f>IF(O1705&gt;0,H1705/O1705,"")</f>
        <v/>
      </c>
    </row>
    <row r="1706">
      <c r="A1706" s="13" t="inlineStr">
        <is>
          <t>CE14_F</t>
        </is>
      </c>
      <c r="B1706" s="13" t="inlineStr">
        <is>
          <t>CE14</t>
        </is>
      </c>
      <c r="C1706" s="13" t="inlineStr">
        <is>
          <t>F</t>
        </is>
      </c>
      <c r="D1706" s="13" t="n">
        <v>0</v>
      </c>
      <c r="E1706" s="13" t="inlineStr">
        <is>
          <t>E</t>
        </is>
      </c>
      <c r="F1706" s="13" t="n">
        <v>2023</v>
      </c>
      <c r="G1706" s="14" t="n">
        <v>71071.34379460951</v>
      </c>
      <c r="H1706" s="14" t="n">
        <v>16988.25529488956</v>
      </c>
      <c r="I1706" s="14" t="n">
        <v>27228.14991667505</v>
      </c>
      <c r="J1706" s="14" t="n">
        <v>0</v>
      </c>
      <c r="K1706" s="14" t="n">
        <v>26854.93858304492</v>
      </c>
      <c r="L1706" s="14" t="n">
        <v>0</v>
      </c>
      <c r="M1706" s="14" t="n">
        <v>0</v>
      </c>
      <c r="N1706" s="14" t="n">
        <v>29055.19487373502</v>
      </c>
      <c r="O1706" s="14" t="n">
        <v>71071.34379460951</v>
      </c>
      <c r="P1706" s="14" t="n">
        <v>12856.7673681521</v>
      </c>
      <c r="Q1706" s="14" t="n">
        <v>547129.6919974533</v>
      </c>
      <c r="R1706" s="15">
        <f>IF(D1706=1,"Section 1","Control")</f>
        <v/>
      </c>
      <c r="S1706" s="16">
        <f>N1706/10000</f>
        <v/>
      </c>
      <c r="T1706" s="16">
        <f>P1706/10000</f>
        <v/>
      </c>
      <c r="U1706" s="15">
        <f>IF(N1706&gt;=Summary!$D$3,1,0)</f>
        <v/>
      </c>
      <c r="V1706" s="17">
        <f>IF(N1706&gt;0,P1706/N1706,"")</f>
        <v/>
      </c>
      <c r="W1706" s="17">
        <f>IF(O1706&gt;0,H1706/O1706,"")</f>
        <v/>
      </c>
    </row>
    <row r="1707">
      <c r="A1707" s="13" t="inlineStr">
        <is>
          <t>CE14_F</t>
        </is>
      </c>
      <c r="B1707" s="13" t="inlineStr">
        <is>
          <t>CE14</t>
        </is>
      </c>
      <c r="C1707" s="13" t="inlineStr">
        <is>
          <t>F</t>
        </is>
      </c>
      <c r="D1707" s="13" t="n">
        <v>0</v>
      </c>
      <c r="E1707" s="13" t="inlineStr">
        <is>
          <t>E</t>
        </is>
      </c>
      <c r="F1707" s="13" t="n">
        <v>2024</v>
      </c>
      <c r="G1707" s="14" t="n">
        <v>71071.34379460951</v>
      </c>
      <c r="H1707" s="14" t="n">
        <v>28109.34056372549</v>
      </c>
      <c r="I1707" s="14" t="n">
        <v>11977.5017051248</v>
      </c>
      <c r="J1707" s="14" t="n">
        <v>0</v>
      </c>
      <c r="K1707" s="14" t="n">
        <v>30984.50152575923</v>
      </c>
      <c r="L1707" s="14" t="n">
        <v>0</v>
      </c>
      <c r="M1707" s="14" t="n">
        <v>0</v>
      </c>
      <c r="N1707" s="14" t="n">
        <v>29055.19487373502</v>
      </c>
      <c r="O1707" s="14" t="n">
        <v>71071.34379460951</v>
      </c>
      <c r="P1707" s="14" t="n">
        <v>9311.836856527891</v>
      </c>
      <c r="Q1707" s="14" t="n">
        <v>547129.6919974533</v>
      </c>
      <c r="R1707" s="15">
        <f>IF(D1707=1,"Section 1","Control")</f>
        <v/>
      </c>
      <c r="S1707" s="16">
        <f>N1707/10000</f>
        <v/>
      </c>
      <c r="T1707" s="16">
        <f>P1707/10000</f>
        <v/>
      </c>
      <c r="U1707" s="15">
        <f>IF(N1707&gt;=Summary!$D$3,1,0)</f>
        <v/>
      </c>
      <c r="V1707" s="17">
        <f>IF(N1707&gt;0,P1707/N1707,"")</f>
        <v/>
      </c>
      <c r="W1707" s="17">
        <f>IF(O1707&gt;0,H1707/O1707,"")</f>
        <v/>
      </c>
    </row>
    <row r="1708">
      <c r="A1708" s="13" t="inlineStr">
        <is>
          <t>CE14_F</t>
        </is>
      </c>
      <c r="B1708" s="13" t="inlineStr">
        <is>
          <t>CE14</t>
        </is>
      </c>
      <c r="C1708" s="13" t="inlineStr">
        <is>
          <t>F</t>
        </is>
      </c>
      <c r="D1708" s="13" t="n">
        <v>0</v>
      </c>
      <c r="E1708" s="13" t="inlineStr">
        <is>
          <t>E</t>
        </is>
      </c>
      <c r="F1708" s="13" t="n">
        <v>2025</v>
      </c>
      <c r="G1708" s="14" t="n">
        <v>71071.34379460951</v>
      </c>
      <c r="H1708" s="14" t="n">
        <v>27163.86617724848</v>
      </c>
      <c r="I1708" s="14" t="n">
        <v>17394.79877821979</v>
      </c>
      <c r="J1708" s="14" t="n">
        <v>0</v>
      </c>
      <c r="K1708" s="14" t="n">
        <v>26512.67883914125</v>
      </c>
      <c r="L1708" s="14" t="n">
        <v>0</v>
      </c>
      <c r="M1708" s="14" t="n">
        <v>0</v>
      </c>
      <c r="N1708" s="14" t="n">
        <v>29055.19487373502</v>
      </c>
      <c r="O1708" s="14" t="n">
        <v>71071.34379460951</v>
      </c>
      <c r="P1708" s="14" t="n">
        <v>8198.722895992505</v>
      </c>
      <c r="Q1708" s="14" t="n">
        <v>547129.6919974533</v>
      </c>
      <c r="R1708" s="15">
        <f>IF(D1708=1,"Section 1","Control")</f>
        <v/>
      </c>
      <c r="S1708" s="16">
        <f>N1708/10000</f>
        <v/>
      </c>
      <c r="T1708" s="16">
        <f>P1708/10000</f>
        <v/>
      </c>
      <c r="U1708" s="15">
        <f>IF(N1708&gt;=Summary!$D$3,1,0)</f>
        <v/>
      </c>
      <c r="V1708" s="17">
        <f>IF(N1708&gt;0,P1708/N1708,"")</f>
        <v/>
      </c>
      <c r="W1708" s="17">
        <f>IF(O1708&gt;0,H1708/O1708,"")</f>
        <v/>
      </c>
    </row>
    <row r="1709">
      <c r="A1709" s="13" t="inlineStr">
        <is>
          <t>CE14_F</t>
        </is>
      </c>
      <c r="B1709" s="13" t="inlineStr">
        <is>
          <t>CE14</t>
        </is>
      </c>
      <c r="C1709" s="13" t="inlineStr">
        <is>
          <t>F</t>
        </is>
      </c>
      <c r="D1709" s="13" t="n">
        <v>0</v>
      </c>
      <c r="E1709" s="13" t="inlineStr">
        <is>
          <t>E</t>
        </is>
      </c>
      <c r="F1709" s="13" t="n">
        <v>2026</v>
      </c>
      <c r="G1709" s="14" t="n">
        <v>71071.34379460951</v>
      </c>
      <c r="H1709" s="14" t="n">
        <v>29095.07035564348</v>
      </c>
      <c r="I1709" s="14" t="n">
        <v>10932.92122377882</v>
      </c>
      <c r="J1709" s="14" t="n">
        <v>0</v>
      </c>
      <c r="K1709" s="14" t="n">
        <v>31043.35221518722</v>
      </c>
      <c r="L1709" s="14" t="n">
        <v>0</v>
      </c>
      <c r="M1709" s="14" t="n">
        <v>0</v>
      </c>
      <c r="N1709" s="14" t="n">
        <v>29055.19487373502</v>
      </c>
      <c r="O1709" s="14" t="n">
        <v>71071.34379460951</v>
      </c>
      <c r="P1709" s="14" t="n">
        <v>8175.106228966807</v>
      </c>
      <c r="Q1709" s="14" t="n">
        <v>547129.6919974533</v>
      </c>
      <c r="R1709" s="15">
        <f>IF(D1709=1,"Section 1","Control")</f>
        <v/>
      </c>
      <c r="S1709" s="16">
        <f>N1709/10000</f>
        <v/>
      </c>
      <c r="T1709" s="16">
        <f>P1709/10000</f>
        <v/>
      </c>
      <c r="U1709" s="15">
        <f>IF(N1709&gt;=Summary!$D$3,1,0)</f>
        <v/>
      </c>
      <c r="V1709" s="17">
        <f>IF(N1709&gt;0,P1709/N1709,"")</f>
        <v/>
      </c>
      <c r="W1709" s="17">
        <f>IF(O1709&gt;0,H1709/O1709,"")</f>
        <v/>
      </c>
    </row>
    <row r="1710">
      <c r="A1710" s="13" t="inlineStr">
        <is>
          <t>CE15_B1</t>
        </is>
      </c>
      <c r="B1710" s="13" t="inlineStr">
        <is>
          <t>CE15</t>
        </is>
      </c>
      <c r="C1710" s="13" t="inlineStr">
        <is>
          <t>B1</t>
        </is>
      </c>
      <c r="D1710" s="13" t="n">
        <v>0</v>
      </c>
      <c r="E1710" s="13" t="inlineStr">
        <is>
          <t>E</t>
        </is>
      </c>
      <c r="F1710" s="13" t="n">
        <v>2020</v>
      </c>
      <c r="G1710" s="14" t="n">
        <v>974688.9252382762</v>
      </c>
      <c r="H1710" s="14" t="n">
        <v>400244.3976475433</v>
      </c>
      <c r="I1710" s="14" t="n">
        <v>282320.9064861821</v>
      </c>
      <c r="J1710" s="14" t="n">
        <v>0</v>
      </c>
      <c r="K1710" s="14" t="n">
        <v>119548.28520068</v>
      </c>
      <c r="L1710" s="14" t="n">
        <v>172575.3359038708</v>
      </c>
      <c r="M1710" s="14" t="n">
        <v>0</v>
      </c>
      <c r="N1710" s="14" t="n">
        <v>400244.3976475433</v>
      </c>
      <c r="O1710" s="14" t="n">
        <v>802113.5893344057</v>
      </c>
      <c r="P1710" s="14" t="n">
        <v>0</v>
      </c>
      <c r="Q1710" s="14" t="n">
        <v>6434109.338451461</v>
      </c>
      <c r="R1710" s="15">
        <f>IF(D1710=1,"Section 1","Control")</f>
        <v/>
      </c>
      <c r="S1710" s="16">
        <f>N1710/10000</f>
        <v/>
      </c>
      <c r="T1710" s="16">
        <f>P1710/10000</f>
        <v/>
      </c>
      <c r="U1710" s="15">
        <f>IF(N1710&gt;=Summary!$D$3,1,0)</f>
        <v/>
      </c>
      <c r="V1710" s="17">
        <f>IF(N1710&gt;0,P1710/N1710,"")</f>
        <v/>
      </c>
      <c r="W1710" s="17">
        <f>IF(O1710&gt;0,H1710/O1710,"")</f>
        <v/>
      </c>
    </row>
    <row r="1711">
      <c r="A1711" s="13" t="inlineStr">
        <is>
          <t>CE15_B1</t>
        </is>
      </c>
      <c r="B1711" s="13" t="inlineStr">
        <is>
          <t>CE15</t>
        </is>
      </c>
      <c r="C1711" s="13" t="inlineStr">
        <is>
          <t>B1</t>
        </is>
      </c>
      <c r="D1711" s="13" t="n">
        <v>0</v>
      </c>
      <c r="E1711" s="13" t="inlineStr">
        <is>
          <t>E</t>
        </is>
      </c>
      <c r="F1711" s="13" t="n">
        <v>2021</v>
      </c>
      <c r="G1711" s="14" t="n">
        <v>974688.9252382762</v>
      </c>
      <c r="H1711" s="14" t="n">
        <v>274395.2354138243</v>
      </c>
      <c r="I1711" s="14" t="n">
        <v>321813.05761626</v>
      </c>
      <c r="J1711" s="14" t="n">
        <v>0</v>
      </c>
      <c r="K1711" s="14" t="n">
        <v>207839.207359673</v>
      </c>
      <c r="L1711" s="14" t="n">
        <v>170641.4248485191</v>
      </c>
      <c r="M1711" s="14" t="n">
        <v>0</v>
      </c>
      <c r="N1711" s="14" t="n">
        <v>400244.3976475433</v>
      </c>
      <c r="O1711" s="14" t="n">
        <v>802113.5893344057</v>
      </c>
      <c r="P1711" s="14" t="n">
        <v>133836.4770119461</v>
      </c>
      <c r="Q1711" s="14" t="n">
        <v>6434109.338451461</v>
      </c>
      <c r="R1711" s="15">
        <f>IF(D1711=1,"Section 1","Control")</f>
        <v/>
      </c>
      <c r="S1711" s="16">
        <f>N1711/10000</f>
        <v/>
      </c>
      <c r="T1711" s="16">
        <f>P1711/10000</f>
        <v/>
      </c>
      <c r="U1711" s="15">
        <f>IF(N1711&gt;=Summary!$D$3,1,0)</f>
        <v/>
      </c>
      <c r="V1711" s="17">
        <f>IF(N1711&gt;0,P1711/N1711,"")</f>
        <v/>
      </c>
      <c r="W1711" s="17">
        <f>IF(O1711&gt;0,H1711/O1711,"")</f>
        <v/>
      </c>
    </row>
    <row r="1712">
      <c r="A1712" s="13" t="inlineStr">
        <is>
          <t>CE15_B1</t>
        </is>
      </c>
      <c r="B1712" s="13" t="inlineStr">
        <is>
          <t>CE15</t>
        </is>
      </c>
      <c r="C1712" s="13" t="inlineStr">
        <is>
          <t>B1</t>
        </is>
      </c>
      <c r="D1712" s="13" t="n">
        <v>0</v>
      </c>
      <c r="E1712" s="13" t="inlineStr">
        <is>
          <t>E</t>
        </is>
      </c>
      <c r="F1712" s="13" t="n">
        <v>2022</v>
      </c>
      <c r="G1712" s="14" t="n">
        <v>974688.9252382762</v>
      </c>
      <c r="H1712" s="14" t="n">
        <v>359801.0535879696</v>
      </c>
      <c r="I1712" s="14" t="n">
        <v>224336.4168645821</v>
      </c>
      <c r="J1712" s="14" t="n">
        <v>0</v>
      </c>
      <c r="K1712" s="14" t="n">
        <v>219918.932786231</v>
      </c>
      <c r="L1712" s="14" t="n">
        <v>170632.5219994938</v>
      </c>
      <c r="M1712" s="14" t="n">
        <v>0</v>
      </c>
      <c r="N1712" s="14" t="n">
        <v>400244.3976475433</v>
      </c>
      <c r="O1712" s="14" t="n">
        <v>802113.5893344057</v>
      </c>
      <c r="P1712" s="14" t="n">
        <v>84981.36768406886</v>
      </c>
      <c r="Q1712" s="14" t="n">
        <v>6434109.338451461</v>
      </c>
      <c r="R1712" s="15">
        <f>IF(D1712=1,"Section 1","Control")</f>
        <v/>
      </c>
      <c r="S1712" s="16">
        <f>N1712/10000</f>
        <v/>
      </c>
      <c r="T1712" s="16">
        <f>P1712/10000</f>
        <v/>
      </c>
      <c r="U1712" s="15">
        <f>IF(N1712&gt;=Summary!$D$3,1,0)</f>
        <v/>
      </c>
      <c r="V1712" s="17">
        <f>IF(N1712&gt;0,P1712/N1712,"")</f>
        <v/>
      </c>
      <c r="W1712" s="17">
        <f>IF(O1712&gt;0,H1712/O1712,"")</f>
        <v/>
      </c>
    </row>
    <row r="1713">
      <c r="A1713" s="13" t="inlineStr">
        <is>
          <t>CE15_B1</t>
        </is>
      </c>
      <c r="B1713" s="13" t="inlineStr">
        <is>
          <t>CE15</t>
        </is>
      </c>
      <c r="C1713" s="13" t="inlineStr">
        <is>
          <t>B1</t>
        </is>
      </c>
      <c r="D1713" s="13" t="n">
        <v>0</v>
      </c>
      <c r="E1713" s="13" t="inlineStr">
        <is>
          <t>E</t>
        </is>
      </c>
      <c r="F1713" s="13" t="n">
        <v>2023</v>
      </c>
      <c r="G1713" s="14" t="n">
        <v>974688.9252382762</v>
      </c>
      <c r="H1713" s="14" t="n">
        <v>290888.7183292164</v>
      </c>
      <c r="I1713" s="14" t="n">
        <v>307551.0127222099</v>
      </c>
      <c r="J1713" s="14" t="n">
        <v>0</v>
      </c>
      <c r="K1713" s="14" t="n">
        <v>179740.2978953642</v>
      </c>
      <c r="L1713" s="14" t="n">
        <v>196508.896291486</v>
      </c>
      <c r="M1713" s="14" t="n">
        <v>0</v>
      </c>
      <c r="N1713" s="14" t="n">
        <v>400244.3976475434</v>
      </c>
      <c r="O1713" s="14" t="n">
        <v>802113.5893344057</v>
      </c>
      <c r="P1713" s="14" t="n">
        <v>127637.4227006501</v>
      </c>
      <c r="Q1713" s="14" t="n">
        <v>6434109.33845146</v>
      </c>
      <c r="R1713" s="15">
        <f>IF(D1713=1,"Section 1","Control")</f>
        <v/>
      </c>
      <c r="S1713" s="16">
        <f>N1713/10000</f>
        <v/>
      </c>
      <c r="T1713" s="16">
        <f>P1713/10000</f>
        <v/>
      </c>
      <c r="U1713" s="15">
        <f>IF(N1713&gt;=Summary!$D$3,1,0)</f>
        <v/>
      </c>
      <c r="V1713" s="17">
        <f>IF(N1713&gt;0,P1713/N1713,"")</f>
        <v/>
      </c>
      <c r="W1713" s="17">
        <f>IF(O1713&gt;0,H1713/O1713,"")</f>
        <v/>
      </c>
    </row>
    <row r="1714">
      <c r="A1714" s="13" t="inlineStr">
        <is>
          <t>CE15_B1</t>
        </is>
      </c>
      <c r="B1714" s="13" t="inlineStr">
        <is>
          <t>CE15</t>
        </is>
      </c>
      <c r="C1714" s="13" t="inlineStr">
        <is>
          <t>B1</t>
        </is>
      </c>
      <c r="D1714" s="13" t="n">
        <v>0</v>
      </c>
      <c r="E1714" s="13" t="inlineStr">
        <is>
          <t>E</t>
        </is>
      </c>
      <c r="F1714" s="13" t="n">
        <v>2024</v>
      </c>
      <c r="G1714" s="14" t="n">
        <v>974688.9252382762</v>
      </c>
      <c r="H1714" s="14" t="n">
        <v>343004.8607452991</v>
      </c>
      <c r="I1714" s="14" t="n">
        <v>248697.349097308</v>
      </c>
      <c r="J1714" s="14" t="n">
        <v>0</v>
      </c>
      <c r="K1714" s="14" t="n">
        <v>196897.4354841644</v>
      </c>
      <c r="L1714" s="14" t="n">
        <v>186089.279911505</v>
      </c>
      <c r="M1714" s="14" t="n">
        <v>0</v>
      </c>
      <c r="N1714" s="14" t="n">
        <v>400244.3976475433</v>
      </c>
      <c r="O1714" s="14" t="n">
        <v>802113.5893344057</v>
      </c>
      <c r="P1714" s="14" t="n">
        <v>107957.1882233264</v>
      </c>
      <c r="Q1714" s="14" t="n">
        <v>6434109.338451461</v>
      </c>
      <c r="R1714" s="15">
        <f>IF(D1714=1,"Section 1","Control")</f>
        <v/>
      </c>
      <c r="S1714" s="16">
        <f>N1714/10000</f>
        <v/>
      </c>
      <c r="T1714" s="16">
        <f>P1714/10000</f>
        <v/>
      </c>
      <c r="U1714" s="15">
        <f>IF(N1714&gt;=Summary!$D$3,1,0)</f>
        <v/>
      </c>
      <c r="V1714" s="17">
        <f>IF(N1714&gt;0,P1714/N1714,"")</f>
        <v/>
      </c>
      <c r="W1714" s="17">
        <f>IF(O1714&gt;0,H1714/O1714,"")</f>
        <v/>
      </c>
    </row>
    <row r="1715">
      <c r="A1715" s="13" t="inlineStr">
        <is>
          <t>CE15_B1</t>
        </is>
      </c>
      <c r="B1715" s="13" t="inlineStr">
        <is>
          <t>CE15</t>
        </is>
      </c>
      <c r="C1715" s="13" t="inlineStr">
        <is>
          <t>B1</t>
        </is>
      </c>
      <c r="D1715" s="13" t="n">
        <v>0</v>
      </c>
      <c r="E1715" s="13" t="inlineStr">
        <is>
          <t>E</t>
        </is>
      </c>
      <c r="F1715" s="13" t="n">
        <v>2025</v>
      </c>
      <c r="G1715" s="14" t="n">
        <v>974688.9252382762</v>
      </c>
      <c r="H1715" s="14" t="n">
        <v>368755.072986857</v>
      </c>
      <c r="I1715" s="14" t="n">
        <v>229908.4474109724</v>
      </c>
      <c r="J1715" s="14" t="n">
        <v>0</v>
      </c>
      <c r="K1715" s="14" t="n">
        <v>171421.0953667734</v>
      </c>
      <c r="L1715" s="14" t="n">
        <v>204604.3094736734</v>
      </c>
      <c r="M1715" s="14" t="n">
        <v>0</v>
      </c>
      <c r="N1715" s="14" t="n">
        <v>400244.3976475434</v>
      </c>
      <c r="O1715" s="14" t="n">
        <v>802113.5893344057</v>
      </c>
      <c r="P1715" s="14" t="n">
        <v>89710.68248446597</v>
      </c>
      <c r="Q1715" s="14" t="n">
        <v>6434109.33845146</v>
      </c>
      <c r="R1715" s="15">
        <f>IF(D1715=1,"Section 1","Control")</f>
        <v/>
      </c>
      <c r="S1715" s="16">
        <f>N1715/10000</f>
        <v/>
      </c>
      <c r="T1715" s="16">
        <f>P1715/10000</f>
        <v/>
      </c>
      <c r="U1715" s="15">
        <f>IF(N1715&gt;=Summary!$D$3,1,0)</f>
        <v/>
      </c>
      <c r="V1715" s="17">
        <f>IF(N1715&gt;0,P1715/N1715,"")</f>
        <v/>
      </c>
      <c r="W1715" s="17">
        <f>IF(O1715&gt;0,H1715/O1715,"")</f>
        <v/>
      </c>
    </row>
    <row r="1716">
      <c r="A1716" s="13" t="inlineStr">
        <is>
          <t>CE15_B1</t>
        </is>
      </c>
      <c r="B1716" s="13" t="inlineStr">
        <is>
          <t>CE15</t>
        </is>
      </c>
      <c r="C1716" s="13" t="inlineStr">
        <is>
          <t>B1</t>
        </is>
      </c>
      <c r="D1716" s="13" t="n">
        <v>0</v>
      </c>
      <c r="E1716" s="13" t="inlineStr">
        <is>
          <t>E</t>
        </is>
      </c>
      <c r="F1716" s="13" t="n">
        <v>2026</v>
      </c>
      <c r="G1716" s="14" t="n">
        <v>974688.9252382762</v>
      </c>
      <c r="H1716" s="14" t="n">
        <v>352057.1257429235</v>
      </c>
      <c r="I1716" s="14" t="n">
        <v>225709.6345829384</v>
      </c>
      <c r="J1716" s="14" t="n">
        <v>0</v>
      </c>
      <c r="K1716" s="14" t="n">
        <v>208770.0227347281</v>
      </c>
      <c r="L1716" s="14" t="n">
        <v>188152.1421776865</v>
      </c>
      <c r="M1716" s="14" t="n">
        <v>0</v>
      </c>
      <c r="N1716" s="14" t="n">
        <v>400244.3976475433</v>
      </c>
      <c r="O1716" s="14" t="n">
        <v>802113.5893344055</v>
      </c>
      <c r="P1716" s="14" t="n">
        <v>101879.5134359921</v>
      </c>
      <c r="Q1716" s="14" t="n">
        <v>6434109.338451461</v>
      </c>
      <c r="R1716" s="15">
        <f>IF(D1716=1,"Section 1","Control")</f>
        <v/>
      </c>
      <c r="S1716" s="16">
        <f>N1716/10000</f>
        <v/>
      </c>
      <c r="T1716" s="16">
        <f>P1716/10000</f>
        <v/>
      </c>
      <c r="U1716" s="15">
        <f>IF(N1716&gt;=Summary!$D$3,1,0)</f>
        <v/>
      </c>
      <c r="V1716" s="17">
        <f>IF(N1716&gt;0,P1716/N1716,"")</f>
        <v/>
      </c>
      <c r="W1716" s="17">
        <f>IF(O1716&gt;0,H1716/O1716,"")</f>
        <v/>
      </c>
    </row>
    <row r="1717">
      <c r="A1717" s="13" t="inlineStr">
        <is>
          <t>CE15_B2</t>
        </is>
      </c>
      <c r="B1717" s="13" t="inlineStr">
        <is>
          <t>CE15</t>
        </is>
      </c>
      <c r="C1717" s="13" t="inlineStr">
        <is>
          <t>B2</t>
        </is>
      </c>
      <c r="D1717" s="13" t="n">
        <v>0</v>
      </c>
      <c r="E1717" s="13" t="inlineStr">
        <is>
          <t>E</t>
        </is>
      </c>
      <c r="F1717" s="13" t="n">
        <v>2020</v>
      </c>
      <c r="G1717" s="14" t="n">
        <v>974775.6461252254</v>
      </c>
      <c r="H1717" s="14" t="n">
        <v>211811.7167853561</v>
      </c>
      <c r="I1717" s="14" t="n">
        <v>273092.3367555506</v>
      </c>
      <c r="J1717" s="14" t="n">
        <v>0</v>
      </c>
      <c r="K1717" s="14" t="n">
        <v>2481.353821638519</v>
      </c>
      <c r="L1717" s="14" t="n">
        <v>487390.2387626799</v>
      </c>
      <c r="M1717" s="14" t="n">
        <v>0</v>
      </c>
      <c r="N1717" s="14" t="n">
        <v>211811.7167853561</v>
      </c>
      <c r="O1717" s="14" t="n">
        <v>487385.4073625454</v>
      </c>
      <c r="P1717" s="14" t="n">
        <v>0</v>
      </c>
      <c r="Q1717" s="14" t="n">
        <v>4232716.754981636</v>
      </c>
      <c r="R1717" s="15">
        <f>IF(D1717=1,"Section 1","Control")</f>
        <v/>
      </c>
      <c r="S1717" s="16">
        <f>N1717/10000</f>
        <v/>
      </c>
      <c r="T1717" s="16">
        <f>P1717/10000</f>
        <v/>
      </c>
      <c r="U1717" s="15">
        <f>IF(N1717&gt;=Summary!$D$3,1,0)</f>
        <v/>
      </c>
      <c r="V1717" s="17">
        <f>IF(N1717&gt;0,P1717/N1717,"")</f>
        <v/>
      </c>
      <c r="W1717" s="17">
        <f>IF(O1717&gt;0,H1717/O1717,"")</f>
        <v/>
      </c>
    </row>
    <row r="1718">
      <c r="A1718" s="13" t="inlineStr">
        <is>
          <t>CE15_B2</t>
        </is>
      </c>
      <c r="B1718" s="13" t="inlineStr">
        <is>
          <t>CE15</t>
        </is>
      </c>
      <c r="C1718" s="13" t="inlineStr">
        <is>
          <t>B2</t>
        </is>
      </c>
      <c r="D1718" s="13" t="n">
        <v>0</v>
      </c>
      <c r="E1718" s="13" t="inlineStr">
        <is>
          <t>E</t>
        </is>
      </c>
      <c r="F1718" s="13" t="n">
        <v>2021</v>
      </c>
      <c r="G1718" s="14" t="n">
        <v>974775.6461252254</v>
      </c>
      <c r="H1718" s="14" t="n">
        <v>124420.0907959882</v>
      </c>
      <c r="I1718" s="14" t="n">
        <v>318353.2929240208</v>
      </c>
      <c r="J1718" s="14" t="n">
        <v>0</v>
      </c>
      <c r="K1718" s="14" t="n">
        <v>44612.02364253624</v>
      </c>
      <c r="L1718" s="14" t="n">
        <v>487390.2387626799</v>
      </c>
      <c r="M1718" s="14" t="n">
        <v>0</v>
      </c>
      <c r="N1718" s="14" t="n">
        <v>211811.7167853561</v>
      </c>
      <c r="O1718" s="14" t="n">
        <v>487385.4073625454</v>
      </c>
      <c r="P1718" s="14" t="n">
        <v>96083.5308595844</v>
      </c>
      <c r="Q1718" s="14" t="n">
        <v>4232716.754981636</v>
      </c>
      <c r="R1718" s="15">
        <f>IF(D1718=1,"Section 1","Control")</f>
        <v/>
      </c>
      <c r="S1718" s="16">
        <f>N1718/10000</f>
        <v/>
      </c>
      <c r="T1718" s="16">
        <f>P1718/10000</f>
        <v/>
      </c>
      <c r="U1718" s="15">
        <f>IF(N1718&gt;=Summary!$D$3,1,0)</f>
        <v/>
      </c>
      <c r="V1718" s="17">
        <f>IF(N1718&gt;0,P1718/N1718,"")</f>
        <v/>
      </c>
      <c r="W1718" s="17">
        <f>IF(O1718&gt;0,H1718/O1718,"")</f>
        <v/>
      </c>
    </row>
    <row r="1719">
      <c r="A1719" s="13" t="inlineStr">
        <is>
          <t>CE15_B2</t>
        </is>
      </c>
      <c r="B1719" s="13" t="inlineStr">
        <is>
          <t>CE15</t>
        </is>
      </c>
      <c r="C1719" s="13" t="inlineStr">
        <is>
          <t>B2</t>
        </is>
      </c>
      <c r="D1719" s="13" t="n">
        <v>0</v>
      </c>
      <c r="E1719" s="13" t="inlineStr">
        <is>
          <t>E</t>
        </is>
      </c>
      <c r="F1719" s="13" t="n">
        <v>2022</v>
      </c>
      <c r="G1719" s="14" t="n">
        <v>974775.6461252254</v>
      </c>
      <c r="H1719" s="14" t="n">
        <v>123411.8702502382</v>
      </c>
      <c r="I1719" s="14" t="n">
        <v>306461.5309968536</v>
      </c>
      <c r="J1719" s="14" t="n">
        <v>0</v>
      </c>
      <c r="K1719" s="14" t="n">
        <v>57512.0061154534</v>
      </c>
      <c r="L1719" s="14" t="n">
        <v>487390.2387626799</v>
      </c>
      <c r="M1719" s="14" t="n">
        <v>0</v>
      </c>
      <c r="N1719" s="14" t="n">
        <v>211811.7167853561</v>
      </c>
      <c r="O1719" s="14" t="n">
        <v>487385.4073625454</v>
      </c>
      <c r="P1719" s="14" t="n">
        <v>117908.5665349324</v>
      </c>
      <c r="Q1719" s="14" t="n">
        <v>4232716.754981636</v>
      </c>
      <c r="R1719" s="15">
        <f>IF(D1719=1,"Section 1","Control")</f>
        <v/>
      </c>
      <c r="S1719" s="16">
        <f>N1719/10000</f>
        <v/>
      </c>
      <c r="T1719" s="16">
        <f>P1719/10000</f>
        <v/>
      </c>
      <c r="U1719" s="15">
        <f>IF(N1719&gt;=Summary!$D$3,1,0)</f>
        <v/>
      </c>
      <c r="V1719" s="17">
        <f>IF(N1719&gt;0,P1719/N1719,"")</f>
        <v/>
      </c>
      <c r="W1719" s="17">
        <f>IF(O1719&gt;0,H1719/O1719,"")</f>
        <v/>
      </c>
    </row>
    <row r="1720">
      <c r="A1720" s="13" t="inlineStr">
        <is>
          <t>CE15_B2</t>
        </is>
      </c>
      <c r="B1720" s="13" t="inlineStr">
        <is>
          <t>CE15</t>
        </is>
      </c>
      <c r="C1720" s="13" t="inlineStr">
        <is>
          <t>B2</t>
        </is>
      </c>
      <c r="D1720" s="13" t="n">
        <v>0</v>
      </c>
      <c r="E1720" s="13" t="inlineStr">
        <is>
          <t>E</t>
        </is>
      </c>
      <c r="F1720" s="13" t="n">
        <v>2023</v>
      </c>
      <c r="G1720" s="14" t="n">
        <v>974775.6461252254</v>
      </c>
      <c r="H1720" s="14" t="n">
        <v>138952.3562532911</v>
      </c>
      <c r="I1720" s="14" t="n">
        <v>321810.2915115955</v>
      </c>
      <c r="J1720" s="14" t="n">
        <v>0</v>
      </c>
      <c r="K1720" s="14" t="n">
        <v>26622.75959765865</v>
      </c>
      <c r="L1720" s="14" t="n">
        <v>487390.2387626799</v>
      </c>
      <c r="M1720" s="14" t="n">
        <v>0</v>
      </c>
      <c r="N1720" s="14" t="n">
        <v>211811.7167853561</v>
      </c>
      <c r="O1720" s="14" t="n">
        <v>487385.4073625454</v>
      </c>
      <c r="P1720" s="14" t="n">
        <v>105322.9395570942</v>
      </c>
      <c r="Q1720" s="14" t="n">
        <v>4232716.754981636</v>
      </c>
      <c r="R1720" s="15">
        <f>IF(D1720=1,"Section 1","Control")</f>
        <v/>
      </c>
      <c r="S1720" s="16">
        <f>N1720/10000</f>
        <v/>
      </c>
      <c r="T1720" s="16">
        <f>P1720/10000</f>
        <v/>
      </c>
      <c r="U1720" s="15">
        <f>IF(N1720&gt;=Summary!$D$3,1,0)</f>
        <v/>
      </c>
      <c r="V1720" s="17">
        <f>IF(N1720&gt;0,P1720/N1720,"")</f>
        <v/>
      </c>
      <c r="W1720" s="17">
        <f>IF(O1720&gt;0,H1720/O1720,"")</f>
        <v/>
      </c>
    </row>
    <row r="1721">
      <c r="A1721" s="13" t="inlineStr">
        <is>
          <t>CE15_B2</t>
        </is>
      </c>
      <c r="B1721" s="13" t="inlineStr">
        <is>
          <t>CE15</t>
        </is>
      </c>
      <c r="C1721" s="13" t="inlineStr">
        <is>
          <t>B2</t>
        </is>
      </c>
      <c r="D1721" s="13" t="n">
        <v>0</v>
      </c>
      <c r="E1721" s="13" t="inlineStr">
        <is>
          <t>E</t>
        </is>
      </c>
      <c r="F1721" s="13" t="n">
        <v>2024</v>
      </c>
      <c r="G1721" s="14" t="n">
        <v>974775.6461252254</v>
      </c>
      <c r="H1721" s="14" t="n">
        <v>183636.4634312649</v>
      </c>
      <c r="I1721" s="14" t="n">
        <v>277016.2270757937</v>
      </c>
      <c r="J1721" s="14" t="n">
        <v>0</v>
      </c>
      <c r="K1721" s="14" t="n">
        <v>26732.71685548671</v>
      </c>
      <c r="L1721" s="14" t="n">
        <v>487390.2387626799</v>
      </c>
      <c r="M1721" s="14" t="n">
        <v>0</v>
      </c>
      <c r="N1721" s="14" t="n">
        <v>211811.7167853561</v>
      </c>
      <c r="O1721" s="14" t="n">
        <v>487385.4073625454</v>
      </c>
      <c r="P1721" s="14" t="n">
        <v>89659.33473519716</v>
      </c>
      <c r="Q1721" s="14" t="n">
        <v>4232716.754981636</v>
      </c>
      <c r="R1721" s="15">
        <f>IF(D1721=1,"Section 1","Control")</f>
        <v/>
      </c>
      <c r="S1721" s="16">
        <f>N1721/10000</f>
        <v/>
      </c>
      <c r="T1721" s="16">
        <f>P1721/10000</f>
        <v/>
      </c>
      <c r="U1721" s="15">
        <f>IF(N1721&gt;=Summary!$D$3,1,0)</f>
        <v/>
      </c>
      <c r="V1721" s="17">
        <f>IF(N1721&gt;0,P1721/N1721,"")</f>
        <v/>
      </c>
      <c r="W1721" s="17">
        <f>IF(O1721&gt;0,H1721/O1721,"")</f>
        <v/>
      </c>
    </row>
    <row r="1722">
      <c r="A1722" s="13" t="inlineStr">
        <is>
          <t>CE15_B2</t>
        </is>
      </c>
      <c r="B1722" s="13" t="inlineStr">
        <is>
          <t>CE15</t>
        </is>
      </c>
      <c r="C1722" s="13" t="inlineStr">
        <is>
          <t>B2</t>
        </is>
      </c>
      <c r="D1722" s="13" t="n">
        <v>0</v>
      </c>
      <c r="E1722" s="13" t="inlineStr">
        <is>
          <t>E</t>
        </is>
      </c>
      <c r="F1722" s="13" t="n">
        <v>2025</v>
      </c>
      <c r="G1722" s="14" t="n">
        <v>974775.6461252254</v>
      </c>
      <c r="H1722" s="14" t="n">
        <v>241403.6391624301</v>
      </c>
      <c r="I1722" s="14" t="n">
        <v>220405.9082038132</v>
      </c>
      <c r="J1722" s="14" t="n">
        <v>0</v>
      </c>
      <c r="K1722" s="14" t="n">
        <v>25575.85999630199</v>
      </c>
      <c r="L1722" s="14" t="n">
        <v>487390.2387626799</v>
      </c>
      <c r="M1722" s="14" t="n">
        <v>0</v>
      </c>
      <c r="N1722" s="14" t="n">
        <v>211811.7167853561</v>
      </c>
      <c r="O1722" s="14" t="n">
        <v>487385.4073625454</v>
      </c>
      <c r="P1722" s="14" t="n">
        <v>67608.63103745405</v>
      </c>
      <c r="Q1722" s="14" t="n">
        <v>4232716.754981636</v>
      </c>
      <c r="R1722" s="15">
        <f>IF(D1722=1,"Section 1","Control")</f>
        <v/>
      </c>
      <c r="S1722" s="16">
        <f>N1722/10000</f>
        <v/>
      </c>
      <c r="T1722" s="16">
        <f>P1722/10000</f>
        <v/>
      </c>
      <c r="U1722" s="15">
        <f>IF(N1722&gt;=Summary!$D$3,1,0)</f>
        <v/>
      </c>
      <c r="V1722" s="17">
        <f>IF(N1722&gt;0,P1722/N1722,"")</f>
        <v/>
      </c>
      <c r="W1722" s="17">
        <f>IF(O1722&gt;0,H1722/O1722,"")</f>
        <v/>
      </c>
    </row>
    <row r="1723">
      <c r="A1723" s="13" t="inlineStr">
        <is>
          <t>CE15_B2</t>
        </is>
      </c>
      <c r="B1723" s="13" t="inlineStr">
        <is>
          <t>CE15</t>
        </is>
      </c>
      <c r="C1723" s="13" t="inlineStr">
        <is>
          <t>B2</t>
        </is>
      </c>
      <c r="D1723" s="13" t="n">
        <v>0</v>
      </c>
      <c r="E1723" s="13" t="inlineStr">
        <is>
          <t>E</t>
        </is>
      </c>
      <c r="F1723" s="13" t="n">
        <v>2026</v>
      </c>
      <c r="G1723" s="14" t="n">
        <v>974775.6461252254</v>
      </c>
      <c r="H1723" s="14" t="n">
        <v>252089.4954832189</v>
      </c>
      <c r="I1723" s="14" t="n">
        <v>209470.3260174022</v>
      </c>
      <c r="J1723" s="14" t="n">
        <v>0</v>
      </c>
      <c r="K1723" s="14" t="n">
        <v>25825.58586192412</v>
      </c>
      <c r="L1723" s="14" t="n">
        <v>487390.2387626799</v>
      </c>
      <c r="M1723" s="14" t="n">
        <v>0</v>
      </c>
      <c r="N1723" s="14" t="n">
        <v>211811.7167853561</v>
      </c>
      <c r="O1723" s="14" t="n">
        <v>487385.4073625454</v>
      </c>
      <c r="P1723" s="14" t="n">
        <v>50519.0719261319</v>
      </c>
      <c r="Q1723" s="14" t="n">
        <v>4232716.754981636</v>
      </c>
      <c r="R1723" s="15">
        <f>IF(D1723=1,"Section 1","Control")</f>
        <v/>
      </c>
      <c r="S1723" s="16">
        <f>N1723/10000</f>
        <v/>
      </c>
      <c r="T1723" s="16">
        <f>P1723/10000</f>
        <v/>
      </c>
      <c r="U1723" s="15">
        <f>IF(N1723&gt;=Summary!$D$3,1,0)</f>
        <v/>
      </c>
      <c r="V1723" s="17">
        <f>IF(N1723&gt;0,P1723/N1723,"")</f>
        <v/>
      </c>
      <c r="W1723" s="17">
        <f>IF(O1723&gt;0,H1723/O1723,"")</f>
        <v/>
      </c>
    </row>
    <row r="1724">
      <c r="A1724" s="13" t="inlineStr">
        <is>
          <t>CE15_B3</t>
        </is>
      </c>
      <c r="B1724" s="13" t="inlineStr">
        <is>
          <t>CE15</t>
        </is>
      </c>
      <c r="C1724" s="13" t="inlineStr">
        <is>
          <t>B3</t>
        </is>
      </c>
      <c r="D1724" s="13" t="n">
        <v>0</v>
      </c>
      <c r="E1724" s="13" t="inlineStr">
        <is>
          <t>E</t>
        </is>
      </c>
      <c r="F1724" s="13" t="n">
        <v>2020</v>
      </c>
      <c r="G1724" s="14" t="n">
        <v>7798375.755633905</v>
      </c>
      <c r="H1724" s="14" t="n">
        <v>2228623.356491807</v>
      </c>
      <c r="I1724" s="14" t="n">
        <v>1082350.856238751</v>
      </c>
      <c r="J1724" s="14" t="n">
        <v>0</v>
      </c>
      <c r="K1724" s="14" t="n">
        <v>47218.71823422301</v>
      </c>
      <c r="L1724" s="14" t="n">
        <v>4440182.824669123</v>
      </c>
      <c r="M1724" s="14" t="n">
        <v>0</v>
      </c>
      <c r="N1724" s="14" t="n">
        <v>2228623.356491807</v>
      </c>
      <c r="O1724" s="14" t="n">
        <v>3358192.93096478</v>
      </c>
      <c r="P1724" s="14" t="n">
        <v>0</v>
      </c>
      <c r="Q1724" s="14" t="n">
        <v>27195798.81667672</v>
      </c>
      <c r="R1724" s="15">
        <f>IF(D1724=1,"Section 1","Control")</f>
        <v/>
      </c>
      <c r="S1724" s="16">
        <f>N1724/10000</f>
        <v/>
      </c>
      <c r="T1724" s="16">
        <f>P1724/10000</f>
        <v/>
      </c>
      <c r="U1724" s="15">
        <f>IF(N1724&gt;=Summary!$D$3,1,0)</f>
        <v/>
      </c>
      <c r="V1724" s="17">
        <f>IF(N1724&gt;0,P1724/N1724,"")</f>
        <v/>
      </c>
      <c r="W1724" s="17">
        <f>IF(O1724&gt;0,H1724/O1724,"")</f>
        <v/>
      </c>
    </row>
    <row r="1725">
      <c r="A1725" s="13" t="inlineStr">
        <is>
          <t>CE15_B3</t>
        </is>
      </c>
      <c r="B1725" s="13" t="inlineStr">
        <is>
          <t>CE15</t>
        </is>
      </c>
      <c r="C1725" s="13" t="inlineStr">
        <is>
          <t>B3</t>
        </is>
      </c>
      <c r="D1725" s="13" t="n">
        <v>0</v>
      </c>
      <c r="E1725" s="13" t="inlineStr">
        <is>
          <t>E</t>
        </is>
      </c>
      <c r="F1725" s="13" t="n">
        <v>2021</v>
      </c>
      <c r="G1725" s="14" t="n">
        <v>7798375.755633904</v>
      </c>
      <c r="H1725" s="14" t="n">
        <v>2117697.827599021</v>
      </c>
      <c r="I1725" s="14" t="n">
        <v>1028132.8622003</v>
      </c>
      <c r="J1725" s="14" t="n">
        <v>0</v>
      </c>
      <c r="K1725" s="14" t="n">
        <v>240181.21072277</v>
      </c>
      <c r="L1725" s="14" t="n">
        <v>4412363.855111813</v>
      </c>
      <c r="M1725" s="14" t="n">
        <v>0</v>
      </c>
      <c r="N1725" s="14" t="n">
        <v>2228623.356491807</v>
      </c>
      <c r="O1725" s="14" t="n">
        <v>3358192.93096478</v>
      </c>
      <c r="P1725" s="14" t="n">
        <v>126962.9241831761</v>
      </c>
      <c r="Q1725" s="14" t="n">
        <v>27195798.81667672</v>
      </c>
      <c r="R1725" s="15">
        <f>IF(D1725=1,"Section 1","Control")</f>
        <v/>
      </c>
      <c r="S1725" s="16">
        <f>N1725/10000</f>
        <v/>
      </c>
      <c r="T1725" s="16">
        <f>P1725/10000</f>
        <v/>
      </c>
      <c r="U1725" s="15">
        <f>IF(N1725&gt;=Summary!$D$3,1,0)</f>
        <v/>
      </c>
      <c r="V1725" s="17">
        <f>IF(N1725&gt;0,P1725/N1725,"")</f>
        <v/>
      </c>
      <c r="W1725" s="17">
        <f>IF(O1725&gt;0,H1725/O1725,"")</f>
        <v/>
      </c>
    </row>
    <row r="1726">
      <c r="A1726" s="13" t="inlineStr">
        <is>
          <t>CE15_B3</t>
        </is>
      </c>
      <c r="B1726" s="13" t="inlineStr">
        <is>
          <t>CE15</t>
        </is>
      </c>
      <c r="C1726" s="13" t="inlineStr">
        <is>
          <t>B3</t>
        </is>
      </c>
      <c r="D1726" s="13" t="n">
        <v>0</v>
      </c>
      <c r="E1726" s="13" t="inlineStr">
        <is>
          <t>E</t>
        </is>
      </c>
      <c r="F1726" s="13" t="n">
        <v>2022</v>
      </c>
      <c r="G1726" s="14" t="n">
        <v>7798375.755633905</v>
      </c>
      <c r="H1726" s="14" t="n">
        <v>2146987.913848608</v>
      </c>
      <c r="I1726" s="14" t="n">
        <v>1018244.090334694</v>
      </c>
      <c r="J1726" s="14" t="n">
        <v>0</v>
      </c>
      <c r="K1726" s="14" t="n">
        <v>269959.896688394</v>
      </c>
      <c r="L1726" s="14" t="n">
        <v>4363183.854762208</v>
      </c>
      <c r="M1726" s="14" t="n">
        <v>0</v>
      </c>
      <c r="N1726" s="14" t="n">
        <v>2228623.356491807</v>
      </c>
      <c r="O1726" s="14" t="n">
        <v>3358192.930964781</v>
      </c>
      <c r="P1726" s="14" t="n">
        <v>115970.5847869873</v>
      </c>
      <c r="Q1726" s="14" t="n">
        <v>27195798.81667672</v>
      </c>
      <c r="R1726" s="15">
        <f>IF(D1726=1,"Section 1","Control")</f>
        <v/>
      </c>
      <c r="S1726" s="16">
        <f>N1726/10000</f>
        <v/>
      </c>
      <c r="T1726" s="16">
        <f>P1726/10000</f>
        <v/>
      </c>
      <c r="U1726" s="15">
        <f>IF(N1726&gt;=Summary!$D$3,1,0)</f>
        <v/>
      </c>
      <c r="V1726" s="17">
        <f>IF(N1726&gt;0,P1726/N1726,"")</f>
        <v/>
      </c>
      <c r="W1726" s="17">
        <f>IF(O1726&gt;0,H1726/O1726,"")</f>
        <v/>
      </c>
    </row>
    <row r="1727">
      <c r="A1727" s="13" t="inlineStr">
        <is>
          <t>CE15_B3</t>
        </is>
      </c>
      <c r="B1727" s="13" t="inlineStr">
        <is>
          <t>CE15</t>
        </is>
      </c>
      <c r="C1727" s="13" t="inlineStr">
        <is>
          <t>B3</t>
        </is>
      </c>
      <c r="D1727" s="13" t="n">
        <v>0</v>
      </c>
      <c r="E1727" s="13" t="inlineStr">
        <is>
          <t>E</t>
        </is>
      </c>
      <c r="F1727" s="13" t="n">
        <v>2023</v>
      </c>
      <c r="G1727" s="14" t="n">
        <v>7798375.755633904</v>
      </c>
      <c r="H1727" s="14" t="n">
        <v>2151437.448099263</v>
      </c>
      <c r="I1727" s="14" t="n">
        <v>1147939.811308289</v>
      </c>
      <c r="J1727" s="14" t="n">
        <v>0</v>
      </c>
      <c r="K1727" s="14" t="n">
        <v>63616.31192094392</v>
      </c>
      <c r="L1727" s="14" t="n">
        <v>4435382.184305407</v>
      </c>
      <c r="M1727" s="14" t="n">
        <v>0</v>
      </c>
      <c r="N1727" s="14" t="n">
        <v>2228623.356491807</v>
      </c>
      <c r="O1727" s="14" t="n">
        <v>3358192.93096478</v>
      </c>
      <c r="P1727" s="14" t="n">
        <v>118052.4780466416</v>
      </c>
      <c r="Q1727" s="14" t="n">
        <v>27195798.81667672</v>
      </c>
      <c r="R1727" s="15">
        <f>IF(D1727=1,"Section 1","Control")</f>
        <v/>
      </c>
      <c r="S1727" s="16">
        <f>N1727/10000</f>
        <v/>
      </c>
      <c r="T1727" s="16">
        <f>P1727/10000</f>
        <v/>
      </c>
      <c r="U1727" s="15">
        <f>IF(N1727&gt;=Summary!$D$3,1,0)</f>
        <v/>
      </c>
      <c r="V1727" s="17">
        <f>IF(N1727&gt;0,P1727/N1727,"")</f>
        <v/>
      </c>
      <c r="W1727" s="17">
        <f>IF(O1727&gt;0,H1727/O1727,"")</f>
        <v/>
      </c>
    </row>
    <row r="1728">
      <c r="A1728" s="13" t="inlineStr">
        <is>
          <t>CE15_B3</t>
        </is>
      </c>
      <c r="B1728" s="13" t="inlineStr">
        <is>
          <t>CE15</t>
        </is>
      </c>
      <c r="C1728" s="13" t="inlineStr">
        <is>
          <t>B3</t>
        </is>
      </c>
      <c r="D1728" s="13" t="n">
        <v>0</v>
      </c>
      <c r="E1728" s="13" t="inlineStr">
        <is>
          <t>E</t>
        </is>
      </c>
      <c r="F1728" s="13" t="n">
        <v>2024</v>
      </c>
      <c r="G1728" s="14" t="n">
        <v>7798375.755633905</v>
      </c>
      <c r="H1728" s="14" t="n">
        <v>2198666.764531603</v>
      </c>
      <c r="I1728" s="14" t="n">
        <v>1140509.62931345</v>
      </c>
      <c r="J1728" s="14" t="n">
        <v>0</v>
      </c>
      <c r="K1728" s="14" t="n">
        <v>38047.65303616991</v>
      </c>
      <c r="L1728" s="14" t="n">
        <v>4421151.708752681</v>
      </c>
      <c r="M1728" s="14" t="n">
        <v>0</v>
      </c>
      <c r="N1728" s="14" t="n">
        <v>2228623.356491807</v>
      </c>
      <c r="O1728" s="14" t="n">
        <v>3358192.930964781</v>
      </c>
      <c r="P1728" s="14" t="n">
        <v>83176.83839305803</v>
      </c>
      <c r="Q1728" s="14" t="n">
        <v>27195798.81667672</v>
      </c>
      <c r="R1728" s="15">
        <f>IF(D1728=1,"Section 1","Control")</f>
        <v/>
      </c>
      <c r="S1728" s="16">
        <f>N1728/10000</f>
        <v/>
      </c>
      <c r="T1728" s="16">
        <f>P1728/10000</f>
        <v/>
      </c>
      <c r="U1728" s="15">
        <f>IF(N1728&gt;=Summary!$D$3,1,0)</f>
        <v/>
      </c>
      <c r="V1728" s="17">
        <f>IF(N1728&gt;0,P1728/N1728,"")</f>
        <v/>
      </c>
      <c r="W1728" s="17">
        <f>IF(O1728&gt;0,H1728/O1728,"")</f>
        <v/>
      </c>
    </row>
    <row r="1729">
      <c r="A1729" s="13" t="inlineStr">
        <is>
          <t>CE15_B3</t>
        </is>
      </c>
      <c r="B1729" s="13" t="inlineStr">
        <is>
          <t>CE15</t>
        </is>
      </c>
      <c r="C1729" s="13" t="inlineStr">
        <is>
          <t>B3</t>
        </is>
      </c>
      <c r="D1729" s="13" t="n">
        <v>0</v>
      </c>
      <c r="E1729" s="13" t="inlineStr">
        <is>
          <t>E</t>
        </is>
      </c>
      <c r="F1729" s="13" t="n">
        <v>2025</v>
      </c>
      <c r="G1729" s="14" t="n">
        <v>7798375.755633905</v>
      </c>
      <c r="H1729" s="14" t="n">
        <v>2204790.884302924</v>
      </c>
      <c r="I1729" s="14" t="n">
        <v>1068886.59651558</v>
      </c>
      <c r="J1729" s="14" t="n">
        <v>0</v>
      </c>
      <c r="K1729" s="14" t="n">
        <v>90562.34987137736</v>
      </c>
      <c r="L1729" s="14" t="n">
        <v>4434135.924944021</v>
      </c>
      <c r="M1729" s="14" t="n">
        <v>0</v>
      </c>
      <c r="N1729" s="14" t="n">
        <v>2228623.356491807</v>
      </c>
      <c r="O1729" s="14" t="n">
        <v>3358192.930964781</v>
      </c>
      <c r="P1729" s="14" t="n">
        <v>89403.07085906385</v>
      </c>
      <c r="Q1729" s="14" t="n">
        <v>27195798.81667672</v>
      </c>
      <c r="R1729" s="15">
        <f>IF(D1729=1,"Section 1","Control")</f>
        <v/>
      </c>
      <c r="S1729" s="16">
        <f>N1729/10000</f>
        <v/>
      </c>
      <c r="T1729" s="16">
        <f>P1729/10000</f>
        <v/>
      </c>
      <c r="U1729" s="15">
        <f>IF(N1729&gt;=Summary!$D$3,1,0)</f>
        <v/>
      </c>
      <c r="V1729" s="17">
        <f>IF(N1729&gt;0,P1729/N1729,"")</f>
        <v/>
      </c>
      <c r="W1729" s="17">
        <f>IF(O1729&gt;0,H1729/O1729,"")</f>
        <v/>
      </c>
    </row>
    <row r="1730">
      <c r="A1730" s="13" t="inlineStr">
        <is>
          <t>CE15_B3</t>
        </is>
      </c>
      <c r="B1730" s="13" t="inlineStr">
        <is>
          <t>CE15</t>
        </is>
      </c>
      <c r="C1730" s="13" t="inlineStr">
        <is>
          <t>B3</t>
        </is>
      </c>
      <c r="D1730" s="13" t="n">
        <v>0</v>
      </c>
      <c r="E1730" s="13" t="inlineStr">
        <is>
          <t>E</t>
        </is>
      </c>
      <c r="F1730" s="13" t="n">
        <v>2026</v>
      </c>
      <c r="G1730" s="14" t="n">
        <v>7798375.755633904</v>
      </c>
      <c r="H1730" s="14" t="n">
        <v>2382164.405680219</v>
      </c>
      <c r="I1730" s="14" t="n">
        <v>925341.3015391032</v>
      </c>
      <c r="J1730" s="14" t="n">
        <v>0</v>
      </c>
      <c r="K1730" s="14" t="n">
        <v>59300.92293955485</v>
      </c>
      <c r="L1730" s="14" t="n">
        <v>4431569.125475027</v>
      </c>
      <c r="M1730" s="14" t="n">
        <v>0</v>
      </c>
      <c r="N1730" s="14" t="n">
        <v>2228623.356491807</v>
      </c>
      <c r="O1730" s="14" t="n">
        <v>3358192.93096478</v>
      </c>
      <c r="P1730" s="14" t="n">
        <v>45645.59664566938</v>
      </c>
      <c r="Q1730" s="14" t="n">
        <v>27195798.81667672</v>
      </c>
      <c r="R1730" s="15">
        <f>IF(D1730=1,"Section 1","Control")</f>
        <v/>
      </c>
      <c r="S1730" s="16">
        <f>N1730/10000</f>
        <v/>
      </c>
      <c r="T1730" s="16">
        <f>P1730/10000</f>
        <v/>
      </c>
      <c r="U1730" s="15">
        <f>IF(N1730&gt;=Summary!$D$3,1,0)</f>
        <v/>
      </c>
      <c r="V1730" s="17">
        <f>IF(N1730&gt;0,P1730/N1730,"")</f>
        <v/>
      </c>
      <c r="W1730" s="17">
        <f>IF(O1730&gt;0,H1730/O1730,"")</f>
        <v/>
      </c>
    </row>
    <row r="1731">
      <c r="A1731" s="13" t="inlineStr">
        <is>
          <t>CE15_F</t>
        </is>
      </c>
      <c r="B1731" s="13" t="inlineStr">
        <is>
          <t>CE15</t>
        </is>
      </c>
      <c r="C1731" s="13" t="inlineStr">
        <is>
          <t>F</t>
        </is>
      </c>
      <c r="D1731" s="13" t="n">
        <v>0</v>
      </c>
      <c r="E1731" s="13" t="inlineStr">
        <is>
          <t>E</t>
        </is>
      </c>
      <c r="F1731" s="13" t="n">
        <v>2020</v>
      </c>
      <c r="G1731" s="14" t="n">
        <v>67513.84262982535</v>
      </c>
      <c r="H1731" s="14" t="n">
        <v>45898.42285946116</v>
      </c>
      <c r="I1731" s="14" t="n">
        <v>6722.851878656125</v>
      </c>
      <c r="J1731" s="14" t="n">
        <v>0</v>
      </c>
      <c r="K1731" s="14" t="n">
        <v>13340.78367928897</v>
      </c>
      <c r="L1731" s="14" t="n">
        <v>1551.784212419098</v>
      </c>
      <c r="M1731" s="14" t="n">
        <v>0</v>
      </c>
      <c r="N1731" s="14" t="n">
        <v>45898.42285946116</v>
      </c>
      <c r="O1731" s="14" t="n">
        <v>65962.05841740625</v>
      </c>
      <c r="P1731" s="14" t="n">
        <v>0</v>
      </c>
      <c r="Q1731" s="14" t="n">
        <v>572068.5854848824</v>
      </c>
      <c r="R1731" s="15">
        <f>IF(D1731=1,"Section 1","Control")</f>
        <v/>
      </c>
      <c r="S1731" s="16">
        <f>N1731/10000</f>
        <v/>
      </c>
      <c r="T1731" s="16">
        <f>P1731/10000</f>
        <v/>
      </c>
      <c r="U1731" s="15">
        <f>IF(N1731&gt;=Summary!$D$3,1,0)</f>
        <v/>
      </c>
      <c r="V1731" s="17">
        <f>IF(N1731&gt;0,P1731/N1731,"")</f>
        <v/>
      </c>
      <c r="W1731" s="17">
        <f>IF(O1731&gt;0,H1731/O1731,"")</f>
        <v/>
      </c>
    </row>
    <row r="1732">
      <c r="A1732" s="13" t="inlineStr">
        <is>
          <t>CE15_F</t>
        </is>
      </c>
      <c r="B1732" s="13" t="inlineStr">
        <is>
          <t>CE15</t>
        </is>
      </c>
      <c r="C1732" s="13" t="inlineStr">
        <is>
          <t>F</t>
        </is>
      </c>
      <c r="D1732" s="13" t="n">
        <v>0</v>
      </c>
      <c r="E1732" s="13" t="inlineStr">
        <is>
          <t>E</t>
        </is>
      </c>
      <c r="F1732" s="13" t="n">
        <v>2021</v>
      </c>
      <c r="G1732" s="14" t="n">
        <v>67513.84262982535</v>
      </c>
      <c r="H1732" s="14" t="n">
        <v>34195.78045325186</v>
      </c>
      <c r="I1732" s="14" t="n">
        <v>14764.78680973427</v>
      </c>
      <c r="J1732" s="14" t="n">
        <v>0</v>
      </c>
      <c r="K1732" s="14" t="n">
        <v>18553.27536683924</v>
      </c>
      <c r="L1732" s="14" t="n">
        <v>0</v>
      </c>
      <c r="M1732" s="14" t="n">
        <v>0</v>
      </c>
      <c r="N1732" s="14" t="n">
        <v>45898.42285946116</v>
      </c>
      <c r="O1732" s="14" t="n">
        <v>65962.05841740625</v>
      </c>
      <c r="P1732" s="14" t="n">
        <v>12196.28689168295</v>
      </c>
      <c r="Q1732" s="14" t="n">
        <v>572068.5854848824</v>
      </c>
      <c r="R1732" s="15">
        <f>IF(D1732=1,"Section 1","Control")</f>
        <v/>
      </c>
      <c r="S1732" s="16">
        <f>N1732/10000</f>
        <v/>
      </c>
      <c r="T1732" s="16">
        <f>P1732/10000</f>
        <v/>
      </c>
      <c r="U1732" s="15">
        <f>IF(N1732&gt;=Summary!$D$3,1,0)</f>
        <v/>
      </c>
      <c r="V1732" s="17">
        <f>IF(N1732&gt;0,P1732/N1732,"")</f>
        <v/>
      </c>
      <c r="W1732" s="17">
        <f>IF(O1732&gt;0,H1732/O1732,"")</f>
        <v/>
      </c>
    </row>
    <row r="1733">
      <c r="A1733" s="13" t="inlineStr">
        <is>
          <t>CE15_F</t>
        </is>
      </c>
      <c r="B1733" s="13" t="inlineStr">
        <is>
          <t>CE15</t>
        </is>
      </c>
      <c r="C1733" s="13" t="inlineStr">
        <is>
          <t>F</t>
        </is>
      </c>
      <c r="D1733" s="13" t="n">
        <v>0</v>
      </c>
      <c r="E1733" s="13" t="inlineStr">
        <is>
          <t>E</t>
        </is>
      </c>
      <c r="F1733" s="13" t="n">
        <v>2022</v>
      </c>
      <c r="G1733" s="14" t="n">
        <v>67513.84262982535</v>
      </c>
      <c r="H1733" s="14" t="n">
        <v>39702.13342033836</v>
      </c>
      <c r="I1733" s="14" t="n">
        <v>8100.403504016353</v>
      </c>
      <c r="J1733" s="14" t="n">
        <v>0</v>
      </c>
      <c r="K1733" s="14" t="n">
        <v>19711.30570547066</v>
      </c>
      <c r="L1733" s="14" t="n">
        <v>0</v>
      </c>
      <c r="M1733" s="14" t="n">
        <v>0</v>
      </c>
      <c r="N1733" s="14" t="n">
        <v>45898.42285946116</v>
      </c>
      <c r="O1733" s="14" t="n">
        <v>65962.05841740625</v>
      </c>
      <c r="P1733" s="14" t="n">
        <v>7282.30744449391</v>
      </c>
      <c r="Q1733" s="14" t="n">
        <v>572068.5854848824</v>
      </c>
      <c r="R1733" s="15">
        <f>IF(D1733=1,"Section 1","Control")</f>
        <v/>
      </c>
      <c r="S1733" s="16">
        <f>N1733/10000</f>
        <v/>
      </c>
      <c r="T1733" s="16">
        <f>P1733/10000</f>
        <v/>
      </c>
      <c r="U1733" s="15">
        <f>IF(N1733&gt;=Summary!$D$3,1,0)</f>
        <v/>
      </c>
      <c r="V1733" s="17">
        <f>IF(N1733&gt;0,P1733/N1733,"")</f>
        <v/>
      </c>
      <c r="W1733" s="17">
        <f>IF(O1733&gt;0,H1733/O1733,"")</f>
        <v/>
      </c>
    </row>
    <row r="1734">
      <c r="A1734" s="13" t="inlineStr">
        <is>
          <t>CE15_F</t>
        </is>
      </c>
      <c r="B1734" s="13" t="inlineStr">
        <is>
          <t>CE15</t>
        </is>
      </c>
      <c r="C1734" s="13" t="inlineStr">
        <is>
          <t>F</t>
        </is>
      </c>
      <c r="D1734" s="13" t="n">
        <v>0</v>
      </c>
      <c r="E1734" s="13" t="inlineStr">
        <is>
          <t>E</t>
        </is>
      </c>
      <c r="F1734" s="13" t="n">
        <v>2023</v>
      </c>
      <c r="G1734" s="14" t="n">
        <v>67513.84262982535</v>
      </c>
      <c r="H1734" s="14" t="n">
        <v>34441.24236988742</v>
      </c>
      <c r="I1734" s="14" t="n">
        <v>12769.30894147088</v>
      </c>
      <c r="J1734" s="14" t="n">
        <v>0</v>
      </c>
      <c r="K1734" s="14" t="n">
        <v>18839.39527498133</v>
      </c>
      <c r="L1734" s="14" t="n">
        <v>1463.896043485754</v>
      </c>
      <c r="M1734" s="14" t="n">
        <v>0</v>
      </c>
      <c r="N1734" s="14" t="n">
        <v>45898.42285946116</v>
      </c>
      <c r="O1734" s="14" t="n">
        <v>65962.05841740625</v>
      </c>
      <c r="P1734" s="14" t="n">
        <v>12049.55363563089</v>
      </c>
      <c r="Q1734" s="14" t="n">
        <v>572068.5854848824</v>
      </c>
      <c r="R1734" s="15">
        <f>IF(D1734=1,"Section 1","Control")</f>
        <v/>
      </c>
      <c r="S1734" s="16">
        <f>N1734/10000</f>
        <v/>
      </c>
      <c r="T1734" s="16">
        <f>P1734/10000</f>
        <v/>
      </c>
      <c r="U1734" s="15">
        <f>IF(N1734&gt;=Summary!$D$3,1,0)</f>
        <v/>
      </c>
      <c r="V1734" s="17">
        <f>IF(N1734&gt;0,P1734/N1734,"")</f>
        <v/>
      </c>
      <c r="W1734" s="17">
        <f>IF(O1734&gt;0,H1734/O1734,"")</f>
        <v/>
      </c>
    </row>
    <row r="1735">
      <c r="A1735" s="13" t="inlineStr">
        <is>
          <t>CE15_F</t>
        </is>
      </c>
      <c r="B1735" s="13" t="inlineStr">
        <is>
          <t>CE15</t>
        </is>
      </c>
      <c r="C1735" s="13" t="inlineStr">
        <is>
          <t>F</t>
        </is>
      </c>
      <c r="D1735" s="13" t="n">
        <v>0</v>
      </c>
      <c r="E1735" s="13" t="inlineStr">
        <is>
          <t>E</t>
        </is>
      </c>
      <c r="F1735" s="13" t="n">
        <v>2024</v>
      </c>
      <c r="G1735" s="14" t="n">
        <v>67513.84262982535</v>
      </c>
      <c r="H1735" s="14" t="n">
        <v>39731.16584424785</v>
      </c>
      <c r="I1735" s="14" t="n">
        <v>4394.011091763366</v>
      </c>
      <c r="J1735" s="14" t="n">
        <v>0</v>
      </c>
      <c r="K1735" s="14" t="n">
        <v>23388.66569381415</v>
      </c>
      <c r="L1735" s="14" t="n">
        <v>0</v>
      </c>
      <c r="M1735" s="14" t="n">
        <v>0</v>
      </c>
      <c r="N1735" s="14" t="n">
        <v>45898.42285946116</v>
      </c>
      <c r="O1735" s="14" t="n">
        <v>65962.05841740625</v>
      </c>
      <c r="P1735" s="14" t="n">
        <v>7413.175278487859</v>
      </c>
      <c r="Q1735" s="14" t="n">
        <v>572068.5854848824</v>
      </c>
      <c r="R1735" s="15">
        <f>IF(D1735=1,"Section 1","Control")</f>
        <v/>
      </c>
      <c r="S1735" s="16">
        <f>N1735/10000</f>
        <v/>
      </c>
      <c r="T1735" s="16">
        <f>P1735/10000</f>
        <v/>
      </c>
      <c r="U1735" s="15">
        <f>IF(N1735&gt;=Summary!$D$3,1,0)</f>
        <v/>
      </c>
      <c r="V1735" s="17">
        <f>IF(N1735&gt;0,P1735/N1735,"")</f>
        <v/>
      </c>
      <c r="W1735" s="17">
        <f>IF(O1735&gt;0,H1735/O1735,"")</f>
        <v/>
      </c>
    </row>
    <row r="1736">
      <c r="A1736" s="13" t="inlineStr">
        <is>
          <t>CE15_F</t>
        </is>
      </c>
      <c r="B1736" s="13" t="inlineStr">
        <is>
          <t>CE15</t>
        </is>
      </c>
      <c r="C1736" s="13" t="inlineStr">
        <is>
          <t>F</t>
        </is>
      </c>
      <c r="D1736" s="13" t="n">
        <v>0</v>
      </c>
      <c r="E1736" s="13" t="inlineStr">
        <is>
          <t>E</t>
        </is>
      </c>
      <c r="F1736" s="13" t="n">
        <v>2025</v>
      </c>
      <c r="G1736" s="14" t="n">
        <v>67513.84262982535</v>
      </c>
      <c r="H1736" s="14" t="n">
        <v>41346.44627676571</v>
      </c>
      <c r="I1736" s="14" t="n">
        <v>4861.329777766208</v>
      </c>
      <c r="J1736" s="14" t="n">
        <v>0</v>
      </c>
      <c r="K1736" s="14" t="n">
        <v>18953.22450684192</v>
      </c>
      <c r="L1736" s="14" t="n">
        <v>2352.842068451526</v>
      </c>
      <c r="M1736" s="14" t="n">
        <v>0</v>
      </c>
      <c r="N1736" s="14" t="n">
        <v>45898.42285946116</v>
      </c>
      <c r="O1736" s="14" t="n">
        <v>65962.05841740625</v>
      </c>
      <c r="P1736" s="14" t="n">
        <v>6274.890532729205</v>
      </c>
      <c r="Q1736" s="14" t="n">
        <v>572068.5854848824</v>
      </c>
      <c r="R1736" s="15">
        <f>IF(D1736=1,"Section 1","Control")</f>
        <v/>
      </c>
      <c r="S1736" s="16">
        <f>N1736/10000</f>
        <v/>
      </c>
      <c r="T1736" s="16">
        <f>P1736/10000</f>
        <v/>
      </c>
      <c r="U1736" s="15">
        <f>IF(N1736&gt;=Summary!$D$3,1,0)</f>
        <v/>
      </c>
      <c r="V1736" s="17">
        <f>IF(N1736&gt;0,P1736/N1736,"")</f>
        <v/>
      </c>
      <c r="W1736" s="17">
        <f>IF(O1736&gt;0,H1736/O1736,"")</f>
        <v/>
      </c>
    </row>
    <row r="1737">
      <c r="A1737" s="13" t="inlineStr">
        <is>
          <t>CE15_F</t>
        </is>
      </c>
      <c r="B1737" s="13" t="inlineStr">
        <is>
          <t>CE15</t>
        </is>
      </c>
      <c r="C1737" s="13" t="inlineStr">
        <is>
          <t>F</t>
        </is>
      </c>
      <c r="D1737" s="13" t="n">
        <v>0</v>
      </c>
      <c r="E1737" s="13" t="inlineStr">
        <is>
          <t>E</t>
        </is>
      </c>
      <c r="F1737" s="13" t="n">
        <v>2026</v>
      </c>
      <c r="G1737" s="14" t="n">
        <v>67513.84262982535</v>
      </c>
      <c r="H1737" s="14" t="n">
        <v>38264.94604701622</v>
      </c>
      <c r="I1737" s="14" t="n">
        <v>3913.917590571385</v>
      </c>
      <c r="J1737" s="14" t="n">
        <v>0</v>
      </c>
      <c r="K1737" s="14" t="n">
        <v>24597.41677135393</v>
      </c>
      <c r="L1737" s="14" t="n">
        <v>737.562220883837</v>
      </c>
      <c r="M1737" s="14" t="n">
        <v>0</v>
      </c>
      <c r="N1737" s="14" t="n">
        <v>45898.42285946116</v>
      </c>
      <c r="O1737" s="14" t="n">
        <v>65962.05841740625</v>
      </c>
      <c r="P1737" s="14" t="n">
        <v>8837.194212610582</v>
      </c>
      <c r="Q1737" s="14" t="n">
        <v>572068.5854848824</v>
      </c>
      <c r="R1737" s="15">
        <f>IF(D1737=1,"Section 1","Control")</f>
        <v/>
      </c>
      <c r="S1737" s="16">
        <f>N1737/10000</f>
        <v/>
      </c>
      <c r="T1737" s="16">
        <f>P1737/10000</f>
        <v/>
      </c>
      <c r="U1737" s="15">
        <f>IF(N1737&gt;=Summary!$D$3,1,0)</f>
        <v/>
      </c>
      <c r="V1737" s="17">
        <f>IF(N1737&gt;0,P1737/N1737,"")</f>
        <v/>
      </c>
      <c r="W1737" s="17">
        <f>IF(O1737&gt;0,H1737/O1737,"")</f>
        <v/>
      </c>
    </row>
    <row r="1738">
      <c r="A1738" s="13" t="inlineStr">
        <is>
          <t>CE16_B1</t>
        </is>
      </c>
      <c r="B1738" s="13" t="inlineStr">
        <is>
          <t>CE16</t>
        </is>
      </c>
      <c r="C1738" s="13" t="inlineStr">
        <is>
          <t>B1</t>
        </is>
      </c>
      <c r="D1738" s="13" t="n">
        <v>0</v>
      </c>
      <c r="E1738" s="13" t="inlineStr">
        <is>
          <t>E</t>
        </is>
      </c>
      <c r="F1738" s="13" t="n">
        <v>2020</v>
      </c>
      <c r="G1738" s="14" t="n">
        <v>1025586.200887403</v>
      </c>
      <c r="H1738" s="14" t="n">
        <v>108153.2517497642</v>
      </c>
      <c r="I1738" s="14" t="n">
        <v>368087.2720240873</v>
      </c>
      <c r="J1738" s="14" t="n">
        <v>0</v>
      </c>
      <c r="K1738" s="14" t="n">
        <v>355412.0207871381</v>
      </c>
      <c r="L1738" s="14" t="n">
        <v>193933.6563264136</v>
      </c>
      <c r="M1738" s="14" t="n">
        <v>0</v>
      </c>
      <c r="N1738" s="14" t="n">
        <v>108153.2517497642</v>
      </c>
      <c r="O1738" s="14" t="n">
        <v>831652.5445609897</v>
      </c>
      <c r="P1738" s="14" t="n">
        <v>0</v>
      </c>
      <c r="Q1738" s="14" t="n">
        <v>6344494.578318547</v>
      </c>
      <c r="R1738" s="15">
        <f>IF(D1738=1,"Section 1","Control")</f>
        <v/>
      </c>
      <c r="S1738" s="16">
        <f>N1738/10000</f>
        <v/>
      </c>
      <c r="T1738" s="16">
        <f>P1738/10000</f>
        <v/>
      </c>
      <c r="U1738" s="15">
        <f>IF(N1738&gt;=Summary!$D$3,1,0)</f>
        <v/>
      </c>
      <c r="V1738" s="17">
        <f>IF(N1738&gt;0,P1738/N1738,"")</f>
        <v/>
      </c>
      <c r="W1738" s="17">
        <f>IF(O1738&gt;0,H1738/O1738,"")</f>
        <v/>
      </c>
    </row>
    <row r="1739">
      <c r="A1739" s="13" t="inlineStr">
        <is>
          <t>CE16_B1</t>
        </is>
      </c>
      <c r="B1739" s="13" t="inlineStr">
        <is>
          <t>CE16</t>
        </is>
      </c>
      <c r="C1739" s="13" t="inlineStr">
        <is>
          <t>B1</t>
        </is>
      </c>
      <c r="D1739" s="13" t="n">
        <v>0</v>
      </c>
      <c r="E1739" s="13" t="inlineStr">
        <is>
          <t>E</t>
        </is>
      </c>
      <c r="F1739" s="13" t="n">
        <v>2021</v>
      </c>
      <c r="G1739" s="14" t="n">
        <v>1025586.200887403</v>
      </c>
      <c r="H1739" s="14" t="n">
        <v>69122.97586915258</v>
      </c>
      <c r="I1739" s="14" t="n">
        <v>340216.9374578438</v>
      </c>
      <c r="J1739" s="14" t="n">
        <v>0</v>
      </c>
      <c r="K1739" s="14" t="n">
        <v>420893.6353686464</v>
      </c>
      <c r="L1739" s="14" t="n">
        <v>195352.6521917605</v>
      </c>
      <c r="M1739" s="14" t="n">
        <v>0</v>
      </c>
      <c r="N1739" s="14" t="n">
        <v>108153.2517497642</v>
      </c>
      <c r="O1739" s="14" t="n">
        <v>831652.5445609897</v>
      </c>
      <c r="P1739" s="14" t="n">
        <v>47751.31112000709</v>
      </c>
      <c r="Q1739" s="14" t="n">
        <v>6344494.578318547</v>
      </c>
      <c r="R1739" s="15">
        <f>IF(D1739=1,"Section 1","Control")</f>
        <v/>
      </c>
      <c r="S1739" s="16">
        <f>N1739/10000</f>
        <v/>
      </c>
      <c r="T1739" s="16">
        <f>P1739/10000</f>
        <v/>
      </c>
      <c r="U1739" s="15">
        <f>IF(N1739&gt;=Summary!$D$3,1,0)</f>
        <v/>
      </c>
      <c r="V1739" s="17">
        <f>IF(N1739&gt;0,P1739/N1739,"")</f>
        <v/>
      </c>
      <c r="W1739" s="17">
        <f>IF(O1739&gt;0,H1739/O1739,"")</f>
        <v/>
      </c>
    </row>
    <row r="1740">
      <c r="A1740" s="13" t="inlineStr">
        <is>
          <t>CE16_B1</t>
        </is>
      </c>
      <c r="B1740" s="13" t="inlineStr">
        <is>
          <t>CE16</t>
        </is>
      </c>
      <c r="C1740" s="13" t="inlineStr">
        <is>
          <t>B1</t>
        </is>
      </c>
      <c r="D1740" s="13" t="n">
        <v>0</v>
      </c>
      <c r="E1740" s="13" t="inlineStr">
        <is>
          <t>E</t>
        </is>
      </c>
      <c r="F1740" s="13" t="n">
        <v>2022</v>
      </c>
      <c r="G1740" s="14" t="n">
        <v>1025586.200887403</v>
      </c>
      <c r="H1740" s="14" t="n">
        <v>147532.2677182964</v>
      </c>
      <c r="I1740" s="14" t="n">
        <v>269404.7606376199</v>
      </c>
      <c r="J1740" s="14" t="n">
        <v>0</v>
      </c>
      <c r="K1740" s="14" t="n">
        <v>411817.1263834337</v>
      </c>
      <c r="L1740" s="14" t="n">
        <v>196832.0461480533</v>
      </c>
      <c r="M1740" s="14" t="n">
        <v>0</v>
      </c>
      <c r="N1740" s="14" t="n">
        <v>108153.2517497642</v>
      </c>
      <c r="O1740" s="14" t="n">
        <v>831652.5445609897</v>
      </c>
      <c r="P1740" s="14" t="n">
        <v>28838.06814871395</v>
      </c>
      <c r="Q1740" s="14" t="n">
        <v>6344494.578318547</v>
      </c>
      <c r="R1740" s="15">
        <f>IF(D1740=1,"Section 1","Control")</f>
        <v/>
      </c>
      <c r="S1740" s="16">
        <f>N1740/10000</f>
        <v/>
      </c>
      <c r="T1740" s="16">
        <f>P1740/10000</f>
        <v/>
      </c>
      <c r="U1740" s="15">
        <f>IF(N1740&gt;=Summary!$D$3,1,0)</f>
        <v/>
      </c>
      <c r="V1740" s="17">
        <f>IF(N1740&gt;0,P1740/N1740,"")</f>
        <v/>
      </c>
      <c r="W1740" s="17">
        <f>IF(O1740&gt;0,H1740/O1740,"")</f>
        <v/>
      </c>
    </row>
    <row r="1741">
      <c r="A1741" s="13" t="inlineStr">
        <is>
          <t>CE16_B1</t>
        </is>
      </c>
      <c r="B1741" s="13" t="inlineStr">
        <is>
          <t>CE16</t>
        </is>
      </c>
      <c r="C1741" s="13" t="inlineStr">
        <is>
          <t>B1</t>
        </is>
      </c>
      <c r="D1741" s="13" t="n">
        <v>0</v>
      </c>
      <c r="E1741" s="13" t="inlineStr">
        <is>
          <t>E</t>
        </is>
      </c>
      <c r="F1741" s="13" t="n">
        <v>2023</v>
      </c>
      <c r="G1741" s="14" t="n">
        <v>1025586.200887403</v>
      </c>
      <c r="H1741" s="14" t="n">
        <v>94337.7780026305</v>
      </c>
      <c r="I1741" s="14" t="n">
        <v>344555.5787946514</v>
      </c>
      <c r="J1741" s="14" t="n">
        <v>0</v>
      </c>
      <c r="K1741" s="14" t="n">
        <v>365572.14382037</v>
      </c>
      <c r="L1741" s="14" t="n">
        <v>221120.7002697515</v>
      </c>
      <c r="M1741" s="14" t="n">
        <v>0</v>
      </c>
      <c r="N1741" s="14" t="n">
        <v>108153.2517497642</v>
      </c>
      <c r="O1741" s="14" t="n">
        <v>831652.5445609897</v>
      </c>
      <c r="P1741" s="14" t="n">
        <v>46417.55336091284</v>
      </c>
      <c r="Q1741" s="14" t="n">
        <v>6344494.578318547</v>
      </c>
      <c r="R1741" s="15">
        <f>IF(D1741=1,"Section 1","Control")</f>
        <v/>
      </c>
      <c r="S1741" s="16">
        <f>N1741/10000</f>
        <v/>
      </c>
      <c r="T1741" s="16">
        <f>P1741/10000</f>
        <v/>
      </c>
      <c r="U1741" s="15">
        <f>IF(N1741&gt;=Summary!$D$3,1,0)</f>
        <v/>
      </c>
      <c r="V1741" s="17">
        <f>IF(N1741&gt;0,P1741/N1741,"")</f>
        <v/>
      </c>
      <c r="W1741" s="17">
        <f>IF(O1741&gt;0,H1741/O1741,"")</f>
        <v/>
      </c>
    </row>
    <row r="1742">
      <c r="A1742" s="13" t="inlineStr">
        <is>
          <t>CE16_B1</t>
        </is>
      </c>
      <c r="B1742" s="13" t="inlineStr">
        <is>
          <t>CE16</t>
        </is>
      </c>
      <c r="C1742" s="13" t="inlineStr">
        <is>
          <t>B1</t>
        </is>
      </c>
      <c r="D1742" s="13" t="n">
        <v>0</v>
      </c>
      <c r="E1742" s="13" t="inlineStr">
        <is>
          <t>E</t>
        </is>
      </c>
      <c r="F1742" s="13" t="n">
        <v>2024</v>
      </c>
      <c r="G1742" s="14" t="n">
        <v>1025586.200887403</v>
      </c>
      <c r="H1742" s="14" t="n">
        <v>88287.76937115239</v>
      </c>
      <c r="I1742" s="14" t="n">
        <v>315593.2266697005</v>
      </c>
      <c r="J1742" s="14" t="n">
        <v>0</v>
      </c>
      <c r="K1742" s="14" t="n">
        <v>414397.744370195</v>
      </c>
      <c r="L1742" s="14" t="n">
        <v>207307.4604763555</v>
      </c>
      <c r="M1742" s="14" t="n">
        <v>0</v>
      </c>
      <c r="N1742" s="14" t="n">
        <v>108153.2517497642</v>
      </c>
      <c r="O1742" s="14" t="n">
        <v>831652.5445609897</v>
      </c>
      <c r="P1742" s="14" t="n">
        <v>48957.08240284639</v>
      </c>
      <c r="Q1742" s="14" t="n">
        <v>6344494.578318547</v>
      </c>
      <c r="R1742" s="15">
        <f>IF(D1742=1,"Section 1","Control")</f>
        <v/>
      </c>
      <c r="S1742" s="16">
        <f>N1742/10000</f>
        <v/>
      </c>
      <c r="T1742" s="16">
        <f>P1742/10000</f>
        <v/>
      </c>
      <c r="U1742" s="15">
        <f>IF(N1742&gt;=Summary!$D$3,1,0)</f>
        <v/>
      </c>
      <c r="V1742" s="17">
        <f>IF(N1742&gt;0,P1742/N1742,"")</f>
        <v/>
      </c>
      <c r="W1742" s="17">
        <f>IF(O1742&gt;0,H1742/O1742,"")</f>
        <v/>
      </c>
    </row>
    <row r="1743">
      <c r="A1743" s="13" t="inlineStr">
        <is>
          <t>CE16_B1</t>
        </is>
      </c>
      <c r="B1743" s="13" t="inlineStr">
        <is>
          <t>CE16</t>
        </is>
      </c>
      <c r="C1743" s="13" t="inlineStr">
        <is>
          <t>B1</t>
        </is>
      </c>
      <c r="D1743" s="13" t="n">
        <v>0</v>
      </c>
      <c r="E1743" s="13" t="inlineStr">
        <is>
          <t>E</t>
        </is>
      </c>
      <c r="F1743" s="13" t="n">
        <v>2025</v>
      </c>
      <c r="G1743" s="14" t="n">
        <v>1025586.200887403</v>
      </c>
      <c r="H1743" s="14" t="n">
        <v>158160.3711864397</v>
      </c>
      <c r="I1743" s="14" t="n">
        <v>292284.2570473465</v>
      </c>
      <c r="J1743" s="14" t="n">
        <v>0</v>
      </c>
      <c r="K1743" s="14" t="n">
        <v>355600.5481269688</v>
      </c>
      <c r="L1743" s="14" t="n">
        <v>219541.0245266484</v>
      </c>
      <c r="M1743" s="14" t="n">
        <v>0</v>
      </c>
      <c r="N1743" s="14" t="n">
        <v>108153.2517497642</v>
      </c>
      <c r="O1743" s="14" t="n">
        <v>831652.5445609897</v>
      </c>
      <c r="P1743" s="14" t="n">
        <v>37456.9911099303</v>
      </c>
      <c r="Q1743" s="14" t="n">
        <v>6344494.578318547</v>
      </c>
      <c r="R1743" s="15">
        <f>IF(D1743=1,"Section 1","Control")</f>
        <v/>
      </c>
      <c r="S1743" s="16">
        <f>N1743/10000</f>
        <v/>
      </c>
      <c r="T1743" s="16">
        <f>P1743/10000</f>
        <v/>
      </c>
      <c r="U1743" s="15">
        <f>IF(N1743&gt;=Summary!$D$3,1,0)</f>
        <v/>
      </c>
      <c r="V1743" s="17">
        <f>IF(N1743&gt;0,P1743/N1743,"")</f>
        <v/>
      </c>
      <c r="W1743" s="17">
        <f>IF(O1743&gt;0,H1743/O1743,"")</f>
        <v/>
      </c>
    </row>
    <row r="1744">
      <c r="A1744" s="13" t="inlineStr">
        <is>
          <t>CE16_B1</t>
        </is>
      </c>
      <c r="B1744" s="13" t="inlineStr">
        <is>
          <t>CE16</t>
        </is>
      </c>
      <c r="C1744" s="13" t="inlineStr">
        <is>
          <t>B1</t>
        </is>
      </c>
      <c r="D1744" s="13" t="n">
        <v>0</v>
      </c>
      <c r="E1744" s="13" t="inlineStr">
        <is>
          <t>E</t>
        </is>
      </c>
      <c r="F1744" s="13" t="n">
        <v>2026</v>
      </c>
      <c r="G1744" s="14" t="n">
        <v>1025586.200887403</v>
      </c>
      <c r="H1744" s="14" t="n">
        <v>147942.9618836945</v>
      </c>
      <c r="I1744" s="14" t="n">
        <v>238996.4358187508</v>
      </c>
      <c r="J1744" s="14" t="n">
        <v>0</v>
      </c>
      <c r="K1744" s="14" t="n">
        <v>419994.3444999845</v>
      </c>
      <c r="L1744" s="14" t="n">
        <v>218652.4586849736</v>
      </c>
      <c r="M1744" s="14" t="n">
        <v>0</v>
      </c>
      <c r="N1744" s="14" t="n">
        <v>108153.2517497642</v>
      </c>
      <c r="O1744" s="14" t="n">
        <v>831652.5445609897</v>
      </c>
      <c r="P1744" s="14" t="n">
        <v>44405.55532181684</v>
      </c>
      <c r="Q1744" s="14" t="n">
        <v>6344494.578318547</v>
      </c>
      <c r="R1744" s="15">
        <f>IF(D1744=1,"Section 1","Control")</f>
        <v/>
      </c>
      <c r="S1744" s="16">
        <f>N1744/10000</f>
        <v/>
      </c>
      <c r="T1744" s="16">
        <f>P1744/10000</f>
        <v/>
      </c>
      <c r="U1744" s="15">
        <f>IF(N1744&gt;=Summary!$D$3,1,0)</f>
        <v/>
      </c>
      <c r="V1744" s="17">
        <f>IF(N1744&gt;0,P1744/N1744,"")</f>
        <v/>
      </c>
      <c r="W1744" s="17">
        <f>IF(O1744&gt;0,H1744/O1744,"")</f>
        <v/>
      </c>
    </row>
    <row r="1745">
      <c r="A1745" s="13" t="inlineStr">
        <is>
          <t>CE16_B2</t>
        </is>
      </c>
      <c r="B1745" s="13" t="inlineStr">
        <is>
          <t>CE16</t>
        </is>
      </c>
      <c r="C1745" s="13" t="inlineStr">
        <is>
          <t>B2</t>
        </is>
      </c>
      <c r="D1745" s="13" t="n">
        <v>0</v>
      </c>
      <c r="E1745" s="13" t="inlineStr">
        <is>
          <t>E</t>
        </is>
      </c>
      <c r="F1745" s="13" t="n">
        <v>2020</v>
      </c>
      <c r="G1745" s="14" t="n">
        <v>1026088.367063216</v>
      </c>
      <c r="H1745" s="14" t="n">
        <v>126201.1891663196</v>
      </c>
      <c r="I1745" s="14" t="n">
        <v>383808.3242706299</v>
      </c>
      <c r="J1745" s="14" t="n">
        <v>0</v>
      </c>
      <c r="K1745" s="14" t="n">
        <v>2782.188676662071</v>
      </c>
      <c r="L1745" s="14" t="n">
        <v>513296.6649496042</v>
      </c>
      <c r="M1745" s="14" t="n">
        <v>0</v>
      </c>
      <c r="N1745" s="14" t="n">
        <v>126201.1891663196</v>
      </c>
      <c r="O1745" s="14" t="n">
        <v>512791.7021136113</v>
      </c>
      <c r="P1745" s="14" t="n">
        <v>0</v>
      </c>
      <c r="Q1745" s="14" t="n">
        <v>3275684.106258017</v>
      </c>
      <c r="R1745" s="15">
        <f>IF(D1745=1,"Section 1","Control")</f>
        <v/>
      </c>
      <c r="S1745" s="16">
        <f>N1745/10000</f>
        <v/>
      </c>
      <c r="T1745" s="16">
        <f>P1745/10000</f>
        <v/>
      </c>
      <c r="U1745" s="15">
        <f>IF(N1745&gt;=Summary!$D$3,1,0)</f>
        <v/>
      </c>
      <c r="V1745" s="17">
        <f>IF(N1745&gt;0,P1745/N1745,"")</f>
        <v/>
      </c>
      <c r="W1745" s="17">
        <f>IF(O1745&gt;0,H1745/O1745,"")</f>
        <v/>
      </c>
    </row>
    <row r="1746">
      <c r="A1746" s="13" t="inlineStr">
        <is>
          <t>CE16_B2</t>
        </is>
      </c>
      <c r="B1746" s="13" t="inlineStr">
        <is>
          <t>CE16</t>
        </is>
      </c>
      <c r="C1746" s="13" t="inlineStr">
        <is>
          <t>B2</t>
        </is>
      </c>
      <c r="D1746" s="13" t="n">
        <v>0</v>
      </c>
      <c r="E1746" s="13" t="inlineStr">
        <is>
          <t>E</t>
        </is>
      </c>
      <c r="F1746" s="13" t="n">
        <v>2021</v>
      </c>
      <c r="G1746" s="14" t="n">
        <v>1026088.367063216</v>
      </c>
      <c r="H1746" s="14" t="n">
        <v>99579.15604373709</v>
      </c>
      <c r="I1746" s="14" t="n">
        <v>384264.7951281678</v>
      </c>
      <c r="J1746" s="14" t="n">
        <v>0</v>
      </c>
      <c r="K1746" s="14" t="n">
        <v>28947.75094170664</v>
      </c>
      <c r="L1746" s="14" t="n">
        <v>513296.6649496042</v>
      </c>
      <c r="M1746" s="14" t="n">
        <v>0</v>
      </c>
      <c r="N1746" s="14" t="n">
        <v>126201.1891663196</v>
      </c>
      <c r="O1746" s="14" t="n">
        <v>512791.7021136113</v>
      </c>
      <c r="P1746" s="14" t="n">
        <v>30788.74764132032</v>
      </c>
      <c r="Q1746" s="14" t="n">
        <v>3275684.106258017</v>
      </c>
      <c r="R1746" s="15">
        <f>IF(D1746=1,"Section 1","Control")</f>
        <v/>
      </c>
      <c r="S1746" s="16">
        <f>N1746/10000</f>
        <v/>
      </c>
      <c r="T1746" s="16">
        <f>P1746/10000</f>
        <v/>
      </c>
      <c r="U1746" s="15">
        <f>IF(N1746&gt;=Summary!$D$3,1,0)</f>
        <v/>
      </c>
      <c r="V1746" s="17">
        <f>IF(N1746&gt;0,P1746/N1746,"")</f>
        <v/>
      </c>
      <c r="W1746" s="17">
        <f>IF(O1746&gt;0,H1746/O1746,"")</f>
        <v/>
      </c>
    </row>
    <row r="1747">
      <c r="A1747" s="13" t="inlineStr">
        <is>
          <t>CE16_B2</t>
        </is>
      </c>
      <c r="B1747" s="13" t="inlineStr">
        <is>
          <t>CE16</t>
        </is>
      </c>
      <c r="C1747" s="13" t="inlineStr">
        <is>
          <t>B2</t>
        </is>
      </c>
      <c r="D1747" s="13" t="n">
        <v>0</v>
      </c>
      <c r="E1747" s="13" t="inlineStr">
        <is>
          <t>E</t>
        </is>
      </c>
      <c r="F1747" s="13" t="n">
        <v>2022</v>
      </c>
      <c r="G1747" s="14" t="n">
        <v>1026088.367063216</v>
      </c>
      <c r="H1747" s="14" t="n">
        <v>93038.47541904822</v>
      </c>
      <c r="I1747" s="14" t="n">
        <v>389079.4976722269</v>
      </c>
      <c r="J1747" s="14" t="n">
        <v>0</v>
      </c>
      <c r="K1747" s="14" t="n">
        <v>30673.72902233648</v>
      </c>
      <c r="L1747" s="14" t="n">
        <v>513296.6649496042</v>
      </c>
      <c r="M1747" s="14" t="n">
        <v>0</v>
      </c>
      <c r="N1747" s="14" t="n">
        <v>126201.1891663196</v>
      </c>
      <c r="O1747" s="14" t="n">
        <v>512791.7021136113</v>
      </c>
      <c r="P1747" s="14" t="n">
        <v>55839.9609498267</v>
      </c>
      <c r="Q1747" s="14" t="n">
        <v>3275684.106258017</v>
      </c>
      <c r="R1747" s="15">
        <f>IF(D1747=1,"Section 1","Control")</f>
        <v/>
      </c>
      <c r="S1747" s="16">
        <f>N1747/10000</f>
        <v/>
      </c>
      <c r="T1747" s="16">
        <f>P1747/10000</f>
        <v/>
      </c>
      <c r="U1747" s="15">
        <f>IF(N1747&gt;=Summary!$D$3,1,0)</f>
        <v/>
      </c>
      <c r="V1747" s="17">
        <f>IF(N1747&gt;0,P1747/N1747,"")</f>
        <v/>
      </c>
      <c r="W1747" s="17">
        <f>IF(O1747&gt;0,H1747/O1747,"")</f>
        <v/>
      </c>
    </row>
    <row r="1748">
      <c r="A1748" s="13" t="inlineStr">
        <is>
          <t>CE16_B2</t>
        </is>
      </c>
      <c r="B1748" s="13" t="inlineStr">
        <is>
          <t>CE16</t>
        </is>
      </c>
      <c r="C1748" s="13" t="inlineStr">
        <is>
          <t>B2</t>
        </is>
      </c>
      <c r="D1748" s="13" t="n">
        <v>0</v>
      </c>
      <c r="E1748" s="13" t="inlineStr">
        <is>
          <t>E</t>
        </is>
      </c>
      <c r="F1748" s="13" t="n">
        <v>2023</v>
      </c>
      <c r="G1748" s="14" t="n">
        <v>1026088.367063216</v>
      </c>
      <c r="H1748" s="14" t="n">
        <v>93802.31143251307</v>
      </c>
      <c r="I1748" s="14" t="n">
        <v>400193.5832144644</v>
      </c>
      <c r="J1748" s="14" t="n">
        <v>0</v>
      </c>
      <c r="K1748" s="14" t="n">
        <v>18795.80746663412</v>
      </c>
      <c r="L1748" s="14" t="n">
        <v>513296.6649496042</v>
      </c>
      <c r="M1748" s="14" t="n">
        <v>0</v>
      </c>
      <c r="N1748" s="14" t="n">
        <v>126201.1891663196</v>
      </c>
      <c r="O1748" s="14" t="n">
        <v>512791.7021136113</v>
      </c>
      <c r="P1748" s="14" t="n">
        <v>46179.39041562549</v>
      </c>
      <c r="Q1748" s="14" t="n">
        <v>3275684.106258017</v>
      </c>
      <c r="R1748" s="15">
        <f>IF(D1748=1,"Section 1","Control")</f>
        <v/>
      </c>
      <c r="S1748" s="16">
        <f>N1748/10000</f>
        <v/>
      </c>
      <c r="T1748" s="16">
        <f>P1748/10000</f>
        <v/>
      </c>
      <c r="U1748" s="15">
        <f>IF(N1748&gt;=Summary!$D$3,1,0)</f>
        <v/>
      </c>
      <c r="V1748" s="17">
        <f>IF(N1748&gt;0,P1748/N1748,"")</f>
        <v/>
      </c>
      <c r="W1748" s="17">
        <f>IF(O1748&gt;0,H1748/O1748,"")</f>
        <v/>
      </c>
    </row>
    <row r="1749">
      <c r="A1749" s="13" t="inlineStr">
        <is>
          <t>CE16_B2</t>
        </is>
      </c>
      <c r="B1749" s="13" t="inlineStr">
        <is>
          <t>CE16</t>
        </is>
      </c>
      <c r="C1749" s="13" t="inlineStr">
        <is>
          <t>B2</t>
        </is>
      </c>
      <c r="D1749" s="13" t="n">
        <v>0</v>
      </c>
      <c r="E1749" s="13" t="inlineStr">
        <is>
          <t>E</t>
        </is>
      </c>
      <c r="F1749" s="13" t="n">
        <v>2024</v>
      </c>
      <c r="G1749" s="14" t="n">
        <v>1026088.367063216</v>
      </c>
      <c r="H1749" s="14" t="n">
        <v>117126.0690491321</v>
      </c>
      <c r="I1749" s="14" t="n">
        <v>378547.8083354277</v>
      </c>
      <c r="J1749" s="14" t="n">
        <v>0</v>
      </c>
      <c r="K1749" s="14" t="n">
        <v>17117.82472905178</v>
      </c>
      <c r="L1749" s="14" t="n">
        <v>513296.6649496042</v>
      </c>
      <c r="M1749" s="14" t="n">
        <v>0</v>
      </c>
      <c r="N1749" s="14" t="n">
        <v>126201.1891663196</v>
      </c>
      <c r="O1749" s="14" t="n">
        <v>512791.7021136113</v>
      </c>
      <c r="P1749" s="14" t="n">
        <v>35203.19643273447</v>
      </c>
      <c r="Q1749" s="14" t="n">
        <v>3275684.106258017</v>
      </c>
      <c r="R1749" s="15">
        <f>IF(D1749=1,"Section 1","Control")</f>
        <v/>
      </c>
      <c r="S1749" s="16">
        <f>N1749/10000</f>
        <v/>
      </c>
      <c r="T1749" s="16">
        <f>P1749/10000</f>
        <v/>
      </c>
      <c r="U1749" s="15">
        <f>IF(N1749&gt;=Summary!$D$3,1,0)</f>
        <v/>
      </c>
      <c r="V1749" s="17">
        <f>IF(N1749&gt;0,P1749/N1749,"")</f>
        <v/>
      </c>
      <c r="W1749" s="17">
        <f>IF(O1749&gt;0,H1749/O1749,"")</f>
        <v/>
      </c>
    </row>
    <row r="1750">
      <c r="A1750" s="13" t="inlineStr">
        <is>
          <t>CE16_B2</t>
        </is>
      </c>
      <c r="B1750" s="13" t="inlineStr">
        <is>
          <t>CE16</t>
        </is>
      </c>
      <c r="C1750" s="13" t="inlineStr">
        <is>
          <t>B2</t>
        </is>
      </c>
      <c r="D1750" s="13" t="n">
        <v>0</v>
      </c>
      <c r="E1750" s="13" t="inlineStr">
        <is>
          <t>E</t>
        </is>
      </c>
      <c r="F1750" s="13" t="n">
        <v>2025</v>
      </c>
      <c r="G1750" s="14" t="n">
        <v>1026088.367063216</v>
      </c>
      <c r="H1750" s="14" t="n">
        <v>147432.4124743294</v>
      </c>
      <c r="I1750" s="14" t="n">
        <v>341372.359448661</v>
      </c>
      <c r="J1750" s="14" t="n">
        <v>0</v>
      </c>
      <c r="K1750" s="14" t="n">
        <v>23986.93019062118</v>
      </c>
      <c r="L1750" s="14" t="n">
        <v>513296.6649496042</v>
      </c>
      <c r="M1750" s="14" t="n">
        <v>0</v>
      </c>
      <c r="N1750" s="14" t="n">
        <v>126201.1891663196</v>
      </c>
      <c r="O1750" s="14" t="n">
        <v>512791.7021136113</v>
      </c>
      <c r="P1750" s="14" t="n">
        <v>31005.13616599289</v>
      </c>
      <c r="Q1750" s="14" t="n">
        <v>3275684.106258017</v>
      </c>
      <c r="R1750" s="15">
        <f>IF(D1750=1,"Section 1","Control")</f>
        <v/>
      </c>
      <c r="S1750" s="16">
        <f>N1750/10000</f>
        <v/>
      </c>
      <c r="T1750" s="16">
        <f>P1750/10000</f>
        <v/>
      </c>
      <c r="U1750" s="15">
        <f>IF(N1750&gt;=Summary!$D$3,1,0)</f>
        <v/>
      </c>
      <c r="V1750" s="17">
        <f>IF(N1750&gt;0,P1750/N1750,"")</f>
        <v/>
      </c>
      <c r="W1750" s="17">
        <f>IF(O1750&gt;0,H1750/O1750,"")</f>
        <v/>
      </c>
    </row>
    <row r="1751">
      <c r="A1751" s="13" t="inlineStr">
        <is>
          <t>CE16_B2</t>
        </is>
      </c>
      <c r="B1751" s="13" t="inlineStr">
        <is>
          <t>CE16</t>
        </is>
      </c>
      <c r="C1751" s="13" t="inlineStr">
        <is>
          <t>B2</t>
        </is>
      </c>
      <c r="D1751" s="13" t="n">
        <v>0</v>
      </c>
      <c r="E1751" s="13" t="inlineStr">
        <is>
          <t>E</t>
        </is>
      </c>
      <c r="F1751" s="13" t="n">
        <v>2026</v>
      </c>
      <c r="G1751" s="14" t="n">
        <v>1026088.367063216</v>
      </c>
      <c r="H1751" s="14" t="n">
        <v>158235.5120890001</v>
      </c>
      <c r="I1751" s="14" t="n">
        <v>335340.6924718819</v>
      </c>
      <c r="J1751" s="14" t="n">
        <v>0</v>
      </c>
      <c r="K1751" s="14" t="n">
        <v>19215.49755272958</v>
      </c>
      <c r="L1751" s="14" t="n">
        <v>513296.6649496042</v>
      </c>
      <c r="M1751" s="14" t="n">
        <v>0</v>
      </c>
      <c r="N1751" s="14" t="n">
        <v>126201.1891663196</v>
      </c>
      <c r="O1751" s="14" t="n">
        <v>512791.7021136113</v>
      </c>
      <c r="P1751" s="14" t="n">
        <v>25014.89354744706</v>
      </c>
      <c r="Q1751" s="14" t="n">
        <v>3275684.106258017</v>
      </c>
      <c r="R1751" s="15">
        <f>IF(D1751=1,"Section 1","Control")</f>
        <v/>
      </c>
      <c r="S1751" s="16">
        <f>N1751/10000</f>
        <v/>
      </c>
      <c r="T1751" s="16">
        <f>P1751/10000</f>
        <v/>
      </c>
      <c r="U1751" s="15">
        <f>IF(N1751&gt;=Summary!$D$3,1,0)</f>
        <v/>
      </c>
      <c r="V1751" s="17">
        <f>IF(N1751&gt;0,P1751/N1751,"")</f>
        <v/>
      </c>
      <c r="W1751" s="17">
        <f>IF(O1751&gt;0,H1751/O1751,"")</f>
        <v/>
      </c>
    </row>
    <row r="1752">
      <c r="A1752" s="13" t="inlineStr">
        <is>
          <t>CE16_B3</t>
        </is>
      </c>
      <c r="B1752" s="13" t="inlineStr">
        <is>
          <t>CE16</t>
        </is>
      </c>
      <c r="C1752" s="13" t="inlineStr">
        <is>
          <t>B3</t>
        </is>
      </c>
      <c r="D1752" s="13" t="n">
        <v>0</v>
      </c>
      <c r="E1752" s="13" t="inlineStr">
        <is>
          <t>E</t>
        </is>
      </c>
      <c r="F1752" s="13" t="n">
        <v>2020</v>
      </c>
      <c r="G1752" s="14" t="n">
        <v>8207837.393173936</v>
      </c>
      <c r="H1752" s="14" t="n">
        <v>2255405.437986636</v>
      </c>
      <c r="I1752" s="14" t="n">
        <v>1270962.262901396</v>
      </c>
      <c r="J1752" s="14" t="n">
        <v>0</v>
      </c>
      <c r="K1752" s="14" t="n">
        <v>24245.77153137805</v>
      </c>
      <c r="L1752" s="14" t="n">
        <v>4657223.920754526</v>
      </c>
      <c r="M1752" s="14" t="n">
        <v>0</v>
      </c>
      <c r="N1752" s="14" t="n">
        <v>2255405.437986636</v>
      </c>
      <c r="O1752" s="14" t="n">
        <v>3550613.47241941</v>
      </c>
      <c r="P1752" s="14" t="n">
        <v>0</v>
      </c>
      <c r="Q1752" s="14" t="n">
        <v>25699234.72722767</v>
      </c>
      <c r="R1752" s="15">
        <f>IF(D1752=1,"Section 1","Control")</f>
        <v/>
      </c>
      <c r="S1752" s="16">
        <f>N1752/10000</f>
        <v/>
      </c>
      <c r="T1752" s="16">
        <f>P1752/10000</f>
        <v/>
      </c>
      <c r="U1752" s="15">
        <f>IF(N1752&gt;=Summary!$D$3,1,0)</f>
        <v/>
      </c>
      <c r="V1752" s="17">
        <f>IF(N1752&gt;0,P1752/N1752,"")</f>
        <v/>
      </c>
      <c r="W1752" s="17">
        <f>IF(O1752&gt;0,H1752/O1752,"")</f>
        <v/>
      </c>
    </row>
    <row r="1753">
      <c r="A1753" s="13" t="inlineStr">
        <is>
          <t>CE16_B3</t>
        </is>
      </c>
      <c r="B1753" s="13" t="inlineStr">
        <is>
          <t>CE16</t>
        </is>
      </c>
      <c r="C1753" s="13" t="inlineStr">
        <is>
          <t>B3</t>
        </is>
      </c>
      <c r="D1753" s="13" t="n">
        <v>0</v>
      </c>
      <c r="E1753" s="13" t="inlineStr">
        <is>
          <t>E</t>
        </is>
      </c>
      <c r="F1753" s="13" t="n">
        <v>2021</v>
      </c>
      <c r="G1753" s="14" t="n">
        <v>8207837.393173936</v>
      </c>
      <c r="H1753" s="14" t="n">
        <v>2212763.302625858</v>
      </c>
      <c r="I1753" s="14" t="n">
        <v>1195953.194883848</v>
      </c>
      <c r="J1753" s="14" t="n">
        <v>0</v>
      </c>
      <c r="K1753" s="14" t="n">
        <v>159536.198976225</v>
      </c>
      <c r="L1753" s="14" t="n">
        <v>4639584.696688005</v>
      </c>
      <c r="M1753" s="14" t="n">
        <v>0</v>
      </c>
      <c r="N1753" s="14" t="n">
        <v>2255405.437986636</v>
      </c>
      <c r="O1753" s="14" t="n">
        <v>3550613.47241941</v>
      </c>
      <c r="P1753" s="14" t="n">
        <v>81797.55240089566</v>
      </c>
      <c r="Q1753" s="14" t="n">
        <v>25699234.72722767</v>
      </c>
      <c r="R1753" s="15">
        <f>IF(D1753=1,"Section 1","Control")</f>
        <v/>
      </c>
      <c r="S1753" s="16">
        <f>N1753/10000</f>
        <v/>
      </c>
      <c r="T1753" s="16">
        <f>P1753/10000</f>
        <v/>
      </c>
      <c r="U1753" s="15">
        <f>IF(N1753&gt;=Summary!$D$3,1,0)</f>
        <v/>
      </c>
      <c r="V1753" s="17">
        <f>IF(N1753&gt;0,P1753/N1753,"")</f>
        <v/>
      </c>
      <c r="W1753" s="17">
        <f>IF(O1753&gt;0,H1753/O1753,"")</f>
        <v/>
      </c>
    </row>
    <row r="1754">
      <c r="A1754" s="13" t="inlineStr">
        <is>
          <t>CE16_B3</t>
        </is>
      </c>
      <c r="B1754" s="13" t="inlineStr">
        <is>
          <t>CE16</t>
        </is>
      </c>
      <c r="C1754" s="13" t="inlineStr">
        <is>
          <t>B3</t>
        </is>
      </c>
      <c r="D1754" s="13" t="n">
        <v>0</v>
      </c>
      <c r="E1754" s="13" t="inlineStr">
        <is>
          <t>E</t>
        </is>
      </c>
      <c r="F1754" s="13" t="n">
        <v>2022</v>
      </c>
      <c r="G1754" s="14" t="n">
        <v>8207837.393173936</v>
      </c>
      <c r="H1754" s="14" t="n">
        <v>2069256.459068119</v>
      </c>
      <c r="I1754" s="14" t="n">
        <v>1298941.552922087</v>
      </c>
      <c r="J1754" s="14" t="n">
        <v>0</v>
      </c>
      <c r="K1754" s="14" t="n">
        <v>231832.272057537</v>
      </c>
      <c r="L1754" s="14" t="n">
        <v>4607807.109126193</v>
      </c>
      <c r="M1754" s="14" t="n">
        <v>0</v>
      </c>
      <c r="N1754" s="14" t="n">
        <v>2255405.437986636</v>
      </c>
      <c r="O1754" s="14" t="n">
        <v>3550613.47241941</v>
      </c>
      <c r="P1754" s="14" t="n">
        <v>222932.6382098329</v>
      </c>
      <c r="Q1754" s="14" t="n">
        <v>25699234.72722767</v>
      </c>
      <c r="R1754" s="15">
        <f>IF(D1754=1,"Section 1","Control")</f>
        <v/>
      </c>
      <c r="S1754" s="16">
        <f>N1754/10000</f>
        <v/>
      </c>
      <c r="T1754" s="16">
        <f>P1754/10000</f>
        <v/>
      </c>
      <c r="U1754" s="15">
        <f>IF(N1754&gt;=Summary!$D$3,1,0)</f>
        <v/>
      </c>
      <c r="V1754" s="17">
        <f>IF(N1754&gt;0,P1754/N1754,"")</f>
        <v/>
      </c>
      <c r="W1754" s="17">
        <f>IF(O1754&gt;0,H1754/O1754,"")</f>
        <v/>
      </c>
    </row>
    <row r="1755">
      <c r="A1755" s="13" t="inlineStr">
        <is>
          <t>CE16_B3</t>
        </is>
      </c>
      <c r="B1755" s="13" t="inlineStr">
        <is>
          <t>CE16</t>
        </is>
      </c>
      <c r="C1755" s="13" t="inlineStr">
        <is>
          <t>B3</t>
        </is>
      </c>
      <c r="D1755" s="13" t="n">
        <v>0</v>
      </c>
      <c r="E1755" s="13" t="inlineStr">
        <is>
          <t>E</t>
        </is>
      </c>
      <c r="F1755" s="13" t="n">
        <v>2023</v>
      </c>
      <c r="G1755" s="14" t="n">
        <v>8207837.393173936</v>
      </c>
      <c r="H1755" s="14" t="n">
        <v>2039106.603416712</v>
      </c>
      <c r="I1755" s="14" t="n">
        <v>1447537.797514104</v>
      </c>
      <c r="J1755" s="14" t="n">
        <v>0</v>
      </c>
      <c r="K1755" s="14" t="n">
        <v>62262.56103087781</v>
      </c>
      <c r="L1755" s="14" t="n">
        <v>4658930.431212242</v>
      </c>
      <c r="M1755" s="14" t="n">
        <v>0</v>
      </c>
      <c r="N1755" s="14" t="n">
        <v>2255405.437986636</v>
      </c>
      <c r="O1755" s="14" t="n">
        <v>3550613.47241941</v>
      </c>
      <c r="P1755" s="14" t="n">
        <v>246671.2607321945</v>
      </c>
      <c r="Q1755" s="14" t="n">
        <v>25699234.72722766</v>
      </c>
      <c r="R1755" s="15">
        <f>IF(D1755=1,"Section 1","Control")</f>
        <v/>
      </c>
      <c r="S1755" s="16">
        <f>N1755/10000</f>
        <v/>
      </c>
      <c r="T1755" s="16">
        <f>P1755/10000</f>
        <v/>
      </c>
      <c r="U1755" s="15">
        <f>IF(N1755&gt;=Summary!$D$3,1,0)</f>
        <v/>
      </c>
      <c r="V1755" s="17">
        <f>IF(N1755&gt;0,P1755/N1755,"")</f>
        <v/>
      </c>
      <c r="W1755" s="17">
        <f>IF(O1755&gt;0,H1755/O1755,"")</f>
        <v/>
      </c>
    </row>
    <row r="1756">
      <c r="A1756" s="13" t="inlineStr">
        <is>
          <t>CE16_B3</t>
        </is>
      </c>
      <c r="B1756" s="13" t="inlineStr">
        <is>
          <t>CE16</t>
        </is>
      </c>
      <c r="C1756" s="13" t="inlineStr">
        <is>
          <t>B3</t>
        </is>
      </c>
      <c r="D1756" s="13" t="n">
        <v>0</v>
      </c>
      <c r="E1756" s="13" t="inlineStr">
        <is>
          <t>E</t>
        </is>
      </c>
      <c r="F1756" s="13" t="n">
        <v>2024</v>
      </c>
      <c r="G1756" s="14" t="n">
        <v>8207837.393173936</v>
      </c>
      <c r="H1756" s="14" t="n">
        <v>2181647.969118245</v>
      </c>
      <c r="I1756" s="14" t="n">
        <v>1327079.113573232</v>
      </c>
      <c r="J1756" s="14" t="n">
        <v>0</v>
      </c>
      <c r="K1756" s="14" t="n">
        <v>54038.63017114377</v>
      </c>
      <c r="L1756" s="14" t="n">
        <v>4645071.680311316</v>
      </c>
      <c r="M1756" s="14" t="n">
        <v>0</v>
      </c>
      <c r="N1756" s="14" t="n">
        <v>2255405.437986636</v>
      </c>
      <c r="O1756" s="14" t="n">
        <v>3550613.47241941</v>
      </c>
      <c r="P1756" s="14" t="n">
        <v>132124.2725986855</v>
      </c>
      <c r="Q1756" s="14" t="n">
        <v>25699234.72722766</v>
      </c>
      <c r="R1756" s="15">
        <f>IF(D1756=1,"Section 1","Control")</f>
        <v/>
      </c>
      <c r="S1756" s="16">
        <f>N1756/10000</f>
        <v/>
      </c>
      <c r="T1756" s="16">
        <f>P1756/10000</f>
        <v/>
      </c>
      <c r="U1756" s="15">
        <f>IF(N1756&gt;=Summary!$D$3,1,0)</f>
        <v/>
      </c>
      <c r="V1756" s="17">
        <f>IF(N1756&gt;0,P1756/N1756,"")</f>
        <v/>
      </c>
      <c r="W1756" s="17">
        <f>IF(O1756&gt;0,H1756/O1756,"")</f>
        <v/>
      </c>
    </row>
    <row r="1757">
      <c r="A1757" s="13" t="inlineStr">
        <is>
          <t>CE16_B3</t>
        </is>
      </c>
      <c r="B1757" s="13" t="inlineStr">
        <is>
          <t>CE16</t>
        </is>
      </c>
      <c r="C1757" s="13" t="inlineStr">
        <is>
          <t>B3</t>
        </is>
      </c>
      <c r="D1757" s="13" t="n">
        <v>0</v>
      </c>
      <c r="E1757" s="13" t="inlineStr">
        <is>
          <t>E</t>
        </is>
      </c>
      <c r="F1757" s="13" t="n">
        <v>2025</v>
      </c>
      <c r="G1757" s="14" t="n">
        <v>8207837.393173936</v>
      </c>
      <c r="H1757" s="14" t="n">
        <v>2195605.551029789</v>
      </c>
      <c r="I1757" s="14" t="n">
        <v>1295502.607297591</v>
      </c>
      <c r="J1757" s="14" t="n">
        <v>0</v>
      </c>
      <c r="K1757" s="14" t="n">
        <v>60699.33242067823</v>
      </c>
      <c r="L1757" s="14" t="n">
        <v>4656029.902425878</v>
      </c>
      <c r="M1757" s="14" t="n">
        <v>0</v>
      </c>
      <c r="N1757" s="14" t="n">
        <v>2255405.437986636</v>
      </c>
      <c r="O1757" s="14" t="n">
        <v>3550613.47241941</v>
      </c>
      <c r="P1757" s="14" t="n">
        <v>128044.641336269</v>
      </c>
      <c r="Q1757" s="14" t="n">
        <v>25699234.72722767</v>
      </c>
      <c r="R1757" s="15">
        <f>IF(D1757=1,"Section 1","Control")</f>
        <v/>
      </c>
      <c r="S1757" s="16">
        <f>N1757/10000</f>
        <v/>
      </c>
      <c r="T1757" s="16">
        <f>P1757/10000</f>
        <v/>
      </c>
      <c r="U1757" s="15">
        <f>IF(N1757&gt;=Summary!$D$3,1,0)</f>
        <v/>
      </c>
      <c r="V1757" s="17">
        <f>IF(N1757&gt;0,P1757/N1757,"")</f>
        <v/>
      </c>
      <c r="W1757" s="17">
        <f>IF(O1757&gt;0,H1757/O1757,"")</f>
        <v/>
      </c>
    </row>
    <row r="1758">
      <c r="A1758" s="13" t="inlineStr">
        <is>
          <t>CE16_B3</t>
        </is>
      </c>
      <c r="B1758" s="13" t="inlineStr">
        <is>
          <t>CE16</t>
        </is>
      </c>
      <c r="C1758" s="13" t="inlineStr">
        <is>
          <t>B3</t>
        </is>
      </c>
      <c r="D1758" s="13" t="n">
        <v>0</v>
      </c>
      <c r="E1758" s="13" t="inlineStr">
        <is>
          <t>E</t>
        </is>
      </c>
      <c r="F1758" s="13" t="n">
        <v>2026</v>
      </c>
      <c r="G1758" s="14" t="n">
        <v>8207837.393173936</v>
      </c>
      <c r="H1758" s="14" t="n">
        <v>2173828.453608554</v>
      </c>
      <c r="I1758" s="14" t="n">
        <v>1252347.216365829</v>
      </c>
      <c r="J1758" s="14" t="n">
        <v>0</v>
      </c>
      <c r="K1758" s="14" t="n">
        <v>120596.9391818776</v>
      </c>
      <c r="L1758" s="14" t="n">
        <v>4661064.784017674</v>
      </c>
      <c r="M1758" s="14" t="n">
        <v>0</v>
      </c>
      <c r="N1758" s="14" t="n">
        <v>2255405.437986636</v>
      </c>
      <c r="O1758" s="14" t="n">
        <v>3550613.47241941</v>
      </c>
      <c r="P1758" s="14" t="n">
        <v>198291.2310473872</v>
      </c>
      <c r="Q1758" s="14" t="n">
        <v>25699234.72722767</v>
      </c>
      <c r="R1758" s="15">
        <f>IF(D1758=1,"Section 1","Control")</f>
        <v/>
      </c>
      <c r="S1758" s="16">
        <f>N1758/10000</f>
        <v/>
      </c>
      <c r="T1758" s="16">
        <f>P1758/10000</f>
        <v/>
      </c>
      <c r="U1758" s="15">
        <f>IF(N1758&gt;=Summary!$D$3,1,0)</f>
        <v/>
      </c>
      <c r="V1758" s="17">
        <f>IF(N1758&gt;0,P1758/N1758,"")</f>
        <v/>
      </c>
      <c r="W1758" s="17">
        <f>IF(O1758&gt;0,H1758/O1758,"")</f>
        <v/>
      </c>
    </row>
    <row r="1759">
      <c r="A1759" s="13" t="inlineStr">
        <is>
          <t>CE16_F</t>
        </is>
      </c>
      <c r="B1759" s="13" t="inlineStr">
        <is>
          <t>CE16</t>
        </is>
      </c>
      <c r="C1759" s="13" t="inlineStr">
        <is>
          <t>F</t>
        </is>
      </c>
      <c r="D1759" s="13" t="n">
        <v>0</v>
      </c>
      <c r="E1759" s="13" t="inlineStr">
        <is>
          <t>E</t>
        </is>
      </c>
      <c r="F1759" s="13" t="n">
        <v>2020</v>
      </c>
      <c r="G1759" s="14" t="n">
        <v>71355.19355651258</v>
      </c>
      <c r="H1759" s="14" t="n">
        <v>4725.057055963254</v>
      </c>
      <c r="I1759" s="14" t="n">
        <v>5395.253386493758</v>
      </c>
      <c r="J1759" s="14" t="n">
        <v>0</v>
      </c>
      <c r="K1759" s="14" t="n">
        <v>61234.88311405555</v>
      </c>
      <c r="L1759" s="14" t="n">
        <v>0</v>
      </c>
      <c r="M1759" s="14" t="n">
        <v>0</v>
      </c>
      <c r="N1759" s="14" t="n">
        <v>4725.057055963254</v>
      </c>
      <c r="O1759" s="14" t="n">
        <v>71355.19355651258</v>
      </c>
      <c r="P1759" s="14" t="n">
        <v>0</v>
      </c>
      <c r="Q1759" s="14" t="n">
        <v>429904.7586078717</v>
      </c>
      <c r="R1759" s="15">
        <f>IF(D1759=1,"Section 1","Control")</f>
        <v/>
      </c>
      <c r="S1759" s="16">
        <f>N1759/10000</f>
        <v/>
      </c>
      <c r="T1759" s="16">
        <f>P1759/10000</f>
        <v/>
      </c>
      <c r="U1759" s="15">
        <f>IF(N1759&gt;=Summary!$D$3,1,0)</f>
        <v/>
      </c>
      <c r="V1759" s="17">
        <f>IF(N1759&gt;0,P1759/N1759,"")</f>
        <v/>
      </c>
      <c r="W1759" s="17">
        <f>IF(O1759&gt;0,H1759/O1759,"")</f>
        <v/>
      </c>
    </row>
    <row r="1760">
      <c r="A1760" s="13" t="inlineStr">
        <is>
          <t>CE16_F</t>
        </is>
      </c>
      <c r="B1760" s="13" t="inlineStr">
        <is>
          <t>CE16</t>
        </is>
      </c>
      <c r="C1760" s="13" t="inlineStr">
        <is>
          <t>F</t>
        </is>
      </c>
      <c r="D1760" s="13" t="n">
        <v>0</v>
      </c>
      <c r="E1760" s="13" t="inlineStr">
        <is>
          <t>E</t>
        </is>
      </c>
      <c r="F1760" s="13" t="n">
        <v>2021</v>
      </c>
      <c r="G1760" s="14" t="n">
        <v>71355.19355651258</v>
      </c>
      <c r="H1760" s="14" t="n">
        <v>2621.937086038028</v>
      </c>
      <c r="I1760" s="14" t="n">
        <v>1796.093654557771</v>
      </c>
      <c r="J1760" s="14" t="n">
        <v>0</v>
      </c>
      <c r="K1760" s="14" t="n">
        <v>66937.16281591676</v>
      </c>
      <c r="L1760" s="14" t="n">
        <v>0</v>
      </c>
      <c r="M1760" s="14" t="n">
        <v>0</v>
      </c>
      <c r="N1760" s="14" t="n">
        <v>4725.057055963254</v>
      </c>
      <c r="O1760" s="14" t="n">
        <v>71355.19355651258</v>
      </c>
      <c r="P1760" s="14" t="n">
        <v>2387.692503656126</v>
      </c>
      <c r="Q1760" s="14" t="n">
        <v>429904.7586078717</v>
      </c>
      <c r="R1760" s="15">
        <f>IF(D1760=1,"Section 1","Control")</f>
        <v/>
      </c>
      <c r="S1760" s="16">
        <f>N1760/10000</f>
        <v/>
      </c>
      <c r="T1760" s="16">
        <f>P1760/10000</f>
        <v/>
      </c>
      <c r="U1760" s="15">
        <f>IF(N1760&gt;=Summary!$D$3,1,0)</f>
        <v/>
      </c>
      <c r="V1760" s="17">
        <f>IF(N1760&gt;0,P1760/N1760,"")</f>
        <v/>
      </c>
      <c r="W1760" s="17">
        <f>IF(O1760&gt;0,H1760/O1760,"")</f>
        <v/>
      </c>
    </row>
    <row r="1761">
      <c r="A1761" s="13" t="inlineStr">
        <is>
          <t>CE16_F</t>
        </is>
      </c>
      <c r="B1761" s="13" t="inlineStr">
        <is>
          <t>CE16</t>
        </is>
      </c>
      <c r="C1761" s="13" t="inlineStr">
        <is>
          <t>F</t>
        </is>
      </c>
      <c r="D1761" s="13" t="n">
        <v>0</v>
      </c>
      <c r="E1761" s="13" t="inlineStr">
        <is>
          <t>E</t>
        </is>
      </c>
      <c r="F1761" s="13" t="n">
        <v>2022</v>
      </c>
      <c r="G1761" s="14" t="n">
        <v>71355.19355651259</v>
      </c>
      <c r="H1761" s="14" t="n">
        <v>2522.046305936925</v>
      </c>
      <c r="I1761" s="14" t="n">
        <v>3188.369413787244</v>
      </c>
      <c r="J1761" s="14" t="n">
        <v>0</v>
      </c>
      <c r="K1761" s="14" t="n">
        <v>65644.77783678839</v>
      </c>
      <c r="L1761" s="14" t="n">
        <v>0</v>
      </c>
      <c r="M1761" s="14" t="n">
        <v>0</v>
      </c>
      <c r="N1761" s="14" t="n">
        <v>4725.057055963254</v>
      </c>
      <c r="O1761" s="14" t="n">
        <v>71355.19355651259</v>
      </c>
      <c r="P1761" s="14" t="n">
        <v>2586.312501286525</v>
      </c>
      <c r="Q1761" s="14" t="n">
        <v>429904.7586078717</v>
      </c>
      <c r="R1761" s="15">
        <f>IF(D1761=1,"Section 1","Control")</f>
        <v/>
      </c>
      <c r="S1761" s="16">
        <f>N1761/10000</f>
        <v/>
      </c>
      <c r="T1761" s="16">
        <f>P1761/10000</f>
        <v/>
      </c>
      <c r="U1761" s="15">
        <f>IF(N1761&gt;=Summary!$D$3,1,0)</f>
        <v/>
      </c>
      <c r="V1761" s="17">
        <f>IF(N1761&gt;0,P1761/N1761,"")</f>
        <v/>
      </c>
      <c r="W1761" s="17">
        <f>IF(O1761&gt;0,H1761/O1761,"")</f>
        <v/>
      </c>
    </row>
    <row r="1762">
      <c r="A1762" s="13" t="inlineStr">
        <is>
          <t>CE16_F</t>
        </is>
      </c>
      <c r="B1762" s="13" t="inlineStr">
        <is>
          <t>CE16</t>
        </is>
      </c>
      <c r="C1762" s="13" t="inlineStr">
        <is>
          <t>F</t>
        </is>
      </c>
      <c r="D1762" s="13" t="n">
        <v>0</v>
      </c>
      <c r="E1762" s="13" t="inlineStr">
        <is>
          <t>E</t>
        </is>
      </c>
      <c r="F1762" s="13" t="n">
        <v>2023</v>
      </c>
      <c r="G1762" s="14" t="n">
        <v>71355.19355651259</v>
      </c>
      <c r="H1762" s="14" t="n">
        <v>2514.690100396848</v>
      </c>
      <c r="I1762" s="14" t="n">
        <v>6026.347675637638</v>
      </c>
      <c r="J1762" s="14" t="n">
        <v>0</v>
      </c>
      <c r="K1762" s="14" t="n">
        <v>62814.15578047808</v>
      </c>
      <c r="L1762" s="14" t="n">
        <v>0</v>
      </c>
      <c r="M1762" s="14" t="n">
        <v>0</v>
      </c>
      <c r="N1762" s="14" t="n">
        <v>4725.057055963254</v>
      </c>
      <c r="O1762" s="14" t="n">
        <v>71355.19355651259</v>
      </c>
      <c r="P1762" s="14" t="n">
        <v>2661.036600180233</v>
      </c>
      <c r="Q1762" s="14" t="n">
        <v>429904.7586078717</v>
      </c>
      <c r="R1762" s="15">
        <f>IF(D1762=1,"Section 1","Control")</f>
        <v/>
      </c>
      <c r="S1762" s="16">
        <f>N1762/10000</f>
        <v/>
      </c>
      <c r="T1762" s="16">
        <f>P1762/10000</f>
        <v/>
      </c>
      <c r="U1762" s="15">
        <f>IF(N1762&gt;=Summary!$D$3,1,0)</f>
        <v/>
      </c>
      <c r="V1762" s="17">
        <f>IF(N1762&gt;0,P1762/N1762,"")</f>
        <v/>
      </c>
      <c r="W1762" s="17">
        <f>IF(O1762&gt;0,H1762/O1762,"")</f>
        <v/>
      </c>
    </row>
    <row r="1763">
      <c r="A1763" s="13" t="inlineStr">
        <is>
          <t>CE16_F</t>
        </is>
      </c>
      <c r="B1763" s="13" t="inlineStr">
        <is>
          <t>CE16</t>
        </is>
      </c>
      <c r="C1763" s="13" t="inlineStr">
        <is>
          <t>F</t>
        </is>
      </c>
      <c r="D1763" s="13" t="n">
        <v>0</v>
      </c>
      <c r="E1763" s="13" t="inlineStr">
        <is>
          <t>E</t>
        </is>
      </c>
      <c r="F1763" s="13" t="n">
        <v>2024</v>
      </c>
      <c r="G1763" s="14" t="n">
        <v>71355.19355651259</v>
      </c>
      <c r="H1763" s="14" t="n">
        <v>2454.291206569298</v>
      </c>
      <c r="I1763" s="14" t="n">
        <v>2053.952727104635</v>
      </c>
      <c r="J1763" s="14" t="n">
        <v>0</v>
      </c>
      <c r="K1763" s="14" t="n">
        <v>66846.94962283863</v>
      </c>
      <c r="L1763" s="14" t="n">
        <v>0</v>
      </c>
      <c r="M1763" s="14" t="n">
        <v>0</v>
      </c>
      <c r="N1763" s="14" t="n">
        <v>4725.057055963254</v>
      </c>
      <c r="O1763" s="14" t="n">
        <v>71355.19355651259</v>
      </c>
      <c r="P1763" s="14" t="n">
        <v>2827.908409328087</v>
      </c>
      <c r="Q1763" s="14" t="n">
        <v>429904.7586078717</v>
      </c>
      <c r="R1763" s="15">
        <f>IF(D1763=1,"Section 1","Control")</f>
        <v/>
      </c>
      <c r="S1763" s="16">
        <f>N1763/10000</f>
        <v/>
      </c>
      <c r="T1763" s="16">
        <f>P1763/10000</f>
        <v/>
      </c>
      <c r="U1763" s="15">
        <f>IF(N1763&gt;=Summary!$D$3,1,0)</f>
        <v/>
      </c>
      <c r="V1763" s="17">
        <f>IF(N1763&gt;0,P1763/N1763,"")</f>
        <v/>
      </c>
      <c r="W1763" s="17">
        <f>IF(O1763&gt;0,H1763/O1763,"")</f>
        <v/>
      </c>
    </row>
    <row r="1764">
      <c r="A1764" s="13" t="inlineStr">
        <is>
          <t>CE16_F</t>
        </is>
      </c>
      <c r="B1764" s="13" t="inlineStr">
        <is>
          <t>CE16</t>
        </is>
      </c>
      <c r="C1764" s="13" t="inlineStr">
        <is>
          <t>F</t>
        </is>
      </c>
      <c r="D1764" s="13" t="n">
        <v>0</v>
      </c>
      <c r="E1764" s="13" t="inlineStr">
        <is>
          <t>E</t>
        </is>
      </c>
      <c r="F1764" s="13" t="n">
        <v>2025</v>
      </c>
      <c r="G1764" s="14" t="n">
        <v>71355.19355651258</v>
      </c>
      <c r="H1764" s="14" t="n">
        <v>2870.502429199219</v>
      </c>
      <c r="I1764" s="14" t="n">
        <v>5677.888807079838</v>
      </c>
      <c r="J1764" s="14" t="n">
        <v>0</v>
      </c>
      <c r="K1764" s="14" t="n">
        <v>62806.8023202335</v>
      </c>
      <c r="L1764" s="14" t="n">
        <v>0</v>
      </c>
      <c r="M1764" s="14" t="n">
        <v>0</v>
      </c>
      <c r="N1764" s="14" t="n">
        <v>4725.057055963254</v>
      </c>
      <c r="O1764" s="14" t="n">
        <v>71355.19355651258</v>
      </c>
      <c r="P1764" s="14" t="n">
        <v>2563.469219880945</v>
      </c>
      <c r="Q1764" s="14" t="n">
        <v>429904.7586078717</v>
      </c>
      <c r="R1764" s="15">
        <f>IF(D1764=1,"Section 1","Control")</f>
        <v/>
      </c>
      <c r="S1764" s="16">
        <f>N1764/10000</f>
        <v/>
      </c>
      <c r="T1764" s="16">
        <f>P1764/10000</f>
        <v/>
      </c>
      <c r="U1764" s="15">
        <f>IF(N1764&gt;=Summary!$D$3,1,0)</f>
        <v/>
      </c>
      <c r="V1764" s="17">
        <f>IF(N1764&gt;0,P1764/N1764,"")</f>
        <v/>
      </c>
      <c r="W1764" s="17">
        <f>IF(O1764&gt;0,H1764/O1764,"")</f>
        <v/>
      </c>
    </row>
    <row r="1765">
      <c r="A1765" s="13" t="inlineStr">
        <is>
          <t>CE16_F</t>
        </is>
      </c>
      <c r="B1765" s="13" t="inlineStr">
        <is>
          <t>CE16</t>
        </is>
      </c>
      <c r="C1765" s="13" t="inlineStr">
        <is>
          <t>F</t>
        </is>
      </c>
      <c r="D1765" s="13" t="n">
        <v>0</v>
      </c>
      <c r="E1765" s="13" t="inlineStr">
        <is>
          <t>E</t>
        </is>
      </c>
      <c r="F1765" s="13" t="n">
        <v>2026</v>
      </c>
      <c r="G1765" s="14" t="n">
        <v>71355.19355651258</v>
      </c>
      <c r="H1765" s="14" t="n">
        <v>2955.680140147489</v>
      </c>
      <c r="I1765" s="14" t="n">
        <v>2662.587887962192</v>
      </c>
      <c r="J1765" s="14" t="n">
        <v>0</v>
      </c>
      <c r="K1765" s="14" t="n">
        <v>65736.92552840288</v>
      </c>
      <c r="L1765" s="14" t="n">
        <v>0</v>
      </c>
      <c r="M1765" s="14" t="n">
        <v>0</v>
      </c>
      <c r="N1765" s="14" t="n">
        <v>4725.057055963254</v>
      </c>
      <c r="O1765" s="14" t="n">
        <v>71355.19355651258</v>
      </c>
      <c r="P1765" s="14" t="n">
        <v>2631.611712317373</v>
      </c>
      <c r="Q1765" s="14" t="n">
        <v>429904.7586078717</v>
      </c>
      <c r="R1765" s="15">
        <f>IF(D1765=1,"Section 1","Control")</f>
        <v/>
      </c>
      <c r="S1765" s="16">
        <f>N1765/10000</f>
        <v/>
      </c>
      <c r="T1765" s="16">
        <f>P1765/10000</f>
        <v/>
      </c>
      <c r="U1765" s="15">
        <f>IF(N1765&gt;=Summary!$D$3,1,0)</f>
        <v/>
      </c>
      <c r="V1765" s="17">
        <f>IF(N1765&gt;0,P1765/N1765,"")</f>
        <v/>
      </c>
      <c r="W1765" s="17">
        <f>IF(O1765&gt;0,H1765/O1765,"")</f>
        <v/>
      </c>
    </row>
    <row r="1766">
      <c r="A1766" s="13" t="inlineStr">
        <is>
          <t>CE17_B1</t>
        </is>
      </c>
      <c r="B1766" s="13" t="inlineStr">
        <is>
          <t>CE17</t>
        </is>
      </c>
      <c r="C1766" s="13" t="inlineStr">
        <is>
          <t>B1</t>
        </is>
      </c>
      <c r="D1766" s="13" t="n">
        <v>0</v>
      </c>
      <c r="E1766" s="13" t="inlineStr">
        <is>
          <t>E</t>
        </is>
      </c>
      <c r="F1766" s="13" t="n">
        <v>2020</v>
      </c>
      <c r="G1766" s="14" t="n">
        <v>974332.552155618</v>
      </c>
      <c r="H1766" s="14" t="n">
        <v>399330.1397238339</v>
      </c>
      <c r="I1766" s="14" t="n">
        <v>283863.9859746895</v>
      </c>
      <c r="J1766" s="14" t="n">
        <v>0</v>
      </c>
      <c r="K1766" s="14" t="n">
        <v>58711.51868522494</v>
      </c>
      <c r="L1766" s="14" t="n">
        <v>232426.9077718697</v>
      </c>
      <c r="M1766" s="14" t="n">
        <v>0</v>
      </c>
      <c r="N1766" s="14" t="n">
        <v>399330.1397238339</v>
      </c>
      <c r="O1766" s="14" t="n">
        <v>741905.6443837485</v>
      </c>
      <c r="P1766" s="14" t="n">
        <v>0</v>
      </c>
      <c r="Q1766" s="14" t="n">
        <v>5235622.69047696</v>
      </c>
      <c r="R1766" s="15">
        <f>IF(D1766=1,"Section 1","Control")</f>
        <v/>
      </c>
      <c r="S1766" s="16">
        <f>N1766/10000</f>
        <v/>
      </c>
      <c r="T1766" s="16">
        <f>P1766/10000</f>
        <v/>
      </c>
      <c r="U1766" s="15">
        <f>IF(N1766&gt;=Summary!$D$3,1,0)</f>
        <v/>
      </c>
      <c r="V1766" s="17">
        <f>IF(N1766&gt;0,P1766/N1766,"")</f>
        <v/>
      </c>
      <c r="W1766" s="17">
        <f>IF(O1766&gt;0,H1766/O1766,"")</f>
        <v/>
      </c>
    </row>
    <row r="1767">
      <c r="A1767" s="13" t="inlineStr">
        <is>
          <t>CE17_B1</t>
        </is>
      </c>
      <c r="B1767" s="13" t="inlineStr">
        <is>
          <t>CE17</t>
        </is>
      </c>
      <c r="C1767" s="13" t="inlineStr">
        <is>
          <t>B1</t>
        </is>
      </c>
      <c r="D1767" s="13" t="n">
        <v>0</v>
      </c>
      <c r="E1767" s="13" t="inlineStr">
        <is>
          <t>E</t>
        </is>
      </c>
      <c r="F1767" s="13" t="n">
        <v>2021</v>
      </c>
      <c r="G1767" s="14" t="n">
        <v>974332.552155618</v>
      </c>
      <c r="H1767" s="14" t="n">
        <v>403871.298682987</v>
      </c>
      <c r="I1767" s="14" t="n">
        <v>224880.8596855912</v>
      </c>
      <c r="J1767" s="14" t="n">
        <v>0</v>
      </c>
      <c r="K1767" s="14" t="n">
        <v>125872.2371377982</v>
      </c>
      <c r="L1767" s="14" t="n">
        <v>219708.1566492417</v>
      </c>
      <c r="M1767" s="14" t="n">
        <v>0</v>
      </c>
      <c r="N1767" s="14" t="n">
        <v>399330.1397238338</v>
      </c>
      <c r="O1767" s="14" t="n">
        <v>741905.6443837485</v>
      </c>
      <c r="P1767" s="14" t="n">
        <v>25831.76704807655</v>
      </c>
      <c r="Q1767" s="14" t="n">
        <v>5235622.690476961</v>
      </c>
      <c r="R1767" s="15">
        <f>IF(D1767=1,"Section 1","Control")</f>
        <v/>
      </c>
      <c r="S1767" s="16">
        <f>N1767/10000</f>
        <v/>
      </c>
      <c r="T1767" s="16">
        <f>P1767/10000</f>
        <v/>
      </c>
      <c r="U1767" s="15">
        <f>IF(N1767&gt;=Summary!$D$3,1,0)</f>
        <v/>
      </c>
      <c r="V1767" s="17">
        <f>IF(N1767&gt;0,P1767/N1767,"")</f>
        <v/>
      </c>
      <c r="W1767" s="17">
        <f>IF(O1767&gt;0,H1767/O1767,"")</f>
        <v/>
      </c>
    </row>
    <row r="1768">
      <c r="A1768" s="13" t="inlineStr">
        <is>
          <t>CE17_B1</t>
        </is>
      </c>
      <c r="B1768" s="13" t="inlineStr">
        <is>
          <t>CE17</t>
        </is>
      </c>
      <c r="C1768" s="13" t="inlineStr">
        <is>
          <t>B1</t>
        </is>
      </c>
      <c r="D1768" s="13" t="n">
        <v>0</v>
      </c>
      <c r="E1768" s="13" t="inlineStr">
        <is>
          <t>E</t>
        </is>
      </c>
      <c r="F1768" s="13" t="n">
        <v>2022</v>
      </c>
      <c r="G1768" s="14" t="n">
        <v>974332.552155618</v>
      </c>
      <c r="H1768" s="14" t="n">
        <v>433038.5201094385</v>
      </c>
      <c r="I1768" s="14" t="n">
        <v>201669.5503261491</v>
      </c>
      <c r="J1768" s="14" t="n">
        <v>0</v>
      </c>
      <c r="K1768" s="14" t="n">
        <v>110281.0425074259</v>
      </c>
      <c r="L1768" s="14" t="n">
        <v>229343.4392126046</v>
      </c>
      <c r="M1768" s="14" t="n">
        <v>0</v>
      </c>
      <c r="N1768" s="14" t="n">
        <v>399330.1397238338</v>
      </c>
      <c r="O1768" s="14" t="n">
        <v>741905.6443837485</v>
      </c>
      <c r="P1768" s="14" t="n">
        <v>39556.63229911654</v>
      </c>
      <c r="Q1768" s="14" t="n">
        <v>5235622.690476961</v>
      </c>
      <c r="R1768" s="15">
        <f>IF(D1768=1,"Section 1","Control")</f>
        <v/>
      </c>
      <c r="S1768" s="16">
        <f>N1768/10000</f>
        <v/>
      </c>
      <c r="T1768" s="16">
        <f>P1768/10000</f>
        <v/>
      </c>
      <c r="U1768" s="15">
        <f>IF(N1768&gt;=Summary!$D$3,1,0)</f>
        <v/>
      </c>
      <c r="V1768" s="17">
        <f>IF(N1768&gt;0,P1768/N1768,"")</f>
        <v/>
      </c>
      <c r="W1768" s="17">
        <f>IF(O1768&gt;0,H1768/O1768,"")</f>
        <v/>
      </c>
    </row>
    <row r="1769">
      <c r="A1769" s="13" t="inlineStr">
        <is>
          <t>CE17_B1</t>
        </is>
      </c>
      <c r="B1769" s="13" t="inlineStr">
        <is>
          <t>CE17</t>
        </is>
      </c>
      <c r="C1769" s="13" t="inlineStr">
        <is>
          <t>B1</t>
        </is>
      </c>
      <c r="D1769" s="13" t="n">
        <v>0</v>
      </c>
      <c r="E1769" s="13" t="inlineStr">
        <is>
          <t>E</t>
        </is>
      </c>
      <c r="F1769" s="13" t="n">
        <v>2023</v>
      </c>
      <c r="G1769" s="14" t="n">
        <v>974332.552155618</v>
      </c>
      <c r="H1769" s="14" t="n">
        <v>391722.2157959284</v>
      </c>
      <c r="I1769" s="14" t="n">
        <v>226384.8368110507</v>
      </c>
      <c r="J1769" s="14" t="n">
        <v>0</v>
      </c>
      <c r="K1769" s="14" t="n">
        <v>98858.27382474412</v>
      </c>
      <c r="L1769" s="14" t="n">
        <v>257367.2257238949</v>
      </c>
      <c r="M1769" s="14" t="n">
        <v>0</v>
      </c>
      <c r="N1769" s="14" t="n">
        <v>399330.1397238339</v>
      </c>
      <c r="O1769" s="14" t="n">
        <v>741905.6443837485</v>
      </c>
      <c r="P1769" s="14" t="n">
        <v>57629.4462968415</v>
      </c>
      <c r="Q1769" s="14" t="n">
        <v>5235622.69047696</v>
      </c>
      <c r="R1769" s="15">
        <f>IF(D1769=1,"Section 1","Control")</f>
        <v/>
      </c>
      <c r="S1769" s="16">
        <f>N1769/10000</f>
        <v/>
      </c>
      <c r="T1769" s="16">
        <f>P1769/10000</f>
        <v/>
      </c>
      <c r="U1769" s="15">
        <f>IF(N1769&gt;=Summary!$D$3,1,0)</f>
        <v/>
      </c>
      <c r="V1769" s="17">
        <f>IF(N1769&gt;0,P1769/N1769,"")</f>
        <v/>
      </c>
      <c r="W1769" s="17">
        <f>IF(O1769&gt;0,H1769/O1769,"")</f>
        <v/>
      </c>
    </row>
    <row r="1770">
      <c r="A1770" s="13" t="inlineStr">
        <is>
          <t>CE17_B1</t>
        </is>
      </c>
      <c r="B1770" s="13" t="inlineStr">
        <is>
          <t>CE17</t>
        </is>
      </c>
      <c r="C1770" s="13" t="inlineStr">
        <is>
          <t>B1</t>
        </is>
      </c>
      <c r="D1770" s="13" t="n">
        <v>0</v>
      </c>
      <c r="E1770" s="13" t="inlineStr">
        <is>
          <t>E</t>
        </is>
      </c>
      <c r="F1770" s="13" t="n">
        <v>2024</v>
      </c>
      <c r="G1770" s="14" t="n">
        <v>974332.552155618</v>
      </c>
      <c r="H1770" s="14" t="n">
        <v>371016.090801972</v>
      </c>
      <c r="I1770" s="14" t="n">
        <v>230322.1160784852</v>
      </c>
      <c r="J1770" s="14" t="n">
        <v>0</v>
      </c>
      <c r="K1770" s="14" t="n">
        <v>127742.6184865615</v>
      </c>
      <c r="L1770" s="14" t="n">
        <v>245251.7267885993</v>
      </c>
      <c r="M1770" s="14" t="n">
        <v>0</v>
      </c>
      <c r="N1770" s="14" t="n">
        <v>399330.1397238338</v>
      </c>
      <c r="O1770" s="14" t="n">
        <v>741905.6443837485</v>
      </c>
      <c r="P1770" s="14" t="n">
        <v>79291.47466299022</v>
      </c>
      <c r="Q1770" s="14" t="n">
        <v>5235622.69047696</v>
      </c>
      <c r="R1770" s="15">
        <f>IF(D1770=1,"Section 1","Control")</f>
        <v/>
      </c>
      <c r="S1770" s="16">
        <f>N1770/10000</f>
        <v/>
      </c>
      <c r="T1770" s="16">
        <f>P1770/10000</f>
        <v/>
      </c>
      <c r="U1770" s="15">
        <f>IF(N1770&gt;=Summary!$D$3,1,0)</f>
        <v/>
      </c>
      <c r="V1770" s="17">
        <f>IF(N1770&gt;0,P1770/N1770,"")</f>
        <v/>
      </c>
      <c r="W1770" s="17">
        <f>IF(O1770&gt;0,H1770/O1770,"")</f>
        <v/>
      </c>
    </row>
    <row r="1771">
      <c r="A1771" s="13" t="inlineStr">
        <is>
          <t>CE17_B1</t>
        </is>
      </c>
      <c r="B1771" s="13" t="inlineStr">
        <is>
          <t>CE17</t>
        </is>
      </c>
      <c r="C1771" s="13" t="inlineStr">
        <is>
          <t>B1</t>
        </is>
      </c>
      <c r="D1771" s="13" t="n">
        <v>0</v>
      </c>
      <c r="E1771" s="13" t="inlineStr">
        <is>
          <t>E</t>
        </is>
      </c>
      <c r="F1771" s="13" t="n">
        <v>2025</v>
      </c>
      <c r="G1771" s="14" t="n">
        <v>974332.552155618</v>
      </c>
      <c r="H1771" s="14" t="n">
        <v>406944.4786207312</v>
      </c>
      <c r="I1771" s="14" t="n">
        <v>216832.7540661681</v>
      </c>
      <c r="J1771" s="14" t="n">
        <v>0</v>
      </c>
      <c r="K1771" s="14" t="n">
        <v>93286.82052857644</v>
      </c>
      <c r="L1771" s="14" t="n">
        <v>257268.4989401425</v>
      </c>
      <c r="M1771" s="14" t="n">
        <v>0</v>
      </c>
      <c r="N1771" s="14" t="n">
        <v>399330.1397238339</v>
      </c>
      <c r="O1771" s="14" t="n">
        <v>741905.6443837485</v>
      </c>
      <c r="P1771" s="14" t="n">
        <v>72342.57014558082</v>
      </c>
      <c r="Q1771" s="14" t="n">
        <v>5235622.690476961</v>
      </c>
      <c r="R1771" s="15">
        <f>IF(D1771=1,"Section 1","Control")</f>
        <v/>
      </c>
      <c r="S1771" s="16">
        <f>N1771/10000</f>
        <v/>
      </c>
      <c r="T1771" s="16">
        <f>P1771/10000</f>
        <v/>
      </c>
      <c r="U1771" s="15">
        <f>IF(N1771&gt;=Summary!$D$3,1,0)</f>
        <v/>
      </c>
      <c r="V1771" s="17">
        <f>IF(N1771&gt;0,P1771/N1771,"")</f>
        <v/>
      </c>
      <c r="W1771" s="17">
        <f>IF(O1771&gt;0,H1771/O1771,"")</f>
        <v/>
      </c>
    </row>
    <row r="1772">
      <c r="A1772" s="13" t="inlineStr">
        <is>
          <t>CE17_B1</t>
        </is>
      </c>
      <c r="B1772" s="13" t="inlineStr">
        <is>
          <t>CE17</t>
        </is>
      </c>
      <c r="C1772" s="13" t="inlineStr">
        <is>
          <t>B1</t>
        </is>
      </c>
      <c r="D1772" s="13" t="n">
        <v>0</v>
      </c>
      <c r="E1772" s="13" t="inlineStr">
        <is>
          <t>E</t>
        </is>
      </c>
      <c r="F1772" s="13" t="n">
        <v>2026</v>
      </c>
      <c r="G1772" s="14" t="n">
        <v>974332.552155618</v>
      </c>
      <c r="H1772" s="14" t="n">
        <v>389602.9247516408</v>
      </c>
      <c r="I1772" s="14" t="n">
        <v>198023.1147796332</v>
      </c>
      <c r="J1772" s="14" t="n">
        <v>0</v>
      </c>
      <c r="K1772" s="14" t="n">
        <v>131172.9540240119</v>
      </c>
      <c r="L1772" s="14" t="n">
        <v>255533.5586003322</v>
      </c>
      <c r="M1772" s="14" t="n">
        <v>0</v>
      </c>
      <c r="N1772" s="14" t="n">
        <v>399330.1397238338</v>
      </c>
      <c r="O1772" s="14" t="n">
        <v>741905.6443837485</v>
      </c>
      <c r="P1772" s="14" t="n">
        <v>82507.84613417083</v>
      </c>
      <c r="Q1772" s="14" t="n">
        <v>5235622.69047696</v>
      </c>
      <c r="R1772" s="15">
        <f>IF(D1772=1,"Section 1","Control")</f>
        <v/>
      </c>
      <c r="S1772" s="16">
        <f>N1772/10000</f>
        <v/>
      </c>
      <c r="T1772" s="16">
        <f>P1772/10000</f>
        <v/>
      </c>
      <c r="U1772" s="15">
        <f>IF(N1772&gt;=Summary!$D$3,1,0)</f>
        <v/>
      </c>
      <c r="V1772" s="17">
        <f>IF(N1772&gt;0,P1772/N1772,"")</f>
        <v/>
      </c>
      <c r="W1772" s="17">
        <f>IF(O1772&gt;0,H1772/O1772,"")</f>
        <v/>
      </c>
    </row>
    <row r="1773">
      <c r="A1773" s="13" t="inlineStr">
        <is>
          <t>CE17_B2</t>
        </is>
      </c>
      <c r="B1773" s="13" t="inlineStr">
        <is>
          <t>CE17</t>
        </is>
      </c>
      <c r="C1773" s="13" t="inlineStr">
        <is>
          <t>B2</t>
        </is>
      </c>
      <c r="D1773" s="13" t="n">
        <v>0</v>
      </c>
      <c r="E1773" s="13" t="inlineStr">
        <is>
          <t>E</t>
        </is>
      </c>
      <c r="F1773" s="13" t="n">
        <v>2020</v>
      </c>
      <c r="G1773" s="14" t="n">
        <v>974934.9889697206</v>
      </c>
      <c r="H1773" s="14" t="n">
        <v>194259.1338536281</v>
      </c>
      <c r="I1773" s="14" t="n">
        <v>285654.6144970764</v>
      </c>
      <c r="J1773" s="14" t="n">
        <v>0</v>
      </c>
      <c r="K1773" s="14" t="n">
        <v>7554.817629526176</v>
      </c>
      <c r="L1773" s="14" t="n">
        <v>487466.42298949</v>
      </c>
      <c r="M1773" s="14" t="n">
        <v>0</v>
      </c>
      <c r="N1773" s="14" t="n">
        <v>194259.1338536281</v>
      </c>
      <c r="O1773" s="14" t="n">
        <v>487468.5659802306</v>
      </c>
      <c r="P1773" s="14" t="n">
        <v>0</v>
      </c>
      <c r="Q1773" s="14" t="n">
        <v>3629476.064076623</v>
      </c>
      <c r="R1773" s="15">
        <f>IF(D1773=1,"Section 1","Control")</f>
        <v/>
      </c>
      <c r="S1773" s="16">
        <f>N1773/10000</f>
        <v/>
      </c>
      <c r="T1773" s="16">
        <f>P1773/10000</f>
        <v/>
      </c>
      <c r="U1773" s="15">
        <f>IF(N1773&gt;=Summary!$D$3,1,0)</f>
        <v/>
      </c>
      <c r="V1773" s="17">
        <f>IF(N1773&gt;0,P1773/N1773,"")</f>
        <v/>
      </c>
      <c r="W1773" s="17">
        <f>IF(O1773&gt;0,H1773/O1773,"")</f>
        <v/>
      </c>
    </row>
    <row r="1774">
      <c r="A1774" s="13" t="inlineStr">
        <is>
          <t>CE17_B2</t>
        </is>
      </c>
      <c r="B1774" s="13" t="inlineStr">
        <is>
          <t>CE17</t>
        </is>
      </c>
      <c r="C1774" s="13" t="inlineStr">
        <is>
          <t>B2</t>
        </is>
      </c>
      <c r="D1774" s="13" t="n">
        <v>0</v>
      </c>
      <c r="E1774" s="13" t="inlineStr">
        <is>
          <t>E</t>
        </is>
      </c>
      <c r="F1774" s="13" t="n">
        <v>2021</v>
      </c>
      <c r="G1774" s="14" t="n">
        <v>974934.9889697206</v>
      </c>
      <c r="H1774" s="14" t="n">
        <v>185149.0049932442</v>
      </c>
      <c r="I1774" s="14" t="n">
        <v>257743.6567538393</v>
      </c>
      <c r="J1774" s="14" t="n">
        <v>0</v>
      </c>
      <c r="K1774" s="14" t="n">
        <v>44575.90423314712</v>
      </c>
      <c r="L1774" s="14" t="n">
        <v>487466.42298949</v>
      </c>
      <c r="M1774" s="14" t="n">
        <v>0</v>
      </c>
      <c r="N1774" s="14" t="n">
        <v>194259.1338536281</v>
      </c>
      <c r="O1774" s="14" t="n">
        <v>487468.5659802306</v>
      </c>
      <c r="P1774" s="14" t="n">
        <v>27770.13161345837</v>
      </c>
      <c r="Q1774" s="14" t="n">
        <v>3629476.064076623</v>
      </c>
      <c r="R1774" s="15">
        <f>IF(D1774=1,"Section 1","Control")</f>
        <v/>
      </c>
      <c r="S1774" s="16">
        <f>N1774/10000</f>
        <v/>
      </c>
      <c r="T1774" s="16">
        <f>P1774/10000</f>
        <v/>
      </c>
      <c r="U1774" s="15">
        <f>IF(N1774&gt;=Summary!$D$3,1,0)</f>
        <v/>
      </c>
      <c r="V1774" s="17">
        <f>IF(N1774&gt;0,P1774/N1774,"")</f>
        <v/>
      </c>
      <c r="W1774" s="17">
        <f>IF(O1774&gt;0,H1774/O1774,"")</f>
        <v/>
      </c>
    </row>
    <row r="1775">
      <c r="A1775" s="13" t="inlineStr">
        <is>
          <t>CE17_B2</t>
        </is>
      </c>
      <c r="B1775" s="13" t="inlineStr">
        <is>
          <t>CE17</t>
        </is>
      </c>
      <c r="C1775" s="13" t="inlineStr">
        <is>
          <t>B2</t>
        </is>
      </c>
      <c r="D1775" s="13" t="n">
        <v>0</v>
      </c>
      <c r="E1775" s="13" t="inlineStr">
        <is>
          <t>E</t>
        </is>
      </c>
      <c r="F1775" s="13" t="n">
        <v>2022</v>
      </c>
      <c r="G1775" s="14" t="n">
        <v>974934.9889697206</v>
      </c>
      <c r="H1775" s="14" t="n">
        <v>205883.1310048721</v>
      </c>
      <c r="I1775" s="14" t="n">
        <v>237469.4486554314</v>
      </c>
      <c r="J1775" s="14" t="n">
        <v>0</v>
      </c>
      <c r="K1775" s="14" t="n">
        <v>44115.98631992714</v>
      </c>
      <c r="L1775" s="14" t="n">
        <v>487466.42298949</v>
      </c>
      <c r="M1775" s="14" t="n">
        <v>0</v>
      </c>
      <c r="N1775" s="14" t="n">
        <v>194259.1338536281</v>
      </c>
      <c r="O1775" s="14" t="n">
        <v>487468.5659802306</v>
      </c>
      <c r="P1775" s="14" t="n">
        <v>36140.7232675889</v>
      </c>
      <c r="Q1775" s="14" t="n">
        <v>3629476.064076623</v>
      </c>
      <c r="R1775" s="15">
        <f>IF(D1775=1,"Section 1","Control")</f>
        <v/>
      </c>
      <c r="S1775" s="16">
        <f>N1775/10000</f>
        <v/>
      </c>
      <c r="T1775" s="16">
        <f>P1775/10000</f>
        <v/>
      </c>
      <c r="U1775" s="15">
        <f>IF(N1775&gt;=Summary!$D$3,1,0)</f>
        <v/>
      </c>
      <c r="V1775" s="17">
        <f>IF(N1775&gt;0,P1775/N1775,"")</f>
        <v/>
      </c>
      <c r="W1775" s="17">
        <f>IF(O1775&gt;0,H1775/O1775,"")</f>
        <v/>
      </c>
    </row>
    <row r="1776">
      <c r="A1776" s="13" t="inlineStr">
        <is>
          <t>CE17_B2</t>
        </is>
      </c>
      <c r="B1776" s="13" t="inlineStr">
        <is>
          <t>CE17</t>
        </is>
      </c>
      <c r="C1776" s="13" t="inlineStr">
        <is>
          <t>B2</t>
        </is>
      </c>
      <c r="D1776" s="13" t="n">
        <v>0</v>
      </c>
      <c r="E1776" s="13" t="inlineStr">
        <is>
          <t>E</t>
        </is>
      </c>
      <c r="F1776" s="13" t="n">
        <v>2023</v>
      </c>
      <c r="G1776" s="14" t="n">
        <v>974934.9889697206</v>
      </c>
      <c r="H1776" s="14" t="n">
        <v>198219.4921439377</v>
      </c>
      <c r="I1776" s="14" t="n">
        <v>257166.6817271215</v>
      </c>
      <c r="J1776" s="14" t="n">
        <v>0</v>
      </c>
      <c r="K1776" s="14" t="n">
        <v>32082.39210917155</v>
      </c>
      <c r="L1776" s="14" t="n">
        <v>487466.42298949</v>
      </c>
      <c r="M1776" s="14" t="n">
        <v>0</v>
      </c>
      <c r="N1776" s="14" t="n">
        <v>194259.1338536281</v>
      </c>
      <c r="O1776" s="14" t="n">
        <v>487468.5659802306</v>
      </c>
      <c r="P1776" s="14" t="n">
        <v>37414.50661076565</v>
      </c>
      <c r="Q1776" s="14" t="n">
        <v>3629476.064076623</v>
      </c>
      <c r="R1776" s="15">
        <f>IF(D1776=1,"Section 1","Control")</f>
        <v/>
      </c>
      <c r="S1776" s="16">
        <f>N1776/10000</f>
        <v/>
      </c>
      <c r="T1776" s="16">
        <f>P1776/10000</f>
        <v/>
      </c>
      <c r="U1776" s="15">
        <f>IF(N1776&gt;=Summary!$D$3,1,0)</f>
        <v/>
      </c>
      <c r="V1776" s="17">
        <f>IF(N1776&gt;0,P1776/N1776,"")</f>
        <v/>
      </c>
      <c r="W1776" s="17">
        <f>IF(O1776&gt;0,H1776/O1776,"")</f>
        <v/>
      </c>
    </row>
    <row r="1777">
      <c r="A1777" s="13" t="inlineStr">
        <is>
          <t>CE17_B2</t>
        </is>
      </c>
      <c r="B1777" s="13" t="inlineStr">
        <is>
          <t>CE17</t>
        </is>
      </c>
      <c r="C1777" s="13" t="inlineStr">
        <is>
          <t>B2</t>
        </is>
      </c>
      <c r="D1777" s="13" t="n">
        <v>0</v>
      </c>
      <c r="E1777" s="13" t="inlineStr">
        <is>
          <t>E</t>
        </is>
      </c>
      <c r="F1777" s="13" t="n">
        <v>2024</v>
      </c>
      <c r="G1777" s="14" t="n">
        <v>974934.9889697206</v>
      </c>
      <c r="H1777" s="14" t="n">
        <v>232024.4140601364</v>
      </c>
      <c r="I1777" s="14" t="n">
        <v>221624.132721067</v>
      </c>
      <c r="J1777" s="14" t="n">
        <v>0</v>
      </c>
      <c r="K1777" s="14" t="n">
        <v>33820.01919902727</v>
      </c>
      <c r="L1777" s="14" t="n">
        <v>487466.42298949</v>
      </c>
      <c r="M1777" s="14" t="n">
        <v>0</v>
      </c>
      <c r="N1777" s="14" t="n">
        <v>194259.1338536281</v>
      </c>
      <c r="O1777" s="14" t="n">
        <v>487468.5659802306</v>
      </c>
      <c r="P1777" s="14" t="n">
        <v>29994.41135310753</v>
      </c>
      <c r="Q1777" s="14" t="n">
        <v>3629476.064076623</v>
      </c>
      <c r="R1777" s="15">
        <f>IF(D1777=1,"Section 1","Control")</f>
        <v/>
      </c>
      <c r="S1777" s="16">
        <f>N1777/10000</f>
        <v/>
      </c>
      <c r="T1777" s="16">
        <f>P1777/10000</f>
        <v/>
      </c>
      <c r="U1777" s="15">
        <f>IF(N1777&gt;=Summary!$D$3,1,0)</f>
        <v/>
      </c>
      <c r="V1777" s="17">
        <f>IF(N1777&gt;0,P1777/N1777,"")</f>
        <v/>
      </c>
      <c r="W1777" s="17">
        <f>IF(O1777&gt;0,H1777/O1777,"")</f>
        <v/>
      </c>
    </row>
    <row r="1778">
      <c r="A1778" s="13" t="inlineStr">
        <is>
          <t>CE17_B2</t>
        </is>
      </c>
      <c r="B1778" s="13" t="inlineStr">
        <is>
          <t>CE17</t>
        </is>
      </c>
      <c r="C1778" s="13" t="inlineStr">
        <is>
          <t>B2</t>
        </is>
      </c>
      <c r="D1778" s="13" t="n">
        <v>0</v>
      </c>
      <c r="E1778" s="13" t="inlineStr">
        <is>
          <t>E</t>
        </is>
      </c>
      <c r="F1778" s="13" t="n">
        <v>2025</v>
      </c>
      <c r="G1778" s="14" t="n">
        <v>974934.9889697206</v>
      </c>
      <c r="H1778" s="14" t="n">
        <v>260934.682149371</v>
      </c>
      <c r="I1778" s="14" t="n">
        <v>199565.2105638392</v>
      </c>
      <c r="J1778" s="14" t="n">
        <v>0</v>
      </c>
      <c r="K1778" s="14" t="n">
        <v>26968.67326702044</v>
      </c>
      <c r="L1778" s="14" t="n">
        <v>487466.42298949</v>
      </c>
      <c r="M1778" s="14" t="n">
        <v>0</v>
      </c>
      <c r="N1778" s="14" t="n">
        <v>194259.1338536281</v>
      </c>
      <c r="O1778" s="14" t="n">
        <v>487468.5659802306</v>
      </c>
      <c r="P1778" s="14" t="n">
        <v>27735.66327694164</v>
      </c>
      <c r="Q1778" s="14" t="n">
        <v>3629476.064076622</v>
      </c>
      <c r="R1778" s="15">
        <f>IF(D1778=1,"Section 1","Control")</f>
        <v/>
      </c>
      <c r="S1778" s="16">
        <f>N1778/10000</f>
        <v/>
      </c>
      <c r="T1778" s="16">
        <f>P1778/10000</f>
        <v/>
      </c>
      <c r="U1778" s="15">
        <f>IF(N1778&gt;=Summary!$D$3,1,0)</f>
        <v/>
      </c>
      <c r="V1778" s="17">
        <f>IF(N1778&gt;0,P1778/N1778,"")</f>
        <v/>
      </c>
      <c r="W1778" s="17">
        <f>IF(O1778&gt;0,H1778/O1778,"")</f>
        <v/>
      </c>
    </row>
    <row r="1779">
      <c r="A1779" s="13" t="inlineStr">
        <is>
          <t>CE17_B2</t>
        </is>
      </c>
      <c r="B1779" s="13" t="inlineStr">
        <is>
          <t>CE17</t>
        </is>
      </c>
      <c r="C1779" s="13" t="inlineStr">
        <is>
          <t>B2</t>
        </is>
      </c>
      <c r="D1779" s="13" t="n">
        <v>0</v>
      </c>
      <c r="E1779" s="13" t="inlineStr">
        <is>
          <t>E</t>
        </is>
      </c>
      <c r="F1779" s="13" t="n">
        <v>2026</v>
      </c>
      <c r="G1779" s="14" t="n">
        <v>974934.9889697206</v>
      </c>
      <c r="H1779" s="14" t="n">
        <v>257244.6318850648</v>
      </c>
      <c r="I1779" s="14" t="n">
        <v>192779.63181281</v>
      </c>
      <c r="J1779" s="14" t="n">
        <v>0</v>
      </c>
      <c r="K1779" s="14" t="n">
        <v>37444.30228235581</v>
      </c>
      <c r="L1779" s="14" t="n">
        <v>487466.42298949</v>
      </c>
      <c r="M1779" s="14" t="n">
        <v>0</v>
      </c>
      <c r="N1779" s="14" t="n">
        <v>194259.1338536281</v>
      </c>
      <c r="O1779" s="14" t="n">
        <v>487468.5659802306</v>
      </c>
      <c r="P1779" s="14" t="n">
        <v>18705.71086509555</v>
      </c>
      <c r="Q1779" s="14" t="n">
        <v>3629476.064076623</v>
      </c>
      <c r="R1779" s="15">
        <f>IF(D1779=1,"Section 1","Control")</f>
        <v/>
      </c>
      <c r="S1779" s="16">
        <f>N1779/10000</f>
        <v/>
      </c>
      <c r="T1779" s="16">
        <f>P1779/10000</f>
        <v/>
      </c>
      <c r="U1779" s="15">
        <f>IF(N1779&gt;=Summary!$D$3,1,0)</f>
        <v/>
      </c>
      <c r="V1779" s="17">
        <f>IF(N1779&gt;0,P1779/N1779,"")</f>
        <v/>
      </c>
      <c r="W1779" s="17">
        <f>IF(O1779&gt;0,H1779/O1779,"")</f>
        <v/>
      </c>
    </row>
    <row r="1780">
      <c r="A1780" s="13" t="inlineStr">
        <is>
          <t>CE17_B3</t>
        </is>
      </c>
      <c r="B1780" s="13" t="inlineStr">
        <is>
          <t>CE17</t>
        </is>
      </c>
      <c r="C1780" s="13" t="inlineStr">
        <is>
          <t>B3</t>
        </is>
      </c>
      <c r="D1780" s="13" t="n">
        <v>0</v>
      </c>
      <c r="E1780" s="13" t="inlineStr">
        <is>
          <t>E</t>
        </is>
      </c>
      <c r="F1780" s="13" t="n">
        <v>2020</v>
      </c>
      <c r="G1780" s="14" t="n">
        <v>7797564.784646278</v>
      </c>
      <c r="H1780" s="14" t="n">
        <v>1620933.973194676</v>
      </c>
      <c r="I1780" s="14" t="n">
        <v>1281089.991938034</v>
      </c>
      <c r="J1780" s="14" t="n">
        <v>0</v>
      </c>
      <c r="K1780" s="14" t="n">
        <v>109331.5676128313</v>
      </c>
      <c r="L1780" s="14" t="n">
        <v>4786209.251900737</v>
      </c>
      <c r="M1780" s="14" t="n">
        <v>0</v>
      </c>
      <c r="N1780" s="14" t="n">
        <v>1620933.973194676</v>
      </c>
      <c r="O1780" s="14" t="n">
        <v>3011355.532745541</v>
      </c>
      <c r="P1780" s="14" t="n">
        <v>0</v>
      </c>
      <c r="Q1780" s="14" t="n">
        <v>19248962.16704554</v>
      </c>
      <c r="R1780" s="15">
        <f>IF(D1780=1,"Section 1","Control")</f>
        <v/>
      </c>
      <c r="S1780" s="16">
        <f>N1780/10000</f>
        <v/>
      </c>
      <c r="T1780" s="16">
        <f>P1780/10000</f>
        <v/>
      </c>
      <c r="U1780" s="15">
        <f>IF(N1780&gt;=Summary!$D$3,1,0)</f>
        <v/>
      </c>
      <c r="V1780" s="17">
        <f>IF(N1780&gt;0,P1780/N1780,"")</f>
        <v/>
      </c>
      <c r="W1780" s="17">
        <f>IF(O1780&gt;0,H1780/O1780,"")</f>
        <v/>
      </c>
    </row>
    <row r="1781">
      <c r="A1781" s="13" t="inlineStr">
        <is>
          <t>CE17_B3</t>
        </is>
      </c>
      <c r="B1781" s="13" t="inlineStr">
        <is>
          <t>CE17</t>
        </is>
      </c>
      <c r="C1781" s="13" t="inlineStr">
        <is>
          <t>B3</t>
        </is>
      </c>
      <c r="D1781" s="13" t="n">
        <v>0</v>
      </c>
      <c r="E1781" s="13" t="inlineStr">
        <is>
          <t>E</t>
        </is>
      </c>
      <c r="F1781" s="13" t="n">
        <v>2021</v>
      </c>
      <c r="G1781" s="14" t="n">
        <v>7797564.78464628</v>
      </c>
      <c r="H1781" s="14" t="n">
        <v>1512173.343741084</v>
      </c>
      <c r="I1781" s="14" t="n">
        <v>1282801.148071289</v>
      </c>
      <c r="J1781" s="14" t="n">
        <v>0</v>
      </c>
      <c r="K1781" s="14" t="n">
        <v>268746.2548879886</v>
      </c>
      <c r="L1781" s="14" t="n">
        <v>4733844.037945916</v>
      </c>
      <c r="M1781" s="14" t="n">
        <v>0</v>
      </c>
      <c r="N1781" s="14" t="n">
        <v>1620933.973194676</v>
      </c>
      <c r="O1781" s="14" t="n">
        <v>3011355.532745541</v>
      </c>
      <c r="P1781" s="14" t="n">
        <v>154787.0603858499</v>
      </c>
      <c r="Q1781" s="14" t="n">
        <v>19248962.16704554</v>
      </c>
      <c r="R1781" s="15">
        <f>IF(D1781=1,"Section 1","Control")</f>
        <v/>
      </c>
      <c r="S1781" s="16">
        <f>N1781/10000</f>
        <v/>
      </c>
      <c r="T1781" s="16">
        <f>P1781/10000</f>
        <v/>
      </c>
      <c r="U1781" s="15">
        <f>IF(N1781&gt;=Summary!$D$3,1,0)</f>
        <v/>
      </c>
      <c r="V1781" s="17">
        <f>IF(N1781&gt;0,P1781/N1781,"")</f>
        <v/>
      </c>
      <c r="W1781" s="17">
        <f>IF(O1781&gt;0,H1781/O1781,"")</f>
        <v/>
      </c>
    </row>
    <row r="1782">
      <c r="A1782" s="13" t="inlineStr">
        <is>
          <t>CE17_B3</t>
        </is>
      </c>
      <c r="B1782" s="13" t="inlineStr">
        <is>
          <t>CE17</t>
        </is>
      </c>
      <c r="C1782" s="13" t="inlineStr">
        <is>
          <t>B3</t>
        </is>
      </c>
      <c r="D1782" s="13" t="n">
        <v>0</v>
      </c>
      <c r="E1782" s="13" t="inlineStr">
        <is>
          <t>E</t>
        </is>
      </c>
      <c r="F1782" s="13" t="n">
        <v>2022</v>
      </c>
      <c r="G1782" s="14" t="n">
        <v>7797564.78464628</v>
      </c>
      <c r="H1782" s="14" t="n">
        <v>1586748.81399237</v>
      </c>
      <c r="I1782" s="14" t="n">
        <v>1262740.352930316</v>
      </c>
      <c r="J1782" s="14" t="n">
        <v>0</v>
      </c>
      <c r="K1782" s="14" t="n">
        <v>227076.225989368</v>
      </c>
      <c r="L1782" s="14" t="n">
        <v>4720999.391734225</v>
      </c>
      <c r="M1782" s="14" t="n">
        <v>0</v>
      </c>
      <c r="N1782" s="14" t="n">
        <v>1620933.973194676</v>
      </c>
      <c r="O1782" s="14" t="n">
        <v>3011355.532745541</v>
      </c>
      <c r="P1782" s="14" t="n">
        <v>115809.8279647528</v>
      </c>
      <c r="Q1782" s="14" t="n">
        <v>19248962.16704554</v>
      </c>
      <c r="R1782" s="15">
        <f>IF(D1782=1,"Section 1","Control")</f>
        <v/>
      </c>
      <c r="S1782" s="16">
        <f>N1782/10000</f>
        <v/>
      </c>
      <c r="T1782" s="16">
        <f>P1782/10000</f>
        <v/>
      </c>
      <c r="U1782" s="15">
        <f>IF(N1782&gt;=Summary!$D$3,1,0)</f>
        <v/>
      </c>
      <c r="V1782" s="17">
        <f>IF(N1782&gt;0,P1782/N1782,"")</f>
        <v/>
      </c>
      <c r="W1782" s="17">
        <f>IF(O1782&gt;0,H1782/O1782,"")</f>
        <v/>
      </c>
    </row>
    <row r="1783">
      <c r="A1783" s="13" t="inlineStr">
        <is>
          <t>CE17_B3</t>
        </is>
      </c>
      <c r="B1783" s="13" t="inlineStr">
        <is>
          <t>CE17</t>
        </is>
      </c>
      <c r="C1783" s="13" t="inlineStr">
        <is>
          <t>B3</t>
        </is>
      </c>
      <c r="D1783" s="13" t="n">
        <v>0</v>
      </c>
      <c r="E1783" s="13" t="inlineStr">
        <is>
          <t>E</t>
        </is>
      </c>
      <c r="F1783" s="13" t="n">
        <v>2023</v>
      </c>
      <c r="G1783" s="14" t="n">
        <v>7797564.784646278</v>
      </c>
      <c r="H1783" s="14" t="n">
        <v>1591990.848566572</v>
      </c>
      <c r="I1783" s="14" t="n">
        <v>1321280.378084729</v>
      </c>
      <c r="J1783" s="14" t="n">
        <v>0</v>
      </c>
      <c r="K1783" s="14" t="n">
        <v>142546.1279237336</v>
      </c>
      <c r="L1783" s="14" t="n">
        <v>4741747.430071245</v>
      </c>
      <c r="M1783" s="14" t="n">
        <v>0</v>
      </c>
      <c r="N1783" s="14" t="n">
        <v>1620933.973194676</v>
      </c>
      <c r="O1783" s="14" t="n">
        <v>3011355.532745541</v>
      </c>
      <c r="P1783" s="14" t="n">
        <v>142279.0135094736</v>
      </c>
      <c r="Q1783" s="14" t="n">
        <v>19248962.16704554</v>
      </c>
      <c r="R1783" s="15">
        <f>IF(D1783=1,"Section 1","Control")</f>
        <v/>
      </c>
      <c r="S1783" s="16">
        <f>N1783/10000</f>
        <v/>
      </c>
      <c r="T1783" s="16">
        <f>P1783/10000</f>
        <v/>
      </c>
      <c r="U1783" s="15">
        <f>IF(N1783&gt;=Summary!$D$3,1,0)</f>
        <v/>
      </c>
      <c r="V1783" s="17">
        <f>IF(N1783&gt;0,P1783/N1783,"")</f>
        <v/>
      </c>
      <c r="W1783" s="17">
        <f>IF(O1783&gt;0,H1783/O1783,"")</f>
        <v/>
      </c>
    </row>
    <row r="1784">
      <c r="A1784" s="13" t="inlineStr">
        <is>
          <t>CE17_B3</t>
        </is>
      </c>
      <c r="B1784" s="13" t="inlineStr">
        <is>
          <t>CE17</t>
        </is>
      </c>
      <c r="C1784" s="13" t="inlineStr">
        <is>
          <t>B3</t>
        </is>
      </c>
      <c r="D1784" s="13" t="n">
        <v>0</v>
      </c>
      <c r="E1784" s="13" t="inlineStr">
        <is>
          <t>E</t>
        </is>
      </c>
      <c r="F1784" s="13" t="n">
        <v>2024</v>
      </c>
      <c r="G1784" s="14" t="n">
        <v>7797564.784646278</v>
      </c>
      <c r="H1784" s="14" t="n">
        <v>1714329.203444717</v>
      </c>
      <c r="I1784" s="14" t="n">
        <v>1198283.022530889</v>
      </c>
      <c r="J1784" s="14" t="n">
        <v>0</v>
      </c>
      <c r="K1784" s="14" t="n">
        <v>139516.8239194683</v>
      </c>
      <c r="L1784" s="14" t="n">
        <v>4745435.734751204</v>
      </c>
      <c r="M1784" s="14" t="n">
        <v>0</v>
      </c>
      <c r="N1784" s="14" t="n">
        <v>1620933.973194676</v>
      </c>
      <c r="O1784" s="14" t="n">
        <v>3011355.532745541</v>
      </c>
      <c r="P1784" s="14" t="n">
        <v>92885.32022758933</v>
      </c>
      <c r="Q1784" s="14" t="n">
        <v>19248962.16704554</v>
      </c>
      <c r="R1784" s="15">
        <f>IF(D1784=1,"Section 1","Control")</f>
        <v/>
      </c>
      <c r="S1784" s="16">
        <f>N1784/10000</f>
        <v/>
      </c>
      <c r="T1784" s="16">
        <f>P1784/10000</f>
        <v/>
      </c>
      <c r="U1784" s="15">
        <f>IF(N1784&gt;=Summary!$D$3,1,0)</f>
        <v/>
      </c>
      <c r="V1784" s="17">
        <f>IF(N1784&gt;0,P1784/N1784,"")</f>
        <v/>
      </c>
      <c r="W1784" s="17">
        <f>IF(O1784&gt;0,H1784/O1784,"")</f>
        <v/>
      </c>
    </row>
    <row r="1785">
      <c r="A1785" s="13" t="inlineStr">
        <is>
          <t>CE17_B3</t>
        </is>
      </c>
      <c r="B1785" s="13" t="inlineStr">
        <is>
          <t>CE17</t>
        </is>
      </c>
      <c r="C1785" s="13" t="inlineStr">
        <is>
          <t>B3</t>
        </is>
      </c>
      <c r="D1785" s="13" t="n">
        <v>0</v>
      </c>
      <c r="E1785" s="13" t="inlineStr">
        <is>
          <t>E</t>
        </is>
      </c>
      <c r="F1785" s="13" t="n">
        <v>2025</v>
      </c>
      <c r="G1785" s="14" t="n">
        <v>7797564.784646279</v>
      </c>
      <c r="H1785" s="14" t="n">
        <v>1800206.874129172</v>
      </c>
      <c r="I1785" s="14" t="n">
        <v>1085243.882564111</v>
      </c>
      <c r="J1785" s="14" t="n">
        <v>0</v>
      </c>
      <c r="K1785" s="14" t="n">
        <v>141274.8518975351</v>
      </c>
      <c r="L1785" s="14" t="n">
        <v>4770839.17605546</v>
      </c>
      <c r="M1785" s="14" t="n">
        <v>0</v>
      </c>
      <c r="N1785" s="14" t="n">
        <v>1620933.973194676</v>
      </c>
      <c r="O1785" s="14" t="n">
        <v>3011355.532745541</v>
      </c>
      <c r="P1785" s="14" t="n">
        <v>100723.4149435904</v>
      </c>
      <c r="Q1785" s="14" t="n">
        <v>19248962.16704554</v>
      </c>
      <c r="R1785" s="15">
        <f>IF(D1785=1,"Section 1","Control")</f>
        <v/>
      </c>
      <c r="S1785" s="16">
        <f>N1785/10000</f>
        <v/>
      </c>
      <c r="T1785" s="16">
        <f>P1785/10000</f>
        <v/>
      </c>
      <c r="U1785" s="15">
        <f>IF(N1785&gt;=Summary!$D$3,1,0)</f>
        <v/>
      </c>
      <c r="V1785" s="17">
        <f>IF(N1785&gt;0,P1785/N1785,"")</f>
        <v/>
      </c>
      <c r="W1785" s="17">
        <f>IF(O1785&gt;0,H1785/O1785,"")</f>
        <v/>
      </c>
    </row>
    <row r="1786">
      <c r="A1786" s="13" t="inlineStr">
        <is>
          <t>CE17_B3</t>
        </is>
      </c>
      <c r="B1786" s="13" t="inlineStr">
        <is>
          <t>CE17</t>
        </is>
      </c>
      <c r="C1786" s="13" t="inlineStr">
        <is>
          <t>B3</t>
        </is>
      </c>
      <c r="D1786" s="13" t="n">
        <v>0</v>
      </c>
      <c r="E1786" s="13" t="inlineStr">
        <is>
          <t>E</t>
        </is>
      </c>
      <c r="F1786" s="13" t="n">
        <v>2026</v>
      </c>
      <c r="G1786" s="14" t="n">
        <v>7797564.784646278</v>
      </c>
      <c r="H1786" s="14" t="n">
        <v>1705043.008210725</v>
      </c>
      <c r="I1786" s="14" t="n">
        <v>1127675.420989512</v>
      </c>
      <c r="J1786" s="14" t="n">
        <v>0</v>
      </c>
      <c r="K1786" s="14" t="n">
        <v>174029.7760822969</v>
      </c>
      <c r="L1786" s="14" t="n">
        <v>4790816.579363745</v>
      </c>
      <c r="M1786" s="14" t="n">
        <v>0</v>
      </c>
      <c r="N1786" s="14" t="n">
        <v>1620933.973194676</v>
      </c>
      <c r="O1786" s="14" t="n">
        <v>3011355.532745541</v>
      </c>
      <c r="P1786" s="14" t="n">
        <v>104974.3242053462</v>
      </c>
      <c r="Q1786" s="14" t="n">
        <v>19248962.16704554</v>
      </c>
      <c r="R1786" s="15">
        <f>IF(D1786=1,"Section 1","Control")</f>
        <v/>
      </c>
      <c r="S1786" s="16">
        <f>N1786/10000</f>
        <v/>
      </c>
      <c r="T1786" s="16">
        <f>P1786/10000</f>
        <v/>
      </c>
      <c r="U1786" s="15">
        <f>IF(N1786&gt;=Summary!$D$3,1,0)</f>
        <v/>
      </c>
      <c r="V1786" s="17">
        <f>IF(N1786&gt;0,P1786/N1786,"")</f>
        <v/>
      </c>
      <c r="W1786" s="17">
        <f>IF(O1786&gt;0,H1786/O1786,"")</f>
        <v/>
      </c>
    </row>
    <row r="1787">
      <c r="A1787" s="13" t="inlineStr">
        <is>
          <t>CE17_F</t>
        </is>
      </c>
      <c r="B1787" s="13" t="inlineStr">
        <is>
          <t>CE17</t>
        </is>
      </c>
      <c r="C1787" s="13" t="inlineStr">
        <is>
          <t>F</t>
        </is>
      </c>
      <c r="D1787" s="13" t="n">
        <v>0</v>
      </c>
      <c r="E1787" s="13" t="inlineStr">
        <is>
          <t>E</t>
        </is>
      </c>
      <c r="F1787" s="13" t="n">
        <v>2020</v>
      </c>
      <c r="G1787" s="14" t="n">
        <v>67841.42194324569</v>
      </c>
      <c r="H1787" s="14" t="n">
        <v>38832.79771166035</v>
      </c>
      <c r="I1787" s="14" t="n">
        <v>16774.69053946103</v>
      </c>
      <c r="J1787" s="14" t="n">
        <v>0</v>
      </c>
      <c r="K1787" s="14" t="n">
        <v>12233.93369212431</v>
      </c>
      <c r="L1787" s="14" t="n">
        <v>0</v>
      </c>
      <c r="M1787" s="14" t="n">
        <v>0</v>
      </c>
      <c r="N1787" s="14" t="n">
        <v>38832.79771166035</v>
      </c>
      <c r="O1787" s="14" t="n">
        <v>67841.42194324569</v>
      </c>
      <c r="P1787" s="14" t="n">
        <v>0</v>
      </c>
      <c r="Q1787" s="14" t="n">
        <v>426324.4158865537</v>
      </c>
      <c r="R1787" s="15">
        <f>IF(D1787=1,"Section 1","Control")</f>
        <v/>
      </c>
      <c r="S1787" s="16">
        <f>N1787/10000</f>
        <v/>
      </c>
      <c r="T1787" s="16">
        <f>P1787/10000</f>
        <v/>
      </c>
      <c r="U1787" s="15">
        <f>IF(N1787&gt;=Summary!$D$3,1,0)</f>
        <v/>
      </c>
      <c r="V1787" s="17">
        <f>IF(N1787&gt;0,P1787/N1787,"")</f>
        <v/>
      </c>
      <c r="W1787" s="17">
        <f>IF(O1787&gt;0,H1787/O1787,"")</f>
        <v/>
      </c>
    </row>
    <row r="1788">
      <c r="A1788" s="13" t="inlineStr">
        <is>
          <t>CE17_F</t>
        </is>
      </c>
      <c r="B1788" s="13" t="inlineStr">
        <is>
          <t>CE17</t>
        </is>
      </c>
      <c r="C1788" s="13" t="inlineStr">
        <is>
          <t>F</t>
        </is>
      </c>
      <c r="D1788" s="13" t="n">
        <v>0</v>
      </c>
      <c r="E1788" s="13" t="inlineStr">
        <is>
          <t>E</t>
        </is>
      </c>
      <c r="F1788" s="13" t="n">
        <v>2021</v>
      </c>
      <c r="G1788" s="14" t="n">
        <v>67841.42194324569</v>
      </c>
      <c r="H1788" s="14" t="n">
        <v>38904.03768029307</v>
      </c>
      <c r="I1788" s="14" t="n">
        <v>11715.49085020178</v>
      </c>
      <c r="J1788" s="14" t="n">
        <v>0</v>
      </c>
      <c r="K1788" s="14" t="n">
        <v>15555.49564747529</v>
      </c>
      <c r="L1788" s="14" t="n">
        <v>1666.397765275544</v>
      </c>
      <c r="M1788" s="14" t="n">
        <v>0</v>
      </c>
      <c r="N1788" s="14" t="n">
        <v>38832.79771166035</v>
      </c>
      <c r="O1788" s="14" t="n">
        <v>67841.42194324569</v>
      </c>
      <c r="P1788" s="14" t="n">
        <v>1485.198767658308</v>
      </c>
      <c r="Q1788" s="14" t="n">
        <v>426324.4158865537</v>
      </c>
      <c r="R1788" s="15">
        <f>IF(D1788=1,"Section 1","Control")</f>
        <v/>
      </c>
      <c r="S1788" s="16">
        <f>N1788/10000</f>
        <v/>
      </c>
      <c r="T1788" s="16">
        <f>P1788/10000</f>
        <v/>
      </c>
      <c r="U1788" s="15">
        <f>IF(N1788&gt;=Summary!$D$3,1,0)</f>
        <v/>
      </c>
      <c r="V1788" s="17">
        <f>IF(N1788&gt;0,P1788/N1788,"")</f>
        <v/>
      </c>
      <c r="W1788" s="17">
        <f>IF(O1788&gt;0,H1788/O1788,"")</f>
        <v/>
      </c>
    </row>
    <row r="1789">
      <c r="A1789" s="13" t="inlineStr">
        <is>
          <t>CE17_F</t>
        </is>
      </c>
      <c r="B1789" s="13" t="inlineStr">
        <is>
          <t>CE17</t>
        </is>
      </c>
      <c r="C1789" s="13" t="inlineStr">
        <is>
          <t>F</t>
        </is>
      </c>
      <c r="D1789" s="13" t="n">
        <v>0</v>
      </c>
      <c r="E1789" s="13" t="inlineStr">
        <is>
          <t>E</t>
        </is>
      </c>
      <c r="F1789" s="13" t="n">
        <v>2022</v>
      </c>
      <c r="G1789" s="14" t="n">
        <v>67841.42194324569</v>
      </c>
      <c r="H1789" s="14" t="n">
        <v>42596.90022909127</v>
      </c>
      <c r="I1789" s="14" t="n">
        <v>10166.79540064195</v>
      </c>
      <c r="J1789" s="14" t="n">
        <v>0</v>
      </c>
      <c r="K1789" s="14" t="n">
        <v>15077.72631351246</v>
      </c>
      <c r="L1789" s="14" t="n">
        <v>0</v>
      </c>
      <c r="M1789" s="14" t="n">
        <v>0</v>
      </c>
      <c r="N1789" s="14" t="n">
        <v>38832.79771166035</v>
      </c>
      <c r="O1789" s="14" t="n">
        <v>67841.42194324569</v>
      </c>
      <c r="P1789" s="14" t="n">
        <v>1675.301640918208</v>
      </c>
      <c r="Q1789" s="14" t="n">
        <v>426324.4158865537</v>
      </c>
      <c r="R1789" s="15">
        <f>IF(D1789=1,"Section 1","Control")</f>
        <v/>
      </c>
      <c r="S1789" s="16">
        <f>N1789/10000</f>
        <v/>
      </c>
      <c r="T1789" s="16">
        <f>P1789/10000</f>
        <v/>
      </c>
      <c r="U1789" s="15">
        <f>IF(N1789&gt;=Summary!$D$3,1,0)</f>
        <v/>
      </c>
      <c r="V1789" s="17">
        <f>IF(N1789&gt;0,P1789/N1789,"")</f>
        <v/>
      </c>
      <c r="W1789" s="17">
        <f>IF(O1789&gt;0,H1789/O1789,"")</f>
        <v/>
      </c>
    </row>
    <row r="1790">
      <c r="A1790" s="13" t="inlineStr">
        <is>
          <t>CE17_F</t>
        </is>
      </c>
      <c r="B1790" s="13" t="inlineStr">
        <is>
          <t>CE17</t>
        </is>
      </c>
      <c r="C1790" s="13" t="inlineStr">
        <is>
          <t>F</t>
        </is>
      </c>
      <c r="D1790" s="13" t="n">
        <v>0</v>
      </c>
      <c r="E1790" s="13" t="inlineStr">
        <is>
          <t>E</t>
        </is>
      </c>
      <c r="F1790" s="13" t="n">
        <v>2023</v>
      </c>
      <c r="G1790" s="14" t="n">
        <v>67841.42194324569</v>
      </c>
      <c r="H1790" s="14" t="n">
        <v>38417.3581215952</v>
      </c>
      <c r="I1790" s="14" t="n">
        <v>15883.030459864</v>
      </c>
      <c r="J1790" s="14" t="n">
        <v>0</v>
      </c>
      <c r="K1790" s="14" t="n">
        <v>13541.03336178648</v>
      </c>
      <c r="L1790" s="14" t="n">
        <v>0</v>
      </c>
      <c r="M1790" s="14" t="n">
        <v>0</v>
      </c>
      <c r="N1790" s="14" t="n">
        <v>38832.79771166035</v>
      </c>
      <c r="O1790" s="14" t="n">
        <v>67841.42194324569</v>
      </c>
      <c r="P1790" s="14" t="n">
        <v>3070.677521888882</v>
      </c>
      <c r="Q1790" s="14" t="n">
        <v>426324.4158865537</v>
      </c>
      <c r="R1790" s="15">
        <f>IF(D1790=1,"Section 1","Control")</f>
        <v/>
      </c>
      <c r="S1790" s="16">
        <f>N1790/10000</f>
        <v/>
      </c>
      <c r="T1790" s="16">
        <f>P1790/10000</f>
        <v/>
      </c>
      <c r="U1790" s="15">
        <f>IF(N1790&gt;=Summary!$D$3,1,0)</f>
        <v/>
      </c>
      <c r="V1790" s="17">
        <f>IF(N1790&gt;0,P1790/N1790,"")</f>
        <v/>
      </c>
      <c r="W1790" s="17">
        <f>IF(O1790&gt;0,H1790/O1790,"")</f>
        <v/>
      </c>
    </row>
    <row r="1791">
      <c r="A1791" s="13" t="inlineStr">
        <is>
          <t>CE17_F</t>
        </is>
      </c>
      <c r="B1791" s="13" t="inlineStr">
        <is>
          <t>CE17</t>
        </is>
      </c>
      <c r="C1791" s="13" t="inlineStr">
        <is>
          <t>F</t>
        </is>
      </c>
      <c r="D1791" s="13" t="n">
        <v>0</v>
      </c>
      <c r="E1791" s="13" t="inlineStr">
        <is>
          <t>E</t>
        </is>
      </c>
      <c r="F1791" s="13" t="n">
        <v>2024</v>
      </c>
      <c r="G1791" s="14" t="n">
        <v>67841.42194324569</v>
      </c>
      <c r="H1791" s="14" t="n">
        <v>36551.95484723858</v>
      </c>
      <c r="I1791" s="14" t="n">
        <v>15622.07408569934</v>
      </c>
      <c r="J1791" s="14" t="n">
        <v>0</v>
      </c>
      <c r="K1791" s="14" t="n">
        <v>15667.39301030776</v>
      </c>
      <c r="L1791" s="14" t="n">
        <v>0</v>
      </c>
      <c r="M1791" s="14" t="n">
        <v>0</v>
      </c>
      <c r="N1791" s="14" t="n">
        <v>38832.79771166035</v>
      </c>
      <c r="O1791" s="14" t="n">
        <v>67841.42194324569</v>
      </c>
      <c r="P1791" s="14" t="n">
        <v>3644.85583561916</v>
      </c>
      <c r="Q1791" s="14" t="n">
        <v>426324.4158865537</v>
      </c>
      <c r="R1791" s="15">
        <f>IF(D1791=1,"Section 1","Control")</f>
        <v/>
      </c>
      <c r="S1791" s="16">
        <f>N1791/10000</f>
        <v/>
      </c>
      <c r="T1791" s="16">
        <f>P1791/10000</f>
        <v/>
      </c>
      <c r="U1791" s="15">
        <f>IF(N1791&gt;=Summary!$D$3,1,0)</f>
        <v/>
      </c>
      <c r="V1791" s="17">
        <f>IF(N1791&gt;0,P1791/N1791,"")</f>
        <v/>
      </c>
      <c r="W1791" s="17">
        <f>IF(O1791&gt;0,H1791/O1791,"")</f>
        <v/>
      </c>
    </row>
    <row r="1792">
      <c r="A1792" s="13" t="inlineStr">
        <is>
          <t>CE17_F</t>
        </is>
      </c>
      <c r="B1792" s="13" t="inlineStr">
        <is>
          <t>CE17</t>
        </is>
      </c>
      <c r="C1792" s="13" t="inlineStr">
        <is>
          <t>F</t>
        </is>
      </c>
      <c r="D1792" s="13" t="n">
        <v>0</v>
      </c>
      <c r="E1792" s="13" t="inlineStr">
        <is>
          <t>E</t>
        </is>
      </c>
      <c r="F1792" s="13" t="n">
        <v>2025</v>
      </c>
      <c r="G1792" s="14" t="n">
        <v>67841.42194324569</v>
      </c>
      <c r="H1792" s="14" t="n">
        <v>41332.38947005927</v>
      </c>
      <c r="I1792" s="14" t="n">
        <v>12683.81424036961</v>
      </c>
      <c r="J1792" s="14" t="n">
        <v>0</v>
      </c>
      <c r="K1792" s="14" t="n">
        <v>13726.48883218204</v>
      </c>
      <c r="L1792" s="14" t="n">
        <v>98.72940063476562</v>
      </c>
      <c r="M1792" s="14" t="n">
        <v>0</v>
      </c>
      <c r="N1792" s="14" t="n">
        <v>38832.79771166035</v>
      </c>
      <c r="O1792" s="14" t="n">
        <v>67841.42194324569</v>
      </c>
      <c r="P1792" s="14" t="n">
        <v>2307.557817586263</v>
      </c>
      <c r="Q1792" s="14" t="n">
        <v>426324.4158865537</v>
      </c>
      <c r="R1792" s="15">
        <f>IF(D1792=1,"Section 1","Control")</f>
        <v/>
      </c>
      <c r="S1792" s="16">
        <f>N1792/10000</f>
        <v/>
      </c>
      <c r="T1792" s="16">
        <f>P1792/10000</f>
        <v/>
      </c>
      <c r="U1792" s="15">
        <f>IF(N1792&gt;=Summary!$D$3,1,0)</f>
        <v/>
      </c>
      <c r="V1792" s="17">
        <f>IF(N1792&gt;0,P1792/N1792,"")</f>
        <v/>
      </c>
      <c r="W1792" s="17">
        <f>IF(O1792&gt;0,H1792/O1792,"")</f>
        <v/>
      </c>
    </row>
    <row r="1793">
      <c r="A1793" s="13" t="inlineStr">
        <is>
          <t>CE17_F</t>
        </is>
      </c>
      <c r="B1793" s="13" t="inlineStr">
        <is>
          <t>CE17</t>
        </is>
      </c>
      <c r="C1793" s="13" t="inlineStr">
        <is>
          <t>F</t>
        </is>
      </c>
      <c r="D1793" s="13" t="n">
        <v>0</v>
      </c>
      <c r="E1793" s="13" t="inlineStr">
        <is>
          <t>E</t>
        </is>
      </c>
      <c r="F1793" s="13" t="n">
        <v>2026</v>
      </c>
      <c r="G1793" s="14" t="n">
        <v>67841.42194324569</v>
      </c>
      <c r="H1793" s="14" t="n">
        <v>35127.92445774453</v>
      </c>
      <c r="I1793" s="14" t="n">
        <v>16653.50786859849</v>
      </c>
      <c r="J1793" s="14" t="n">
        <v>0</v>
      </c>
      <c r="K1793" s="14" t="n">
        <v>15016.16795995376</v>
      </c>
      <c r="L1793" s="14" t="n">
        <v>1043.821656948913</v>
      </c>
      <c r="M1793" s="14" t="n">
        <v>0</v>
      </c>
      <c r="N1793" s="14" t="n">
        <v>38832.79771166035</v>
      </c>
      <c r="O1793" s="14" t="n">
        <v>67841.42194324569</v>
      </c>
      <c r="P1793" s="14" t="n">
        <v>5805.677562818341</v>
      </c>
      <c r="Q1793" s="14" t="n">
        <v>426324.4158865537</v>
      </c>
      <c r="R1793" s="15">
        <f>IF(D1793=1,"Section 1","Control")</f>
        <v/>
      </c>
      <c r="S1793" s="16">
        <f>N1793/10000</f>
        <v/>
      </c>
      <c r="T1793" s="16">
        <f>P1793/10000</f>
        <v/>
      </c>
      <c r="U1793" s="15">
        <f>IF(N1793&gt;=Summary!$D$3,1,0)</f>
        <v/>
      </c>
      <c r="V1793" s="17">
        <f>IF(N1793&gt;0,P1793/N1793,"")</f>
        <v/>
      </c>
      <c r="W1793" s="17">
        <f>IF(O1793&gt;0,H1793/O1793,"")</f>
        <v/>
      </c>
    </row>
    <row r="1794">
      <c r="A1794" s="13" t="inlineStr">
        <is>
          <t>CE18_B1</t>
        </is>
      </c>
      <c r="B1794" s="13" t="inlineStr">
        <is>
          <t>CE18</t>
        </is>
      </c>
      <c r="C1794" s="13" t="inlineStr">
        <is>
          <t>B1</t>
        </is>
      </c>
      <c r="D1794" s="13" t="n">
        <v>0</v>
      </c>
      <c r="E1794" s="13" t="inlineStr">
        <is>
          <t>E</t>
        </is>
      </c>
      <c r="F1794" s="13" t="n">
        <v>2020</v>
      </c>
      <c r="G1794" s="14" t="n">
        <v>1026032.756888087</v>
      </c>
      <c r="H1794" s="14" t="n">
        <v>453817.1536203424</v>
      </c>
      <c r="I1794" s="14" t="n">
        <v>184561.4214308496</v>
      </c>
      <c r="J1794" s="14" t="n">
        <v>0</v>
      </c>
      <c r="K1794" s="14" t="n">
        <v>85504.84982907164</v>
      </c>
      <c r="L1794" s="14" t="n">
        <v>302149.3320078233</v>
      </c>
      <c r="M1794" s="14" t="n">
        <v>0</v>
      </c>
      <c r="N1794" s="14" t="n">
        <v>453817.1536203424</v>
      </c>
      <c r="O1794" s="14" t="n">
        <v>723883.4248802634</v>
      </c>
      <c r="P1794" s="14" t="n">
        <v>0</v>
      </c>
      <c r="Q1794" s="14" t="n">
        <v>5274549.422293987</v>
      </c>
      <c r="R1794" s="15">
        <f>IF(D1794=1,"Section 1","Control")</f>
        <v/>
      </c>
      <c r="S1794" s="16">
        <f>N1794/10000</f>
        <v/>
      </c>
      <c r="T1794" s="16">
        <f>P1794/10000</f>
        <v/>
      </c>
      <c r="U1794" s="15">
        <f>IF(N1794&gt;=Summary!$D$3,1,0)</f>
        <v/>
      </c>
      <c r="V1794" s="17">
        <f>IF(N1794&gt;0,P1794/N1794,"")</f>
        <v/>
      </c>
      <c r="W1794" s="17">
        <f>IF(O1794&gt;0,H1794/O1794,"")</f>
        <v/>
      </c>
    </row>
    <row r="1795">
      <c r="A1795" s="13" t="inlineStr">
        <is>
          <t>CE18_B1</t>
        </is>
      </c>
      <c r="B1795" s="13" t="inlineStr">
        <is>
          <t>CE18</t>
        </is>
      </c>
      <c r="C1795" s="13" t="inlineStr">
        <is>
          <t>B1</t>
        </is>
      </c>
      <c r="D1795" s="13" t="n">
        <v>0</v>
      </c>
      <c r="E1795" s="13" t="inlineStr">
        <is>
          <t>E</t>
        </is>
      </c>
      <c r="F1795" s="13" t="n">
        <v>2021</v>
      </c>
      <c r="G1795" s="14" t="n">
        <v>1026032.756888087</v>
      </c>
      <c r="H1795" s="14" t="n">
        <v>410853.6639135623</v>
      </c>
      <c r="I1795" s="14" t="n">
        <v>192542.953768891</v>
      </c>
      <c r="J1795" s="14" t="n">
        <v>0</v>
      </c>
      <c r="K1795" s="14" t="n">
        <v>128597.3856300204</v>
      </c>
      <c r="L1795" s="14" t="n">
        <v>294038.753575613</v>
      </c>
      <c r="M1795" s="14" t="n">
        <v>0</v>
      </c>
      <c r="N1795" s="14" t="n">
        <v>453817.1536203424</v>
      </c>
      <c r="O1795" s="14" t="n">
        <v>723883.4248802634</v>
      </c>
      <c r="P1795" s="14" t="n">
        <v>57321.04314817541</v>
      </c>
      <c r="Q1795" s="14" t="n">
        <v>5274549.422293987</v>
      </c>
      <c r="R1795" s="15">
        <f>IF(D1795=1,"Section 1","Control")</f>
        <v/>
      </c>
      <c r="S1795" s="16">
        <f>N1795/10000</f>
        <v/>
      </c>
      <c r="T1795" s="16">
        <f>P1795/10000</f>
        <v/>
      </c>
      <c r="U1795" s="15">
        <f>IF(N1795&gt;=Summary!$D$3,1,0)</f>
        <v/>
      </c>
      <c r="V1795" s="17">
        <f>IF(N1795&gt;0,P1795/N1795,"")</f>
        <v/>
      </c>
      <c r="W1795" s="17">
        <f>IF(O1795&gt;0,H1795/O1795,"")</f>
        <v/>
      </c>
    </row>
    <row r="1796">
      <c r="A1796" s="13" t="inlineStr">
        <is>
          <t>CE18_B1</t>
        </is>
      </c>
      <c r="B1796" s="13" t="inlineStr">
        <is>
          <t>CE18</t>
        </is>
      </c>
      <c r="C1796" s="13" t="inlineStr">
        <is>
          <t>B1</t>
        </is>
      </c>
      <c r="D1796" s="13" t="n">
        <v>0</v>
      </c>
      <c r="E1796" s="13" t="inlineStr">
        <is>
          <t>E</t>
        </is>
      </c>
      <c r="F1796" s="13" t="n">
        <v>2022</v>
      </c>
      <c r="G1796" s="14" t="n">
        <v>1026032.756888087</v>
      </c>
      <c r="H1796" s="14" t="n">
        <v>389654.3597441131</v>
      </c>
      <c r="I1796" s="14" t="n">
        <v>212692.9984498866</v>
      </c>
      <c r="J1796" s="14" t="n">
        <v>0</v>
      </c>
      <c r="K1796" s="14" t="n">
        <v>125856.95609819</v>
      </c>
      <c r="L1796" s="14" t="n">
        <v>297828.442595897</v>
      </c>
      <c r="M1796" s="14" t="n">
        <v>0</v>
      </c>
      <c r="N1796" s="14" t="n">
        <v>453817.1536203424</v>
      </c>
      <c r="O1796" s="14" t="n">
        <v>723883.4248802634</v>
      </c>
      <c r="P1796" s="14" t="n">
        <v>87806.71451436958</v>
      </c>
      <c r="Q1796" s="14" t="n">
        <v>5274549.422293987</v>
      </c>
      <c r="R1796" s="15">
        <f>IF(D1796=1,"Section 1","Control")</f>
        <v/>
      </c>
      <c r="S1796" s="16">
        <f>N1796/10000</f>
        <v/>
      </c>
      <c r="T1796" s="16">
        <f>P1796/10000</f>
        <v/>
      </c>
      <c r="U1796" s="15">
        <f>IF(N1796&gt;=Summary!$D$3,1,0)</f>
        <v/>
      </c>
      <c r="V1796" s="17">
        <f>IF(N1796&gt;0,P1796/N1796,"")</f>
        <v/>
      </c>
      <c r="W1796" s="17">
        <f>IF(O1796&gt;0,H1796/O1796,"")</f>
        <v/>
      </c>
    </row>
    <row r="1797">
      <c r="A1797" s="13" t="inlineStr">
        <is>
          <t>CE18_B1</t>
        </is>
      </c>
      <c r="B1797" s="13" t="inlineStr">
        <is>
          <t>CE18</t>
        </is>
      </c>
      <c r="C1797" s="13" t="inlineStr">
        <is>
          <t>B1</t>
        </is>
      </c>
      <c r="D1797" s="13" t="n">
        <v>0</v>
      </c>
      <c r="E1797" s="13" t="inlineStr">
        <is>
          <t>E</t>
        </is>
      </c>
      <c r="F1797" s="13" t="n">
        <v>2023</v>
      </c>
      <c r="G1797" s="14" t="n">
        <v>1026032.756888087</v>
      </c>
      <c r="H1797" s="14" t="n">
        <v>340906.4088705922</v>
      </c>
      <c r="I1797" s="14" t="n">
        <v>252055.3382791557</v>
      </c>
      <c r="J1797" s="14" t="n">
        <v>0</v>
      </c>
      <c r="K1797" s="14" t="n">
        <v>122627.5691245285</v>
      </c>
      <c r="L1797" s="14" t="n">
        <v>310443.4406138102</v>
      </c>
      <c r="M1797" s="14" t="n">
        <v>0</v>
      </c>
      <c r="N1797" s="14" t="n">
        <v>453817.1536203424</v>
      </c>
      <c r="O1797" s="14" t="n">
        <v>723883.4248802634</v>
      </c>
      <c r="P1797" s="14" t="n">
        <v>122050.3544310327</v>
      </c>
      <c r="Q1797" s="14" t="n">
        <v>5274549.422293987</v>
      </c>
      <c r="R1797" s="15">
        <f>IF(D1797=1,"Section 1","Control")</f>
        <v/>
      </c>
      <c r="S1797" s="16">
        <f>N1797/10000</f>
        <v/>
      </c>
      <c r="T1797" s="16">
        <f>P1797/10000</f>
        <v/>
      </c>
      <c r="U1797" s="15">
        <f>IF(N1797&gt;=Summary!$D$3,1,0)</f>
        <v/>
      </c>
      <c r="V1797" s="17">
        <f>IF(N1797&gt;0,P1797/N1797,"")</f>
        <v/>
      </c>
      <c r="W1797" s="17">
        <f>IF(O1797&gt;0,H1797/O1797,"")</f>
        <v/>
      </c>
    </row>
    <row r="1798">
      <c r="A1798" s="13" t="inlineStr">
        <is>
          <t>CE18_B1</t>
        </is>
      </c>
      <c r="B1798" s="13" t="inlineStr">
        <is>
          <t>CE18</t>
        </is>
      </c>
      <c r="C1798" s="13" t="inlineStr">
        <is>
          <t>B1</t>
        </is>
      </c>
      <c r="D1798" s="13" t="n">
        <v>0</v>
      </c>
      <c r="E1798" s="13" t="inlineStr">
        <is>
          <t>E</t>
        </is>
      </c>
      <c r="F1798" s="13" t="n">
        <v>2024</v>
      </c>
      <c r="G1798" s="14" t="n">
        <v>1026032.756888087</v>
      </c>
      <c r="H1798" s="14" t="n">
        <v>351463.5908903534</v>
      </c>
      <c r="I1798" s="14" t="n">
        <v>245414.44857082</v>
      </c>
      <c r="J1798" s="14" t="n">
        <v>0</v>
      </c>
      <c r="K1798" s="14" t="n">
        <v>127795.2240345076</v>
      </c>
      <c r="L1798" s="14" t="n">
        <v>301359.4933924058</v>
      </c>
      <c r="M1798" s="14" t="n">
        <v>0</v>
      </c>
      <c r="N1798" s="14" t="n">
        <v>453817.1536203424</v>
      </c>
      <c r="O1798" s="14" t="n">
        <v>723883.4248802634</v>
      </c>
      <c r="P1798" s="14" t="n">
        <v>123834.7031260771</v>
      </c>
      <c r="Q1798" s="14" t="n">
        <v>5274549.422293987</v>
      </c>
      <c r="R1798" s="15">
        <f>IF(D1798=1,"Section 1","Control")</f>
        <v/>
      </c>
      <c r="S1798" s="16">
        <f>N1798/10000</f>
        <v/>
      </c>
      <c r="T1798" s="16">
        <f>P1798/10000</f>
        <v/>
      </c>
      <c r="U1798" s="15">
        <f>IF(N1798&gt;=Summary!$D$3,1,0)</f>
        <v/>
      </c>
      <c r="V1798" s="17">
        <f>IF(N1798&gt;0,P1798/N1798,"")</f>
        <v/>
      </c>
      <c r="W1798" s="17">
        <f>IF(O1798&gt;0,H1798/O1798,"")</f>
        <v/>
      </c>
    </row>
    <row r="1799">
      <c r="A1799" s="13" t="inlineStr">
        <is>
          <t>CE18_B1</t>
        </is>
      </c>
      <c r="B1799" s="13" t="inlineStr">
        <is>
          <t>CE18</t>
        </is>
      </c>
      <c r="C1799" s="13" t="inlineStr">
        <is>
          <t>B1</t>
        </is>
      </c>
      <c r="D1799" s="13" t="n">
        <v>0</v>
      </c>
      <c r="E1799" s="13" t="inlineStr">
        <is>
          <t>E</t>
        </is>
      </c>
      <c r="F1799" s="13" t="n">
        <v>2025</v>
      </c>
      <c r="G1799" s="14" t="n">
        <v>1026032.756888087</v>
      </c>
      <c r="H1799" s="14" t="n">
        <v>362740.4001298794</v>
      </c>
      <c r="I1799" s="14" t="n">
        <v>241896.9581302718</v>
      </c>
      <c r="J1799" s="14" t="n">
        <v>0</v>
      </c>
      <c r="K1799" s="14" t="n">
        <v>106679.8475124284</v>
      </c>
      <c r="L1799" s="14" t="n">
        <v>314715.5511155073</v>
      </c>
      <c r="M1799" s="14" t="n">
        <v>0</v>
      </c>
      <c r="N1799" s="14" t="n">
        <v>453817.1536203424</v>
      </c>
      <c r="O1799" s="14" t="n">
        <v>723883.4248802634</v>
      </c>
      <c r="P1799" s="14" t="n">
        <v>118252.0529585894</v>
      </c>
      <c r="Q1799" s="14" t="n">
        <v>5274549.422293988</v>
      </c>
      <c r="R1799" s="15">
        <f>IF(D1799=1,"Section 1","Control")</f>
        <v/>
      </c>
      <c r="S1799" s="16">
        <f>N1799/10000</f>
        <v/>
      </c>
      <c r="T1799" s="16">
        <f>P1799/10000</f>
        <v/>
      </c>
      <c r="U1799" s="15">
        <f>IF(N1799&gt;=Summary!$D$3,1,0)</f>
        <v/>
      </c>
      <c r="V1799" s="17">
        <f>IF(N1799&gt;0,P1799/N1799,"")</f>
        <v/>
      </c>
      <c r="W1799" s="17">
        <f>IF(O1799&gt;0,H1799/O1799,"")</f>
        <v/>
      </c>
    </row>
    <row r="1800">
      <c r="A1800" s="13" t="inlineStr">
        <is>
          <t>CE18_B1</t>
        </is>
      </c>
      <c r="B1800" s="13" t="inlineStr">
        <is>
          <t>CE18</t>
        </is>
      </c>
      <c r="C1800" s="13" t="inlineStr">
        <is>
          <t>B1</t>
        </is>
      </c>
      <c r="D1800" s="13" t="n">
        <v>0</v>
      </c>
      <c r="E1800" s="13" t="inlineStr">
        <is>
          <t>E</t>
        </is>
      </c>
      <c r="F1800" s="13" t="n">
        <v>2026</v>
      </c>
      <c r="G1800" s="14" t="n">
        <v>1026032.756888087</v>
      </c>
      <c r="H1800" s="14" t="n">
        <v>345619.1258279539</v>
      </c>
      <c r="I1800" s="14" t="n">
        <v>208479.93354564</v>
      </c>
      <c r="J1800" s="14" t="n">
        <v>0</v>
      </c>
      <c r="K1800" s="14" t="n">
        <v>169981.8251776901</v>
      </c>
      <c r="L1800" s="14" t="n">
        <v>301951.8723368028</v>
      </c>
      <c r="M1800" s="14" t="n">
        <v>0</v>
      </c>
      <c r="N1800" s="14" t="n">
        <v>453817.1536203424</v>
      </c>
      <c r="O1800" s="14" t="n">
        <v>723883.4248802634</v>
      </c>
      <c r="P1800" s="14" t="n">
        <v>138160.2022849887</v>
      </c>
      <c r="Q1800" s="14" t="n">
        <v>5274549.422293988</v>
      </c>
      <c r="R1800" s="15">
        <f>IF(D1800=1,"Section 1","Control")</f>
        <v/>
      </c>
      <c r="S1800" s="16">
        <f>N1800/10000</f>
        <v/>
      </c>
      <c r="T1800" s="16">
        <f>P1800/10000</f>
        <v/>
      </c>
      <c r="U1800" s="15">
        <f>IF(N1800&gt;=Summary!$D$3,1,0)</f>
        <v/>
      </c>
      <c r="V1800" s="17">
        <f>IF(N1800&gt;0,P1800/N1800,"")</f>
        <v/>
      </c>
      <c r="W1800" s="17">
        <f>IF(O1800&gt;0,H1800/O1800,"")</f>
        <v/>
      </c>
    </row>
    <row r="1801">
      <c r="A1801" s="13" t="inlineStr">
        <is>
          <t>CE18_B2</t>
        </is>
      </c>
      <c r="B1801" s="13" t="inlineStr">
        <is>
          <t>CE18</t>
        </is>
      </c>
      <c r="C1801" s="13" t="inlineStr">
        <is>
          <t>B2</t>
        </is>
      </c>
      <c r="D1801" s="13" t="n">
        <v>0</v>
      </c>
      <c r="E1801" s="13" t="inlineStr">
        <is>
          <t>E</t>
        </is>
      </c>
      <c r="F1801" s="13" t="n">
        <v>2020</v>
      </c>
      <c r="G1801" s="14" t="n">
        <v>1025803.537749586</v>
      </c>
      <c r="H1801" s="14" t="n">
        <v>334030.0911353018</v>
      </c>
      <c r="I1801" s="14" t="n">
        <v>175041.7590813431</v>
      </c>
      <c r="J1801" s="14" t="n">
        <v>0</v>
      </c>
      <c r="K1801" s="14" t="n">
        <v>3945.64405634263</v>
      </c>
      <c r="L1801" s="14" t="n">
        <v>512786.0434765984</v>
      </c>
      <c r="M1801" s="14" t="n">
        <v>0</v>
      </c>
      <c r="N1801" s="14" t="n">
        <v>334030.0911353018</v>
      </c>
      <c r="O1801" s="14" t="n">
        <v>513017.4942729875</v>
      </c>
      <c r="P1801" s="14" t="n">
        <v>0</v>
      </c>
      <c r="Q1801" s="14" t="n">
        <v>4566695.597060858</v>
      </c>
      <c r="R1801" s="15">
        <f>IF(D1801=1,"Section 1","Control")</f>
        <v/>
      </c>
      <c r="S1801" s="16">
        <f>N1801/10000</f>
        <v/>
      </c>
      <c r="T1801" s="16">
        <f>P1801/10000</f>
        <v/>
      </c>
      <c r="U1801" s="15">
        <f>IF(N1801&gt;=Summary!$D$3,1,0)</f>
        <v/>
      </c>
      <c r="V1801" s="17">
        <f>IF(N1801&gt;0,P1801/N1801,"")</f>
        <v/>
      </c>
      <c r="W1801" s="17">
        <f>IF(O1801&gt;0,H1801/O1801,"")</f>
        <v/>
      </c>
    </row>
    <row r="1802">
      <c r="A1802" s="13" t="inlineStr">
        <is>
          <t>CE18_B2</t>
        </is>
      </c>
      <c r="B1802" s="13" t="inlineStr">
        <is>
          <t>CE18</t>
        </is>
      </c>
      <c r="C1802" s="13" t="inlineStr">
        <is>
          <t>B2</t>
        </is>
      </c>
      <c r="D1802" s="13" t="n">
        <v>0</v>
      </c>
      <c r="E1802" s="13" t="inlineStr">
        <is>
          <t>E</t>
        </is>
      </c>
      <c r="F1802" s="13" t="n">
        <v>2021</v>
      </c>
      <c r="G1802" s="14" t="n">
        <v>1025803.537749586</v>
      </c>
      <c r="H1802" s="14" t="n">
        <v>272165.3000275856</v>
      </c>
      <c r="I1802" s="14" t="n">
        <v>205127.2701574887</v>
      </c>
      <c r="J1802" s="14" t="n">
        <v>0</v>
      </c>
      <c r="K1802" s="14" t="n">
        <v>35724.92408791336</v>
      </c>
      <c r="L1802" s="14" t="n">
        <v>512786.0434765984</v>
      </c>
      <c r="M1802" s="14" t="n">
        <v>0</v>
      </c>
      <c r="N1802" s="14" t="n">
        <v>334030.0911353018</v>
      </c>
      <c r="O1802" s="14" t="n">
        <v>513017.4942729875</v>
      </c>
      <c r="P1802" s="14" t="n">
        <v>81583.76366083481</v>
      </c>
      <c r="Q1802" s="14" t="n">
        <v>4566695.597060858</v>
      </c>
      <c r="R1802" s="15">
        <f>IF(D1802=1,"Section 1","Control")</f>
        <v/>
      </c>
      <c r="S1802" s="16">
        <f>N1802/10000</f>
        <v/>
      </c>
      <c r="T1802" s="16">
        <f>P1802/10000</f>
        <v/>
      </c>
      <c r="U1802" s="15">
        <f>IF(N1802&gt;=Summary!$D$3,1,0)</f>
        <v/>
      </c>
      <c r="V1802" s="17">
        <f>IF(N1802&gt;0,P1802/N1802,"")</f>
        <v/>
      </c>
      <c r="W1802" s="17">
        <f>IF(O1802&gt;0,H1802/O1802,"")</f>
        <v/>
      </c>
    </row>
    <row r="1803">
      <c r="A1803" s="13" t="inlineStr">
        <is>
          <t>CE18_B2</t>
        </is>
      </c>
      <c r="B1803" s="13" t="inlineStr">
        <is>
          <t>CE18</t>
        </is>
      </c>
      <c r="C1803" s="13" t="inlineStr">
        <is>
          <t>B2</t>
        </is>
      </c>
      <c r="D1803" s="13" t="n">
        <v>0</v>
      </c>
      <c r="E1803" s="13" t="inlineStr">
        <is>
          <t>E</t>
        </is>
      </c>
      <c r="F1803" s="13" t="n">
        <v>2022</v>
      </c>
      <c r="G1803" s="14" t="n">
        <v>1025803.537749586</v>
      </c>
      <c r="H1803" s="14" t="n">
        <v>340416.7972562005</v>
      </c>
      <c r="I1803" s="14" t="n">
        <v>145172.8181211285</v>
      </c>
      <c r="J1803" s="14" t="n">
        <v>0</v>
      </c>
      <c r="K1803" s="14" t="n">
        <v>27427.8788956586</v>
      </c>
      <c r="L1803" s="14" t="n">
        <v>512786.0434765984</v>
      </c>
      <c r="M1803" s="14" t="n">
        <v>0</v>
      </c>
      <c r="N1803" s="14" t="n">
        <v>334030.0911353018</v>
      </c>
      <c r="O1803" s="14" t="n">
        <v>513017.4942729875</v>
      </c>
      <c r="P1803" s="14" t="n">
        <v>59423.66319062476</v>
      </c>
      <c r="Q1803" s="14" t="n">
        <v>4566695.597060858</v>
      </c>
      <c r="R1803" s="15">
        <f>IF(D1803=1,"Section 1","Control")</f>
        <v/>
      </c>
      <c r="S1803" s="16">
        <f>N1803/10000</f>
        <v/>
      </c>
      <c r="T1803" s="16">
        <f>P1803/10000</f>
        <v/>
      </c>
      <c r="U1803" s="15">
        <f>IF(N1803&gt;=Summary!$D$3,1,0)</f>
        <v/>
      </c>
      <c r="V1803" s="17">
        <f>IF(N1803&gt;0,P1803/N1803,"")</f>
        <v/>
      </c>
      <c r="W1803" s="17">
        <f>IF(O1803&gt;0,H1803/O1803,"")</f>
        <v/>
      </c>
    </row>
    <row r="1804">
      <c r="A1804" s="13" t="inlineStr">
        <is>
          <t>CE18_B2</t>
        </is>
      </c>
      <c r="B1804" s="13" t="inlineStr">
        <is>
          <t>CE18</t>
        </is>
      </c>
      <c r="C1804" s="13" t="inlineStr">
        <is>
          <t>B2</t>
        </is>
      </c>
      <c r="D1804" s="13" t="n">
        <v>0</v>
      </c>
      <c r="E1804" s="13" t="inlineStr">
        <is>
          <t>E</t>
        </is>
      </c>
      <c r="F1804" s="13" t="n">
        <v>2023</v>
      </c>
      <c r="G1804" s="14" t="n">
        <v>1025803.537749586</v>
      </c>
      <c r="H1804" s="14" t="n">
        <v>317699.9181102079</v>
      </c>
      <c r="I1804" s="14" t="n">
        <v>171001.3827436859</v>
      </c>
      <c r="J1804" s="14" t="n">
        <v>0</v>
      </c>
      <c r="K1804" s="14" t="n">
        <v>24316.19341909371</v>
      </c>
      <c r="L1804" s="14" t="n">
        <v>512786.0434765984</v>
      </c>
      <c r="M1804" s="14" t="n">
        <v>0</v>
      </c>
      <c r="N1804" s="14" t="n">
        <v>334030.0911353018</v>
      </c>
      <c r="O1804" s="14" t="n">
        <v>513017.4942729875</v>
      </c>
      <c r="P1804" s="14" t="n">
        <v>73632.4611088173</v>
      </c>
      <c r="Q1804" s="14" t="n">
        <v>4566695.597060858</v>
      </c>
      <c r="R1804" s="15">
        <f>IF(D1804=1,"Section 1","Control")</f>
        <v/>
      </c>
      <c r="S1804" s="16">
        <f>N1804/10000</f>
        <v/>
      </c>
      <c r="T1804" s="16">
        <f>P1804/10000</f>
        <v/>
      </c>
      <c r="U1804" s="15">
        <f>IF(N1804&gt;=Summary!$D$3,1,0)</f>
        <v/>
      </c>
      <c r="V1804" s="17">
        <f>IF(N1804&gt;0,P1804/N1804,"")</f>
        <v/>
      </c>
      <c r="W1804" s="17">
        <f>IF(O1804&gt;0,H1804/O1804,"")</f>
        <v/>
      </c>
    </row>
    <row r="1805">
      <c r="A1805" s="13" t="inlineStr">
        <is>
          <t>CE18_B2</t>
        </is>
      </c>
      <c r="B1805" s="13" t="inlineStr">
        <is>
          <t>CE18</t>
        </is>
      </c>
      <c r="C1805" s="13" t="inlineStr">
        <is>
          <t>B2</t>
        </is>
      </c>
      <c r="D1805" s="13" t="n">
        <v>0</v>
      </c>
      <c r="E1805" s="13" t="inlineStr">
        <is>
          <t>E</t>
        </is>
      </c>
      <c r="F1805" s="13" t="n">
        <v>2024</v>
      </c>
      <c r="G1805" s="14" t="n">
        <v>1025803.537749586</v>
      </c>
      <c r="H1805" s="14" t="n">
        <v>362148.2339887433</v>
      </c>
      <c r="I1805" s="14" t="n">
        <v>125681.938783324</v>
      </c>
      <c r="J1805" s="14" t="n">
        <v>0</v>
      </c>
      <c r="K1805" s="14" t="n">
        <v>25187.32150092031</v>
      </c>
      <c r="L1805" s="14" t="n">
        <v>512786.0434765984</v>
      </c>
      <c r="M1805" s="14" t="n">
        <v>0</v>
      </c>
      <c r="N1805" s="14" t="n">
        <v>334030.0911353018</v>
      </c>
      <c r="O1805" s="14" t="n">
        <v>513017.4942729875</v>
      </c>
      <c r="P1805" s="14" t="n">
        <v>69227.18950500488</v>
      </c>
      <c r="Q1805" s="14" t="n">
        <v>4566695.597060858</v>
      </c>
      <c r="R1805" s="15">
        <f>IF(D1805=1,"Section 1","Control")</f>
        <v/>
      </c>
      <c r="S1805" s="16">
        <f>N1805/10000</f>
        <v/>
      </c>
      <c r="T1805" s="16">
        <f>P1805/10000</f>
        <v/>
      </c>
      <c r="U1805" s="15">
        <f>IF(N1805&gt;=Summary!$D$3,1,0)</f>
        <v/>
      </c>
      <c r="V1805" s="17">
        <f>IF(N1805&gt;0,P1805/N1805,"")</f>
        <v/>
      </c>
      <c r="W1805" s="17">
        <f>IF(O1805&gt;0,H1805/O1805,"")</f>
        <v/>
      </c>
    </row>
    <row r="1806">
      <c r="A1806" s="13" t="inlineStr">
        <is>
          <t>CE18_B2</t>
        </is>
      </c>
      <c r="B1806" s="13" t="inlineStr">
        <is>
          <t>CE18</t>
        </is>
      </c>
      <c r="C1806" s="13" t="inlineStr">
        <is>
          <t>B2</t>
        </is>
      </c>
      <c r="D1806" s="13" t="n">
        <v>0</v>
      </c>
      <c r="E1806" s="13" t="inlineStr">
        <is>
          <t>E</t>
        </is>
      </c>
      <c r="F1806" s="13" t="n">
        <v>2025</v>
      </c>
      <c r="G1806" s="14" t="n">
        <v>1025803.537749586</v>
      </c>
      <c r="H1806" s="14" t="n">
        <v>412409.8739608765</v>
      </c>
      <c r="I1806" s="14" t="n">
        <v>77408.02805127911</v>
      </c>
      <c r="J1806" s="14" t="n">
        <v>0</v>
      </c>
      <c r="K1806" s="14" t="n">
        <v>23199.59226083195</v>
      </c>
      <c r="L1806" s="14" t="n">
        <v>512786.0434765984</v>
      </c>
      <c r="M1806" s="14" t="n">
        <v>0</v>
      </c>
      <c r="N1806" s="14" t="n">
        <v>334030.0911353018</v>
      </c>
      <c r="O1806" s="14" t="n">
        <v>513017.4942729876</v>
      </c>
      <c r="P1806" s="14" t="n">
        <v>46502.62838442934</v>
      </c>
      <c r="Q1806" s="14" t="n">
        <v>4566695.597060857</v>
      </c>
      <c r="R1806" s="15">
        <f>IF(D1806=1,"Section 1","Control")</f>
        <v/>
      </c>
      <c r="S1806" s="16">
        <f>N1806/10000</f>
        <v/>
      </c>
      <c r="T1806" s="16">
        <f>P1806/10000</f>
        <v/>
      </c>
      <c r="U1806" s="15">
        <f>IF(N1806&gt;=Summary!$D$3,1,0)</f>
        <v/>
      </c>
      <c r="V1806" s="17">
        <f>IF(N1806&gt;0,P1806/N1806,"")</f>
        <v/>
      </c>
      <c r="W1806" s="17">
        <f>IF(O1806&gt;0,H1806/O1806,"")</f>
        <v/>
      </c>
    </row>
    <row r="1807">
      <c r="A1807" s="13" t="inlineStr">
        <is>
          <t>CE18_B2</t>
        </is>
      </c>
      <c r="B1807" s="13" t="inlineStr">
        <is>
          <t>CE18</t>
        </is>
      </c>
      <c r="C1807" s="13" t="inlineStr">
        <is>
          <t>B2</t>
        </is>
      </c>
      <c r="D1807" s="13" t="n">
        <v>0</v>
      </c>
      <c r="E1807" s="13" t="inlineStr">
        <is>
          <t>E</t>
        </is>
      </c>
      <c r="F1807" s="13" t="n">
        <v>2026</v>
      </c>
      <c r="G1807" s="14" t="n">
        <v>1025803.537749586</v>
      </c>
      <c r="H1807" s="14" t="n">
        <v>372569.7181016211</v>
      </c>
      <c r="I1807" s="14" t="n">
        <v>109880.3436907002</v>
      </c>
      <c r="J1807" s="14" t="n">
        <v>0</v>
      </c>
      <c r="K1807" s="14" t="n">
        <v>30567.43248066622</v>
      </c>
      <c r="L1807" s="14" t="n">
        <v>512786.0434765984</v>
      </c>
      <c r="M1807" s="14" t="n">
        <v>0</v>
      </c>
      <c r="N1807" s="14" t="n">
        <v>334030.0911353018</v>
      </c>
      <c r="O1807" s="14" t="n">
        <v>513017.4942729875</v>
      </c>
      <c r="P1807" s="14" t="n">
        <v>62443.55459346397</v>
      </c>
      <c r="Q1807" s="14" t="n">
        <v>4566695.597060858</v>
      </c>
      <c r="R1807" s="15">
        <f>IF(D1807=1,"Section 1","Control")</f>
        <v/>
      </c>
      <c r="S1807" s="16">
        <f>N1807/10000</f>
        <v/>
      </c>
      <c r="T1807" s="16">
        <f>P1807/10000</f>
        <v/>
      </c>
      <c r="U1807" s="15">
        <f>IF(N1807&gt;=Summary!$D$3,1,0)</f>
        <v/>
      </c>
      <c r="V1807" s="17">
        <f>IF(N1807&gt;0,P1807/N1807,"")</f>
        <v/>
      </c>
      <c r="W1807" s="17">
        <f>IF(O1807&gt;0,H1807/O1807,"")</f>
        <v/>
      </c>
    </row>
    <row r="1808">
      <c r="A1808" s="13" t="inlineStr">
        <is>
          <t>CE18_B3</t>
        </is>
      </c>
      <c r="B1808" s="13" t="inlineStr">
        <is>
          <t>CE18</t>
        </is>
      </c>
      <c r="C1808" s="13" t="inlineStr">
        <is>
          <t>B3</t>
        </is>
      </c>
      <c r="D1808" s="13" t="n">
        <v>0</v>
      </c>
      <c r="E1808" s="13" t="inlineStr">
        <is>
          <t>E</t>
        </is>
      </c>
      <c r="F1808" s="13" t="n">
        <v>2020</v>
      </c>
      <c r="G1808" s="14" t="n">
        <v>8206546.00502852</v>
      </c>
      <c r="H1808" s="14" t="n">
        <v>2040810.143148864</v>
      </c>
      <c r="I1808" s="14" t="n">
        <v>1306990.332284037</v>
      </c>
      <c r="J1808" s="14" t="n">
        <v>0</v>
      </c>
      <c r="K1808" s="14" t="n">
        <v>148885.2659269445</v>
      </c>
      <c r="L1808" s="14" t="n">
        <v>4709860.263668675</v>
      </c>
      <c r="M1808" s="14" t="n">
        <v>0</v>
      </c>
      <c r="N1808" s="14" t="n">
        <v>2040810.143148864</v>
      </c>
      <c r="O1808" s="14" t="n">
        <v>3496685.741359845</v>
      </c>
      <c r="P1808" s="14" t="n">
        <v>0</v>
      </c>
      <c r="Q1808" s="14" t="n">
        <v>22627990.91775375</v>
      </c>
      <c r="R1808" s="15">
        <f>IF(D1808=1,"Section 1","Control")</f>
        <v/>
      </c>
      <c r="S1808" s="16">
        <f>N1808/10000</f>
        <v/>
      </c>
      <c r="T1808" s="16">
        <f>P1808/10000</f>
        <v/>
      </c>
      <c r="U1808" s="15">
        <f>IF(N1808&gt;=Summary!$D$3,1,0)</f>
        <v/>
      </c>
      <c r="V1808" s="17">
        <f>IF(N1808&gt;0,P1808/N1808,"")</f>
        <v/>
      </c>
      <c r="W1808" s="17">
        <f>IF(O1808&gt;0,H1808/O1808,"")</f>
        <v/>
      </c>
    </row>
    <row r="1809">
      <c r="A1809" s="13" t="inlineStr">
        <is>
          <t>CE18_B3</t>
        </is>
      </c>
      <c r="B1809" s="13" t="inlineStr">
        <is>
          <t>CE18</t>
        </is>
      </c>
      <c r="C1809" s="13" t="inlineStr">
        <is>
          <t>B3</t>
        </is>
      </c>
      <c r="D1809" s="13" t="n">
        <v>0</v>
      </c>
      <c r="E1809" s="13" t="inlineStr">
        <is>
          <t>E</t>
        </is>
      </c>
      <c r="F1809" s="13" t="n">
        <v>2021</v>
      </c>
      <c r="G1809" s="14" t="n">
        <v>8206546.00502852</v>
      </c>
      <c r="H1809" s="14" t="n">
        <v>1870764.230767224</v>
      </c>
      <c r="I1809" s="14" t="n">
        <v>1322244.58699655</v>
      </c>
      <c r="J1809" s="14" t="n">
        <v>0</v>
      </c>
      <c r="K1809" s="14" t="n">
        <v>384226.1819437662</v>
      </c>
      <c r="L1809" s="14" t="n">
        <v>4629311.005320979</v>
      </c>
      <c r="M1809" s="14" t="n">
        <v>0</v>
      </c>
      <c r="N1809" s="14" t="n">
        <v>2040810.143148864</v>
      </c>
      <c r="O1809" s="14" t="n">
        <v>3496685.741359845</v>
      </c>
      <c r="P1809" s="14" t="n">
        <v>227194.4537620096</v>
      </c>
      <c r="Q1809" s="14" t="n">
        <v>22627990.91775375</v>
      </c>
      <c r="R1809" s="15">
        <f>IF(D1809=1,"Section 1","Control")</f>
        <v/>
      </c>
      <c r="S1809" s="16">
        <f>N1809/10000</f>
        <v/>
      </c>
      <c r="T1809" s="16">
        <f>P1809/10000</f>
        <v/>
      </c>
      <c r="U1809" s="15">
        <f>IF(N1809&gt;=Summary!$D$3,1,0)</f>
        <v/>
      </c>
      <c r="V1809" s="17">
        <f>IF(N1809&gt;0,P1809/N1809,"")</f>
        <v/>
      </c>
      <c r="W1809" s="17">
        <f>IF(O1809&gt;0,H1809/O1809,"")</f>
        <v/>
      </c>
    </row>
    <row r="1810">
      <c r="A1810" s="13" t="inlineStr">
        <is>
          <t>CE18_B3</t>
        </is>
      </c>
      <c r="B1810" s="13" t="inlineStr">
        <is>
          <t>CE18</t>
        </is>
      </c>
      <c r="C1810" s="13" t="inlineStr">
        <is>
          <t>B3</t>
        </is>
      </c>
      <c r="D1810" s="13" t="n">
        <v>0</v>
      </c>
      <c r="E1810" s="13" t="inlineStr">
        <is>
          <t>E</t>
        </is>
      </c>
      <c r="F1810" s="13" t="n">
        <v>2022</v>
      </c>
      <c r="G1810" s="14" t="n">
        <v>8206546.00502852</v>
      </c>
      <c r="H1810" s="14" t="n">
        <v>2047103.787737618</v>
      </c>
      <c r="I1810" s="14" t="n">
        <v>1195331.696048422</v>
      </c>
      <c r="J1810" s="14" t="n">
        <v>0</v>
      </c>
      <c r="K1810" s="14" t="n">
        <v>367837.5095595415</v>
      </c>
      <c r="L1810" s="14" t="n">
        <v>4596273.011682938</v>
      </c>
      <c r="M1810" s="14" t="n">
        <v>0</v>
      </c>
      <c r="N1810" s="14" t="n">
        <v>2040810.143148864</v>
      </c>
      <c r="O1810" s="14" t="n">
        <v>3496685.741359845</v>
      </c>
      <c r="P1810" s="14" t="n">
        <v>152237.4967585545</v>
      </c>
      <c r="Q1810" s="14" t="n">
        <v>22627990.91775375</v>
      </c>
      <c r="R1810" s="15">
        <f>IF(D1810=1,"Section 1","Control")</f>
        <v/>
      </c>
      <c r="S1810" s="16">
        <f>N1810/10000</f>
        <v/>
      </c>
      <c r="T1810" s="16">
        <f>P1810/10000</f>
        <v/>
      </c>
      <c r="U1810" s="15">
        <f>IF(N1810&gt;=Summary!$D$3,1,0)</f>
        <v/>
      </c>
      <c r="V1810" s="17">
        <f>IF(N1810&gt;0,P1810/N1810,"")</f>
        <v/>
      </c>
      <c r="W1810" s="17">
        <f>IF(O1810&gt;0,H1810/O1810,"")</f>
        <v/>
      </c>
    </row>
    <row r="1811">
      <c r="A1811" s="13" t="inlineStr">
        <is>
          <t>CE18_B3</t>
        </is>
      </c>
      <c r="B1811" s="13" t="inlineStr">
        <is>
          <t>CE18</t>
        </is>
      </c>
      <c r="C1811" s="13" t="inlineStr">
        <is>
          <t>B3</t>
        </is>
      </c>
      <c r="D1811" s="13" t="n">
        <v>0</v>
      </c>
      <c r="E1811" s="13" t="inlineStr">
        <is>
          <t>E</t>
        </is>
      </c>
      <c r="F1811" s="13" t="n">
        <v>2023</v>
      </c>
      <c r="G1811" s="14" t="n">
        <v>8206546.00502852</v>
      </c>
      <c r="H1811" s="14" t="n">
        <v>1959460.374782129</v>
      </c>
      <c r="I1811" s="14" t="n">
        <v>1308161.422233013</v>
      </c>
      <c r="J1811" s="14" t="n">
        <v>0</v>
      </c>
      <c r="K1811" s="14" t="n">
        <v>226570.4649091235</v>
      </c>
      <c r="L1811" s="14" t="n">
        <v>4712353.743104256</v>
      </c>
      <c r="M1811" s="14" t="n">
        <v>0</v>
      </c>
      <c r="N1811" s="14" t="n">
        <v>2040810.143148864</v>
      </c>
      <c r="O1811" s="14" t="n">
        <v>3496685.741359845</v>
      </c>
      <c r="P1811" s="14" t="n">
        <v>197163.1307429893</v>
      </c>
      <c r="Q1811" s="14" t="n">
        <v>22627990.91775375</v>
      </c>
      <c r="R1811" s="15">
        <f>IF(D1811=1,"Section 1","Control")</f>
        <v/>
      </c>
      <c r="S1811" s="16">
        <f>N1811/10000</f>
        <v/>
      </c>
      <c r="T1811" s="16">
        <f>P1811/10000</f>
        <v/>
      </c>
      <c r="U1811" s="15">
        <f>IF(N1811&gt;=Summary!$D$3,1,0)</f>
        <v/>
      </c>
      <c r="V1811" s="17">
        <f>IF(N1811&gt;0,P1811/N1811,"")</f>
        <v/>
      </c>
      <c r="W1811" s="17">
        <f>IF(O1811&gt;0,H1811/O1811,"")</f>
        <v/>
      </c>
    </row>
    <row r="1812">
      <c r="A1812" s="13" t="inlineStr">
        <is>
          <t>CE18_B3</t>
        </is>
      </c>
      <c r="B1812" s="13" t="inlineStr">
        <is>
          <t>CE18</t>
        </is>
      </c>
      <c r="C1812" s="13" t="inlineStr">
        <is>
          <t>B3</t>
        </is>
      </c>
      <c r="D1812" s="13" t="n">
        <v>0</v>
      </c>
      <c r="E1812" s="13" t="inlineStr">
        <is>
          <t>E</t>
        </is>
      </c>
      <c r="F1812" s="13" t="n">
        <v>2024</v>
      </c>
      <c r="G1812" s="14" t="n">
        <v>8206546.00502852</v>
      </c>
      <c r="H1812" s="14" t="n">
        <v>2070583.906186541</v>
      </c>
      <c r="I1812" s="14" t="n">
        <v>1196401.397181014</v>
      </c>
      <c r="J1812" s="14" t="n">
        <v>0</v>
      </c>
      <c r="K1812" s="14" t="n">
        <v>264681.1358783198</v>
      </c>
      <c r="L1812" s="14" t="n">
        <v>4674879.565782645</v>
      </c>
      <c r="M1812" s="14" t="n">
        <v>0</v>
      </c>
      <c r="N1812" s="14" t="n">
        <v>2040810.143148864</v>
      </c>
      <c r="O1812" s="14" t="n">
        <v>3496685.741359845</v>
      </c>
      <c r="P1812" s="14" t="n">
        <v>158028.881325157</v>
      </c>
      <c r="Q1812" s="14" t="n">
        <v>22627990.91775374</v>
      </c>
      <c r="R1812" s="15">
        <f>IF(D1812=1,"Section 1","Control")</f>
        <v/>
      </c>
      <c r="S1812" s="16">
        <f>N1812/10000</f>
        <v/>
      </c>
      <c r="T1812" s="16">
        <f>P1812/10000</f>
        <v/>
      </c>
      <c r="U1812" s="15">
        <f>IF(N1812&gt;=Summary!$D$3,1,0)</f>
        <v/>
      </c>
      <c r="V1812" s="17">
        <f>IF(N1812&gt;0,P1812/N1812,"")</f>
        <v/>
      </c>
      <c r="W1812" s="17">
        <f>IF(O1812&gt;0,H1812/O1812,"")</f>
        <v/>
      </c>
    </row>
    <row r="1813">
      <c r="A1813" s="13" t="inlineStr">
        <is>
          <t>CE18_B3</t>
        </is>
      </c>
      <c r="B1813" s="13" t="inlineStr">
        <is>
          <t>CE18</t>
        </is>
      </c>
      <c r="C1813" s="13" t="inlineStr">
        <is>
          <t>B3</t>
        </is>
      </c>
      <c r="D1813" s="13" t="n">
        <v>0</v>
      </c>
      <c r="E1813" s="13" t="inlineStr">
        <is>
          <t>E</t>
        </is>
      </c>
      <c r="F1813" s="13" t="n">
        <v>2025</v>
      </c>
      <c r="G1813" s="14" t="n">
        <v>8206546.00502852</v>
      </c>
      <c r="H1813" s="14" t="n">
        <v>2102844.515278147</v>
      </c>
      <c r="I1813" s="14" t="n">
        <v>1155841.433218982</v>
      </c>
      <c r="J1813" s="14" t="n">
        <v>0</v>
      </c>
      <c r="K1813" s="14" t="n">
        <v>244504.2273608937</v>
      </c>
      <c r="L1813" s="14" t="n">
        <v>4703355.829170497</v>
      </c>
      <c r="M1813" s="14" t="n">
        <v>0</v>
      </c>
      <c r="N1813" s="14" t="n">
        <v>2040810.143148864</v>
      </c>
      <c r="O1813" s="14" t="n">
        <v>3496685.741359845</v>
      </c>
      <c r="P1813" s="14" t="n">
        <v>153275.348617464</v>
      </c>
      <c r="Q1813" s="14" t="n">
        <v>22627990.91775374</v>
      </c>
      <c r="R1813" s="15">
        <f>IF(D1813=1,"Section 1","Control")</f>
        <v/>
      </c>
      <c r="S1813" s="16">
        <f>N1813/10000</f>
        <v/>
      </c>
      <c r="T1813" s="16">
        <f>P1813/10000</f>
        <v/>
      </c>
      <c r="U1813" s="15">
        <f>IF(N1813&gt;=Summary!$D$3,1,0)</f>
        <v/>
      </c>
      <c r="V1813" s="17">
        <f>IF(N1813&gt;0,P1813/N1813,"")</f>
        <v/>
      </c>
      <c r="W1813" s="17">
        <f>IF(O1813&gt;0,H1813/O1813,"")</f>
        <v/>
      </c>
    </row>
    <row r="1814">
      <c r="A1814" s="13" t="inlineStr">
        <is>
          <t>CE18_B3</t>
        </is>
      </c>
      <c r="B1814" s="13" t="inlineStr">
        <is>
          <t>CE18</t>
        </is>
      </c>
      <c r="C1814" s="13" t="inlineStr">
        <is>
          <t>B3</t>
        </is>
      </c>
      <c r="D1814" s="13" t="n">
        <v>0</v>
      </c>
      <c r="E1814" s="13" t="inlineStr">
        <is>
          <t>E</t>
        </is>
      </c>
      <c r="F1814" s="13" t="n">
        <v>2026</v>
      </c>
      <c r="G1814" s="14" t="n">
        <v>8206546.00502852</v>
      </c>
      <c r="H1814" s="14" t="n">
        <v>2138337.082180218</v>
      </c>
      <c r="I1814" s="14" t="n">
        <v>1032720.866037137</v>
      </c>
      <c r="J1814" s="14" t="n">
        <v>0</v>
      </c>
      <c r="K1814" s="14" t="n">
        <v>331439.2625464346</v>
      </c>
      <c r="L1814" s="14" t="n">
        <v>4704048.794264732</v>
      </c>
      <c r="M1814" s="14" t="n">
        <v>0</v>
      </c>
      <c r="N1814" s="14" t="n">
        <v>2040810.143148864</v>
      </c>
      <c r="O1814" s="14" t="n">
        <v>3496685.741359845</v>
      </c>
      <c r="P1814" s="14" t="n">
        <v>156726.0079107845</v>
      </c>
      <c r="Q1814" s="14" t="n">
        <v>22627990.91775375</v>
      </c>
      <c r="R1814" s="15">
        <f>IF(D1814=1,"Section 1","Control")</f>
        <v/>
      </c>
      <c r="S1814" s="16">
        <f>N1814/10000</f>
        <v/>
      </c>
      <c r="T1814" s="16">
        <f>P1814/10000</f>
        <v/>
      </c>
      <c r="U1814" s="15">
        <f>IF(N1814&gt;=Summary!$D$3,1,0)</f>
        <v/>
      </c>
      <c r="V1814" s="17">
        <f>IF(N1814&gt;0,P1814/N1814,"")</f>
        <v/>
      </c>
      <c r="W1814" s="17">
        <f>IF(O1814&gt;0,H1814/O1814,"")</f>
        <v/>
      </c>
    </row>
    <row r="1815">
      <c r="A1815" s="13" t="inlineStr">
        <is>
          <t>CE18_F</t>
        </is>
      </c>
      <c r="B1815" s="13" t="inlineStr">
        <is>
          <t>CE18</t>
        </is>
      </c>
      <c r="C1815" s="13" t="inlineStr">
        <is>
          <t>F</t>
        </is>
      </c>
      <c r="D1815" s="13" t="n">
        <v>0</v>
      </c>
      <c r="E1815" s="13" t="inlineStr">
        <is>
          <t>E</t>
        </is>
      </c>
      <c r="F1815" s="13" t="n">
        <v>2020</v>
      </c>
      <c r="G1815" s="14" t="n">
        <v>71103.58327648684</v>
      </c>
      <c r="H1815" s="14" t="n">
        <v>44096.56901460535</v>
      </c>
      <c r="I1815" s="14" t="n">
        <v>15792.10328393076</v>
      </c>
      <c r="J1815" s="14" t="n">
        <v>0</v>
      </c>
      <c r="K1815" s="14" t="n">
        <v>11214.91097795075</v>
      </c>
      <c r="L1815" s="14" t="n">
        <v>0</v>
      </c>
      <c r="M1815" s="14" t="n">
        <v>0</v>
      </c>
      <c r="N1815" s="14" t="n">
        <v>44096.56901460535</v>
      </c>
      <c r="O1815" s="14" t="n">
        <v>71103.58327648684</v>
      </c>
      <c r="P1815" s="14" t="n">
        <v>0</v>
      </c>
      <c r="Q1815" s="14" t="n">
        <v>449455.8550160127</v>
      </c>
      <c r="R1815" s="15">
        <f>IF(D1815=1,"Section 1","Control")</f>
        <v/>
      </c>
      <c r="S1815" s="16">
        <f>N1815/10000</f>
        <v/>
      </c>
      <c r="T1815" s="16">
        <f>P1815/10000</f>
        <v/>
      </c>
      <c r="U1815" s="15">
        <f>IF(N1815&gt;=Summary!$D$3,1,0)</f>
        <v/>
      </c>
      <c r="V1815" s="17">
        <f>IF(N1815&gt;0,P1815/N1815,"")</f>
        <v/>
      </c>
      <c r="W1815" s="17">
        <f>IF(O1815&gt;0,H1815/O1815,"")</f>
        <v/>
      </c>
    </row>
    <row r="1816">
      <c r="A1816" s="13" t="inlineStr">
        <is>
          <t>CE18_F</t>
        </is>
      </c>
      <c r="B1816" s="13" t="inlineStr">
        <is>
          <t>CE18</t>
        </is>
      </c>
      <c r="C1816" s="13" t="inlineStr">
        <is>
          <t>F</t>
        </is>
      </c>
      <c r="D1816" s="13" t="n">
        <v>0</v>
      </c>
      <c r="E1816" s="13" t="inlineStr">
        <is>
          <t>E</t>
        </is>
      </c>
      <c r="F1816" s="13" t="n">
        <v>2021</v>
      </c>
      <c r="G1816" s="14" t="n">
        <v>71103.58327648684</v>
      </c>
      <c r="H1816" s="14" t="n">
        <v>40803.64446626551</v>
      </c>
      <c r="I1816" s="14" t="n">
        <v>14832.29646729114</v>
      </c>
      <c r="J1816" s="14" t="n">
        <v>0</v>
      </c>
      <c r="K1816" s="14" t="n">
        <v>15467.64234293021</v>
      </c>
      <c r="L1816" s="14" t="n">
        <v>0</v>
      </c>
      <c r="M1816" s="14" t="n">
        <v>0</v>
      </c>
      <c r="N1816" s="14" t="n">
        <v>44096.56901460535</v>
      </c>
      <c r="O1816" s="14" t="n">
        <v>71103.58327648684</v>
      </c>
      <c r="P1816" s="14" t="n">
        <v>4735.152743979062</v>
      </c>
      <c r="Q1816" s="14" t="n">
        <v>449455.8550160127</v>
      </c>
      <c r="R1816" s="15">
        <f>IF(D1816=1,"Section 1","Control")</f>
        <v/>
      </c>
      <c r="S1816" s="16">
        <f>N1816/10000</f>
        <v/>
      </c>
      <c r="T1816" s="16">
        <f>P1816/10000</f>
        <v/>
      </c>
      <c r="U1816" s="15">
        <f>IF(N1816&gt;=Summary!$D$3,1,0)</f>
        <v/>
      </c>
      <c r="V1816" s="17">
        <f>IF(N1816&gt;0,P1816/N1816,"")</f>
        <v/>
      </c>
      <c r="W1816" s="17">
        <f>IF(O1816&gt;0,H1816/O1816,"")</f>
        <v/>
      </c>
    </row>
    <row r="1817">
      <c r="A1817" s="13" t="inlineStr">
        <is>
          <t>CE18_F</t>
        </is>
      </c>
      <c r="B1817" s="13" t="inlineStr">
        <is>
          <t>CE18</t>
        </is>
      </c>
      <c r="C1817" s="13" t="inlineStr">
        <is>
          <t>F</t>
        </is>
      </c>
      <c r="D1817" s="13" t="n">
        <v>0</v>
      </c>
      <c r="E1817" s="13" t="inlineStr">
        <is>
          <t>E</t>
        </is>
      </c>
      <c r="F1817" s="13" t="n">
        <v>2022</v>
      </c>
      <c r="G1817" s="14" t="n">
        <v>71103.58327648684</v>
      </c>
      <c r="H1817" s="14" t="n">
        <v>42039.50851509244</v>
      </c>
      <c r="I1817" s="14" t="n">
        <v>14969.74421099494</v>
      </c>
      <c r="J1817" s="14" t="n">
        <v>0</v>
      </c>
      <c r="K1817" s="14" t="n">
        <v>14094.33055039948</v>
      </c>
      <c r="L1817" s="14" t="n">
        <v>0</v>
      </c>
      <c r="M1817" s="14" t="n">
        <v>0</v>
      </c>
      <c r="N1817" s="14" t="n">
        <v>44096.56901460535</v>
      </c>
      <c r="O1817" s="14" t="n">
        <v>71103.58327648684</v>
      </c>
      <c r="P1817" s="14" t="n">
        <v>3834.194998109107</v>
      </c>
      <c r="Q1817" s="14" t="n">
        <v>449455.8550160127</v>
      </c>
      <c r="R1817" s="15">
        <f>IF(D1817=1,"Section 1","Control")</f>
        <v/>
      </c>
      <c r="S1817" s="16">
        <f>N1817/10000</f>
        <v/>
      </c>
      <c r="T1817" s="16">
        <f>P1817/10000</f>
        <v/>
      </c>
      <c r="U1817" s="15">
        <f>IF(N1817&gt;=Summary!$D$3,1,0)</f>
        <v/>
      </c>
      <c r="V1817" s="17">
        <f>IF(N1817&gt;0,P1817/N1817,"")</f>
        <v/>
      </c>
      <c r="W1817" s="17">
        <f>IF(O1817&gt;0,H1817/O1817,"")</f>
        <v/>
      </c>
    </row>
    <row r="1818">
      <c r="A1818" s="13" t="inlineStr">
        <is>
          <t>CE18_F</t>
        </is>
      </c>
      <c r="B1818" s="13" t="inlineStr">
        <is>
          <t>CE18</t>
        </is>
      </c>
      <c r="C1818" s="13" t="inlineStr">
        <is>
          <t>F</t>
        </is>
      </c>
      <c r="D1818" s="13" t="n">
        <v>0</v>
      </c>
      <c r="E1818" s="13" t="inlineStr">
        <is>
          <t>E</t>
        </is>
      </c>
      <c r="F1818" s="13" t="n">
        <v>2023</v>
      </c>
      <c r="G1818" s="14" t="n">
        <v>71103.58327648684</v>
      </c>
      <c r="H1818" s="14" t="n">
        <v>33344.32261292701</v>
      </c>
      <c r="I1818" s="14" t="n">
        <v>21711.2426298852</v>
      </c>
      <c r="J1818" s="14" t="n">
        <v>0</v>
      </c>
      <c r="K1818" s="14" t="n">
        <v>16048.01803367465</v>
      </c>
      <c r="L1818" s="14" t="n">
        <v>0</v>
      </c>
      <c r="M1818" s="14" t="n">
        <v>0</v>
      </c>
      <c r="N1818" s="14" t="n">
        <v>44096.56901460535</v>
      </c>
      <c r="O1818" s="14" t="n">
        <v>71103.58327648684</v>
      </c>
      <c r="P1818" s="14" t="n">
        <v>11147.16531647327</v>
      </c>
      <c r="Q1818" s="14" t="n">
        <v>449455.8550160127</v>
      </c>
      <c r="R1818" s="15">
        <f>IF(D1818=1,"Section 1","Control")</f>
        <v/>
      </c>
      <c r="S1818" s="16">
        <f>N1818/10000</f>
        <v/>
      </c>
      <c r="T1818" s="16">
        <f>P1818/10000</f>
        <v/>
      </c>
      <c r="U1818" s="15">
        <f>IF(N1818&gt;=Summary!$D$3,1,0)</f>
        <v/>
      </c>
      <c r="V1818" s="17">
        <f>IF(N1818&gt;0,P1818/N1818,"")</f>
        <v/>
      </c>
      <c r="W1818" s="17">
        <f>IF(O1818&gt;0,H1818/O1818,"")</f>
        <v/>
      </c>
    </row>
    <row r="1819">
      <c r="A1819" s="13" t="inlineStr">
        <is>
          <t>CE18_F</t>
        </is>
      </c>
      <c r="B1819" s="13" t="inlineStr">
        <is>
          <t>CE18</t>
        </is>
      </c>
      <c r="C1819" s="13" t="inlineStr">
        <is>
          <t>F</t>
        </is>
      </c>
      <c r="D1819" s="13" t="n">
        <v>0</v>
      </c>
      <c r="E1819" s="13" t="inlineStr">
        <is>
          <t>E</t>
        </is>
      </c>
      <c r="F1819" s="13" t="n">
        <v>2024</v>
      </c>
      <c r="G1819" s="14" t="n">
        <v>71103.58327648684</v>
      </c>
      <c r="H1819" s="14" t="n">
        <v>18963.06591264313</v>
      </c>
      <c r="I1819" s="14" t="n">
        <v>37141.35776307349</v>
      </c>
      <c r="J1819" s="14" t="n">
        <v>0</v>
      </c>
      <c r="K1819" s="14" t="n">
        <v>14999.15960077024</v>
      </c>
      <c r="L1819" s="14" t="n">
        <v>0</v>
      </c>
      <c r="M1819" s="14" t="n">
        <v>0</v>
      </c>
      <c r="N1819" s="14" t="n">
        <v>44096.56901460535</v>
      </c>
      <c r="O1819" s="14" t="n">
        <v>71103.58327648684</v>
      </c>
      <c r="P1819" s="14" t="n">
        <v>25725.88113846124</v>
      </c>
      <c r="Q1819" s="14" t="n">
        <v>449455.8550160127</v>
      </c>
      <c r="R1819" s="15">
        <f>IF(D1819=1,"Section 1","Control")</f>
        <v/>
      </c>
      <c r="S1819" s="16">
        <f>N1819/10000</f>
        <v/>
      </c>
      <c r="T1819" s="16">
        <f>P1819/10000</f>
        <v/>
      </c>
      <c r="U1819" s="15">
        <f>IF(N1819&gt;=Summary!$D$3,1,0)</f>
        <v/>
      </c>
      <c r="V1819" s="17">
        <f>IF(N1819&gt;0,P1819/N1819,"")</f>
        <v/>
      </c>
      <c r="W1819" s="17">
        <f>IF(O1819&gt;0,H1819/O1819,"")</f>
        <v/>
      </c>
    </row>
    <row r="1820">
      <c r="A1820" s="13" t="inlineStr">
        <is>
          <t>CE18_F</t>
        </is>
      </c>
      <c r="B1820" s="13" t="inlineStr">
        <is>
          <t>CE18</t>
        </is>
      </c>
      <c r="C1820" s="13" t="inlineStr">
        <is>
          <t>F</t>
        </is>
      </c>
      <c r="D1820" s="13" t="n">
        <v>0</v>
      </c>
      <c r="E1820" s="13" t="inlineStr">
        <is>
          <t>E</t>
        </is>
      </c>
      <c r="F1820" s="13" t="n">
        <v>2025</v>
      </c>
      <c r="G1820" s="14" t="n">
        <v>71103.58327648685</v>
      </c>
      <c r="H1820" s="14" t="n">
        <v>19306.49064528521</v>
      </c>
      <c r="I1820" s="14" t="n">
        <v>40462.54419839897</v>
      </c>
      <c r="J1820" s="14" t="n">
        <v>0</v>
      </c>
      <c r="K1820" s="14" t="n">
        <v>11334.54843280269</v>
      </c>
      <c r="L1820" s="14" t="n">
        <v>0</v>
      </c>
      <c r="M1820" s="14" t="n">
        <v>0</v>
      </c>
      <c r="N1820" s="14" t="n">
        <v>44096.56901460535</v>
      </c>
      <c r="O1820" s="14" t="n">
        <v>71103.58327648685</v>
      </c>
      <c r="P1820" s="14" t="n">
        <v>25283.72683733772</v>
      </c>
      <c r="Q1820" s="14" t="n">
        <v>449455.8550160127</v>
      </c>
      <c r="R1820" s="15">
        <f>IF(D1820=1,"Section 1","Control")</f>
        <v/>
      </c>
      <c r="S1820" s="16">
        <f>N1820/10000</f>
        <v/>
      </c>
      <c r="T1820" s="16">
        <f>P1820/10000</f>
        <v/>
      </c>
      <c r="U1820" s="15">
        <f>IF(N1820&gt;=Summary!$D$3,1,0)</f>
        <v/>
      </c>
      <c r="V1820" s="17">
        <f>IF(N1820&gt;0,P1820/N1820,"")</f>
        <v/>
      </c>
      <c r="W1820" s="17">
        <f>IF(O1820&gt;0,H1820/O1820,"")</f>
        <v/>
      </c>
    </row>
    <row r="1821">
      <c r="A1821" s="13" t="inlineStr">
        <is>
          <t>CE18_F</t>
        </is>
      </c>
      <c r="B1821" s="13" t="inlineStr">
        <is>
          <t>CE18</t>
        </is>
      </c>
      <c r="C1821" s="13" t="inlineStr">
        <is>
          <t>F</t>
        </is>
      </c>
      <c r="D1821" s="13" t="n">
        <v>0</v>
      </c>
      <c r="E1821" s="13" t="inlineStr">
        <is>
          <t>E</t>
        </is>
      </c>
      <c r="F1821" s="13" t="n">
        <v>2026</v>
      </c>
      <c r="G1821" s="14" t="n">
        <v>71103.58327648685</v>
      </c>
      <c r="H1821" s="14" t="n">
        <v>15113.37953679702</v>
      </c>
      <c r="I1821" s="14" t="n">
        <v>33235.53766267066</v>
      </c>
      <c r="J1821" s="14" t="n">
        <v>0</v>
      </c>
      <c r="K1821" s="14" t="n">
        <v>22754.66607701919</v>
      </c>
      <c r="L1821" s="14" t="n">
        <v>0</v>
      </c>
      <c r="M1821" s="14" t="n">
        <v>0</v>
      </c>
      <c r="N1821" s="14" t="n">
        <v>44096.56901460535</v>
      </c>
      <c r="O1821" s="14" t="n">
        <v>71103.58327648685</v>
      </c>
      <c r="P1821" s="14" t="n">
        <v>29871.75554836498</v>
      </c>
      <c r="Q1821" s="14" t="n">
        <v>449455.8550160127</v>
      </c>
      <c r="R1821" s="15">
        <f>IF(D1821=1,"Section 1","Control")</f>
        <v/>
      </c>
      <c r="S1821" s="16">
        <f>N1821/10000</f>
        <v/>
      </c>
      <c r="T1821" s="16">
        <f>P1821/10000</f>
        <v/>
      </c>
      <c r="U1821" s="15">
        <f>IF(N1821&gt;=Summary!$D$3,1,0)</f>
        <v/>
      </c>
      <c r="V1821" s="17">
        <f>IF(N1821&gt;0,P1821/N1821,"")</f>
        <v/>
      </c>
      <c r="W1821" s="17">
        <f>IF(O1821&gt;0,H1821/O1821,"")</f>
        <v/>
      </c>
    </row>
    <row r="1822">
      <c r="A1822" s="13" t="inlineStr">
        <is>
          <t>CE19_B1</t>
        </is>
      </c>
      <c r="B1822" s="13" t="inlineStr">
        <is>
          <t>CE19</t>
        </is>
      </c>
      <c r="C1822" s="13" t="inlineStr">
        <is>
          <t>B1</t>
        </is>
      </c>
      <c r="D1822" s="13" t="n">
        <v>0</v>
      </c>
      <c r="E1822" s="13" t="inlineStr">
        <is>
          <t>E</t>
        </is>
      </c>
      <c r="F1822" s="13" t="n">
        <v>2020</v>
      </c>
      <c r="G1822" s="14" t="n">
        <v>974649.9670309928</v>
      </c>
      <c r="H1822" s="14" t="n">
        <v>305141.3517597872</v>
      </c>
      <c r="I1822" s="14" t="n">
        <v>260479.3686583276</v>
      </c>
      <c r="J1822" s="14" t="n">
        <v>0</v>
      </c>
      <c r="K1822" s="14" t="n">
        <v>104521.2050290276</v>
      </c>
      <c r="L1822" s="14" t="n">
        <v>304508.0415838503</v>
      </c>
      <c r="M1822" s="14" t="n">
        <v>0</v>
      </c>
      <c r="N1822" s="14" t="n">
        <v>305141.3517597872</v>
      </c>
      <c r="O1822" s="14" t="n">
        <v>670141.9254471425</v>
      </c>
      <c r="P1822" s="14" t="n">
        <v>0</v>
      </c>
      <c r="Q1822" s="14" t="n">
        <v>5315657.026842603</v>
      </c>
      <c r="R1822" s="15">
        <f>IF(D1822=1,"Section 1","Control")</f>
        <v/>
      </c>
      <c r="S1822" s="16">
        <f>N1822/10000</f>
        <v/>
      </c>
      <c r="T1822" s="16">
        <f>P1822/10000</f>
        <v/>
      </c>
      <c r="U1822" s="15">
        <f>IF(N1822&gt;=Summary!$D$3,1,0)</f>
        <v/>
      </c>
      <c r="V1822" s="17">
        <f>IF(N1822&gt;0,P1822/N1822,"")</f>
        <v/>
      </c>
      <c r="W1822" s="17">
        <f>IF(O1822&gt;0,H1822/O1822,"")</f>
        <v/>
      </c>
    </row>
    <row r="1823">
      <c r="A1823" s="13" t="inlineStr">
        <is>
          <t>CE19_B1</t>
        </is>
      </c>
      <c r="B1823" s="13" t="inlineStr">
        <is>
          <t>CE19</t>
        </is>
      </c>
      <c r="C1823" s="13" t="inlineStr">
        <is>
          <t>B1</t>
        </is>
      </c>
      <c r="D1823" s="13" t="n">
        <v>0</v>
      </c>
      <c r="E1823" s="13" t="inlineStr">
        <is>
          <t>E</t>
        </is>
      </c>
      <c r="F1823" s="13" t="n">
        <v>2021</v>
      </c>
      <c r="G1823" s="14" t="n">
        <v>974649.9670309928</v>
      </c>
      <c r="H1823" s="14" t="n">
        <v>197115.267270077</v>
      </c>
      <c r="I1823" s="14" t="n">
        <v>334063.8619815601</v>
      </c>
      <c r="J1823" s="14" t="n">
        <v>0</v>
      </c>
      <c r="K1823" s="14" t="n">
        <v>163967.9043803196</v>
      </c>
      <c r="L1823" s="14" t="n">
        <v>279502.9333990359</v>
      </c>
      <c r="M1823" s="14" t="n">
        <v>0</v>
      </c>
      <c r="N1823" s="14" t="n">
        <v>305141.3517597872</v>
      </c>
      <c r="O1823" s="14" t="n">
        <v>670141.9254471425</v>
      </c>
      <c r="P1823" s="14" t="n">
        <v>121248.8367251527</v>
      </c>
      <c r="Q1823" s="14" t="n">
        <v>5315657.026842603</v>
      </c>
      <c r="R1823" s="15">
        <f>IF(D1823=1,"Section 1","Control")</f>
        <v/>
      </c>
      <c r="S1823" s="16">
        <f>N1823/10000</f>
        <v/>
      </c>
      <c r="T1823" s="16">
        <f>P1823/10000</f>
        <v/>
      </c>
      <c r="U1823" s="15">
        <f>IF(N1823&gt;=Summary!$D$3,1,0)</f>
        <v/>
      </c>
      <c r="V1823" s="17">
        <f>IF(N1823&gt;0,P1823/N1823,"")</f>
        <v/>
      </c>
      <c r="W1823" s="17">
        <f>IF(O1823&gt;0,H1823/O1823,"")</f>
        <v/>
      </c>
    </row>
    <row r="1824">
      <c r="A1824" s="13" t="inlineStr">
        <is>
          <t>CE19_B1</t>
        </is>
      </c>
      <c r="B1824" s="13" t="inlineStr">
        <is>
          <t>CE19</t>
        </is>
      </c>
      <c r="C1824" s="13" t="inlineStr">
        <is>
          <t>B1</t>
        </is>
      </c>
      <c r="D1824" s="13" t="n">
        <v>0</v>
      </c>
      <c r="E1824" s="13" t="inlineStr">
        <is>
          <t>E</t>
        </is>
      </c>
      <c r="F1824" s="13" t="n">
        <v>2022</v>
      </c>
      <c r="G1824" s="14" t="n">
        <v>974649.9670309928</v>
      </c>
      <c r="H1824" s="14" t="n">
        <v>248959.7881051456</v>
      </c>
      <c r="I1824" s="14" t="n">
        <v>267635.5944384406</v>
      </c>
      <c r="J1824" s="14" t="n">
        <v>0</v>
      </c>
      <c r="K1824" s="14" t="n">
        <v>160915.3084933711</v>
      </c>
      <c r="L1824" s="14" t="n">
        <v>297139.2759940353</v>
      </c>
      <c r="M1824" s="14" t="n">
        <v>0</v>
      </c>
      <c r="N1824" s="14" t="n">
        <v>305141.3517597872</v>
      </c>
      <c r="O1824" s="14" t="n">
        <v>670141.9254471426</v>
      </c>
      <c r="P1824" s="14" t="n">
        <v>87047.42463872573</v>
      </c>
      <c r="Q1824" s="14" t="n">
        <v>5315657.026842603</v>
      </c>
      <c r="R1824" s="15">
        <f>IF(D1824=1,"Section 1","Control")</f>
        <v/>
      </c>
      <c r="S1824" s="16">
        <f>N1824/10000</f>
        <v/>
      </c>
      <c r="T1824" s="16">
        <f>P1824/10000</f>
        <v/>
      </c>
      <c r="U1824" s="15">
        <f>IF(N1824&gt;=Summary!$D$3,1,0)</f>
        <v/>
      </c>
      <c r="V1824" s="17">
        <f>IF(N1824&gt;0,P1824/N1824,"")</f>
        <v/>
      </c>
      <c r="W1824" s="17">
        <f>IF(O1824&gt;0,H1824/O1824,"")</f>
        <v/>
      </c>
    </row>
    <row r="1825">
      <c r="A1825" s="13" t="inlineStr">
        <is>
          <t>CE19_B1</t>
        </is>
      </c>
      <c r="B1825" s="13" t="inlineStr">
        <is>
          <t>CE19</t>
        </is>
      </c>
      <c r="C1825" s="13" t="inlineStr">
        <is>
          <t>B1</t>
        </is>
      </c>
      <c r="D1825" s="13" t="n">
        <v>0</v>
      </c>
      <c r="E1825" s="13" t="inlineStr">
        <is>
          <t>E</t>
        </is>
      </c>
      <c r="F1825" s="13" t="n">
        <v>2023</v>
      </c>
      <c r="G1825" s="14" t="n">
        <v>974649.9670309928</v>
      </c>
      <c r="H1825" s="14" t="n">
        <v>233670.7349883135</v>
      </c>
      <c r="I1825" s="14" t="n">
        <v>279927.8083857817</v>
      </c>
      <c r="J1825" s="14" t="n">
        <v>0</v>
      </c>
      <c r="K1825" s="14" t="n">
        <v>151156.9658118753</v>
      </c>
      <c r="L1825" s="14" t="n">
        <v>309894.4578450222</v>
      </c>
      <c r="M1825" s="14" t="n">
        <v>0</v>
      </c>
      <c r="N1825" s="14" t="n">
        <v>305141.3517597872</v>
      </c>
      <c r="O1825" s="14" t="n">
        <v>670141.9254471426</v>
      </c>
      <c r="P1825" s="14" t="n">
        <v>84703.83543533625</v>
      </c>
      <c r="Q1825" s="14" t="n">
        <v>5315657.026842603</v>
      </c>
      <c r="R1825" s="15">
        <f>IF(D1825=1,"Section 1","Control")</f>
        <v/>
      </c>
      <c r="S1825" s="16">
        <f>N1825/10000</f>
        <v/>
      </c>
      <c r="T1825" s="16">
        <f>P1825/10000</f>
        <v/>
      </c>
      <c r="U1825" s="15">
        <f>IF(N1825&gt;=Summary!$D$3,1,0)</f>
        <v/>
      </c>
      <c r="V1825" s="17">
        <f>IF(N1825&gt;0,P1825/N1825,"")</f>
        <v/>
      </c>
      <c r="W1825" s="17">
        <f>IF(O1825&gt;0,H1825/O1825,"")</f>
        <v/>
      </c>
    </row>
    <row r="1826">
      <c r="A1826" s="13" t="inlineStr">
        <is>
          <t>CE19_B1</t>
        </is>
      </c>
      <c r="B1826" s="13" t="inlineStr">
        <is>
          <t>CE19</t>
        </is>
      </c>
      <c r="C1826" s="13" t="inlineStr">
        <is>
          <t>B1</t>
        </is>
      </c>
      <c r="D1826" s="13" t="n">
        <v>0</v>
      </c>
      <c r="E1826" s="13" t="inlineStr">
        <is>
          <t>E</t>
        </is>
      </c>
      <c r="F1826" s="13" t="n">
        <v>2024</v>
      </c>
      <c r="G1826" s="14" t="n">
        <v>974649.9670309928</v>
      </c>
      <c r="H1826" s="14" t="n">
        <v>235296.4523368985</v>
      </c>
      <c r="I1826" s="14" t="n">
        <v>285373.5382121965</v>
      </c>
      <c r="J1826" s="14" t="n">
        <v>0</v>
      </c>
      <c r="K1826" s="14" t="n">
        <v>153661.5798001757</v>
      </c>
      <c r="L1826" s="14" t="n">
        <v>300318.396681722</v>
      </c>
      <c r="M1826" s="14" t="n">
        <v>0</v>
      </c>
      <c r="N1826" s="14" t="n">
        <v>305141.3517597872</v>
      </c>
      <c r="O1826" s="14" t="n">
        <v>670141.9254471425</v>
      </c>
      <c r="P1826" s="14" t="n">
        <v>88946.51631436816</v>
      </c>
      <c r="Q1826" s="14" t="n">
        <v>5315657.026842603</v>
      </c>
      <c r="R1826" s="15">
        <f>IF(D1826=1,"Section 1","Control")</f>
        <v/>
      </c>
      <c r="S1826" s="16">
        <f>N1826/10000</f>
        <v/>
      </c>
      <c r="T1826" s="16">
        <f>P1826/10000</f>
        <v/>
      </c>
      <c r="U1826" s="15">
        <f>IF(N1826&gt;=Summary!$D$3,1,0)</f>
        <v/>
      </c>
      <c r="V1826" s="17">
        <f>IF(N1826&gt;0,P1826/N1826,"")</f>
        <v/>
      </c>
      <c r="W1826" s="17">
        <f>IF(O1826&gt;0,H1826/O1826,"")</f>
        <v/>
      </c>
    </row>
    <row r="1827">
      <c r="A1827" s="13" t="inlineStr">
        <is>
          <t>CE19_B1</t>
        </is>
      </c>
      <c r="B1827" s="13" t="inlineStr">
        <is>
          <t>CE19</t>
        </is>
      </c>
      <c r="C1827" s="13" t="inlineStr">
        <is>
          <t>B1</t>
        </is>
      </c>
      <c r="D1827" s="13" t="n">
        <v>0</v>
      </c>
      <c r="E1827" s="13" t="inlineStr">
        <is>
          <t>E</t>
        </is>
      </c>
      <c r="F1827" s="13" t="n">
        <v>2025</v>
      </c>
      <c r="G1827" s="14" t="n">
        <v>974649.9670309928</v>
      </c>
      <c r="H1827" s="14" t="n">
        <v>247141.2847497379</v>
      </c>
      <c r="I1827" s="14" t="n">
        <v>278448.1112169154</v>
      </c>
      <c r="J1827" s="14" t="n">
        <v>0</v>
      </c>
      <c r="K1827" s="14" t="n">
        <v>131393.9043103686</v>
      </c>
      <c r="L1827" s="14" t="n">
        <v>317666.6667539709</v>
      </c>
      <c r="M1827" s="14" t="n">
        <v>0</v>
      </c>
      <c r="N1827" s="14" t="n">
        <v>305141.3517597872</v>
      </c>
      <c r="O1827" s="14" t="n">
        <v>670141.9254471426</v>
      </c>
      <c r="P1827" s="14" t="n">
        <v>76831.46959509756</v>
      </c>
      <c r="Q1827" s="14" t="n">
        <v>5315657.026842603</v>
      </c>
      <c r="R1827" s="15">
        <f>IF(D1827=1,"Section 1","Control")</f>
        <v/>
      </c>
      <c r="S1827" s="16">
        <f>N1827/10000</f>
        <v/>
      </c>
      <c r="T1827" s="16">
        <f>P1827/10000</f>
        <v/>
      </c>
      <c r="U1827" s="15">
        <f>IF(N1827&gt;=Summary!$D$3,1,0)</f>
        <v/>
      </c>
      <c r="V1827" s="17">
        <f>IF(N1827&gt;0,P1827/N1827,"")</f>
        <v/>
      </c>
      <c r="W1827" s="17">
        <f>IF(O1827&gt;0,H1827/O1827,"")</f>
        <v/>
      </c>
    </row>
    <row r="1828">
      <c r="A1828" s="13" t="inlineStr">
        <is>
          <t>CE19_B1</t>
        </is>
      </c>
      <c r="B1828" s="13" t="inlineStr">
        <is>
          <t>CE19</t>
        </is>
      </c>
      <c r="C1828" s="13" t="inlineStr">
        <is>
          <t>B1</t>
        </is>
      </c>
      <c r="D1828" s="13" t="n">
        <v>0</v>
      </c>
      <c r="E1828" s="13" t="inlineStr">
        <is>
          <t>E</t>
        </is>
      </c>
      <c r="F1828" s="13" t="n">
        <v>2026</v>
      </c>
      <c r="G1828" s="14" t="n">
        <v>974649.9670309928</v>
      </c>
      <c r="H1828" s="14" t="n">
        <v>260537.8738063139</v>
      </c>
      <c r="I1828" s="14" t="n">
        <v>238245.0548823338</v>
      </c>
      <c r="J1828" s="14" t="n">
        <v>0</v>
      </c>
      <c r="K1828" s="14" t="n">
        <v>168242.595868997</v>
      </c>
      <c r="L1828" s="14" t="n">
        <v>307624.442473348</v>
      </c>
      <c r="M1828" s="14" t="n">
        <v>0</v>
      </c>
      <c r="N1828" s="14" t="n">
        <v>305141.3517597872</v>
      </c>
      <c r="O1828" s="14" t="n">
        <v>670141.9254471426</v>
      </c>
      <c r="P1828" s="14" t="n">
        <v>78749.15589710309</v>
      </c>
      <c r="Q1828" s="14" t="n">
        <v>5315657.026842603</v>
      </c>
      <c r="R1828" s="15">
        <f>IF(D1828=1,"Section 1","Control")</f>
        <v/>
      </c>
      <c r="S1828" s="16">
        <f>N1828/10000</f>
        <v/>
      </c>
      <c r="T1828" s="16">
        <f>P1828/10000</f>
        <v/>
      </c>
      <c r="U1828" s="15">
        <f>IF(N1828&gt;=Summary!$D$3,1,0)</f>
        <v/>
      </c>
      <c r="V1828" s="17">
        <f>IF(N1828&gt;0,P1828/N1828,"")</f>
        <v/>
      </c>
      <c r="W1828" s="17">
        <f>IF(O1828&gt;0,H1828/O1828,"")</f>
        <v/>
      </c>
    </row>
    <row r="1829">
      <c r="A1829" s="13" t="inlineStr">
        <is>
          <t>CE19_B2</t>
        </is>
      </c>
      <c r="B1829" s="13" t="inlineStr">
        <is>
          <t>CE19</t>
        </is>
      </c>
      <c r="C1829" s="13" t="inlineStr">
        <is>
          <t>B2</t>
        </is>
      </c>
      <c r="D1829" s="13" t="n">
        <v>0</v>
      </c>
      <c r="E1829" s="13" t="inlineStr">
        <is>
          <t>E</t>
        </is>
      </c>
      <c r="F1829" s="13" t="n">
        <v>2020</v>
      </c>
      <c r="G1829" s="14" t="n">
        <v>974648.7851228302</v>
      </c>
      <c r="H1829" s="14" t="n">
        <v>168645.0579569199</v>
      </c>
      <c r="I1829" s="14" t="n">
        <v>277585.5596685971</v>
      </c>
      <c r="J1829" s="14" t="n">
        <v>0</v>
      </c>
      <c r="K1829" s="14" t="n">
        <v>8267.673273153865</v>
      </c>
      <c r="L1829" s="14" t="n">
        <v>520150.4942241592</v>
      </c>
      <c r="M1829" s="14" t="n">
        <v>0</v>
      </c>
      <c r="N1829" s="14" t="n">
        <v>168645.0579569199</v>
      </c>
      <c r="O1829" s="14" t="n">
        <v>454498.2908986709</v>
      </c>
      <c r="P1829" s="14" t="n">
        <v>0</v>
      </c>
      <c r="Q1829" s="14" t="n">
        <v>3863984.68659704</v>
      </c>
      <c r="R1829" s="15">
        <f>IF(D1829=1,"Section 1","Control")</f>
        <v/>
      </c>
      <c r="S1829" s="16">
        <f>N1829/10000</f>
        <v/>
      </c>
      <c r="T1829" s="16">
        <f>P1829/10000</f>
        <v/>
      </c>
      <c r="U1829" s="15">
        <f>IF(N1829&gt;=Summary!$D$3,1,0)</f>
        <v/>
      </c>
      <c r="V1829" s="17">
        <f>IF(N1829&gt;0,P1829/N1829,"")</f>
        <v/>
      </c>
      <c r="W1829" s="17">
        <f>IF(O1829&gt;0,H1829/O1829,"")</f>
        <v/>
      </c>
    </row>
    <row r="1830">
      <c r="A1830" s="13" t="inlineStr">
        <is>
          <t>CE19_B2</t>
        </is>
      </c>
      <c r="B1830" s="13" t="inlineStr">
        <is>
          <t>CE19</t>
        </is>
      </c>
      <c r="C1830" s="13" t="inlineStr">
        <is>
          <t>B2</t>
        </is>
      </c>
      <c r="D1830" s="13" t="n">
        <v>0</v>
      </c>
      <c r="E1830" s="13" t="inlineStr">
        <is>
          <t>E</t>
        </is>
      </c>
      <c r="F1830" s="13" t="n">
        <v>2021</v>
      </c>
      <c r="G1830" s="14" t="n">
        <v>974648.7851228302</v>
      </c>
      <c r="H1830" s="14" t="n">
        <v>206069.8794973636</v>
      </c>
      <c r="I1830" s="14" t="n">
        <v>218639.8194416719</v>
      </c>
      <c r="J1830" s="14" t="n">
        <v>0</v>
      </c>
      <c r="K1830" s="14" t="n">
        <v>29788.59195963541</v>
      </c>
      <c r="L1830" s="14" t="n">
        <v>520150.4942241592</v>
      </c>
      <c r="M1830" s="14" t="n">
        <v>0</v>
      </c>
      <c r="N1830" s="14" t="n">
        <v>168645.0579569199</v>
      </c>
      <c r="O1830" s="14" t="n">
        <v>454498.2908986709</v>
      </c>
      <c r="P1830" s="14" t="n">
        <v>12657.77800343831</v>
      </c>
      <c r="Q1830" s="14" t="n">
        <v>3863984.68659704</v>
      </c>
      <c r="R1830" s="15">
        <f>IF(D1830=1,"Section 1","Control")</f>
        <v/>
      </c>
      <c r="S1830" s="16">
        <f>N1830/10000</f>
        <v/>
      </c>
      <c r="T1830" s="16">
        <f>P1830/10000</f>
        <v/>
      </c>
      <c r="U1830" s="15">
        <f>IF(N1830&gt;=Summary!$D$3,1,0)</f>
        <v/>
      </c>
      <c r="V1830" s="17">
        <f>IF(N1830&gt;0,P1830/N1830,"")</f>
        <v/>
      </c>
      <c r="W1830" s="17">
        <f>IF(O1830&gt;0,H1830/O1830,"")</f>
        <v/>
      </c>
    </row>
    <row r="1831">
      <c r="A1831" s="13" t="inlineStr">
        <is>
          <t>CE19_B2</t>
        </is>
      </c>
      <c r="B1831" s="13" t="inlineStr">
        <is>
          <t>CE19</t>
        </is>
      </c>
      <c r="C1831" s="13" t="inlineStr">
        <is>
          <t>B2</t>
        </is>
      </c>
      <c r="D1831" s="13" t="n">
        <v>0</v>
      </c>
      <c r="E1831" s="13" t="inlineStr">
        <is>
          <t>E</t>
        </is>
      </c>
      <c r="F1831" s="13" t="n">
        <v>2022</v>
      </c>
      <c r="G1831" s="14" t="n">
        <v>974648.78512283</v>
      </c>
      <c r="H1831" s="14" t="n">
        <v>236349.0854785696</v>
      </c>
      <c r="I1831" s="14" t="n">
        <v>175093.0291664572</v>
      </c>
      <c r="J1831" s="14" t="n">
        <v>0</v>
      </c>
      <c r="K1831" s="14" t="n">
        <v>43056.17625364416</v>
      </c>
      <c r="L1831" s="14" t="n">
        <v>520150.4942241592</v>
      </c>
      <c r="M1831" s="14" t="n">
        <v>0</v>
      </c>
      <c r="N1831" s="14" t="n">
        <v>168645.0579569199</v>
      </c>
      <c r="O1831" s="14" t="n">
        <v>454498.2908986709</v>
      </c>
      <c r="P1831" s="14" t="n">
        <v>36312.36396699793</v>
      </c>
      <c r="Q1831" s="14" t="n">
        <v>3863984.68659704</v>
      </c>
      <c r="R1831" s="15">
        <f>IF(D1831=1,"Section 1","Control")</f>
        <v/>
      </c>
      <c r="S1831" s="16">
        <f>N1831/10000</f>
        <v/>
      </c>
      <c r="T1831" s="16">
        <f>P1831/10000</f>
        <v/>
      </c>
      <c r="U1831" s="15">
        <f>IF(N1831&gt;=Summary!$D$3,1,0)</f>
        <v/>
      </c>
      <c r="V1831" s="17">
        <f>IF(N1831&gt;0,P1831/N1831,"")</f>
        <v/>
      </c>
      <c r="W1831" s="17">
        <f>IF(O1831&gt;0,H1831/O1831,"")</f>
        <v/>
      </c>
    </row>
    <row r="1832">
      <c r="A1832" s="13" t="inlineStr">
        <is>
          <t>CE19_B2</t>
        </is>
      </c>
      <c r="B1832" s="13" t="inlineStr">
        <is>
          <t>CE19</t>
        </is>
      </c>
      <c r="C1832" s="13" t="inlineStr">
        <is>
          <t>B2</t>
        </is>
      </c>
      <c r="D1832" s="13" t="n">
        <v>0</v>
      </c>
      <c r="E1832" s="13" t="inlineStr">
        <is>
          <t>E</t>
        </is>
      </c>
      <c r="F1832" s="13" t="n">
        <v>2023</v>
      </c>
      <c r="G1832" s="14" t="n">
        <v>974648.78512283</v>
      </c>
      <c r="H1832" s="14" t="n">
        <v>192881.3113069423</v>
      </c>
      <c r="I1832" s="14" t="n">
        <v>237957.31425874</v>
      </c>
      <c r="J1832" s="14" t="n">
        <v>0</v>
      </c>
      <c r="K1832" s="14" t="n">
        <v>23659.66533298867</v>
      </c>
      <c r="L1832" s="14" t="n">
        <v>520150.4942241592</v>
      </c>
      <c r="M1832" s="14" t="n">
        <v>0</v>
      </c>
      <c r="N1832" s="14" t="n">
        <v>168645.0579569199</v>
      </c>
      <c r="O1832" s="14" t="n">
        <v>454498.2908986709</v>
      </c>
      <c r="P1832" s="14" t="n">
        <v>31160.67947974112</v>
      </c>
      <c r="Q1832" s="14" t="n">
        <v>3863984.68659704</v>
      </c>
      <c r="R1832" s="15">
        <f>IF(D1832=1,"Section 1","Control")</f>
        <v/>
      </c>
      <c r="S1832" s="16">
        <f>N1832/10000</f>
        <v/>
      </c>
      <c r="T1832" s="16">
        <f>P1832/10000</f>
        <v/>
      </c>
      <c r="U1832" s="15">
        <f>IF(N1832&gt;=Summary!$D$3,1,0)</f>
        <v/>
      </c>
      <c r="V1832" s="17">
        <f>IF(N1832&gt;0,P1832/N1832,"")</f>
        <v/>
      </c>
      <c r="W1832" s="17">
        <f>IF(O1832&gt;0,H1832/O1832,"")</f>
        <v/>
      </c>
    </row>
    <row r="1833">
      <c r="A1833" s="13" t="inlineStr">
        <is>
          <t>CE19_B2</t>
        </is>
      </c>
      <c r="B1833" s="13" t="inlineStr">
        <is>
          <t>CE19</t>
        </is>
      </c>
      <c r="C1833" s="13" t="inlineStr">
        <is>
          <t>B2</t>
        </is>
      </c>
      <c r="D1833" s="13" t="n">
        <v>0</v>
      </c>
      <c r="E1833" s="13" t="inlineStr">
        <is>
          <t>E</t>
        </is>
      </c>
      <c r="F1833" s="13" t="n">
        <v>2024</v>
      </c>
      <c r="G1833" s="14" t="n">
        <v>974648.78512283</v>
      </c>
      <c r="H1833" s="14" t="n">
        <v>207171.7947890338</v>
      </c>
      <c r="I1833" s="14" t="n">
        <v>222732.978023903</v>
      </c>
      <c r="J1833" s="14" t="n">
        <v>0</v>
      </c>
      <c r="K1833" s="14" t="n">
        <v>24593.51808573405</v>
      </c>
      <c r="L1833" s="14" t="n">
        <v>520150.4942241592</v>
      </c>
      <c r="M1833" s="14" t="n">
        <v>0</v>
      </c>
      <c r="N1833" s="14" t="n">
        <v>168645.0579569199</v>
      </c>
      <c r="O1833" s="14" t="n">
        <v>454498.2908986709</v>
      </c>
      <c r="P1833" s="14" t="n">
        <v>26865.02590930415</v>
      </c>
      <c r="Q1833" s="14" t="n">
        <v>3863984.68659704</v>
      </c>
      <c r="R1833" s="15">
        <f>IF(D1833=1,"Section 1","Control")</f>
        <v/>
      </c>
      <c r="S1833" s="16">
        <f>N1833/10000</f>
        <v/>
      </c>
      <c r="T1833" s="16">
        <f>P1833/10000</f>
        <v/>
      </c>
      <c r="U1833" s="15">
        <f>IF(N1833&gt;=Summary!$D$3,1,0)</f>
        <v/>
      </c>
      <c r="V1833" s="17">
        <f>IF(N1833&gt;0,P1833/N1833,"")</f>
        <v/>
      </c>
      <c r="W1833" s="17">
        <f>IF(O1833&gt;0,H1833/O1833,"")</f>
        <v/>
      </c>
    </row>
    <row r="1834">
      <c r="A1834" s="13" t="inlineStr">
        <is>
          <t>CE19_B2</t>
        </is>
      </c>
      <c r="B1834" s="13" t="inlineStr">
        <is>
          <t>CE19</t>
        </is>
      </c>
      <c r="C1834" s="13" t="inlineStr">
        <is>
          <t>B2</t>
        </is>
      </c>
      <c r="D1834" s="13" t="n">
        <v>0</v>
      </c>
      <c r="E1834" s="13" t="inlineStr">
        <is>
          <t>E</t>
        </is>
      </c>
      <c r="F1834" s="13" t="n">
        <v>2025</v>
      </c>
      <c r="G1834" s="14" t="n">
        <v>974648.78512283</v>
      </c>
      <c r="H1834" s="14" t="n">
        <v>229385.7498112698</v>
      </c>
      <c r="I1834" s="14" t="n">
        <v>199848.8249162262</v>
      </c>
      <c r="J1834" s="14" t="n">
        <v>0</v>
      </c>
      <c r="K1834" s="14" t="n">
        <v>25263.71617117489</v>
      </c>
      <c r="L1834" s="14" t="n">
        <v>520150.4942241592</v>
      </c>
      <c r="M1834" s="14" t="n">
        <v>0</v>
      </c>
      <c r="N1834" s="14" t="n">
        <v>168645.0579569199</v>
      </c>
      <c r="O1834" s="14" t="n">
        <v>454498.2908986709</v>
      </c>
      <c r="P1834" s="14" t="n">
        <v>21723.39109084185</v>
      </c>
      <c r="Q1834" s="14" t="n">
        <v>3863984.68659704</v>
      </c>
      <c r="R1834" s="15">
        <f>IF(D1834=1,"Section 1","Control")</f>
        <v/>
      </c>
      <c r="S1834" s="16">
        <f>N1834/10000</f>
        <v/>
      </c>
      <c r="T1834" s="16">
        <f>P1834/10000</f>
        <v/>
      </c>
      <c r="U1834" s="15">
        <f>IF(N1834&gt;=Summary!$D$3,1,0)</f>
        <v/>
      </c>
      <c r="V1834" s="17">
        <f>IF(N1834&gt;0,P1834/N1834,"")</f>
        <v/>
      </c>
      <c r="W1834" s="17">
        <f>IF(O1834&gt;0,H1834/O1834,"")</f>
        <v/>
      </c>
    </row>
    <row r="1835">
      <c r="A1835" s="13" t="inlineStr">
        <is>
          <t>CE19_B2</t>
        </is>
      </c>
      <c r="B1835" s="13" t="inlineStr">
        <is>
          <t>CE19</t>
        </is>
      </c>
      <c r="C1835" s="13" t="inlineStr">
        <is>
          <t>B2</t>
        </is>
      </c>
      <c r="D1835" s="13" t="n">
        <v>0</v>
      </c>
      <c r="E1835" s="13" t="inlineStr">
        <is>
          <t>E</t>
        </is>
      </c>
      <c r="F1835" s="13" t="n">
        <v>2026</v>
      </c>
      <c r="G1835" s="14" t="n">
        <v>974648.78512283</v>
      </c>
      <c r="H1835" s="14" t="n">
        <v>264433.2677067177</v>
      </c>
      <c r="I1835" s="14" t="n">
        <v>156606.8296953388</v>
      </c>
      <c r="J1835" s="14" t="n">
        <v>0</v>
      </c>
      <c r="K1835" s="14" t="n">
        <v>33458.19349661435</v>
      </c>
      <c r="L1835" s="14" t="n">
        <v>520150.4942241592</v>
      </c>
      <c r="M1835" s="14" t="n">
        <v>0</v>
      </c>
      <c r="N1835" s="14" t="n">
        <v>168645.0579569199</v>
      </c>
      <c r="O1835" s="14" t="n">
        <v>454498.2908986709</v>
      </c>
      <c r="P1835" s="14" t="n">
        <v>18279.49811691583</v>
      </c>
      <c r="Q1835" s="14" t="n">
        <v>3863984.68659704</v>
      </c>
      <c r="R1835" s="15">
        <f>IF(D1835=1,"Section 1","Control")</f>
        <v/>
      </c>
      <c r="S1835" s="16">
        <f>N1835/10000</f>
        <v/>
      </c>
      <c r="T1835" s="16">
        <f>P1835/10000</f>
        <v/>
      </c>
      <c r="U1835" s="15">
        <f>IF(N1835&gt;=Summary!$D$3,1,0)</f>
        <v/>
      </c>
      <c r="V1835" s="17">
        <f>IF(N1835&gt;0,P1835/N1835,"")</f>
        <v/>
      </c>
      <c r="W1835" s="17">
        <f>IF(O1835&gt;0,H1835/O1835,"")</f>
        <v/>
      </c>
    </row>
    <row r="1836">
      <c r="A1836" s="13" t="inlineStr">
        <is>
          <t>CE19_B3</t>
        </is>
      </c>
      <c r="B1836" s="13" t="inlineStr">
        <is>
          <t>CE19</t>
        </is>
      </c>
      <c r="C1836" s="13" t="inlineStr">
        <is>
          <t>B3</t>
        </is>
      </c>
      <c r="D1836" s="13" t="n">
        <v>0</v>
      </c>
      <c r="E1836" s="13" t="inlineStr">
        <is>
          <t>E</t>
        </is>
      </c>
      <c r="F1836" s="13" t="n">
        <v>2020</v>
      </c>
      <c r="G1836" s="14" t="n">
        <v>7798603.48140552</v>
      </c>
      <c r="H1836" s="14" t="n">
        <v>1629931.370568219</v>
      </c>
      <c r="I1836" s="14" t="n">
        <v>779435.159847484</v>
      </c>
      <c r="J1836" s="14" t="n">
        <v>0</v>
      </c>
      <c r="K1836" s="14" t="n">
        <v>48204.28238076602</v>
      </c>
      <c r="L1836" s="14" t="n">
        <v>5341032.668609051</v>
      </c>
      <c r="M1836" s="14" t="n">
        <v>0</v>
      </c>
      <c r="N1836" s="14" t="n">
        <v>1629931.370568219</v>
      </c>
      <c r="O1836" s="14" t="n">
        <v>2457570.812796469</v>
      </c>
      <c r="P1836" s="14" t="n">
        <v>0</v>
      </c>
      <c r="Q1836" s="14" t="n">
        <v>15843906.07569442</v>
      </c>
      <c r="R1836" s="15">
        <f>IF(D1836=1,"Section 1","Control")</f>
        <v/>
      </c>
      <c r="S1836" s="16">
        <f>N1836/10000</f>
        <v/>
      </c>
      <c r="T1836" s="16">
        <f>P1836/10000</f>
        <v/>
      </c>
      <c r="U1836" s="15">
        <f>IF(N1836&gt;=Summary!$D$3,1,0)</f>
        <v/>
      </c>
      <c r="V1836" s="17">
        <f>IF(N1836&gt;0,P1836/N1836,"")</f>
        <v/>
      </c>
      <c r="W1836" s="17">
        <f>IF(O1836&gt;0,H1836/O1836,"")</f>
        <v/>
      </c>
    </row>
    <row r="1837">
      <c r="A1837" s="13" t="inlineStr">
        <is>
          <t>CE19_B3</t>
        </is>
      </c>
      <c r="B1837" s="13" t="inlineStr">
        <is>
          <t>CE19</t>
        </is>
      </c>
      <c r="C1837" s="13" t="inlineStr">
        <is>
          <t>B3</t>
        </is>
      </c>
      <c r="D1837" s="13" t="n">
        <v>0</v>
      </c>
      <c r="E1837" s="13" t="inlineStr">
        <is>
          <t>E</t>
        </is>
      </c>
      <c r="F1837" s="13" t="n">
        <v>2021</v>
      </c>
      <c r="G1837" s="14" t="n">
        <v>7798603.481405521</v>
      </c>
      <c r="H1837" s="14" t="n">
        <v>1475203.504988068</v>
      </c>
      <c r="I1837" s="14" t="n">
        <v>832172.903986643</v>
      </c>
      <c r="J1837" s="14" t="n">
        <v>0</v>
      </c>
      <c r="K1837" s="14" t="n">
        <v>210599.5664457134</v>
      </c>
      <c r="L1837" s="14" t="n">
        <v>5280627.505985096</v>
      </c>
      <c r="M1837" s="14" t="n">
        <v>0</v>
      </c>
      <c r="N1837" s="14" t="n">
        <v>1629931.370568219</v>
      </c>
      <c r="O1837" s="14" t="n">
        <v>2457570.812796469</v>
      </c>
      <c r="P1837" s="14" t="n">
        <v>213112.7587941787</v>
      </c>
      <c r="Q1837" s="14" t="n">
        <v>15843906.07569442</v>
      </c>
      <c r="R1837" s="15">
        <f>IF(D1837=1,"Section 1","Control")</f>
        <v/>
      </c>
      <c r="S1837" s="16">
        <f>N1837/10000</f>
        <v/>
      </c>
      <c r="T1837" s="16">
        <f>P1837/10000</f>
        <v/>
      </c>
      <c r="U1837" s="15">
        <f>IF(N1837&gt;=Summary!$D$3,1,0)</f>
        <v/>
      </c>
      <c r="V1837" s="17">
        <f>IF(N1837&gt;0,P1837/N1837,"")</f>
        <v/>
      </c>
      <c r="W1837" s="17">
        <f>IF(O1837&gt;0,H1837/O1837,"")</f>
        <v/>
      </c>
    </row>
    <row r="1838">
      <c r="A1838" s="13" t="inlineStr">
        <is>
          <t>CE19_B3</t>
        </is>
      </c>
      <c r="B1838" s="13" t="inlineStr">
        <is>
          <t>CE19</t>
        </is>
      </c>
      <c r="C1838" s="13" t="inlineStr">
        <is>
          <t>B3</t>
        </is>
      </c>
      <c r="D1838" s="13" t="n">
        <v>0</v>
      </c>
      <c r="E1838" s="13" t="inlineStr">
        <is>
          <t>E</t>
        </is>
      </c>
      <c r="F1838" s="13" t="n">
        <v>2022</v>
      </c>
      <c r="G1838" s="14" t="n">
        <v>7798603.481405521</v>
      </c>
      <c r="H1838" s="14" t="n">
        <v>1567823.52875797</v>
      </c>
      <c r="I1838" s="14" t="n">
        <v>804161.9746922213</v>
      </c>
      <c r="J1838" s="14" t="n">
        <v>0</v>
      </c>
      <c r="K1838" s="14" t="n">
        <v>174189.7636605655</v>
      </c>
      <c r="L1838" s="14" t="n">
        <v>5252428.214294763</v>
      </c>
      <c r="M1838" s="14" t="n">
        <v>0</v>
      </c>
      <c r="N1838" s="14" t="n">
        <v>1629931.370568219</v>
      </c>
      <c r="O1838" s="14" t="n">
        <v>2457570.812796469</v>
      </c>
      <c r="P1838" s="14" t="n">
        <v>193006.6466910867</v>
      </c>
      <c r="Q1838" s="14" t="n">
        <v>15843906.07569442</v>
      </c>
      <c r="R1838" s="15">
        <f>IF(D1838=1,"Section 1","Control")</f>
        <v/>
      </c>
      <c r="S1838" s="16">
        <f>N1838/10000</f>
        <v/>
      </c>
      <c r="T1838" s="16">
        <f>P1838/10000</f>
        <v/>
      </c>
      <c r="U1838" s="15">
        <f>IF(N1838&gt;=Summary!$D$3,1,0)</f>
        <v/>
      </c>
      <c r="V1838" s="17">
        <f>IF(N1838&gt;0,P1838/N1838,"")</f>
        <v/>
      </c>
      <c r="W1838" s="17">
        <f>IF(O1838&gt;0,H1838/O1838,"")</f>
        <v/>
      </c>
    </row>
    <row r="1839">
      <c r="A1839" s="13" t="inlineStr">
        <is>
          <t>CE19_B3</t>
        </is>
      </c>
      <c r="B1839" s="13" t="inlineStr">
        <is>
          <t>CE19</t>
        </is>
      </c>
      <c r="C1839" s="13" t="inlineStr">
        <is>
          <t>B3</t>
        </is>
      </c>
      <c r="D1839" s="13" t="n">
        <v>0</v>
      </c>
      <c r="E1839" s="13" t="inlineStr">
        <is>
          <t>E</t>
        </is>
      </c>
      <c r="F1839" s="13" t="n">
        <v>2023</v>
      </c>
      <c r="G1839" s="14" t="n">
        <v>7798603.481405521</v>
      </c>
      <c r="H1839" s="14" t="n">
        <v>1546341.172270921</v>
      </c>
      <c r="I1839" s="14" t="n">
        <v>852143.3543825038</v>
      </c>
      <c r="J1839" s="14" t="n">
        <v>0</v>
      </c>
      <c r="K1839" s="14" t="n">
        <v>105385.4981656243</v>
      </c>
      <c r="L1839" s="14" t="n">
        <v>5294733.456586472</v>
      </c>
      <c r="M1839" s="14" t="n">
        <v>0</v>
      </c>
      <c r="N1839" s="14" t="n">
        <v>1629931.370568219</v>
      </c>
      <c r="O1839" s="14" t="n">
        <v>2457570.812796469</v>
      </c>
      <c r="P1839" s="14" t="n">
        <v>197409.5792871213</v>
      </c>
      <c r="Q1839" s="14" t="n">
        <v>15843906.07569442</v>
      </c>
      <c r="R1839" s="15">
        <f>IF(D1839=1,"Section 1","Control")</f>
        <v/>
      </c>
      <c r="S1839" s="16">
        <f>N1839/10000</f>
        <v/>
      </c>
      <c r="T1839" s="16">
        <f>P1839/10000</f>
        <v/>
      </c>
      <c r="U1839" s="15">
        <f>IF(N1839&gt;=Summary!$D$3,1,0)</f>
        <v/>
      </c>
      <c r="V1839" s="17">
        <f>IF(N1839&gt;0,P1839/N1839,"")</f>
        <v/>
      </c>
      <c r="W1839" s="17">
        <f>IF(O1839&gt;0,H1839/O1839,"")</f>
        <v/>
      </c>
    </row>
    <row r="1840">
      <c r="A1840" s="13" t="inlineStr">
        <is>
          <t>CE19_B3</t>
        </is>
      </c>
      <c r="B1840" s="13" t="inlineStr">
        <is>
          <t>CE19</t>
        </is>
      </c>
      <c r="C1840" s="13" t="inlineStr">
        <is>
          <t>B3</t>
        </is>
      </c>
      <c r="D1840" s="13" t="n">
        <v>0</v>
      </c>
      <c r="E1840" s="13" t="inlineStr">
        <is>
          <t>E</t>
        </is>
      </c>
      <c r="F1840" s="13" t="n">
        <v>2024</v>
      </c>
      <c r="G1840" s="14" t="n">
        <v>7798603.481405521</v>
      </c>
      <c r="H1840" s="14" t="n">
        <v>1701612.542846141</v>
      </c>
      <c r="I1840" s="14" t="n">
        <v>698094.0783461329</v>
      </c>
      <c r="J1840" s="14" t="n">
        <v>0</v>
      </c>
      <c r="K1840" s="14" t="n">
        <v>117622.3594860002</v>
      </c>
      <c r="L1840" s="14" t="n">
        <v>5281274.500727246</v>
      </c>
      <c r="M1840" s="14" t="n">
        <v>0</v>
      </c>
      <c r="N1840" s="14" t="n">
        <v>1629931.370568219</v>
      </c>
      <c r="O1840" s="14" t="n">
        <v>2457570.812796469</v>
      </c>
      <c r="P1840" s="14" t="n">
        <v>106679.6561210782</v>
      </c>
      <c r="Q1840" s="14" t="n">
        <v>15843906.07569442</v>
      </c>
      <c r="R1840" s="15">
        <f>IF(D1840=1,"Section 1","Control")</f>
        <v/>
      </c>
      <c r="S1840" s="16">
        <f>N1840/10000</f>
        <v/>
      </c>
      <c r="T1840" s="16">
        <f>P1840/10000</f>
        <v/>
      </c>
      <c r="U1840" s="15">
        <f>IF(N1840&gt;=Summary!$D$3,1,0)</f>
        <v/>
      </c>
      <c r="V1840" s="17">
        <f>IF(N1840&gt;0,P1840/N1840,"")</f>
        <v/>
      </c>
      <c r="W1840" s="17">
        <f>IF(O1840&gt;0,H1840/O1840,"")</f>
        <v/>
      </c>
    </row>
    <row r="1841">
      <c r="A1841" s="13" t="inlineStr">
        <is>
          <t>CE19_B3</t>
        </is>
      </c>
      <c r="B1841" s="13" t="inlineStr">
        <is>
          <t>CE19</t>
        </is>
      </c>
      <c r="C1841" s="13" t="inlineStr">
        <is>
          <t>B3</t>
        </is>
      </c>
      <c r="D1841" s="13" t="n">
        <v>0</v>
      </c>
      <c r="E1841" s="13" t="inlineStr">
        <is>
          <t>E</t>
        </is>
      </c>
      <c r="F1841" s="13" t="n">
        <v>2025</v>
      </c>
      <c r="G1841" s="14" t="n">
        <v>7798603.481405521</v>
      </c>
      <c r="H1841" s="14" t="n">
        <v>1748934.756773915</v>
      </c>
      <c r="I1841" s="14" t="n">
        <v>642994.7570999446</v>
      </c>
      <c r="J1841" s="14" t="n">
        <v>0</v>
      </c>
      <c r="K1841" s="14" t="n">
        <v>96938.06816795201</v>
      </c>
      <c r="L1841" s="14" t="n">
        <v>5309735.89936371</v>
      </c>
      <c r="M1841" s="14" t="n">
        <v>0</v>
      </c>
      <c r="N1841" s="14" t="n">
        <v>1629931.370568219</v>
      </c>
      <c r="O1841" s="14" t="n">
        <v>2457570.812796469</v>
      </c>
      <c r="P1841" s="14" t="n">
        <v>109335.8218129476</v>
      </c>
      <c r="Q1841" s="14" t="n">
        <v>15843906.07569443</v>
      </c>
      <c r="R1841" s="15">
        <f>IF(D1841=1,"Section 1","Control")</f>
        <v/>
      </c>
      <c r="S1841" s="16">
        <f>N1841/10000</f>
        <v/>
      </c>
      <c r="T1841" s="16">
        <f>P1841/10000</f>
        <v/>
      </c>
      <c r="U1841" s="15">
        <f>IF(N1841&gt;=Summary!$D$3,1,0)</f>
        <v/>
      </c>
      <c r="V1841" s="17">
        <f>IF(N1841&gt;0,P1841/N1841,"")</f>
        <v/>
      </c>
      <c r="W1841" s="17">
        <f>IF(O1841&gt;0,H1841/O1841,"")</f>
        <v/>
      </c>
    </row>
    <row r="1842">
      <c r="A1842" s="13" t="inlineStr">
        <is>
          <t>CE19_B3</t>
        </is>
      </c>
      <c r="B1842" s="13" t="inlineStr">
        <is>
          <t>CE19</t>
        </is>
      </c>
      <c r="C1842" s="13" t="inlineStr">
        <is>
          <t>B3</t>
        </is>
      </c>
      <c r="D1842" s="13" t="n">
        <v>0</v>
      </c>
      <c r="E1842" s="13" t="inlineStr">
        <is>
          <t>E</t>
        </is>
      </c>
      <c r="F1842" s="13" t="n">
        <v>2026</v>
      </c>
      <c r="G1842" s="14" t="n">
        <v>7798603.48140552</v>
      </c>
      <c r="H1842" s="14" t="n">
        <v>1667663.946490269</v>
      </c>
      <c r="I1842" s="14" t="n">
        <v>652427.399924873</v>
      </c>
      <c r="J1842" s="14" t="n">
        <v>0</v>
      </c>
      <c r="K1842" s="14" t="n">
        <v>147194.3071373135</v>
      </c>
      <c r="L1842" s="14" t="n">
        <v>5331317.827853065</v>
      </c>
      <c r="M1842" s="14" t="n">
        <v>0</v>
      </c>
      <c r="N1842" s="14" t="n">
        <v>1629931.370568219</v>
      </c>
      <c r="O1842" s="14" t="n">
        <v>2457570.812796469</v>
      </c>
      <c r="P1842" s="14" t="n">
        <v>137020.1433617985</v>
      </c>
      <c r="Q1842" s="14" t="n">
        <v>15843906.07569443</v>
      </c>
      <c r="R1842" s="15">
        <f>IF(D1842=1,"Section 1","Control")</f>
        <v/>
      </c>
      <c r="S1842" s="16">
        <f>N1842/10000</f>
        <v/>
      </c>
      <c r="T1842" s="16">
        <f>P1842/10000</f>
        <v/>
      </c>
      <c r="U1842" s="15">
        <f>IF(N1842&gt;=Summary!$D$3,1,0)</f>
        <v/>
      </c>
      <c r="V1842" s="17">
        <f>IF(N1842&gt;0,P1842/N1842,"")</f>
        <v/>
      </c>
      <c r="W1842" s="17">
        <f>IF(O1842&gt;0,H1842/O1842,"")</f>
        <v/>
      </c>
    </row>
    <row r="1843">
      <c r="A1843" s="13" t="inlineStr">
        <is>
          <t>CE19_F</t>
        </is>
      </c>
      <c r="B1843" s="13" t="inlineStr">
        <is>
          <t>CE19</t>
        </is>
      </c>
      <c r="C1843" s="13" t="inlineStr">
        <is>
          <t>F</t>
        </is>
      </c>
      <c r="D1843" s="13" t="n">
        <v>0</v>
      </c>
      <c r="E1843" s="13" t="inlineStr">
        <is>
          <t>E</t>
        </is>
      </c>
      <c r="F1843" s="13" t="n">
        <v>2020</v>
      </c>
      <c r="G1843" s="14" t="n">
        <v>67558.01129739798</v>
      </c>
      <c r="H1843" s="14" t="n">
        <v>26821.25429310518</v>
      </c>
      <c r="I1843" s="14" t="n">
        <v>22644.39658544204</v>
      </c>
      <c r="J1843" s="14" t="n">
        <v>0</v>
      </c>
      <c r="K1843" s="14" t="n">
        <v>18092.36041885077</v>
      </c>
      <c r="L1843" s="14" t="n">
        <v>0</v>
      </c>
      <c r="M1843" s="14" t="n">
        <v>0</v>
      </c>
      <c r="N1843" s="14" t="n">
        <v>26821.25429310518</v>
      </c>
      <c r="O1843" s="14" t="n">
        <v>67558.01129739798</v>
      </c>
      <c r="P1843" s="14" t="n">
        <v>0</v>
      </c>
      <c r="Q1843" s="14" t="n">
        <v>566855.164508655</v>
      </c>
      <c r="R1843" s="15">
        <f>IF(D1843=1,"Section 1","Control")</f>
        <v/>
      </c>
      <c r="S1843" s="16">
        <f>N1843/10000</f>
        <v/>
      </c>
      <c r="T1843" s="16">
        <f>P1843/10000</f>
        <v/>
      </c>
      <c r="U1843" s="15">
        <f>IF(N1843&gt;=Summary!$D$3,1,0)</f>
        <v/>
      </c>
      <c r="V1843" s="17">
        <f>IF(N1843&gt;0,P1843/N1843,"")</f>
        <v/>
      </c>
      <c r="W1843" s="17">
        <f>IF(O1843&gt;0,H1843/O1843,"")</f>
        <v/>
      </c>
    </row>
    <row r="1844">
      <c r="A1844" s="13" t="inlineStr">
        <is>
          <t>CE19_F</t>
        </is>
      </c>
      <c r="B1844" s="13" t="inlineStr">
        <is>
          <t>CE19</t>
        </is>
      </c>
      <c r="C1844" s="13" t="inlineStr">
        <is>
          <t>F</t>
        </is>
      </c>
      <c r="D1844" s="13" t="n">
        <v>0</v>
      </c>
      <c r="E1844" s="13" t="inlineStr">
        <is>
          <t>E</t>
        </is>
      </c>
      <c r="F1844" s="13" t="n">
        <v>2021</v>
      </c>
      <c r="G1844" s="14" t="n">
        <v>67558.01129739798</v>
      </c>
      <c r="H1844" s="14" t="n">
        <v>23276.65564374737</v>
      </c>
      <c r="I1844" s="14" t="n">
        <v>16861.91846938788</v>
      </c>
      <c r="J1844" s="14" t="n">
        <v>0</v>
      </c>
      <c r="K1844" s="14" t="n">
        <v>27419.43718426274</v>
      </c>
      <c r="L1844" s="14" t="n">
        <v>0</v>
      </c>
      <c r="M1844" s="14" t="n">
        <v>0</v>
      </c>
      <c r="N1844" s="14" t="n">
        <v>26821.25429310518</v>
      </c>
      <c r="O1844" s="14" t="n">
        <v>67558.01129739798</v>
      </c>
      <c r="P1844" s="14" t="n">
        <v>3766.45061489928</v>
      </c>
      <c r="Q1844" s="14" t="n">
        <v>566855.164508655</v>
      </c>
      <c r="R1844" s="15">
        <f>IF(D1844=1,"Section 1","Control")</f>
        <v/>
      </c>
      <c r="S1844" s="16">
        <f>N1844/10000</f>
        <v/>
      </c>
      <c r="T1844" s="16">
        <f>P1844/10000</f>
        <v/>
      </c>
      <c r="U1844" s="15">
        <f>IF(N1844&gt;=Summary!$D$3,1,0)</f>
        <v/>
      </c>
      <c r="V1844" s="17">
        <f>IF(N1844&gt;0,P1844/N1844,"")</f>
        <v/>
      </c>
      <c r="W1844" s="17">
        <f>IF(O1844&gt;0,H1844/O1844,"")</f>
        <v/>
      </c>
    </row>
    <row r="1845">
      <c r="A1845" s="13" t="inlineStr">
        <is>
          <t>CE19_F</t>
        </is>
      </c>
      <c r="B1845" s="13" t="inlineStr">
        <is>
          <t>CE19</t>
        </is>
      </c>
      <c r="C1845" s="13" t="inlineStr">
        <is>
          <t>F</t>
        </is>
      </c>
      <c r="D1845" s="13" t="n">
        <v>0</v>
      </c>
      <c r="E1845" s="13" t="inlineStr">
        <is>
          <t>E</t>
        </is>
      </c>
      <c r="F1845" s="13" t="n">
        <v>2022</v>
      </c>
      <c r="G1845" s="14" t="n">
        <v>67558.01129739798</v>
      </c>
      <c r="H1845" s="14" t="n">
        <v>22658.72258659812</v>
      </c>
      <c r="I1845" s="14" t="n">
        <v>17674.21354316263</v>
      </c>
      <c r="J1845" s="14" t="n">
        <v>0</v>
      </c>
      <c r="K1845" s="14" t="n">
        <v>27225.07516763724</v>
      </c>
      <c r="L1845" s="14" t="n">
        <v>0</v>
      </c>
      <c r="M1845" s="14" t="n">
        <v>0</v>
      </c>
      <c r="N1845" s="14" t="n">
        <v>26821.25429310518</v>
      </c>
      <c r="O1845" s="14" t="n">
        <v>67558.01129739798</v>
      </c>
      <c r="P1845" s="14" t="n">
        <v>4358.830078095081</v>
      </c>
      <c r="Q1845" s="14" t="n">
        <v>566855.1645086551</v>
      </c>
      <c r="R1845" s="15">
        <f>IF(D1845=1,"Section 1","Control")</f>
        <v/>
      </c>
      <c r="S1845" s="16">
        <f>N1845/10000</f>
        <v/>
      </c>
      <c r="T1845" s="16">
        <f>P1845/10000</f>
        <v/>
      </c>
      <c r="U1845" s="15">
        <f>IF(N1845&gt;=Summary!$D$3,1,0)</f>
        <v/>
      </c>
      <c r="V1845" s="17">
        <f>IF(N1845&gt;0,P1845/N1845,"")</f>
        <v/>
      </c>
      <c r="W1845" s="17">
        <f>IF(O1845&gt;0,H1845/O1845,"")</f>
        <v/>
      </c>
    </row>
    <row r="1846">
      <c r="A1846" s="13" t="inlineStr">
        <is>
          <t>CE19_F</t>
        </is>
      </c>
      <c r="B1846" s="13" t="inlineStr">
        <is>
          <t>CE19</t>
        </is>
      </c>
      <c r="C1846" s="13" t="inlineStr">
        <is>
          <t>F</t>
        </is>
      </c>
      <c r="D1846" s="13" t="n">
        <v>0</v>
      </c>
      <c r="E1846" s="13" t="inlineStr">
        <is>
          <t>E</t>
        </is>
      </c>
      <c r="F1846" s="13" t="n">
        <v>2023</v>
      </c>
      <c r="G1846" s="14" t="n">
        <v>67558.01129739798</v>
      </c>
      <c r="H1846" s="14" t="n">
        <v>22165.07325912176</v>
      </c>
      <c r="I1846" s="14" t="n">
        <v>22016.39688873292</v>
      </c>
      <c r="J1846" s="14" t="n">
        <v>0</v>
      </c>
      <c r="K1846" s="14" t="n">
        <v>23376.54114954331</v>
      </c>
      <c r="L1846" s="14" t="n">
        <v>0</v>
      </c>
      <c r="M1846" s="14" t="n">
        <v>0</v>
      </c>
      <c r="N1846" s="14" t="n">
        <v>26821.25429310518</v>
      </c>
      <c r="O1846" s="14" t="n">
        <v>67558.01129739798</v>
      </c>
      <c r="P1846" s="14" t="n">
        <v>5015.480653201833</v>
      </c>
      <c r="Q1846" s="14" t="n">
        <v>566855.1645086551</v>
      </c>
      <c r="R1846" s="15">
        <f>IF(D1846=1,"Section 1","Control")</f>
        <v/>
      </c>
      <c r="S1846" s="16">
        <f>N1846/10000</f>
        <v/>
      </c>
      <c r="T1846" s="16">
        <f>P1846/10000</f>
        <v/>
      </c>
      <c r="U1846" s="15">
        <f>IF(N1846&gt;=Summary!$D$3,1,0)</f>
        <v/>
      </c>
      <c r="V1846" s="17">
        <f>IF(N1846&gt;0,P1846/N1846,"")</f>
        <v/>
      </c>
      <c r="W1846" s="17">
        <f>IF(O1846&gt;0,H1846/O1846,"")</f>
        <v/>
      </c>
    </row>
    <row r="1847">
      <c r="A1847" s="13" t="inlineStr">
        <is>
          <t>CE19_F</t>
        </is>
      </c>
      <c r="B1847" s="13" t="inlineStr">
        <is>
          <t>CE19</t>
        </is>
      </c>
      <c r="C1847" s="13" t="inlineStr">
        <is>
          <t>F</t>
        </is>
      </c>
      <c r="D1847" s="13" t="n">
        <v>0</v>
      </c>
      <c r="E1847" s="13" t="inlineStr">
        <is>
          <t>E</t>
        </is>
      </c>
      <c r="F1847" s="13" t="n">
        <v>2024</v>
      </c>
      <c r="G1847" s="14" t="n">
        <v>67558.01129739798</v>
      </c>
      <c r="H1847" s="14" t="n">
        <v>21711.69029334573</v>
      </c>
      <c r="I1847" s="14" t="n">
        <v>21578.11354011088</v>
      </c>
      <c r="J1847" s="14" t="n">
        <v>0</v>
      </c>
      <c r="K1847" s="14" t="n">
        <v>24268.20746394138</v>
      </c>
      <c r="L1847" s="14" t="n">
        <v>0</v>
      </c>
      <c r="M1847" s="14" t="n">
        <v>0</v>
      </c>
      <c r="N1847" s="14" t="n">
        <v>26821.25429310518</v>
      </c>
      <c r="O1847" s="14" t="n">
        <v>67558.01129739798</v>
      </c>
      <c r="P1847" s="14" t="n">
        <v>5730.20754960004</v>
      </c>
      <c r="Q1847" s="14" t="n">
        <v>566855.164508655</v>
      </c>
      <c r="R1847" s="15">
        <f>IF(D1847=1,"Section 1","Control")</f>
        <v/>
      </c>
      <c r="S1847" s="16">
        <f>N1847/10000</f>
        <v/>
      </c>
      <c r="T1847" s="16">
        <f>P1847/10000</f>
        <v/>
      </c>
      <c r="U1847" s="15">
        <f>IF(N1847&gt;=Summary!$D$3,1,0)</f>
        <v/>
      </c>
      <c r="V1847" s="17">
        <f>IF(N1847&gt;0,P1847/N1847,"")</f>
        <v/>
      </c>
      <c r="W1847" s="17">
        <f>IF(O1847&gt;0,H1847/O1847,"")</f>
        <v/>
      </c>
    </row>
    <row r="1848">
      <c r="A1848" s="13" t="inlineStr">
        <is>
          <t>CE19_F</t>
        </is>
      </c>
      <c r="B1848" s="13" t="inlineStr">
        <is>
          <t>CE19</t>
        </is>
      </c>
      <c r="C1848" s="13" t="inlineStr">
        <is>
          <t>F</t>
        </is>
      </c>
      <c r="D1848" s="13" t="n">
        <v>0</v>
      </c>
      <c r="E1848" s="13" t="inlineStr">
        <is>
          <t>E</t>
        </is>
      </c>
      <c r="F1848" s="13" t="n">
        <v>2025</v>
      </c>
      <c r="G1848" s="14" t="n">
        <v>67558.01129739798</v>
      </c>
      <c r="H1848" s="14" t="n">
        <v>21886.30716283461</v>
      </c>
      <c r="I1848" s="14" t="n">
        <v>24898.53558684705</v>
      </c>
      <c r="J1848" s="14" t="n">
        <v>0</v>
      </c>
      <c r="K1848" s="14" t="n">
        <v>20773.16854771633</v>
      </c>
      <c r="L1848" s="14" t="n">
        <v>0</v>
      </c>
      <c r="M1848" s="14" t="n">
        <v>0</v>
      </c>
      <c r="N1848" s="14" t="n">
        <v>26821.25429310518</v>
      </c>
      <c r="O1848" s="14" t="n">
        <v>67558.01129739798</v>
      </c>
      <c r="P1848" s="14" t="n">
        <v>6126.288384620816</v>
      </c>
      <c r="Q1848" s="14" t="n">
        <v>566855.1645086551</v>
      </c>
      <c r="R1848" s="15">
        <f>IF(D1848=1,"Section 1","Control")</f>
        <v/>
      </c>
      <c r="S1848" s="16">
        <f>N1848/10000</f>
        <v/>
      </c>
      <c r="T1848" s="16">
        <f>P1848/10000</f>
        <v/>
      </c>
      <c r="U1848" s="15">
        <f>IF(N1848&gt;=Summary!$D$3,1,0)</f>
        <v/>
      </c>
      <c r="V1848" s="17">
        <f>IF(N1848&gt;0,P1848/N1848,"")</f>
        <v/>
      </c>
      <c r="W1848" s="17">
        <f>IF(O1848&gt;0,H1848/O1848,"")</f>
        <v/>
      </c>
    </row>
    <row r="1849">
      <c r="A1849" s="13" t="inlineStr">
        <is>
          <t>CE19_F</t>
        </is>
      </c>
      <c r="B1849" s="13" t="inlineStr">
        <is>
          <t>CE19</t>
        </is>
      </c>
      <c r="C1849" s="13" t="inlineStr">
        <is>
          <t>F</t>
        </is>
      </c>
      <c r="D1849" s="13" t="n">
        <v>0</v>
      </c>
      <c r="E1849" s="13" t="inlineStr">
        <is>
          <t>E</t>
        </is>
      </c>
      <c r="F1849" s="13" t="n">
        <v>2026</v>
      </c>
      <c r="G1849" s="14" t="n">
        <v>67558.01129739798</v>
      </c>
      <c r="H1849" s="14" t="n">
        <v>18608.47327749215</v>
      </c>
      <c r="I1849" s="14" t="n">
        <v>19952.36076690076</v>
      </c>
      <c r="J1849" s="14" t="n">
        <v>0</v>
      </c>
      <c r="K1849" s="14" t="n">
        <v>28997.17725300509</v>
      </c>
      <c r="L1849" s="14" t="n">
        <v>0</v>
      </c>
      <c r="M1849" s="14" t="n">
        <v>0</v>
      </c>
      <c r="N1849" s="14" t="n">
        <v>26821.25429310518</v>
      </c>
      <c r="O1849" s="14" t="n">
        <v>67558.01129739798</v>
      </c>
      <c r="P1849" s="14" t="n">
        <v>8682.813127315745</v>
      </c>
      <c r="Q1849" s="14" t="n">
        <v>566855.1645086551</v>
      </c>
      <c r="R1849" s="15">
        <f>IF(D1849=1,"Section 1","Control")</f>
        <v/>
      </c>
      <c r="S1849" s="16">
        <f>N1849/10000</f>
        <v/>
      </c>
      <c r="T1849" s="16">
        <f>P1849/10000</f>
        <v/>
      </c>
      <c r="U1849" s="15">
        <f>IF(N1849&gt;=Summary!$D$3,1,0)</f>
        <v/>
      </c>
      <c r="V1849" s="17">
        <f>IF(N1849&gt;0,P1849/N1849,"")</f>
        <v/>
      </c>
      <c r="W1849" s="17">
        <f>IF(O1849&gt;0,H1849/O1849,"")</f>
        <v/>
      </c>
    </row>
    <row r="1850">
      <c r="A1850" s="13" t="inlineStr">
        <is>
          <t>CE20_B1</t>
        </is>
      </c>
      <c r="B1850" s="13" t="inlineStr">
        <is>
          <t>CE20</t>
        </is>
      </c>
      <c r="C1850" s="13" t="inlineStr">
        <is>
          <t>B1</t>
        </is>
      </c>
      <c r="D1850" s="13" t="n">
        <v>0</v>
      </c>
      <c r="E1850" s="13" t="inlineStr">
        <is>
          <t>E</t>
        </is>
      </c>
      <c r="F1850" s="13" t="n">
        <v>2020</v>
      </c>
      <c r="G1850" s="14" t="n">
        <v>1000738.658711602</v>
      </c>
      <c r="H1850" s="14" t="n">
        <v>336570.3793127622</v>
      </c>
      <c r="I1850" s="14" t="n">
        <v>366892.6517975751</v>
      </c>
      <c r="J1850" s="14" t="n">
        <v>0</v>
      </c>
      <c r="K1850" s="14" t="n">
        <v>30554.54880828857</v>
      </c>
      <c r="L1850" s="14" t="n">
        <v>266721.0787929759</v>
      </c>
      <c r="M1850" s="14" t="n">
        <v>0</v>
      </c>
      <c r="N1850" s="14" t="n">
        <v>336570.3793127622</v>
      </c>
      <c r="O1850" s="14" t="n">
        <v>734017.5799186258</v>
      </c>
      <c r="P1850" s="14" t="n">
        <v>0</v>
      </c>
      <c r="Q1850" s="14" t="n">
        <v>5374527.88847336</v>
      </c>
      <c r="R1850" s="15">
        <f>IF(D1850=1,"Section 1","Control")</f>
        <v/>
      </c>
      <c r="S1850" s="16">
        <f>N1850/10000</f>
        <v/>
      </c>
      <c r="T1850" s="16">
        <f>P1850/10000</f>
        <v/>
      </c>
      <c r="U1850" s="15">
        <f>IF(N1850&gt;=Summary!$D$3,1,0)</f>
        <v/>
      </c>
      <c r="V1850" s="17">
        <f>IF(N1850&gt;0,P1850/N1850,"")</f>
        <v/>
      </c>
      <c r="W1850" s="17">
        <f>IF(O1850&gt;0,H1850/O1850,"")</f>
        <v/>
      </c>
    </row>
    <row r="1851">
      <c r="A1851" s="13" t="inlineStr">
        <is>
          <t>CE20_B1</t>
        </is>
      </c>
      <c r="B1851" s="13" t="inlineStr">
        <is>
          <t>CE20</t>
        </is>
      </c>
      <c r="C1851" s="13" t="inlineStr">
        <is>
          <t>B1</t>
        </is>
      </c>
      <c r="D1851" s="13" t="n">
        <v>0</v>
      </c>
      <c r="E1851" s="13" t="inlineStr">
        <is>
          <t>E</t>
        </is>
      </c>
      <c r="F1851" s="13" t="n">
        <v>2021</v>
      </c>
      <c r="G1851" s="14" t="n">
        <v>1000738.658711602</v>
      </c>
      <c r="H1851" s="14" t="n">
        <v>251490.6676770379</v>
      </c>
      <c r="I1851" s="14" t="n">
        <v>414441.3591129677</v>
      </c>
      <c r="J1851" s="14" t="n">
        <v>0</v>
      </c>
      <c r="K1851" s="14" t="n">
        <v>93447.69957610486</v>
      </c>
      <c r="L1851" s="14" t="n">
        <v>241358.9323454913</v>
      </c>
      <c r="M1851" s="14" t="n">
        <v>0</v>
      </c>
      <c r="N1851" s="14" t="n">
        <v>336570.3793127622</v>
      </c>
      <c r="O1851" s="14" t="n">
        <v>734017.5799186258</v>
      </c>
      <c r="P1851" s="14" t="n">
        <v>105284.4060232723</v>
      </c>
      <c r="Q1851" s="14" t="n">
        <v>5374527.88847336</v>
      </c>
      <c r="R1851" s="15">
        <f>IF(D1851=1,"Section 1","Control")</f>
        <v/>
      </c>
      <c r="S1851" s="16">
        <f>N1851/10000</f>
        <v/>
      </c>
      <c r="T1851" s="16">
        <f>P1851/10000</f>
        <v/>
      </c>
      <c r="U1851" s="15">
        <f>IF(N1851&gt;=Summary!$D$3,1,0)</f>
        <v/>
      </c>
      <c r="V1851" s="17">
        <f>IF(N1851&gt;0,P1851/N1851,"")</f>
        <v/>
      </c>
      <c r="W1851" s="17">
        <f>IF(O1851&gt;0,H1851/O1851,"")</f>
        <v/>
      </c>
    </row>
    <row r="1852">
      <c r="A1852" s="13" t="inlineStr">
        <is>
          <t>CE20_B1</t>
        </is>
      </c>
      <c r="B1852" s="13" t="inlineStr">
        <is>
          <t>CE20</t>
        </is>
      </c>
      <c r="C1852" s="13" t="inlineStr">
        <is>
          <t>B1</t>
        </is>
      </c>
      <c r="D1852" s="13" t="n">
        <v>0</v>
      </c>
      <c r="E1852" s="13" t="inlineStr">
        <is>
          <t>E</t>
        </is>
      </c>
      <c r="F1852" s="13" t="n">
        <v>2022</v>
      </c>
      <c r="G1852" s="14" t="n">
        <v>1000738.658711602</v>
      </c>
      <c r="H1852" s="14" t="n">
        <v>258111.5770716948</v>
      </c>
      <c r="I1852" s="14" t="n">
        <v>428801.5479620241</v>
      </c>
      <c r="J1852" s="14" t="n">
        <v>0</v>
      </c>
      <c r="K1852" s="14" t="n">
        <v>61766.9186951282</v>
      </c>
      <c r="L1852" s="14" t="n">
        <v>252058.6149827546</v>
      </c>
      <c r="M1852" s="14" t="n">
        <v>0</v>
      </c>
      <c r="N1852" s="14" t="n">
        <v>336570.3793127622</v>
      </c>
      <c r="O1852" s="14" t="n">
        <v>734017.5799186258</v>
      </c>
      <c r="P1852" s="14" t="n">
        <v>112091.8753042184</v>
      </c>
      <c r="Q1852" s="14" t="n">
        <v>5374527.88847336</v>
      </c>
      <c r="R1852" s="15">
        <f>IF(D1852=1,"Section 1","Control")</f>
        <v/>
      </c>
      <c r="S1852" s="16">
        <f>N1852/10000</f>
        <v/>
      </c>
      <c r="T1852" s="16">
        <f>P1852/10000</f>
        <v/>
      </c>
      <c r="U1852" s="15">
        <f>IF(N1852&gt;=Summary!$D$3,1,0)</f>
        <v/>
      </c>
      <c r="V1852" s="17">
        <f>IF(N1852&gt;0,P1852/N1852,"")</f>
        <v/>
      </c>
      <c r="W1852" s="17">
        <f>IF(O1852&gt;0,H1852/O1852,"")</f>
        <v/>
      </c>
    </row>
    <row r="1853">
      <c r="A1853" s="13" t="inlineStr">
        <is>
          <t>CE20_B1</t>
        </is>
      </c>
      <c r="B1853" s="13" t="inlineStr">
        <is>
          <t>CE20</t>
        </is>
      </c>
      <c r="C1853" s="13" t="inlineStr">
        <is>
          <t>B1</t>
        </is>
      </c>
      <c r="D1853" s="13" t="n">
        <v>0</v>
      </c>
      <c r="E1853" s="13" t="inlineStr">
        <is>
          <t>E</t>
        </is>
      </c>
      <c r="F1853" s="13" t="n">
        <v>2023</v>
      </c>
      <c r="G1853" s="14" t="n">
        <v>1000738.658711602</v>
      </c>
      <c r="H1853" s="14" t="n">
        <v>250255.7177188948</v>
      </c>
      <c r="I1853" s="14" t="n">
        <v>429894.1631478403</v>
      </c>
      <c r="J1853" s="14" t="n">
        <v>0</v>
      </c>
      <c r="K1853" s="14" t="n">
        <v>48098.34773649328</v>
      </c>
      <c r="L1853" s="14" t="n">
        <v>272490.4301083733</v>
      </c>
      <c r="M1853" s="14" t="n">
        <v>0</v>
      </c>
      <c r="N1853" s="14" t="n">
        <v>336570.3793127622</v>
      </c>
      <c r="O1853" s="14" t="n">
        <v>734017.5799186258</v>
      </c>
      <c r="P1853" s="14" t="n">
        <v>126584.6684401269</v>
      </c>
      <c r="Q1853" s="14" t="n">
        <v>5374527.88847336</v>
      </c>
      <c r="R1853" s="15">
        <f>IF(D1853=1,"Section 1","Control")</f>
        <v/>
      </c>
      <c r="S1853" s="16">
        <f>N1853/10000</f>
        <v/>
      </c>
      <c r="T1853" s="16">
        <f>P1853/10000</f>
        <v/>
      </c>
      <c r="U1853" s="15">
        <f>IF(N1853&gt;=Summary!$D$3,1,0)</f>
        <v/>
      </c>
      <c r="V1853" s="17">
        <f>IF(N1853&gt;0,P1853/N1853,"")</f>
        <v/>
      </c>
      <c r="W1853" s="17">
        <f>IF(O1853&gt;0,H1853/O1853,"")</f>
        <v/>
      </c>
    </row>
    <row r="1854">
      <c r="A1854" s="13" t="inlineStr">
        <is>
          <t>CE20_B1</t>
        </is>
      </c>
      <c r="B1854" s="13" t="inlineStr">
        <is>
          <t>CE20</t>
        </is>
      </c>
      <c r="C1854" s="13" t="inlineStr">
        <is>
          <t>B1</t>
        </is>
      </c>
      <c r="D1854" s="13" t="n">
        <v>0</v>
      </c>
      <c r="E1854" s="13" t="inlineStr">
        <is>
          <t>E</t>
        </is>
      </c>
      <c r="F1854" s="13" t="n">
        <v>2024</v>
      </c>
      <c r="G1854" s="14" t="n">
        <v>1000738.658711602</v>
      </c>
      <c r="H1854" s="14" t="n">
        <v>269400.6542899337</v>
      </c>
      <c r="I1854" s="14" t="n">
        <v>408177.1874249627</v>
      </c>
      <c r="J1854" s="14" t="n">
        <v>0</v>
      </c>
      <c r="K1854" s="14" t="n">
        <v>68997.10945967131</v>
      </c>
      <c r="L1854" s="14" t="n">
        <v>254163.707537034</v>
      </c>
      <c r="M1854" s="14" t="n">
        <v>0</v>
      </c>
      <c r="N1854" s="14" t="n">
        <v>336570.3793127622</v>
      </c>
      <c r="O1854" s="14" t="n">
        <v>734017.5799186258</v>
      </c>
      <c r="P1854" s="14" t="n">
        <v>129233.3922660379</v>
      </c>
      <c r="Q1854" s="14" t="n">
        <v>5374527.88847336</v>
      </c>
      <c r="R1854" s="15">
        <f>IF(D1854=1,"Section 1","Control")</f>
        <v/>
      </c>
      <c r="S1854" s="16">
        <f>N1854/10000</f>
        <v/>
      </c>
      <c r="T1854" s="16">
        <f>P1854/10000</f>
        <v/>
      </c>
      <c r="U1854" s="15">
        <f>IF(N1854&gt;=Summary!$D$3,1,0)</f>
        <v/>
      </c>
      <c r="V1854" s="17">
        <f>IF(N1854&gt;0,P1854/N1854,"")</f>
        <v/>
      </c>
      <c r="W1854" s="17">
        <f>IF(O1854&gt;0,H1854/O1854,"")</f>
        <v/>
      </c>
    </row>
    <row r="1855">
      <c r="A1855" s="13" t="inlineStr">
        <is>
          <t>CE20_B1</t>
        </is>
      </c>
      <c r="B1855" s="13" t="inlineStr">
        <is>
          <t>CE20</t>
        </is>
      </c>
      <c r="C1855" s="13" t="inlineStr">
        <is>
          <t>B1</t>
        </is>
      </c>
      <c r="D1855" s="13" t="n">
        <v>0</v>
      </c>
      <c r="E1855" s="13" t="inlineStr">
        <is>
          <t>E</t>
        </is>
      </c>
      <c r="F1855" s="13" t="n">
        <v>2025</v>
      </c>
      <c r="G1855" s="14" t="n">
        <v>1000738.658711602</v>
      </c>
      <c r="H1855" s="14" t="n">
        <v>243771.6073569503</v>
      </c>
      <c r="I1855" s="14" t="n">
        <v>425756.4051914889</v>
      </c>
      <c r="J1855" s="14" t="n">
        <v>0</v>
      </c>
      <c r="K1855" s="14" t="n">
        <v>54323.41387556488</v>
      </c>
      <c r="L1855" s="14" t="n">
        <v>276887.2322875976</v>
      </c>
      <c r="M1855" s="14" t="n">
        <v>0</v>
      </c>
      <c r="N1855" s="14" t="n">
        <v>336570.3793127622</v>
      </c>
      <c r="O1855" s="14" t="n">
        <v>734017.5799186258</v>
      </c>
      <c r="P1855" s="14" t="n">
        <v>139634.4978316363</v>
      </c>
      <c r="Q1855" s="14" t="n">
        <v>5374527.88847336</v>
      </c>
      <c r="R1855" s="15">
        <f>IF(D1855=1,"Section 1","Control")</f>
        <v/>
      </c>
      <c r="S1855" s="16">
        <f>N1855/10000</f>
        <v/>
      </c>
      <c r="T1855" s="16">
        <f>P1855/10000</f>
        <v/>
      </c>
      <c r="U1855" s="15">
        <f>IF(N1855&gt;=Summary!$D$3,1,0)</f>
        <v/>
      </c>
      <c r="V1855" s="17">
        <f>IF(N1855&gt;0,P1855/N1855,"")</f>
        <v/>
      </c>
      <c r="W1855" s="17">
        <f>IF(O1855&gt;0,H1855/O1855,"")</f>
        <v/>
      </c>
    </row>
    <row r="1856">
      <c r="A1856" s="13" t="inlineStr">
        <is>
          <t>CE20_B1</t>
        </is>
      </c>
      <c r="B1856" s="13" t="inlineStr">
        <is>
          <t>CE20</t>
        </is>
      </c>
      <c r="C1856" s="13" t="inlineStr">
        <is>
          <t>B1</t>
        </is>
      </c>
      <c r="D1856" s="13" t="n">
        <v>0</v>
      </c>
      <c r="E1856" s="13" t="inlineStr">
        <is>
          <t>E</t>
        </is>
      </c>
      <c r="F1856" s="13" t="n">
        <v>2026</v>
      </c>
      <c r="G1856" s="14" t="n">
        <v>1000738.658711602</v>
      </c>
      <c r="H1856" s="14" t="n">
        <v>274002.5740709192</v>
      </c>
      <c r="I1856" s="14" t="n">
        <v>374196.2329347798</v>
      </c>
      <c r="J1856" s="14" t="n">
        <v>0</v>
      </c>
      <c r="K1856" s="14" t="n">
        <v>89922.48202233408</v>
      </c>
      <c r="L1856" s="14" t="n">
        <v>262617.3696835686</v>
      </c>
      <c r="M1856" s="14" t="n">
        <v>0</v>
      </c>
      <c r="N1856" s="14" t="n">
        <v>336570.3793127622</v>
      </c>
      <c r="O1856" s="14" t="n">
        <v>734017.5799186258</v>
      </c>
      <c r="P1856" s="14" t="n">
        <v>131821.665472442</v>
      </c>
      <c r="Q1856" s="14" t="n">
        <v>5374527.88847336</v>
      </c>
      <c r="R1856" s="15">
        <f>IF(D1856=1,"Section 1","Control")</f>
        <v/>
      </c>
      <c r="S1856" s="16">
        <f>N1856/10000</f>
        <v/>
      </c>
      <c r="T1856" s="16">
        <f>P1856/10000</f>
        <v/>
      </c>
      <c r="U1856" s="15">
        <f>IF(N1856&gt;=Summary!$D$3,1,0)</f>
        <v/>
      </c>
      <c r="V1856" s="17">
        <f>IF(N1856&gt;0,P1856/N1856,"")</f>
        <v/>
      </c>
      <c r="W1856" s="17">
        <f>IF(O1856&gt;0,H1856/O1856,"")</f>
        <v/>
      </c>
    </row>
    <row r="1857">
      <c r="A1857" s="13" t="inlineStr">
        <is>
          <t>CE20_B2</t>
        </is>
      </c>
      <c r="B1857" s="13" t="inlineStr">
        <is>
          <t>CE20</t>
        </is>
      </c>
      <c r="C1857" s="13" t="inlineStr">
        <is>
          <t>B2</t>
        </is>
      </c>
      <c r="D1857" s="13" t="n">
        <v>0</v>
      </c>
      <c r="E1857" s="13" t="inlineStr">
        <is>
          <t>E</t>
        </is>
      </c>
      <c r="F1857" s="13" t="n">
        <v>2020</v>
      </c>
      <c r="G1857" s="14" t="n">
        <v>1000511.762121821</v>
      </c>
      <c r="H1857" s="14" t="n">
        <v>89558.05334406834</v>
      </c>
      <c r="I1857" s="14" t="n">
        <v>409312.7773618212</v>
      </c>
      <c r="J1857" s="14" t="n">
        <v>0</v>
      </c>
      <c r="K1857" s="14" t="n">
        <v>1448.793340914857</v>
      </c>
      <c r="L1857" s="14" t="n">
        <v>500192.1380750169</v>
      </c>
      <c r="M1857" s="14" t="n">
        <v>0</v>
      </c>
      <c r="N1857" s="14" t="n">
        <v>89558.05334406834</v>
      </c>
      <c r="O1857" s="14" t="n">
        <v>500319.6240468044</v>
      </c>
      <c r="P1857" s="14" t="n">
        <v>0</v>
      </c>
      <c r="Q1857" s="14" t="n">
        <v>3210188.941796006</v>
      </c>
      <c r="R1857" s="15">
        <f>IF(D1857=1,"Section 1","Control")</f>
        <v/>
      </c>
      <c r="S1857" s="16">
        <f>N1857/10000</f>
        <v/>
      </c>
      <c r="T1857" s="16">
        <f>P1857/10000</f>
        <v/>
      </c>
      <c r="U1857" s="15">
        <f>IF(N1857&gt;=Summary!$D$3,1,0)</f>
        <v/>
      </c>
      <c r="V1857" s="17">
        <f>IF(N1857&gt;0,P1857/N1857,"")</f>
        <v/>
      </c>
      <c r="W1857" s="17">
        <f>IF(O1857&gt;0,H1857/O1857,"")</f>
        <v/>
      </c>
    </row>
    <row r="1858">
      <c r="A1858" s="13" t="inlineStr">
        <is>
          <t>CE20_B2</t>
        </is>
      </c>
      <c r="B1858" s="13" t="inlineStr">
        <is>
          <t>CE20</t>
        </is>
      </c>
      <c r="C1858" s="13" t="inlineStr">
        <is>
          <t>B2</t>
        </is>
      </c>
      <c r="D1858" s="13" t="n">
        <v>0</v>
      </c>
      <c r="E1858" s="13" t="inlineStr">
        <is>
          <t>E</t>
        </is>
      </c>
      <c r="F1858" s="13" t="n">
        <v>2021</v>
      </c>
      <c r="G1858" s="14" t="n">
        <v>1000511.762121821</v>
      </c>
      <c r="H1858" s="14" t="n">
        <v>76943.67658805099</v>
      </c>
      <c r="I1858" s="14" t="n">
        <v>410887.3556055704</v>
      </c>
      <c r="J1858" s="14" t="n">
        <v>0</v>
      </c>
      <c r="K1858" s="14" t="n">
        <v>12488.59185318292</v>
      </c>
      <c r="L1858" s="14" t="n">
        <v>500192.138075017</v>
      </c>
      <c r="M1858" s="14" t="n">
        <v>0</v>
      </c>
      <c r="N1858" s="14" t="n">
        <v>89558.05334406834</v>
      </c>
      <c r="O1858" s="14" t="n">
        <v>500319.6240468044</v>
      </c>
      <c r="P1858" s="14" t="n">
        <v>25140.95114764045</v>
      </c>
      <c r="Q1858" s="14" t="n">
        <v>3210188.941796006</v>
      </c>
      <c r="R1858" s="15">
        <f>IF(D1858=1,"Section 1","Control")</f>
        <v/>
      </c>
      <c r="S1858" s="16">
        <f>N1858/10000</f>
        <v/>
      </c>
      <c r="T1858" s="16">
        <f>P1858/10000</f>
        <v/>
      </c>
      <c r="U1858" s="15">
        <f>IF(N1858&gt;=Summary!$D$3,1,0)</f>
        <v/>
      </c>
      <c r="V1858" s="17">
        <f>IF(N1858&gt;0,P1858/N1858,"")</f>
        <v/>
      </c>
      <c r="W1858" s="17">
        <f>IF(O1858&gt;0,H1858/O1858,"")</f>
        <v/>
      </c>
    </row>
    <row r="1859">
      <c r="A1859" s="13" t="inlineStr">
        <is>
          <t>CE20_B2</t>
        </is>
      </c>
      <c r="B1859" s="13" t="inlineStr">
        <is>
          <t>CE20</t>
        </is>
      </c>
      <c r="C1859" s="13" t="inlineStr">
        <is>
          <t>B2</t>
        </is>
      </c>
      <c r="D1859" s="13" t="n">
        <v>0</v>
      </c>
      <c r="E1859" s="13" t="inlineStr">
        <is>
          <t>E</t>
        </is>
      </c>
      <c r="F1859" s="13" t="n">
        <v>2022</v>
      </c>
      <c r="G1859" s="14" t="n">
        <v>1000511.762121821</v>
      </c>
      <c r="H1859" s="14" t="n">
        <v>147047.1830617568</v>
      </c>
      <c r="I1859" s="14" t="n">
        <v>341833.0838113523</v>
      </c>
      <c r="J1859" s="14" t="n">
        <v>0</v>
      </c>
      <c r="K1859" s="14" t="n">
        <v>11439.35717369528</v>
      </c>
      <c r="L1859" s="14" t="n">
        <v>500192.1380750169</v>
      </c>
      <c r="M1859" s="14" t="n">
        <v>0</v>
      </c>
      <c r="N1859" s="14" t="n">
        <v>89558.05334406834</v>
      </c>
      <c r="O1859" s="14" t="n">
        <v>500319.6240468044</v>
      </c>
      <c r="P1859" s="14" t="n">
        <v>11625.97860726749</v>
      </c>
      <c r="Q1859" s="14" t="n">
        <v>3210188.941796006</v>
      </c>
      <c r="R1859" s="15">
        <f>IF(D1859=1,"Section 1","Control")</f>
        <v/>
      </c>
      <c r="S1859" s="16">
        <f>N1859/10000</f>
        <v/>
      </c>
      <c r="T1859" s="16">
        <f>P1859/10000</f>
        <v/>
      </c>
      <c r="U1859" s="15">
        <f>IF(N1859&gt;=Summary!$D$3,1,0)</f>
        <v/>
      </c>
      <c r="V1859" s="17">
        <f>IF(N1859&gt;0,P1859/N1859,"")</f>
        <v/>
      </c>
      <c r="W1859" s="17">
        <f>IF(O1859&gt;0,H1859/O1859,"")</f>
        <v/>
      </c>
    </row>
    <row r="1860">
      <c r="A1860" s="13" t="inlineStr">
        <is>
          <t>CE20_B2</t>
        </is>
      </c>
      <c r="B1860" s="13" t="inlineStr">
        <is>
          <t>CE20</t>
        </is>
      </c>
      <c r="C1860" s="13" t="inlineStr">
        <is>
          <t>B2</t>
        </is>
      </c>
      <c r="D1860" s="13" t="n">
        <v>0</v>
      </c>
      <c r="E1860" s="13" t="inlineStr">
        <is>
          <t>E</t>
        </is>
      </c>
      <c r="F1860" s="13" t="n">
        <v>2023</v>
      </c>
      <c r="G1860" s="14" t="n">
        <v>1000511.762121821</v>
      </c>
      <c r="H1860" s="14" t="n">
        <v>142307.0982076308</v>
      </c>
      <c r="I1860" s="14" t="n">
        <v>348042.4871276556</v>
      </c>
      <c r="J1860" s="14" t="n">
        <v>0</v>
      </c>
      <c r="K1860" s="14" t="n">
        <v>9970.038711517933</v>
      </c>
      <c r="L1860" s="14" t="n">
        <v>500192.1380750169</v>
      </c>
      <c r="M1860" s="14" t="n">
        <v>0</v>
      </c>
      <c r="N1860" s="14" t="n">
        <v>89558.05334406834</v>
      </c>
      <c r="O1860" s="14" t="n">
        <v>500319.6240468044</v>
      </c>
      <c r="P1860" s="14" t="n">
        <v>13104.1920084037</v>
      </c>
      <c r="Q1860" s="14" t="n">
        <v>3210188.941796006</v>
      </c>
      <c r="R1860" s="15">
        <f>IF(D1860=1,"Section 1","Control")</f>
        <v/>
      </c>
      <c r="S1860" s="16">
        <f>N1860/10000</f>
        <v/>
      </c>
      <c r="T1860" s="16">
        <f>P1860/10000</f>
        <v/>
      </c>
      <c r="U1860" s="15">
        <f>IF(N1860&gt;=Summary!$D$3,1,0)</f>
        <v/>
      </c>
      <c r="V1860" s="17">
        <f>IF(N1860&gt;0,P1860/N1860,"")</f>
        <v/>
      </c>
      <c r="W1860" s="17">
        <f>IF(O1860&gt;0,H1860/O1860,"")</f>
        <v/>
      </c>
    </row>
    <row r="1861">
      <c r="A1861" s="13" t="inlineStr">
        <is>
          <t>CE20_B2</t>
        </is>
      </c>
      <c r="B1861" s="13" t="inlineStr">
        <is>
          <t>CE20</t>
        </is>
      </c>
      <c r="C1861" s="13" t="inlineStr">
        <is>
          <t>B2</t>
        </is>
      </c>
      <c r="D1861" s="13" t="n">
        <v>0</v>
      </c>
      <c r="E1861" s="13" t="inlineStr">
        <is>
          <t>E</t>
        </is>
      </c>
      <c r="F1861" s="13" t="n">
        <v>2024</v>
      </c>
      <c r="G1861" s="14" t="n">
        <v>1000511.762121821</v>
      </c>
      <c r="H1861" s="14" t="n">
        <v>142709.7463842354</v>
      </c>
      <c r="I1861" s="14" t="n">
        <v>347287.1259189381</v>
      </c>
      <c r="J1861" s="14" t="n">
        <v>0</v>
      </c>
      <c r="K1861" s="14" t="n">
        <v>10322.7517436308</v>
      </c>
      <c r="L1861" s="14" t="n">
        <v>500192.1380750169</v>
      </c>
      <c r="M1861" s="14" t="n">
        <v>0</v>
      </c>
      <c r="N1861" s="14" t="n">
        <v>89558.05334406834</v>
      </c>
      <c r="O1861" s="14" t="n">
        <v>500319.6240468044</v>
      </c>
      <c r="P1861" s="14" t="n">
        <v>15850.01090752097</v>
      </c>
      <c r="Q1861" s="14" t="n">
        <v>3210188.941796006</v>
      </c>
      <c r="R1861" s="15">
        <f>IF(D1861=1,"Section 1","Control")</f>
        <v/>
      </c>
      <c r="S1861" s="16">
        <f>N1861/10000</f>
        <v/>
      </c>
      <c r="T1861" s="16">
        <f>P1861/10000</f>
        <v/>
      </c>
      <c r="U1861" s="15">
        <f>IF(N1861&gt;=Summary!$D$3,1,0)</f>
        <v/>
      </c>
      <c r="V1861" s="17">
        <f>IF(N1861&gt;0,P1861/N1861,"")</f>
        <v/>
      </c>
      <c r="W1861" s="17">
        <f>IF(O1861&gt;0,H1861/O1861,"")</f>
        <v/>
      </c>
    </row>
    <row r="1862">
      <c r="A1862" s="13" t="inlineStr">
        <is>
          <t>CE20_B2</t>
        </is>
      </c>
      <c r="B1862" s="13" t="inlineStr">
        <is>
          <t>CE20</t>
        </is>
      </c>
      <c r="C1862" s="13" t="inlineStr">
        <is>
          <t>B2</t>
        </is>
      </c>
      <c r="D1862" s="13" t="n">
        <v>0</v>
      </c>
      <c r="E1862" s="13" t="inlineStr">
        <is>
          <t>E</t>
        </is>
      </c>
      <c r="F1862" s="13" t="n">
        <v>2025</v>
      </c>
      <c r="G1862" s="14" t="n">
        <v>1000511.762121821</v>
      </c>
      <c r="H1862" s="14" t="n">
        <v>137041.9288168215</v>
      </c>
      <c r="I1862" s="14" t="n">
        <v>352954.9426623774</v>
      </c>
      <c r="J1862" s="14" t="n">
        <v>0</v>
      </c>
      <c r="K1862" s="14" t="n">
        <v>10322.75256760541</v>
      </c>
      <c r="L1862" s="14" t="n">
        <v>500192.1380750169</v>
      </c>
      <c r="M1862" s="14" t="n">
        <v>0</v>
      </c>
      <c r="N1862" s="14" t="n">
        <v>89558.05334406834</v>
      </c>
      <c r="O1862" s="14" t="n">
        <v>500319.6240468044</v>
      </c>
      <c r="P1862" s="14" t="n">
        <v>16858.20851233987</v>
      </c>
      <c r="Q1862" s="14" t="n">
        <v>3210188.941796006</v>
      </c>
      <c r="R1862" s="15">
        <f>IF(D1862=1,"Section 1","Control")</f>
        <v/>
      </c>
      <c r="S1862" s="16">
        <f>N1862/10000</f>
        <v/>
      </c>
      <c r="T1862" s="16">
        <f>P1862/10000</f>
        <v/>
      </c>
      <c r="U1862" s="15">
        <f>IF(N1862&gt;=Summary!$D$3,1,0)</f>
        <v/>
      </c>
      <c r="V1862" s="17">
        <f>IF(N1862&gt;0,P1862/N1862,"")</f>
        <v/>
      </c>
      <c r="W1862" s="17">
        <f>IF(O1862&gt;0,H1862/O1862,"")</f>
        <v/>
      </c>
    </row>
    <row r="1863">
      <c r="A1863" s="13" t="inlineStr">
        <is>
          <t>CE20_B2</t>
        </is>
      </c>
      <c r="B1863" s="13" t="inlineStr">
        <is>
          <t>CE20</t>
        </is>
      </c>
      <c r="C1863" s="13" t="inlineStr">
        <is>
          <t>B2</t>
        </is>
      </c>
      <c r="D1863" s="13" t="n">
        <v>0</v>
      </c>
      <c r="E1863" s="13" t="inlineStr">
        <is>
          <t>E</t>
        </is>
      </c>
      <c r="F1863" s="13" t="n">
        <v>2026</v>
      </c>
      <c r="G1863" s="14" t="n">
        <v>1000511.762121821</v>
      </c>
      <c r="H1863" s="14" t="n">
        <v>200564.876269292</v>
      </c>
      <c r="I1863" s="14" t="n">
        <v>287333.1400939343</v>
      </c>
      <c r="J1863" s="14" t="n">
        <v>0</v>
      </c>
      <c r="K1863" s="14" t="n">
        <v>12421.60768357819</v>
      </c>
      <c r="L1863" s="14" t="n">
        <v>500192.138075017</v>
      </c>
      <c r="M1863" s="14" t="n">
        <v>0</v>
      </c>
      <c r="N1863" s="14" t="n">
        <v>89558.05334406834</v>
      </c>
      <c r="O1863" s="14" t="n">
        <v>500319.6240468044</v>
      </c>
      <c r="P1863" s="14" t="n">
        <v>12698.43514087153</v>
      </c>
      <c r="Q1863" s="14" t="n">
        <v>3210188.941796006</v>
      </c>
      <c r="R1863" s="15">
        <f>IF(D1863=1,"Section 1","Control")</f>
        <v/>
      </c>
      <c r="S1863" s="16">
        <f>N1863/10000</f>
        <v/>
      </c>
      <c r="T1863" s="16">
        <f>P1863/10000</f>
        <v/>
      </c>
      <c r="U1863" s="15">
        <f>IF(N1863&gt;=Summary!$D$3,1,0)</f>
        <v/>
      </c>
      <c r="V1863" s="17">
        <f>IF(N1863&gt;0,P1863/N1863,"")</f>
        <v/>
      </c>
      <c r="W1863" s="17">
        <f>IF(O1863&gt;0,H1863/O1863,"")</f>
        <v/>
      </c>
    </row>
    <row r="1864">
      <c r="A1864" s="13" t="inlineStr">
        <is>
          <t>CE20_B3</t>
        </is>
      </c>
      <c r="B1864" s="13" t="inlineStr">
        <is>
          <t>CE20</t>
        </is>
      </c>
      <c r="C1864" s="13" t="inlineStr">
        <is>
          <t>B3</t>
        </is>
      </c>
      <c r="D1864" s="13" t="n">
        <v>0</v>
      </c>
      <c r="E1864" s="13" t="inlineStr">
        <is>
          <t>E</t>
        </is>
      </c>
      <c r="F1864" s="13" t="n">
        <v>2020</v>
      </c>
      <c r="G1864" s="14" t="n">
        <v>8004879.043359404</v>
      </c>
      <c r="H1864" s="14" t="n">
        <v>2351515.764757463</v>
      </c>
      <c r="I1864" s="14" t="n">
        <v>1008941.72691438</v>
      </c>
      <c r="J1864" s="14" t="n">
        <v>0</v>
      </c>
      <c r="K1864" s="14" t="n">
        <v>55906.32445484237</v>
      </c>
      <c r="L1864" s="14" t="n">
        <v>4588515.227232721</v>
      </c>
      <c r="M1864" s="14" t="n">
        <v>0</v>
      </c>
      <c r="N1864" s="14" t="n">
        <v>2351515.764757463</v>
      </c>
      <c r="O1864" s="14" t="n">
        <v>3416363.816126686</v>
      </c>
      <c r="P1864" s="14" t="n">
        <v>0</v>
      </c>
      <c r="Q1864" s="14" t="n">
        <v>24896548.42116436</v>
      </c>
      <c r="R1864" s="15">
        <f>IF(D1864=1,"Section 1","Control")</f>
        <v/>
      </c>
      <c r="S1864" s="16">
        <f>N1864/10000</f>
        <v/>
      </c>
      <c r="T1864" s="16">
        <f>P1864/10000</f>
        <v/>
      </c>
      <c r="U1864" s="15">
        <f>IF(N1864&gt;=Summary!$D$3,1,0)</f>
        <v/>
      </c>
      <c r="V1864" s="17">
        <f>IF(N1864&gt;0,P1864/N1864,"")</f>
        <v/>
      </c>
      <c r="W1864" s="17">
        <f>IF(O1864&gt;0,H1864/O1864,"")</f>
        <v/>
      </c>
    </row>
    <row r="1865">
      <c r="A1865" s="13" t="inlineStr">
        <is>
          <t>CE20_B3</t>
        </is>
      </c>
      <c r="B1865" s="13" t="inlineStr">
        <is>
          <t>CE20</t>
        </is>
      </c>
      <c r="C1865" s="13" t="inlineStr">
        <is>
          <t>B3</t>
        </is>
      </c>
      <c r="D1865" s="13" t="n">
        <v>0</v>
      </c>
      <c r="E1865" s="13" t="inlineStr">
        <is>
          <t>E</t>
        </is>
      </c>
      <c r="F1865" s="13" t="n">
        <v>2021</v>
      </c>
      <c r="G1865" s="14" t="n">
        <v>8004879.043359404</v>
      </c>
      <c r="H1865" s="14" t="n">
        <v>2188038.748588413</v>
      </c>
      <c r="I1865" s="14" t="n">
        <v>1026669.683494209</v>
      </c>
      <c r="J1865" s="14" t="n">
        <v>0</v>
      </c>
      <c r="K1865" s="14" t="n">
        <v>318306.8639915018</v>
      </c>
      <c r="L1865" s="14" t="n">
        <v>4471863.747285282</v>
      </c>
      <c r="M1865" s="14" t="n">
        <v>0</v>
      </c>
      <c r="N1865" s="14" t="n">
        <v>2351515.764757463</v>
      </c>
      <c r="O1865" s="14" t="n">
        <v>3416363.816126686</v>
      </c>
      <c r="P1865" s="14" t="n">
        <v>234895.434903014</v>
      </c>
      <c r="Q1865" s="14" t="n">
        <v>24896548.42116436</v>
      </c>
      <c r="R1865" s="15">
        <f>IF(D1865=1,"Section 1","Control")</f>
        <v/>
      </c>
      <c r="S1865" s="16">
        <f>N1865/10000</f>
        <v/>
      </c>
      <c r="T1865" s="16">
        <f>P1865/10000</f>
        <v/>
      </c>
      <c r="U1865" s="15">
        <f>IF(N1865&gt;=Summary!$D$3,1,0)</f>
        <v/>
      </c>
      <c r="V1865" s="17">
        <f>IF(N1865&gt;0,P1865/N1865,"")</f>
        <v/>
      </c>
      <c r="W1865" s="17">
        <f>IF(O1865&gt;0,H1865/O1865,"")</f>
        <v/>
      </c>
    </row>
    <row r="1866">
      <c r="A1866" s="13" t="inlineStr">
        <is>
          <t>CE20_B3</t>
        </is>
      </c>
      <c r="B1866" s="13" t="inlineStr">
        <is>
          <t>CE20</t>
        </is>
      </c>
      <c r="C1866" s="13" t="inlineStr">
        <is>
          <t>B3</t>
        </is>
      </c>
      <c r="D1866" s="13" t="n">
        <v>0</v>
      </c>
      <c r="E1866" s="13" t="inlineStr">
        <is>
          <t>E</t>
        </is>
      </c>
      <c r="F1866" s="13" t="n">
        <v>2022</v>
      </c>
      <c r="G1866" s="14" t="n">
        <v>8004879.043359404</v>
      </c>
      <c r="H1866" s="14" t="n">
        <v>2324141.071311323</v>
      </c>
      <c r="I1866" s="14" t="n">
        <v>928276.7240578744</v>
      </c>
      <c r="J1866" s="14" t="n">
        <v>0</v>
      </c>
      <c r="K1866" s="14" t="n">
        <v>265768.9507128248</v>
      </c>
      <c r="L1866" s="14" t="n">
        <v>4486692.297277384</v>
      </c>
      <c r="M1866" s="14" t="n">
        <v>0</v>
      </c>
      <c r="N1866" s="14" t="n">
        <v>2351515.764757463</v>
      </c>
      <c r="O1866" s="14" t="n">
        <v>3416363.816126686</v>
      </c>
      <c r="P1866" s="14" t="n">
        <v>190045.2409283507</v>
      </c>
      <c r="Q1866" s="14" t="n">
        <v>24896548.42116436</v>
      </c>
      <c r="R1866" s="15">
        <f>IF(D1866=1,"Section 1","Control")</f>
        <v/>
      </c>
      <c r="S1866" s="16">
        <f>N1866/10000</f>
        <v/>
      </c>
      <c r="T1866" s="16">
        <f>P1866/10000</f>
        <v/>
      </c>
      <c r="U1866" s="15">
        <f>IF(N1866&gt;=Summary!$D$3,1,0)</f>
        <v/>
      </c>
      <c r="V1866" s="17">
        <f>IF(N1866&gt;0,P1866/N1866,"")</f>
        <v/>
      </c>
      <c r="W1866" s="17">
        <f>IF(O1866&gt;0,H1866/O1866,"")</f>
        <v/>
      </c>
    </row>
    <row r="1867">
      <c r="A1867" s="13" t="inlineStr">
        <is>
          <t>CE20_B3</t>
        </is>
      </c>
      <c r="B1867" s="13" t="inlineStr">
        <is>
          <t>CE20</t>
        </is>
      </c>
      <c r="C1867" s="13" t="inlineStr">
        <is>
          <t>B3</t>
        </is>
      </c>
      <c r="D1867" s="13" t="n">
        <v>0</v>
      </c>
      <c r="E1867" s="13" t="inlineStr">
        <is>
          <t>E</t>
        </is>
      </c>
      <c r="F1867" s="13" t="n">
        <v>2023</v>
      </c>
      <c r="G1867" s="14" t="n">
        <v>8004879.043359406</v>
      </c>
      <c r="H1867" s="14" t="n">
        <v>2287791.180972709</v>
      </c>
      <c r="I1867" s="14" t="n">
        <v>996963.166932379</v>
      </c>
      <c r="J1867" s="14" t="n">
        <v>0</v>
      </c>
      <c r="K1867" s="14" t="n">
        <v>137873.3230927711</v>
      </c>
      <c r="L1867" s="14" t="n">
        <v>4582251.372361546</v>
      </c>
      <c r="M1867" s="14" t="n">
        <v>0</v>
      </c>
      <c r="N1867" s="14" t="n">
        <v>2351515.764757463</v>
      </c>
      <c r="O1867" s="14" t="n">
        <v>3416363.816126686</v>
      </c>
      <c r="P1867" s="14" t="n">
        <v>195903.2309185253</v>
      </c>
      <c r="Q1867" s="14" t="n">
        <v>24896548.42116436</v>
      </c>
      <c r="R1867" s="15">
        <f>IF(D1867=1,"Section 1","Control")</f>
        <v/>
      </c>
      <c r="S1867" s="16">
        <f>N1867/10000</f>
        <v/>
      </c>
      <c r="T1867" s="16">
        <f>P1867/10000</f>
        <v/>
      </c>
      <c r="U1867" s="15">
        <f>IF(N1867&gt;=Summary!$D$3,1,0)</f>
        <v/>
      </c>
      <c r="V1867" s="17">
        <f>IF(N1867&gt;0,P1867/N1867,"")</f>
        <v/>
      </c>
      <c r="W1867" s="17">
        <f>IF(O1867&gt;0,H1867/O1867,"")</f>
        <v/>
      </c>
    </row>
    <row r="1868">
      <c r="A1868" s="13" t="inlineStr">
        <is>
          <t>CE20_B3</t>
        </is>
      </c>
      <c r="B1868" s="13" t="inlineStr">
        <is>
          <t>CE20</t>
        </is>
      </c>
      <c r="C1868" s="13" t="inlineStr">
        <is>
          <t>B3</t>
        </is>
      </c>
      <c r="D1868" s="13" t="n">
        <v>0</v>
      </c>
      <c r="E1868" s="13" t="inlineStr">
        <is>
          <t>E</t>
        </is>
      </c>
      <c r="F1868" s="13" t="n">
        <v>2024</v>
      </c>
      <c r="G1868" s="14" t="n">
        <v>8004879.043359404</v>
      </c>
      <c r="H1868" s="14" t="n">
        <v>2438487.404094532</v>
      </c>
      <c r="I1868" s="14" t="n">
        <v>872177.8154056325</v>
      </c>
      <c r="J1868" s="14" t="n">
        <v>0</v>
      </c>
      <c r="K1868" s="14" t="n">
        <v>176276.5085123997</v>
      </c>
      <c r="L1868" s="14" t="n">
        <v>4517937.315346841</v>
      </c>
      <c r="M1868" s="14" t="n">
        <v>0</v>
      </c>
      <c r="N1868" s="14" t="n">
        <v>2351515.764757463</v>
      </c>
      <c r="O1868" s="14" t="n">
        <v>3416363.816126686</v>
      </c>
      <c r="P1868" s="14" t="n">
        <v>148109.9870393641</v>
      </c>
      <c r="Q1868" s="14" t="n">
        <v>24896548.42116436</v>
      </c>
      <c r="R1868" s="15">
        <f>IF(D1868=1,"Section 1","Control")</f>
        <v/>
      </c>
      <c r="S1868" s="16">
        <f>N1868/10000</f>
        <v/>
      </c>
      <c r="T1868" s="16">
        <f>P1868/10000</f>
        <v/>
      </c>
      <c r="U1868" s="15">
        <f>IF(N1868&gt;=Summary!$D$3,1,0)</f>
        <v/>
      </c>
      <c r="V1868" s="17">
        <f>IF(N1868&gt;0,P1868/N1868,"")</f>
        <v/>
      </c>
      <c r="W1868" s="17">
        <f>IF(O1868&gt;0,H1868/O1868,"")</f>
        <v/>
      </c>
    </row>
    <row r="1869">
      <c r="A1869" s="13" t="inlineStr">
        <is>
          <t>CE20_B3</t>
        </is>
      </c>
      <c r="B1869" s="13" t="inlineStr">
        <is>
          <t>CE20</t>
        </is>
      </c>
      <c r="C1869" s="13" t="inlineStr">
        <is>
          <t>B3</t>
        </is>
      </c>
      <c r="D1869" s="13" t="n">
        <v>0</v>
      </c>
      <c r="E1869" s="13" t="inlineStr">
        <is>
          <t>E</t>
        </is>
      </c>
      <c r="F1869" s="13" t="n">
        <v>2025</v>
      </c>
      <c r="G1869" s="14" t="n">
        <v>8004879.043359405</v>
      </c>
      <c r="H1869" s="14" t="n">
        <v>2498002.285806993</v>
      </c>
      <c r="I1869" s="14" t="n">
        <v>783234.3945387297</v>
      </c>
      <c r="J1869" s="14" t="n">
        <v>0</v>
      </c>
      <c r="K1869" s="14" t="n">
        <v>134942.1033774582</v>
      </c>
      <c r="L1869" s="14" t="n">
        <v>4588700.259636225</v>
      </c>
      <c r="M1869" s="14" t="n">
        <v>0</v>
      </c>
      <c r="N1869" s="14" t="n">
        <v>2351515.764757463</v>
      </c>
      <c r="O1869" s="14" t="n">
        <v>3416363.816126686</v>
      </c>
      <c r="P1869" s="14" t="n">
        <v>139089.599831166</v>
      </c>
      <c r="Q1869" s="14" t="n">
        <v>24896548.42116436</v>
      </c>
      <c r="R1869" s="15">
        <f>IF(D1869=1,"Section 1","Control")</f>
        <v/>
      </c>
      <c r="S1869" s="16">
        <f>N1869/10000</f>
        <v/>
      </c>
      <c r="T1869" s="16">
        <f>P1869/10000</f>
        <v/>
      </c>
      <c r="U1869" s="15">
        <f>IF(N1869&gt;=Summary!$D$3,1,0)</f>
        <v/>
      </c>
      <c r="V1869" s="17">
        <f>IF(N1869&gt;0,P1869/N1869,"")</f>
        <v/>
      </c>
      <c r="W1869" s="17">
        <f>IF(O1869&gt;0,H1869/O1869,"")</f>
        <v/>
      </c>
    </row>
    <row r="1870">
      <c r="A1870" s="13" t="inlineStr">
        <is>
          <t>CE20_B3</t>
        </is>
      </c>
      <c r="B1870" s="13" t="inlineStr">
        <is>
          <t>CE20</t>
        </is>
      </c>
      <c r="C1870" s="13" t="inlineStr">
        <is>
          <t>B3</t>
        </is>
      </c>
      <c r="D1870" s="13" t="n">
        <v>0</v>
      </c>
      <c r="E1870" s="13" t="inlineStr">
        <is>
          <t>E</t>
        </is>
      </c>
      <c r="F1870" s="13" t="n">
        <v>2026</v>
      </c>
      <c r="G1870" s="14" t="n">
        <v>8004879.043359405</v>
      </c>
      <c r="H1870" s="14" t="n">
        <v>2442361.852787691</v>
      </c>
      <c r="I1870" s="14" t="n">
        <v>795529.4133677463</v>
      </c>
      <c r="J1870" s="14" t="n">
        <v>0</v>
      </c>
      <c r="K1870" s="14" t="n">
        <v>164723.9360484404</v>
      </c>
      <c r="L1870" s="14" t="n">
        <v>4602263.841155527</v>
      </c>
      <c r="M1870" s="14" t="n">
        <v>0</v>
      </c>
      <c r="N1870" s="14" t="n">
        <v>2351515.764757463</v>
      </c>
      <c r="O1870" s="14" t="n">
        <v>3416363.816126686</v>
      </c>
      <c r="P1870" s="14" t="n">
        <v>146359.7530354818</v>
      </c>
      <c r="Q1870" s="14" t="n">
        <v>24896548.42116436</v>
      </c>
      <c r="R1870" s="15">
        <f>IF(D1870=1,"Section 1","Control")</f>
        <v/>
      </c>
      <c r="S1870" s="16">
        <f>N1870/10000</f>
        <v/>
      </c>
      <c r="T1870" s="16">
        <f>P1870/10000</f>
        <v/>
      </c>
      <c r="U1870" s="15">
        <f>IF(N1870&gt;=Summary!$D$3,1,0)</f>
        <v/>
      </c>
      <c r="V1870" s="17">
        <f>IF(N1870&gt;0,P1870/N1870,"")</f>
        <v/>
      </c>
      <c r="W1870" s="17">
        <f>IF(O1870&gt;0,H1870/O1870,"")</f>
        <v/>
      </c>
    </row>
    <row r="1871">
      <c r="A1871" s="13" t="inlineStr">
        <is>
          <t>CE20_F</t>
        </is>
      </c>
      <c r="B1871" s="13" t="inlineStr">
        <is>
          <t>CE20</t>
        </is>
      </c>
      <c r="C1871" s="13" t="inlineStr">
        <is>
          <t>F</t>
        </is>
      </c>
      <c r="D1871" s="13" t="n">
        <v>0</v>
      </c>
      <c r="E1871" s="13" t="inlineStr">
        <is>
          <t>E</t>
        </is>
      </c>
      <c r="F1871" s="13" t="n">
        <v>2020</v>
      </c>
      <c r="G1871" s="14" t="n">
        <v>69318.23053699567</v>
      </c>
      <c r="H1871" s="14" t="n">
        <v>54048.74216984766</v>
      </c>
      <c r="I1871" s="14" t="n">
        <v>14515.26780323702</v>
      </c>
      <c r="J1871" s="14" t="n">
        <v>0</v>
      </c>
      <c r="K1871" s="14" t="n">
        <v>754.2205639109893</v>
      </c>
      <c r="L1871" s="14" t="n">
        <v>0</v>
      </c>
      <c r="M1871" s="14" t="n">
        <v>0</v>
      </c>
      <c r="N1871" s="14" t="n">
        <v>54048.74216984766</v>
      </c>
      <c r="O1871" s="14" t="n">
        <v>69318.23053699567</v>
      </c>
      <c r="P1871" s="14" t="n">
        <v>0</v>
      </c>
      <c r="Q1871" s="14" t="n">
        <v>535899.7780912512</v>
      </c>
      <c r="R1871" s="15">
        <f>IF(D1871=1,"Section 1","Control")</f>
        <v/>
      </c>
      <c r="S1871" s="16">
        <f>N1871/10000</f>
        <v/>
      </c>
      <c r="T1871" s="16">
        <f>P1871/10000</f>
        <v/>
      </c>
      <c r="U1871" s="15">
        <f>IF(N1871&gt;=Summary!$D$3,1,0)</f>
        <v/>
      </c>
      <c r="V1871" s="17">
        <f>IF(N1871&gt;0,P1871/N1871,"")</f>
        <v/>
      </c>
      <c r="W1871" s="17">
        <f>IF(O1871&gt;0,H1871/O1871,"")</f>
        <v/>
      </c>
    </row>
    <row r="1872">
      <c r="A1872" s="13" t="inlineStr">
        <is>
          <t>CE20_F</t>
        </is>
      </c>
      <c r="B1872" s="13" t="inlineStr">
        <is>
          <t>CE20</t>
        </is>
      </c>
      <c r="C1872" s="13" t="inlineStr">
        <is>
          <t>F</t>
        </is>
      </c>
      <c r="D1872" s="13" t="n">
        <v>0</v>
      </c>
      <c r="E1872" s="13" t="inlineStr">
        <is>
          <t>E</t>
        </is>
      </c>
      <c r="F1872" s="13" t="n">
        <v>2021</v>
      </c>
      <c r="G1872" s="14" t="n">
        <v>69318.23053699567</v>
      </c>
      <c r="H1872" s="14" t="n">
        <v>37647.92501828063</v>
      </c>
      <c r="I1872" s="14" t="n">
        <v>21606.02703220144</v>
      </c>
      <c r="J1872" s="14" t="n">
        <v>0</v>
      </c>
      <c r="K1872" s="14" t="n">
        <v>10064.27848651362</v>
      </c>
      <c r="L1872" s="14" t="n">
        <v>0</v>
      </c>
      <c r="M1872" s="14" t="n">
        <v>0</v>
      </c>
      <c r="N1872" s="14" t="n">
        <v>54048.74216984766</v>
      </c>
      <c r="O1872" s="14" t="n">
        <v>69318.23053699567</v>
      </c>
      <c r="P1872" s="14" t="n">
        <v>16711.72020485074</v>
      </c>
      <c r="Q1872" s="14" t="n">
        <v>535899.7780912512</v>
      </c>
      <c r="R1872" s="15">
        <f>IF(D1872=1,"Section 1","Control")</f>
        <v/>
      </c>
      <c r="S1872" s="16">
        <f>N1872/10000</f>
        <v/>
      </c>
      <c r="T1872" s="16">
        <f>P1872/10000</f>
        <v/>
      </c>
      <c r="U1872" s="15">
        <f>IF(N1872&gt;=Summary!$D$3,1,0)</f>
        <v/>
      </c>
      <c r="V1872" s="17">
        <f>IF(N1872&gt;0,P1872/N1872,"")</f>
        <v/>
      </c>
      <c r="W1872" s="17">
        <f>IF(O1872&gt;0,H1872/O1872,"")</f>
        <v/>
      </c>
    </row>
    <row r="1873">
      <c r="A1873" s="13" t="inlineStr">
        <is>
          <t>CE20_F</t>
        </is>
      </c>
      <c r="B1873" s="13" t="inlineStr">
        <is>
          <t>CE20</t>
        </is>
      </c>
      <c r="C1873" s="13" t="inlineStr">
        <is>
          <t>F</t>
        </is>
      </c>
      <c r="D1873" s="13" t="n">
        <v>0</v>
      </c>
      <c r="E1873" s="13" t="inlineStr">
        <is>
          <t>E</t>
        </is>
      </c>
      <c r="F1873" s="13" t="n">
        <v>2022</v>
      </c>
      <c r="G1873" s="14" t="n">
        <v>69318.23053699567</v>
      </c>
      <c r="H1873" s="14" t="n">
        <v>33053.29387201047</v>
      </c>
      <c r="I1873" s="14" t="n">
        <v>31626.55576689477</v>
      </c>
      <c r="J1873" s="14" t="n">
        <v>0</v>
      </c>
      <c r="K1873" s="14" t="n">
        <v>4638.380898090438</v>
      </c>
      <c r="L1873" s="14" t="n">
        <v>0</v>
      </c>
      <c r="M1873" s="14" t="n">
        <v>0</v>
      </c>
      <c r="N1873" s="14" t="n">
        <v>54048.74216984766</v>
      </c>
      <c r="O1873" s="14" t="n">
        <v>69318.23053699567</v>
      </c>
      <c r="P1873" s="14" t="n">
        <v>21108.89103160185</v>
      </c>
      <c r="Q1873" s="14" t="n">
        <v>535899.7780912512</v>
      </c>
      <c r="R1873" s="15">
        <f>IF(D1873=1,"Section 1","Control")</f>
        <v/>
      </c>
      <c r="S1873" s="16">
        <f>N1873/10000</f>
        <v/>
      </c>
      <c r="T1873" s="16">
        <f>P1873/10000</f>
        <v/>
      </c>
      <c r="U1873" s="15">
        <f>IF(N1873&gt;=Summary!$D$3,1,0)</f>
        <v/>
      </c>
      <c r="V1873" s="17">
        <f>IF(N1873&gt;0,P1873/N1873,"")</f>
        <v/>
      </c>
      <c r="W1873" s="17">
        <f>IF(O1873&gt;0,H1873/O1873,"")</f>
        <v/>
      </c>
    </row>
    <row r="1874">
      <c r="A1874" s="13" t="inlineStr">
        <is>
          <t>CE20_F</t>
        </is>
      </c>
      <c r="B1874" s="13" t="inlineStr">
        <is>
          <t>CE20</t>
        </is>
      </c>
      <c r="C1874" s="13" t="inlineStr">
        <is>
          <t>F</t>
        </is>
      </c>
      <c r="D1874" s="13" t="n">
        <v>0</v>
      </c>
      <c r="E1874" s="13" t="inlineStr">
        <is>
          <t>E</t>
        </is>
      </c>
      <c r="F1874" s="13" t="n">
        <v>2023</v>
      </c>
      <c r="G1874" s="14" t="n">
        <v>69318.23053699567</v>
      </c>
      <c r="H1874" s="14" t="n">
        <v>29356.91229370715</v>
      </c>
      <c r="I1874" s="14" t="n">
        <v>37974.71378553803</v>
      </c>
      <c r="J1874" s="14" t="n">
        <v>0</v>
      </c>
      <c r="K1874" s="14" t="n">
        <v>1986.604457750508</v>
      </c>
      <c r="L1874" s="14" t="n">
        <v>0</v>
      </c>
      <c r="M1874" s="14" t="n">
        <v>0</v>
      </c>
      <c r="N1874" s="14" t="n">
        <v>54048.74216984766</v>
      </c>
      <c r="O1874" s="14" t="n">
        <v>69318.23053699567</v>
      </c>
      <c r="P1874" s="14" t="n">
        <v>24805.27260990517</v>
      </c>
      <c r="Q1874" s="14" t="n">
        <v>535899.7780912512</v>
      </c>
      <c r="R1874" s="15">
        <f>IF(D1874=1,"Section 1","Control")</f>
        <v/>
      </c>
      <c r="S1874" s="16">
        <f>N1874/10000</f>
        <v/>
      </c>
      <c r="T1874" s="16">
        <f>P1874/10000</f>
        <v/>
      </c>
      <c r="U1874" s="15">
        <f>IF(N1874&gt;=Summary!$D$3,1,0)</f>
        <v/>
      </c>
      <c r="V1874" s="17">
        <f>IF(N1874&gt;0,P1874/N1874,"")</f>
        <v/>
      </c>
      <c r="W1874" s="17">
        <f>IF(O1874&gt;0,H1874/O1874,"")</f>
        <v/>
      </c>
    </row>
    <row r="1875">
      <c r="A1875" s="13" t="inlineStr">
        <is>
          <t>CE20_F</t>
        </is>
      </c>
      <c r="B1875" s="13" t="inlineStr">
        <is>
          <t>CE20</t>
        </is>
      </c>
      <c r="C1875" s="13" t="inlineStr">
        <is>
          <t>F</t>
        </is>
      </c>
      <c r="D1875" s="13" t="n">
        <v>0</v>
      </c>
      <c r="E1875" s="13" t="inlineStr">
        <is>
          <t>E</t>
        </is>
      </c>
      <c r="F1875" s="13" t="n">
        <v>2024</v>
      </c>
      <c r="G1875" s="14" t="n">
        <v>69318.23053699567</v>
      </c>
      <c r="H1875" s="14" t="n">
        <v>29915.99533520867</v>
      </c>
      <c r="I1875" s="14" t="n">
        <v>37605.34721494189</v>
      </c>
      <c r="J1875" s="14" t="n">
        <v>0</v>
      </c>
      <c r="K1875" s="14" t="n">
        <v>1796.887986845129</v>
      </c>
      <c r="L1875" s="14" t="n">
        <v>0</v>
      </c>
      <c r="M1875" s="14" t="n">
        <v>0</v>
      </c>
      <c r="N1875" s="14" t="n">
        <v>54048.74216984766</v>
      </c>
      <c r="O1875" s="14" t="n">
        <v>69318.23053699567</v>
      </c>
      <c r="P1875" s="14" t="n">
        <v>24344.91974723666</v>
      </c>
      <c r="Q1875" s="14" t="n">
        <v>535899.7780912512</v>
      </c>
      <c r="R1875" s="15">
        <f>IF(D1875=1,"Section 1","Control")</f>
        <v/>
      </c>
      <c r="S1875" s="16">
        <f>N1875/10000</f>
        <v/>
      </c>
      <c r="T1875" s="16">
        <f>P1875/10000</f>
        <v/>
      </c>
      <c r="U1875" s="15">
        <f>IF(N1875&gt;=Summary!$D$3,1,0)</f>
        <v/>
      </c>
      <c r="V1875" s="17">
        <f>IF(N1875&gt;0,P1875/N1875,"")</f>
        <v/>
      </c>
      <c r="W1875" s="17">
        <f>IF(O1875&gt;0,H1875/O1875,"")</f>
        <v/>
      </c>
    </row>
    <row r="1876">
      <c r="A1876" s="13" t="inlineStr">
        <is>
          <t>CE20_F</t>
        </is>
      </c>
      <c r="B1876" s="13" t="inlineStr">
        <is>
          <t>CE20</t>
        </is>
      </c>
      <c r="C1876" s="13" t="inlineStr">
        <is>
          <t>F</t>
        </is>
      </c>
      <c r="D1876" s="13" t="n">
        <v>0</v>
      </c>
      <c r="E1876" s="13" t="inlineStr">
        <is>
          <t>E</t>
        </is>
      </c>
      <c r="F1876" s="13" t="n">
        <v>2025</v>
      </c>
      <c r="G1876" s="14" t="n">
        <v>69318.23053699567</v>
      </c>
      <c r="H1876" s="14" t="n">
        <v>30518.83161893359</v>
      </c>
      <c r="I1876" s="14" t="n">
        <v>37360.26253715964</v>
      </c>
      <c r="J1876" s="14" t="n">
        <v>0</v>
      </c>
      <c r="K1876" s="14" t="n">
        <v>1439.136380902459</v>
      </c>
      <c r="L1876" s="14" t="n">
        <v>0</v>
      </c>
      <c r="M1876" s="14" t="n">
        <v>0</v>
      </c>
      <c r="N1876" s="14" t="n">
        <v>54048.74216984766</v>
      </c>
      <c r="O1876" s="14" t="n">
        <v>69318.23053699567</v>
      </c>
      <c r="P1876" s="14" t="n">
        <v>23742.08347877054</v>
      </c>
      <c r="Q1876" s="14" t="n">
        <v>535899.7780912512</v>
      </c>
      <c r="R1876" s="15">
        <f>IF(D1876=1,"Section 1","Control")</f>
        <v/>
      </c>
      <c r="S1876" s="16">
        <f>N1876/10000</f>
        <v/>
      </c>
      <c r="T1876" s="16">
        <f>P1876/10000</f>
        <v/>
      </c>
      <c r="U1876" s="15">
        <f>IF(N1876&gt;=Summary!$D$3,1,0)</f>
        <v/>
      </c>
      <c r="V1876" s="17">
        <f>IF(N1876&gt;0,P1876/N1876,"")</f>
        <v/>
      </c>
      <c r="W1876" s="17">
        <f>IF(O1876&gt;0,H1876/O1876,"")</f>
        <v/>
      </c>
    </row>
    <row r="1877">
      <c r="A1877" s="13" t="inlineStr">
        <is>
          <t>CE20_F</t>
        </is>
      </c>
      <c r="B1877" s="13" t="inlineStr">
        <is>
          <t>CE20</t>
        </is>
      </c>
      <c r="C1877" s="13" t="inlineStr">
        <is>
          <t>F</t>
        </is>
      </c>
      <c r="D1877" s="13" t="n">
        <v>0</v>
      </c>
      <c r="E1877" s="13" t="inlineStr">
        <is>
          <t>E</t>
        </is>
      </c>
      <c r="F1877" s="13" t="n">
        <v>2026</v>
      </c>
      <c r="G1877" s="14" t="n">
        <v>69318.23053699567</v>
      </c>
      <c r="H1877" s="14" t="n">
        <v>37613.07732400333</v>
      </c>
      <c r="I1877" s="14" t="n">
        <v>24841.2779767504</v>
      </c>
      <c r="J1877" s="14" t="n">
        <v>0</v>
      </c>
      <c r="K1877" s="14" t="n">
        <v>6863.875236241957</v>
      </c>
      <c r="L1877" s="14" t="n">
        <v>0</v>
      </c>
      <c r="M1877" s="14" t="n">
        <v>0</v>
      </c>
      <c r="N1877" s="14" t="n">
        <v>54048.74216984766</v>
      </c>
      <c r="O1877" s="14" t="n">
        <v>69318.23053699567</v>
      </c>
      <c r="P1877" s="14" t="n">
        <v>16647.83767451866</v>
      </c>
      <c r="Q1877" s="14" t="n">
        <v>535899.7780912512</v>
      </c>
      <c r="R1877" s="15">
        <f>IF(D1877=1,"Section 1","Control")</f>
        <v/>
      </c>
      <c r="S1877" s="16">
        <f>N1877/10000</f>
        <v/>
      </c>
      <c r="T1877" s="16">
        <f>P1877/10000</f>
        <v/>
      </c>
      <c r="U1877" s="15">
        <f>IF(N1877&gt;=Summary!$D$3,1,0)</f>
        <v/>
      </c>
      <c r="V1877" s="17">
        <f>IF(N1877&gt;0,P1877/N1877,"")</f>
        <v/>
      </c>
      <c r="W1877" s="17">
        <f>IF(O1877&gt;0,H1877/O1877,"")</f>
        <v/>
      </c>
    </row>
    <row r="1878">
      <c r="A1878" s="13" t="inlineStr">
        <is>
          <t>CE21_B1</t>
        </is>
      </c>
      <c r="B1878" s="13" t="inlineStr">
        <is>
          <t>CE21</t>
        </is>
      </c>
      <c r="C1878" s="13" t="inlineStr">
        <is>
          <t>B1</t>
        </is>
      </c>
      <c r="D1878" s="13" t="n">
        <v>0</v>
      </c>
      <c r="E1878" s="13" t="inlineStr">
        <is>
          <t>E</t>
        </is>
      </c>
      <c r="F1878" s="13" t="n">
        <v>2020</v>
      </c>
      <c r="G1878" s="14" t="n">
        <v>1025936.30719054</v>
      </c>
      <c r="H1878" s="14" t="n">
        <v>336777.1236061845</v>
      </c>
      <c r="I1878" s="14" t="n">
        <v>434432.1183658075</v>
      </c>
      <c r="J1878" s="14" t="n">
        <v>0</v>
      </c>
      <c r="K1878" s="14" t="n">
        <v>23137.81544659185</v>
      </c>
      <c r="L1878" s="14" t="n">
        <v>231589.2497719559</v>
      </c>
      <c r="M1878" s="14" t="n">
        <v>0</v>
      </c>
      <c r="N1878" s="14" t="n">
        <v>336777.1236061845</v>
      </c>
      <c r="O1878" s="14" t="n">
        <v>794347.0574185837</v>
      </c>
      <c r="P1878" s="14" t="n">
        <v>0</v>
      </c>
      <c r="Q1878" s="14" t="n">
        <v>5447795.577624689</v>
      </c>
      <c r="R1878" s="15">
        <f>IF(D1878=1,"Section 1","Control")</f>
        <v/>
      </c>
      <c r="S1878" s="16">
        <f>N1878/10000</f>
        <v/>
      </c>
      <c r="T1878" s="16">
        <f>P1878/10000</f>
        <v/>
      </c>
      <c r="U1878" s="15">
        <f>IF(N1878&gt;=Summary!$D$3,1,0)</f>
        <v/>
      </c>
      <c r="V1878" s="17">
        <f>IF(N1878&gt;0,P1878/N1878,"")</f>
        <v/>
      </c>
      <c r="W1878" s="17">
        <f>IF(O1878&gt;0,H1878/O1878,"")</f>
        <v/>
      </c>
    </row>
    <row r="1879">
      <c r="A1879" s="13" t="inlineStr">
        <is>
          <t>CE21_B1</t>
        </is>
      </c>
      <c r="B1879" s="13" t="inlineStr">
        <is>
          <t>CE21</t>
        </is>
      </c>
      <c r="C1879" s="13" t="inlineStr">
        <is>
          <t>B1</t>
        </is>
      </c>
      <c r="D1879" s="13" t="n">
        <v>0</v>
      </c>
      <c r="E1879" s="13" t="inlineStr">
        <is>
          <t>E</t>
        </is>
      </c>
      <c r="F1879" s="13" t="n">
        <v>2021</v>
      </c>
      <c r="G1879" s="14" t="n">
        <v>1025936.30719054</v>
      </c>
      <c r="H1879" s="14" t="n">
        <v>291858.4094871671</v>
      </c>
      <c r="I1879" s="14" t="n">
        <v>462830.3530877805</v>
      </c>
      <c r="J1879" s="14" t="n">
        <v>0</v>
      </c>
      <c r="K1879" s="14" t="n">
        <v>47105.30585997338</v>
      </c>
      <c r="L1879" s="14" t="n">
        <v>224142.2387556188</v>
      </c>
      <c r="M1879" s="14" t="n">
        <v>0</v>
      </c>
      <c r="N1879" s="14" t="n">
        <v>336777.1236061845</v>
      </c>
      <c r="O1879" s="14" t="n">
        <v>794347.0574185837</v>
      </c>
      <c r="P1879" s="14" t="n">
        <v>62239.37873577043</v>
      </c>
      <c r="Q1879" s="14" t="n">
        <v>5447795.577624689</v>
      </c>
      <c r="R1879" s="15">
        <f>IF(D1879=1,"Section 1","Control")</f>
        <v/>
      </c>
      <c r="S1879" s="16">
        <f>N1879/10000</f>
        <v/>
      </c>
      <c r="T1879" s="16">
        <f>P1879/10000</f>
        <v/>
      </c>
      <c r="U1879" s="15">
        <f>IF(N1879&gt;=Summary!$D$3,1,0)</f>
        <v/>
      </c>
      <c r="V1879" s="17">
        <f>IF(N1879&gt;0,P1879/N1879,"")</f>
        <v/>
      </c>
      <c r="W1879" s="17">
        <f>IF(O1879&gt;0,H1879/O1879,"")</f>
        <v/>
      </c>
    </row>
    <row r="1880">
      <c r="A1880" s="13" t="inlineStr">
        <is>
          <t>CE21_B1</t>
        </is>
      </c>
      <c r="B1880" s="13" t="inlineStr">
        <is>
          <t>CE21</t>
        </is>
      </c>
      <c r="C1880" s="13" t="inlineStr">
        <is>
          <t>B1</t>
        </is>
      </c>
      <c r="D1880" s="13" t="n">
        <v>0</v>
      </c>
      <c r="E1880" s="13" t="inlineStr">
        <is>
          <t>E</t>
        </is>
      </c>
      <c r="F1880" s="13" t="n">
        <v>2022</v>
      </c>
      <c r="G1880" s="14" t="n">
        <v>1025936.30719054</v>
      </c>
      <c r="H1880" s="14" t="n">
        <v>282780.6473817714</v>
      </c>
      <c r="I1880" s="14" t="n">
        <v>477953.9144162645</v>
      </c>
      <c r="J1880" s="14" t="n">
        <v>0</v>
      </c>
      <c r="K1880" s="14" t="n">
        <v>42046.81477287143</v>
      </c>
      <c r="L1880" s="14" t="n">
        <v>223154.9306196325</v>
      </c>
      <c r="M1880" s="14" t="n">
        <v>0</v>
      </c>
      <c r="N1880" s="14" t="n">
        <v>336777.1236061845</v>
      </c>
      <c r="O1880" s="14" t="n">
        <v>794347.0574185837</v>
      </c>
      <c r="P1880" s="14" t="n">
        <v>69085.87046858841</v>
      </c>
      <c r="Q1880" s="14" t="n">
        <v>5447795.577624689</v>
      </c>
      <c r="R1880" s="15">
        <f>IF(D1880=1,"Section 1","Control")</f>
        <v/>
      </c>
      <c r="S1880" s="16">
        <f>N1880/10000</f>
        <v/>
      </c>
      <c r="T1880" s="16">
        <f>P1880/10000</f>
        <v/>
      </c>
      <c r="U1880" s="15">
        <f>IF(N1880&gt;=Summary!$D$3,1,0)</f>
        <v/>
      </c>
      <c r="V1880" s="17">
        <f>IF(N1880&gt;0,P1880/N1880,"")</f>
        <v/>
      </c>
      <c r="W1880" s="17">
        <f>IF(O1880&gt;0,H1880/O1880,"")</f>
        <v/>
      </c>
    </row>
    <row r="1881">
      <c r="A1881" s="13" t="inlineStr">
        <is>
          <t>CE21_B1</t>
        </is>
      </c>
      <c r="B1881" s="13" t="inlineStr">
        <is>
          <t>CE21</t>
        </is>
      </c>
      <c r="C1881" s="13" t="inlineStr">
        <is>
          <t>B1</t>
        </is>
      </c>
      <c r="D1881" s="13" t="n">
        <v>0</v>
      </c>
      <c r="E1881" s="13" t="inlineStr">
        <is>
          <t>E</t>
        </is>
      </c>
      <c r="F1881" s="13" t="n">
        <v>2023</v>
      </c>
      <c r="G1881" s="14" t="n">
        <v>1025936.30719054</v>
      </c>
      <c r="H1881" s="14" t="n">
        <v>239511.5799980014</v>
      </c>
      <c r="I1881" s="14" t="n">
        <v>504799.5636479396</v>
      </c>
      <c r="J1881" s="14" t="n">
        <v>0</v>
      </c>
      <c r="K1881" s="14" t="n">
        <v>46876.52760320925</v>
      </c>
      <c r="L1881" s="14" t="n">
        <v>234748.6359413895</v>
      </c>
      <c r="M1881" s="14" t="n">
        <v>0</v>
      </c>
      <c r="N1881" s="14" t="n">
        <v>336777.1236061844</v>
      </c>
      <c r="O1881" s="14" t="n">
        <v>794347.0574185837</v>
      </c>
      <c r="P1881" s="14" t="n">
        <v>112998.0172447354</v>
      </c>
      <c r="Q1881" s="14" t="n">
        <v>5447795.577624689</v>
      </c>
      <c r="R1881" s="15">
        <f>IF(D1881=1,"Section 1","Control")</f>
        <v/>
      </c>
      <c r="S1881" s="16">
        <f>N1881/10000</f>
        <v/>
      </c>
      <c r="T1881" s="16">
        <f>P1881/10000</f>
        <v/>
      </c>
      <c r="U1881" s="15">
        <f>IF(N1881&gt;=Summary!$D$3,1,0)</f>
        <v/>
      </c>
      <c r="V1881" s="17">
        <f>IF(N1881&gt;0,P1881/N1881,"")</f>
        <v/>
      </c>
      <c r="W1881" s="17">
        <f>IF(O1881&gt;0,H1881/O1881,"")</f>
        <v/>
      </c>
    </row>
    <row r="1882">
      <c r="A1882" s="13" t="inlineStr">
        <is>
          <t>CE21_B1</t>
        </is>
      </c>
      <c r="B1882" s="13" t="inlineStr">
        <is>
          <t>CE21</t>
        </is>
      </c>
      <c r="C1882" s="13" t="inlineStr">
        <is>
          <t>B1</t>
        </is>
      </c>
      <c r="D1882" s="13" t="n">
        <v>0</v>
      </c>
      <c r="E1882" s="13" t="inlineStr">
        <is>
          <t>E</t>
        </is>
      </c>
      <c r="F1882" s="13" t="n">
        <v>2024</v>
      </c>
      <c r="G1882" s="14" t="n">
        <v>1025936.30719054</v>
      </c>
      <c r="H1882" s="14" t="n">
        <v>251801.0999916226</v>
      </c>
      <c r="I1882" s="14" t="n">
        <v>487420.5876374188</v>
      </c>
      <c r="J1882" s="14" t="n">
        <v>0</v>
      </c>
      <c r="K1882" s="14" t="n">
        <v>61755.43272734997</v>
      </c>
      <c r="L1882" s="14" t="n">
        <v>224959.1868341484</v>
      </c>
      <c r="M1882" s="14" t="n">
        <v>0</v>
      </c>
      <c r="N1882" s="14" t="n">
        <v>336777.1236061845</v>
      </c>
      <c r="O1882" s="14" t="n">
        <v>794347.0574185837</v>
      </c>
      <c r="P1882" s="14" t="n">
        <v>128793.3778420243</v>
      </c>
      <c r="Q1882" s="14" t="n">
        <v>5447795.577624689</v>
      </c>
      <c r="R1882" s="15">
        <f>IF(D1882=1,"Section 1","Control")</f>
        <v/>
      </c>
      <c r="S1882" s="16">
        <f>N1882/10000</f>
        <v/>
      </c>
      <c r="T1882" s="16">
        <f>P1882/10000</f>
        <v/>
      </c>
      <c r="U1882" s="15">
        <f>IF(N1882&gt;=Summary!$D$3,1,0)</f>
        <v/>
      </c>
      <c r="V1882" s="17">
        <f>IF(N1882&gt;0,P1882/N1882,"")</f>
        <v/>
      </c>
      <c r="W1882" s="17">
        <f>IF(O1882&gt;0,H1882/O1882,"")</f>
        <v/>
      </c>
    </row>
    <row r="1883">
      <c r="A1883" s="13" t="inlineStr">
        <is>
          <t>CE21_B1</t>
        </is>
      </c>
      <c r="B1883" s="13" t="inlineStr">
        <is>
          <t>CE21</t>
        </is>
      </c>
      <c r="C1883" s="13" t="inlineStr">
        <is>
          <t>B1</t>
        </is>
      </c>
      <c r="D1883" s="13" t="n">
        <v>0</v>
      </c>
      <c r="E1883" s="13" t="inlineStr">
        <is>
          <t>E</t>
        </is>
      </c>
      <c r="F1883" s="13" t="n">
        <v>2025</v>
      </c>
      <c r="G1883" s="14" t="n">
        <v>1025936.30719054</v>
      </c>
      <c r="H1883" s="14" t="n">
        <v>279974.1683721804</v>
      </c>
      <c r="I1883" s="14" t="n">
        <v>455520.0986905564</v>
      </c>
      <c r="J1883" s="14" t="n">
        <v>0</v>
      </c>
      <c r="K1883" s="14" t="n">
        <v>50223.71991394641</v>
      </c>
      <c r="L1883" s="14" t="n">
        <v>240218.3202138564</v>
      </c>
      <c r="M1883" s="14" t="n">
        <v>0</v>
      </c>
      <c r="N1883" s="14" t="n">
        <v>336777.1236061844</v>
      </c>
      <c r="O1883" s="14" t="n">
        <v>794347.0574185837</v>
      </c>
      <c r="P1883" s="14" t="n">
        <v>147443.0284718832</v>
      </c>
      <c r="Q1883" s="14" t="n">
        <v>5447795.577624689</v>
      </c>
      <c r="R1883" s="15">
        <f>IF(D1883=1,"Section 1","Control")</f>
        <v/>
      </c>
      <c r="S1883" s="16">
        <f>N1883/10000</f>
        <v/>
      </c>
      <c r="T1883" s="16">
        <f>P1883/10000</f>
        <v/>
      </c>
      <c r="U1883" s="15">
        <f>IF(N1883&gt;=Summary!$D$3,1,0)</f>
        <v/>
      </c>
      <c r="V1883" s="17">
        <f>IF(N1883&gt;0,P1883/N1883,"")</f>
        <v/>
      </c>
      <c r="W1883" s="17">
        <f>IF(O1883&gt;0,H1883/O1883,"")</f>
        <v/>
      </c>
    </row>
    <row r="1884">
      <c r="A1884" s="13" t="inlineStr">
        <is>
          <t>CE21_B1</t>
        </is>
      </c>
      <c r="B1884" s="13" t="inlineStr">
        <is>
          <t>CE21</t>
        </is>
      </c>
      <c r="C1884" s="13" t="inlineStr">
        <is>
          <t>B1</t>
        </is>
      </c>
      <c r="D1884" s="13" t="n">
        <v>0</v>
      </c>
      <c r="E1884" s="13" t="inlineStr">
        <is>
          <t>E</t>
        </is>
      </c>
      <c r="F1884" s="13" t="n">
        <v>2026</v>
      </c>
      <c r="G1884" s="14" t="n">
        <v>1025936.30719054</v>
      </c>
      <c r="H1884" s="14" t="n">
        <v>265364.0221853219</v>
      </c>
      <c r="I1884" s="14" t="n">
        <v>377576.3792395498</v>
      </c>
      <c r="J1884" s="14" t="n">
        <v>0</v>
      </c>
      <c r="K1884" s="14" t="n">
        <v>156441.9234573963</v>
      </c>
      <c r="L1884" s="14" t="n">
        <v>226553.9823082718</v>
      </c>
      <c r="M1884" s="14" t="n">
        <v>0</v>
      </c>
      <c r="N1884" s="14" t="n">
        <v>336777.1236061844</v>
      </c>
      <c r="O1884" s="14" t="n">
        <v>794347.0574185837</v>
      </c>
      <c r="P1884" s="14" t="n">
        <v>154871.3720044005</v>
      </c>
      <c r="Q1884" s="14" t="n">
        <v>5447795.577624689</v>
      </c>
      <c r="R1884" s="15">
        <f>IF(D1884=1,"Section 1","Control")</f>
        <v/>
      </c>
      <c r="S1884" s="16">
        <f>N1884/10000</f>
        <v/>
      </c>
      <c r="T1884" s="16">
        <f>P1884/10000</f>
        <v/>
      </c>
      <c r="U1884" s="15">
        <f>IF(N1884&gt;=Summary!$D$3,1,0)</f>
        <v/>
      </c>
      <c r="V1884" s="17">
        <f>IF(N1884&gt;0,P1884/N1884,"")</f>
        <v/>
      </c>
      <c r="W1884" s="17">
        <f>IF(O1884&gt;0,H1884/O1884,"")</f>
        <v/>
      </c>
    </row>
    <row r="1885">
      <c r="A1885" s="13" t="inlineStr">
        <is>
          <t>CE21_B2</t>
        </is>
      </c>
      <c r="B1885" s="13" t="inlineStr">
        <is>
          <t>CE21</t>
        </is>
      </c>
      <c r="C1885" s="13" t="inlineStr">
        <is>
          <t>B2</t>
        </is>
      </c>
      <c r="D1885" s="13" t="n">
        <v>0</v>
      </c>
      <c r="E1885" s="13" t="inlineStr">
        <is>
          <t>E</t>
        </is>
      </c>
      <c r="F1885" s="13" t="n">
        <v>2020</v>
      </c>
      <c r="G1885" s="14" t="n">
        <v>1025451.944001561</v>
      </c>
      <c r="H1885" s="14" t="n">
        <v>125862.2140100516</v>
      </c>
      <c r="I1885" s="14" t="n">
        <v>386693.6743273866</v>
      </c>
      <c r="J1885" s="14" t="n">
        <v>0</v>
      </c>
      <c r="K1885" s="14" t="n">
        <v>98.72885894775391</v>
      </c>
      <c r="L1885" s="14" t="n">
        <v>512797.3268051746</v>
      </c>
      <c r="M1885" s="14" t="n">
        <v>0</v>
      </c>
      <c r="N1885" s="14" t="n">
        <v>125862.2140100516</v>
      </c>
      <c r="O1885" s="14" t="n">
        <v>512654.6171963863</v>
      </c>
      <c r="P1885" s="14" t="n">
        <v>0</v>
      </c>
      <c r="Q1885" s="14" t="n">
        <v>2895891.602415376</v>
      </c>
      <c r="R1885" s="15">
        <f>IF(D1885=1,"Section 1","Control")</f>
        <v/>
      </c>
      <c r="S1885" s="16">
        <f>N1885/10000</f>
        <v/>
      </c>
      <c r="T1885" s="16">
        <f>P1885/10000</f>
        <v/>
      </c>
      <c r="U1885" s="15">
        <f>IF(N1885&gt;=Summary!$D$3,1,0)</f>
        <v/>
      </c>
      <c r="V1885" s="17">
        <f>IF(N1885&gt;0,P1885/N1885,"")</f>
        <v/>
      </c>
      <c r="W1885" s="17">
        <f>IF(O1885&gt;0,H1885/O1885,"")</f>
        <v/>
      </c>
    </row>
    <row r="1886">
      <c r="A1886" s="13" t="inlineStr">
        <is>
          <t>CE21_B2</t>
        </is>
      </c>
      <c r="B1886" s="13" t="inlineStr">
        <is>
          <t>CE21</t>
        </is>
      </c>
      <c r="C1886" s="13" t="inlineStr">
        <is>
          <t>B2</t>
        </is>
      </c>
      <c r="D1886" s="13" t="n">
        <v>0</v>
      </c>
      <c r="E1886" s="13" t="inlineStr">
        <is>
          <t>E</t>
        </is>
      </c>
      <c r="F1886" s="13" t="n">
        <v>2021</v>
      </c>
      <c r="G1886" s="14" t="n">
        <v>1025451.944001561</v>
      </c>
      <c r="H1886" s="14" t="n">
        <v>87544.54530448167</v>
      </c>
      <c r="I1886" s="14" t="n">
        <v>407235.1346849628</v>
      </c>
      <c r="J1886" s="14" t="n">
        <v>0</v>
      </c>
      <c r="K1886" s="14" t="n">
        <v>17874.93720694149</v>
      </c>
      <c r="L1886" s="14" t="n">
        <v>512797.3268051746</v>
      </c>
      <c r="M1886" s="14" t="n">
        <v>0</v>
      </c>
      <c r="N1886" s="14" t="n">
        <v>125862.2140100516</v>
      </c>
      <c r="O1886" s="14" t="n">
        <v>512654.6171963862</v>
      </c>
      <c r="P1886" s="14" t="n">
        <v>43405.50468693153</v>
      </c>
      <c r="Q1886" s="14" t="n">
        <v>2895891.602415376</v>
      </c>
      <c r="R1886" s="15">
        <f>IF(D1886=1,"Section 1","Control")</f>
        <v/>
      </c>
      <c r="S1886" s="16">
        <f>N1886/10000</f>
        <v/>
      </c>
      <c r="T1886" s="16">
        <f>P1886/10000</f>
        <v/>
      </c>
      <c r="U1886" s="15">
        <f>IF(N1886&gt;=Summary!$D$3,1,0)</f>
        <v/>
      </c>
      <c r="V1886" s="17">
        <f>IF(N1886&gt;0,P1886/N1886,"")</f>
        <v/>
      </c>
      <c r="W1886" s="17">
        <f>IF(O1886&gt;0,H1886/O1886,"")</f>
        <v/>
      </c>
    </row>
    <row r="1887">
      <c r="A1887" s="13" t="inlineStr">
        <is>
          <t>CE21_B2</t>
        </is>
      </c>
      <c r="B1887" s="13" t="inlineStr">
        <is>
          <t>CE21</t>
        </is>
      </c>
      <c r="C1887" s="13" t="inlineStr">
        <is>
          <t>B2</t>
        </is>
      </c>
      <c r="D1887" s="13" t="n">
        <v>0</v>
      </c>
      <c r="E1887" s="13" t="inlineStr">
        <is>
          <t>E</t>
        </is>
      </c>
      <c r="F1887" s="13" t="n">
        <v>2022</v>
      </c>
      <c r="G1887" s="14" t="n">
        <v>1025451.944001561</v>
      </c>
      <c r="H1887" s="14" t="n">
        <v>106138.4451757095</v>
      </c>
      <c r="I1887" s="14" t="n">
        <v>397202.7647202734</v>
      </c>
      <c r="J1887" s="14" t="n">
        <v>0</v>
      </c>
      <c r="K1887" s="14" t="n">
        <v>9313.407300403071</v>
      </c>
      <c r="L1887" s="14" t="n">
        <v>512797.3268051746</v>
      </c>
      <c r="M1887" s="14" t="n">
        <v>0</v>
      </c>
      <c r="N1887" s="14" t="n">
        <v>125862.2140100516</v>
      </c>
      <c r="O1887" s="14" t="n">
        <v>512654.6171963862</v>
      </c>
      <c r="P1887" s="14" t="n">
        <v>36083.33132207534</v>
      </c>
      <c r="Q1887" s="14" t="n">
        <v>2895891.602415376</v>
      </c>
      <c r="R1887" s="15">
        <f>IF(D1887=1,"Section 1","Control")</f>
        <v/>
      </c>
      <c r="S1887" s="16">
        <f>N1887/10000</f>
        <v/>
      </c>
      <c r="T1887" s="16">
        <f>P1887/10000</f>
        <v/>
      </c>
      <c r="U1887" s="15">
        <f>IF(N1887&gt;=Summary!$D$3,1,0)</f>
        <v/>
      </c>
      <c r="V1887" s="17">
        <f>IF(N1887&gt;0,P1887/N1887,"")</f>
        <v/>
      </c>
      <c r="W1887" s="17">
        <f>IF(O1887&gt;0,H1887/O1887,"")</f>
        <v/>
      </c>
    </row>
    <row r="1888">
      <c r="A1888" s="13" t="inlineStr">
        <is>
          <t>CE21_B2</t>
        </is>
      </c>
      <c r="B1888" s="13" t="inlineStr">
        <is>
          <t>CE21</t>
        </is>
      </c>
      <c r="C1888" s="13" t="inlineStr">
        <is>
          <t>B2</t>
        </is>
      </c>
      <c r="D1888" s="13" t="n">
        <v>0</v>
      </c>
      <c r="E1888" s="13" t="inlineStr">
        <is>
          <t>E</t>
        </is>
      </c>
      <c r="F1888" s="13" t="n">
        <v>2023</v>
      </c>
      <c r="G1888" s="14" t="n">
        <v>1025451.944001561</v>
      </c>
      <c r="H1888" s="14" t="n">
        <v>109698.9171762504</v>
      </c>
      <c r="I1888" s="14" t="n">
        <v>397522.1385073493</v>
      </c>
      <c r="J1888" s="14" t="n">
        <v>0</v>
      </c>
      <c r="K1888" s="14" t="n">
        <v>5433.561512786268</v>
      </c>
      <c r="L1888" s="14" t="n">
        <v>512797.3268051746</v>
      </c>
      <c r="M1888" s="14" t="n">
        <v>0</v>
      </c>
      <c r="N1888" s="14" t="n">
        <v>125862.2140100516</v>
      </c>
      <c r="O1888" s="14" t="n">
        <v>512654.6171963862</v>
      </c>
      <c r="P1888" s="14" t="n">
        <v>37086.09333576875</v>
      </c>
      <c r="Q1888" s="14" t="n">
        <v>2895891.602415376</v>
      </c>
      <c r="R1888" s="15">
        <f>IF(D1888=1,"Section 1","Control")</f>
        <v/>
      </c>
      <c r="S1888" s="16">
        <f>N1888/10000</f>
        <v/>
      </c>
      <c r="T1888" s="16">
        <f>P1888/10000</f>
        <v/>
      </c>
      <c r="U1888" s="15">
        <f>IF(N1888&gt;=Summary!$D$3,1,0)</f>
        <v/>
      </c>
      <c r="V1888" s="17">
        <f>IF(N1888&gt;0,P1888/N1888,"")</f>
        <v/>
      </c>
      <c r="W1888" s="17">
        <f>IF(O1888&gt;0,H1888/O1888,"")</f>
        <v/>
      </c>
    </row>
    <row r="1889">
      <c r="A1889" s="13" t="inlineStr">
        <is>
          <t>CE21_B2</t>
        </is>
      </c>
      <c r="B1889" s="13" t="inlineStr">
        <is>
          <t>CE21</t>
        </is>
      </c>
      <c r="C1889" s="13" t="inlineStr">
        <is>
          <t>B2</t>
        </is>
      </c>
      <c r="D1889" s="13" t="n">
        <v>0</v>
      </c>
      <c r="E1889" s="13" t="inlineStr">
        <is>
          <t>E</t>
        </is>
      </c>
      <c r="F1889" s="13" t="n">
        <v>2024</v>
      </c>
      <c r="G1889" s="14" t="n">
        <v>1025451.944001561</v>
      </c>
      <c r="H1889" s="14" t="n">
        <v>151818.6350373212</v>
      </c>
      <c r="I1889" s="14" t="n">
        <v>359154.1106944963</v>
      </c>
      <c r="J1889" s="14" t="n">
        <v>0</v>
      </c>
      <c r="K1889" s="14" t="n">
        <v>1681.871464568493</v>
      </c>
      <c r="L1889" s="14" t="n">
        <v>512797.3268051746</v>
      </c>
      <c r="M1889" s="14" t="n">
        <v>0</v>
      </c>
      <c r="N1889" s="14" t="n">
        <v>125862.2140100516</v>
      </c>
      <c r="O1889" s="14" t="n">
        <v>512654.6171963862</v>
      </c>
      <c r="P1889" s="14" t="n">
        <v>23760.0152663287</v>
      </c>
      <c r="Q1889" s="14" t="n">
        <v>2895891.602415376</v>
      </c>
      <c r="R1889" s="15">
        <f>IF(D1889=1,"Section 1","Control")</f>
        <v/>
      </c>
      <c r="S1889" s="16">
        <f>N1889/10000</f>
        <v/>
      </c>
      <c r="T1889" s="16">
        <f>P1889/10000</f>
        <v/>
      </c>
      <c r="U1889" s="15">
        <f>IF(N1889&gt;=Summary!$D$3,1,0)</f>
        <v/>
      </c>
      <c r="V1889" s="17">
        <f>IF(N1889&gt;0,P1889/N1889,"")</f>
        <v/>
      </c>
      <c r="W1889" s="17">
        <f>IF(O1889&gt;0,H1889/O1889,"")</f>
        <v/>
      </c>
    </row>
    <row r="1890">
      <c r="A1890" s="13" t="inlineStr">
        <is>
          <t>CE21_B2</t>
        </is>
      </c>
      <c r="B1890" s="13" t="inlineStr">
        <is>
          <t>CE21</t>
        </is>
      </c>
      <c r="C1890" s="13" t="inlineStr">
        <is>
          <t>B2</t>
        </is>
      </c>
      <c r="D1890" s="13" t="n">
        <v>0</v>
      </c>
      <c r="E1890" s="13" t="inlineStr">
        <is>
          <t>E</t>
        </is>
      </c>
      <c r="F1890" s="13" t="n">
        <v>2025</v>
      </c>
      <c r="G1890" s="14" t="n">
        <v>1025451.944001561</v>
      </c>
      <c r="H1890" s="14" t="n">
        <v>147706.7498950434</v>
      </c>
      <c r="I1890" s="14" t="n">
        <v>362673.6233392154</v>
      </c>
      <c r="J1890" s="14" t="n">
        <v>0</v>
      </c>
      <c r="K1890" s="14" t="n">
        <v>2274.243962127088</v>
      </c>
      <c r="L1890" s="14" t="n">
        <v>512797.3268051746</v>
      </c>
      <c r="M1890" s="14" t="n">
        <v>0</v>
      </c>
      <c r="N1890" s="14" t="n">
        <v>125862.2140100516</v>
      </c>
      <c r="O1890" s="14" t="n">
        <v>512654.6171963862</v>
      </c>
      <c r="P1890" s="14" t="n">
        <v>27557.80770015343</v>
      </c>
      <c r="Q1890" s="14" t="n">
        <v>2895891.602415376</v>
      </c>
      <c r="R1890" s="15">
        <f>IF(D1890=1,"Section 1","Control")</f>
        <v/>
      </c>
      <c r="S1890" s="16">
        <f>N1890/10000</f>
        <v/>
      </c>
      <c r="T1890" s="16">
        <f>P1890/10000</f>
        <v/>
      </c>
      <c r="U1890" s="15">
        <f>IF(N1890&gt;=Summary!$D$3,1,0)</f>
        <v/>
      </c>
      <c r="V1890" s="17">
        <f>IF(N1890&gt;0,P1890/N1890,"")</f>
        <v/>
      </c>
      <c r="W1890" s="17">
        <f>IF(O1890&gt;0,H1890/O1890,"")</f>
        <v/>
      </c>
    </row>
    <row r="1891">
      <c r="A1891" s="13" t="inlineStr">
        <is>
          <t>CE21_B2</t>
        </is>
      </c>
      <c r="B1891" s="13" t="inlineStr">
        <is>
          <t>CE21</t>
        </is>
      </c>
      <c r="C1891" s="13" t="inlineStr">
        <is>
          <t>B2</t>
        </is>
      </c>
      <c r="D1891" s="13" t="n">
        <v>0</v>
      </c>
      <c r="E1891" s="13" t="inlineStr">
        <is>
          <t>E</t>
        </is>
      </c>
      <c r="F1891" s="13" t="n">
        <v>2026</v>
      </c>
      <c r="G1891" s="14" t="n">
        <v>1025451.944001561</v>
      </c>
      <c r="H1891" s="14" t="n">
        <v>277826.5776594874</v>
      </c>
      <c r="I1891" s="14" t="n">
        <v>229213.2743158677</v>
      </c>
      <c r="J1891" s="14" t="n">
        <v>0</v>
      </c>
      <c r="K1891" s="14" t="n">
        <v>5614.765221031039</v>
      </c>
      <c r="L1891" s="14" t="n">
        <v>512797.3268051746</v>
      </c>
      <c r="M1891" s="14" t="n">
        <v>0</v>
      </c>
      <c r="N1891" s="14" t="n">
        <v>125862.2140100516</v>
      </c>
      <c r="O1891" s="14" t="n">
        <v>512654.6171963862</v>
      </c>
      <c r="P1891" s="14" t="n">
        <v>13700.49338220334</v>
      </c>
      <c r="Q1891" s="14" t="n">
        <v>2895891.602415376</v>
      </c>
      <c r="R1891" s="15">
        <f>IF(D1891=1,"Section 1","Control")</f>
        <v/>
      </c>
      <c r="S1891" s="16">
        <f>N1891/10000</f>
        <v/>
      </c>
      <c r="T1891" s="16">
        <f>P1891/10000</f>
        <v/>
      </c>
      <c r="U1891" s="15">
        <f>IF(N1891&gt;=Summary!$D$3,1,0)</f>
        <v/>
      </c>
      <c r="V1891" s="17">
        <f>IF(N1891&gt;0,P1891/N1891,"")</f>
        <v/>
      </c>
      <c r="W1891" s="17">
        <f>IF(O1891&gt;0,H1891/O1891,"")</f>
        <v/>
      </c>
    </row>
    <row r="1892">
      <c r="A1892" s="13" t="inlineStr">
        <is>
          <t>CE21_B3</t>
        </is>
      </c>
      <c r="B1892" s="13" t="inlineStr">
        <is>
          <t>CE21</t>
        </is>
      </c>
      <c r="C1892" s="13" t="inlineStr">
        <is>
          <t>B3</t>
        </is>
      </c>
      <c r="D1892" s="13" t="n">
        <v>0</v>
      </c>
      <c r="E1892" s="13" t="inlineStr">
        <is>
          <t>E</t>
        </is>
      </c>
      <c r="F1892" s="13" t="n">
        <v>2020</v>
      </c>
      <c r="G1892" s="14" t="n">
        <v>8204475.69662251</v>
      </c>
      <c r="H1892" s="14" t="n">
        <v>2480679.94394259</v>
      </c>
      <c r="I1892" s="14" t="n">
        <v>864489.9863667206</v>
      </c>
      <c r="J1892" s="14" t="n">
        <v>0</v>
      </c>
      <c r="K1892" s="14" t="n">
        <v>34837.75257457659</v>
      </c>
      <c r="L1892" s="14" t="n">
        <v>4824468.013738625</v>
      </c>
      <c r="M1892" s="14" t="n">
        <v>0</v>
      </c>
      <c r="N1892" s="14" t="n">
        <v>2480679.94394259</v>
      </c>
      <c r="O1892" s="14" t="n">
        <v>3380007.682883888</v>
      </c>
      <c r="P1892" s="14" t="n">
        <v>0</v>
      </c>
      <c r="Q1892" s="14" t="n">
        <v>25868153.64632299</v>
      </c>
      <c r="R1892" s="15">
        <f>IF(D1892=1,"Section 1","Control")</f>
        <v/>
      </c>
      <c r="S1892" s="16">
        <f>N1892/10000</f>
        <v/>
      </c>
      <c r="T1892" s="16">
        <f>P1892/10000</f>
        <v/>
      </c>
      <c r="U1892" s="15">
        <f>IF(N1892&gt;=Summary!$D$3,1,0)</f>
        <v/>
      </c>
      <c r="V1892" s="17">
        <f>IF(N1892&gt;0,P1892/N1892,"")</f>
        <v/>
      </c>
      <c r="W1892" s="17">
        <f>IF(O1892&gt;0,H1892/O1892,"")</f>
        <v/>
      </c>
    </row>
    <row r="1893">
      <c r="A1893" s="13" t="inlineStr">
        <is>
          <t>CE21_B3</t>
        </is>
      </c>
      <c r="B1893" s="13" t="inlineStr">
        <is>
          <t>CE21</t>
        </is>
      </c>
      <c r="C1893" s="13" t="inlineStr">
        <is>
          <t>B3</t>
        </is>
      </c>
      <c r="D1893" s="13" t="n">
        <v>0</v>
      </c>
      <c r="E1893" s="13" t="inlineStr">
        <is>
          <t>E</t>
        </is>
      </c>
      <c r="F1893" s="13" t="n">
        <v>2021</v>
      </c>
      <c r="G1893" s="14" t="n">
        <v>8204475.696622511</v>
      </c>
      <c r="H1893" s="14" t="n">
        <v>2231131.856343857</v>
      </c>
      <c r="I1893" s="14" t="n">
        <v>876452.6524721034</v>
      </c>
      <c r="J1893" s="14" t="n">
        <v>0</v>
      </c>
      <c r="K1893" s="14" t="n">
        <v>329097.183113158</v>
      </c>
      <c r="L1893" s="14" t="n">
        <v>4767794.004693394</v>
      </c>
      <c r="M1893" s="14" t="n">
        <v>0</v>
      </c>
      <c r="N1893" s="14" t="n">
        <v>2480679.94394259</v>
      </c>
      <c r="O1893" s="14" t="n">
        <v>3380007.682883888</v>
      </c>
      <c r="P1893" s="14" t="n">
        <v>304552.2072203693</v>
      </c>
      <c r="Q1893" s="14" t="n">
        <v>25868153.64632299</v>
      </c>
      <c r="R1893" s="15">
        <f>IF(D1893=1,"Section 1","Control")</f>
        <v/>
      </c>
      <c r="S1893" s="16">
        <f>N1893/10000</f>
        <v/>
      </c>
      <c r="T1893" s="16">
        <f>P1893/10000</f>
        <v/>
      </c>
      <c r="U1893" s="15">
        <f>IF(N1893&gt;=Summary!$D$3,1,0)</f>
        <v/>
      </c>
      <c r="V1893" s="17">
        <f>IF(N1893&gt;0,P1893/N1893,"")</f>
        <v/>
      </c>
      <c r="W1893" s="17">
        <f>IF(O1893&gt;0,H1893/O1893,"")</f>
        <v/>
      </c>
    </row>
    <row r="1894">
      <c r="A1894" s="13" t="inlineStr">
        <is>
          <t>CE21_B3</t>
        </is>
      </c>
      <c r="B1894" s="13" t="inlineStr">
        <is>
          <t>CE21</t>
        </is>
      </c>
      <c r="C1894" s="13" t="inlineStr">
        <is>
          <t>B3</t>
        </is>
      </c>
      <c r="D1894" s="13" t="n">
        <v>0</v>
      </c>
      <c r="E1894" s="13" t="inlineStr">
        <is>
          <t>E</t>
        </is>
      </c>
      <c r="F1894" s="13" t="n">
        <v>2022</v>
      </c>
      <c r="G1894" s="14" t="n">
        <v>8204475.696622511</v>
      </c>
      <c r="H1894" s="14" t="n">
        <v>2382624.047553657</v>
      </c>
      <c r="I1894" s="14" t="n">
        <v>861731.3444633932</v>
      </c>
      <c r="J1894" s="14" t="n">
        <v>0</v>
      </c>
      <c r="K1894" s="14" t="n">
        <v>191847.8961217245</v>
      </c>
      <c r="L1894" s="14" t="n">
        <v>4768272.408483736</v>
      </c>
      <c r="M1894" s="14" t="n">
        <v>0</v>
      </c>
      <c r="N1894" s="14" t="n">
        <v>2480679.94394259</v>
      </c>
      <c r="O1894" s="14" t="n">
        <v>3380007.682883888</v>
      </c>
      <c r="P1894" s="14" t="n">
        <v>191070.1317607805</v>
      </c>
      <c r="Q1894" s="14" t="n">
        <v>25868153.64632299</v>
      </c>
      <c r="R1894" s="15">
        <f>IF(D1894=1,"Section 1","Control")</f>
        <v/>
      </c>
      <c r="S1894" s="16">
        <f>N1894/10000</f>
        <v/>
      </c>
      <c r="T1894" s="16">
        <f>P1894/10000</f>
        <v/>
      </c>
      <c r="U1894" s="15">
        <f>IF(N1894&gt;=Summary!$D$3,1,0)</f>
        <v/>
      </c>
      <c r="V1894" s="17">
        <f>IF(N1894&gt;0,P1894/N1894,"")</f>
        <v/>
      </c>
      <c r="W1894" s="17">
        <f>IF(O1894&gt;0,H1894/O1894,"")</f>
        <v/>
      </c>
    </row>
    <row r="1895">
      <c r="A1895" s="13" t="inlineStr">
        <is>
          <t>CE21_B3</t>
        </is>
      </c>
      <c r="B1895" s="13" t="inlineStr">
        <is>
          <t>CE21</t>
        </is>
      </c>
      <c r="C1895" s="13" t="inlineStr">
        <is>
          <t>B3</t>
        </is>
      </c>
      <c r="D1895" s="13" t="n">
        <v>0</v>
      </c>
      <c r="E1895" s="13" t="inlineStr">
        <is>
          <t>E</t>
        </is>
      </c>
      <c r="F1895" s="13" t="n">
        <v>2023</v>
      </c>
      <c r="G1895" s="14" t="n">
        <v>8204475.696622511</v>
      </c>
      <c r="H1895" s="14" t="n">
        <v>2347231.676244339</v>
      </c>
      <c r="I1895" s="14" t="n">
        <v>926723.8819348504</v>
      </c>
      <c r="J1895" s="14" t="n">
        <v>0</v>
      </c>
      <c r="K1895" s="14" t="n">
        <v>115964.9305804384</v>
      </c>
      <c r="L1895" s="14" t="n">
        <v>4814555.207862884</v>
      </c>
      <c r="M1895" s="14" t="n">
        <v>0</v>
      </c>
      <c r="N1895" s="14" t="n">
        <v>2480679.94394259</v>
      </c>
      <c r="O1895" s="14" t="n">
        <v>3380007.682883888</v>
      </c>
      <c r="P1895" s="14" t="n">
        <v>219651.5930027382</v>
      </c>
      <c r="Q1895" s="14" t="n">
        <v>25868153.64632299</v>
      </c>
      <c r="R1895" s="15">
        <f>IF(D1895=1,"Section 1","Control")</f>
        <v/>
      </c>
      <c r="S1895" s="16">
        <f>N1895/10000</f>
        <v/>
      </c>
      <c r="T1895" s="16">
        <f>P1895/10000</f>
        <v/>
      </c>
      <c r="U1895" s="15">
        <f>IF(N1895&gt;=Summary!$D$3,1,0)</f>
        <v/>
      </c>
      <c r="V1895" s="17">
        <f>IF(N1895&gt;0,P1895/N1895,"")</f>
        <v/>
      </c>
      <c r="W1895" s="17">
        <f>IF(O1895&gt;0,H1895/O1895,"")</f>
        <v/>
      </c>
    </row>
    <row r="1896">
      <c r="A1896" s="13" t="inlineStr">
        <is>
          <t>CE21_B3</t>
        </is>
      </c>
      <c r="B1896" s="13" t="inlineStr">
        <is>
          <t>CE21</t>
        </is>
      </c>
      <c r="C1896" s="13" t="inlineStr">
        <is>
          <t>B3</t>
        </is>
      </c>
      <c r="D1896" s="13" t="n">
        <v>0</v>
      </c>
      <c r="E1896" s="13" t="inlineStr">
        <is>
          <t>E</t>
        </is>
      </c>
      <c r="F1896" s="13" t="n">
        <v>2024</v>
      </c>
      <c r="G1896" s="14" t="n">
        <v>8204475.696622511</v>
      </c>
      <c r="H1896" s="14" t="n">
        <v>2454236.943291399</v>
      </c>
      <c r="I1896" s="14" t="n">
        <v>834086.6565792907</v>
      </c>
      <c r="J1896" s="14" t="n">
        <v>0</v>
      </c>
      <c r="K1896" s="14" t="n">
        <v>135644.9243980557</v>
      </c>
      <c r="L1896" s="14" t="n">
        <v>4780507.172353766</v>
      </c>
      <c r="M1896" s="14" t="n">
        <v>0</v>
      </c>
      <c r="N1896" s="14" t="n">
        <v>2480679.94394259</v>
      </c>
      <c r="O1896" s="14" t="n">
        <v>3380007.682883887</v>
      </c>
      <c r="P1896" s="14" t="n">
        <v>161612.6915633557</v>
      </c>
      <c r="Q1896" s="14" t="n">
        <v>25868153.64632299</v>
      </c>
      <c r="R1896" s="15">
        <f>IF(D1896=1,"Section 1","Control")</f>
        <v/>
      </c>
      <c r="S1896" s="16">
        <f>N1896/10000</f>
        <v/>
      </c>
      <c r="T1896" s="16">
        <f>P1896/10000</f>
        <v/>
      </c>
      <c r="U1896" s="15">
        <f>IF(N1896&gt;=Summary!$D$3,1,0)</f>
        <v/>
      </c>
      <c r="V1896" s="17">
        <f>IF(N1896&gt;0,P1896/N1896,"")</f>
        <v/>
      </c>
      <c r="W1896" s="17">
        <f>IF(O1896&gt;0,H1896/O1896,"")</f>
        <v/>
      </c>
    </row>
    <row r="1897">
      <c r="A1897" s="13" t="inlineStr">
        <is>
          <t>CE21_B3</t>
        </is>
      </c>
      <c r="B1897" s="13" t="inlineStr">
        <is>
          <t>CE21</t>
        </is>
      </c>
      <c r="C1897" s="13" t="inlineStr">
        <is>
          <t>B3</t>
        </is>
      </c>
      <c r="D1897" s="13" t="n">
        <v>0</v>
      </c>
      <c r="E1897" s="13" t="inlineStr">
        <is>
          <t>E</t>
        </is>
      </c>
      <c r="F1897" s="13" t="n">
        <v>2025</v>
      </c>
      <c r="G1897" s="14" t="n">
        <v>8204475.696622509</v>
      </c>
      <c r="H1897" s="14" t="n">
        <v>2538565.908465038</v>
      </c>
      <c r="I1897" s="14" t="n">
        <v>719869.2624719955</v>
      </c>
      <c r="J1897" s="14" t="n">
        <v>0</v>
      </c>
      <c r="K1897" s="14" t="n">
        <v>124256.6977481019</v>
      </c>
      <c r="L1897" s="14" t="n">
        <v>4821783.827937377</v>
      </c>
      <c r="M1897" s="14" t="n">
        <v>0</v>
      </c>
      <c r="N1897" s="14" t="n">
        <v>2480679.94394259</v>
      </c>
      <c r="O1897" s="14" t="n">
        <v>3380007.682883887</v>
      </c>
      <c r="P1897" s="14" t="n">
        <v>160485.3253124461</v>
      </c>
      <c r="Q1897" s="14" t="n">
        <v>25868153.64632299</v>
      </c>
      <c r="R1897" s="15">
        <f>IF(D1897=1,"Section 1","Control")</f>
        <v/>
      </c>
      <c r="S1897" s="16">
        <f>N1897/10000</f>
        <v/>
      </c>
      <c r="T1897" s="16">
        <f>P1897/10000</f>
        <v/>
      </c>
      <c r="U1897" s="15">
        <f>IF(N1897&gt;=Summary!$D$3,1,0)</f>
        <v/>
      </c>
      <c r="V1897" s="17">
        <f>IF(N1897&gt;0,P1897/N1897,"")</f>
        <v/>
      </c>
      <c r="W1897" s="17">
        <f>IF(O1897&gt;0,H1897/O1897,"")</f>
        <v/>
      </c>
    </row>
    <row r="1898">
      <c r="A1898" s="13" t="inlineStr">
        <is>
          <t>CE21_B3</t>
        </is>
      </c>
      <c r="B1898" s="13" t="inlineStr">
        <is>
          <t>CE21</t>
        </is>
      </c>
      <c r="C1898" s="13" t="inlineStr">
        <is>
          <t>B3</t>
        </is>
      </c>
      <c r="D1898" s="13" t="n">
        <v>0</v>
      </c>
      <c r="E1898" s="13" t="inlineStr">
        <is>
          <t>E</t>
        </is>
      </c>
      <c r="F1898" s="13" t="n">
        <v>2026</v>
      </c>
      <c r="G1898" s="14" t="n">
        <v>8204475.69662251</v>
      </c>
      <c r="H1898" s="14" t="n">
        <v>2613558.932848642</v>
      </c>
      <c r="I1898" s="14" t="n">
        <v>610299.8216024959</v>
      </c>
      <c r="J1898" s="14" t="n">
        <v>0</v>
      </c>
      <c r="K1898" s="14" t="n">
        <v>156171.3758534151</v>
      </c>
      <c r="L1898" s="14" t="n">
        <v>4824445.566317958</v>
      </c>
      <c r="M1898" s="14" t="n">
        <v>0</v>
      </c>
      <c r="N1898" s="14" t="n">
        <v>2480679.94394259</v>
      </c>
      <c r="O1898" s="14" t="n">
        <v>3380007.682883888</v>
      </c>
      <c r="P1898" s="14" t="n">
        <v>112902.9877707986</v>
      </c>
      <c r="Q1898" s="14" t="n">
        <v>25868153.64632299</v>
      </c>
      <c r="R1898" s="15">
        <f>IF(D1898=1,"Section 1","Control")</f>
        <v/>
      </c>
      <c r="S1898" s="16">
        <f>N1898/10000</f>
        <v/>
      </c>
      <c r="T1898" s="16">
        <f>P1898/10000</f>
        <v/>
      </c>
      <c r="U1898" s="15">
        <f>IF(N1898&gt;=Summary!$D$3,1,0)</f>
        <v/>
      </c>
      <c r="V1898" s="17">
        <f>IF(N1898&gt;0,P1898/N1898,"")</f>
        <v/>
      </c>
      <c r="W1898" s="17">
        <f>IF(O1898&gt;0,H1898/O1898,"")</f>
        <v/>
      </c>
    </row>
    <row r="1899">
      <c r="A1899" s="13" t="inlineStr">
        <is>
          <t>CE21_F</t>
        </is>
      </c>
      <c r="B1899" s="13" t="inlineStr">
        <is>
          <t>CE21</t>
        </is>
      </c>
      <c r="C1899" s="13" t="inlineStr">
        <is>
          <t>F</t>
        </is>
      </c>
      <c r="D1899" s="13" t="n">
        <v>0</v>
      </c>
      <c r="E1899" s="13" t="inlineStr">
        <is>
          <t>E</t>
        </is>
      </c>
      <c r="F1899" s="13" t="n">
        <v>2020</v>
      </c>
      <c r="G1899" s="14" t="n">
        <v>71080.00472433055</v>
      </c>
      <c r="H1899" s="14" t="n">
        <v>53365.86217067943</v>
      </c>
      <c r="I1899" s="14" t="n">
        <v>16072.51066200406</v>
      </c>
      <c r="J1899" s="14" t="n">
        <v>0</v>
      </c>
      <c r="K1899" s="14" t="n">
        <v>1641.63189164704</v>
      </c>
      <c r="L1899" s="14" t="n">
        <v>0</v>
      </c>
      <c r="M1899" s="14" t="n">
        <v>0</v>
      </c>
      <c r="N1899" s="14" t="n">
        <v>53365.86217067943</v>
      </c>
      <c r="O1899" s="14" t="n">
        <v>71080.00472433055</v>
      </c>
      <c r="P1899" s="14" t="n">
        <v>0</v>
      </c>
      <c r="Q1899" s="14" t="n">
        <v>584909.2497642366</v>
      </c>
      <c r="R1899" s="15">
        <f>IF(D1899=1,"Section 1","Control")</f>
        <v/>
      </c>
      <c r="S1899" s="16">
        <f>N1899/10000</f>
        <v/>
      </c>
      <c r="T1899" s="16">
        <f>P1899/10000</f>
        <v/>
      </c>
      <c r="U1899" s="15">
        <f>IF(N1899&gt;=Summary!$D$3,1,0)</f>
        <v/>
      </c>
      <c r="V1899" s="17">
        <f>IF(N1899&gt;0,P1899/N1899,"")</f>
        <v/>
      </c>
      <c r="W1899" s="17">
        <f>IF(O1899&gt;0,H1899/O1899,"")</f>
        <v/>
      </c>
    </row>
    <row r="1900">
      <c r="A1900" s="13" t="inlineStr">
        <is>
          <t>CE21_F</t>
        </is>
      </c>
      <c r="B1900" s="13" t="inlineStr">
        <is>
          <t>CE21</t>
        </is>
      </c>
      <c r="C1900" s="13" t="inlineStr">
        <is>
          <t>F</t>
        </is>
      </c>
      <c r="D1900" s="13" t="n">
        <v>0</v>
      </c>
      <c r="E1900" s="13" t="inlineStr">
        <is>
          <t>E</t>
        </is>
      </c>
      <c r="F1900" s="13" t="n">
        <v>2021</v>
      </c>
      <c r="G1900" s="14" t="n">
        <v>71080.00472433055</v>
      </c>
      <c r="H1900" s="14" t="n">
        <v>44765.87359999114</v>
      </c>
      <c r="I1900" s="14" t="n">
        <v>19880.40247551414</v>
      </c>
      <c r="J1900" s="14" t="n">
        <v>0</v>
      </c>
      <c r="K1900" s="14" t="n">
        <v>6433.728648825252</v>
      </c>
      <c r="L1900" s="14" t="n">
        <v>0</v>
      </c>
      <c r="M1900" s="14" t="n">
        <v>0</v>
      </c>
      <c r="N1900" s="14" t="n">
        <v>53365.86217067943</v>
      </c>
      <c r="O1900" s="14" t="n">
        <v>71080.00472433055</v>
      </c>
      <c r="P1900" s="14" t="n">
        <v>9137.777982375201</v>
      </c>
      <c r="Q1900" s="14" t="n">
        <v>584909.2497642366</v>
      </c>
      <c r="R1900" s="15">
        <f>IF(D1900=1,"Section 1","Control")</f>
        <v/>
      </c>
      <c r="S1900" s="16">
        <f>N1900/10000</f>
        <v/>
      </c>
      <c r="T1900" s="16">
        <f>P1900/10000</f>
        <v/>
      </c>
      <c r="U1900" s="15">
        <f>IF(N1900&gt;=Summary!$D$3,1,0)</f>
        <v/>
      </c>
      <c r="V1900" s="17">
        <f>IF(N1900&gt;0,P1900/N1900,"")</f>
        <v/>
      </c>
      <c r="W1900" s="17">
        <f>IF(O1900&gt;0,H1900/O1900,"")</f>
        <v/>
      </c>
    </row>
    <row r="1901">
      <c r="A1901" s="13" t="inlineStr">
        <is>
          <t>CE21_F</t>
        </is>
      </c>
      <c r="B1901" s="13" t="inlineStr">
        <is>
          <t>CE21</t>
        </is>
      </c>
      <c r="C1901" s="13" t="inlineStr">
        <is>
          <t>F</t>
        </is>
      </c>
      <c r="D1901" s="13" t="n">
        <v>0</v>
      </c>
      <c r="E1901" s="13" t="inlineStr">
        <is>
          <t>E</t>
        </is>
      </c>
      <c r="F1901" s="13" t="n">
        <v>2022</v>
      </c>
      <c r="G1901" s="14" t="n">
        <v>71080.00472433056</v>
      </c>
      <c r="H1901" s="14" t="n">
        <v>43132.75850791184</v>
      </c>
      <c r="I1901" s="14" t="n">
        <v>24485.49287510292</v>
      </c>
      <c r="J1901" s="14" t="n">
        <v>0</v>
      </c>
      <c r="K1901" s="14" t="n">
        <v>3461.753341315775</v>
      </c>
      <c r="L1901" s="14" t="n">
        <v>0</v>
      </c>
      <c r="M1901" s="14" t="n">
        <v>0</v>
      </c>
      <c r="N1901" s="14" t="n">
        <v>53365.86217067943</v>
      </c>
      <c r="O1901" s="14" t="n">
        <v>71080.00472433056</v>
      </c>
      <c r="P1901" s="14" t="n">
        <v>11346.62573598226</v>
      </c>
      <c r="Q1901" s="14" t="n">
        <v>584909.2497642366</v>
      </c>
      <c r="R1901" s="15">
        <f>IF(D1901=1,"Section 1","Control")</f>
        <v/>
      </c>
      <c r="S1901" s="16">
        <f>N1901/10000</f>
        <v/>
      </c>
      <c r="T1901" s="16">
        <f>P1901/10000</f>
        <v/>
      </c>
      <c r="U1901" s="15">
        <f>IF(N1901&gt;=Summary!$D$3,1,0)</f>
        <v/>
      </c>
      <c r="V1901" s="17">
        <f>IF(N1901&gt;0,P1901/N1901,"")</f>
        <v/>
      </c>
      <c r="W1901" s="17">
        <f>IF(O1901&gt;0,H1901/O1901,"")</f>
        <v/>
      </c>
    </row>
    <row r="1902">
      <c r="A1902" s="13" t="inlineStr">
        <is>
          <t>CE21_F</t>
        </is>
      </c>
      <c r="B1902" s="13" t="inlineStr">
        <is>
          <t>CE21</t>
        </is>
      </c>
      <c r="C1902" s="13" t="inlineStr">
        <is>
          <t>F</t>
        </is>
      </c>
      <c r="D1902" s="13" t="n">
        <v>0</v>
      </c>
      <c r="E1902" s="13" t="inlineStr">
        <is>
          <t>E</t>
        </is>
      </c>
      <c r="F1902" s="13" t="n">
        <v>2023</v>
      </c>
      <c r="G1902" s="14" t="n">
        <v>71080.00472433055</v>
      </c>
      <c r="H1902" s="14" t="n">
        <v>38292.26158528048</v>
      </c>
      <c r="I1902" s="14" t="n">
        <v>29617.53350279565</v>
      </c>
      <c r="J1902" s="14" t="n">
        <v>0</v>
      </c>
      <c r="K1902" s="14" t="n">
        <v>3170.209636254404</v>
      </c>
      <c r="L1902" s="14" t="n">
        <v>0</v>
      </c>
      <c r="M1902" s="14" t="n">
        <v>0</v>
      </c>
      <c r="N1902" s="14" t="n">
        <v>53365.86217067943</v>
      </c>
      <c r="O1902" s="14" t="n">
        <v>71080.00472433055</v>
      </c>
      <c r="P1902" s="14" t="n">
        <v>15482.45990355249</v>
      </c>
      <c r="Q1902" s="14" t="n">
        <v>584909.2497642366</v>
      </c>
      <c r="R1902" s="15">
        <f>IF(D1902=1,"Section 1","Control")</f>
        <v/>
      </c>
      <c r="S1902" s="16">
        <f>N1902/10000</f>
        <v/>
      </c>
      <c r="T1902" s="16">
        <f>P1902/10000</f>
        <v/>
      </c>
      <c r="U1902" s="15">
        <f>IF(N1902&gt;=Summary!$D$3,1,0)</f>
        <v/>
      </c>
      <c r="V1902" s="17">
        <f>IF(N1902&gt;0,P1902/N1902,"")</f>
        <v/>
      </c>
      <c r="W1902" s="17">
        <f>IF(O1902&gt;0,H1902/O1902,"")</f>
        <v/>
      </c>
    </row>
    <row r="1903">
      <c r="A1903" s="13" t="inlineStr">
        <is>
          <t>CE21_F</t>
        </is>
      </c>
      <c r="B1903" s="13" t="inlineStr">
        <is>
          <t>CE21</t>
        </is>
      </c>
      <c r="C1903" s="13" t="inlineStr">
        <is>
          <t>F</t>
        </is>
      </c>
      <c r="D1903" s="13" t="n">
        <v>0</v>
      </c>
      <c r="E1903" s="13" t="inlineStr">
        <is>
          <t>E</t>
        </is>
      </c>
      <c r="F1903" s="13" t="n">
        <v>2024</v>
      </c>
      <c r="G1903" s="14" t="n">
        <v>71080.00472433056</v>
      </c>
      <c r="H1903" s="14" t="n">
        <v>25537.0745967491</v>
      </c>
      <c r="I1903" s="14" t="n">
        <v>39504.50699519737</v>
      </c>
      <c r="J1903" s="14" t="n">
        <v>0</v>
      </c>
      <c r="K1903" s="14" t="n">
        <v>6038.423132384058</v>
      </c>
      <c r="L1903" s="14" t="n">
        <v>0</v>
      </c>
      <c r="M1903" s="14" t="n">
        <v>0</v>
      </c>
      <c r="N1903" s="14" t="n">
        <v>53365.86217067943</v>
      </c>
      <c r="O1903" s="14" t="n">
        <v>71080.00472433056</v>
      </c>
      <c r="P1903" s="14" t="n">
        <v>29175.00338616465</v>
      </c>
      <c r="Q1903" s="14" t="n">
        <v>584909.2497642366</v>
      </c>
      <c r="R1903" s="15">
        <f>IF(D1903=1,"Section 1","Control")</f>
        <v/>
      </c>
      <c r="S1903" s="16">
        <f>N1903/10000</f>
        <v/>
      </c>
      <c r="T1903" s="16">
        <f>P1903/10000</f>
        <v/>
      </c>
      <c r="U1903" s="15">
        <f>IF(N1903&gt;=Summary!$D$3,1,0)</f>
        <v/>
      </c>
      <c r="V1903" s="17">
        <f>IF(N1903&gt;0,P1903/N1903,"")</f>
        <v/>
      </c>
      <c r="W1903" s="17">
        <f>IF(O1903&gt;0,H1903/O1903,"")</f>
        <v/>
      </c>
    </row>
    <row r="1904">
      <c r="A1904" s="13" t="inlineStr">
        <is>
          <t>CE21_F</t>
        </is>
      </c>
      <c r="B1904" s="13" t="inlineStr">
        <is>
          <t>CE21</t>
        </is>
      </c>
      <c r="C1904" s="13" t="inlineStr">
        <is>
          <t>F</t>
        </is>
      </c>
      <c r="D1904" s="13" t="n">
        <v>0</v>
      </c>
      <c r="E1904" s="13" t="inlineStr">
        <is>
          <t>E</t>
        </is>
      </c>
      <c r="F1904" s="13" t="n">
        <v>2025</v>
      </c>
      <c r="G1904" s="14" t="n">
        <v>71080.00472433055</v>
      </c>
      <c r="H1904" s="14" t="n">
        <v>17556.95799306234</v>
      </c>
      <c r="I1904" s="14" t="n">
        <v>51350.97993538053</v>
      </c>
      <c r="J1904" s="14" t="n">
        <v>0</v>
      </c>
      <c r="K1904" s="14" t="n">
        <v>2172.066795887667</v>
      </c>
      <c r="L1904" s="14" t="n">
        <v>0</v>
      </c>
      <c r="M1904" s="14" t="n">
        <v>0</v>
      </c>
      <c r="N1904" s="14" t="n">
        <v>53365.86217067943</v>
      </c>
      <c r="O1904" s="14" t="n">
        <v>71080.00472433055</v>
      </c>
      <c r="P1904" s="14" t="n">
        <v>36526.73097336713</v>
      </c>
      <c r="Q1904" s="14" t="n">
        <v>584909.2497642366</v>
      </c>
      <c r="R1904" s="15">
        <f>IF(D1904=1,"Section 1","Control")</f>
        <v/>
      </c>
      <c r="S1904" s="16">
        <f>N1904/10000</f>
        <v/>
      </c>
      <c r="T1904" s="16">
        <f>P1904/10000</f>
        <v/>
      </c>
      <c r="U1904" s="15">
        <f>IF(N1904&gt;=Summary!$D$3,1,0)</f>
        <v/>
      </c>
      <c r="V1904" s="17">
        <f>IF(N1904&gt;0,P1904/N1904,"")</f>
        <v/>
      </c>
      <c r="W1904" s="17">
        <f>IF(O1904&gt;0,H1904/O1904,"")</f>
        <v/>
      </c>
    </row>
    <row r="1905">
      <c r="A1905" s="13" t="inlineStr">
        <is>
          <t>CE21_F</t>
        </is>
      </c>
      <c r="B1905" s="13" t="inlineStr">
        <is>
          <t>CE21</t>
        </is>
      </c>
      <c r="C1905" s="13" t="inlineStr">
        <is>
          <t>F</t>
        </is>
      </c>
      <c r="D1905" s="13" t="n">
        <v>0</v>
      </c>
      <c r="E1905" s="13" t="inlineStr">
        <is>
          <t>E</t>
        </is>
      </c>
      <c r="F1905" s="13" t="n">
        <v>2026</v>
      </c>
      <c r="G1905" s="14" t="n">
        <v>71080.00472433055</v>
      </c>
      <c r="H1905" s="14" t="n">
        <v>25330.71277672263</v>
      </c>
      <c r="I1905" s="14" t="n">
        <v>19895.89521672866</v>
      </c>
      <c r="J1905" s="14" t="n">
        <v>0</v>
      </c>
      <c r="K1905" s="14" t="n">
        <v>25853.39673087924</v>
      </c>
      <c r="L1905" s="14" t="n">
        <v>0</v>
      </c>
      <c r="M1905" s="14" t="n">
        <v>0</v>
      </c>
      <c r="N1905" s="14" t="n">
        <v>53365.86217067943</v>
      </c>
      <c r="O1905" s="14" t="n">
        <v>71080.00472433055</v>
      </c>
      <c r="P1905" s="14" t="n">
        <v>29325.99871179918</v>
      </c>
      <c r="Q1905" s="14" t="n">
        <v>584909.2497642366</v>
      </c>
      <c r="R1905" s="15">
        <f>IF(D1905=1,"Section 1","Control")</f>
        <v/>
      </c>
      <c r="S1905" s="16">
        <f>N1905/10000</f>
        <v/>
      </c>
      <c r="T1905" s="16">
        <f>P1905/10000</f>
        <v/>
      </c>
      <c r="U1905" s="15">
        <f>IF(N1905&gt;=Summary!$D$3,1,0)</f>
        <v/>
      </c>
      <c r="V1905" s="17">
        <f>IF(N1905&gt;0,P1905/N1905,"")</f>
        <v/>
      </c>
      <c r="W1905" s="17">
        <f>IF(O1905&gt;0,H1905/O1905,"")</f>
        <v/>
      </c>
    </row>
    <row r="1906">
      <c r="A1906" s="13" t="inlineStr">
        <is>
          <t>CE22_B1</t>
        </is>
      </c>
      <c r="B1906" s="13" t="inlineStr">
        <is>
          <t>CE22</t>
        </is>
      </c>
      <c r="C1906" s="13" t="inlineStr">
        <is>
          <t>B1</t>
        </is>
      </c>
      <c r="D1906" s="13" t="n">
        <v>0</v>
      </c>
      <c r="E1906" s="13" t="inlineStr">
        <is>
          <t>E</t>
        </is>
      </c>
      <c r="F1906" s="13" t="n">
        <v>2020</v>
      </c>
      <c r="G1906" s="14" t="n">
        <v>1000388.138480632</v>
      </c>
      <c r="H1906" s="14" t="n">
        <v>442877.2625117583</v>
      </c>
      <c r="I1906" s="14" t="n">
        <v>358338.7119600782</v>
      </c>
      <c r="J1906" s="14" t="n">
        <v>0</v>
      </c>
      <c r="K1906" s="14" t="n">
        <v>19647.46183013916</v>
      </c>
      <c r="L1906" s="14" t="n">
        <v>179524.7021786559</v>
      </c>
      <c r="M1906" s="14" t="n">
        <v>0</v>
      </c>
      <c r="N1906" s="14" t="n">
        <v>442877.2625117583</v>
      </c>
      <c r="O1906" s="14" t="n">
        <v>820863.4363019757</v>
      </c>
      <c r="P1906" s="14" t="n">
        <v>0</v>
      </c>
      <c r="Q1906" s="14" t="n">
        <v>6281413.039178167</v>
      </c>
      <c r="R1906" s="15">
        <f>IF(D1906=1,"Section 1","Control")</f>
        <v/>
      </c>
      <c r="S1906" s="16">
        <f>N1906/10000</f>
        <v/>
      </c>
      <c r="T1906" s="16">
        <f>P1906/10000</f>
        <v/>
      </c>
      <c r="U1906" s="15">
        <f>IF(N1906&gt;=Summary!$D$3,1,0)</f>
        <v/>
      </c>
      <c r="V1906" s="17">
        <f>IF(N1906&gt;0,P1906/N1906,"")</f>
        <v/>
      </c>
      <c r="W1906" s="17">
        <f>IF(O1906&gt;0,H1906/O1906,"")</f>
        <v/>
      </c>
    </row>
    <row r="1907">
      <c r="A1907" s="13" t="inlineStr">
        <is>
          <t>CE22_B1</t>
        </is>
      </c>
      <c r="B1907" s="13" t="inlineStr">
        <is>
          <t>CE22</t>
        </is>
      </c>
      <c r="C1907" s="13" t="inlineStr">
        <is>
          <t>B1</t>
        </is>
      </c>
      <c r="D1907" s="13" t="n">
        <v>0</v>
      </c>
      <c r="E1907" s="13" t="inlineStr">
        <is>
          <t>E</t>
        </is>
      </c>
      <c r="F1907" s="13" t="n">
        <v>2021</v>
      </c>
      <c r="G1907" s="14" t="n">
        <v>1000388.138480632</v>
      </c>
      <c r="H1907" s="14" t="n">
        <v>400417.906991637</v>
      </c>
      <c r="I1907" s="14" t="n">
        <v>390630.7749276853</v>
      </c>
      <c r="J1907" s="14" t="n">
        <v>0</v>
      </c>
      <c r="K1907" s="14" t="n">
        <v>36876.92579809451</v>
      </c>
      <c r="L1907" s="14" t="n">
        <v>172462.5307632147</v>
      </c>
      <c r="M1907" s="14" t="n">
        <v>0</v>
      </c>
      <c r="N1907" s="14" t="n">
        <v>442877.2625117583</v>
      </c>
      <c r="O1907" s="14" t="n">
        <v>820863.4363019757</v>
      </c>
      <c r="P1907" s="14" t="n">
        <v>50878.11617647059</v>
      </c>
      <c r="Q1907" s="14" t="n">
        <v>6281413.039178167</v>
      </c>
      <c r="R1907" s="15">
        <f>IF(D1907=1,"Section 1","Control")</f>
        <v/>
      </c>
      <c r="S1907" s="16">
        <f>N1907/10000</f>
        <v/>
      </c>
      <c r="T1907" s="16">
        <f>P1907/10000</f>
        <v/>
      </c>
      <c r="U1907" s="15">
        <f>IF(N1907&gt;=Summary!$D$3,1,0)</f>
        <v/>
      </c>
      <c r="V1907" s="17">
        <f>IF(N1907&gt;0,P1907/N1907,"")</f>
        <v/>
      </c>
      <c r="W1907" s="17">
        <f>IF(O1907&gt;0,H1907/O1907,"")</f>
        <v/>
      </c>
    </row>
    <row r="1908">
      <c r="A1908" s="13" t="inlineStr">
        <is>
          <t>CE22_B1</t>
        </is>
      </c>
      <c r="B1908" s="13" t="inlineStr">
        <is>
          <t>CE22</t>
        </is>
      </c>
      <c r="C1908" s="13" t="inlineStr">
        <is>
          <t>B1</t>
        </is>
      </c>
      <c r="D1908" s="13" t="n">
        <v>0</v>
      </c>
      <c r="E1908" s="13" t="inlineStr">
        <is>
          <t>E</t>
        </is>
      </c>
      <c r="F1908" s="13" t="n">
        <v>2022</v>
      </c>
      <c r="G1908" s="14" t="n">
        <v>1000388.138480632</v>
      </c>
      <c r="H1908" s="14" t="n">
        <v>417294.1687177471</v>
      </c>
      <c r="I1908" s="14" t="n">
        <v>375690.7888826257</v>
      </c>
      <c r="J1908" s="14" t="n">
        <v>0</v>
      </c>
      <c r="K1908" s="14" t="n">
        <v>30991.40940201704</v>
      </c>
      <c r="L1908" s="14" t="n">
        <v>176411.7714782415</v>
      </c>
      <c r="M1908" s="14" t="n">
        <v>0</v>
      </c>
      <c r="N1908" s="14" t="n">
        <v>442877.2625117583</v>
      </c>
      <c r="O1908" s="14" t="n">
        <v>820863.4363019757</v>
      </c>
      <c r="P1908" s="14" t="n">
        <v>39414.97564535702</v>
      </c>
      <c r="Q1908" s="14" t="n">
        <v>6281413.039178167</v>
      </c>
      <c r="R1908" s="15">
        <f>IF(D1908=1,"Section 1","Control")</f>
        <v/>
      </c>
      <c r="S1908" s="16">
        <f>N1908/10000</f>
        <v/>
      </c>
      <c r="T1908" s="16">
        <f>P1908/10000</f>
        <v/>
      </c>
      <c r="U1908" s="15">
        <f>IF(N1908&gt;=Summary!$D$3,1,0)</f>
        <v/>
      </c>
      <c r="V1908" s="17">
        <f>IF(N1908&gt;0,P1908/N1908,"")</f>
        <v/>
      </c>
      <c r="W1908" s="17">
        <f>IF(O1908&gt;0,H1908/O1908,"")</f>
        <v/>
      </c>
    </row>
    <row r="1909">
      <c r="A1909" s="13" t="inlineStr">
        <is>
          <t>CE22_B1</t>
        </is>
      </c>
      <c r="B1909" s="13" t="inlineStr">
        <is>
          <t>CE22</t>
        </is>
      </c>
      <c r="C1909" s="13" t="inlineStr">
        <is>
          <t>B1</t>
        </is>
      </c>
      <c r="D1909" s="13" t="n">
        <v>0</v>
      </c>
      <c r="E1909" s="13" t="inlineStr">
        <is>
          <t>E</t>
        </is>
      </c>
      <c r="F1909" s="13" t="n">
        <v>2023</v>
      </c>
      <c r="G1909" s="14" t="n">
        <v>1000388.138480632</v>
      </c>
      <c r="H1909" s="14" t="n">
        <v>348078.8981169457</v>
      </c>
      <c r="I1909" s="14" t="n">
        <v>431831.7188679713</v>
      </c>
      <c r="J1909" s="14" t="n">
        <v>0</v>
      </c>
      <c r="K1909" s="14" t="n">
        <v>34450.11949558632</v>
      </c>
      <c r="L1909" s="14" t="n">
        <v>186027.4020001281</v>
      </c>
      <c r="M1909" s="14" t="n">
        <v>0</v>
      </c>
      <c r="N1909" s="14" t="n">
        <v>442877.2625117583</v>
      </c>
      <c r="O1909" s="14" t="n">
        <v>820863.4363019757</v>
      </c>
      <c r="P1909" s="14" t="n">
        <v>105039.1902611826</v>
      </c>
      <c r="Q1909" s="14" t="n">
        <v>6281413.039178167</v>
      </c>
      <c r="R1909" s="15">
        <f>IF(D1909=1,"Section 1","Control")</f>
        <v/>
      </c>
      <c r="S1909" s="16">
        <f>N1909/10000</f>
        <v/>
      </c>
      <c r="T1909" s="16">
        <f>P1909/10000</f>
        <v/>
      </c>
      <c r="U1909" s="15">
        <f>IF(N1909&gt;=Summary!$D$3,1,0)</f>
        <v/>
      </c>
      <c r="V1909" s="17">
        <f>IF(N1909&gt;0,P1909/N1909,"")</f>
        <v/>
      </c>
      <c r="W1909" s="17">
        <f>IF(O1909&gt;0,H1909/O1909,"")</f>
        <v/>
      </c>
    </row>
    <row r="1910">
      <c r="A1910" s="13" t="inlineStr">
        <is>
          <t>CE22_B1</t>
        </is>
      </c>
      <c r="B1910" s="13" t="inlineStr">
        <is>
          <t>CE22</t>
        </is>
      </c>
      <c r="C1910" s="13" t="inlineStr">
        <is>
          <t>B1</t>
        </is>
      </c>
      <c r="D1910" s="13" t="n">
        <v>0</v>
      </c>
      <c r="E1910" s="13" t="inlineStr">
        <is>
          <t>E</t>
        </is>
      </c>
      <c r="F1910" s="13" t="n">
        <v>2024</v>
      </c>
      <c r="G1910" s="14" t="n">
        <v>1000388.138480632</v>
      </c>
      <c r="H1910" s="14" t="n">
        <v>432235.3951664345</v>
      </c>
      <c r="I1910" s="14" t="n">
        <v>359947.6903943828</v>
      </c>
      <c r="J1910" s="14" t="n">
        <v>0</v>
      </c>
      <c r="K1910" s="14" t="n">
        <v>38673.4830255845</v>
      </c>
      <c r="L1910" s="14" t="n">
        <v>169531.5698942296</v>
      </c>
      <c r="M1910" s="14" t="n">
        <v>0</v>
      </c>
      <c r="N1910" s="14" t="n">
        <v>442877.2625117583</v>
      </c>
      <c r="O1910" s="14" t="n">
        <v>820863.4363019757</v>
      </c>
      <c r="P1910" s="14" t="n">
        <v>85308.00873553706</v>
      </c>
      <c r="Q1910" s="14" t="n">
        <v>6281413.039178167</v>
      </c>
      <c r="R1910" s="15">
        <f>IF(D1910=1,"Section 1","Control")</f>
        <v/>
      </c>
      <c r="S1910" s="16">
        <f>N1910/10000</f>
        <v/>
      </c>
      <c r="T1910" s="16">
        <f>P1910/10000</f>
        <v/>
      </c>
      <c r="U1910" s="15">
        <f>IF(N1910&gt;=Summary!$D$3,1,0)</f>
        <v/>
      </c>
      <c r="V1910" s="17">
        <f>IF(N1910&gt;0,P1910/N1910,"")</f>
        <v/>
      </c>
      <c r="W1910" s="17">
        <f>IF(O1910&gt;0,H1910/O1910,"")</f>
        <v/>
      </c>
    </row>
    <row r="1911">
      <c r="A1911" s="13" t="inlineStr">
        <is>
          <t>CE22_B1</t>
        </is>
      </c>
      <c r="B1911" s="13" t="inlineStr">
        <is>
          <t>CE22</t>
        </is>
      </c>
      <c r="C1911" s="13" t="inlineStr">
        <is>
          <t>B1</t>
        </is>
      </c>
      <c r="D1911" s="13" t="n">
        <v>0</v>
      </c>
      <c r="E1911" s="13" t="inlineStr">
        <is>
          <t>E</t>
        </is>
      </c>
      <c r="F1911" s="13" t="n">
        <v>2025</v>
      </c>
      <c r="G1911" s="14" t="n">
        <v>1000388.138480632</v>
      </c>
      <c r="H1911" s="14" t="n">
        <v>419624.4319339828</v>
      </c>
      <c r="I1911" s="14" t="n">
        <v>354021.9903152764</v>
      </c>
      <c r="J1911" s="14" t="n">
        <v>0</v>
      </c>
      <c r="K1911" s="14" t="n">
        <v>35376.64394722733</v>
      </c>
      <c r="L1911" s="14" t="n">
        <v>191365.072284145</v>
      </c>
      <c r="M1911" s="14" t="n">
        <v>0</v>
      </c>
      <c r="N1911" s="14" t="n">
        <v>442877.2625117583</v>
      </c>
      <c r="O1911" s="14" t="n">
        <v>820863.4363019757</v>
      </c>
      <c r="P1911" s="14" t="n">
        <v>66146.59590609682</v>
      </c>
      <c r="Q1911" s="14" t="n">
        <v>6281413.039178167</v>
      </c>
      <c r="R1911" s="15">
        <f>IF(D1911=1,"Section 1","Control")</f>
        <v/>
      </c>
      <c r="S1911" s="16">
        <f>N1911/10000</f>
        <v/>
      </c>
      <c r="T1911" s="16">
        <f>P1911/10000</f>
        <v/>
      </c>
      <c r="U1911" s="15">
        <f>IF(N1911&gt;=Summary!$D$3,1,0)</f>
        <v/>
      </c>
      <c r="V1911" s="17">
        <f>IF(N1911&gt;0,P1911/N1911,"")</f>
        <v/>
      </c>
      <c r="W1911" s="17">
        <f>IF(O1911&gt;0,H1911/O1911,"")</f>
        <v/>
      </c>
    </row>
    <row r="1912">
      <c r="A1912" s="13" t="inlineStr">
        <is>
          <t>CE22_B1</t>
        </is>
      </c>
      <c r="B1912" s="13" t="inlineStr">
        <is>
          <t>CE22</t>
        </is>
      </c>
      <c r="C1912" s="13" t="inlineStr">
        <is>
          <t>B1</t>
        </is>
      </c>
      <c r="D1912" s="13" t="n">
        <v>0</v>
      </c>
      <c r="E1912" s="13" t="inlineStr">
        <is>
          <t>E</t>
        </is>
      </c>
      <c r="F1912" s="13" t="n">
        <v>2026</v>
      </c>
      <c r="G1912" s="14" t="n">
        <v>1000388.138480632</v>
      </c>
      <c r="H1912" s="14" t="n">
        <v>472188.8160359702</v>
      </c>
      <c r="I1912" s="14" t="n">
        <v>296223.7585392072</v>
      </c>
      <c r="J1912" s="14" t="n">
        <v>0</v>
      </c>
      <c r="K1912" s="14" t="n">
        <v>47920.84708733652</v>
      </c>
      <c r="L1912" s="14" t="n">
        <v>184054.7168181176</v>
      </c>
      <c r="M1912" s="14" t="n">
        <v>0</v>
      </c>
      <c r="N1912" s="14" t="n">
        <v>442877.2625117583</v>
      </c>
      <c r="O1912" s="14" t="n">
        <v>820863.4363019757</v>
      </c>
      <c r="P1912" s="14" t="n">
        <v>58810.41736189899</v>
      </c>
      <c r="Q1912" s="14" t="n">
        <v>6281413.039178167</v>
      </c>
      <c r="R1912" s="15">
        <f>IF(D1912=1,"Section 1","Control")</f>
        <v/>
      </c>
      <c r="S1912" s="16">
        <f>N1912/10000</f>
        <v/>
      </c>
      <c r="T1912" s="16">
        <f>P1912/10000</f>
        <v/>
      </c>
      <c r="U1912" s="15">
        <f>IF(N1912&gt;=Summary!$D$3,1,0)</f>
        <v/>
      </c>
      <c r="V1912" s="17">
        <f>IF(N1912&gt;0,P1912/N1912,"")</f>
        <v/>
      </c>
      <c r="W1912" s="17">
        <f>IF(O1912&gt;0,H1912/O1912,"")</f>
        <v/>
      </c>
    </row>
    <row r="1913">
      <c r="A1913" s="13" t="inlineStr">
        <is>
          <t>CE22_B2</t>
        </is>
      </c>
      <c r="B1913" s="13" t="inlineStr">
        <is>
          <t>CE22</t>
        </is>
      </c>
      <c r="C1913" s="13" t="inlineStr">
        <is>
          <t>B2</t>
        </is>
      </c>
      <c r="D1913" s="13" t="n">
        <v>0</v>
      </c>
      <c r="E1913" s="13" t="inlineStr">
        <is>
          <t>E</t>
        </is>
      </c>
      <c r="F1913" s="13" t="n">
        <v>2020</v>
      </c>
      <c r="G1913" s="14" t="n">
        <v>1000022.249155979</v>
      </c>
      <c r="H1913" s="14" t="n">
        <v>188913.0821338728</v>
      </c>
      <c r="I1913" s="14" t="n">
        <v>310630.394797471</v>
      </c>
      <c r="J1913" s="14" t="n">
        <v>0</v>
      </c>
      <c r="K1913" s="14" t="n">
        <v>394.9164047241211</v>
      </c>
      <c r="L1913" s="14" t="n">
        <v>500083.8558199116</v>
      </c>
      <c r="M1913" s="14" t="n">
        <v>0</v>
      </c>
      <c r="N1913" s="14" t="n">
        <v>188913.0821338728</v>
      </c>
      <c r="O1913" s="14" t="n">
        <v>499938.393336068</v>
      </c>
      <c r="P1913" s="14" t="n">
        <v>0</v>
      </c>
      <c r="Q1913" s="14" t="n">
        <v>2766577.262289369</v>
      </c>
      <c r="R1913" s="15">
        <f>IF(D1913=1,"Section 1","Control")</f>
        <v/>
      </c>
      <c r="S1913" s="16">
        <f>N1913/10000</f>
        <v/>
      </c>
      <c r="T1913" s="16">
        <f>P1913/10000</f>
        <v/>
      </c>
      <c r="U1913" s="15">
        <f>IF(N1913&gt;=Summary!$D$3,1,0)</f>
        <v/>
      </c>
      <c r="V1913" s="17">
        <f>IF(N1913&gt;0,P1913/N1913,"")</f>
        <v/>
      </c>
      <c r="W1913" s="17">
        <f>IF(O1913&gt;0,H1913/O1913,"")</f>
        <v/>
      </c>
    </row>
    <row r="1914">
      <c r="A1914" s="13" t="inlineStr">
        <is>
          <t>CE22_B2</t>
        </is>
      </c>
      <c r="B1914" s="13" t="inlineStr">
        <is>
          <t>CE22</t>
        </is>
      </c>
      <c r="C1914" s="13" t="inlineStr">
        <is>
          <t>B2</t>
        </is>
      </c>
      <c r="D1914" s="13" t="n">
        <v>0</v>
      </c>
      <c r="E1914" s="13" t="inlineStr">
        <is>
          <t>E</t>
        </is>
      </c>
      <c r="F1914" s="13" t="n">
        <v>2021</v>
      </c>
      <c r="G1914" s="14" t="n">
        <v>1000022.249155979</v>
      </c>
      <c r="H1914" s="14" t="n">
        <v>139408.7700560925</v>
      </c>
      <c r="I1914" s="14" t="n">
        <v>355640.7829202091</v>
      </c>
      <c r="J1914" s="14" t="n">
        <v>0</v>
      </c>
      <c r="K1914" s="14" t="n">
        <v>4888.840359766344</v>
      </c>
      <c r="L1914" s="14" t="n">
        <v>500083.8558199116</v>
      </c>
      <c r="M1914" s="14" t="n">
        <v>0</v>
      </c>
      <c r="N1914" s="14" t="n">
        <v>188913.0821338728</v>
      </c>
      <c r="O1914" s="14" t="n">
        <v>499938.393336068</v>
      </c>
      <c r="P1914" s="14" t="n">
        <v>58772.0671647315</v>
      </c>
      <c r="Q1914" s="14" t="n">
        <v>2766577.262289369</v>
      </c>
      <c r="R1914" s="15">
        <f>IF(D1914=1,"Section 1","Control")</f>
        <v/>
      </c>
      <c r="S1914" s="16">
        <f>N1914/10000</f>
        <v/>
      </c>
      <c r="T1914" s="16">
        <f>P1914/10000</f>
        <v/>
      </c>
      <c r="U1914" s="15">
        <f>IF(N1914&gt;=Summary!$D$3,1,0)</f>
        <v/>
      </c>
      <c r="V1914" s="17">
        <f>IF(N1914&gt;0,P1914/N1914,"")</f>
        <v/>
      </c>
      <c r="W1914" s="17">
        <f>IF(O1914&gt;0,H1914/O1914,"")</f>
        <v/>
      </c>
    </row>
    <row r="1915">
      <c r="A1915" s="13" t="inlineStr">
        <is>
          <t>CE22_B2</t>
        </is>
      </c>
      <c r="B1915" s="13" t="inlineStr">
        <is>
          <t>CE22</t>
        </is>
      </c>
      <c r="C1915" s="13" t="inlineStr">
        <is>
          <t>B2</t>
        </is>
      </c>
      <c r="D1915" s="13" t="n">
        <v>0</v>
      </c>
      <c r="E1915" s="13" t="inlineStr">
        <is>
          <t>E</t>
        </is>
      </c>
      <c r="F1915" s="13" t="n">
        <v>2022</v>
      </c>
      <c r="G1915" s="14" t="n">
        <v>1000022.249155979</v>
      </c>
      <c r="H1915" s="14" t="n">
        <v>195760.1956964231</v>
      </c>
      <c r="I1915" s="14" t="n">
        <v>300858.1869613947</v>
      </c>
      <c r="J1915" s="14" t="n">
        <v>0</v>
      </c>
      <c r="K1915" s="14" t="n">
        <v>3320.010678250182</v>
      </c>
      <c r="L1915" s="14" t="n">
        <v>500083.8558199116</v>
      </c>
      <c r="M1915" s="14" t="n">
        <v>0</v>
      </c>
      <c r="N1915" s="14" t="n">
        <v>188913.0821338728</v>
      </c>
      <c r="O1915" s="14" t="n">
        <v>499938.393336068</v>
      </c>
      <c r="P1915" s="14" t="n">
        <v>25382.29289475984</v>
      </c>
      <c r="Q1915" s="14" t="n">
        <v>2766577.262289369</v>
      </c>
      <c r="R1915" s="15">
        <f>IF(D1915=1,"Section 1","Control")</f>
        <v/>
      </c>
      <c r="S1915" s="16">
        <f>N1915/10000</f>
        <v/>
      </c>
      <c r="T1915" s="16">
        <f>P1915/10000</f>
        <v/>
      </c>
      <c r="U1915" s="15">
        <f>IF(N1915&gt;=Summary!$D$3,1,0)</f>
        <v/>
      </c>
      <c r="V1915" s="17">
        <f>IF(N1915&gt;0,P1915/N1915,"")</f>
        <v/>
      </c>
      <c r="W1915" s="17">
        <f>IF(O1915&gt;0,H1915/O1915,"")</f>
        <v/>
      </c>
    </row>
    <row r="1916">
      <c r="A1916" s="13" t="inlineStr">
        <is>
          <t>CE22_B2</t>
        </is>
      </c>
      <c r="B1916" s="13" t="inlineStr">
        <is>
          <t>CE22</t>
        </is>
      </c>
      <c r="C1916" s="13" t="inlineStr">
        <is>
          <t>B2</t>
        </is>
      </c>
      <c r="D1916" s="13" t="n">
        <v>0</v>
      </c>
      <c r="E1916" s="13" t="inlineStr">
        <is>
          <t>E</t>
        </is>
      </c>
      <c r="F1916" s="13" t="n">
        <v>2023</v>
      </c>
      <c r="G1916" s="14" t="n">
        <v>1000022.249155979</v>
      </c>
      <c r="H1916" s="14" t="n">
        <v>161791.9891334683</v>
      </c>
      <c r="I1916" s="14" t="n">
        <v>337245.4530986711</v>
      </c>
      <c r="J1916" s="14" t="n">
        <v>0</v>
      </c>
      <c r="K1916" s="14" t="n">
        <v>900.9511039285098</v>
      </c>
      <c r="L1916" s="14" t="n">
        <v>500083.8558199116</v>
      </c>
      <c r="M1916" s="14" t="n">
        <v>0</v>
      </c>
      <c r="N1916" s="14" t="n">
        <v>188913.0821338728</v>
      </c>
      <c r="O1916" s="14" t="n">
        <v>499938.393336068</v>
      </c>
      <c r="P1916" s="14" t="n">
        <v>60906.56150793936</v>
      </c>
      <c r="Q1916" s="14" t="n">
        <v>2766577.262289369</v>
      </c>
      <c r="R1916" s="15">
        <f>IF(D1916=1,"Section 1","Control")</f>
        <v/>
      </c>
      <c r="S1916" s="16">
        <f>N1916/10000</f>
        <v/>
      </c>
      <c r="T1916" s="16">
        <f>P1916/10000</f>
        <v/>
      </c>
      <c r="U1916" s="15">
        <f>IF(N1916&gt;=Summary!$D$3,1,0)</f>
        <v/>
      </c>
      <c r="V1916" s="17">
        <f>IF(N1916&gt;0,P1916/N1916,"")</f>
        <v/>
      </c>
      <c r="W1916" s="17">
        <f>IF(O1916&gt;0,H1916/O1916,"")</f>
        <v/>
      </c>
    </row>
    <row r="1917">
      <c r="A1917" s="13" t="inlineStr">
        <is>
          <t>CE22_B2</t>
        </is>
      </c>
      <c r="B1917" s="13" t="inlineStr">
        <is>
          <t>CE22</t>
        </is>
      </c>
      <c r="C1917" s="13" t="inlineStr">
        <is>
          <t>B2</t>
        </is>
      </c>
      <c r="D1917" s="13" t="n">
        <v>0</v>
      </c>
      <c r="E1917" s="13" t="inlineStr">
        <is>
          <t>E</t>
        </is>
      </c>
      <c r="F1917" s="13" t="n">
        <v>2024</v>
      </c>
      <c r="G1917" s="14" t="n">
        <v>1000022.249155979</v>
      </c>
      <c r="H1917" s="14" t="n">
        <v>325064.9055604823</v>
      </c>
      <c r="I1917" s="14" t="n">
        <v>174071.2661104389</v>
      </c>
      <c r="J1917" s="14" t="n">
        <v>0</v>
      </c>
      <c r="K1917" s="14" t="n">
        <v>802.2216651467716</v>
      </c>
      <c r="L1917" s="14" t="n">
        <v>500083.8558199116</v>
      </c>
      <c r="M1917" s="14" t="n">
        <v>0</v>
      </c>
      <c r="N1917" s="14" t="n">
        <v>188913.0821338728</v>
      </c>
      <c r="O1917" s="14" t="n">
        <v>499938.393336068</v>
      </c>
      <c r="P1917" s="14" t="n">
        <v>20348.25942711924</v>
      </c>
      <c r="Q1917" s="14" t="n">
        <v>2766577.262289369</v>
      </c>
      <c r="R1917" s="15">
        <f>IF(D1917=1,"Section 1","Control")</f>
        <v/>
      </c>
      <c r="S1917" s="16">
        <f>N1917/10000</f>
        <v/>
      </c>
      <c r="T1917" s="16">
        <f>P1917/10000</f>
        <v/>
      </c>
      <c r="U1917" s="15">
        <f>IF(N1917&gt;=Summary!$D$3,1,0)</f>
        <v/>
      </c>
      <c r="V1917" s="17">
        <f>IF(N1917&gt;0,P1917/N1917,"")</f>
        <v/>
      </c>
      <c r="W1917" s="17">
        <f>IF(O1917&gt;0,H1917/O1917,"")</f>
        <v/>
      </c>
    </row>
    <row r="1918">
      <c r="A1918" s="13" t="inlineStr">
        <is>
          <t>CE22_B2</t>
        </is>
      </c>
      <c r="B1918" s="13" t="inlineStr">
        <is>
          <t>CE22</t>
        </is>
      </c>
      <c r="C1918" s="13" t="inlineStr">
        <is>
          <t>B2</t>
        </is>
      </c>
      <c r="D1918" s="13" t="n">
        <v>0</v>
      </c>
      <c r="E1918" s="13" t="inlineStr">
        <is>
          <t>E</t>
        </is>
      </c>
      <c r="F1918" s="13" t="n">
        <v>2025</v>
      </c>
      <c r="G1918" s="14" t="n">
        <v>1000022.249155979</v>
      </c>
      <c r="H1918" s="14" t="n">
        <v>216611.767021957</v>
      </c>
      <c r="I1918" s="14" t="n">
        <v>282524.4046489641</v>
      </c>
      <c r="J1918" s="14" t="n">
        <v>0</v>
      </c>
      <c r="K1918" s="14" t="n">
        <v>802.2216651467716</v>
      </c>
      <c r="L1918" s="14" t="n">
        <v>500083.8558199116</v>
      </c>
      <c r="M1918" s="14" t="n">
        <v>0</v>
      </c>
      <c r="N1918" s="14" t="n">
        <v>188913.0821338728</v>
      </c>
      <c r="O1918" s="14" t="n">
        <v>499938.393336068</v>
      </c>
      <c r="P1918" s="14" t="n">
        <v>23960.20817111145</v>
      </c>
      <c r="Q1918" s="14" t="n">
        <v>2766577.262289369</v>
      </c>
      <c r="R1918" s="15">
        <f>IF(D1918=1,"Section 1","Control")</f>
        <v/>
      </c>
      <c r="S1918" s="16">
        <f>N1918/10000</f>
        <v/>
      </c>
      <c r="T1918" s="16">
        <f>P1918/10000</f>
        <v/>
      </c>
      <c r="U1918" s="15">
        <f>IF(N1918&gt;=Summary!$D$3,1,0)</f>
        <v/>
      </c>
      <c r="V1918" s="17">
        <f>IF(N1918&gt;0,P1918/N1918,"")</f>
        <v/>
      </c>
      <c r="W1918" s="17">
        <f>IF(O1918&gt;0,H1918/O1918,"")</f>
        <v/>
      </c>
    </row>
    <row r="1919">
      <c r="A1919" s="13" t="inlineStr">
        <is>
          <t>CE22_B2</t>
        </is>
      </c>
      <c r="B1919" s="13" t="inlineStr">
        <is>
          <t>CE22</t>
        </is>
      </c>
      <c r="C1919" s="13" t="inlineStr">
        <is>
          <t>B2</t>
        </is>
      </c>
      <c r="D1919" s="13" t="n">
        <v>0</v>
      </c>
      <c r="E1919" s="13" t="inlineStr">
        <is>
          <t>E</t>
        </is>
      </c>
      <c r="F1919" s="13" t="n">
        <v>2026</v>
      </c>
      <c r="G1919" s="14" t="n">
        <v>1000022.249155979</v>
      </c>
      <c r="H1919" s="14" t="n">
        <v>360725.1336340811</v>
      </c>
      <c r="I1919" s="14" t="n">
        <v>135893.2455012602</v>
      </c>
      <c r="J1919" s="14" t="n">
        <v>0</v>
      </c>
      <c r="K1919" s="14" t="n">
        <v>3320.014200726677</v>
      </c>
      <c r="L1919" s="14" t="n">
        <v>500083.8558199116</v>
      </c>
      <c r="M1919" s="14" t="n">
        <v>0</v>
      </c>
      <c r="N1919" s="14" t="n">
        <v>188913.0821338728</v>
      </c>
      <c r="O1919" s="14" t="n">
        <v>499938.393336068</v>
      </c>
      <c r="P1919" s="14" t="n">
        <v>25749.32923257865</v>
      </c>
      <c r="Q1919" s="14" t="n">
        <v>2766577.262289369</v>
      </c>
      <c r="R1919" s="15">
        <f>IF(D1919=1,"Section 1","Control")</f>
        <v/>
      </c>
      <c r="S1919" s="16">
        <f>N1919/10000</f>
        <v/>
      </c>
      <c r="T1919" s="16">
        <f>P1919/10000</f>
        <v/>
      </c>
      <c r="U1919" s="15">
        <f>IF(N1919&gt;=Summary!$D$3,1,0)</f>
        <v/>
      </c>
      <c r="V1919" s="17">
        <f>IF(N1919&gt;0,P1919/N1919,"")</f>
        <v/>
      </c>
      <c r="W1919" s="17">
        <f>IF(O1919&gt;0,H1919/O1919,"")</f>
        <v/>
      </c>
    </row>
    <row r="1920">
      <c r="A1920" s="13" t="inlineStr">
        <is>
          <t>CE22_B3</t>
        </is>
      </c>
      <c r="B1920" s="13" t="inlineStr">
        <is>
          <t>CE22</t>
        </is>
      </c>
      <c r="C1920" s="13" t="inlineStr">
        <is>
          <t>B3</t>
        </is>
      </c>
      <c r="D1920" s="13" t="n">
        <v>0</v>
      </c>
      <c r="E1920" s="13" t="inlineStr">
        <is>
          <t>E</t>
        </is>
      </c>
      <c r="F1920" s="13" t="n">
        <v>2020</v>
      </c>
      <c r="G1920" s="14" t="n">
        <v>8002818.657402997</v>
      </c>
      <c r="H1920" s="14" t="n">
        <v>2448504.540537666</v>
      </c>
      <c r="I1920" s="14" t="n">
        <v>800055.2915164722</v>
      </c>
      <c r="J1920" s="14" t="n">
        <v>0</v>
      </c>
      <c r="K1920" s="14" t="n">
        <v>52280.52720929314</v>
      </c>
      <c r="L1920" s="14" t="n">
        <v>4701978.298139565</v>
      </c>
      <c r="M1920" s="14" t="n">
        <v>0</v>
      </c>
      <c r="N1920" s="14" t="n">
        <v>2448504.540537666</v>
      </c>
      <c r="O1920" s="14" t="n">
        <v>3300840.359263432</v>
      </c>
      <c r="P1920" s="14" t="n">
        <v>0</v>
      </c>
      <c r="Q1920" s="14" t="n">
        <v>25674950.44196033</v>
      </c>
      <c r="R1920" s="15">
        <f>IF(D1920=1,"Section 1","Control")</f>
        <v/>
      </c>
      <c r="S1920" s="16">
        <f>N1920/10000</f>
        <v/>
      </c>
      <c r="T1920" s="16">
        <f>P1920/10000</f>
        <v/>
      </c>
      <c r="U1920" s="15">
        <f>IF(N1920&gt;=Summary!$D$3,1,0)</f>
        <v/>
      </c>
      <c r="V1920" s="17">
        <f>IF(N1920&gt;0,P1920/N1920,"")</f>
        <v/>
      </c>
      <c r="W1920" s="17">
        <f>IF(O1920&gt;0,H1920/O1920,"")</f>
        <v/>
      </c>
    </row>
    <row r="1921">
      <c r="A1921" s="13" t="inlineStr">
        <is>
          <t>CE22_B3</t>
        </is>
      </c>
      <c r="B1921" s="13" t="inlineStr">
        <is>
          <t>CE22</t>
        </is>
      </c>
      <c r="C1921" s="13" t="inlineStr">
        <is>
          <t>B3</t>
        </is>
      </c>
      <c r="D1921" s="13" t="n">
        <v>0</v>
      </c>
      <c r="E1921" s="13" t="inlineStr">
        <is>
          <t>E</t>
        </is>
      </c>
      <c r="F1921" s="13" t="n">
        <v>2021</v>
      </c>
      <c r="G1921" s="14" t="n">
        <v>8002818.657402996</v>
      </c>
      <c r="H1921" s="14" t="n">
        <v>2222584.397053977</v>
      </c>
      <c r="I1921" s="14" t="n">
        <v>820902.516819105</v>
      </c>
      <c r="J1921" s="14" t="n">
        <v>0</v>
      </c>
      <c r="K1921" s="14" t="n">
        <v>318811.6439190136</v>
      </c>
      <c r="L1921" s="14" t="n">
        <v>4640520.099610901</v>
      </c>
      <c r="M1921" s="14" t="n">
        <v>0</v>
      </c>
      <c r="N1921" s="14" t="n">
        <v>2448504.540537666</v>
      </c>
      <c r="O1921" s="14" t="n">
        <v>3300840.359263432</v>
      </c>
      <c r="P1921" s="14" t="n">
        <v>240840.2557034661</v>
      </c>
      <c r="Q1921" s="14" t="n">
        <v>25674950.44196033</v>
      </c>
      <c r="R1921" s="15">
        <f>IF(D1921=1,"Section 1","Control")</f>
        <v/>
      </c>
      <c r="S1921" s="16">
        <f>N1921/10000</f>
        <v/>
      </c>
      <c r="T1921" s="16">
        <f>P1921/10000</f>
        <v/>
      </c>
      <c r="U1921" s="15">
        <f>IF(N1921&gt;=Summary!$D$3,1,0)</f>
        <v/>
      </c>
      <c r="V1921" s="17">
        <f>IF(N1921&gt;0,P1921/N1921,"")</f>
        <v/>
      </c>
      <c r="W1921" s="17">
        <f>IF(O1921&gt;0,H1921/O1921,"")</f>
        <v/>
      </c>
    </row>
    <row r="1922">
      <c r="A1922" s="13" t="inlineStr">
        <is>
          <t>CE22_B3</t>
        </is>
      </c>
      <c r="B1922" s="13" t="inlineStr">
        <is>
          <t>CE22</t>
        </is>
      </c>
      <c r="C1922" s="13" t="inlineStr">
        <is>
          <t>B3</t>
        </is>
      </c>
      <c r="D1922" s="13" t="n">
        <v>0</v>
      </c>
      <c r="E1922" s="13" t="inlineStr">
        <is>
          <t>E</t>
        </is>
      </c>
      <c r="F1922" s="13" t="n">
        <v>2022</v>
      </c>
      <c r="G1922" s="14" t="n">
        <v>8002818.657402998</v>
      </c>
      <c r="H1922" s="14" t="n">
        <v>2307634.0161397</v>
      </c>
      <c r="I1922" s="14" t="n">
        <v>903580.6234080296</v>
      </c>
      <c r="J1922" s="14" t="n">
        <v>0</v>
      </c>
      <c r="K1922" s="14" t="n">
        <v>128631.1737785788</v>
      </c>
      <c r="L1922" s="14" t="n">
        <v>4662972.844076688</v>
      </c>
      <c r="M1922" s="14" t="n">
        <v>0</v>
      </c>
      <c r="N1922" s="14" t="n">
        <v>2448504.540537666</v>
      </c>
      <c r="O1922" s="14" t="n">
        <v>3300840.359263432</v>
      </c>
      <c r="P1922" s="14" t="n">
        <v>200208.0509202546</v>
      </c>
      <c r="Q1922" s="14" t="n">
        <v>25674950.44196033</v>
      </c>
      <c r="R1922" s="15">
        <f>IF(D1922=1,"Section 1","Control")</f>
        <v/>
      </c>
      <c r="S1922" s="16">
        <f>N1922/10000</f>
        <v/>
      </c>
      <c r="T1922" s="16">
        <f>P1922/10000</f>
        <v/>
      </c>
      <c r="U1922" s="15">
        <f>IF(N1922&gt;=Summary!$D$3,1,0)</f>
        <v/>
      </c>
      <c r="V1922" s="17">
        <f>IF(N1922&gt;0,P1922/N1922,"")</f>
        <v/>
      </c>
      <c r="W1922" s="17">
        <f>IF(O1922&gt;0,H1922/O1922,"")</f>
        <v/>
      </c>
    </row>
    <row r="1923">
      <c r="A1923" s="13" t="inlineStr">
        <is>
          <t>CE22_B3</t>
        </is>
      </c>
      <c r="B1923" s="13" t="inlineStr">
        <is>
          <t>CE22</t>
        </is>
      </c>
      <c r="C1923" s="13" t="inlineStr">
        <is>
          <t>B3</t>
        </is>
      </c>
      <c r="D1923" s="13" t="n">
        <v>0</v>
      </c>
      <c r="E1923" s="13" t="inlineStr">
        <is>
          <t>E</t>
        </is>
      </c>
      <c r="F1923" s="13" t="n">
        <v>2023</v>
      </c>
      <c r="G1923" s="14" t="n">
        <v>8002818.657402998</v>
      </c>
      <c r="H1923" s="14" t="n">
        <v>2283230.235223628</v>
      </c>
      <c r="I1923" s="14" t="n">
        <v>946821.7695820528</v>
      </c>
      <c r="J1923" s="14" t="n">
        <v>0</v>
      </c>
      <c r="K1923" s="14" t="n">
        <v>69155.75672981411</v>
      </c>
      <c r="L1923" s="14" t="n">
        <v>4703610.8958675</v>
      </c>
      <c r="M1923" s="14" t="n">
        <v>0</v>
      </c>
      <c r="N1923" s="14" t="n">
        <v>2448504.540537666</v>
      </c>
      <c r="O1923" s="14" t="n">
        <v>3300840.359263432</v>
      </c>
      <c r="P1923" s="14" t="n">
        <v>232276.0390915216</v>
      </c>
      <c r="Q1923" s="14" t="n">
        <v>25674950.44196033</v>
      </c>
      <c r="R1923" s="15">
        <f>IF(D1923=1,"Section 1","Control")</f>
        <v/>
      </c>
      <c r="S1923" s="16">
        <f>N1923/10000</f>
        <v/>
      </c>
      <c r="T1923" s="16">
        <f>P1923/10000</f>
        <v/>
      </c>
      <c r="U1923" s="15">
        <f>IF(N1923&gt;=Summary!$D$3,1,0)</f>
        <v/>
      </c>
      <c r="V1923" s="17">
        <f>IF(N1923&gt;0,P1923/N1923,"")</f>
        <v/>
      </c>
      <c r="W1923" s="17">
        <f>IF(O1923&gt;0,H1923/O1923,"")</f>
        <v/>
      </c>
    </row>
    <row r="1924">
      <c r="A1924" s="13" t="inlineStr">
        <is>
          <t>CE22_B3</t>
        </is>
      </c>
      <c r="B1924" s="13" t="inlineStr">
        <is>
          <t>CE22</t>
        </is>
      </c>
      <c r="C1924" s="13" t="inlineStr">
        <is>
          <t>B3</t>
        </is>
      </c>
      <c r="D1924" s="13" t="n">
        <v>0</v>
      </c>
      <c r="E1924" s="13" t="inlineStr">
        <is>
          <t>E</t>
        </is>
      </c>
      <c r="F1924" s="13" t="n">
        <v>2024</v>
      </c>
      <c r="G1924" s="14" t="n">
        <v>8002818.657402998</v>
      </c>
      <c r="H1924" s="14" t="n">
        <v>2465691.336199174</v>
      </c>
      <c r="I1924" s="14" t="n">
        <v>776427.0291093714</v>
      </c>
      <c r="J1924" s="14" t="n">
        <v>0</v>
      </c>
      <c r="K1924" s="14" t="n">
        <v>140044.7008311253</v>
      </c>
      <c r="L1924" s="14" t="n">
        <v>4620655.591263325</v>
      </c>
      <c r="M1924" s="14" t="n">
        <v>0</v>
      </c>
      <c r="N1924" s="14" t="n">
        <v>2448504.540537666</v>
      </c>
      <c r="O1924" s="14" t="n">
        <v>3300840.359263432</v>
      </c>
      <c r="P1924" s="14" t="n">
        <v>160086.4264211019</v>
      </c>
      <c r="Q1924" s="14" t="n">
        <v>25674950.44196033</v>
      </c>
      <c r="R1924" s="15">
        <f>IF(D1924=1,"Section 1","Control")</f>
        <v/>
      </c>
      <c r="S1924" s="16">
        <f>N1924/10000</f>
        <v/>
      </c>
      <c r="T1924" s="16">
        <f>P1924/10000</f>
        <v/>
      </c>
      <c r="U1924" s="15">
        <f>IF(N1924&gt;=Summary!$D$3,1,0)</f>
        <v/>
      </c>
      <c r="V1924" s="17">
        <f>IF(N1924&gt;0,P1924/N1924,"")</f>
        <v/>
      </c>
      <c r="W1924" s="17">
        <f>IF(O1924&gt;0,H1924/O1924,"")</f>
        <v/>
      </c>
    </row>
    <row r="1925">
      <c r="A1925" s="13" t="inlineStr">
        <is>
          <t>CE22_B3</t>
        </is>
      </c>
      <c r="B1925" s="13" t="inlineStr">
        <is>
          <t>CE22</t>
        </is>
      </c>
      <c r="C1925" s="13" t="inlineStr">
        <is>
          <t>B3</t>
        </is>
      </c>
      <c r="D1925" s="13" t="n">
        <v>0</v>
      </c>
      <c r="E1925" s="13" t="inlineStr">
        <is>
          <t>E</t>
        </is>
      </c>
      <c r="F1925" s="13" t="n">
        <v>2025</v>
      </c>
      <c r="G1925" s="14" t="n">
        <v>8002818.657402996</v>
      </c>
      <c r="H1925" s="14" t="n">
        <v>2522980.529807805</v>
      </c>
      <c r="I1925" s="14" t="n">
        <v>689793.6109892901</v>
      </c>
      <c r="J1925" s="14" t="n">
        <v>0</v>
      </c>
      <c r="K1925" s="14" t="n">
        <v>105290.0818437464</v>
      </c>
      <c r="L1925" s="14" t="n">
        <v>4684754.434762154</v>
      </c>
      <c r="M1925" s="14" t="n">
        <v>0</v>
      </c>
      <c r="N1925" s="14" t="n">
        <v>2448504.540537666</v>
      </c>
      <c r="O1925" s="14" t="n">
        <v>3300840.359263432</v>
      </c>
      <c r="P1925" s="14" t="n">
        <v>146363.0168860641</v>
      </c>
      <c r="Q1925" s="14" t="n">
        <v>25674950.44196033</v>
      </c>
      <c r="R1925" s="15">
        <f>IF(D1925=1,"Section 1","Control")</f>
        <v/>
      </c>
      <c r="S1925" s="16">
        <f>N1925/10000</f>
        <v/>
      </c>
      <c r="T1925" s="16">
        <f>P1925/10000</f>
        <v/>
      </c>
      <c r="U1925" s="15">
        <f>IF(N1925&gt;=Summary!$D$3,1,0)</f>
        <v/>
      </c>
      <c r="V1925" s="17">
        <f>IF(N1925&gt;0,P1925/N1925,"")</f>
        <v/>
      </c>
      <c r="W1925" s="17">
        <f>IF(O1925&gt;0,H1925/O1925,"")</f>
        <v/>
      </c>
    </row>
    <row r="1926">
      <c r="A1926" s="13" t="inlineStr">
        <is>
          <t>CE22_B3</t>
        </is>
      </c>
      <c r="B1926" s="13" t="inlineStr">
        <is>
          <t>CE22</t>
        </is>
      </c>
      <c r="C1926" s="13" t="inlineStr">
        <is>
          <t>B3</t>
        </is>
      </c>
      <c r="D1926" s="13" t="n">
        <v>0</v>
      </c>
      <c r="E1926" s="13" t="inlineStr">
        <is>
          <t>E</t>
        </is>
      </c>
      <c r="F1926" s="13" t="n">
        <v>2026</v>
      </c>
      <c r="G1926" s="14" t="n">
        <v>8002818.657402998</v>
      </c>
      <c r="H1926" s="14" t="n">
        <v>2605481.348039246</v>
      </c>
      <c r="I1926" s="14" t="n">
        <v>584175.4885573442</v>
      </c>
      <c r="J1926" s="14" t="n">
        <v>0</v>
      </c>
      <c r="K1926" s="14" t="n">
        <v>132934.0270287009</v>
      </c>
      <c r="L1926" s="14" t="n">
        <v>4680227.793777704</v>
      </c>
      <c r="M1926" s="14" t="n">
        <v>0</v>
      </c>
      <c r="N1926" s="14" t="n">
        <v>2448504.540537666</v>
      </c>
      <c r="O1926" s="14" t="n">
        <v>3300840.359263432</v>
      </c>
      <c r="P1926" s="14" t="n">
        <v>103732.036374051</v>
      </c>
      <c r="Q1926" s="14" t="n">
        <v>25674950.44196033</v>
      </c>
      <c r="R1926" s="15">
        <f>IF(D1926=1,"Section 1","Control")</f>
        <v/>
      </c>
      <c r="S1926" s="16">
        <f>N1926/10000</f>
        <v/>
      </c>
      <c r="T1926" s="16">
        <f>P1926/10000</f>
        <v/>
      </c>
      <c r="U1926" s="15">
        <f>IF(N1926&gt;=Summary!$D$3,1,0)</f>
        <v/>
      </c>
      <c r="V1926" s="17">
        <f>IF(N1926&gt;0,P1926/N1926,"")</f>
        <v/>
      </c>
      <c r="W1926" s="17">
        <f>IF(O1926&gt;0,H1926/O1926,"")</f>
        <v/>
      </c>
    </row>
    <row r="1927">
      <c r="A1927" s="13" t="inlineStr">
        <is>
          <t>CE22_F</t>
        </is>
      </c>
      <c r="B1927" s="13" t="inlineStr">
        <is>
          <t>CE22</t>
        </is>
      </c>
      <c r="C1927" s="13" t="inlineStr">
        <is>
          <t>F</t>
        </is>
      </c>
      <c r="D1927" s="13" t="n">
        <v>0</v>
      </c>
      <c r="E1927" s="13" t="inlineStr">
        <is>
          <t>E</t>
        </is>
      </c>
      <c r="F1927" s="13" t="n">
        <v>2020</v>
      </c>
      <c r="G1927" s="14" t="n">
        <v>69320.01199277991</v>
      </c>
      <c r="H1927" s="14" t="n">
        <v>64841.9072584863</v>
      </c>
      <c r="I1927" s="14" t="n">
        <v>4379.374288431804</v>
      </c>
      <c r="J1927" s="14" t="n">
        <v>0</v>
      </c>
      <c r="K1927" s="14" t="n">
        <v>98.73044586181641</v>
      </c>
      <c r="L1927" s="14" t="n">
        <v>0</v>
      </c>
      <c r="M1927" s="14" t="n">
        <v>0</v>
      </c>
      <c r="N1927" s="14" t="n">
        <v>64841.9072584863</v>
      </c>
      <c r="O1927" s="14" t="n">
        <v>69320.01199277991</v>
      </c>
      <c r="P1927" s="14" t="n">
        <v>0</v>
      </c>
      <c r="Q1927" s="14" t="n">
        <v>775486.260001149</v>
      </c>
      <c r="R1927" s="15">
        <f>IF(D1927=1,"Section 1","Control")</f>
        <v/>
      </c>
      <c r="S1927" s="16">
        <f>N1927/10000</f>
        <v/>
      </c>
      <c r="T1927" s="16">
        <f>P1927/10000</f>
        <v/>
      </c>
      <c r="U1927" s="15">
        <f>IF(N1927&gt;=Summary!$D$3,1,0)</f>
        <v/>
      </c>
      <c r="V1927" s="17">
        <f>IF(N1927&gt;0,P1927/N1927,"")</f>
        <v/>
      </c>
      <c r="W1927" s="17">
        <f>IF(O1927&gt;0,H1927/O1927,"")</f>
        <v/>
      </c>
    </row>
    <row r="1928">
      <c r="A1928" s="13" t="inlineStr">
        <is>
          <t>CE22_F</t>
        </is>
      </c>
      <c r="B1928" s="13" t="inlineStr">
        <is>
          <t>CE22</t>
        </is>
      </c>
      <c r="C1928" s="13" t="inlineStr">
        <is>
          <t>F</t>
        </is>
      </c>
      <c r="D1928" s="13" t="n">
        <v>0</v>
      </c>
      <c r="E1928" s="13" t="inlineStr">
        <is>
          <t>E</t>
        </is>
      </c>
      <c r="F1928" s="13" t="n">
        <v>2021</v>
      </c>
      <c r="G1928" s="14" t="n">
        <v>69320.01199277991</v>
      </c>
      <c r="H1928" s="14" t="n">
        <v>60305.72570752911</v>
      </c>
      <c r="I1928" s="14" t="n">
        <v>6420.578764642453</v>
      </c>
      <c r="J1928" s="14" t="n">
        <v>0</v>
      </c>
      <c r="K1928" s="14" t="n">
        <v>2593.707520608341</v>
      </c>
      <c r="L1928" s="14" t="n">
        <v>0</v>
      </c>
      <c r="M1928" s="14" t="n">
        <v>0</v>
      </c>
      <c r="N1928" s="14" t="n">
        <v>64841.9072584863</v>
      </c>
      <c r="O1928" s="14" t="n">
        <v>69320.01199277991</v>
      </c>
      <c r="P1928" s="14" t="n">
        <v>4967.885450056488</v>
      </c>
      <c r="Q1928" s="14" t="n">
        <v>775486.260001149</v>
      </c>
      <c r="R1928" s="15">
        <f>IF(D1928=1,"Section 1","Control")</f>
        <v/>
      </c>
      <c r="S1928" s="16">
        <f>N1928/10000</f>
        <v/>
      </c>
      <c r="T1928" s="16">
        <f>P1928/10000</f>
        <v/>
      </c>
      <c r="U1928" s="15">
        <f>IF(N1928&gt;=Summary!$D$3,1,0)</f>
        <v/>
      </c>
      <c r="V1928" s="17">
        <f>IF(N1928&gt;0,P1928/N1928,"")</f>
        <v/>
      </c>
      <c r="W1928" s="17">
        <f>IF(O1928&gt;0,H1928/O1928,"")</f>
        <v/>
      </c>
    </row>
    <row r="1929">
      <c r="A1929" s="13" t="inlineStr">
        <is>
          <t>CE22_F</t>
        </is>
      </c>
      <c r="B1929" s="13" t="inlineStr">
        <is>
          <t>CE22</t>
        </is>
      </c>
      <c r="C1929" s="13" t="inlineStr">
        <is>
          <t>F</t>
        </is>
      </c>
      <c r="D1929" s="13" t="n">
        <v>0</v>
      </c>
      <c r="E1929" s="13" t="inlineStr">
        <is>
          <t>E</t>
        </is>
      </c>
      <c r="F1929" s="13" t="n">
        <v>2022</v>
      </c>
      <c r="G1929" s="14" t="n">
        <v>69320.01199277991</v>
      </c>
      <c r="H1929" s="14" t="n">
        <v>64755.17971152511</v>
      </c>
      <c r="I1929" s="14" t="n">
        <v>2212.336751242245</v>
      </c>
      <c r="J1929" s="14" t="n">
        <v>0</v>
      </c>
      <c r="K1929" s="14" t="n">
        <v>2352.495530012542</v>
      </c>
      <c r="L1929" s="14" t="n">
        <v>0</v>
      </c>
      <c r="M1929" s="14" t="n">
        <v>0</v>
      </c>
      <c r="N1929" s="14" t="n">
        <v>64841.9072584863</v>
      </c>
      <c r="O1929" s="14" t="n">
        <v>69320.01199277991</v>
      </c>
      <c r="P1929" s="14" t="n">
        <v>2374.564651758531</v>
      </c>
      <c r="Q1929" s="14" t="n">
        <v>775486.260001149</v>
      </c>
      <c r="R1929" s="15">
        <f>IF(D1929=1,"Section 1","Control")</f>
        <v/>
      </c>
      <c r="S1929" s="16">
        <f>N1929/10000</f>
        <v/>
      </c>
      <c r="T1929" s="16">
        <f>P1929/10000</f>
        <v/>
      </c>
      <c r="U1929" s="15">
        <f>IF(N1929&gt;=Summary!$D$3,1,0)</f>
        <v/>
      </c>
      <c r="V1929" s="17">
        <f>IF(N1929&gt;0,P1929/N1929,"")</f>
        <v/>
      </c>
      <c r="W1929" s="17">
        <f>IF(O1929&gt;0,H1929/O1929,"")</f>
        <v/>
      </c>
    </row>
    <row r="1930">
      <c r="A1930" s="13" t="inlineStr">
        <is>
          <t>CE22_F</t>
        </is>
      </c>
      <c r="B1930" s="13" t="inlineStr">
        <is>
          <t>CE22</t>
        </is>
      </c>
      <c r="C1930" s="13" t="inlineStr">
        <is>
          <t>F</t>
        </is>
      </c>
      <c r="D1930" s="13" t="n">
        <v>0</v>
      </c>
      <c r="E1930" s="13" t="inlineStr">
        <is>
          <t>E</t>
        </is>
      </c>
      <c r="F1930" s="13" t="n">
        <v>2023</v>
      </c>
      <c r="G1930" s="14" t="n">
        <v>69320.01199277991</v>
      </c>
      <c r="H1930" s="14" t="n">
        <v>55016.48331544166</v>
      </c>
      <c r="I1930" s="14" t="n">
        <v>12126.42528348436</v>
      </c>
      <c r="J1930" s="14" t="n">
        <v>0</v>
      </c>
      <c r="K1930" s="14" t="n">
        <v>2177.103393853879</v>
      </c>
      <c r="L1930" s="14" t="n">
        <v>0</v>
      </c>
      <c r="M1930" s="14" t="n">
        <v>0</v>
      </c>
      <c r="N1930" s="14" t="n">
        <v>64841.9072584863</v>
      </c>
      <c r="O1930" s="14" t="n">
        <v>69320.01199277991</v>
      </c>
      <c r="P1930" s="14" t="n">
        <v>11746.60286877202</v>
      </c>
      <c r="Q1930" s="14" t="n">
        <v>775486.260001149</v>
      </c>
      <c r="R1930" s="15">
        <f>IF(D1930=1,"Section 1","Control")</f>
        <v/>
      </c>
      <c r="S1930" s="16">
        <f>N1930/10000</f>
        <v/>
      </c>
      <c r="T1930" s="16">
        <f>P1930/10000</f>
        <v/>
      </c>
      <c r="U1930" s="15">
        <f>IF(N1930&gt;=Summary!$D$3,1,0)</f>
        <v/>
      </c>
      <c r="V1930" s="17">
        <f>IF(N1930&gt;0,P1930/N1930,"")</f>
        <v/>
      </c>
      <c r="W1930" s="17">
        <f>IF(O1930&gt;0,H1930/O1930,"")</f>
        <v/>
      </c>
    </row>
    <row r="1931">
      <c r="A1931" s="13" t="inlineStr">
        <is>
          <t>CE22_F</t>
        </is>
      </c>
      <c r="B1931" s="13" t="inlineStr">
        <is>
          <t>CE22</t>
        </is>
      </c>
      <c r="C1931" s="13" t="inlineStr">
        <is>
          <t>F</t>
        </is>
      </c>
      <c r="D1931" s="13" t="n">
        <v>0</v>
      </c>
      <c r="E1931" s="13" t="inlineStr">
        <is>
          <t>E</t>
        </is>
      </c>
      <c r="F1931" s="13" t="n">
        <v>2024</v>
      </c>
      <c r="G1931" s="14" t="n">
        <v>69320.01199277991</v>
      </c>
      <c r="H1931" s="14" t="n">
        <v>48656.30482207655</v>
      </c>
      <c r="I1931" s="14" t="n">
        <v>17706.05270502427</v>
      </c>
      <c r="J1931" s="14" t="n">
        <v>0</v>
      </c>
      <c r="K1931" s="14" t="n">
        <v>2957.654465679094</v>
      </c>
      <c r="L1931" s="14" t="n">
        <v>0</v>
      </c>
      <c r="M1931" s="14" t="n">
        <v>0</v>
      </c>
      <c r="N1931" s="14" t="n">
        <v>64841.9072584863</v>
      </c>
      <c r="O1931" s="14" t="n">
        <v>69320.01199277991</v>
      </c>
      <c r="P1931" s="14" t="n">
        <v>17504.33202562519</v>
      </c>
      <c r="Q1931" s="14" t="n">
        <v>775486.260001149</v>
      </c>
      <c r="R1931" s="15">
        <f>IF(D1931=1,"Section 1","Control")</f>
        <v/>
      </c>
      <c r="S1931" s="16">
        <f>N1931/10000</f>
        <v/>
      </c>
      <c r="T1931" s="16">
        <f>P1931/10000</f>
        <v/>
      </c>
      <c r="U1931" s="15">
        <f>IF(N1931&gt;=Summary!$D$3,1,0)</f>
        <v/>
      </c>
      <c r="V1931" s="17">
        <f>IF(N1931&gt;0,P1931/N1931,"")</f>
        <v/>
      </c>
      <c r="W1931" s="17">
        <f>IF(O1931&gt;0,H1931/O1931,"")</f>
        <v/>
      </c>
    </row>
    <row r="1932">
      <c r="A1932" s="13" t="inlineStr">
        <is>
          <t>CE22_F</t>
        </is>
      </c>
      <c r="B1932" s="13" t="inlineStr">
        <is>
          <t>CE22</t>
        </is>
      </c>
      <c r="C1932" s="13" t="inlineStr">
        <is>
          <t>F</t>
        </is>
      </c>
      <c r="D1932" s="13" t="n">
        <v>0</v>
      </c>
      <c r="E1932" s="13" t="inlineStr">
        <is>
          <t>E</t>
        </is>
      </c>
      <c r="F1932" s="13" t="n">
        <v>2025</v>
      </c>
      <c r="G1932" s="14" t="n">
        <v>69320.01199277991</v>
      </c>
      <c r="H1932" s="14" t="n">
        <v>58667.96250562482</v>
      </c>
      <c r="I1932" s="14" t="n">
        <v>8661.179076879165</v>
      </c>
      <c r="J1932" s="14" t="n">
        <v>0</v>
      </c>
      <c r="K1932" s="14" t="n">
        <v>1990.870410275927</v>
      </c>
      <c r="L1932" s="14" t="n">
        <v>0</v>
      </c>
      <c r="M1932" s="14" t="n">
        <v>0</v>
      </c>
      <c r="N1932" s="14" t="n">
        <v>64841.9072584863</v>
      </c>
      <c r="O1932" s="14" t="n">
        <v>69320.01199277991</v>
      </c>
      <c r="P1932" s="14" t="n">
        <v>8196.177297076056</v>
      </c>
      <c r="Q1932" s="14" t="n">
        <v>775486.260001149</v>
      </c>
      <c r="R1932" s="15">
        <f>IF(D1932=1,"Section 1","Control")</f>
        <v/>
      </c>
      <c r="S1932" s="16">
        <f>N1932/10000</f>
        <v/>
      </c>
      <c r="T1932" s="16">
        <f>P1932/10000</f>
        <v/>
      </c>
      <c r="U1932" s="15">
        <f>IF(N1932&gt;=Summary!$D$3,1,0)</f>
        <v/>
      </c>
      <c r="V1932" s="17">
        <f>IF(N1932&gt;0,P1932/N1932,"")</f>
        <v/>
      </c>
      <c r="W1932" s="17">
        <f>IF(O1932&gt;0,H1932/O1932,"")</f>
        <v/>
      </c>
    </row>
    <row r="1933">
      <c r="A1933" s="13" t="inlineStr">
        <is>
          <t>CE22_F</t>
        </is>
      </c>
      <c r="B1933" s="13" t="inlineStr">
        <is>
          <t>CE22</t>
        </is>
      </c>
      <c r="C1933" s="13" t="inlineStr">
        <is>
          <t>F</t>
        </is>
      </c>
      <c r="D1933" s="13" t="n">
        <v>0</v>
      </c>
      <c r="E1933" s="13" t="inlineStr">
        <is>
          <t>E</t>
        </is>
      </c>
      <c r="F1933" s="13" t="n">
        <v>2026</v>
      </c>
      <c r="G1933" s="14" t="n">
        <v>69320.01199277991</v>
      </c>
      <c r="H1933" s="14" t="n">
        <v>57137.44282866834</v>
      </c>
      <c r="I1933" s="14" t="n">
        <v>8656.923573452817</v>
      </c>
      <c r="J1933" s="14" t="n">
        <v>0</v>
      </c>
      <c r="K1933" s="14" t="n">
        <v>3525.645590658749</v>
      </c>
      <c r="L1933" s="14" t="n">
        <v>0</v>
      </c>
      <c r="M1933" s="14" t="n">
        <v>0</v>
      </c>
      <c r="N1933" s="14" t="n">
        <v>64841.9072584863</v>
      </c>
      <c r="O1933" s="14" t="n">
        <v>69320.01199277991</v>
      </c>
      <c r="P1933" s="14" t="n">
        <v>9933.837047412348</v>
      </c>
      <c r="Q1933" s="14" t="n">
        <v>775486.260001149</v>
      </c>
      <c r="R1933" s="15">
        <f>IF(D1933=1,"Section 1","Control")</f>
        <v/>
      </c>
      <c r="S1933" s="16">
        <f>N1933/10000</f>
        <v/>
      </c>
      <c r="T1933" s="16">
        <f>P1933/10000</f>
        <v/>
      </c>
      <c r="U1933" s="15">
        <f>IF(N1933&gt;=Summary!$D$3,1,0)</f>
        <v/>
      </c>
      <c r="V1933" s="17">
        <f>IF(N1933&gt;0,P1933/N1933,"")</f>
        <v/>
      </c>
      <c r="W1933" s="17">
        <f>IF(O1933&gt;0,H1933/O1933,"")</f>
        <v/>
      </c>
    </row>
    <row r="1934">
      <c r="A1934" s="13" t="inlineStr">
        <is>
          <t>CE23_B1</t>
        </is>
      </c>
      <c r="B1934" s="13" t="inlineStr">
        <is>
          <t>CE23</t>
        </is>
      </c>
      <c r="C1934" s="13" t="inlineStr">
        <is>
          <t>B1</t>
        </is>
      </c>
      <c r="D1934" s="13" t="n">
        <v>0</v>
      </c>
      <c r="E1934" s="13" t="inlineStr">
        <is>
          <t>E</t>
        </is>
      </c>
      <c r="F1934" s="13" t="n">
        <v>2020</v>
      </c>
      <c r="G1934" s="14" t="n">
        <v>974735.689193516</v>
      </c>
      <c r="H1934" s="14" t="n">
        <v>470121.0592139449</v>
      </c>
      <c r="I1934" s="14" t="n">
        <v>304181.4729979272</v>
      </c>
      <c r="J1934" s="14" t="n">
        <v>0</v>
      </c>
      <c r="K1934" s="14" t="n">
        <v>5064.706142350739</v>
      </c>
      <c r="L1934" s="14" t="n">
        <v>195368.4508392932</v>
      </c>
      <c r="M1934" s="14" t="n">
        <v>0</v>
      </c>
      <c r="N1934" s="14" t="n">
        <v>470121.0592139449</v>
      </c>
      <c r="O1934" s="14" t="n">
        <v>779367.238354223</v>
      </c>
      <c r="P1934" s="14" t="n">
        <v>0</v>
      </c>
      <c r="Q1934" s="14" t="n">
        <v>5230117.019363164</v>
      </c>
      <c r="R1934" s="15">
        <f>IF(D1934=1,"Section 1","Control")</f>
        <v/>
      </c>
      <c r="S1934" s="16">
        <f>N1934/10000</f>
        <v/>
      </c>
      <c r="T1934" s="16">
        <f>P1934/10000</f>
        <v/>
      </c>
      <c r="U1934" s="15">
        <f>IF(N1934&gt;=Summary!$D$3,1,0)</f>
        <v/>
      </c>
      <c r="V1934" s="17">
        <f>IF(N1934&gt;0,P1934/N1934,"")</f>
        <v/>
      </c>
      <c r="W1934" s="17">
        <f>IF(O1934&gt;0,H1934/O1934,"")</f>
        <v/>
      </c>
    </row>
    <row r="1935">
      <c r="A1935" s="13" t="inlineStr">
        <is>
          <t>CE23_B1</t>
        </is>
      </c>
      <c r="B1935" s="13" t="inlineStr">
        <is>
          <t>CE23</t>
        </is>
      </c>
      <c r="C1935" s="13" t="inlineStr">
        <is>
          <t>B1</t>
        </is>
      </c>
      <c r="D1935" s="13" t="n">
        <v>0</v>
      </c>
      <c r="E1935" s="13" t="inlineStr">
        <is>
          <t>E</t>
        </is>
      </c>
      <c r="F1935" s="13" t="n">
        <v>2021</v>
      </c>
      <c r="G1935" s="14" t="n">
        <v>974735.689193516</v>
      </c>
      <c r="H1935" s="14" t="n">
        <v>364130.672123808</v>
      </c>
      <c r="I1935" s="14" t="n">
        <v>374851.8227504656</v>
      </c>
      <c r="J1935" s="14" t="n">
        <v>0</v>
      </c>
      <c r="K1935" s="14" t="n">
        <v>45344.923972156</v>
      </c>
      <c r="L1935" s="14" t="n">
        <v>190408.2703470866</v>
      </c>
      <c r="M1935" s="14" t="n">
        <v>0</v>
      </c>
      <c r="N1935" s="14" t="n">
        <v>470121.059213945</v>
      </c>
      <c r="O1935" s="14" t="n">
        <v>779367.2383542231</v>
      </c>
      <c r="P1935" s="14" t="n">
        <v>110926.9062780642</v>
      </c>
      <c r="Q1935" s="14" t="n">
        <v>5230117.019363163</v>
      </c>
      <c r="R1935" s="15">
        <f>IF(D1935=1,"Section 1","Control")</f>
        <v/>
      </c>
      <c r="S1935" s="16">
        <f>N1935/10000</f>
        <v/>
      </c>
      <c r="T1935" s="16">
        <f>P1935/10000</f>
        <v/>
      </c>
      <c r="U1935" s="15">
        <f>IF(N1935&gt;=Summary!$D$3,1,0)</f>
        <v/>
      </c>
      <c r="V1935" s="17">
        <f>IF(N1935&gt;0,P1935/N1935,"")</f>
        <v/>
      </c>
      <c r="W1935" s="17">
        <f>IF(O1935&gt;0,H1935/O1935,"")</f>
        <v/>
      </c>
    </row>
    <row r="1936">
      <c r="A1936" s="13" t="inlineStr">
        <is>
          <t>CE23_B1</t>
        </is>
      </c>
      <c r="B1936" s="13" t="inlineStr">
        <is>
          <t>CE23</t>
        </is>
      </c>
      <c r="C1936" s="13" t="inlineStr">
        <is>
          <t>B1</t>
        </is>
      </c>
      <c r="D1936" s="13" t="n">
        <v>0</v>
      </c>
      <c r="E1936" s="13" t="inlineStr">
        <is>
          <t>E</t>
        </is>
      </c>
      <c r="F1936" s="13" t="n">
        <v>2022</v>
      </c>
      <c r="G1936" s="14" t="n">
        <v>974735.689193516</v>
      </c>
      <c r="H1936" s="14" t="n">
        <v>404853.1828526217</v>
      </c>
      <c r="I1936" s="14" t="n">
        <v>322923.1665805891</v>
      </c>
      <c r="J1936" s="14" t="n">
        <v>0</v>
      </c>
      <c r="K1936" s="14" t="n">
        <v>44076.09108773027</v>
      </c>
      <c r="L1936" s="14" t="n">
        <v>202883.2486725751</v>
      </c>
      <c r="M1936" s="14" t="n">
        <v>0</v>
      </c>
      <c r="N1936" s="14" t="n">
        <v>470121.0592139449</v>
      </c>
      <c r="O1936" s="14" t="n">
        <v>779367.2383542231</v>
      </c>
      <c r="P1936" s="14" t="n">
        <v>83443.9308093202</v>
      </c>
      <c r="Q1936" s="14" t="n">
        <v>5230117.019363164</v>
      </c>
      <c r="R1936" s="15">
        <f>IF(D1936=1,"Section 1","Control")</f>
        <v/>
      </c>
      <c r="S1936" s="16">
        <f>N1936/10000</f>
        <v/>
      </c>
      <c r="T1936" s="16">
        <f>P1936/10000</f>
        <v/>
      </c>
      <c r="U1936" s="15">
        <f>IF(N1936&gt;=Summary!$D$3,1,0)</f>
        <v/>
      </c>
      <c r="V1936" s="17">
        <f>IF(N1936&gt;0,P1936/N1936,"")</f>
        <v/>
      </c>
      <c r="W1936" s="17">
        <f>IF(O1936&gt;0,H1936/O1936,"")</f>
        <v/>
      </c>
    </row>
    <row r="1937">
      <c r="A1937" s="13" t="inlineStr">
        <is>
          <t>CE23_B1</t>
        </is>
      </c>
      <c r="B1937" s="13" t="inlineStr">
        <is>
          <t>CE23</t>
        </is>
      </c>
      <c r="C1937" s="13" t="inlineStr">
        <is>
          <t>B1</t>
        </is>
      </c>
      <c r="D1937" s="13" t="n">
        <v>0</v>
      </c>
      <c r="E1937" s="13" t="inlineStr">
        <is>
          <t>E</t>
        </is>
      </c>
      <c r="F1937" s="13" t="n">
        <v>2023</v>
      </c>
      <c r="G1937" s="14" t="n">
        <v>974735.689193516</v>
      </c>
      <c r="H1937" s="14" t="n">
        <v>378324.5906524658</v>
      </c>
      <c r="I1937" s="14" t="n">
        <v>331427.2833445531</v>
      </c>
      <c r="J1937" s="14" t="n">
        <v>0</v>
      </c>
      <c r="K1937" s="14" t="n">
        <v>43858.5332944683</v>
      </c>
      <c r="L1937" s="14" t="n">
        <v>221125.281902029</v>
      </c>
      <c r="M1937" s="14" t="n">
        <v>0</v>
      </c>
      <c r="N1937" s="14" t="n">
        <v>470121.059213945</v>
      </c>
      <c r="O1937" s="14" t="n">
        <v>779367.2383542231</v>
      </c>
      <c r="P1937" s="14" t="n">
        <v>105833.9805188946</v>
      </c>
      <c r="Q1937" s="14" t="n">
        <v>5230117.019363163</v>
      </c>
      <c r="R1937" s="15">
        <f>IF(D1937=1,"Section 1","Control")</f>
        <v/>
      </c>
      <c r="S1937" s="16">
        <f>N1937/10000</f>
        <v/>
      </c>
      <c r="T1937" s="16">
        <f>P1937/10000</f>
        <v/>
      </c>
      <c r="U1937" s="15">
        <f>IF(N1937&gt;=Summary!$D$3,1,0)</f>
        <v/>
      </c>
      <c r="V1937" s="17">
        <f>IF(N1937&gt;0,P1937/N1937,"")</f>
        <v/>
      </c>
      <c r="W1937" s="17">
        <f>IF(O1937&gt;0,H1937/O1937,"")</f>
        <v/>
      </c>
    </row>
    <row r="1938">
      <c r="A1938" s="13" t="inlineStr">
        <is>
          <t>CE23_B1</t>
        </is>
      </c>
      <c r="B1938" s="13" t="inlineStr">
        <is>
          <t>CE23</t>
        </is>
      </c>
      <c r="C1938" s="13" t="inlineStr">
        <is>
          <t>B1</t>
        </is>
      </c>
      <c r="D1938" s="13" t="n">
        <v>0</v>
      </c>
      <c r="E1938" s="13" t="inlineStr">
        <is>
          <t>E</t>
        </is>
      </c>
      <c r="F1938" s="13" t="n">
        <v>2024</v>
      </c>
      <c r="G1938" s="14" t="n">
        <v>974735.689193516</v>
      </c>
      <c r="H1938" s="14" t="n">
        <v>336745.8946105359</v>
      </c>
      <c r="I1938" s="14" t="n">
        <v>406358.4818912582</v>
      </c>
      <c r="J1938" s="14" t="n">
        <v>0</v>
      </c>
      <c r="K1938" s="14" t="n">
        <v>34853.52217502968</v>
      </c>
      <c r="L1938" s="14" t="n">
        <v>196777.7905166925</v>
      </c>
      <c r="M1938" s="14" t="n">
        <v>0</v>
      </c>
      <c r="N1938" s="14" t="n">
        <v>470121.0592139449</v>
      </c>
      <c r="O1938" s="14" t="n">
        <v>779367.238354223</v>
      </c>
      <c r="P1938" s="14" t="n">
        <v>157868.4090456196</v>
      </c>
      <c r="Q1938" s="14" t="n">
        <v>5230117.019363164</v>
      </c>
      <c r="R1938" s="15">
        <f>IF(D1938=1,"Section 1","Control")</f>
        <v/>
      </c>
      <c r="S1938" s="16">
        <f>N1938/10000</f>
        <v/>
      </c>
      <c r="T1938" s="16">
        <f>P1938/10000</f>
        <v/>
      </c>
      <c r="U1938" s="15">
        <f>IF(N1938&gt;=Summary!$D$3,1,0)</f>
        <v/>
      </c>
      <c r="V1938" s="17">
        <f>IF(N1938&gt;0,P1938/N1938,"")</f>
        <v/>
      </c>
      <c r="W1938" s="17">
        <f>IF(O1938&gt;0,H1938/O1938,"")</f>
        <v/>
      </c>
    </row>
    <row r="1939">
      <c r="A1939" s="13" t="inlineStr">
        <is>
          <t>CE23_B1</t>
        </is>
      </c>
      <c r="B1939" s="13" t="inlineStr">
        <is>
          <t>CE23</t>
        </is>
      </c>
      <c r="C1939" s="13" t="inlineStr">
        <is>
          <t>B1</t>
        </is>
      </c>
      <c r="D1939" s="13" t="n">
        <v>0</v>
      </c>
      <c r="E1939" s="13" t="inlineStr">
        <is>
          <t>E</t>
        </is>
      </c>
      <c r="F1939" s="13" t="n">
        <v>2025</v>
      </c>
      <c r="G1939" s="14" t="n">
        <v>974735.689193516</v>
      </c>
      <c r="H1939" s="14" t="n">
        <v>239834.7515008365</v>
      </c>
      <c r="I1939" s="14" t="n">
        <v>496664.2584039128</v>
      </c>
      <c r="J1939" s="14" t="n">
        <v>0</v>
      </c>
      <c r="K1939" s="14" t="n">
        <v>22830.06082123401</v>
      </c>
      <c r="L1939" s="14" t="n">
        <v>215406.6184675329</v>
      </c>
      <c r="M1939" s="14" t="n">
        <v>0</v>
      </c>
      <c r="N1939" s="14" t="n">
        <v>470121.0592139449</v>
      </c>
      <c r="O1939" s="14" t="n">
        <v>779367.238354223</v>
      </c>
      <c r="P1939" s="14" t="n">
        <v>249100.8161520565</v>
      </c>
      <c r="Q1939" s="14" t="n">
        <v>5230117.019363164</v>
      </c>
      <c r="R1939" s="15">
        <f>IF(D1939=1,"Section 1","Control")</f>
        <v/>
      </c>
      <c r="S1939" s="16">
        <f>N1939/10000</f>
        <v/>
      </c>
      <c r="T1939" s="16">
        <f>P1939/10000</f>
        <v/>
      </c>
      <c r="U1939" s="15">
        <f>IF(N1939&gt;=Summary!$D$3,1,0)</f>
        <v/>
      </c>
      <c r="V1939" s="17">
        <f>IF(N1939&gt;0,P1939/N1939,"")</f>
        <v/>
      </c>
      <c r="W1939" s="17">
        <f>IF(O1939&gt;0,H1939/O1939,"")</f>
        <v/>
      </c>
    </row>
    <row r="1940">
      <c r="A1940" s="13" t="inlineStr">
        <is>
          <t>CE23_B1</t>
        </is>
      </c>
      <c r="B1940" s="13" t="inlineStr">
        <is>
          <t>CE23</t>
        </is>
      </c>
      <c r="C1940" s="13" t="inlineStr">
        <is>
          <t>B1</t>
        </is>
      </c>
      <c r="D1940" s="13" t="n">
        <v>0</v>
      </c>
      <c r="E1940" s="13" t="inlineStr">
        <is>
          <t>E</t>
        </is>
      </c>
      <c r="F1940" s="13" t="n">
        <v>2026</v>
      </c>
      <c r="G1940" s="14" t="n">
        <v>974735.689193516</v>
      </c>
      <c r="H1940" s="14" t="n">
        <v>395457.5171407961</v>
      </c>
      <c r="I1940" s="14" t="n">
        <v>328439.6755718756</v>
      </c>
      <c r="J1940" s="14" t="n">
        <v>0</v>
      </c>
      <c r="K1940" s="14" t="n">
        <v>46644.64417670754</v>
      </c>
      <c r="L1940" s="14" t="n">
        <v>204193.852304137</v>
      </c>
      <c r="M1940" s="14" t="n">
        <v>0</v>
      </c>
      <c r="N1940" s="14" t="n">
        <v>470121.0592139449</v>
      </c>
      <c r="O1940" s="14" t="n">
        <v>779367.238354223</v>
      </c>
      <c r="P1940" s="14" t="n">
        <v>112727.3822718901</v>
      </c>
      <c r="Q1940" s="14" t="n">
        <v>5230117.019363164</v>
      </c>
      <c r="R1940" s="15">
        <f>IF(D1940=1,"Section 1","Control")</f>
        <v/>
      </c>
      <c r="S1940" s="16">
        <f>N1940/10000</f>
        <v/>
      </c>
      <c r="T1940" s="16">
        <f>P1940/10000</f>
        <v/>
      </c>
      <c r="U1940" s="15">
        <f>IF(N1940&gt;=Summary!$D$3,1,0)</f>
        <v/>
      </c>
      <c r="V1940" s="17">
        <f>IF(N1940&gt;0,P1940/N1940,"")</f>
        <v/>
      </c>
      <c r="W1940" s="17">
        <f>IF(O1940&gt;0,H1940/O1940,"")</f>
        <v/>
      </c>
    </row>
    <row r="1941">
      <c r="A1941" s="13" t="inlineStr">
        <is>
          <t>CE23_B2</t>
        </is>
      </c>
      <c r="B1941" s="13" t="inlineStr">
        <is>
          <t>CE23</t>
        </is>
      </c>
      <c r="C1941" s="13" t="inlineStr">
        <is>
          <t>B2</t>
        </is>
      </c>
      <c r="D1941" s="13" t="n">
        <v>0</v>
      </c>
      <c r="E1941" s="13" t="inlineStr">
        <is>
          <t>E</t>
        </is>
      </c>
      <c r="F1941" s="13" t="n">
        <v>2020</v>
      </c>
      <c r="G1941" s="14" t="n">
        <v>974224.219644135</v>
      </c>
      <c r="H1941" s="14" t="n">
        <v>399916.7774157955</v>
      </c>
      <c r="I1941" s="14" t="n">
        <v>84896.71744324928</v>
      </c>
      <c r="J1941" s="14" t="n">
        <v>0</v>
      </c>
      <c r="K1941" s="14" t="n">
        <v>2298.266523682837</v>
      </c>
      <c r="L1941" s="14" t="n">
        <v>487112.4582614076</v>
      </c>
      <c r="M1941" s="14" t="n">
        <v>0</v>
      </c>
      <c r="N1941" s="14" t="n">
        <v>399916.7774157955</v>
      </c>
      <c r="O1941" s="14" t="n">
        <v>487111.7613827275</v>
      </c>
      <c r="P1941" s="14" t="n">
        <v>0</v>
      </c>
      <c r="Q1941" s="14" t="n">
        <v>3868058.636105645</v>
      </c>
      <c r="R1941" s="15">
        <f>IF(D1941=1,"Section 1","Control")</f>
        <v/>
      </c>
      <c r="S1941" s="16">
        <f>N1941/10000</f>
        <v/>
      </c>
      <c r="T1941" s="16">
        <f>P1941/10000</f>
        <v/>
      </c>
      <c r="U1941" s="15">
        <f>IF(N1941&gt;=Summary!$D$3,1,0)</f>
        <v/>
      </c>
      <c r="V1941" s="17">
        <f>IF(N1941&gt;0,P1941/N1941,"")</f>
        <v/>
      </c>
      <c r="W1941" s="17">
        <f>IF(O1941&gt;0,H1941/O1941,"")</f>
        <v/>
      </c>
    </row>
    <row r="1942">
      <c r="A1942" s="13" t="inlineStr">
        <is>
          <t>CE23_B2</t>
        </is>
      </c>
      <c r="B1942" s="13" t="inlineStr">
        <is>
          <t>CE23</t>
        </is>
      </c>
      <c r="C1942" s="13" t="inlineStr">
        <is>
          <t>B2</t>
        </is>
      </c>
      <c r="D1942" s="13" t="n">
        <v>0</v>
      </c>
      <c r="E1942" s="13" t="inlineStr">
        <is>
          <t>E</t>
        </is>
      </c>
      <c r="F1942" s="13" t="n">
        <v>2021</v>
      </c>
      <c r="G1942" s="14" t="n">
        <v>974224.219644135</v>
      </c>
      <c r="H1942" s="14" t="n">
        <v>336360.2999948838</v>
      </c>
      <c r="I1942" s="14" t="n">
        <v>116620.5578951667</v>
      </c>
      <c r="J1942" s="14" t="n">
        <v>0</v>
      </c>
      <c r="K1942" s="14" t="n">
        <v>34130.90349267697</v>
      </c>
      <c r="L1942" s="14" t="n">
        <v>487112.4582614076</v>
      </c>
      <c r="M1942" s="14" t="n">
        <v>0</v>
      </c>
      <c r="N1942" s="14" t="n">
        <v>399916.7774157955</v>
      </c>
      <c r="O1942" s="14" t="n">
        <v>487111.7613827275</v>
      </c>
      <c r="P1942" s="14" t="n">
        <v>65234.87698756199</v>
      </c>
      <c r="Q1942" s="14" t="n">
        <v>3868058.636105645</v>
      </c>
      <c r="R1942" s="15">
        <f>IF(D1942=1,"Section 1","Control")</f>
        <v/>
      </c>
      <c r="S1942" s="16">
        <f>N1942/10000</f>
        <v/>
      </c>
      <c r="T1942" s="16">
        <f>P1942/10000</f>
        <v/>
      </c>
      <c r="U1942" s="15">
        <f>IF(N1942&gt;=Summary!$D$3,1,0)</f>
        <v/>
      </c>
      <c r="V1942" s="17">
        <f>IF(N1942&gt;0,P1942/N1942,"")</f>
        <v/>
      </c>
      <c r="W1942" s="17">
        <f>IF(O1942&gt;0,H1942/O1942,"")</f>
        <v/>
      </c>
    </row>
    <row r="1943">
      <c r="A1943" s="13" t="inlineStr">
        <is>
          <t>CE23_B2</t>
        </is>
      </c>
      <c r="B1943" s="13" t="inlineStr">
        <is>
          <t>CE23</t>
        </is>
      </c>
      <c r="C1943" s="13" t="inlineStr">
        <is>
          <t>B2</t>
        </is>
      </c>
      <c r="D1943" s="13" t="n">
        <v>0</v>
      </c>
      <c r="E1943" s="13" t="inlineStr">
        <is>
          <t>E</t>
        </is>
      </c>
      <c r="F1943" s="13" t="n">
        <v>2022</v>
      </c>
      <c r="G1943" s="14" t="n">
        <v>974224.219644135</v>
      </c>
      <c r="H1943" s="14" t="n">
        <v>373432.9530941234</v>
      </c>
      <c r="I1943" s="14" t="n">
        <v>87770.69217846439</v>
      </c>
      <c r="J1943" s="14" t="n">
        <v>0</v>
      </c>
      <c r="K1943" s="14" t="n">
        <v>25908.11611013974</v>
      </c>
      <c r="L1943" s="14" t="n">
        <v>487112.4582614076</v>
      </c>
      <c r="M1943" s="14" t="n">
        <v>0</v>
      </c>
      <c r="N1943" s="14" t="n">
        <v>399916.7774157955</v>
      </c>
      <c r="O1943" s="14" t="n">
        <v>487111.7613827275</v>
      </c>
      <c r="P1943" s="14" t="n">
        <v>36928.99833341113</v>
      </c>
      <c r="Q1943" s="14" t="n">
        <v>3868058.636105645</v>
      </c>
      <c r="R1943" s="15">
        <f>IF(D1943=1,"Section 1","Control")</f>
        <v/>
      </c>
      <c r="S1943" s="16">
        <f>N1943/10000</f>
        <v/>
      </c>
      <c r="T1943" s="16">
        <f>P1943/10000</f>
        <v/>
      </c>
      <c r="U1943" s="15">
        <f>IF(N1943&gt;=Summary!$D$3,1,0)</f>
        <v/>
      </c>
      <c r="V1943" s="17">
        <f>IF(N1943&gt;0,P1943/N1943,"")</f>
        <v/>
      </c>
      <c r="W1943" s="17">
        <f>IF(O1943&gt;0,H1943/O1943,"")</f>
        <v/>
      </c>
    </row>
    <row r="1944">
      <c r="A1944" s="13" t="inlineStr">
        <is>
          <t>CE23_B2</t>
        </is>
      </c>
      <c r="B1944" s="13" t="inlineStr">
        <is>
          <t>CE23</t>
        </is>
      </c>
      <c r="C1944" s="13" t="inlineStr">
        <is>
          <t>B2</t>
        </is>
      </c>
      <c r="D1944" s="13" t="n">
        <v>0</v>
      </c>
      <c r="E1944" s="13" t="inlineStr">
        <is>
          <t>E</t>
        </is>
      </c>
      <c r="F1944" s="13" t="n">
        <v>2023</v>
      </c>
      <c r="G1944" s="14" t="n">
        <v>974224.219644135</v>
      </c>
      <c r="H1944" s="14" t="n">
        <v>356803.8055994071</v>
      </c>
      <c r="I1944" s="14" t="n">
        <v>112345.415944537</v>
      </c>
      <c r="J1944" s="14" t="n">
        <v>0</v>
      </c>
      <c r="K1944" s="14" t="n">
        <v>17962.53983878341</v>
      </c>
      <c r="L1944" s="14" t="n">
        <v>487112.4582614076</v>
      </c>
      <c r="M1944" s="14" t="n">
        <v>0</v>
      </c>
      <c r="N1944" s="14" t="n">
        <v>399916.7774157955</v>
      </c>
      <c r="O1944" s="14" t="n">
        <v>487111.7613827275</v>
      </c>
      <c r="P1944" s="14" t="n">
        <v>60464.52221643784</v>
      </c>
      <c r="Q1944" s="14" t="n">
        <v>3868058.636105645</v>
      </c>
      <c r="R1944" s="15">
        <f>IF(D1944=1,"Section 1","Control")</f>
        <v/>
      </c>
      <c r="S1944" s="16">
        <f>N1944/10000</f>
        <v/>
      </c>
      <c r="T1944" s="16">
        <f>P1944/10000</f>
        <v/>
      </c>
      <c r="U1944" s="15">
        <f>IF(N1944&gt;=Summary!$D$3,1,0)</f>
        <v/>
      </c>
      <c r="V1944" s="17">
        <f>IF(N1944&gt;0,P1944/N1944,"")</f>
        <v/>
      </c>
      <c r="W1944" s="17">
        <f>IF(O1944&gt;0,H1944/O1944,"")</f>
        <v/>
      </c>
    </row>
    <row r="1945">
      <c r="A1945" s="13" t="inlineStr">
        <is>
          <t>CE23_B2</t>
        </is>
      </c>
      <c r="B1945" s="13" t="inlineStr">
        <is>
          <t>CE23</t>
        </is>
      </c>
      <c r="C1945" s="13" t="inlineStr">
        <is>
          <t>B2</t>
        </is>
      </c>
      <c r="D1945" s="13" t="n">
        <v>0</v>
      </c>
      <c r="E1945" s="13" t="inlineStr">
        <is>
          <t>E</t>
        </is>
      </c>
      <c r="F1945" s="13" t="n">
        <v>2024</v>
      </c>
      <c r="G1945" s="14" t="n">
        <v>974224.219644135</v>
      </c>
      <c r="H1945" s="14" t="n">
        <v>308795.3623101627</v>
      </c>
      <c r="I1945" s="14" t="n">
        <v>165823.8524919398</v>
      </c>
      <c r="J1945" s="14" t="n">
        <v>0</v>
      </c>
      <c r="K1945" s="14" t="n">
        <v>12492.54658062505</v>
      </c>
      <c r="L1945" s="14" t="n">
        <v>487112.4582614076</v>
      </c>
      <c r="M1945" s="14" t="n">
        <v>0</v>
      </c>
      <c r="N1945" s="14" t="n">
        <v>399916.7774157955</v>
      </c>
      <c r="O1945" s="14" t="n">
        <v>487111.7613827275</v>
      </c>
      <c r="P1945" s="14" t="n">
        <v>103611.6194074444</v>
      </c>
      <c r="Q1945" s="14" t="n">
        <v>3868058.636105645</v>
      </c>
      <c r="R1945" s="15">
        <f>IF(D1945=1,"Section 1","Control")</f>
        <v/>
      </c>
      <c r="S1945" s="16">
        <f>N1945/10000</f>
        <v/>
      </c>
      <c r="T1945" s="16">
        <f>P1945/10000</f>
        <v/>
      </c>
      <c r="U1945" s="15">
        <f>IF(N1945&gt;=Summary!$D$3,1,0)</f>
        <v/>
      </c>
      <c r="V1945" s="17">
        <f>IF(N1945&gt;0,P1945/N1945,"")</f>
        <v/>
      </c>
      <c r="W1945" s="17">
        <f>IF(O1945&gt;0,H1945/O1945,"")</f>
        <v/>
      </c>
    </row>
    <row r="1946">
      <c r="A1946" s="13" t="inlineStr">
        <is>
          <t>CE23_B2</t>
        </is>
      </c>
      <c r="B1946" s="13" t="inlineStr">
        <is>
          <t>CE23</t>
        </is>
      </c>
      <c r="C1946" s="13" t="inlineStr">
        <is>
          <t>B2</t>
        </is>
      </c>
      <c r="D1946" s="13" t="n">
        <v>0</v>
      </c>
      <c r="E1946" s="13" t="inlineStr">
        <is>
          <t>E</t>
        </is>
      </c>
      <c r="F1946" s="13" t="n">
        <v>2025</v>
      </c>
      <c r="G1946" s="14" t="n">
        <v>974224.219644135</v>
      </c>
      <c r="H1946" s="14" t="n">
        <v>350756.7567995857</v>
      </c>
      <c r="I1946" s="14" t="n">
        <v>128335.0953746721</v>
      </c>
      <c r="J1946" s="14" t="n">
        <v>0</v>
      </c>
      <c r="K1946" s="14" t="n">
        <v>8019.909208469766</v>
      </c>
      <c r="L1946" s="14" t="n">
        <v>487112.4582614076</v>
      </c>
      <c r="M1946" s="14" t="n">
        <v>0</v>
      </c>
      <c r="N1946" s="14" t="n">
        <v>399916.7774157955</v>
      </c>
      <c r="O1946" s="14" t="n">
        <v>487111.7613827275</v>
      </c>
      <c r="P1946" s="14" t="n">
        <v>81242.33408280916</v>
      </c>
      <c r="Q1946" s="14" t="n">
        <v>3868058.636105645</v>
      </c>
      <c r="R1946" s="15">
        <f>IF(D1946=1,"Section 1","Control")</f>
        <v/>
      </c>
      <c r="S1946" s="16">
        <f>N1946/10000</f>
        <v/>
      </c>
      <c r="T1946" s="16">
        <f>P1946/10000</f>
        <v/>
      </c>
      <c r="U1946" s="15">
        <f>IF(N1946&gt;=Summary!$D$3,1,0)</f>
        <v/>
      </c>
      <c r="V1946" s="17">
        <f>IF(N1946&gt;0,P1946/N1946,"")</f>
        <v/>
      </c>
      <c r="W1946" s="17">
        <f>IF(O1946&gt;0,H1946/O1946,"")</f>
        <v/>
      </c>
    </row>
    <row r="1947">
      <c r="A1947" s="13" t="inlineStr">
        <is>
          <t>CE23_B2</t>
        </is>
      </c>
      <c r="B1947" s="13" t="inlineStr">
        <is>
          <t>CE23</t>
        </is>
      </c>
      <c r="C1947" s="13" t="inlineStr">
        <is>
          <t>B2</t>
        </is>
      </c>
      <c r="D1947" s="13" t="n">
        <v>0</v>
      </c>
      <c r="E1947" s="13" t="inlineStr">
        <is>
          <t>E</t>
        </is>
      </c>
      <c r="F1947" s="13" t="n">
        <v>2026</v>
      </c>
      <c r="G1947" s="14" t="n">
        <v>974224.219644135</v>
      </c>
      <c r="H1947" s="14" t="n">
        <v>377503.5958060471</v>
      </c>
      <c r="I1947" s="14" t="n">
        <v>85456.65029793532</v>
      </c>
      <c r="J1947" s="14" t="n">
        <v>0</v>
      </c>
      <c r="K1947" s="14" t="n">
        <v>24151.51527874516</v>
      </c>
      <c r="L1947" s="14" t="n">
        <v>487112.4582614076</v>
      </c>
      <c r="M1947" s="14" t="n">
        <v>0</v>
      </c>
      <c r="N1947" s="14" t="n">
        <v>399916.7774157955</v>
      </c>
      <c r="O1947" s="14" t="n">
        <v>487111.7613827275</v>
      </c>
      <c r="P1947" s="14" t="n">
        <v>44959.81985829672</v>
      </c>
      <c r="Q1947" s="14" t="n">
        <v>3868058.636105645</v>
      </c>
      <c r="R1947" s="15">
        <f>IF(D1947=1,"Section 1","Control")</f>
        <v/>
      </c>
      <c r="S1947" s="16">
        <f>N1947/10000</f>
        <v/>
      </c>
      <c r="T1947" s="16">
        <f>P1947/10000</f>
        <v/>
      </c>
      <c r="U1947" s="15">
        <f>IF(N1947&gt;=Summary!$D$3,1,0)</f>
        <v/>
      </c>
      <c r="V1947" s="17">
        <f>IF(N1947&gt;0,P1947/N1947,"")</f>
        <v/>
      </c>
      <c r="W1947" s="17">
        <f>IF(O1947&gt;0,H1947/O1947,"")</f>
        <v/>
      </c>
    </row>
    <row r="1948">
      <c r="A1948" s="13" t="inlineStr">
        <is>
          <t>CE23_B3</t>
        </is>
      </c>
      <c r="B1948" s="13" t="inlineStr">
        <is>
          <t>CE23</t>
        </is>
      </c>
      <c r="C1948" s="13" t="inlineStr">
        <is>
          <t>B3</t>
        </is>
      </c>
      <c r="D1948" s="13" t="n">
        <v>0</v>
      </c>
      <c r="E1948" s="13" t="inlineStr">
        <is>
          <t>E</t>
        </is>
      </c>
      <c r="F1948" s="13" t="n">
        <v>2020</v>
      </c>
      <c r="G1948" s="14" t="n">
        <v>7797859.020450695</v>
      </c>
      <c r="H1948" s="14" t="n">
        <v>2280887.322908528</v>
      </c>
      <c r="I1948" s="14" t="n">
        <v>737207.492183042</v>
      </c>
      <c r="J1948" s="14" t="n">
        <v>0</v>
      </c>
      <c r="K1948" s="14" t="n">
        <v>19759.65081981584</v>
      </c>
      <c r="L1948" s="14" t="n">
        <v>4760004.55453931</v>
      </c>
      <c r="M1948" s="14" t="n">
        <v>0</v>
      </c>
      <c r="N1948" s="14" t="n">
        <v>2280887.322908528</v>
      </c>
      <c r="O1948" s="14" t="n">
        <v>3037854.465911387</v>
      </c>
      <c r="P1948" s="14" t="n">
        <v>0</v>
      </c>
      <c r="Q1948" s="14" t="n">
        <v>20798619.33067849</v>
      </c>
      <c r="R1948" s="15">
        <f>IF(D1948=1,"Section 1","Control")</f>
        <v/>
      </c>
      <c r="S1948" s="16">
        <f>N1948/10000</f>
        <v/>
      </c>
      <c r="T1948" s="16">
        <f>P1948/10000</f>
        <v/>
      </c>
      <c r="U1948" s="15">
        <f>IF(N1948&gt;=Summary!$D$3,1,0)</f>
        <v/>
      </c>
      <c r="V1948" s="17">
        <f>IF(N1948&gt;0,P1948/N1948,"")</f>
        <v/>
      </c>
      <c r="W1948" s="17">
        <f>IF(O1948&gt;0,H1948/O1948,"")</f>
        <v/>
      </c>
    </row>
    <row r="1949">
      <c r="A1949" s="13" t="inlineStr">
        <is>
          <t>CE23_B3</t>
        </is>
      </c>
      <c r="B1949" s="13" t="inlineStr">
        <is>
          <t>CE23</t>
        </is>
      </c>
      <c r="C1949" s="13" t="inlineStr">
        <is>
          <t>B3</t>
        </is>
      </c>
      <c r="D1949" s="13" t="n">
        <v>0</v>
      </c>
      <c r="E1949" s="13" t="inlineStr">
        <is>
          <t>E</t>
        </is>
      </c>
      <c r="F1949" s="13" t="n">
        <v>2021</v>
      </c>
      <c r="G1949" s="14" t="n">
        <v>7797859.020450695</v>
      </c>
      <c r="H1949" s="14" t="n">
        <v>2142634.842582104</v>
      </c>
      <c r="I1949" s="14" t="n">
        <v>678718.6578163595</v>
      </c>
      <c r="J1949" s="14" t="n">
        <v>0</v>
      </c>
      <c r="K1949" s="14" t="n">
        <v>277592.1876025929</v>
      </c>
      <c r="L1949" s="14" t="n">
        <v>4698913.332449639</v>
      </c>
      <c r="M1949" s="14" t="n">
        <v>0</v>
      </c>
      <c r="N1949" s="14" t="n">
        <v>2280887.322908529</v>
      </c>
      <c r="O1949" s="14" t="n">
        <v>3037854.465911387</v>
      </c>
      <c r="P1949" s="14" t="n">
        <v>144768.4500148399</v>
      </c>
      <c r="Q1949" s="14" t="n">
        <v>20798619.33067849</v>
      </c>
      <c r="R1949" s="15">
        <f>IF(D1949=1,"Section 1","Control")</f>
        <v/>
      </c>
      <c r="S1949" s="16">
        <f>N1949/10000</f>
        <v/>
      </c>
      <c r="T1949" s="16">
        <f>P1949/10000</f>
        <v/>
      </c>
      <c r="U1949" s="15">
        <f>IF(N1949&gt;=Summary!$D$3,1,0)</f>
        <v/>
      </c>
      <c r="V1949" s="17">
        <f>IF(N1949&gt;0,P1949/N1949,"")</f>
        <v/>
      </c>
      <c r="W1949" s="17">
        <f>IF(O1949&gt;0,H1949/O1949,"")</f>
        <v/>
      </c>
    </row>
    <row r="1950">
      <c r="A1950" s="13" t="inlineStr">
        <is>
          <t>CE23_B3</t>
        </is>
      </c>
      <c r="B1950" s="13" t="inlineStr">
        <is>
          <t>CE23</t>
        </is>
      </c>
      <c r="C1950" s="13" t="inlineStr">
        <is>
          <t>B3</t>
        </is>
      </c>
      <c r="D1950" s="13" t="n">
        <v>0</v>
      </c>
      <c r="E1950" s="13" t="inlineStr">
        <is>
          <t>E</t>
        </is>
      </c>
      <c r="F1950" s="13" t="n">
        <v>2022</v>
      </c>
      <c r="G1950" s="14" t="n">
        <v>7797859.020450695</v>
      </c>
      <c r="H1950" s="14" t="n">
        <v>2193258.321115531</v>
      </c>
      <c r="I1950" s="14" t="n">
        <v>775040.2189080034</v>
      </c>
      <c r="J1950" s="14" t="n">
        <v>0</v>
      </c>
      <c r="K1950" s="14" t="n">
        <v>127223.4955340816</v>
      </c>
      <c r="L1950" s="14" t="n">
        <v>4702336.98489308</v>
      </c>
      <c r="M1950" s="14" t="n">
        <v>0</v>
      </c>
      <c r="N1950" s="14" t="n">
        <v>2280887.322908528</v>
      </c>
      <c r="O1950" s="14" t="n">
        <v>3037854.465911387</v>
      </c>
      <c r="P1950" s="14" t="n">
        <v>115717.0830359366</v>
      </c>
      <c r="Q1950" s="14" t="n">
        <v>20798619.33067849</v>
      </c>
      <c r="R1950" s="15">
        <f>IF(D1950=1,"Section 1","Control")</f>
        <v/>
      </c>
      <c r="S1950" s="16">
        <f>N1950/10000</f>
        <v/>
      </c>
      <c r="T1950" s="16">
        <f>P1950/10000</f>
        <v/>
      </c>
      <c r="U1950" s="15">
        <f>IF(N1950&gt;=Summary!$D$3,1,0)</f>
        <v/>
      </c>
      <c r="V1950" s="17">
        <f>IF(N1950&gt;0,P1950/N1950,"")</f>
        <v/>
      </c>
      <c r="W1950" s="17">
        <f>IF(O1950&gt;0,H1950/O1950,"")</f>
        <v/>
      </c>
    </row>
    <row r="1951">
      <c r="A1951" s="13" t="inlineStr">
        <is>
          <t>CE23_B3</t>
        </is>
      </c>
      <c r="B1951" s="13" t="inlineStr">
        <is>
          <t>CE23</t>
        </is>
      </c>
      <c r="C1951" s="13" t="inlineStr">
        <is>
          <t>B3</t>
        </is>
      </c>
      <c r="D1951" s="13" t="n">
        <v>0</v>
      </c>
      <c r="E1951" s="13" t="inlineStr">
        <is>
          <t>E</t>
        </is>
      </c>
      <c r="F1951" s="13" t="n">
        <v>2023</v>
      </c>
      <c r="G1951" s="14" t="n">
        <v>7797859.020450695</v>
      </c>
      <c r="H1951" s="14" t="n">
        <v>2184581.223442856</v>
      </c>
      <c r="I1951" s="14" t="n">
        <v>801182.7056192434</v>
      </c>
      <c r="J1951" s="14" t="n">
        <v>0</v>
      </c>
      <c r="K1951" s="14" t="n">
        <v>58361.85538985309</v>
      </c>
      <c r="L1951" s="14" t="n">
        <v>4753733.235998744</v>
      </c>
      <c r="M1951" s="14" t="n">
        <v>0</v>
      </c>
      <c r="N1951" s="14" t="n">
        <v>2280887.322908528</v>
      </c>
      <c r="O1951" s="14" t="n">
        <v>3037854.465911387</v>
      </c>
      <c r="P1951" s="14" t="n">
        <v>119277.4183093202</v>
      </c>
      <c r="Q1951" s="14" t="n">
        <v>20798619.33067849</v>
      </c>
      <c r="R1951" s="15">
        <f>IF(D1951=1,"Section 1","Control")</f>
        <v/>
      </c>
      <c r="S1951" s="16">
        <f>N1951/10000</f>
        <v/>
      </c>
      <c r="T1951" s="16">
        <f>P1951/10000</f>
        <v/>
      </c>
      <c r="U1951" s="15">
        <f>IF(N1951&gt;=Summary!$D$3,1,0)</f>
        <v/>
      </c>
      <c r="V1951" s="17">
        <f>IF(N1951&gt;0,P1951/N1951,"")</f>
        <v/>
      </c>
      <c r="W1951" s="17">
        <f>IF(O1951&gt;0,H1951/O1951,"")</f>
        <v/>
      </c>
    </row>
    <row r="1952">
      <c r="A1952" s="13" t="inlineStr">
        <is>
          <t>CE23_B3</t>
        </is>
      </c>
      <c r="B1952" s="13" t="inlineStr">
        <is>
          <t>CE23</t>
        </is>
      </c>
      <c r="C1952" s="13" t="inlineStr">
        <is>
          <t>B3</t>
        </is>
      </c>
      <c r="D1952" s="13" t="n">
        <v>0</v>
      </c>
      <c r="E1952" s="13" t="inlineStr">
        <is>
          <t>E</t>
        </is>
      </c>
      <c r="F1952" s="13" t="n">
        <v>2024</v>
      </c>
      <c r="G1952" s="14" t="n">
        <v>7797859.020450695</v>
      </c>
      <c r="H1952" s="14" t="n">
        <v>2325355.384207273</v>
      </c>
      <c r="I1952" s="14" t="n">
        <v>676520.6715713501</v>
      </c>
      <c r="J1952" s="14" t="n">
        <v>0</v>
      </c>
      <c r="K1952" s="14" t="n">
        <v>95757.31126472625</v>
      </c>
      <c r="L1952" s="14" t="n">
        <v>4700225.653407347</v>
      </c>
      <c r="M1952" s="14" t="n">
        <v>0</v>
      </c>
      <c r="N1952" s="14" t="n">
        <v>2280887.322908529</v>
      </c>
      <c r="O1952" s="14" t="n">
        <v>3037854.465911387</v>
      </c>
      <c r="P1952" s="14" t="n">
        <v>74386.7229201373</v>
      </c>
      <c r="Q1952" s="14" t="n">
        <v>20798619.33067849</v>
      </c>
      <c r="R1952" s="15">
        <f>IF(D1952=1,"Section 1","Control")</f>
        <v/>
      </c>
      <c r="S1952" s="16">
        <f>N1952/10000</f>
        <v/>
      </c>
      <c r="T1952" s="16">
        <f>P1952/10000</f>
        <v/>
      </c>
      <c r="U1952" s="15">
        <f>IF(N1952&gt;=Summary!$D$3,1,0)</f>
        <v/>
      </c>
      <c r="V1952" s="17">
        <f>IF(N1952&gt;0,P1952/N1952,"")</f>
        <v/>
      </c>
      <c r="W1952" s="17">
        <f>IF(O1952&gt;0,H1952/O1952,"")</f>
        <v/>
      </c>
    </row>
    <row r="1953">
      <c r="A1953" s="13" t="inlineStr">
        <is>
          <t>CE23_B3</t>
        </is>
      </c>
      <c r="B1953" s="13" t="inlineStr">
        <is>
          <t>CE23</t>
        </is>
      </c>
      <c r="C1953" s="13" t="inlineStr">
        <is>
          <t>B3</t>
        </is>
      </c>
      <c r="D1953" s="13" t="n">
        <v>0</v>
      </c>
      <c r="E1953" s="13" t="inlineStr">
        <is>
          <t>E</t>
        </is>
      </c>
      <c r="F1953" s="13" t="n">
        <v>2025</v>
      </c>
      <c r="G1953" s="14" t="n">
        <v>7797859.020450695</v>
      </c>
      <c r="H1953" s="14" t="n">
        <v>2580936.35012599</v>
      </c>
      <c r="I1953" s="14" t="n">
        <v>367556.5797994875</v>
      </c>
      <c r="J1953" s="14" t="n">
        <v>0</v>
      </c>
      <c r="K1953" s="14" t="n">
        <v>107728.5838916554</v>
      </c>
      <c r="L1953" s="14" t="n">
        <v>4741637.506633564</v>
      </c>
      <c r="M1953" s="14" t="n">
        <v>0</v>
      </c>
      <c r="N1953" s="14" t="n">
        <v>2280887.322908528</v>
      </c>
      <c r="O1953" s="14" t="n">
        <v>3037854.465911387</v>
      </c>
      <c r="P1953" s="14" t="n">
        <v>70399.32120268579</v>
      </c>
      <c r="Q1953" s="14" t="n">
        <v>20798619.33067849</v>
      </c>
      <c r="R1953" s="15">
        <f>IF(D1953=1,"Section 1","Control")</f>
        <v/>
      </c>
      <c r="S1953" s="16">
        <f>N1953/10000</f>
        <v/>
      </c>
      <c r="T1953" s="16">
        <f>P1953/10000</f>
        <v/>
      </c>
      <c r="U1953" s="15">
        <f>IF(N1953&gt;=Summary!$D$3,1,0)</f>
        <v/>
      </c>
      <c r="V1953" s="17">
        <f>IF(N1953&gt;0,P1953/N1953,"")</f>
        <v/>
      </c>
      <c r="W1953" s="17">
        <f>IF(O1953&gt;0,H1953/O1953,"")</f>
        <v/>
      </c>
    </row>
    <row r="1954">
      <c r="A1954" s="13" t="inlineStr">
        <is>
          <t>CE23_B3</t>
        </is>
      </c>
      <c r="B1954" s="13" t="inlineStr">
        <is>
          <t>CE23</t>
        </is>
      </c>
      <c r="C1954" s="13" t="inlineStr">
        <is>
          <t>B3</t>
        </is>
      </c>
      <c r="D1954" s="13" t="n">
        <v>0</v>
      </c>
      <c r="E1954" s="13" t="inlineStr">
        <is>
          <t>E</t>
        </is>
      </c>
      <c r="F1954" s="13" t="n">
        <v>2026</v>
      </c>
      <c r="G1954" s="14" t="n">
        <v>7797859.020450695</v>
      </c>
      <c r="H1954" s="14" t="n">
        <v>2348179.836031028</v>
      </c>
      <c r="I1954" s="14" t="n">
        <v>552055.1865360335</v>
      </c>
      <c r="J1954" s="14" t="n">
        <v>0</v>
      </c>
      <c r="K1954" s="14" t="n">
        <v>167833.1792204015</v>
      </c>
      <c r="L1954" s="14" t="n">
        <v>4729790.818663234</v>
      </c>
      <c r="M1954" s="14" t="n">
        <v>0</v>
      </c>
      <c r="N1954" s="14" t="n">
        <v>2280887.322908528</v>
      </c>
      <c r="O1954" s="14" t="n">
        <v>3037854.465911387</v>
      </c>
      <c r="P1954" s="14" t="n">
        <v>82055.7848828484</v>
      </c>
      <c r="Q1954" s="14" t="n">
        <v>20798619.33067849</v>
      </c>
      <c r="R1954" s="15">
        <f>IF(D1954=1,"Section 1","Control")</f>
        <v/>
      </c>
      <c r="S1954" s="16">
        <f>N1954/10000</f>
        <v/>
      </c>
      <c r="T1954" s="16">
        <f>P1954/10000</f>
        <v/>
      </c>
      <c r="U1954" s="15">
        <f>IF(N1954&gt;=Summary!$D$3,1,0)</f>
        <v/>
      </c>
      <c r="V1954" s="17">
        <f>IF(N1954&gt;0,P1954/N1954,"")</f>
        <v/>
      </c>
      <c r="W1954" s="17">
        <f>IF(O1954&gt;0,H1954/O1954,"")</f>
        <v/>
      </c>
    </row>
    <row r="1955">
      <c r="A1955" s="13" t="inlineStr">
        <is>
          <t>CE23_F</t>
        </is>
      </c>
      <c r="B1955" s="13" t="inlineStr">
        <is>
          <t>CE23</t>
        </is>
      </c>
      <c r="C1955" s="13" t="inlineStr">
        <is>
          <t>F</t>
        </is>
      </c>
      <c r="D1955" s="13" t="n">
        <v>0</v>
      </c>
      <c r="E1955" s="13" t="inlineStr">
        <is>
          <t>E</t>
        </is>
      </c>
      <c r="F1955" s="13" t="n">
        <v>2020</v>
      </c>
      <c r="G1955" s="14" t="n">
        <v>67554.58939627855</v>
      </c>
      <c r="H1955" s="14" t="n">
        <v>46411.52313705145</v>
      </c>
      <c r="I1955" s="14" t="n">
        <v>21019.94329645493</v>
      </c>
      <c r="J1955" s="14" t="n">
        <v>0</v>
      </c>
      <c r="K1955" s="14" t="n">
        <v>123.122962772145</v>
      </c>
      <c r="L1955" s="14" t="n">
        <v>0</v>
      </c>
      <c r="M1955" s="14" t="n">
        <v>0</v>
      </c>
      <c r="N1955" s="14" t="n">
        <v>46411.52313705145</v>
      </c>
      <c r="O1955" s="14" t="n">
        <v>67554.58939627855</v>
      </c>
      <c r="P1955" s="14" t="n">
        <v>0</v>
      </c>
      <c r="Q1955" s="14" t="n">
        <v>469094.3584381702</v>
      </c>
      <c r="R1955" s="15">
        <f>IF(D1955=1,"Section 1","Control")</f>
        <v/>
      </c>
      <c r="S1955" s="16">
        <f>N1955/10000</f>
        <v/>
      </c>
      <c r="T1955" s="16">
        <f>P1955/10000</f>
        <v/>
      </c>
      <c r="U1955" s="15">
        <f>IF(N1955&gt;=Summary!$D$3,1,0)</f>
        <v/>
      </c>
      <c r="V1955" s="17">
        <f>IF(N1955&gt;0,P1955/N1955,"")</f>
        <v/>
      </c>
      <c r="W1955" s="17">
        <f>IF(O1955&gt;0,H1955/O1955,"")</f>
        <v/>
      </c>
    </row>
    <row r="1956">
      <c r="A1956" s="13" t="inlineStr">
        <is>
          <t>CE23_F</t>
        </is>
      </c>
      <c r="B1956" s="13" t="inlineStr">
        <is>
          <t>CE23</t>
        </is>
      </c>
      <c r="C1956" s="13" t="inlineStr">
        <is>
          <t>F</t>
        </is>
      </c>
      <c r="D1956" s="13" t="n">
        <v>0</v>
      </c>
      <c r="E1956" s="13" t="inlineStr">
        <is>
          <t>E</t>
        </is>
      </c>
      <c r="F1956" s="13" t="n">
        <v>2021</v>
      </c>
      <c r="G1956" s="14" t="n">
        <v>67554.58939627853</v>
      </c>
      <c r="H1956" s="14" t="n">
        <v>28138.2269263174</v>
      </c>
      <c r="I1956" s="14" t="n">
        <v>26328.16670951096</v>
      </c>
      <c r="J1956" s="14" t="n">
        <v>0</v>
      </c>
      <c r="K1956" s="14" t="n">
        <v>13088.19576045018</v>
      </c>
      <c r="L1956" s="14" t="n">
        <v>0</v>
      </c>
      <c r="M1956" s="14" t="n">
        <v>0</v>
      </c>
      <c r="N1956" s="14" t="n">
        <v>46411.52313705145</v>
      </c>
      <c r="O1956" s="14" t="n">
        <v>67554.58939627853</v>
      </c>
      <c r="P1956" s="14" t="n">
        <v>18620.20836495792</v>
      </c>
      <c r="Q1956" s="14" t="n">
        <v>469094.3584381702</v>
      </c>
      <c r="R1956" s="15">
        <f>IF(D1956=1,"Section 1","Control")</f>
        <v/>
      </c>
      <c r="S1956" s="16">
        <f>N1956/10000</f>
        <v/>
      </c>
      <c r="T1956" s="16">
        <f>P1956/10000</f>
        <v/>
      </c>
      <c r="U1956" s="15">
        <f>IF(N1956&gt;=Summary!$D$3,1,0)</f>
        <v/>
      </c>
      <c r="V1956" s="17">
        <f>IF(N1956&gt;0,P1956/N1956,"")</f>
        <v/>
      </c>
      <c r="W1956" s="17">
        <f>IF(O1956&gt;0,H1956/O1956,"")</f>
        <v/>
      </c>
    </row>
    <row r="1957">
      <c r="A1957" s="13" t="inlineStr">
        <is>
          <t>CE23_F</t>
        </is>
      </c>
      <c r="B1957" s="13" t="inlineStr">
        <is>
          <t>CE23</t>
        </is>
      </c>
      <c r="C1957" s="13" t="inlineStr">
        <is>
          <t>F</t>
        </is>
      </c>
      <c r="D1957" s="13" t="n">
        <v>0</v>
      </c>
      <c r="E1957" s="13" t="inlineStr">
        <is>
          <t>E</t>
        </is>
      </c>
      <c r="F1957" s="13" t="n">
        <v>2022</v>
      </c>
      <c r="G1957" s="14" t="n">
        <v>67554.58939627855</v>
      </c>
      <c r="H1957" s="14" t="n">
        <v>36486.57902583703</v>
      </c>
      <c r="I1957" s="14" t="n">
        <v>20957.60922043744</v>
      </c>
      <c r="J1957" s="14" t="n">
        <v>0</v>
      </c>
      <c r="K1957" s="14" t="n">
        <v>10110.40115000407</v>
      </c>
      <c r="L1957" s="14" t="n">
        <v>0</v>
      </c>
      <c r="M1957" s="14" t="n">
        <v>0</v>
      </c>
      <c r="N1957" s="14" t="n">
        <v>46411.52313705145</v>
      </c>
      <c r="O1957" s="14" t="n">
        <v>67554.58939627855</v>
      </c>
      <c r="P1957" s="14" t="n">
        <v>12339.77882783179</v>
      </c>
      <c r="Q1957" s="14" t="n">
        <v>469094.3584381702</v>
      </c>
      <c r="R1957" s="15">
        <f>IF(D1957=1,"Section 1","Control")</f>
        <v/>
      </c>
      <c r="S1957" s="16">
        <f>N1957/10000</f>
        <v/>
      </c>
      <c r="T1957" s="16">
        <f>P1957/10000</f>
        <v/>
      </c>
      <c r="U1957" s="15">
        <f>IF(N1957&gt;=Summary!$D$3,1,0)</f>
        <v/>
      </c>
      <c r="V1957" s="17">
        <f>IF(N1957&gt;0,P1957/N1957,"")</f>
        <v/>
      </c>
      <c r="W1957" s="17">
        <f>IF(O1957&gt;0,H1957/O1957,"")</f>
        <v/>
      </c>
    </row>
    <row r="1958">
      <c r="A1958" s="13" t="inlineStr">
        <is>
          <t>CE23_F</t>
        </is>
      </c>
      <c r="B1958" s="13" t="inlineStr">
        <is>
          <t>CE23</t>
        </is>
      </c>
      <c r="C1958" s="13" t="inlineStr">
        <is>
          <t>F</t>
        </is>
      </c>
      <c r="D1958" s="13" t="n">
        <v>0</v>
      </c>
      <c r="E1958" s="13" t="inlineStr">
        <is>
          <t>E</t>
        </is>
      </c>
      <c r="F1958" s="13" t="n">
        <v>2023</v>
      </c>
      <c r="G1958" s="14" t="n">
        <v>67554.58939627853</v>
      </c>
      <c r="H1958" s="14" t="n">
        <v>35193.40284803802</v>
      </c>
      <c r="I1958" s="14" t="n">
        <v>24689.23682983998</v>
      </c>
      <c r="J1958" s="14" t="n">
        <v>0</v>
      </c>
      <c r="K1958" s="14" t="n">
        <v>7671.949718400546</v>
      </c>
      <c r="L1958" s="14" t="n">
        <v>0</v>
      </c>
      <c r="M1958" s="14" t="n">
        <v>0</v>
      </c>
      <c r="N1958" s="14" t="n">
        <v>46411.52313705145</v>
      </c>
      <c r="O1958" s="14" t="n">
        <v>67554.58939627853</v>
      </c>
      <c r="P1958" s="14" t="n">
        <v>13447.8841879452</v>
      </c>
      <c r="Q1958" s="14" t="n">
        <v>469094.3584381702</v>
      </c>
      <c r="R1958" s="15">
        <f>IF(D1958=1,"Section 1","Control")</f>
        <v/>
      </c>
      <c r="S1958" s="16">
        <f>N1958/10000</f>
        <v/>
      </c>
      <c r="T1958" s="16">
        <f>P1958/10000</f>
        <v/>
      </c>
      <c r="U1958" s="15">
        <f>IF(N1958&gt;=Summary!$D$3,1,0)</f>
        <v/>
      </c>
      <c r="V1958" s="17">
        <f>IF(N1958&gt;0,P1958/N1958,"")</f>
        <v/>
      </c>
      <c r="W1958" s="17">
        <f>IF(O1958&gt;0,H1958/O1958,"")</f>
        <v/>
      </c>
    </row>
    <row r="1959">
      <c r="A1959" s="13" t="inlineStr">
        <is>
          <t>CE23_F</t>
        </is>
      </c>
      <c r="B1959" s="13" t="inlineStr">
        <is>
          <t>CE23</t>
        </is>
      </c>
      <c r="C1959" s="13" t="inlineStr">
        <is>
          <t>F</t>
        </is>
      </c>
      <c r="D1959" s="13" t="n">
        <v>0</v>
      </c>
      <c r="E1959" s="13" t="inlineStr">
        <is>
          <t>E</t>
        </is>
      </c>
      <c r="F1959" s="13" t="n">
        <v>2024</v>
      </c>
      <c r="G1959" s="14" t="n">
        <v>67554.58939627855</v>
      </c>
      <c r="H1959" s="14" t="n">
        <v>26696.76433889352</v>
      </c>
      <c r="I1959" s="14" t="n">
        <v>37647.33623372995</v>
      </c>
      <c r="J1959" s="14" t="n">
        <v>0</v>
      </c>
      <c r="K1959" s="14" t="n">
        <v>3210.488823655072</v>
      </c>
      <c r="L1959" s="14" t="n">
        <v>0</v>
      </c>
      <c r="M1959" s="14" t="n">
        <v>0</v>
      </c>
      <c r="N1959" s="14" t="n">
        <v>46411.52313705145</v>
      </c>
      <c r="O1959" s="14" t="n">
        <v>67554.58939627855</v>
      </c>
      <c r="P1959" s="14" t="n">
        <v>22525.67903971953</v>
      </c>
      <c r="Q1959" s="14" t="n">
        <v>469094.3584381702</v>
      </c>
      <c r="R1959" s="15">
        <f>IF(D1959=1,"Section 1","Control")</f>
        <v/>
      </c>
      <c r="S1959" s="16">
        <f>N1959/10000</f>
        <v/>
      </c>
      <c r="T1959" s="16">
        <f>P1959/10000</f>
        <v/>
      </c>
      <c r="U1959" s="15">
        <f>IF(N1959&gt;=Summary!$D$3,1,0)</f>
        <v/>
      </c>
      <c r="V1959" s="17">
        <f>IF(N1959&gt;0,P1959/N1959,"")</f>
        <v/>
      </c>
      <c r="W1959" s="17">
        <f>IF(O1959&gt;0,H1959/O1959,"")</f>
        <v/>
      </c>
    </row>
    <row r="1960">
      <c r="A1960" s="13" t="inlineStr">
        <is>
          <t>CE23_F</t>
        </is>
      </c>
      <c r="B1960" s="13" t="inlineStr">
        <is>
          <t>CE23</t>
        </is>
      </c>
      <c r="C1960" s="13" t="inlineStr">
        <is>
          <t>F</t>
        </is>
      </c>
      <c r="D1960" s="13" t="n">
        <v>0</v>
      </c>
      <c r="E1960" s="13" t="inlineStr">
        <is>
          <t>E</t>
        </is>
      </c>
      <c r="F1960" s="13" t="n">
        <v>2025</v>
      </c>
      <c r="G1960" s="14" t="n">
        <v>67554.58939627855</v>
      </c>
      <c r="H1960" s="14" t="n">
        <v>25538.32358655742</v>
      </c>
      <c r="I1960" s="14" t="n">
        <v>39422.55317759794</v>
      </c>
      <c r="J1960" s="14" t="n">
        <v>0</v>
      </c>
      <c r="K1960" s="14" t="n">
        <v>2593.712632123162</v>
      </c>
      <c r="L1960" s="14" t="n">
        <v>0</v>
      </c>
      <c r="M1960" s="14" t="n">
        <v>0</v>
      </c>
      <c r="N1960" s="14" t="n">
        <v>46411.52313705145</v>
      </c>
      <c r="O1960" s="14" t="n">
        <v>67554.58939627855</v>
      </c>
      <c r="P1960" s="14" t="n">
        <v>23318.2354252834</v>
      </c>
      <c r="Q1960" s="14" t="n">
        <v>469094.3584381702</v>
      </c>
      <c r="R1960" s="15">
        <f>IF(D1960=1,"Section 1","Control")</f>
        <v/>
      </c>
      <c r="S1960" s="16">
        <f>N1960/10000</f>
        <v/>
      </c>
      <c r="T1960" s="16">
        <f>P1960/10000</f>
        <v/>
      </c>
      <c r="U1960" s="15">
        <f>IF(N1960&gt;=Summary!$D$3,1,0)</f>
        <v/>
      </c>
      <c r="V1960" s="17">
        <f>IF(N1960&gt;0,P1960/N1960,"")</f>
        <v/>
      </c>
      <c r="W1960" s="17">
        <f>IF(O1960&gt;0,H1960/O1960,"")</f>
        <v/>
      </c>
    </row>
    <row r="1961">
      <c r="A1961" s="13" t="inlineStr">
        <is>
          <t>CE23_F</t>
        </is>
      </c>
      <c r="B1961" s="13" t="inlineStr">
        <is>
          <t>CE23</t>
        </is>
      </c>
      <c r="C1961" s="13" t="inlineStr">
        <is>
          <t>F</t>
        </is>
      </c>
      <c r="D1961" s="13" t="n">
        <v>0</v>
      </c>
      <c r="E1961" s="13" t="inlineStr">
        <is>
          <t>E</t>
        </is>
      </c>
      <c r="F1961" s="13" t="n">
        <v>2026</v>
      </c>
      <c r="G1961" s="14" t="n">
        <v>67554.58939627855</v>
      </c>
      <c r="H1961" s="14" t="n">
        <v>36680.94680953681</v>
      </c>
      <c r="I1961" s="14" t="n">
        <v>25392.34936804679</v>
      </c>
      <c r="J1961" s="14" t="n">
        <v>0</v>
      </c>
      <c r="K1961" s="14" t="n">
        <v>5481.293218694949</v>
      </c>
      <c r="L1961" s="14" t="n">
        <v>0</v>
      </c>
      <c r="M1961" s="14" t="n">
        <v>0</v>
      </c>
      <c r="N1961" s="14" t="n">
        <v>46411.52313705145</v>
      </c>
      <c r="O1961" s="14" t="n">
        <v>67554.58939627855</v>
      </c>
      <c r="P1961" s="14" t="n">
        <v>14920.32404195748</v>
      </c>
      <c r="Q1961" s="14" t="n">
        <v>469094.3584381702</v>
      </c>
      <c r="R1961" s="15">
        <f>IF(D1961=1,"Section 1","Control")</f>
        <v/>
      </c>
      <c r="S1961" s="16">
        <f>N1961/10000</f>
        <v/>
      </c>
      <c r="T1961" s="16">
        <f>P1961/10000</f>
        <v/>
      </c>
      <c r="U1961" s="15">
        <f>IF(N1961&gt;=Summary!$D$3,1,0)</f>
        <v/>
      </c>
      <c r="V1961" s="17">
        <f>IF(N1961&gt;0,P1961/N1961,"")</f>
        <v/>
      </c>
      <c r="W1961" s="17">
        <f>IF(O1961&gt;0,H1961/O1961,"")</f>
        <v/>
      </c>
    </row>
    <row r="1962">
      <c r="A1962" s="13" t="inlineStr">
        <is>
          <t>CE24_B1</t>
        </is>
      </c>
      <c r="B1962" s="13" t="inlineStr">
        <is>
          <t>CE24</t>
        </is>
      </c>
      <c r="C1962" s="13" t="inlineStr">
        <is>
          <t>B1</t>
        </is>
      </c>
      <c r="D1962" s="13" t="n">
        <v>0</v>
      </c>
      <c r="E1962" s="13" t="inlineStr">
        <is>
          <t>E</t>
        </is>
      </c>
      <c r="F1962" s="13" t="n">
        <v>2020</v>
      </c>
      <c r="G1962" s="14" t="n">
        <v>1000761.94472752</v>
      </c>
      <c r="H1962" s="14" t="n">
        <v>504584.9818378523</v>
      </c>
      <c r="I1962" s="14" t="n">
        <v>219794.2180699666</v>
      </c>
      <c r="J1962" s="14" t="n">
        <v>0</v>
      </c>
      <c r="K1962" s="14" t="n">
        <v>48201.48244266884</v>
      </c>
      <c r="L1962" s="14" t="n">
        <v>228181.2623770321</v>
      </c>
      <c r="M1962" s="14" t="n">
        <v>0</v>
      </c>
      <c r="N1962" s="14" t="n">
        <v>504584.9818378523</v>
      </c>
      <c r="O1962" s="14" t="n">
        <v>772580.6823504877</v>
      </c>
      <c r="P1962" s="14" t="n">
        <v>0</v>
      </c>
      <c r="Q1962" s="14" t="n">
        <v>5891461.870803145</v>
      </c>
      <c r="R1962" s="15">
        <f>IF(D1962=1,"Section 1","Control")</f>
        <v/>
      </c>
      <c r="S1962" s="16">
        <f>N1962/10000</f>
        <v/>
      </c>
      <c r="T1962" s="16">
        <f>P1962/10000</f>
        <v/>
      </c>
      <c r="U1962" s="15">
        <f>IF(N1962&gt;=Summary!$D$3,1,0)</f>
        <v/>
      </c>
      <c r="V1962" s="17">
        <f>IF(N1962&gt;0,P1962/N1962,"")</f>
        <v/>
      </c>
      <c r="W1962" s="17">
        <f>IF(O1962&gt;0,H1962/O1962,"")</f>
        <v/>
      </c>
    </row>
    <row r="1963">
      <c r="A1963" s="13" t="inlineStr">
        <is>
          <t>CE24_B1</t>
        </is>
      </c>
      <c r="B1963" s="13" t="inlineStr">
        <is>
          <t>CE24</t>
        </is>
      </c>
      <c r="C1963" s="13" t="inlineStr">
        <is>
          <t>B1</t>
        </is>
      </c>
      <c r="D1963" s="13" t="n">
        <v>0</v>
      </c>
      <c r="E1963" s="13" t="inlineStr">
        <is>
          <t>E</t>
        </is>
      </c>
      <c r="F1963" s="13" t="n">
        <v>2021</v>
      </c>
      <c r="G1963" s="14" t="n">
        <v>1000761.94472752</v>
      </c>
      <c r="H1963" s="14" t="n">
        <v>423849.8438364066</v>
      </c>
      <c r="I1963" s="14" t="n">
        <v>258326.3023637659</v>
      </c>
      <c r="J1963" s="14" t="n">
        <v>0</v>
      </c>
      <c r="K1963" s="14" t="n">
        <v>111595.7677172492</v>
      </c>
      <c r="L1963" s="14" t="n">
        <v>206990.0308100981</v>
      </c>
      <c r="M1963" s="14" t="n">
        <v>0</v>
      </c>
      <c r="N1963" s="14" t="n">
        <v>504584.9818378523</v>
      </c>
      <c r="O1963" s="14" t="n">
        <v>772580.6823504877</v>
      </c>
      <c r="P1963" s="14" t="n">
        <v>83598.33539677039</v>
      </c>
      <c r="Q1963" s="14" t="n">
        <v>5891461.870803146</v>
      </c>
      <c r="R1963" s="15">
        <f>IF(D1963=1,"Section 1","Control")</f>
        <v/>
      </c>
      <c r="S1963" s="16">
        <f>N1963/10000</f>
        <v/>
      </c>
      <c r="T1963" s="16">
        <f>P1963/10000</f>
        <v/>
      </c>
      <c r="U1963" s="15">
        <f>IF(N1963&gt;=Summary!$D$3,1,0)</f>
        <v/>
      </c>
      <c r="V1963" s="17">
        <f>IF(N1963&gt;0,P1963/N1963,"")</f>
        <v/>
      </c>
      <c r="W1963" s="17">
        <f>IF(O1963&gt;0,H1963/O1963,"")</f>
        <v/>
      </c>
    </row>
    <row r="1964">
      <c r="A1964" s="13" t="inlineStr">
        <is>
          <t>CE24_B1</t>
        </is>
      </c>
      <c r="B1964" s="13" t="inlineStr">
        <is>
          <t>CE24</t>
        </is>
      </c>
      <c r="C1964" s="13" t="inlineStr">
        <is>
          <t>B1</t>
        </is>
      </c>
      <c r="D1964" s="13" t="n">
        <v>0</v>
      </c>
      <c r="E1964" s="13" t="inlineStr">
        <is>
          <t>E</t>
        </is>
      </c>
      <c r="F1964" s="13" t="n">
        <v>2022</v>
      </c>
      <c r="G1964" s="14" t="n">
        <v>1000761.94472752</v>
      </c>
      <c r="H1964" s="14" t="n">
        <v>441373.5114757464</v>
      </c>
      <c r="I1964" s="14" t="n">
        <v>232866.4080725277</v>
      </c>
      <c r="J1964" s="14" t="n">
        <v>0</v>
      </c>
      <c r="K1964" s="14" t="n">
        <v>98137.49037568337</v>
      </c>
      <c r="L1964" s="14" t="n">
        <v>228384.5348035625</v>
      </c>
      <c r="M1964" s="14" t="n">
        <v>0</v>
      </c>
      <c r="N1964" s="14" t="n">
        <v>504584.9818378523</v>
      </c>
      <c r="O1964" s="14" t="n">
        <v>772580.6823504877</v>
      </c>
      <c r="P1964" s="14" t="n">
        <v>81322.16559484146</v>
      </c>
      <c r="Q1964" s="14" t="n">
        <v>5891461.870803145</v>
      </c>
      <c r="R1964" s="15">
        <f>IF(D1964=1,"Section 1","Control")</f>
        <v/>
      </c>
      <c r="S1964" s="16">
        <f>N1964/10000</f>
        <v/>
      </c>
      <c r="T1964" s="16">
        <f>P1964/10000</f>
        <v/>
      </c>
      <c r="U1964" s="15">
        <f>IF(N1964&gt;=Summary!$D$3,1,0)</f>
        <v/>
      </c>
      <c r="V1964" s="17">
        <f>IF(N1964&gt;0,P1964/N1964,"")</f>
        <v/>
      </c>
      <c r="W1964" s="17">
        <f>IF(O1964&gt;0,H1964/O1964,"")</f>
        <v/>
      </c>
    </row>
    <row r="1965">
      <c r="A1965" s="13" t="inlineStr">
        <is>
          <t>CE24_B1</t>
        </is>
      </c>
      <c r="B1965" s="13" t="inlineStr">
        <is>
          <t>CE24</t>
        </is>
      </c>
      <c r="C1965" s="13" t="inlineStr">
        <is>
          <t>B1</t>
        </is>
      </c>
      <c r="D1965" s="13" t="n">
        <v>0</v>
      </c>
      <c r="E1965" s="13" t="inlineStr">
        <is>
          <t>E</t>
        </is>
      </c>
      <c r="F1965" s="13" t="n">
        <v>2023</v>
      </c>
      <c r="G1965" s="14" t="n">
        <v>1000761.94472752</v>
      </c>
      <c r="H1965" s="14" t="n">
        <v>395379.5171010037</v>
      </c>
      <c r="I1965" s="14" t="n">
        <v>264023.9256571451</v>
      </c>
      <c r="J1965" s="14" t="n">
        <v>0</v>
      </c>
      <c r="K1965" s="14" t="n">
        <v>92116.5120314355</v>
      </c>
      <c r="L1965" s="14" t="n">
        <v>249241.9899379356</v>
      </c>
      <c r="M1965" s="14" t="n">
        <v>0</v>
      </c>
      <c r="N1965" s="14" t="n">
        <v>504584.9818378523</v>
      </c>
      <c r="O1965" s="14" t="n">
        <v>772580.6823504877</v>
      </c>
      <c r="P1965" s="14" t="n">
        <v>125662.5649817373</v>
      </c>
      <c r="Q1965" s="14" t="n">
        <v>5891461.870803145</v>
      </c>
      <c r="R1965" s="15">
        <f>IF(D1965=1,"Section 1","Control")</f>
        <v/>
      </c>
      <c r="S1965" s="16">
        <f>N1965/10000</f>
        <v/>
      </c>
      <c r="T1965" s="16">
        <f>P1965/10000</f>
        <v/>
      </c>
      <c r="U1965" s="15">
        <f>IF(N1965&gt;=Summary!$D$3,1,0)</f>
        <v/>
      </c>
      <c r="V1965" s="17">
        <f>IF(N1965&gt;0,P1965/N1965,"")</f>
        <v/>
      </c>
      <c r="W1965" s="17">
        <f>IF(O1965&gt;0,H1965/O1965,"")</f>
        <v/>
      </c>
    </row>
    <row r="1966">
      <c r="A1966" s="13" t="inlineStr">
        <is>
          <t>CE24_B1</t>
        </is>
      </c>
      <c r="B1966" s="13" t="inlineStr">
        <is>
          <t>CE24</t>
        </is>
      </c>
      <c r="C1966" s="13" t="inlineStr">
        <is>
          <t>B1</t>
        </is>
      </c>
      <c r="D1966" s="13" t="n">
        <v>0</v>
      </c>
      <c r="E1966" s="13" t="inlineStr">
        <is>
          <t>E</t>
        </is>
      </c>
      <c r="F1966" s="13" t="n">
        <v>2024</v>
      </c>
      <c r="G1966" s="14" t="n">
        <v>1000761.94472752</v>
      </c>
      <c r="H1966" s="14" t="n">
        <v>410218.8022313137</v>
      </c>
      <c r="I1966" s="14" t="n">
        <v>277293.2354192397</v>
      </c>
      <c r="J1966" s="14" t="n">
        <v>0</v>
      </c>
      <c r="K1966" s="14" t="n">
        <v>91216.70085658654</v>
      </c>
      <c r="L1966" s="14" t="n">
        <v>222033.20622038</v>
      </c>
      <c r="M1966" s="14" t="n">
        <v>0</v>
      </c>
      <c r="N1966" s="14" t="n">
        <v>504584.9818378523</v>
      </c>
      <c r="O1966" s="14" t="n">
        <v>772580.6823504877</v>
      </c>
      <c r="P1966" s="14" t="n">
        <v>119717.5440725289</v>
      </c>
      <c r="Q1966" s="14" t="n">
        <v>5891461.870803145</v>
      </c>
      <c r="R1966" s="15">
        <f>IF(D1966=1,"Section 1","Control")</f>
        <v/>
      </c>
      <c r="S1966" s="16">
        <f>N1966/10000</f>
        <v/>
      </c>
      <c r="T1966" s="16">
        <f>P1966/10000</f>
        <v/>
      </c>
      <c r="U1966" s="15">
        <f>IF(N1966&gt;=Summary!$D$3,1,0)</f>
        <v/>
      </c>
      <c r="V1966" s="17">
        <f>IF(N1966&gt;0,P1966/N1966,"")</f>
        <v/>
      </c>
      <c r="W1966" s="17">
        <f>IF(O1966&gt;0,H1966/O1966,"")</f>
        <v/>
      </c>
    </row>
    <row r="1967">
      <c r="A1967" s="13" t="inlineStr">
        <is>
          <t>CE24_B1</t>
        </is>
      </c>
      <c r="B1967" s="13" t="inlineStr">
        <is>
          <t>CE24</t>
        </is>
      </c>
      <c r="C1967" s="13" t="inlineStr">
        <is>
          <t>B1</t>
        </is>
      </c>
      <c r="D1967" s="13" t="n">
        <v>0</v>
      </c>
      <c r="E1967" s="13" t="inlineStr">
        <is>
          <t>E</t>
        </is>
      </c>
      <c r="F1967" s="13" t="n">
        <v>2025</v>
      </c>
      <c r="G1967" s="14" t="n">
        <v>1000761.94472752</v>
      </c>
      <c r="H1967" s="14" t="n">
        <v>370372.7278427124</v>
      </c>
      <c r="I1967" s="14" t="n">
        <v>310346.9251385857</v>
      </c>
      <c r="J1967" s="14" t="n">
        <v>0</v>
      </c>
      <c r="K1967" s="14" t="n">
        <v>75250.95438331156</v>
      </c>
      <c r="L1967" s="14" t="n">
        <v>244791.3373629102</v>
      </c>
      <c r="M1967" s="14" t="n">
        <v>0</v>
      </c>
      <c r="N1967" s="14" t="n">
        <v>504584.9818378523</v>
      </c>
      <c r="O1967" s="14" t="n">
        <v>772580.6823504877</v>
      </c>
      <c r="P1967" s="14" t="n">
        <v>151482.4282665776</v>
      </c>
      <c r="Q1967" s="14" t="n">
        <v>5891461.870803145</v>
      </c>
      <c r="R1967" s="15">
        <f>IF(D1967=1,"Section 1","Control")</f>
        <v/>
      </c>
      <c r="S1967" s="16">
        <f>N1967/10000</f>
        <v/>
      </c>
      <c r="T1967" s="16">
        <f>P1967/10000</f>
        <v/>
      </c>
      <c r="U1967" s="15">
        <f>IF(N1967&gt;=Summary!$D$3,1,0)</f>
        <v/>
      </c>
      <c r="V1967" s="17">
        <f>IF(N1967&gt;0,P1967/N1967,"")</f>
        <v/>
      </c>
      <c r="W1967" s="17">
        <f>IF(O1967&gt;0,H1967/O1967,"")</f>
        <v/>
      </c>
    </row>
    <row r="1968">
      <c r="A1968" s="13" t="inlineStr">
        <is>
          <t>CE24_B1</t>
        </is>
      </c>
      <c r="B1968" s="13" t="inlineStr">
        <is>
          <t>CE24</t>
        </is>
      </c>
      <c r="C1968" s="13" t="inlineStr">
        <is>
          <t>B1</t>
        </is>
      </c>
      <c r="D1968" s="13" t="n">
        <v>0</v>
      </c>
      <c r="E1968" s="13" t="inlineStr">
        <is>
          <t>E</t>
        </is>
      </c>
      <c r="F1968" s="13" t="n">
        <v>2026</v>
      </c>
      <c r="G1968" s="14" t="n">
        <v>1000761.94472752</v>
      </c>
      <c r="H1968" s="14" t="n">
        <v>437499.454764153</v>
      </c>
      <c r="I1968" s="14" t="n">
        <v>215348.1606563493</v>
      </c>
      <c r="J1968" s="14" t="n">
        <v>0</v>
      </c>
      <c r="K1968" s="14" t="n">
        <v>125677.8513620115</v>
      </c>
      <c r="L1968" s="14" t="n">
        <v>222236.4779450061</v>
      </c>
      <c r="M1968" s="14" t="n">
        <v>0</v>
      </c>
      <c r="N1968" s="14" t="n">
        <v>504584.9818378523</v>
      </c>
      <c r="O1968" s="14" t="n">
        <v>772580.6823504877</v>
      </c>
      <c r="P1968" s="14" t="n">
        <v>104816.1700338027</v>
      </c>
      <c r="Q1968" s="14" t="n">
        <v>5891461.870803145</v>
      </c>
      <c r="R1968" s="15">
        <f>IF(D1968=1,"Section 1","Control")</f>
        <v/>
      </c>
      <c r="S1968" s="16">
        <f>N1968/10000</f>
        <v/>
      </c>
      <c r="T1968" s="16">
        <f>P1968/10000</f>
        <v/>
      </c>
      <c r="U1968" s="15">
        <f>IF(N1968&gt;=Summary!$D$3,1,0)</f>
        <v/>
      </c>
      <c r="V1968" s="17">
        <f>IF(N1968&gt;0,P1968/N1968,"")</f>
        <v/>
      </c>
      <c r="W1968" s="17">
        <f>IF(O1968&gt;0,H1968/O1968,"")</f>
        <v/>
      </c>
    </row>
    <row r="1969">
      <c r="A1969" s="13" t="inlineStr">
        <is>
          <t>CE24_B2</t>
        </is>
      </c>
      <c r="B1969" s="13" t="inlineStr">
        <is>
          <t>CE24</t>
        </is>
      </c>
      <c r="C1969" s="13" t="inlineStr">
        <is>
          <t>B2</t>
        </is>
      </c>
      <c r="D1969" s="13" t="n">
        <v>0</v>
      </c>
      <c r="E1969" s="13" t="inlineStr">
        <is>
          <t>E</t>
        </is>
      </c>
      <c r="F1969" s="13" t="n">
        <v>2020</v>
      </c>
      <c r="G1969" s="14" t="n">
        <v>1000505.242881745</v>
      </c>
      <c r="H1969" s="14" t="n">
        <v>30496.59082279579</v>
      </c>
      <c r="I1969" s="14" t="n">
        <v>456543.9642385145</v>
      </c>
      <c r="J1969" s="14" t="n">
        <v>0</v>
      </c>
      <c r="K1969" s="14" t="n">
        <v>13131.00868988037</v>
      </c>
      <c r="L1969" s="14" t="n">
        <v>500333.6791305541</v>
      </c>
      <c r="M1969" s="14" t="n">
        <v>0</v>
      </c>
      <c r="N1969" s="14" t="n">
        <v>30496.59082279579</v>
      </c>
      <c r="O1969" s="14" t="n">
        <v>500171.5637511909</v>
      </c>
      <c r="P1969" s="14" t="n">
        <v>0</v>
      </c>
      <c r="Q1969" s="14" t="n">
        <v>3275561.091967384</v>
      </c>
      <c r="R1969" s="15">
        <f>IF(D1969=1,"Section 1","Control")</f>
        <v/>
      </c>
      <c r="S1969" s="16">
        <f>N1969/10000</f>
        <v/>
      </c>
      <c r="T1969" s="16">
        <f>P1969/10000</f>
        <v/>
      </c>
      <c r="U1969" s="15">
        <f>IF(N1969&gt;=Summary!$D$3,1,0)</f>
        <v/>
      </c>
      <c r="V1969" s="17">
        <f>IF(N1969&gt;0,P1969/N1969,"")</f>
        <v/>
      </c>
      <c r="W1969" s="17">
        <f>IF(O1969&gt;0,H1969/O1969,"")</f>
        <v/>
      </c>
    </row>
    <row r="1970">
      <c r="A1970" s="13" t="inlineStr">
        <is>
          <t>CE24_B2</t>
        </is>
      </c>
      <c r="B1970" s="13" t="inlineStr">
        <is>
          <t>CE24</t>
        </is>
      </c>
      <c r="C1970" s="13" t="inlineStr">
        <is>
          <t>B2</t>
        </is>
      </c>
      <c r="D1970" s="13" t="n">
        <v>0</v>
      </c>
      <c r="E1970" s="13" t="inlineStr">
        <is>
          <t>E</t>
        </is>
      </c>
      <c r="F1970" s="13" t="n">
        <v>2021</v>
      </c>
      <c r="G1970" s="14" t="n">
        <v>1000505.242881745</v>
      </c>
      <c r="H1970" s="14" t="n">
        <v>9502.062145307951</v>
      </c>
      <c r="I1970" s="14" t="n">
        <v>308744.1614530975</v>
      </c>
      <c r="J1970" s="14" t="n">
        <v>0</v>
      </c>
      <c r="K1970" s="14" t="n">
        <v>181925.3401527854</v>
      </c>
      <c r="L1970" s="14" t="n">
        <v>500333.6791305541</v>
      </c>
      <c r="M1970" s="14" t="n">
        <v>0</v>
      </c>
      <c r="N1970" s="14" t="n">
        <v>30496.5908227958</v>
      </c>
      <c r="O1970" s="14" t="n">
        <v>500171.5637511909</v>
      </c>
      <c r="P1970" s="14" t="n">
        <v>21586.90668346929</v>
      </c>
      <c r="Q1970" s="14" t="n">
        <v>3275561.091967384</v>
      </c>
      <c r="R1970" s="15">
        <f>IF(D1970=1,"Section 1","Control")</f>
        <v/>
      </c>
      <c r="S1970" s="16">
        <f>N1970/10000</f>
        <v/>
      </c>
      <c r="T1970" s="16">
        <f>P1970/10000</f>
        <v/>
      </c>
      <c r="U1970" s="15">
        <f>IF(N1970&gt;=Summary!$D$3,1,0)</f>
        <v/>
      </c>
      <c r="V1970" s="17">
        <f>IF(N1970&gt;0,P1970/N1970,"")</f>
        <v/>
      </c>
      <c r="W1970" s="17">
        <f>IF(O1970&gt;0,H1970/O1970,"")</f>
        <v/>
      </c>
    </row>
    <row r="1971">
      <c r="A1971" s="13" t="inlineStr">
        <is>
          <t>CE24_B2</t>
        </is>
      </c>
      <c r="B1971" s="13" t="inlineStr">
        <is>
          <t>CE24</t>
        </is>
      </c>
      <c r="C1971" s="13" t="inlineStr">
        <is>
          <t>B2</t>
        </is>
      </c>
      <c r="D1971" s="13" t="n">
        <v>0</v>
      </c>
      <c r="E1971" s="13" t="inlineStr">
        <is>
          <t>E</t>
        </is>
      </c>
      <c r="F1971" s="13" t="n">
        <v>2022</v>
      </c>
      <c r="G1971" s="14" t="n">
        <v>1000505.242881745</v>
      </c>
      <c r="H1971" s="14" t="n">
        <v>12798.47514672373</v>
      </c>
      <c r="I1971" s="14" t="n">
        <v>446461.1991492477</v>
      </c>
      <c r="J1971" s="14" t="n">
        <v>0</v>
      </c>
      <c r="K1971" s="14" t="n">
        <v>40911.88945521935</v>
      </c>
      <c r="L1971" s="14" t="n">
        <v>500333.6791305541</v>
      </c>
      <c r="M1971" s="14" t="n">
        <v>0</v>
      </c>
      <c r="N1971" s="14" t="n">
        <v>30496.5908227958</v>
      </c>
      <c r="O1971" s="14" t="n">
        <v>500171.5637511909</v>
      </c>
      <c r="P1971" s="14" t="n">
        <v>20293.74047010833</v>
      </c>
      <c r="Q1971" s="14" t="n">
        <v>3275561.091967384</v>
      </c>
      <c r="R1971" s="15">
        <f>IF(D1971=1,"Section 1","Control")</f>
        <v/>
      </c>
      <c r="S1971" s="16">
        <f>N1971/10000</f>
        <v/>
      </c>
      <c r="T1971" s="16">
        <f>P1971/10000</f>
        <v/>
      </c>
      <c r="U1971" s="15">
        <f>IF(N1971&gt;=Summary!$D$3,1,0)</f>
        <v/>
      </c>
      <c r="V1971" s="17">
        <f>IF(N1971&gt;0,P1971/N1971,"")</f>
        <v/>
      </c>
      <c r="W1971" s="17">
        <f>IF(O1971&gt;0,H1971/O1971,"")</f>
        <v/>
      </c>
    </row>
    <row r="1972">
      <c r="A1972" s="13" t="inlineStr">
        <is>
          <t>CE24_B2</t>
        </is>
      </c>
      <c r="B1972" s="13" t="inlineStr">
        <is>
          <t>CE24</t>
        </is>
      </c>
      <c r="C1972" s="13" t="inlineStr">
        <is>
          <t>B2</t>
        </is>
      </c>
      <c r="D1972" s="13" t="n">
        <v>0</v>
      </c>
      <c r="E1972" s="13" t="inlineStr">
        <is>
          <t>E</t>
        </is>
      </c>
      <c r="F1972" s="13" t="n">
        <v>2023</v>
      </c>
      <c r="G1972" s="14" t="n">
        <v>1000505.242881745</v>
      </c>
      <c r="H1972" s="14" t="n">
        <v>12994.36681686102</v>
      </c>
      <c r="I1972" s="14" t="n">
        <v>447080.2782295376</v>
      </c>
      <c r="J1972" s="14" t="n">
        <v>0</v>
      </c>
      <c r="K1972" s="14" t="n">
        <v>40096.91870479209</v>
      </c>
      <c r="L1972" s="14" t="n">
        <v>500333.6791305541</v>
      </c>
      <c r="M1972" s="14" t="n">
        <v>0</v>
      </c>
      <c r="N1972" s="14" t="n">
        <v>30496.59082279579</v>
      </c>
      <c r="O1972" s="14" t="n">
        <v>500171.5637511909</v>
      </c>
      <c r="P1972" s="14" t="n">
        <v>21056.48358082491</v>
      </c>
      <c r="Q1972" s="14" t="n">
        <v>3275561.091967384</v>
      </c>
      <c r="R1972" s="15">
        <f>IF(D1972=1,"Section 1","Control")</f>
        <v/>
      </c>
      <c r="S1972" s="16">
        <f>N1972/10000</f>
        <v/>
      </c>
      <c r="T1972" s="16">
        <f>P1972/10000</f>
        <v/>
      </c>
      <c r="U1972" s="15">
        <f>IF(N1972&gt;=Summary!$D$3,1,0)</f>
        <v/>
      </c>
      <c r="V1972" s="17">
        <f>IF(N1972&gt;0,P1972/N1972,"")</f>
        <v/>
      </c>
      <c r="W1972" s="17">
        <f>IF(O1972&gt;0,H1972/O1972,"")</f>
        <v/>
      </c>
    </row>
    <row r="1973">
      <c r="A1973" s="13" t="inlineStr">
        <is>
          <t>CE24_B2</t>
        </is>
      </c>
      <c r="B1973" s="13" t="inlineStr">
        <is>
          <t>CE24</t>
        </is>
      </c>
      <c r="C1973" s="13" t="inlineStr">
        <is>
          <t>B2</t>
        </is>
      </c>
      <c r="D1973" s="13" t="n">
        <v>0</v>
      </c>
      <c r="E1973" s="13" t="inlineStr">
        <is>
          <t>E</t>
        </is>
      </c>
      <c r="F1973" s="13" t="n">
        <v>2024</v>
      </c>
      <c r="G1973" s="14" t="n">
        <v>1000505.242881745</v>
      </c>
      <c r="H1973" s="14" t="n">
        <v>24505.06497120577</v>
      </c>
      <c r="I1973" s="14" t="n">
        <v>467469.2464892518</v>
      </c>
      <c r="J1973" s="14" t="n">
        <v>0</v>
      </c>
      <c r="K1973" s="14" t="n">
        <v>8197.252290733188</v>
      </c>
      <c r="L1973" s="14" t="n">
        <v>500333.6791305541</v>
      </c>
      <c r="M1973" s="14" t="n">
        <v>0</v>
      </c>
      <c r="N1973" s="14" t="n">
        <v>30496.59082279579</v>
      </c>
      <c r="O1973" s="14" t="n">
        <v>500171.5637511909</v>
      </c>
      <c r="P1973" s="14" t="n">
        <v>15726.63807869705</v>
      </c>
      <c r="Q1973" s="14" t="n">
        <v>3275561.091967384</v>
      </c>
      <c r="R1973" s="15">
        <f>IF(D1973=1,"Section 1","Control")</f>
        <v/>
      </c>
      <c r="S1973" s="16">
        <f>N1973/10000</f>
        <v/>
      </c>
      <c r="T1973" s="16">
        <f>P1973/10000</f>
        <v/>
      </c>
      <c r="U1973" s="15">
        <f>IF(N1973&gt;=Summary!$D$3,1,0)</f>
        <v/>
      </c>
      <c r="V1973" s="17">
        <f>IF(N1973&gt;0,P1973/N1973,"")</f>
        <v/>
      </c>
      <c r="W1973" s="17">
        <f>IF(O1973&gt;0,H1973/O1973,"")</f>
        <v/>
      </c>
    </row>
    <row r="1974">
      <c r="A1974" s="13" t="inlineStr">
        <is>
          <t>CE24_B2</t>
        </is>
      </c>
      <c r="B1974" s="13" t="inlineStr">
        <is>
          <t>CE24</t>
        </is>
      </c>
      <c r="C1974" s="13" t="inlineStr">
        <is>
          <t>B2</t>
        </is>
      </c>
      <c r="D1974" s="13" t="n">
        <v>0</v>
      </c>
      <c r="E1974" s="13" t="inlineStr">
        <is>
          <t>E</t>
        </is>
      </c>
      <c r="F1974" s="13" t="n">
        <v>2025</v>
      </c>
      <c r="G1974" s="14" t="n">
        <v>1000505.242881745</v>
      </c>
      <c r="H1974" s="14" t="n">
        <v>63684.66872076896</v>
      </c>
      <c r="I1974" s="14" t="n">
        <v>431924.0427282296</v>
      </c>
      <c r="J1974" s="14" t="n">
        <v>0</v>
      </c>
      <c r="K1974" s="14" t="n">
        <v>4562.852302192239</v>
      </c>
      <c r="L1974" s="14" t="n">
        <v>500333.6791305541</v>
      </c>
      <c r="M1974" s="14" t="n">
        <v>0</v>
      </c>
      <c r="N1974" s="14" t="n">
        <v>30496.5908227958</v>
      </c>
      <c r="O1974" s="14" t="n">
        <v>500171.5637511909</v>
      </c>
      <c r="P1974" s="14" t="n">
        <v>14991.79519111783</v>
      </c>
      <c r="Q1974" s="14" t="n">
        <v>3275561.091967384</v>
      </c>
      <c r="R1974" s="15">
        <f>IF(D1974=1,"Section 1","Control")</f>
        <v/>
      </c>
      <c r="S1974" s="16">
        <f>N1974/10000</f>
        <v/>
      </c>
      <c r="T1974" s="16">
        <f>P1974/10000</f>
        <v/>
      </c>
      <c r="U1974" s="15">
        <f>IF(N1974&gt;=Summary!$D$3,1,0)</f>
        <v/>
      </c>
      <c r="V1974" s="17">
        <f>IF(N1974&gt;0,P1974/N1974,"")</f>
        <v/>
      </c>
      <c r="W1974" s="17">
        <f>IF(O1974&gt;0,H1974/O1974,"")</f>
        <v/>
      </c>
    </row>
    <row r="1975">
      <c r="A1975" s="13" t="inlineStr">
        <is>
          <t>CE24_B2</t>
        </is>
      </c>
      <c r="B1975" s="13" t="inlineStr">
        <is>
          <t>CE24</t>
        </is>
      </c>
      <c r="C1975" s="13" t="inlineStr">
        <is>
          <t>B2</t>
        </is>
      </c>
      <c r="D1975" s="13" t="n">
        <v>0</v>
      </c>
      <c r="E1975" s="13" t="inlineStr">
        <is>
          <t>E</t>
        </is>
      </c>
      <c r="F1975" s="13" t="n">
        <v>2026</v>
      </c>
      <c r="G1975" s="14" t="n">
        <v>1000505.242881745</v>
      </c>
      <c r="H1975" s="14" t="n">
        <v>53164.09579360064</v>
      </c>
      <c r="I1975" s="14" t="n">
        <v>397255.9784320907</v>
      </c>
      <c r="J1975" s="14" t="n">
        <v>0</v>
      </c>
      <c r="K1975" s="14" t="n">
        <v>49751.48952549953</v>
      </c>
      <c r="L1975" s="14" t="n">
        <v>500333.6791305541</v>
      </c>
      <c r="M1975" s="14" t="n">
        <v>0</v>
      </c>
      <c r="N1975" s="14" t="n">
        <v>30496.59082279579</v>
      </c>
      <c r="O1975" s="14" t="n">
        <v>500171.5637511909</v>
      </c>
      <c r="P1975" s="14" t="n">
        <v>12141.01417361989</v>
      </c>
      <c r="Q1975" s="14" t="n">
        <v>3275561.091967384</v>
      </c>
      <c r="R1975" s="15">
        <f>IF(D1975=1,"Section 1","Control")</f>
        <v/>
      </c>
      <c r="S1975" s="16">
        <f>N1975/10000</f>
        <v/>
      </c>
      <c r="T1975" s="16">
        <f>P1975/10000</f>
        <v/>
      </c>
      <c r="U1975" s="15">
        <f>IF(N1975&gt;=Summary!$D$3,1,0)</f>
        <v/>
      </c>
      <c r="V1975" s="17">
        <f>IF(N1975&gt;0,P1975/N1975,"")</f>
        <v/>
      </c>
      <c r="W1975" s="17">
        <f>IF(O1975&gt;0,H1975/O1975,"")</f>
        <v/>
      </c>
    </row>
    <row r="1976">
      <c r="A1976" s="13" t="inlineStr">
        <is>
          <t>CE24_B3</t>
        </is>
      </c>
      <c r="B1976" s="13" t="inlineStr">
        <is>
          <t>CE24</t>
        </is>
      </c>
      <c r="C1976" s="13" t="inlineStr">
        <is>
          <t>B3</t>
        </is>
      </c>
      <c r="D1976" s="13" t="n">
        <v>0</v>
      </c>
      <c r="E1976" s="13" t="inlineStr">
        <is>
          <t>E</t>
        </is>
      </c>
      <c r="F1976" s="13" t="n">
        <v>2020</v>
      </c>
      <c r="G1976" s="14" t="n">
        <v>8003840.75756426</v>
      </c>
      <c r="H1976" s="14" t="n">
        <v>2609541.386339016</v>
      </c>
      <c r="I1976" s="14" t="n">
        <v>736166.7756603466</v>
      </c>
      <c r="J1976" s="14" t="n">
        <v>0</v>
      </c>
      <c r="K1976" s="14" t="n">
        <v>94549.35946745033</v>
      </c>
      <c r="L1976" s="14" t="n">
        <v>4563583.236097449</v>
      </c>
      <c r="M1976" s="14" t="n">
        <v>0</v>
      </c>
      <c r="N1976" s="14" t="n">
        <v>2609541.386339016</v>
      </c>
      <c r="O1976" s="14" t="n">
        <v>3440257.521466812</v>
      </c>
      <c r="P1976" s="14" t="n">
        <v>0</v>
      </c>
      <c r="Q1976" s="14" t="n">
        <v>24446423.06674305</v>
      </c>
      <c r="R1976" s="15">
        <f>IF(D1976=1,"Section 1","Control")</f>
        <v/>
      </c>
      <c r="S1976" s="16">
        <f>N1976/10000</f>
        <v/>
      </c>
      <c r="T1976" s="16">
        <f>P1976/10000</f>
        <v/>
      </c>
      <c r="U1976" s="15">
        <f>IF(N1976&gt;=Summary!$D$3,1,0)</f>
        <v/>
      </c>
      <c r="V1976" s="17">
        <f>IF(N1976&gt;0,P1976/N1976,"")</f>
        <v/>
      </c>
      <c r="W1976" s="17">
        <f>IF(O1976&gt;0,H1976/O1976,"")</f>
        <v/>
      </c>
    </row>
    <row r="1977">
      <c r="A1977" s="13" t="inlineStr">
        <is>
          <t>CE24_B3</t>
        </is>
      </c>
      <c r="B1977" s="13" t="inlineStr">
        <is>
          <t>CE24</t>
        </is>
      </c>
      <c r="C1977" s="13" t="inlineStr">
        <is>
          <t>B3</t>
        </is>
      </c>
      <c r="D1977" s="13" t="n">
        <v>0</v>
      </c>
      <c r="E1977" s="13" t="inlineStr">
        <is>
          <t>E</t>
        </is>
      </c>
      <c r="F1977" s="13" t="n">
        <v>2021</v>
      </c>
      <c r="G1977" s="14" t="n">
        <v>8003840.75756426</v>
      </c>
      <c r="H1977" s="14" t="n">
        <v>2471134.084812419</v>
      </c>
      <c r="I1977" s="14" t="n">
        <v>425061.2975521611</v>
      </c>
      <c r="J1977" s="14" t="n">
        <v>0</v>
      </c>
      <c r="K1977" s="14" t="n">
        <v>639766.915038195</v>
      </c>
      <c r="L1977" s="14" t="n">
        <v>4467878.460161485</v>
      </c>
      <c r="M1977" s="14" t="n">
        <v>0</v>
      </c>
      <c r="N1977" s="14" t="n">
        <v>2609541.386339016</v>
      </c>
      <c r="O1977" s="14" t="n">
        <v>3440257.521466812</v>
      </c>
      <c r="P1977" s="14" t="n">
        <v>145120.6765342263</v>
      </c>
      <c r="Q1977" s="14" t="n">
        <v>24446423.06674305</v>
      </c>
      <c r="R1977" s="15">
        <f>IF(D1977=1,"Section 1","Control")</f>
        <v/>
      </c>
      <c r="S1977" s="16">
        <f>N1977/10000</f>
        <v/>
      </c>
      <c r="T1977" s="16">
        <f>P1977/10000</f>
        <v/>
      </c>
      <c r="U1977" s="15">
        <f>IF(N1977&gt;=Summary!$D$3,1,0)</f>
        <v/>
      </c>
      <c r="V1977" s="17">
        <f>IF(N1977&gt;0,P1977/N1977,"")</f>
        <v/>
      </c>
      <c r="W1977" s="17">
        <f>IF(O1977&gt;0,H1977/O1977,"")</f>
        <v/>
      </c>
    </row>
    <row r="1978">
      <c r="A1978" s="13" t="inlineStr">
        <is>
          <t>CE24_B3</t>
        </is>
      </c>
      <c r="B1978" s="13" t="inlineStr">
        <is>
          <t>CE24</t>
        </is>
      </c>
      <c r="C1978" s="13" t="inlineStr">
        <is>
          <t>B3</t>
        </is>
      </c>
      <c r="D1978" s="13" t="n">
        <v>0</v>
      </c>
      <c r="E1978" s="13" t="inlineStr">
        <is>
          <t>E</t>
        </is>
      </c>
      <c r="F1978" s="13" t="n">
        <v>2022</v>
      </c>
      <c r="G1978" s="14" t="n">
        <v>8003840.75756426</v>
      </c>
      <c r="H1978" s="14" t="n">
        <v>2488722.859771908</v>
      </c>
      <c r="I1978" s="14" t="n">
        <v>655572.2692896824</v>
      </c>
      <c r="J1978" s="14" t="n">
        <v>0</v>
      </c>
      <c r="K1978" s="14" t="n">
        <v>386067.2767766916</v>
      </c>
      <c r="L1978" s="14" t="n">
        <v>4473478.351725978</v>
      </c>
      <c r="M1978" s="14" t="n">
        <v>0</v>
      </c>
      <c r="N1978" s="14" t="n">
        <v>2609541.386339016</v>
      </c>
      <c r="O1978" s="14" t="n">
        <v>3440257.521466812</v>
      </c>
      <c r="P1978" s="14" t="n">
        <v>133569.0303590064</v>
      </c>
      <c r="Q1978" s="14" t="n">
        <v>24446423.06674305</v>
      </c>
      <c r="R1978" s="15">
        <f>IF(D1978=1,"Section 1","Control")</f>
        <v/>
      </c>
      <c r="S1978" s="16">
        <f>N1978/10000</f>
        <v/>
      </c>
      <c r="T1978" s="16">
        <f>P1978/10000</f>
        <v/>
      </c>
      <c r="U1978" s="15">
        <f>IF(N1978&gt;=Summary!$D$3,1,0)</f>
        <v/>
      </c>
      <c r="V1978" s="17">
        <f>IF(N1978&gt;0,P1978/N1978,"")</f>
        <v/>
      </c>
      <c r="W1978" s="17">
        <f>IF(O1978&gt;0,H1978/O1978,"")</f>
        <v/>
      </c>
    </row>
    <row r="1979">
      <c r="A1979" s="13" t="inlineStr">
        <is>
          <t>CE24_B3</t>
        </is>
      </c>
      <c r="B1979" s="13" t="inlineStr">
        <is>
          <t>CE24</t>
        </is>
      </c>
      <c r="C1979" s="13" t="inlineStr">
        <is>
          <t>B3</t>
        </is>
      </c>
      <c r="D1979" s="13" t="n">
        <v>0</v>
      </c>
      <c r="E1979" s="13" t="inlineStr">
        <is>
          <t>E</t>
        </is>
      </c>
      <c r="F1979" s="13" t="n">
        <v>2023</v>
      </c>
      <c r="G1979" s="14" t="n">
        <v>8003840.75756426</v>
      </c>
      <c r="H1979" s="14" t="n">
        <v>2482045.279985345</v>
      </c>
      <c r="I1979" s="14" t="n">
        <v>734229.7764312744</v>
      </c>
      <c r="J1979" s="14" t="n">
        <v>0</v>
      </c>
      <c r="K1979" s="14" t="n">
        <v>224436.6757858576</v>
      </c>
      <c r="L1979" s="14" t="n">
        <v>4563129.025361782</v>
      </c>
      <c r="M1979" s="14" t="n">
        <v>0</v>
      </c>
      <c r="N1979" s="14" t="n">
        <v>2609541.386339016</v>
      </c>
      <c r="O1979" s="14" t="n">
        <v>3440257.521466812</v>
      </c>
      <c r="P1979" s="14" t="n">
        <v>137464.4208924537</v>
      </c>
      <c r="Q1979" s="14" t="n">
        <v>24446423.06674305</v>
      </c>
      <c r="R1979" s="15">
        <f>IF(D1979=1,"Section 1","Control")</f>
        <v/>
      </c>
      <c r="S1979" s="16">
        <f>N1979/10000</f>
        <v/>
      </c>
      <c r="T1979" s="16">
        <f>P1979/10000</f>
        <v/>
      </c>
      <c r="U1979" s="15">
        <f>IF(N1979&gt;=Summary!$D$3,1,0)</f>
        <v/>
      </c>
      <c r="V1979" s="17">
        <f>IF(N1979&gt;0,P1979/N1979,"")</f>
        <v/>
      </c>
      <c r="W1979" s="17">
        <f>IF(O1979&gt;0,H1979/O1979,"")</f>
        <v/>
      </c>
    </row>
    <row r="1980">
      <c r="A1980" s="13" t="inlineStr">
        <is>
          <t>CE24_B3</t>
        </is>
      </c>
      <c r="B1980" s="13" t="inlineStr">
        <is>
          <t>CE24</t>
        </is>
      </c>
      <c r="C1980" s="13" t="inlineStr">
        <is>
          <t>B3</t>
        </is>
      </c>
      <c r="D1980" s="13" t="n">
        <v>0</v>
      </c>
      <c r="E1980" s="13" t="inlineStr">
        <is>
          <t>E</t>
        </is>
      </c>
      <c r="F1980" s="13" t="n">
        <v>2024</v>
      </c>
      <c r="G1980" s="14" t="n">
        <v>8003840.75756426</v>
      </c>
      <c r="H1980" s="14" t="n">
        <v>2523044.943544245</v>
      </c>
      <c r="I1980" s="14" t="n">
        <v>707552.7578477748</v>
      </c>
      <c r="J1980" s="14" t="n">
        <v>0</v>
      </c>
      <c r="K1980" s="14" t="n">
        <v>242100.4332690071</v>
      </c>
      <c r="L1980" s="14" t="n">
        <v>4531142.622903232</v>
      </c>
      <c r="M1980" s="14" t="n">
        <v>0</v>
      </c>
      <c r="N1980" s="14" t="n">
        <v>2609541.386339016</v>
      </c>
      <c r="O1980" s="14" t="n">
        <v>3440257.521466812</v>
      </c>
      <c r="P1980" s="14" t="n">
        <v>118986.2705999636</v>
      </c>
      <c r="Q1980" s="14" t="n">
        <v>24446423.06674305</v>
      </c>
      <c r="R1980" s="15">
        <f>IF(D1980=1,"Section 1","Control")</f>
        <v/>
      </c>
      <c r="S1980" s="16">
        <f>N1980/10000</f>
        <v/>
      </c>
      <c r="T1980" s="16">
        <f>P1980/10000</f>
        <v/>
      </c>
      <c r="U1980" s="15">
        <f>IF(N1980&gt;=Summary!$D$3,1,0)</f>
        <v/>
      </c>
      <c r="V1980" s="17">
        <f>IF(N1980&gt;0,P1980/N1980,"")</f>
        <v/>
      </c>
      <c r="W1980" s="17">
        <f>IF(O1980&gt;0,H1980/O1980,"")</f>
        <v/>
      </c>
    </row>
    <row r="1981">
      <c r="A1981" s="13" t="inlineStr">
        <is>
          <t>CE24_B3</t>
        </is>
      </c>
      <c r="B1981" s="13" t="inlineStr">
        <is>
          <t>CE24</t>
        </is>
      </c>
      <c r="C1981" s="13" t="inlineStr">
        <is>
          <t>B3</t>
        </is>
      </c>
      <c r="D1981" s="13" t="n">
        <v>0</v>
      </c>
      <c r="E1981" s="13" t="inlineStr">
        <is>
          <t>E</t>
        </is>
      </c>
      <c r="F1981" s="13" t="n">
        <v>2025</v>
      </c>
      <c r="G1981" s="14" t="n">
        <v>8003840.75756426</v>
      </c>
      <c r="H1981" s="14" t="n">
        <v>2766849.800841477</v>
      </c>
      <c r="I1981" s="14" t="n">
        <v>448367.3313137278</v>
      </c>
      <c r="J1981" s="14" t="n">
        <v>0</v>
      </c>
      <c r="K1981" s="14" t="n">
        <v>232749.3016742183</v>
      </c>
      <c r="L1981" s="14" t="n">
        <v>4555874.323734838</v>
      </c>
      <c r="M1981" s="14" t="n">
        <v>0</v>
      </c>
      <c r="N1981" s="14" t="n">
        <v>2609541.386339016</v>
      </c>
      <c r="O1981" s="14" t="n">
        <v>3440257.521466812</v>
      </c>
      <c r="P1981" s="14" t="n">
        <v>114900.5285816267</v>
      </c>
      <c r="Q1981" s="14" t="n">
        <v>24446423.06674304</v>
      </c>
      <c r="R1981" s="15">
        <f>IF(D1981=1,"Section 1","Control")</f>
        <v/>
      </c>
      <c r="S1981" s="16">
        <f>N1981/10000</f>
        <v/>
      </c>
      <c r="T1981" s="16">
        <f>P1981/10000</f>
        <v/>
      </c>
      <c r="U1981" s="15">
        <f>IF(N1981&gt;=Summary!$D$3,1,0)</f>
        <v/>
      </c>
      <c r="V1981" s="17">
        <f>IF(N1981&gt;0,P1981/N1981,"")</f>
        <v/>
      </c>
      <c r="W1981" s="17">
        <f>IF(O1981&gt;0,H1981/O1981,"")</f>
        <v/>
      </c>
    </row>
    <row r="1982">
      <c r="A1982" s="13" t="inlineStr">
        <is>
          <t>CE24_B3</t>
        </is>
      </c>
      <c r="B1982" s="13" t="inlineStr">
        <is>
          <t>CE24</t>
        </is>
      </c>
      <c r="C1982" s="13" t="inlineStr">
        <is>
          <t>B3</t>
        </is>
      </c>
      <c r="D1982" s="13" t="n">
        <v>0</v>
      </c>
      <c r="E1982" s="13" t="inlineStr">
        <is>
          <t>E</t>
        </is>
      </c>
      <c r="F1982" s="13" t="n">
        <v>2026</v>
      </c>
      <c r="G1982" s="14" t="n">
        <v>8003840.757564261</v>
      </c>
      <c r="H1982" s="14" t="n">
        <v>2588420.795770084</v>
      </c>
      <c r="I1982" s="14" t="n">
        <v>564281.8372732425</v>
      </c>
      <c r="J1982" s="14" t="n">
        <v>0</v>
      </c>
      <c r="K1982" s="14" t="n">
        <v>314951.4525536631</v>
      </c>
      <c r="L1982" s="14" t="n">
        <v>4536186.671967271</v>
      </c>
      <c r="M1982" s="14" t="n">
        <v>0</v>
      </c>
      <c r="N1982" s="14" t="n">
        <v>2609541.386339016</v>
      </c>
      <c r="O1982" s="14" t="n">
        <v>3440257.521466812</v>
      </c>
      <c r="P1982" s="14" t="n">
        <v>97528.10535374064</v>
      </c>
      <c r="Q1982" s="14" t="n">
        <v>24446423.06674305</v>
      </c>
      <c r="R1982" s="15">
        <f>IF(D1982=1,"Section 1","Control")</f>
        <v/>
      </c>
      <c r="S1982" s="16">
        <f>N1982/10000</f>
        <v/>
      </c>
      <c r="T1982" s="16">
        <f>P1982/10000</f>
        <v/>
      </c>
      <c r="U1982" s="15">
        <f>IF(N1982&gt;=Summary!$D$3,1,0)</f>
        <v/>
      </c>
      <c r="V1982" s="17">
        <f>IF(N1982&gt;0,P1982/N1982,"")</f>
        <v/>
      </c>
      <c r="W1982" s="17">
        <f>IF(O1982&gt;0,H1982/O1982,"")</f>
        <v/>
      </c>
    </row>
    <row r="1983">
      <c r="A1983" s="13" t="inlineStr">
        <is>
          <t>CE24_F</t>
        </is>
      </c>
      <c r="B1983" s="13" t="inlineStr">
        <is>
          <t>CE24</t>
        </is>
      </c>
      <c r="C1983" s="13" t="inlineStr">
        <is>
          <t>F</t>
        </is>
      </c>
      <c r="D1983" s="13" t="n">
        <v>0</v>
      </c>
      <c r="E1983" s="13" t="inlineStr">
        <is>
          <t>E</t>
        </is>
      </c>
      <c r="F1983" s="13" t="n">
        <v>2020</v>
      </c>
      <c r="G1983" s="14" t="n">
        <v>69316.75441756906</v>
      </c>
      <c r="H1983" s="14" t="n">
        <v>61752.03897349043</v>
      </c>
      <c r="I1983" s="14" t="n">
        <v>5774.009515889486</v>
      </c>
      <c r="J1983" s="14" t="n">
        <v>0</v>
      </c>
      <c r="K1983" s="14" t="n">
        <v>1790.705928189147</v>
      </c>
      <c r="L1983" s="14" t="n">
        <v>0</v>
      </c>
      <c r="M1983" s="14" t="n">
        <v>0</v>
      </c>
      <c r="N1983" s="14" t="n">
        <v>61752.03897349043</v>
      </c>
      <c r="O1983" s="14" t="n">
        <v>69316.75441756906</v>
      </c>
      <c r="P1983" s="14" t="n">
        <v>0</v>
      </c>
      <c r="Q1983" s="14" t="n">
        <v>614701.7101650161</v>
      </c>
      <c r="R1983" s="15">
        <f>IF(D1983=1,"Section 1","Control")</f>
        <v/>
      </c>
      <c r="S1983" s="16">
        <f>N1983/10000</f>
        <v/>
      </c>
      <c r="T1983" s="16">
        <f>P1983/10000</f>
        <v/>
      </c>
      <c r="U1983" s="15">
        <f>IF(N1983&gt;=Summary!$D$3,1,0)</f>
        <v/>
      </c>
      <c r="V1983" s="17">
        <f>IF(N1983&gt;0,P1983/N1983,"")</f>
        <v/>
      </c>
      <c r="W1983" s="17">
        <f>IF(O1983&gt;0,H1983/O1983,"")</f>
        <v/>
      </c>
    </row>
    <row r="1984">
      <c r="A1984" s="13" t="inlineStr">
        <is>
          <t>CE24_F</t>
        </is>
      </c>
      <c r="B1984" s="13" t="inlineStr">
        <is>
          <t>CE24</t>
        </is>
      </c>
      <c r="C1984" s="13" t="inlineStr">
        <is>
          <t>F</t>
        </is>
      </c>
      <c r="D1984" s="13" t="n">
        <v>0</v>
      </c>
      <c r="E1984" s="13" t="inlineStr">
        <is>
          <t>E</t>
        </is>
      </c>
      <c r="F1984" s="13" t="n">
        <v>2021</v>
      </c>
      <c r="G1984" s="14" t="n">
        <v>69316.75441756906</v>
      </c>
      <c r="H1984" s="14" t="n">
        <v>53920.17155268052</v>
      </c>
      <c r="I1984" s="14" t="n">
        <v>10992.41504540537</v>
      </c>
      <c r="J1984" s="14" t="n">
        <v>0</v>
      </c>
      <c r="K1984" s="14" t="n">
        <v>4404.167819483139</v>
      </c>
      <c r="L1984" s="14" t="n">
        <v>0</v>
      </c>
      <c r="M1984" s="14" t="n">
        <v>0</v>
      </c>
      <c r="N1984" s="14" t="n">
        <v>61752.03897349043</v>
      </c>
      <c r="O1984" s="14" t="n">
        <v>69316.75441756906</v>
      </c>
      <c r="P1984" s="14" t="n">
        <v>7831.867420809876</v>
      </c>
      <c r="Q1984" s="14" t="n">
        <v>614701.7101650161</v>
      </c>
      <c r="R1984" s="15">
        <f>IF(D1984=1,"Section 1","Control")</f>
        <v/>
      </c>
      <c r="S1984" s="16">
        <f>N1984/10000</f>
        <v/>
      </c>
      <c r="T1984" s="16">
        <f>P1984/10000</f>
        <v/>
      </c>
      <c r="U1984" s="15">
        <f>IF(N1984&gt;=Summary!$D$3,1,0)</f>
        <v/>
      </c>
      <c r="V1984" s="17">
        <f>IF(N1984&gt;0,P1984/N1984,"")</f>
        <v/>
      </c>
      <c r="W1984" s="17">
        <f>IF(O1984&gt;0,H1984/O1984,"")</f>
        <v/>
      </c>
    </row>
    <row r="1985">
      <c r="A1985" s="13" t="inlineStr">
        <is>
          <t>CE24_F</t>
        </is>
      </c>
      <c r="B1985" s="13" t="inlineStr">
        <is>
          <t>CE24</t>
        </is>
      </c>
      <c r="C1985" s="13" t="inlineStr">
        <is>
          <t>F</t>
        </is>
      </c>
      <c r="D1985" s="13" t="n">
        <v>0</v>
      </c>
      <c r="E1985" s="13" t="inlineStr">
        <is>
          <t>E</t>
        </is>
      </c>
      <c r="F1985" s="13" t="n">
        <v>2022</v>
      </c>
      <c r="G1985" s="14" t="n">
        <v>69316.75441756906</v>
      </c>
      <c r="H1985" s="14" t="n">
        <v>59706.5701734655</v>
      </c>
      <c r="I1985" s="14" t="n">
        <v>4809.15722024955</v>
      </c>
      <c r="J1985" s="14" t="n">
        <v>0</v>
      </c>
      <c r="K1985" s="14" t="n">
        <v>4801.027023853975</v>
      </c>
      <c r="L1985" s="14" t="n">
        <v>0</v>
      </c>
      <c r="M1985" s="14" t="n">
        <v>0</v>
      </c>
      <c r="N1985" s="14" t="n">
        <v>61752.03897349043</v>
      </c>
      <c r="O1985" s="14" t="n">
        <v>69316.75441756906</v>
      </c>
      <c r="P1985" s="14" t="n">
        <v>4073.902961102654</v>
      </c>
      <c r="Q1985" s="14" t="n">
        <v>614701.7101650161</v>
      </c>
      <c r="R1985" s="15">
        <f>IF(D1985=1,"Section 1","Control")</f>
        <v/>
      </c>
      <c r="S1985" s="16">
        <f>N1985/10000</f>
        <v/>
      </c>
      <c r="T1985" s="16">
        <f>P1985/10000</f>
        <v/>
      </c>
      <c r="U1985" s="15">
        <f>IF(N1985&gt;=Summary!$D$3,1,0)</f>
        <v/>
      </c>
      <c r="V1985" s="17">
        <f>IF(N1985&gt;0,P1985/N1985,"")</f>
        <v/>
      </c>
      <c r="W1985" s="17">
        <f>IF(O1985&gt;0,H1985/O1985,"")</f>
        <v/>
      </c>
    </row>
    <row r="1986">
      <c r="A1986" s="13" t="inlineStr">
        <is>
          <t>CE24_F</t>
        </is>
      </c>
      <c r="B1986" s="13" t="inlineStr">
        <is>
          <t>CE24</t>
        </is>
      </c>
      <c r="C1986" s="13" t="inlineStr">
        <is>
          <t>F</t>
        </is>
      </c>
      <c r="D1986" s="13" t="n">
        <v>0</v>
      </c>
      <c r="E1986" s="13" t="inlineStr">
        <is>
          <t>E</t>
        </is>
      </c>
      <c r="F1986" s="13" t="n">
        <v>2023</v>
      </c>
      <c r="G1986" s="14" t="n">
        <v>69316.75441756906</v>
      </c>
      <c r="H1986" s="14" t="n">
        <v>53838.08881527769</v>
      </c>
      <c r="I1986" s="14" t="n">
        <v>11220.07715196797</v>
      </c>
      <c r="J1986" s="14" t="n">
        <v>0</v>
      </c>
      <c r="K1986" s="14" t="n">
        <v>4258.588450323367</v>
      </c>
      <c r="L1986" s="14" t="n">
        <v>0</v>
      </c>
      <c r="M1986" s="14" t="n">
        <v>0</v>
      </c>
      <c r="N1986" s="14" t="n">
        <v>61752.03897349043</v>
      </c>
      <c r="O1986" s="14" t="n">
        <v>69316.75441756906</v>
      </c>
      <c r="P1986" s="14" t="n">
        <v>8931.458221615061</v>
      </c>
      <c r="Q1986" s="14" t="n">
        <v>614701.7101650161</v>
      </c>
      <c r="R1986" s="15">
        <f>IF(D1986=1,"Section 1","Control")</f>
        <v/>
      </c>
      <c r="S1986" s="16">
        <f>N1986/10000</f>
        <v/>
      </c>
      <c r="T1986" s="16">
        <f>P1986/10000</f>
        <v/>
      </c>
      <c r="U1986" s="15">
        <f>IF(N1986&gt;=Summary!$D$3,1,0)</f>
        <v/>
      </c>
      <c r="V1986" s="17">
        <f>IF(N1986&gt;0,P1986/N1986,"")</f>
        <v/>
      </c>
      <c r="W1986" s="17">
        <f>IF(O1986&gt;0,H1986/O1986,"")</f>
        <v/>
      </c>
    </row>
    <row r="1987">
      <c r="A1987" s="13" t="inlineStr">
        <is>
          <t>CE24_F</t>
        </is>
      </c>
      <c r="B1987" s="13" t="inlineStr">
        <is>
          <t>CE24</t>
        </is>
      </c>
      <c r="C1987" s="13" t="inlineStr">
        <is>
          <t>F</t>
        </is>
      </c>
      <c r="D1987" s="13" t="n">
        <v>0</v>
      </c>
      <c r="E1987" s="13" t="inlineStr">
        <is>
          <t>E</t>
        </is>
      </c>
      <c r="F1987" s="13" t="n">
        <v>2024</v>
      </c>
      <c r="G1987" s="14" t="n">
        <v>69316.75441756906</v>
      </c>
      <c r="H1987" s="14" t="n">
        <v>55207.15774658801</v>
      </c>
      <c r="I1987" s="14" t="n">
        <v>10252.9004952225</v>
      </c>
      <c r="J1987" s="14" t="n">
        <v>0</v>
      </c>
      <c r="K1987" s="14" t="n">
        <v>3856.696175758511</v>
      </c>
      <c r="L1987" s="14" t="n">
        <v>0</v>
      </c>
      <c r="M1987" s="14" t="n">
        <v>0</v>
      </c>
      <c r="N1987" s="14" t="n">
        <v>61752.03897349043</v>
      </c>
      <c r="O1987" s="14" t="n">
        <v>69316.75441756906</v>
      </c>
      <c r="P1987" s="14" t="n">
        <v>8936.102714897605</v>
      </c>
      <c r="Q1987" s="14" t="n">
        <v>614701.7101650161</v>
      </c>
      <c r="R1987" s="15">
        <f>IF(D1987=1,"Section 1","Control")</f>
        <v/>
      </c>
      <c r="S1987" s="16">
        <f>N1987/10000</f>
        <v/>
      </c>
      <c r="T1987" s="16">
        <f>P1987/10000</f>
        <v/>
      </c>
      <c r="U1987" s="15">
        <f>IF(N1987&gt;=Summary!$D$3,1,0)</f>
        <v/>
      </c>
      <c r="V1987" s="17">
        <f>IF(N1987&gt;0,P1987/N1987,"")</f>
        <v/>
      </c>
      <c r="W1987" s="17">
        <f>IF(O1987&gt;0,H1987/O1987,"")</f>
        <v/>
      </c>
    </row>
    <row r="1988">
      <c r="A1988" s="13" t="inlineStr">
        <is>
          <t>CE24_F</t>
        </is>
      </c>
      <c r="B1988" s="13" t="inlineStr">
        <is>
          <t>CE24</t>
        </is>
      </c>
      <c r="C1988" s="13" t="inlineStr">
        <is>
          <t>F</t>
        </is>
      </c>
      <c r="D1988" s="13" t="n">
        <v>0</v>
      </c>
      <c r="E1988" s="13" t="inlineStr">
        <is>
          <t>E</t>
        </is>
      </c>
      <c r="F1988" s="13" t="n">
        <v>2025</v>
      </c>
      <c r="G1988" s="14" t="n">
        <v>69316.75441756906</v>
      </c>
      <c r="H1988" s="14" t="n">
        <v>50615.20981675689</v>
      </c>
      <c r="I1988" s="14" t="n">
        <v>15673.02531421138</v>
      </c>
      <c r="J1988" s="14" t="n">
        <v>0</v>
      </c>
      <c r="K1988" s="14" t="n">
        <v>3028.519286600748</v>
      </c>
      <c r="L1988" s="14" t="n">
        <v>0</v>
      </c>
      <c r="M1988" s="14" t="n">
        <v>0</v>
      </c>
      <c r="N1988" s="14" t="n">
        <v>61752.03897349043</v>
      </c>
      <c r="O1988" s="14" t="n">
        <v>69316.75441756906</v>
      </c>
      <c r="P1988" s="14" t="n">
        <v>13803.33538031484</v>
      </c>
      <c r="Q1988" s="14" t="n">
        <v>614701.7101650161</v>
      </c>
      <c r="R1988" s="15">
        <f>IF(D1988=1,"Section 1","Control")</f>
        <v/>
      </c>
      <c r="S1988" s="16">
        <f>N1988/10000</f>
        <v/>
      </c>
      <c r="T1988" s="16">
        <f>P1988/10000</f>
        <v/>
      </c>
      <c r="U1988" s="15">
        <f>IF(N1988&gt;=Summary!$D$3,1,0)</f>
        <v/>
      </c>
      <c r="V1988" s="17">
        <f>IF(N1988&gt;0,P1988/N1988,"")</f>
        <v/>
      </c>
      <c r="W1988" s="17">
        <f>IF(O1988&gt;0,H1988/O1988,"")</f>
        <v/>
      </c>
    </row>
    <row r="1989">
      <c r="A1989" s="13" t="inlineStr">
        <is>
          <t>CE24_F</t>
        </is>
      </c>
      <c r="B1989" s="13" t="inlineStr">
        <is>
          <t>CE24</t>
        </is>
      </c>
      <c r="C1989" s="13" t="inlineStr">
        <is>
          <t>F</t>
        </is>
      </c>
      <c r="D1989" s="13" t="n">
        <v>0</v>
      </c>
      <c r="E1989" s="13" t="inlineStr">
        <is>
          <t>E</t>
        </is>
      </c>
      <c r="F1989" s="13" t="n">
        <v>2026</v>
      </c>
      <c r="G1989" s="14" t="n">
        <v>69316.75441756906</v>
      </c>
      <c r="H1989" s="14" t="n">
        <v>62227.88167901135</v>
      </c>
      <c r="I1989" s="14" t="n">
        <v>1048.869336924833</v>
      </c>
      <c r="J1989" s="14" t="n">
        <v>0</v>
      </c>
      <c r="K1989" s="14" t="n">
        <v>6040.00340163287</v>
      </c>
      <c r="L1989" s="14" t="n">
        <v>0</v>
      </c>
      <c r="M1989" s="14" t="n">
        <v>0</v>
      </c>
      <c r="N1989" s="14" t="n">
        <v>61752.03897349043</v>
      </c>
      <c r="O1989" s="14" t="n">
        <v>69316.75441756906</v>
      </c>
      <c r="P1989" s="14" t="n">
        <v>4380.16418280508</v>
      </c>
      <c r="Q1989" s="14" t="n">
        <v>614701.7101650161</v>
      </c>
      <c r="R1989" s="15">
        <f>IF(D1989=1,"Section 1","Control")</f>
        <v/>
      </c>
      <c r="S1989" s="16">
        <f>N1989/10000</f>
        <v/>
      </c>
      <c r="T1989" s="16">
        <f>P1989/10000</f>
        <v/>
      </c>
      <c r="U1989" s="15">
        <f>IF(N1989&gt;=Summary!$D$3,1,0)</f>
        <v/>
      </c>
      <c r="V1989" s="17">
        <f>IF(N1989&gt;0,P1989/N1989,"")</f>
        <v/>
      </c>
      <c r="W1989" s="17">
        <f>IF(O1989&gt;0,H1989/O1989,"")</f>
        <v/>
      </c>
    </row>
    <row r="1990">
      <c r="A1990" s="13" t="inlineStr">
        <is>
          <t>CE25_B1</t>
        </is>
      </c>
      <c r="B1990" s="13" t="inlineStr">
        <is>
          <t>CE25</t>
        </is>
      </c>
      <c r="C1990" s="13" t="inlineStr">
        <is>
          <t>B1</t>
        </is>
      </c>
      <c r="D1990" s="13" t="n">
        <v>0</v>
      </c>
      <c r="E1990" s="13" t="inlineStr">
        <is>
          <t>E</t>
        </is>
      </c>
      <c r="F1990" s="13" t="n">
        <v>2020</v>
      </c>
      <c r="G1990" s="14" t="n">
        <v>1000120.113152896</v>
      </c>
      <c r="H1990" s="14" t="n">
        <v>347132.5097085392</v>
      </c>
      <c r="I1990" s="14" t="n">
        <v>409297.8070091696</v>
      </c>
      <c r="J1990" s="14" t="n">
        <v>0</v>
      </c>
      <c r="K1990" s="14" t="n">
        <v>19340.48442361869</v>
      </c>
      <c r="L1990" s="14" t="n">
        <v>224349.3120115692</v>
      </c>
      <c r="M1990" s="14" t="n">
        <v>0</v>
      </c>
      <c r="N1990" s="14" t="n">
        <v>347132.5097085392</v>
      </c>
      <c r="O1990" s="14" t="n">
        <v>775770.8011413275</v>
      </c>
      <c r="P1990" s="14" t="n">
        <v>0</v>
      </c>
      <c r="Q1990" s="14" t="n">
        <v>4889864.590860225</v>
      </c>
      <c r="R1990" s="15">
        <f>IF(D1990=1,"Section 1","Control")</f>
        <v/>
      </c>
      <c r="S1990" s="16">
        <f>N1990/10000</f>
        <v/>
      </c>
      <c r="T1990" s="16">
        <f>P1990/10000</f>
        <v/>
      </c>
      <c r="U1990" s="15">
        <f>IF(N1990&gt;=Summary!$D$3,1,0)</f>
        <v/>
      </c>
      <c r="V1990" s="17">
        <f>IF(N1990&gt;0,P1990/N1990,"")</f>
        <v/>
      </c>
      <c r="W1990" s="17">
        <f>IF(O1990&gt;0,H1990/O1990,"")</f>
        <v/>
      </c>
    </row>
    <row r="1991">
      <c r="A1991" s="13" t="inlineStr">
        <is>
          <t>CE25_B1</t>
        </is>
      </c>
      <c r="B1991" s="13" t="inlineStr">
        <is>
          <t>CE25</t>
        </is>
      </c>
      <c r="C1991" s="13" t="inlineStr">
        <is>
          <t>B1</t>
        </is>
      </c>
      <c r="D1991" s="13" t="n">
        <v>0</v>
      </c>
      <c r="E1991" s="13" t="inlineStr">
        <is>
          <t>E</t>
        </is>
      </c>
      <c r="F1991" s="13" t="n">
        <v>2021</v>
      </c>
      <c r="G1991" s="14" t="n">
        <v>1000120.113152896</v>
      </c>
      <c r="H1991" s="14" t="n">
        <v>223605.1187414132</v>
      </c>
      <c r="I1991" s="14" t="n">
        <v>389066.3879622815</v>
      </c>
      <c r="J1991" s="14" t="n">
        <v>0</v>
      </c>
      <c r="K1991" s="14" t="n">
        <v>202018.1097662832</v>
      </c>
      <c r="L1991" s="14" t="n">
        <v>185430.4966829187</v>
      </c>
      <c r="M1991" s="14" t="n">
        <v>0</v>
      </c>
      <c r="N1991" s="14" t="n">
        <v>347132.5097085392</v>
      </c>
      <c r="O1991" s="14" t="n">
        <v>775770.8011413275</v>
      </c>
      <c r="P1991" s="14" t="n">
        <v>130002.9622588812</v>
      </c>
      <c r="Q1991" s="14" t="n">
        <v>4889864.590860225</v>
      </c>
      <c r="R1991" s="15">
        <f>IF(D1991=1,"Section 1","Control")</f>
        <v/>
      </c>
      <c r="S1991" s="16">
        <f>N1991/10000</f>
        <v/>
      </c>
      <c r="T1991" s="16">
        <f>P1991/10000</f>
        <v/>
      </c>
      <c r="U1991" s="15">
        <f>IF(N1991&gt;=Summary!$D$3,1,0)</f>
        <v/>
      </c>
      <c r="V1991" s="17">
        <f>IF(N1991&gt;0,P1991/N1991,"")</f>
        <v/>
      </c>
      <c r="W1991" s="17">
        <f>IF(O1991&gt;0,H1991/O1991,"")</f>
        <v/>
      </c>
    </row>
    <row r="1992">
      <c r="A1992" s="13" t="inlineStr">
        <is>
          <t>CE25_B1</t>
        </is>
      </c>
      <c r="B1992" s="13" t="inlineStr">
        <is>
          <t>CE25</t>
        </is>
      </c>
      <c r="C1992" s="13" t="inlineStr">
        <is>
          <t>B1</t>
        </is>
      </c>
      <c r="D1992" s="13" t="n">
        <v>0</v>
      </c>
      <c r="E1992" s="13" t="inlineStr">
        <is>
          <t>E</t>
        </is>
      </c>
      <c r="F1992" s="13" t="n">
        <v>2022</v>
      </c>
      <c r="G1992" s="14" t="n">
        <v>1000120.113152897</v>
      </c>
      <c r="H1992" s="14" t="n">
        <v>293134.667468202</v>
      </c>
      <c r="I1992" s="14" t="n">
        <v>407729.4817791509</v>
      </c>
      <c r="J1992" s="14" t="n">
        <v>0</v>
      </c>
      <c r="K1992" s="14" t="n">
        <v>79571.81415554868</v>
      </c>
      <c r="L1992" s="14" t="n">
        <v>219684.1497499952</v>
      </c>
      <c r="M1992" s="14" t="n">
        <v>0</v>
      </c>
      <c r="N1992" s="14" t="n">
        <v>347132.5097085392</v>
      </c>
      <c r="O1992" s="14" t="n">
        <v>775770.8011413275</v>
      </c>
      <c r="P1992" s="14" t="n">
        <v>90087.17050739362</v>
      </c>
      <c r="Q1992" s="14" t="n">
        <v>4889864.590860225</v>
      </c>
      <c r="R1992" s="15">
        <f>IF(D1992=1,"Section 1","Control")</f>
        <v/>
      </c>
      <c r="S1992" s="16">
        <f>N1992/10000</f>
        <v/>
      </c>
      <c r="T1992" s="16">
        <f>P1992/10000</f>
        <v/>
      </c>
      <c r="U1992" s="15">
        <f>IF(N1992&gt;=Summary!$D$3,1,0)</f>
        <v/>
      </c>
      <c r="V1992" s="17">
        <f>IF(N1992&gt;0,P1992/N1992,"")</f>
        <v/>
      </c>
      <c r="W1992" s="17">
        <f>IF(O1992&gt;0,H1992/O1992,"")</f>
        <v/>
      </c>
    </row>
    <row r="1993">
      <c r="A1993" s="13" t="inlineStr">
        <is>
          <t>CE25_B1</t>
        </is>
      </c>
      <c r="B1993" s="13" t="inlineStr">
        <is>
          <t>CE25</t>
        </is>
      </c>
      <c r="C1993" s="13" t="inlineStr">
        <is>
          <t>B1</t>
        </is>
      </c>
      <c r="D1993" s="13" t="n">
        <v>0</v>
      </c>
      <c r="E1993" s="13" t="inlineStr">
        <is>
          <t>E</t>
        </is>
      </c>
      <c r="F1993" s="13" t="n">
        <v>2023</v>
      </c>
      <c r="G1993" s="14" t="n">
        <v>1000120.113152896</v>
      </c>
      <c r="H1993" s="14" t="n">
        <v>196307.1078002033</v>
      </c>
      <c r="I1993" s="14" t="n">
        <v>506400.7082662545</v>
      </c>
      <c r="J1993" s="14" t="n">
        <v>0</v>
      </c>
      <c r="K1993" s="14" t="n">
        <v>61912.91527279125</v>
      </c>
      <c r="L1993" s="14" t="n">
        <v>235499.3818136477</v>
      </c>
      <c r="M1993" s="14" t="n">
        <v>0</v>
      </c>
      <c r="N1993" s="14" t="n">
        <v>347132.5097085392</v>
      </c>
      <c r="O1993" s="14" t="n">
        <v>775770.8011413275</v>
      </c>
      <c r="P1993" s="14" t="n">
        <v>156749.2445673325</v>
      </c>
      <c r="Q1993" s="14" t="n">
        <v>4889864.590860225</v>
      </c>
      <c r="R1993" s="15">
        <f>IF(D1993=1,"Section 1","Control")</f>
        <v/>
      </c>
      <c r="S1993" s="16">
        <f>N1993/10000</f>
        <v/>
      </c>
      <c r="T1993" s="16">
        <f>P1993/10000</f>
        <v/>
      </c>
      <c r="U1993" s="15">
        <f>IF(N1993&gt;=Summary!$D$3,1,0)</f>
        <v/>
      </c>
      <c r="V1993" s="17">
        <f>IF(N1993&gt;0,P1993/N1993,"")</f>
        <v/>
      </c>
      <c r="W1993" s="17">
        <f>IF(O1993&gt;0,H1993/O1993,"")</f>
        <v/>
      </c>
    </row>
    <row r="1994">
      <c r="A1994" s="13" t="inlineStr">
        <is>
          <t>CE25_B1</t>
        </is>
      </c>
      <c r="B1994" s="13" t="inlineStr">
        <is>
          <t>CE25</t>
        </is>
      </c>
      <c r="C1994" s="13" t="inlineStr">
        <is>
          <t>B1</t>
        </is>
      </c>
      <c r="D1994" s="13" t="n">
        <v>0</v>
      </c>
      <c r="E1994" s="13" t="inlineStr">
        <is>
          <t>E</t>
        </is>
      </c>
      <c r="F1994" s="13" t="n">
        <v>2024</v>
      </c>
      <c r="G1994" s="14" t="n">
        <v>1000120.113152896</v>
      </c>
      <c r="H1994" s="14" t="n">
        <v>163278.0306389603</v>
      </c>
      <c r="I1994" s="14" t="n">
        <v>555713.8599301507</v>
      </c>
      <c r="J1994" s="14" t="n">
        <v>0</v>
      </c>
      <c r="K1994" s="14" t="n">
        <v>65197.80046907312</v>
      </c>
      <c r="L1994" s="14" t="n">
        <v>215930.4221147126</v>
      </c>
      <c r="M1994" s="14" t="n">
        <v>0</v>
      </c>
      <c r="N1994" s="14" t="n">
        <v>347132.5097085392</v>
      </c>
      <c r="O1994" s="14" t="n">
        <v>775770.8011413275</v>
      </c>
      <c r="P1994" s="14" t="n">
        <v>206853.357291188</v>
      </c>
      <c r="Q1994" s="14" t="n">
        <v>4889864.590860225</v>
      </c>
      <c r="R1994" s="15">
        <f>IF(D1994=1,"Section 1","Control")</f>
        <v/>
      </c>
      <c r="S1994" s="16">
        <f>N1994/10000</f>
        <v/>
      </c>
      <c r="T1994" s="16">
        <f>P1994/10000</f>
        <v/>
      </c>
      <c r="U1994" s="15">
        <f>IF(N1994&gt;=Summary!$D$3,1,0)</f>
        <v/>
      </c>
      <c r="V1994" s="17">
        <f>IF(N1994&gt;0,P1994/N1994,"")</f>
        <v/>
      </c>
      <c r="W1994" s="17">
        <f>IF(O1994&gt;0,H1994/O1994,"")</f>
        <v/>
      </c>
    </row>
    <row r="1995">
      <c r="A1995" s="13" t="inlineStr">
        <is>
          <t>CE25_B1</t>
        </is>
      </c>
      <c r="B1995" s="13" t="inlineStr">
        <is>
          <t>CE25</t>
        </is>
      </c>
      <c r="C1995" s="13" t="inlineStr">
        <is>
          <t>B1</t>
        </is>
      </c>
      <c r="D1995" s="13" t="n">
        <v>0</v>
      </c>
      <c r="E1995" s="13" t="inlineStr">
        <is>
          <t>E</t>
        </is>
      </c>
      <c r="F1995" s="13" t="n">
        <v>2025</v>
      </c>
      <c r="G1995" s="14" t="n">
        <v>1000120.113152897</v>
      </c>
      <c r="H1995" s="14" t="n">
        <v>178466.6342208563</v>
      </c>
      <c r="I1995" s="14" t="n">
        <v>529806.8490717271</v>
      </c>
      <c r="J1995" s="14" t="n">
        <v>0</v>
      </c>
      <c r="K1995" s="14" t="n">
        <v>52962.88689090505</v>
      </c>
      <c r="L1995" s="14" t="n">
        <v>238883.7429694083</v>
      </c>
      <c r="M1995" s="14" t="n">
        <v>0</v>
      </c>
      <c r="N1995" s="14" t="n">
        <v>347132.5097085392</v>
      </c>
      <c r="O1995" s="14" t="n">
        <v>775770.8011413275</v>
      </c>
      <c r="P1995" s="14" t="n">
        <v>195473.0045750936</v>
      </c>
      <c r="Q1995" s="14" t="n">
        <v>4889864.590860225</v>
      </c>
      <c r="R1995" s="15">
        <f>IF(D1995=1,"Section 1","Control")</f>
        <v/>
      </c>
      <c r="S1995" s="16">
        <f>N1995/10000</f>
        <v/>
      </c>
      <c r="T1995" s="16">
        <f>P1995/10000</f>
        <v/>
      </c>
      <c r="U1995" s="15">
        <f>IF(N1995&gt;=Summary!$D$3,1,0)</f>
        <v/>
      </c>
      <c r="V1995" s="17">
        <f>IF(N1995&gt;0,P1995/N1995,"")</f>
        <v/>
      </c>
      <c r="W1995" s="17">
        <f>IF(O1995&gt;0,H1995/O1995,"")</f>
        <v/>
      </c>
    </row>
    <row r="1996">
      <c r="A1996" s="13" t="inlineStr">
        <is>
          <t>CE25_B1</t>
        </is>
      </c>
      <c r="B1996" s="13" t="inlineStr">
        <is>
          <t>CE25</t>
        </is>
      </c>
      <c r="C1996" s="13" t="inlineStr">
        <is>
          <t>B1</t>
        </is>
      </c>
      <c r="D1996" s="13" t="n">
        <v>0</v>
      </c>
      <c r="E1996" s="13" t="inlineStr">
        <is>
          <t>E</t>
        </is>
      </c>
      <c r="F1996" s="13" t="n">
        <v>2026</v>
      </c>
      <c r="G1996" s="14" t="n">
        <v>1000120.113152896</v>
      </c>
      <c r="H1996" s="14" t="n">
        <v>279139.4265906839</v>
      </c>
      <c r="I1996" s="14" t="n">
        <v>414174.7268052644</v>
      </c>
      <c r="J1996" s="14" t="n">
        <v>0</v>
      </c>
      <c r="K1996" s="14" t="n">
        <v>84949.71660790536</v>
      </c>
      <c r="L1996" s="14" t="n">
        <v>221856.243149043</v>
      </c>
      <c r="M1996" s="14" t="n">
        <v>0</v>
      </c>
      <c r="N1996" s="14" t="n">
        <v>347132.5097085392</v>
      </c>
      <c r="O1996" s="14" t="n">
        <v>775770.8011413275</v>
      </c>
      <c r="P1996" s="14" t="n">
        <v>123615.275438406</v>
      </c>
      <c r="Q1996" s="14" t="n">
        <v>4889864.590860225</v>
      </c>
      <c r="R1996" s="15">
        <f>IF(D1996=1,"Section 1","Control")</f>
        <v/>
      </c>
      <c r="S1996" s="16">
        <f>N1996/10000</f>
        <v/>
      </c>
      <c r="T1996" s="16">
        <f>P1996/10000</f>
        <v/>
      </c>
      <c r="U1996" s="15">
        <f>IF(N1996&gt;=Summary!$D$3,1,0)</f>
        <v/>
      </c>
      <c r="V1996" s="17">
        <f>IF(N1996&gt;0,P1996/N1996,"")</f>
        <v/>
      </c>
      <c r="W1996" s="17">
        <f>IF(O1996&gt;0,H1996/O1996,"")</f>
        <v/>
      </c>
    </row>
    <row r="1997">
      <c r="A1997" s="13" t="inlineStr">
        <is>
          <t>CE25_B2</t>
        </is>
      </c>
      <c r="B1997" s="13" t="inlineStr">
        <is>
          <t>CE25</t>
        </is>
      </c>
      <c r="C1997" s="13" t="inlineStr">
        <is>
          <t>B2</t>
        </is>
      </c>
      <c r="D1997" s="13" t="n">
        <v>0</v>
      </c>
      <c r="E1997" s="13" t="inlineStr">
        <is>
          <t>E</t>
        </is>
      </c>
      <c r="F1997" s="13" t="n">
        <v>2020</v>
      </c>
      <c r="G1997" s="14" t="n">
        <v>1000075.194414775</v>
      </c>
      <c r="H1997" s="14" t="n">
        <v>119134.1251474119</v>
      </c>
      <c r="I1997" s="14" t="n">
        <v>380878.752260455</v>
      </c>
      <c r="J1997" s="14" t="n">
        <v>0</v>
      </c>
      <c r="K1997" s="14" t="n">
        <v>0</v>
      </c>
      <c r="L1997" s="14" t="n">
        <v>500062.3170069077</v>
      </c>
      <c r="M1997" s="14" t="n">
        <v>0</v>
      </c>
      <c r="N1997" s="14" t="n">
        <v>119134.1251474119</v>
      </c>
      <c r="O1997" s="14" t="n">
        <v>500012.8774078669</v>
      </c>
      <c r="P1997" s="14" t="n">
        <v>0</v>
      </c>
      <c r="Q1997" s="14" t="n">
        <v>2226532.860648301</v>
      </c>
      <c r="R1997" s="15">
        <f>IF(D1997=1,"Section 1","Control")</f>
        <v/>
      </c>
      <c r="S1997" s="16">
        <f>N1997/10000</f>
        <v/>
      </c>
      <c r="T1997" s="16">
        <f>P1997/10000</f>
        <v/>
      </c>
      <c r="U1997" s="15">
        <f>IF(N1997&gt;=Summary!$D$3,1,0)</f>
        <v/>
      </c>
      <c r="V1997" s="17">
        <f>IF(N1997&gt;0,P1997/N1997,"")</f>
        <v/>
      </c>
      <c r="W1997" s="17">
        <f>IF(O1997&gt;0,H1997/O1997,"")</f>
        <v/>
      </c>
    </row>
    <row r="1998">
      <c r="A1998" s="13" t="inlineStr">
        <is>
          <t>CE25_B2</t>
        </is>
      </c>
      <c r="B1998" s="13" t="inlineStr">
        <is>
          <t>CE25</t>
        </is>
      </c>
      <c r="C1998" s="13" t="inlineStr">
        <is>
          <t>B2</t>
        </is>
      </c>
      <c r="D1998" s="13" t="n">
        <v>0</v>
      </c>
      <c r="E1998" s="13" t="inlineStr">
        <is>
          <t>E</t>
        </is>
      </c>
      <c r="F1998" s="13" t="n">
        <v>2021</v>
      </c>
      <c r="G1998" s="14" t="n">
        <v>1000075.194414775</v>
      </c>
      <c r="H1998" s="14" t="n">
        <v>50899.21915004955</v>
      </c>
      <c r="I1998" s="14" t="n">
        <v>363129.5192094391</v>
      </c>
      <c r="J1998" s="14" t="n">
        <v>0</v>
      </c>
      <c r="K1998" s="14" t="n">
        <v>85984.13904837816</v>
      </c>
      <c r="L1998" s="14" t="n">
        <v>500062.3170069077</v>
      </c>
      <c r="M1998" s="14" t="n">
        <v>0</v>
      </c>
      <c r="N1998" s="14" t="n">
        <v>119134.1251474119</v>
      </c>
      <c r="O1998" s="14" t="n">
        <v>500012.8774078669</v>
      </c>
      <c r="P1998" s="14" t="n">
        <v>72450.85887379365</v>
      </c>
      <c r="Q1998" s="14" t="n">
        <v>2226532.860648301</v>
      </c>
      <c r="R1998" s="15">
        <f>IF(D1998=1,"Section 1","Control")</f>
        <v/>
      </c>
      <c r="S1998" s="16">
        <f>N1998/10000</f>
        <v/>
      </c>
      <c r="T1998" s="16">
        <f>P1998/10000</f>
        <v/>
      </c>
      <c r="U1998" s="15">
        <f>IF(N1998&gt;=Summary!$D$3,1,0)</f>
        <v/>
      </c>
      <c r="V1998" s="17">
        <f>IF(N1998&gt;0,P1998/N1998,"")</f>
        <v/>
      </c>
      <c r="W1998" s="17">
        <f>IF(O1998&gt;0,H1998/O1998,"")</f>
        <v/>
      </c>
    </row>
    <row r="1999">
      <c r="A1999" s="13" t="inlineStr">
        <is>
          <t>CE25_B2</t>
        </is>
      </c>
      <c r="B1999" s="13" t="inlineStr">
        <is>
          <t>CE25</t>
        </is>
      </c>
      <c r="C1999" s="13" t="inlineStr">
        <is>
          <t>B2</t>
        </is>
      </c>
      <c r="D1999" s="13" t="n">
        <v>0</v>
      </c>
      <c r="E1999" s="13" t="inlineStr">
        <is>
          <t>E</t>
        </is>
      </c>
      <c r="F1999" s="13" t="n">
        <v>2022</v>
      </c>
      <c r="G1999" s="14" t="n">
        <v>1000075.194414775</v>
      </c>
      <c r="H1999" s="14" t="n">
        <v>86368.74642953312</v>
      </c>
      <c r="I1999" s="14" t="n">
        <v>394825.1391390333</v>
      </c>
      <c r="J1999" s="14" t="n">
        <v>0</v>
      </c>
      <c r="K1999" s="14" t="n">
        <v>18818.99183930041</v>
      </c>
      <c r="L1999" s="14" t="n">
        <v>500062.3170069077</v>
      </c>
      <c r="M1999" s="14" t="n">
        <v>0</v>
      </c>
      <c r="N1999" s="14" t="n">
        <v>119134.1251474119</v>
      </c>
      <c r="O1999" s="14" t="n">
        <v>500012.8774078669</v>
      </c>
      <c r="P1999" s="14" t="n">
        <v>51989.02756733612</v>
      </c>
      <c r="Q1999" s="14" t="n">
        <v>2226532.860648301</v>
      </c>
      <c r="R1999" s="15">
        <f>IF(D1999=1,"Section 1","Control")</f>
        <v/>
      </c>
      <c r="S1999" s="16">
        <f>N1999/10000</f>
        <v/>
      </c>
      <c r="T1999" s="16">
        <f>P1999/10000</f>
        <v/>
      </c>
      <c r="U1999" s="15">
        <f>IF(N1999&gt;=Summary!$D$3,1,0)</f>
        <v/>
      </c>
      <c r="V1999" s="17">
        <f>IF(N1999&gt;0,P1999/N1999,"")</f>
        <v/>
      </c>
      <c r="W1999" s="17">
        <f>IF(O1999&gt;0,H1999/O1999,"")</f>
        <v/>
      </c>
    </row>
    <row r="2000">
      <c r="A2000" s="13" t="inlineStr">
        <is>
          <t>CE25_B2</t>
        </is>
      </c>
      <c r="B2000" s="13" t="inlineStr">
        <is>
          <t>CE25</t>
        </is>
      </c>
      <c r="C2000" s="13" t="inlineStr">
        <is>
          <t>B2</t>
        </is>
      </c>
      <c r="D2000" s="13" t="n">
        <v>0</v>
      </c>
      <c r="E2000" s="13" t="inlineStr">
        <is>
          <t>E</t>
        </is>
      </c>
      <c r="F2000" s="13" t="n">
        <v>2023</v>
      </c>
      <c r="G2000" s="14" t="n">
        <v>1000075.194414775</v>
      </c>
      <c r="H2000" s="14" t="n">
        <v>47904.01617793662</v>
      </c>
      <c r="I2000" s="14" t="n">
        <v>435466.5747990029</v>
      </c>
      <c r="J2000" s="14" t="n">
        <v>0</v>
      </c>
      <c r="K2000" s="14" t="n">
        <v>16642.28643092735</v>
      </c>
      <c r="L2000" s="14" t="n">
        <v>500062.3170069077</v>
      </c>
      <c r="M2000" s="14" t="n">
        <v>0</v>
      </c>
      <c r="N2000" s="14" t="n">
        <v>119134.1251474119</v>
      </c>
      <c r="O2000" s="14" t="n">
        <v>500012.8774078669</v>
      </c>
      <c r="P2000" s="14" t="n">
        <v>74777.40532064998</v>
      </c>
      <c r="Q2000" s="14" t="n">
        <v>2226532.860648301</v>
      </c>
      <c r="R2000" s="15">
        <f>IF(D2000=1,"Section 1","Control")</f>
        <v/>
      </c>
      <c r="S2000" s="16">
        <f>N2000/10000</f>
        <v/>
      </c>
      <c r="T2000" s="16">
        <f>P2000/10000</f>
        <v/>
      </c>
      <c r="U2000" s="15">
        <f>IF(N2000&gt;=Summary!$D$3,1,0)</f>
        <v/>
      </c>
      <c r="V2000" s="17">
        <f>IF(N2000&gt;0,P2000/N2000,"")</f>
        <v/>
      </c>
      <c r="W2000" s="17">
        <f>IF(O2000&gt;0,H2000/O2000,"")</f>
        <v/>
      </c>
    </row>
    <row r="2001">
      <c r="A2001" s="13" t="inlineStr">
        <is>
          <t>CE25_B2</t>
        </is>
      </c>
      <c r="B2001" s="13" t="inlineStr">
        <is>
          <t>CE25</t>
        </is>
      </c>
      <c r="C2001" s="13" t="inlineStr">
        <is>
          <t>B2</t>
        </is>
      </c>
      <c r="D2001" s="13" t="n">
        <v>0</v>
      </c>
      <c r="E2001" s="13" t="inlineStr">
        <is>
          <t>E</t>
        </is>
      </c>
      <c r="F2001" s="13" t="n">
        <v>2024</v>
      </c>
      <c r="G2001" s="14" t="n">
        <v>1000075.194414775</v>
      </c>
      <c r="H2001" s="14" t="n">
        <v>115657.3339097864</v>
      </c>
      <c r="I2001" s="14" t="n">
        <v>382380.9505186493</v>
      </c>
      <c r="J2001" s="14" t="n">
        <v>0</v>
      </c>
      <c r="K2001" s="14" t="n">
        <v>1974.592979431152</v>
      </c>
      <c r="L2001" s="14" t="n">
        <v>500062.3170069077</v>
      </c>
      <c r="M2001" s="14" t="n">
        <v>0</v>
      </c>
      <c r="N2001" s="14" t="n">
        <v>119134.1251474119</v>
      </c>
      <c r="O2001" s="14" t="n">
        <v>500012.8774078669</v>
      </c>
      <c r="P2001" s="14" t="n">
        <v>51258.48207544065</v>
      </c>
      <c r="Q2001" s="14" t="n">
        <v>2226532.860648301</v>
      </c>
      <c r="R2001" s="15">
        <f>IF(D2001=1,"Section 1","Control")</f>
        <v/>
      </c>
      <c r="S2001" s="16">
        <f>N2001/10000</f>
        <v/>
      </c>
      <c r="T2001" s="16">
        <f>P2001/10000</f>
        <v/>
      </c>
      <c r="U2001" s="15">
        <f>IF(N2001&gt;=Summary!$D$3,1,0)</f>
        <v/>
      </c>
      <c r="V2001" s="17">
        <f>IF(N2001&gt;0,P2001/N2001,"")</f>
        <v/>
      </c>
      <c r="W2001" s="17">
        <f>IF(O2001&gt;0,H2001/O2001,"")</f>
        <v/>
      </c>
    </row>
    <row r="2002">
      <c r="A2002" s="13" t="inlineStr">
        <is>
          <t>CE25_B2</t>
        </is>
      </c>
      <c r="B2002" s="13" t="inlineStr">
        <is>
          <t>CE25</t>
        </is>
      </c>
      <c r="C2002" s="13" t="inlineStr">
        <is>
          <t>B2</t>
        </is>
      </c>
      <c r="D2002" s="13" t="n">
        <v>0</v>
      </c>
      <c r="E2002" s="13" t="inlineStr">
        <is>
          <t>E</t>
        </is>
      </c>
      <c r="F2002" s="13" t="n">
        <v>2025</v>
      </c>
      <c r="G2002" s="14" t="n">
        <v>1000075.194414775</v>
      </c>
      <c r="H2002" s="14" t="n">
        <v>284734.1639757045</v>
      </c>
      <c r="I2002" s="14" t="n">
        <v>213797.769637912</v>
      </c>
      <c r="J2002" s="14" t="n">
        <v>0</v>
      </c>
      <c r="K2002" s="14" t="n">
        <v>1480.943794250489</v>
      </c>
      <c r="L2002" s="14" t="n">
        <v>500062.3170069077</v>
      </c>
      <c r="M2002" s="14" t="n">
        <v>0</v>
      </c>
      <c r="N2002" s="14" t="n">
        <v>119134.1251474119</v>
      </c>
      <c r="O2002" s="14" t="n">
        <v>500012.8774078669</v>
      </c>
      <c r="P2002" s="14" t="n">
        <v>22279.99665667964</v>
      </c>
      <c r="Q2002" s="14" t="n">
        <v>2226532.860648301</v>
      </c>
      <c r="R2002" s="15">
        <f>IF(D2002=1,"Section 1","Control")</f>
        <v/>
      </c>
      <c r="S2002" s="16">
        <f>N2002/10000</f>
        <v/>
      </c>
      <c r="T2002" s="16">
        <f>P2002/10000</f>
        <v/>
      </c>
      <c r="U2002" s="15">
        <f>IF(N2002&gt;=Summary!$D$3,1,0)</f>
        <v/>
      </c>
      <c r="V2002" s="17">
        <f>IF(N2002&gt;0,P2002/N2002,"")</f>
        <v/>
      </c>
      <c r="W2002" s="17">
        <f>IF(O2002&gt;0,H2002/O2002,"")</f>
        <v/>
      </c>
    </row>
    <row r="2003">
      <c r="A2003" s="13" t="inlineStr">
        <is>
          <t>CE25_B2</t>
        </is>
      </c>
      <c r="B2003" s="13" t="inlineStr">
        <is>
          <t>CE25</t>
        </is>
      </c>
      <c r="C2003" s="13" t="inlineStr">
        <is>
          <t>B2</t>
        </is>
      </c>
      <c r="D2003" s="13" t="n">
        <v>0</v>
      </c>
      <c r="E2003" s="13" t="inlineStr">
        <is>
          <t>E</t>
        </is>
      </c>
      <c r="F2003" s="13" t="n">
        <v>2026</v>
      </c>
      <c r="G2003" s="14" t="n">
        <v>1000075.194414775</v>
      </c>
      <c r="H2003" s="14" t="n">
        <v>193109.0953653373</v>
      </c>
      <c r="I2003" s="14" t="n">
        <v>297140.3923522052</v>
      </c>
      <c r="J2003" s="14" t="n">
        <v>0</v>
      </c>
      <c r="K2003" s="14" t="n">
        <v>9763.389690324371</v>
      </c>
      <c r="L2003" s="14" t="n">
        <v>500062.3170069077</v>
      </c>
      <c r="M2003" s="14" t="n">
        <v>0</v>
      </c>
      <c r="N2003" s="14" t="n">
        <v>119134.1251474119</v>
      </c>
      <c r="O2003" s="14" t="n">
        <v>500012.8774078669</v>
      </c>
      <c r="P2003" s="14" t="n">
        <v>37046.05908433503</v>
      </c>
      <c r="Q2003" s="14" t="n">
        <v>2226532.860648301</v>
      </c>
      <c r="R2003" s="15">
        <f>IF(D2003=1,"Section 1","Control")</f>
        <v/>
      </c>
      <c r="S2003" s="16">
        <f>N2003/10000</f>
        <v/>
      </c>
      <c r="T2003" s="16">
        <f>P2003/10000</f>
        <v/>
      </c>
      <c r="U2003" s="15">
        <f>IF(N2003&gt;=Summary!$D$3,1,0)</f>
        <v/>
      </c>
      <c r="V2003" s="17">
        <f>IF(N2003&gt;0,P2003/N2003,"")</f>
        <v/>
      </c>
      <c r="W2003" s="17">
        <f>IF(O2003&gt;0,H2003/O2003,"")</f>
        <v/>
      </c>
    </row>
    <row r="2004">
      <c r="A2004" s="13" t="inlineStr">
        <is>
          <t>CE25_B3</t>
        </is>
      </c>
      <c r="B2004" s="13" t="inlineStr">
        <is>
          <t>CE25</t>
        </is>
      </c>
      <c r="C2004" s="13" t="inlineStr">
        <is>
          <t>B3</t>
        </is>
      </c>
      <c r="D2004" s="13" t="n">
        <v>0</v>
      </c>
      <c r="E2004" s="13" t="inlineStr">
        <is>
          <t>E</t>
        </is>
      </c>
      <c r="F2004" s="13" t="n">
        <v>2020</v>
      </c>
      <c r="G2004" s="14" t="n">
        <v>7999307.358459922</v>
      </c>
      <c r="H2004" s="14" t="n">
        <v>2599223.02712157</v>
      </c>
      <c r="I2004" s="14" t="n">
        <v>785679.0020923091</v>
      </c>
      <c r="J2004" s="14" t="n">
        <v>0</v>
      </c>
      <c r="K2004" s="14" t="n">
        <v>31471.31621455772</v>
      </c>
      <c r="L2004" s="14" t="n">
        <v>4582934.013031485</v>
      </c>
      <c r="M2004" s="14" t="n">
        <v>0</v>
      </c>
      <c r="N2004" s="14" t="n">
        <v>2599223.02712157</v>
      </c>
      <c r="O2004" s="14" t="n">
        <v>3416373.345428438</v>
      </c>
      <c r="P2004" s="14" t="n">
        <v>0</v>
      </c>
      <c r="Q2004" s="14" t="n">
        <v>26794155.27437026</v>
      </c>
      <c r="R2004" s="15">
        <f>IF(D2004=1,"Section 1","Control")</f>
        <v/>
      </c>
      <c r="S2004" s="16">
        <f>N2004/10000</f>
        <v/>
      </c>
      <c r="T2004" s="16">
        <f>P2004/10000</f>
        <v/>
      </c>
      <c r="U2004" s="15">
        <f>IF(N2004&gt;=Summary!$D$3,1,0)</f>
        <v/>
      </c>
      <c r="V2004" s="17">
        <f>IF(N2004&gt;0,P2004/N2004,"")</f>
        <v/>
      </c>
      <c r="W2004" s="17">
        <f>IF(O2004&gt;0,H2004/O2004,"")</f>
        <v/>
      </c>
    </row>
    <row r="2005">
      <c r="A2005" s="13" t="inlineStr">
        <is>
          <t>CE25_B3</t>
        </is>
      </c>
      <c r="B2005" s="13" t="inlineStr">
        <is>
          <t>CE25</t>
        </is>
      </c>
      <c r="C2005" s="13" t="inlineStr">
        <is>
          <t>B3</t>
        </is>
      </c>
      <c r="D2005" s="13" t="n">
        <v>0</v>
      </c>
      <c r="E2005" s="13" t="inlineStr">
        <is>
          <t>E</t>
        </is>
      </c>
      <c r="F2005" s="13" t="n">
        <v>2021</v>
      </c>
      <c r="G2005" s="14" t="n">
        <v>7999307.358459922</v>
      </c>
      <c r="H2005" s="14" t="n">
        <v>2561917.436719677</v>
      </c>
      <c r="I2005" s="14" t="n">
        <v>453472.3783714445</v>
      </c>
      <c r="J2005" s="14" t="n">
        <v>0</v>
      </c>
      <c r="K2005" s="14" t="n">
        <v>483586.4624135335</v>
      </c>
      <c r="L2005" s="14" t="n">
        <v>4500331.080955265</v>
      </c>
      <c r="M2005" s="14" t="n">
        <v>0</v>
      </c>
      <c r="N2005" s="14" t="n">
        <v>2599223.02712157</v>
      </c>
      <c r="O2005" s="14" t="n">
        <v>3416373.345428438</v>
      </c>
      <c r="P2005" s="14" t="n">
        <v>40428.46065697764</v>
      </c>
      <c r="Q2005" s="14" t="n">
        <v>26794155.27437026</v>
      </c>
      <c r="R2005" s="15">
        <f>IF(D2005=1,"Section 1","Control")</f>
        <v/>
      </c>
      <c r="S2005" s="16">
        <f>N2005/10000</f>
        <v/>
      </c>
      <c r="T2005" s="16">
        <f>P2005/10000</f>
        <v/>
      </c>
      <c r="U2005" s="15">
        <f>IF(N2005&gt;=Summary!$D$3,1,0)</f>
        <v/>
      </c>
      <c r="V2005" s="17">
        <f>IF(N2005&gt;0,P2005/N2005,"")</f>
        <v/>
      </c>
      <c r="W2005" s="17">
        <f>IF(O2005&gt;0,H2005/O2005,"")</f>
        <v/>
      </c>
    </row>
    <row r="2006">
      <c r="A2006" s="13" t="inlineStr">
        <is>
          <t>CE25_B3</t>
        </is>
      </c>
      <c r="B2006" s="13" t="inlineStr">
        <is>
          <t>CE25</t>
        </is>
      </c>
      <c r="C2006" s="13" t="inlineStr">
        <is>
          <t>B3</t>
        </is>
      </c>
      <c r="D2006" s="13" t="n">
        <v>0</v>
      </c>
      <c r="E2006" s="13" t="inlineStr">
        <is>
          <t>E</t>
        </is>
      </c>
      <c r="F2006" s="13" t="n">
        <v>2022</v>
      </c>
      <c r="G2006" s="14" t="n">
        <v>7999307.358459922</v>
      </c>
      <c r="H2006" s="14" t="n">
        <v>2537759.724487873</v>
      </c>
      <c r="I2006" s="14" t="n">
        <v>727143.3175790226</v>
      </c>
      <c r="J2006" s="14" t="n">
        <v>0</v>
      </c>
      <c r="K2006" s="14" t="n">
        <v>220069.8898543414</v>
      </c>
      <c r="L2006" s="14" t="n">
        <v>4514334.426538685</v>
      </c>
      <c r="M2006" s="14" t="n">
        <v>0</v>
      </c>
      <c r="N2006" s="14" t="n">
        <v>2599223.02712157</v>
      </c>
      <c r="O2006" s="14" t="n">
        <v>3416373.345428438</v>
      </c>
      <c r="P2006" s="14" t="n">
        <v>63734.00420230043</v>
      </c>
      <c r="Q2006" s="14" t="n">
        <v>26794155.27437026</v>
      </c>
      <c r="R2006" s="15">
        <f>IF(D2006=1,"Section 1","Control")</f>
        <v/>
      </c>
      <c r="S2006" s="16">
        <f>N2006/10000</f>
        <v/>
      </c>
      <c r="T2006" s="16">
        <f>P2006/10000</f>
        <v/>
      </c>
      <c r="U2006" s="15">
        <f>IF(N2006&gt;=Summary!$D$3,1,0)</f>
        <v/>
      </c>
      <c r="V2006" s="17">
        <f>IF(N2006&gt;0,P2006/N2006,"")</f>
        <v/>
      </c>
      <c r="W2006" s="17">
        <f>IF(O2006&gt;0,H2006/O2006,"")</f>
        <v/>
      </c>
    </row>
    <row r="2007">
      <c r="A2007" s="13" t="inlineStr">
        <is>
          <t>CE25_B3</t>
        </is>
      </c>
      <c r="B2007" s="13" t="inlineStr">
        <is>
          <t>CE25</t>
        </is>
      </c>
      <c r="C2007" s="13" t="inlineStr">
        <is>
          <t>B3</t>
        </is>
      </c>
      <c r="D2007" s="13" t="n">
        <v>0</v>
      </c>
      <c r="E2007" s="13" t="inlineStr">
        <is>
          <t>E</t>
        </is>
      </c>
      <c r="F2007" s="13" t="n">
        <v>2023</v>
      </c>
      <c r="G2007" s="14" t="n">
        <v>7999307.358459922</v>
      </c>
      <c r="H2007" s="14" t="n">
        <v>2565272.339666748</v>
      </c>
      <c r="I2007" s="14" t="n">
        <v>775144.3051641426</v>
      </c>
      <c r="J2007" s="14" t="n">
        <v>0</v>
      </c>
      <c r="K2007" s="14" t="n">
        <v>76967.98520088942</v>
      </c>
      <c r="L2007" s="14" t="n">
        <v>4581922.728428141</v>
      </c>
      <c r="M2007" s="14" t="n">
        <v>0</v>
      </c>
      <c r="N2007" s="14" t="n">
        <v>2599223.02712157</v>
      </c>
      <c r="O2007" s="14" t="n">
        <v>3416373.345428438</v>
      </c>
      <c r="P2007" s="14" t="n">
        <v>45350.45005974863</v>
      </c>
      <c r="Q2007" s="14" t="n">
        <v>26794155.27437026</v>
      </c>
      <c r="R2007" s="15">
        <f>IF(D2007=1,"Section 1","Control")</f>
        <v/>
      </c>
      <c r="S2007" s="16">
        <f>N2007/10000</f>
        <v/>
      </c>
      <c r="T2007" s="16">
        <f>P2007/10000</f>
        <v/>
      </c>
      <c r="U2007" s="15">
        <f>IF(N2007&gt;=Summary!$D$3,1,0)</f>
        <v/>
      </c>
      <c r="V2007" s="17">
        <f>IF(N2007&gt;0,P2007/N2007,"")</f>
        <v/>
      </c>
      <c r="W2007" s="17">
        <f>IF(O2007&gt;0,H2007/O2007,"")</f>
        <v/>
      </c>
    </row>
    <row r="2008">
      <c r="A2008" s="13" t="inlineStr">
        <is>
          <t>CE25_B3</t>
        </is>
      </c>
      <c r="B2008" s="13" t="inlineStr">
        <is>
          <t>CE25</t>
        </is>
      </c>
      <c r="C2008" s="13" t="inlineStr">
        <is>
          <t>B3</t>
        </is>
      </c>
      <c r="D2008" s="13" t="n">
        <v>0</v>
      </c>
      <c r="E2008" s="13" t="inlineStr">
        <is>
          <t>E</t>
        </is>
      </c>
      <c r="F2008" s="13" t="n">
        <v>2024</v>
      </c>
      <c r="G2008" s="14" t="n">
        <v>7999307.358459922</v>
      </c>
      <c r="H2008" s="14" t="n">
        <v>2594286.223080653</v>
      </c>
      <c r="I2008" s="14" t="n">
        <v>775978.2188931932</v>
      </c>
      <c r="J2008" s="14" t="n">
        <v>0</v>
      </c>
      <c r="K2008" s="14" t="n">
        <v>88057.98143469117</v>
      </c>
      <c r="L2008" s="14" t="n">
        <v>4540984.935051383</v>
      </c>
      <c r="M2008" s="14" t="n">
        <v>0</v>
      </c>
      <c r="N2008" s="14" t="n">
        <v>2599223.02712157</v>
      </c>
      <c r="O2008" s="14" t="n">
        <v>3416373.345428438</v>
      </c>
      <c r="P2008" s="14" t="n">
        <v>44625.49049904018</v>
      </c>
      <c r="Q2008" s="14" t="n">
        <v>26794155.27437026</v>
      </c>
      <c r="R2008" s="15">
        <f>IF(D2008=1,"Section 1","Control")</f>
        <v/>
      </c>
      <c r="S2008" s="16">
        <f>N2008/10000</f>
        <v/>
      </c>
      <c r="T2008" s="16">
        <f>P2008/10000</f>
        <v/>
      </c>
      <c r="U2008" s="15">
        <f>IF(N2008&gt;=Summary!$D$3,1,0)</f>
        <v/>
      </c>
      <c r="V2008" s="17">
        <f>IF(N2008&gt;0,P2008/N2008,"")</f>
        <v/>
      </c>
      <c r="W2008" s="17">
        <f>IF(O2008&gt;0,H2008/O2008,"")</f>
        <v/>
      </c>
    </row>
    <row r="2009">
      <c r="A2009" s="13" t="inlineStr">
        <is>
          <t>CE25_B3</t>
        </is>
      </c>
      <c r="B2009" s="13" t="inlineStr">
        <is>
          <t>CE25</t>
        </is>
      </c>
      <c r="C2009" s="13" t="inlineStr">
        <is>
          <t>B3</t>
        </is>
      </c>
      <c r="D2009" s="13" t="n">
        <v>0</v>
      </c>
      <c r="E2009" s="13" t="inlineStr">
        <is>
          <t>E</t>
        </is>
      </c>
      <c r="F2009" s="13" t="n">
        <v>2025</v>
      </c>
      <c r="G2009" s="14" t="n">
        <v>7999307.358459922</v>
      </c>
      <c r="H2009" s="14" t="n">
        <v>2733981.410384234</v>
      </c>
      <c r="I2009" s="14" t="n">
        <v>619130.5604049383</v>
      </c>
      <c r="J2009" s="14" t="n">
        <v>0</v>
      </c>
      <c r="K2009" s="14" t="n">
        <v>78647.38697237501</v>
      </c>
      <c r="L2009" s="14" t="n">
        <v>4567548.000698375</v>
      </c>
      <c r="M2009" s="14" t="n">
        <v>0</v>
      </c>
      <c r="N2009" s="14" t="n">
        <v>2599223.02712157</v>
      </c>
      <c r="O2009" s="14" t="n">
        <v>3416373.345428438</v>
      </c>
      <c r="P2009" s="14" t="n">
        <v>44868.36181206797</v>
      </c>
      <c r="Q2009" s="14" t="n">
        <v>26794155.27437026</v>
      </c>
      <c r="R2009" s="15">
        <f>IF(D2009=1,"Section 1","Control")</f>
        <v/>
      </c>
      <c r="S2009" s="16">
        <f>N2009/10000</f>
        <v/>
      </c>
      <c r="T2009" s="16">
        <f>P2009/10000</f>
        <v/>
      </c>
      <c r="U2009" s="15">
        <f>IF(N2009&gt;=Summary!$D$3,1,0)</f>
        <v/>
      </c>
      <c r="V2009" s="17">
        <f>IF(N2009&gt;0,P2009/N2009,"")</f>
        <v/>
      </c>
      <c r="W2009" s="17">
        <f>IF(O2009&gt;0,H2009/O2009,"")</f>
        <v/>
      </c>
    </row>
    <row r="2010">
      <c r="A2010" s="13" t="inlineStr">
        <is>
          <t>CE25_B3</t>
        </is>
      </c>
      <c r="B2010" s="13" t="inlineStr">
        <is>
          <t>CE25</t>
        </is>
      </c>
      <c r="C2010" s="13" t="inlineStr">
        <is>
          <t>B3</t>
        </is>
      </c>
      <c r="D2010" s="13" t="n">
        <v>0</v>
      </c>
      <c r="E2010" s="13" t="inlineStr">
        <is>
          <t>E</t>
        </is>
      </c>
      <c r="F2010" s="13" t="n">
        <v>2026</v>
      </c>
      <c r="G2010" s="14" t="n">
        <v>7999307.358459921</v>
      </c>
      <c r="H2010" s="14" t="n">
        <v>2631316.910899861</v>
      </c>
      <c r="I2010" s="14" t="n">
        <v>657403.3724738925</v>
      </c>
      <c r="J2010" s="14" t="n">
        <v>0</v>
      </c>
      <c r="K2010" s="14" t="n">
        <v>166244.251797994</v>
      </c>
      <c r="L2010" s="14" t="n">
        <v>4544342.823288173</v>
      </c>
      <c r="M2010" s="14" t="n">
        <v>0</v>
      </c>
      <c r="N2010" s="14" t="n">
        <v>2599223.02712157</v>
      </c>
      <c r="O2010" s="14" t="n">
        <v>3416373.345428438</v>
      </c>
      <c r="P2010" s="14" t="n">
        <v>34214.74375756956</v>
      </c>
      <c r="Q2010" s="14" t="n">
        <v>26794155.27437026</v>
      </c>
      <c r="R2010" s="15">
        <f>IF(D2010=1,"Section 1","Control")</f>
        <v/>
      </c>
      <c r="S2010" s="16">
        <f>N2010/10000</f>
        <v/>
      </c>
      <c r="T2010" s="16">
        <f>P2010/10000</f>
        <v/>
      </c>
      <c r="U2010" s="15">
        <f>IF(N2010&gt;=Summary!$D$3,1,0)</f>
        <v/>
      </c>
      <c r="V2010" s="17">
        <f>IF(N2010&gt;0,P2010/N2010,"")</f>
        <v/>
      </c>
      <c r="W2010" s="17">
        <f>IF(O2010&gt;0,H2010/O2010,"")</f>
        <v/>
      </c>
    </row>
    <row r="2011">
      <c r="A2011" s="13" t="inlineStr">
        <is>
          <t>CE25_F</t>
        </is>
      </c>
      <c r="B2011" s="13" t="inlineStr">
        <is>
          <t>CE25</t>
        </is>
      </c>
      <c r="C2011" s="13" t="inlineStr">
        <is>
          <t>F</t>
        </is>
      </c>
      <c r="D2011" s="13" t="n">
        <v>0</v>
      </c>
      <c r="E2011" s="13" t="inlineStr">
        <is>
          <t>E</t>
        </is>
      </c>
      <c r="F2011" s="13" t="n">
        <v>2020</v>
      </c>
      <c r="G2011" s="14" t="n">
        <v>69275.82809708537</v>
      </c>
      <c r="H2011" s="14" t="n">
        <v>60044.67631476905</v>
      </c>
      <c r="I2011" s="14" t="n">
        <v>7989.078925218769</v>
      </c>
      <c r="J2011" s="14" t="n">
        <v>0</v>
      </c>
      <c r="K2011" s="14" t="n">
        <v>1242.072857097551</v>
      </c>
      <c r="L2011" s="14" t="n">
        <v>0</v>
      </c>
      <c r="M2011" s="14" t="n">
        <v>0</v>
      </c>
      <c r="N2011" s="14" t="n">
        <v>60044.67631476905</v>
      </c>
      <c r="O2011" s="14" t="n">
        <v>69275.82809708537</v>
      </c>
      <c r="P2011" s="14" t="n">
        <v>0</v>
      </c>
      <c r="Q2011" s="14" t="n">
        <v>531728.0895276836</v>
      </c>
      <c r="R2011" s="15">
        <f>IF(D2011=1,"Section 1","Control")</f>
        <v/>
      </c>
      <c r="S2011" s="16">
        <f>N2011/10000</f>
        <v/>
      </c>
      <c r="T2011" s="16">
        <f>P2011/10000</f>
        <v/>
      </c>
      <c r="U2011" s="15">
        <f>IF(N2011&gt;=Summary!$D$3,1,0)</f>
        <v/>
      </c>
      <c r="V2011" s="17">
        <f>IF(N2011&gt;0,P2011/N2011,"")</f>
        <v/>
      </c>
      <c r="W2011" s="17">
        <f>IF(O2011&gt;0,H2011/O2011,"")</f>
        <v/>
      </c>
    </row>
    <row r="2012">
      <c r="A2012" s="13" t="inlineStr">
        <is>
          <t>CE25_F</t>
        </is>
      </c>
      <c r="B2012" s="13" t="inlineStr">
        <is>
          <t>CE25</t>
        </is>
      </c>
      <c r="C2012" s="13" t="inlineStr">
        <is>
          <t>F</t>
        </is>
      </c>
      <c r="D2012" s="13" t="n">
        <v>0</v>
      </c>
      <c r="E2012" s="13" t="inlineStr">
        <is>
          <t>E</t>
        </is>
      </c>
      <c r="F2012" s="13" t="n">
        <v>2021</v>
      </c>
      <c r="G2012" s="14" t="n">
        <v>69275.82809708537</v>
      </c>
      <c r="H2012" s="14" t="n">
        <v>44333.28419515572</v>
      </c>
      <c r="I2012" s="14" t="n">
        <v>14045.74087778727</v>
      </c>
      <c r="J2012" s="14" t="n">
        <v>0</v>
      </c>
      <c r="K2012" s="14" t="n">
        <v>10896.8030241424</v>
      </c>
      <c r="L2012" s="14" t="n">
        <v>0</v>
      </c>
      <c r="M2012" s="14" t="n">
        <v>0</v>
      </c>
      <c r="N2012" s="14" t="n">
        <v>60044.67631476905</v>
      </c>
      <c r="O2012" s="14" t="n">
        <v>69275.82809708537</v>
      </c>
      <c r="P2012" s="14" t="n">
        <v>15908.85397264069</v>
      </c>
      <c r="Q2012" s="14" t="n">
        <v>531728.0895276836</v>
      </c>
      <c r="R2012" s="15">
        <f>IF(D2012=1,"Section 1","Control")</f>
        <v/>
      </c>
      <c r="S2012" s="16">
        <f>N2012/10000</f>
        <v/>
      </c>
      <c r="T2012" s="16">
        <f>P2012/10000</f>
        <v/>
      </c>
      <c r="U2012" s="15">
        <f>IF(N2012&gt;=Summary!$D$3,1,0)</f>
        <v/>
      </c>
      <c r="V2012" s="17">
        <f>IF(N2012&gt;0,P2012/N2012,"")</f>
        <v/>
      </c>
      <c r="W2012" s="17">
        <f>IF(O2012&gt;0,H2012/O2012,"")</f>
        <v/>
      </c>
    </row>
    <row r="2013">
      <c r="A2013" s="13" t="inlineStr">
        <is>
          <t>CE25_F</t>
        </is>
      </c>
      <c r="B2013" s="13" t="inlineStr">
        <is>
          <t>CE25</t>
        </is>
      </c>
      <c r="C2013" s="13" t="inlineStr">
        <is>
          <t>F</t>
        </is>
      </c>
      <c r="D2013" s="13" t="n">
        <v>0</v>
      </c>
      <c r="E2013" s="13" t="inlineStr">
        <is>
          <t>E</t>
        </is>
      </c>
      <c r="F2013" s="13" t="n">
        <v>2022</v>
      </c>
      <c r="G2013" s="14" t="n">
        <v>69275.82809708537</v>
      </c>
      <c r="H2013" s="14" t="n">
        <v>38627.40762852687</v>
      </c>
      <c r="I2013" s="14" t="n">
        <v>23948.2660840502</v>
      </c>
      <c r="J2013" s="14" t="n">
        <v>0</v>
      </c>
      <c r="K2013" s="14" t="n">
        <v>6700.15438450832</v>
      </c>
      <c r="L2013" s="14" t="n">
        <v>0</v>
      </c>
      <c r="M2013" s="14" t="n">
        <v>0</v>
      </c>
      <c r="N2013" s="14" t="n">
        <v>60044.67631476905</v>
      </c>
      <c r="O2013" s="14" t="n">
        <v>69275.82809708537</v>
      </c>
      <c r="P2013" s="14" t="n">
        <v>22256.67547574511</v>
      </c>
      <c r="Q2013" s="14" t="n">
        <v>531728.0895276836</v>
      </c>
      <c r="R2013" s="15">
        <f>IF(D2013=1,"Section 1","Control")</f>
        <v/>
      </c>
      <c r="S2013" s="16">
        <f>N2013/10000</f>
        <v/>
      </c>
      <c r="T2013" s="16">
        <f>P2013/10000</f>
        <v/>
      </c>
      <c r="U2013" s="15">
        <f>IF(N2013&gt;=Summary!$D$3,1,0)</f>
        <v/>
      </c>
      <c r="V2013" s="17">
        <f>IF(N2013&gt;0,P2013/N2013,"")</f>
        <v/>
      </c>
      <c r="W2013" s="17">
        <f>IF(O2013&gt;0,H2013/O2013,"")</f>
        <v/>
      </c>
    </row>
    <row r="2014">
      <c r="A2014" s="13" t="inlineStr">
        <is>
          <t>CE25_F</t>
        </is>
      </c>
      <c r="B2014" s="13" t="inlineStr">
        <is>
          <t>CE25</t>
        </is>
      </c>
      <c r="C2014" s="13" t="inlineStr">
        <is>
          <t>F</t>
        </is>
      </c>
      <c r="D2014" s="13" t="n">
        <v>0</v>
      </c>
      <c r="E2014" s="13" t="inlineStr">
        <is>
          <t>E</t>
        </is>
      </c>
      <c r="F2014" s="13" t="n">
        <v>2023</v>
      </c>
      <c r="G2014" s="14" t="n">
        <v>69275.82809708537</v>
      </c>
      <c r="H2014" s="14" t="n">
        <v>43106.31031643736</v>
      </c>
      <c r="I2014" s="14" t="n">
        <v>20560.82462382597</v>
      </c>
      <c r="J2014" s="14" t="n">
        <v>0</v>
      </c>
      <c r="K2014" s="14" t="n">
        <v>5608.693156822055</v>
      </c>
      <c r="L2014" s="14" t="n">
        <v>0</v>
      </c>
      <c r="M2014" s="14" t="n">
        <v>0</v>
      </c>
      <c r="N2014" s="14" t="n">
        <v>60044.67631476905</v>
      </c>
      <c r="O2014" s="14" t="n">
        <v>69275.82809708537</v>
      </c>
      <c r="P2014" s="14" t="n">
        <v>17135.8279200236</v>
      </c>
      <c r="Q2014" s="14" t="n">
        <v>531728.0895276836</v>
      </c>
      <c r="R2014" s="15">
        <f>IF(D2014=1,"Section 1","Control")</f>
        <v/>
      </c>
      <c r="S2014" s="16">
        <f>N2014/10000</f>
        <v/>
      </c>
      <c r="T2014" s="16">
        <f>P2014/10000</f>
        <v/>
      </c>
      <c r="U2014" s="15">
        <f>IF(N2014&gt;=Summary!$D$3,1,0)</f>
        <v/>
      </c>
      <c r="V2014" s="17">
        <f>IF(N2014&gt;0,P2014/N2014,"")</f>
        <v/>
      </c>
      <c r="W2014" s="17">
        <f>IF(O2014&gt;0,H2014/O2014,"")</f>
        <v/>
      </c>
    </row>
    <row r="2015">
      <c r="A2015" s="13" t="inlineStr">
        <is>
          <t>CE25_F</t>
        </is>
      </c>
      <c r="B2015" s="13" t="inlineStr">
        <is>
          <t>CE25</t>
        </is>
      </c>
      <c r="C2015" s="13" t="inlineStr">
        <is>
          <t>F</t>
        </is>
      </c>
      <c r="D2015" s="13" t="n">
        <v>0</v>
      </c>
      <c r="E2015" s="13" t="inlineStr">
        <is>
          <t>E</t>
        </is>
      </c>
      <c r="F2015" s="13" t="n">
        <v>2024</v>
      </c>
      <c r="G2015" s="14" t="n">
        <v>69275.82809708537</v>
      </c>
      <c r="H2015" s="14" t="n">
        <v>23937.41834297928</v>
      </c>
      <c r="I2015" s="14" t="n">
        <v>37837.95564452525</v>
      </c>
      <c r="J2015" s="14" t="n">
        <v>0</v>
      </c>
      <c r="K2015" s="14" t="n">
        <v>7500.454109580844</v>
      </c>
      <c r="L2015" s="14" t="n">
        <v>0</v>
      </c>
      <c r="M2015" s="14" t="n">
        <v>0</v>
      </c>
      <c r="N2015" s="14" t="n">
        <v>60044.67631476905</v>
      </c>
      <c r="O2015" s="14" t="n">
        <v>69275.82809708537</v>
      </c>
      <c r="P2015" s="14" t="n">
        <v>37987.40561798693</v>
      </c>
      <c r="Q2015" s="14" t="n">
        <v>531728.0895276836</v>
      </c>
      <c r="R2015" s="15">
        <f>IF(D2015=1,"Section 1","Control")</f>
        <v/>
      </c>
      <c r="S2015" s="16">
        <f>N2015/10000</f>
        <v/>
      </c>
      <c r="T2015" s="16">
        <f>P2015/10000</f>
        <v/>
      </c>
      <c r="U2015" s="15">
        <f>IF(N2015&gt;=Summary!$D$3,1,0)</f>
        <v/>
      </c>
      <c r="V2015" s="17">
        <f>IF(N2015&gt;0,P2015/N2015,"")</f>
        <v/>
      </c>
      <c r="W2015" s="17">
        <f>IF(O2015&gt;0,H2015/O2015,"")</f>
        <v/>
      </c>
    </row>
    <row r="2016">
      <c r="A2016" s="13" t="inlineStr">
        <is>
          <t>CE25_F</t>
        </is>
      </c>
      <c r="B2016" s="13" t="inlineStr">
        <is>
          <t>CE25</t>
        </is>
      </c>
      <c r="C2016" s="13" t="inlineStr">
        <is>
          <t>F</t>
        </is>
      </c>
      <c r="D2016" s="13" t="n">
        <v>0</v>
      </c>
      <c r="E2016" s="13" t="inlineStr">
        <is>
          <t>E</t>
        </is>
      </c>
      <c r="F2016" s="13" t="n">
        <v>2025</v>
      </c>
      <c r="G2016" s="14" t="n">
        <v>69275.82809708537</v>
      </c>
      <c r="H2016" s="14" t="n">
        <v>35605.86957588944</v>
      </c>
      <c r="I2016" s="14" t="n">
        <v>26453.30715894512</v>
      </c>
      <c r="J2016" s="14" t="n">
        <v>0</v>
      </c>
      <c r="K2016" s="14" t="n">
        <v>7216.651362250833</v>
      </c>
      <c r="L2016" s="14" t="n">
        <v>0</v>
      </c>
      <c r="M2016" s="14" t="n">
        <v>0</v>
      </c>
      <c r="N2016" s="14" t="n">
        <v>60044.67631476905</v>
      </c>
      <c r="O2016" s="14" t="n">
        <v>69275.82809708537</v>
      </c>
      <c r="P2016" s="14" t="n">
        <v>29272.36591892616</v>
      </c>
      <c r="Q2016" s="14" t="n">
        <v>531728.0895276836</v>
      </c>
      <c r="R2016" s="15">
        <f>IF(D2016=1,"Section 1","Control")</f>
        <v/>
      </c>
      <c r="S2016" s="16">
        <f>N2016/10000</f>
        <v/>
      </c>
      <c r="T2016" s="16">
        <f>P2016/10000</f>
        <v/>
      </c>
      <c r="U2016" s="15">
        <f>IF(N2016&gt;=Summary!$D$3,1,0)</f>
        <v/>
      </c>
      <c r="V2016" s="17">
        <f>IF(N2016&gt;0,P2016/N2016,"")</f>
        <v/>
      </c>
      <c r="W2016" s="17">
        <f>IF(O2016&gt;0,H2016/O2016,"")</f>
        <v/>
      </c>
    </row>
    <row r="2017">
      <c r="A2017" s="13" t="inlineStr">
        <is>
          <t>CE25_F</t>
        </is>
      </c>
      <c r="B2017" s="13" t="inlineStr">
        <is>
          <t>CE25</t>
        </is>
      </c>
      <c r="C2017" s="13" t="inlineStr">
        <is>
          <t>F</t>
        </is>
      </c>
      <c r="D2017" s="13" t="n">
        <v>0</v>
      </c>
      <c r="E2017" s="13" t="inlineStr">
        <is>
          <t>E</t>
        </is>
      </c>
      <c r="F2017" s="13" t="n">
        <v>2026</v>
      </c>
      <c r="G2017" s="14" t="n">
        <v>69275.82809708537</v>
      </c>
      <c r="H2017" s="14" t="n">
        <v>47028.45880270565</v>
      </c>
      <c r="I2017" s="14" t="n">
        <v>9625.297524515789</v>
      </c>
      <c r="J2017" s="14" t="n">
        <v>0</v>
      </c>
      <c r="K2017" s="14" t="n">
        <v>12622.07176986395</v>
      </c>
      <c r="L2017" s="14" t="n">
        <v>0</v>
      </c>
      <c r="M2017" s="14" t="n">
        <v>0</v>
      </c>
      <c r="N2017" s="14" t="n">
        <v>60044.67631476905</v>
      </c>
      <c r="O2017" s="14" t="n">
        <v>69275.82809708537</v>
      </c>
      <c r="P2017" s="14" t="n">
        <v>19343.1314021391</v>
      </c>
      <c r="Q2017" s="14" t="n">
        <v>531728.0895276836</v>
      </c>
      <c r="R2017" s="15">
        <f>IF(D2017=1,"Section 1","Control")</f>
        <v/>
      </c>
      <c r="S2017" s="16">
        <f>N2017/10000</f>
        <v/>
      </c>
      <c r="T2017" s="16">
        <f>P2017/10000</f>
        <v/>
      </c>
      <c r="U2017" s="15">
        <f>IF(N2017&gt;=Summary!$D$3,1,0)</f>
        <v/>
      </c>
      <c r="V2017" s="17">
        <f>IF(N2017&gt;0,P2017/N2017,"")</f>
        <v/>
      </c>
      <c r="W2017" s="17">
        <f>IF(O2017&gt;0,H2017/O2017,"")</f>
        <v/>
      </c>
    </row>
    <row r="2018">
      <c r="A2018" s="13" t="inlineStr">
        <is>
          <t>CE26_B1</t>
        </is>
      </c>
      <c r="B2018" s="13" t="inlineStr">
        <is>
          <t>CE26</t>
        </is>
      </c>
      <c r="C2018" s="13" t="inlineStr">
        <is>
          <t>B1</t>
        </is>
      </c>
      <c r="D2018" s="13" t="n">
        <v>0</v>
      </c>
      <c r="E2018" s="13" t="inlineStr">
        <is>
          <t>E</t>
        </is>
      </c>
      <c r="F2018" s="13" t="n">
        <v>2020</v>
      </c>
      <c r="G2018" s="14" t="n">
        <v>1025810.851718558</v>
      </c>
      <c r="H2018" s="14" t="n">
        <v>423607.8364022348</v>
      </c>
      <c r="I2018" s="14" t="n">
        <v>318731.855819014</v>
      </c>
      <c r="J2018" s="14" t="n">
        <v>0</v>
      </c>
      <c r="K2018" s="14" t="n">
        <v>31902.1160980823</v>
      </c>
      <c r="L2018" s="14" t="n">
        <v>251569.0433992273</v>
      </c>
      <c r="M2018" s="14" t="n">
        <v>0</v>
      </c>
      <c r="N2018" s="14" t="n">
        <v>423607.8364022348</v>
      </c>
      <c r="O2018" s="14" t="n">
        <v>774241.808319331</v>
      </c>
      <c r="P2018" s="14" t="n">
        <v>0</v>
      </c>
      <c r="Q2018" s="14" t="n">
        <v>5155556.018652643</v>
      </c>
      <c r="R2018" s="15">
        <f>IF(D2018=1,"Section 1","Control")</f>
        <v/>
      </c>
      <c r="S2018" s="16">
        <f>N2018/10000</f>
        <v/>
      </c>
      <c r="T2018" s="16">
        <f>P2018/10000</f>
        <v/>
      </c>
      <c r="U2018" s="15">
        <f>IF(N2018&gt;=Summary!$D$3,1,0)</f>
        <v/>
      </c>
      <c r="V2018" s="17">
        <f>IF(N2018&gt;0,P2018/N2018,"")</f>
        <v/>
      </c>
      <c r="W2018" s="17">
        <f>IF(O2018&gt;0,H2018/O2018,"")</f>
        <v/>
      </c>
    </row>
    <row r="2019">
      <c r="A2019" s="13" t="inlineStr">
        <is>
          <t>CE26_B1</t>
        </is>
      </c>
      <c r="B2019" s="13" t="inlineStr">
        <is>
          <t>CE26</t>
        </is>
      </c>
      <c r="C2019" s="13" t="inlineStr">
        <is>
          <t>B1</t>
        </is>
      </c>
      <c r="D2019" s="13" t="n">
        <v>0</v>
      </c>
      <c r="E2019" s="13" t="inlineStr">
        <is>
          <t>E</t>
        </is>
      </c>
      <c r="F2019" s="13" t="n">
        <v>2021</v>
      </c>
      <c r="G2019" s="14" t="n">
        <v>1025810.851718558</v>
      </c>
      <c r="H2019" s="14" t="n">
        <v>286322.3128454171</v>
      </c>
      <c r="I2019" s="14" t="n">
        <v>362240.2453549255</v>
      </c>
      <c r="J2019" s="14" t="n">
        <v>0</v>
      </c>
      <c r="K2019" s="14" t="n">
        <v>147491.1963175755</v>
      </c>
      <c r="L2019" s="14" t="n">
        <v>229757.0972006405</v>
      </c>
      <c r="M2019" s="14" t="n">
        <v>0</v>
      </c>
      <c r="N2019" s="14" t="n">
        <v>423607.8364022348</v>
      </c>
      <c r="O2019" s="14" t="n">
        <v>774241.808319331</v>
      </c>
      <c r="P2019" s="14" t="n">
        <v>142894.9607758167</v>
      </c>
      <c r="Q2019" s="14" t="n">
        <v>5155556.018652643</v>
      </c>
      <c r="R2019" s="15">
        <f>IF(D2019=1,"Section 1","Control")</f>
        <v/>
      </c>
      <c r="S2019" s="16">
        <f>N2019/10000</f>
        <v/>
      </c>
      <c r="T2019" s="16">
        <f>P2019/10000</f>
        <v/>
      </c>
      <c r="U2019" s="15">
        <f>IF(N2019&gt;=Summary!$D$3,1,0)</f>
        <v/>
      </c>
      <c r="V2019" s="17">
        <f>IF(N2019&gt;0,P2019/N2019,"")</f>
        <v/>
      </c>
      <c r="W2019" s="17">
        <f>IF(O2019&gt;0,H2019/O2019,"")</f>
        <v/>
      </c>
    </row>
    <row r="2020">
      <c r="A2020" s="13" t="inlineStr">
        <is>
          <t>CE26_B1</t>
        </is>
      </c>
      <c r="B2020" s="13" t="inlineStr">
        <is>
          <t>CE26</t>
        </is>
      </c>
      <c r="C2020" s="13" t="inlineStr">
        <is>
          <t>B1</t>
        </is>
      </c>
      <c r="D2020" s="13" t="n">
        <v>0</v>
      </c>
      <c r="E2020" s="13" t="inlineStr">
        <is>
          <t>E</t>
        </is>
      </c>
      <c r="F2020" s="13" t="n">
        <v>2022</v>
      </c>
      <c r="G2020" s="14" t="n">
        <v>1025810.851718558</v>
      </c>
      <c r="H2020" s="14" t="n">
        <v>317971.5871333103</v>
      </c>
      <c r="I2020" s="14" t="n">
        <v>370027.4501150692</v>
      </c>
      <c r="J2020" s="14" t="n">
        <v>0</v>
      </c>
      <c r="K2020" s="14" t="n">
        <v>101538.4290767894</v>
      </c>
      <c r="L2020" s="14" t="n">
        <v>236273.3853933896</v>
      </c>
      <c r="M2020" s="14" t="n">
        <v>0</v>
      </c>
      <c r="N2020" s="14" t="n">
        <v>423607.8364022348</v>
      </c>
      <c r="O2020" s="14" t="n">
        <v>774241.808319331</v>
      </c>
      <c r="P2020" s="14" t="n">
        <v>121495.4858317955</v>
      </c>
      <c r="Q2020" s="14" t="n">
        <v>5155556.018652643</v>
      </c>
      <c r="R2020" s="15">
        <f>IF(D2020=1,"Section 1","Control")</f>
        <v/>
      </c>
      <c r="S2020" s="16">
        <f>N2020/10000</f>
        <v/>
      </c>
      <c r="T2020" s="16">
        <f>P2020/10000</f>
        <v/>
      </c>
      <c r="U2020" s="15">
        <f>IF(N2020&gt;=Summary!$D$3,1,0)</f>
        <v/>
      </c>
      <c r="V2020" s="17">
        <f>IF(N2020&gt;0,P2020/N2020,"")</f>
        <v/>
      </c>
      <c r="W2020" s="17">
        <f>IF(O2020&gt;0,H2020/O2020,"")</f>
        <v/>
      </c>
    </row>
    <row r="2021">
      <c r="A2021" s="13" t="inlineStr">
        <is>
          <t>CE26_B1</t>
        </is>
      </c>
      <c r="B2021" s="13" t="inlineStr">
        <is>
          <t>CE26</t>
        </is>
      </c>
      <c r="C2021" s="13" t="inlineStr">
        <is>
          <t>B1</t>
        </is>
      </c>
      <c r="D2021" s="13" t="n">
        <v>0</v>
      </c>
      <c r="E2021" s="13" t="inlineStr">
        <is>
          <t>E</t>
        </is>
      </c>
      <c r="F2021" s="13" t="n">
        <v>2023</v>
      </c>
      <c r="G2021" s="14" t="n">
        <v>1025810.851718558</v>
      </c>
      <c r="H2021" s="14" t="n">
        <v>288958.2359778908</v>
      </c>
      <c r="I2021" s="14" t="n">
        <v>391461.6342357859</v>
      </c>
      <c r="J2021" s="14" t="n">
        <v>0</v>
      </c>
      <c r="K2021" s="14" t="n">
        <v>90741.51219317869</v>
      </c>
      <c r="L2021" s="14" t="n">
        <v>254649.469311703</v>
      </c>
      <c r="M2021" s="14" t="n">
        <v>0</v>
      </c>
      <c r="N2021" s="14" t="n">
        <v>423607.8364022348</v>
      </c>
      <c r="O2021" s="14" t="n">
        <v>774241.808319331</v>
      </c>
      <c r="P2021" s="14" t="n">
        <v>146140.6813431085</v>
      </c>
      <c r="Q2021" s="14" t="n">
        <v>5155556.018652643</v>
      </c>
      <c r="R2021" s="15">
        <f>IF(D2021=1,"Section 1","Control")</f>
        <v/>
      </c>
      <c r="S2021" s="16">
        <f>N2021/10000</f>
        <v/>
      </c>
      <c r="T2021" s="16">
        <f>P2021/10000</f>
        <v/>
      </c>
      <c r="U2021" s="15">
        <f>IF(N2021&gt;=Summary!$D$3,1,0)</f>
        <v/>
      </c>
      <c r="V2021" s="17">
        <f>IF(N2021&gt;0,P2021/N2021,"")</f>
        <v/>
      </c>
      <c r="W2021" s="17">
        <f>IF(O2021&gt;0,H2021/O2021,"")</f>
        <v/>
      </c>
    </row>
    <row r="2022">
      <c r="A2022" s="13" t="inlineStr">
        <is>
          <t>CE26_B1</t>
        </is>
      </c>
      <c r="B2022" s="13" t="inlineStr">
        <is>
          <t>CE26</t>
        </is>
      </c>
      <c r="C2022" s="13" t="inlineStr">
        <is>
          <t>B1</t>
        </is>
      </c>
      <c r="D2022" s="13" t="n">
        <v>0</v>
      </c>
      <c r="E2022" s="13" t="inlineStr">
        <is>
          <t>E</t>
        </is>
      </c>
      <c r="F2022" s="13" t="n">
        <v>2024</v>
      </c>
      <c r="G2022" s="14" t="n">
        <v>1025810.851718558</v>
      </c>
      <c r="H2022" s="14" t="n">
        <v>263366.3593930413</v>
      </c>
      <c r="I2022" s="14" t="n">
        <v>438523.0934703154</v>
      </c>
      <c r="J2022" s="14" t="n">
        <v>0</v>
      </c>
      <c r="K2022" s="14" t="n">
        <v>90502.7136913524</v>
      </c>
      <c r="L2022" s="14" t="n">
        <v>233418.6851638495</v>
      </c>
      <c r="M2022" s="14" t="n">
        <v>0</v>
      </c>
      <c r="N2022" s="14" t="n">
        <v>423607.8364022348</v>
      </c>
      <c r="O2022" s="14" t="n">
        <v>774241.808319331</v>
      </c>
      <c r="P2022" s="14" t="n">
        <v>178058.6980073517</v>
      </c>
      <c r="Q2022" s="14" t="n">
        <v>5155556.018652643</v>
      </c>
      <c r="R2022" s="15">
        <f>IF(D2022=1,"Section 1","Control")</f>
        <v/>
      </c>
      <c r="S2022" s="16">
        <f>N2022/10000</f>
        <v/>
      </c>
      <c r="T2022" s="16">
        <f>P2022/10000</f>
        <v/>
      </c>
      <c r="U2022" s="15">
        <f>IF(N2022&gt;=Summary!$D$3,1,0)</f>
        <v/>
      </c>
      <c r="V2022" s="17">
        <f>IF(N2022&gt;0,P2022/N2022,"")</f>
        <v/>
      </c>
      <c r="W2022" s="17">
        <f>IF(O2022&gt;0,H2022/O2022,"")</f>
        <v/>
      </c>
    </row>
    <row r="2023">
      <c r="A2023" s="13" t="inlineStr">
        <is>
          <t>CE26_B1</t>
        </is>
      </c>
      <c r="B2023" s="13" t="inlineStr">
        <is>
          <t>CE26</t>
        </is>
      </c>
      <c r="C2023" s="13" t="inlineStr">
        <is>
          <t>B1</t>
        </is>
      </c>
      <c r="D2023" s="13" t="n">
        <v>0</v>
      </c>
      <c r="E2023" s="13" t="inlineStr">
        <is>
          <t>E</t>
        </is>
      </c>
      <c r="F2023" s="13" t="n">
        <v>2025</v>
      </c>
      <c r="G2023" s="14" t="n">
        <v>1025810.851718558</v>
      </c>
      <c r="H2023" s="14" t="n">
        <v>263247.8977910958</v>
      </c>
      <c r="I2023" s="14" t="n">
        <v>430792.5138828352</v>
      </c>
      <c r="J2023" s="14" t="n">
        <v>0</v>
      </c>
      <c r="K2023" s="14" t="n">
        <v>79044.49915538114</v>
      </c>
      <c r="L2023" s="14" t="n">
        <v>252725.9408892464</v>
      </c>
      <c r="M2023" s="14" t="n">
        <v>0</v>
      </c>
      <c r="N2023" s="14" t="n">
        <v>423607.8364022348</v>
      </c>
      <c r="O2023" s="14" t="n">
        <v>774241.808319331</v>
      </c>
      <c r="P2023" s="14" t="n">
        <v>181358.9714341407</v>
      </c>
      <c r="Q2023" s="14" t="n">
        <v>5155556.018652643</v>
      </c>
      <c r="R2023" s="15">
        <f>IF(D2023=1,"Section 1","Control")</f>
        <v/>
      </c>
      <c r="S2023" s="16">
        <f>N2023/10000</f>
        <v/>
      </c>
      <c r="T2023" s="16">
        <f>P2023/10000</f>
        <v/>
      </c>
      <c r="U2023" s="15">
        <f>IF(N2023&gt;=Summary!$D$3,1,0)</f>
        <v/>
      </c>
      <c r="V2023" s="17">
        <f>IF(N2023&gt;0,P2023/N2023,"")</f>
        <v/>
      </c>
      <c r="W2023" s="17">
        <f>IF(O2023&gt;0,H2023/O2023,"")</f>
        <v/>
      </c>
    </row>
    <row r="2024">
      <c r="A2024" s="13" t="inlineStr">
        <is>
          <t>CE26_B1</t>
        </is>
      </c>
      <c r="B2024" s="13" t="inlineStr">
        <is>
          <t>CE26</t>
        </is>
      </c>
      <c r="C2024" s="13" t="inlineStr">
        <is>
          <t>B1</t>
        </is>
      </c>
      <c r="D2024" s="13" t="n">
        <v>0</v>
      </c>
      <c r="E2024" s="13" t="inlineStr">
        <is>
          <t>E</t>
        </is>
      </c>
      <c r="F2024" s="13" t="n">
        <v>2026</v>
      </c>
      <c r="G2024" s="14" t="n">
        <v>1025810.851718558</v>
      </c>
      <c r="H2024" s="14" t="n">
        <v>410466.636672854</v>
      </c>
      <c r="I2024" s="14" t="n">
        <v>274921.9793624579</v>
      </c>
      <c r="J2024" s="14" t="n">
        <v>0</v>
      </c>
      <c r="K2024" s="14" t="n">
        <v>100891.4848016776</v>
      </c>
      <c r="L2024" s="14" t="n">
        <v>239530.7508815691</v>
      </c>
      <c r="M2024" s="14" t="n">
        <v>0</v>
      </c>
      <c r="N2024" s="14" t="n">
        <v>423607.8364022348</v>
      </c>
      <c r="O2024" s="14" t="n">
        <v>774241.808319331</v>
      </c>
      <c r="P2024" s="14" t="n">
        <v>98676.76336750702</v>
      </c>
      <c r="Q2024" s="14" t="n">
        <v>5155556.018652643</v>
      </c>
      <c r="R2024" s="15">
        <f>IF(D2024=1,"Section 1","Control")</f>
        <v/>
      </c>
      <c r="S2024" s="16">
        <f>N2024/10000</f>
        <v/>
      </c>
      <c r="T2024" s="16">
        <f>P2024/10000</f>
        <v/>
      </c>
      <c r="U2024" s="15">
        <f>IF(N2024&gt;=Summary!$D$3,1,0)</f>
        <v/>
      </c>
      <c r="V2024" s="17">
        <f>IF(N2024&gt;0,P2024/N2024,"")</f>
        <v/>
      </c>
      <c r="W2024" s="17">
        <f>IF(O2024&gt;0,H2024/O2024,"")</f>
        <v/>
      </c>
    </row>
    <row r="2025">
      <c r="A2025" s="13" t="inlineStr">
        <is>
          <t>CE26_B2</t>
        </is>
      </c>
      <c r="B2025" s="13" t="inlineStr">
        <is>
          <t>CE26</t>
        </is>
      </c>
      <c r="C2025" s="13" t="inlineStr">
        <is>
          <t>B2</t>
        </is>
      </c>
      <c r="D2025" s="13" t="n">
        <v>0</v>
      </c>
      <c r="E2025" s="13" t="inlineStr">
        <is>
          <t>E</t>
        </is>
      </c>
      <c r="F2025" s="13" t="n">
        <v>2020</v>
      </c>
      <c r="G2025" s="14" t="n">
        <v>1025874.350080752</v>
      </c>
      <c r="H2025" s="14" t="n">
        <v>155102.1422078451</v>
      </c>
      <c r="I2025" s="14" t="n">
        <v>355959.629588976</v>
      </c>
      <c r="J2025" s="14" t="n">
        <v>0</v>
      </c>
      <c r="K2025" s="14" t="n">
        <v>1678.409828186035</v>
      </c>
      <c r="L2025" s="14" t="n">
        <v>513134.1684557447</v>
      </c>
      <c r="M2025" s="14" t="n">
        <v>0</v>
      </c>
      <c r="N2025" s="14" t="n">
        <v>155102.1422078451</v>
      </c>
      <c r="O2025" s="14" t="n">
        <v>512740.1816250071</v>
      </c>
      <c r="P2025" s="14" t="n">
        <v>0</v>
      </c>
      <c r="Q2025" s="14" t="n">
        <v>3147147.752720912</v>
      </c>
      <c r="R2025" s="15">
        <f>IF(D2025=1,"Section 1","Control")</f>
        <v/>
      </c>
      <c r="S2025" s="16">
        <f>N2025/10000</f>
        <v/>
      </c>
      <c r="T2025" s="16">
        <f>P2025/10000</f>
        <v/>
      </c>
      <c r="U2025" s="15">
        <f>IF(N2025&gt;=Summary!$D$3,1,0)</f>
        <v/>
      </c>
      <c r="V2025" s="17">
        <f>IF(N2025&gt;0,P2025/N2025,"")</f>
        <v/>
      </c>
      <c r="W2025" s="17">
        <f>IF(O2025&gt;0,H2025/O2025,"")</f>
        <v/>
      </c>
    </row>
    <row r="2026">
      <c r="A2026" s="13" t="inlineStr">
        <is>
          <t>CE26_B2</t>
        </is>
      </c>
      <c r="B2026" s="13" t="inlineStr">
        <is>
          <t>CE26</t>
        </is>
      </c>
      <c r="C2026" s="13" t="inlineStr">
        <is>
          <t>B2</t>
        </is>
      </c>
      <c r="D2026" s="13" t="n">
        <v>0</v>
      </c>
      <c r="E2026" s="13" t="inlineStr">
        <is>
          <t>E</t>
        </is>
      </c>
      <c r="F2026" s="13" t="n">
        <v>2021</v>
      </c>
      <c r="G2026" s="14" t="n">
        <v>1025874.350080752</v>
      </c>
      <c r="H2026" s="14" t="n">
        <v>84640.52275235046</v>
      </c>
      <c r="I2026" s="14" t="n">
        <v>307440.302545166</v>
      </c>
      <c r="J2026" s="14" t="n">
        <v>0</v>
      </c>
      <c r="K2026" s="14" t="n">
        <v>120659.3563274907</v>
      </c>
      <c r="L2026" s="14" t="n">
        <v>513134.1684557447</v>
      </c>
      <c r="M2026" s="14" t="n">
        <v>0</v>
      </c>
      <c r="N2026" s="14" t="n">
        <v>155102.1422078451</v>
      </c>
      <c r="O2026" s="14" t="n">
        <v>512740.1816250071</v>
      </c>
      <c r="P2026" s="14" t="n">
        <v>81309.91027945725</v>
      </c>
      <c r="Q2026" s="14" t="n">
        <v>3147147.752720912</v>
      </c>
      <c r="R2026" s="15">
        <f>IF(D2026=1,"Section 1","Control")</f>
        <v/>
      </c>
      <c r="S2026" s="16">
        <f>N2026/10000</f>
        <v/>
      </c>
      <c r="T2026" s="16">
        <f>P2026/10000</f>
        <v/>
      </c>
      <c r="U2026" s="15">
        <f>IF(N2026&gt;=Summary!$D$3,1,0)</f>
        <v/>
      </c>
      <c r="V2026" s="17">
        <f>IF(N2026&gt;0,P2026/N2026,"")</f>
        <v/>
      </c>
      <c r="W2026" s="17">
        <f>IF(O2026&gt;0,H2026/O2026,"")</f>
        <v/>
      </c>
    </row>
    <row r="2027">
      <c r="A2027" s="13" t="inlineStr">
        <is>
          <t>CE26_B2</t>
        </is>
      </c>
      <c r="B2027" s="13" t="inlineStr">
        <is>
          <t>CE26</t>
        </is>
      </c>
      <c r="C2027" s="13" t="inlineStr">
        <is>
          <t>B2</t>
        </is>
      </c>
      <c r="D2027" s="13" t="n">
        <v>0</v>
      </c>
      <c r="E2027" s="13" t="inlineStr">
        <is>
          <t>E</t>
        </is>
      </c>
      <c r="F2027" s="13" t="n">
        <v>2022</v>
      </c>
      <c r="G2027" s="14" t="n">
        <v>1025874.350080752</v>
      </c>
      <c r="H2027" s="14" t="n">
        <v>94820.54383416269</v>
      </c>
      <c r="I2027" s="14" t="n">
        <v>375259.025400618</v>
      </c>
      <c r="J2027" s="14" t="n">
        <v>0</v>
      </c>
      <c r="K2027" s="14" t="n">
        <v>42660.61239022648</v>
      </c>
      <c r="L2027" s="14" t="n">
        <v>513134.1684557447</v>
      </c>
      <c r="M2027" s="14" t="n">
        <v>0</v>
      </c>
      <c r="N2027" s="14" t="n">
        <v>155102.1422078451</v>
      </c>
      <c r="O2027" s="14" t="n">
        <v>512740.1816250071</v>
      </c>
      <c r="P2027" s="14" t="n">
        <v>81733.48292287192</v>
      </c>
      <c r="Q2027" s="14" t="n">
        <v>3147147.752720912</v>
      </c>
      <c r="R2027" s="15">
        <f>IF(D2027=1,"Section 1","Control")</f>
        <v/>
      </c>
      <c r="S2027" s="16">
        <f>N2027/10000</f>
        <v/>
      </c>
      <c r="T2027" s="16">
        <f>P2027/10000</f>
        <v/>
      </c>
      <c r="U2027" s="15">
        <f>IF(N2027&gt;=Summary!$D$3,1,0)</f>
        <v/>
      </c>
      <c r="V2027" s="17">
        <f>IF(N2027&gt;0,P2027/N2027,"")</f>
        <v/>
      </c>
      <c r="W2027" s="17">
        <f>IF(O2027&gt;0,H2027/O2027,"")</f>
        <v/>
      </c>
    </row>
    <row r="2028">
      <c r="A2028" s="13" t="inlineStr">
        <is>
          <t>CE26_B2</t>
        </is>
      </c>
      <c r="B2028" s="13" t="inlineStr">
        <is>
          <t>CE26</t>
        </is>
      </c>
      <c r="C2028" s="13" t="inlineStr">
        <is>
          <t>B2</t>
        </is>
      </c>
      <c r="D2028" s="13" t="n">
        <v>0</v>
      </c>
      <c r="E2028" s="13" t="inlineStr">
        <is>
          <t>E</t>
        </is>
      </c>
      <c r="F2028" s="13" t="n">
        <v>2023</v>
      </c>
      <c r="G2028" s="14" t="n">
        <v>1025874.350080752</v>
      </c>
      <c r="H2028" s="14" t="n">
        <v>96258.89938387404</v>
      </c>
      <c r="I2028" s="14" t="n">
        <v>396120.0883288813</v>
      </c>
      <c r="J2028" s="14" t="n">
        <v>0</v>
      </c>
      <c r="K2028" s="14" t="n">
        <v>20361.19391225179</v>
      </c>
      <c r="L2028" s="14" t="n">
        <v>513134.1684557447</v>
      </c>
      <c r="M2028" s="14" t="n">
        <v>0</v>
      </c>
      <c r="N2028" s="14" t="n">
        <v>155102.1422078451</v>
      </c>
      <c r="O2028" s="14" t="n">
        <v>512740.1816250071</v>
      </c>
      <c r="P2028" s="14" t="n">
        <v>73934.98305227244</v>
      </c>
      <c r="Q2028" s="14" t="n">
        <v>3147147.752720912</v>
      </c>
      <c r="R2028" s="15">
        <f>IF(D2028=1,"Section 1","Control")</f>
        <v/>
      </c>
      <c r="S2028" s="16">
        <f>N2028/10000</f>
        <v/>
      </c>
      <c r="T2028" s="16">
        <f>P2028/10000</f>
        <v/>
      </c>
      <c r="U2028" s="15">
        <f>IF(N2028&gt;=Summary!$D$3,1,0)</f>
        <v/>
      </c>
      <c r="V2028" s="17">
        <f>IF(N2028&gt;0,P2028/N2028,"")</f>
        <v/>
      </c>
      <c r="W2028" s="17">
        <f>IF(O2028&gt;0,H2028/O2028,"")</f>
        <v/>
      </c>
    </row>
    <row r="2029">
      <c r="A2029" s="13" t="inlineStr">
        <is>
          <t>CE26_B2</t>
        </is>
      </c>
      <c r="B2029" s="13" t="inlineStr">
        <is>
          <t>CE26</t>
        </is>
      </c>
      <c r="C2029" s="13" t="inlineStr">
        <is>
          <t>B2</t>
        </is>
      </c>
      <c r="D2029" s="13" t="n">
        <v>0</v>
      </c>
      <c r="E2029" s="13" t="inlineStr">
        <is>
          <t>E</t>
        </is>
      </c>
      <c r="F2029" s="13" t="n">
        <v>2024</v>
      </c>
      <c r="G2029" s="14" t="n">
        <v>1025874.350080752</v>
      </c>
      <c r="H2029" s="14" t="n">
        <v>121750.8861444212</v>
      </c>
      <c r="I2029" s="14" t="n">
        <v>374845.2221235986</v>
      </c>
      <c r="J2029" s="14" t="n">
        <v>0</v>
      </c>
      <c r="K2029" s="14" t="n">
        <v>16144.07335698745</v>
      </c>
      <c r="L2029" s="14" t="n">
        <v>513134.1684557447</v>
      </c>
      <c r="M2029" s="14" t="n">
        <v>0</v>
      </c>
      <c r="N2029" s="14" t="n">
        <v>155102.1422078451</v>
      </c>
      <c r="O2029" s="14" t="n">
        <v>512740.1816250071</v>
      </c>
      <c r="P2029" s="14" t="n">
        <v>64066.68492901373</v>
      </c>
      <c r="Q2029" s="14" t="n">
        <v>3147147.752720912</v>
      </c>
      <c r="R2029" s="15">
        <f>IF(D2029=1,"Section 1","Control")</f>
        <v/>
      </c>
      <c r="S2029" s="16">
        <f>N2029/10000</f>
        <v/>
      </c>
      <c r="T2029" s="16">
        <f>P2029/10000</f>
        <v/>
      </c>
      <c r="U2029" s="15">
        <f>IF(N2029&gt;=Summary!$D$3,1,0)</f>
        <v/>
      </c>
      <c r="V2029" s="17">
        <f>IF(N2029&gt;0,P2029/N2029,"")</f>
        <v/>
      </c>
      <c r="W2029" s="17">
        <f>IF(O2029&gt;0,H2029/O2029,"")</f>
        <v/>
      </c>
    </row>
    <row r="2030">
      <c r="A2030" s="13" t="inlineStr">
        <is>
          <t>CE26_B2</t>
        </is>
      </c>
      <c r="B2030" s="13" t="inlineStr">
        <is>
          <t>CE26</t>
        </is>
      </c>
      <c r="C2030" s="13" t="inlineStr">
        <is>
          <t>B2</t>
        </is>
      </c>
      <c r="D2030" s="13" t="n">
        <v>0</v>
      </c>
      <c r="E2030" s="13" t="inlineStr">
        <is>
          <t>E</t>
        </is>
      </c>
      <c r="F2030" s="13" t="n">
        <v>2025</v>
      </c>
      <c r="G2030" s="14" t="n">
        <v>1025874.350080752</v>
      </c>
      <c r="H2030" s="14" t="n">
        <v>168703.2680291868</v>
      </c>
      <c r="I2030" s="14" t="n">
        <v>328718.3007711373</v>
      </c>
      <c r="J2030" s="14" t="n">
        <v>0</v>
      </c>
      <c r="K2030" s="14" t="n">
        <v>15318.6128246831</v>
      </c>
      <c r="L2030" s="14" t="n">
        <v>513134.1684557447</v>
      </c>
      <c r="M2030" s="14" t="n">
        <v>0</v>
      </c>
      <c r="N2030" s="14" t="n">
        <v>155102.1422078451</v>
      </c>
      <c r="O2030" s="14" t="n">
        <v>512740.1816250071</v>
      </c>
      <c r="P2030" s="14" t="n">
        <v>57755.33410689411</v>
      </c>
      <c r="Q2030" s="14" t="n">
        <v>3147147.752720912</v>
      </c>
      <c r="R2030" s="15">
        <f>IF(D2030=1,"Section 1","Control")</f>
        <v/>
      </c>
      <c r="S2030" s="16">
        <f>N2030/10000</f>
        <v/>
      </c>
      <c r="T2030" s="16">
        <f>P2030/10000</f>
        <v/>
      </c>
      <c r="U2030" s="15">
        <f>IF(N2030&gt;=Summary!$D$3,1,0)</f>
        <v/>
      </c>
      <c r="V2030" s="17">
        <f>IF(N2030&gt;0,P2030/N2030,"")</f>
        <v/>
      </c>
      <c r="W2030" s="17">
        <f>IF(O2030&gt;0,H2030/O2030,"")</f>
        <v/>
      </c>
    </row>
    <row r="2031">
      <c r="A2031" s="13" t="inlineStr">
        <is>
          <t>CE26_B2</t>
        </is>
      </c>
      <c r="B2031" s="13" t="inlineStr">
        <is>
          <t>CE26</t>
        </is>
      </c>
      <c r="C2031" s="13" t="inlineStr">
        <is>
          <t>B2</t>
        </is>
      </c>
      <c r="D2031" s="13" t="n">
        <v>0</v>
      </c>
      <c r="E2031" s="13" t="inlineStr">
        <is>
          <t>E</t>
        </is>
      </c>
      <c r="F2031" s="13" t="n">
        <v>2026</v>
      </c>
      <c r="G2031" s="14" t="n">
        <v>1025874.350080752</v>
      </c>
      <c r="H2031" s="14" t="n">
        <v>175288.0553767185</v>
      </c>
      <c r="I2031" s="14" t="n">
        <v>310707.9514443491</v>
      </c>
      <c r="J2031" s="14" t="n">
        <v>0</v>
      </c>
      <c r="K2031" s="14" t="n">
        <v>26744.17480393952</v>
      </c>
      <c r="L2031" s="14" t="n">
        <v>513134.1684557447</v>
      </c>
      <c r="M2031" s="14" t="n">
        <v>0</v>
      </c>
      <c r="N2031" s="14" t="n">
        <v>155102.1422078451</v>
      </c>
      <c r="O2031" s="14" t="n">
        <v>512740.1816250071</v>
      </c>
      <c r="P2031" s="14" t="n">
        <v>53247.03658124139</v>
      </c>
      <c r="Q2031" s="14" t="n">
        <v>3147147.752720912</v>
      </c>
      <c r="R2031" s="15">
        <f>IF(D2031=1,"Section 1","Control")</f>
        <v/>
      </c>
      <c r="S2031" s="16">
        <f>N2031/10000</f>
        <v/>
      </c>
      <c r="T2031" s="16">
        <f>P2031/10000</f>
        <v/>
      </c>
      <c r="U2031" s="15">
        <f>IF(N2031&gt;=Summary!$D$3,1,0)</f>
        <v/>
      </c>
      <c r="V2031" s="17">
        <f>IF(N2031&gt;0,P2031/N2031,"")</f>
        <v/>
      </c>
      <c r="W2031" s="17">
        <f>IF(O2031&gt;0,H2031/O2031,"")</f>
        <v/>
      </c>
    </row>
    <row r="2032">
      <c r="A2032" s="13" t="inlineStr">
        <is>
          <t>CE26_B3</t>
        </is>
      </c>
      <c r="B2032" s="13" t="inlineStr">
        <is>
          <t>CE26</t>
        </is>
      </c>
      <c r="C2032" s="13" t="inlineStr">
        <is>
          <t>B3</t>
        </is>
      </c>
      <c r="D2032" s="13" t="n">
        <v>0</v>
      </c>
      <c r="E2032" s="13" t="inlineStr">
        <is>
          <t>E</t>
        </is>
      </c>
      <c r="F2032" s="13" t="n">
        <v>2020</v>
      </c>
      <c r="G2032" s="14" t="n">
        <v>8208048.865131872</v>
      </c>
      <c r="H2032" s="14" t="n">
        <v>2238756.336553357</v>
      </c>
      <c r="I2032" s="14" t="n">
        <v>924425.125191782</v>
      </c>
      <c r="J2032" s="14" t="n">
        <v>0</v>
      </c>
      <c r="K2032" s="14" t="n">
        <v>41263.91658385034</v>
      </c>
      <c r="L2032" s="14" t="n">
        <v>5003603.486802883</v>
      </c>
      <c r="M2032" s="14" t="n">
        <v>0</v>
      </c>
      <c r="N2032" s="14" t="n">
        <v>2238756.336553357</v>
      </c>
      <c r="O2032" s="14" t="n">
        <v>3204445.378328989</v>
      </c>
      <c r="P2032" s="14" t="n">
        <v>0</v>
      </c>
      <c r="Q2032" s="14" t="n">
        <v>21432902.26105054</v>
      </c>
      <c r="R2032" s="15">
        <f>IF(D2032=1,"Section 1","Control")</f>
        <v/>
      </c>
      <c r="S2032" s="16">
        <f>N2032/10000</f>
        <v/>
      </c>
      <c r="T2032" s="16">
        <f>P2032/10000</f>
        <v/>
      </c>
      <c r="U2032" s="15">
        <f>IF(N2032&gt;=Summary!$D$3,1,0)</f>
        <v/>
      </c>
      <c r="V2032" s="17">
        <f>IF(N2032&gt;0,P2032/N2032,"")</f>
        <v/>
      </c>
      <c r="W2032" s="17">
        <f>IF(O2032&gt;0,H2032/O2032,"")</f>
        <v/>
      </c>
    </row>
    <row r="2033">
      <c r="A2033" s="13" t="inlineStr">
        <is>
          <t>CE26_B3</t>
        </is>
      </c>
      <c r="B2033" s="13" t="inlineStr">
        <is>
          <t>CE26</t>
        </is>
      </c>
      <c r="C2033" s="13" t="inlineStr">
        <is>
          <t>B3</t>
        </is>
      </c>
      <c r="D2033" s="13" t="n">
        <v>0</v>
      </c>
      <c r="E2033" s="13" t="inlineStr">
        <is>
          <t>E</t>
        </is>
      </c>
      <c r="F2033" s="13" t="n">
        <v>2021</v>
      </c>
      <c r="G2033" s="14" t="n">
        <v>8208048.865131873</v>
      </c>
      <c r="H2033" s="14" t="n">
        <v>2053813.417947298</v>
      </c>
      <c r="I2033" s="14" t="n">
        <v>850151.3714678894</v>
      </c>
      <c r="J2033" s="14" t="n">
        <v>0</v>
      </c>
      <c r="K2033" s="14" t="n">
        <v>468793.7293369966</v>
      </c>
      <c r="L2033" s="14" t="n">
        <v>4835290.346379687</v>
      </c>
      <c r="M2033" s="14" t="n">
        <v>0</v>
      </c>
      <c r="N2033" s="14" t="n">
        <v>2238756.336553357</v>
      </c>
      <c r="O2033" s="14" t="n">
        <v>3204445.378328989</v>
      </c>
      <c r="P2033" s="14" t="n">
        <v>237055.8615319046</v>
      </c>
      <c r="Q2033" s="14" t="n">
        <v>21432902.26105053</v>
      </c>
      <c r="R2033" s="15">
        <f>IF(D2033=1,"Section 1","Control")</f>
        <v/>
      </c>
      <c r="S2033" s="16">
        <f>N2033/10000</f>
        <v/>
      </c>
      <c r="T2033" s="16">
        <f>P2033/10000</f>
        <v/>
      </c>
      <c r="U2033" s="15">
        <f>IF(N2033&gt;=Summary!$D$3,1,0)</f>
        <v/>
      </c>
      <c r="V2033" s="17">
        <f>IF(N2033&gt;0,P2033/N2033,"")</f>
        <v/>
      </c>
      <c r="W2033" s="17">
        <f>IF(O2033&gt;0,H2033/O2033,"")</f>
        <v/>
      </c>
    </row>
    <row r="2034">
      <c r="A2034" s="13" t="inlineStr">
        <is>
          <t>CE26_B3</t>
        </is>
      </c>
      <c r="B2034" s="13" t="inlineStr">
        <is>
          <t>CE26</t>
        </is>
      </c>
      <c r="C2034" s="13" t="inlineStr">
        <is>
          <t>B3</t>
        </is>
      </c>
      <c r="D2034" s="13" t="n">
        <v>0</v>
      </c>
      <c r="E2034" s="13" t="inlineStr">
        <is>
          <t>E</t>
        </is>
      </c>
      <c r="F2034" s="13" t="n">
        <v>2022</v>
      </c>
      <c r="G2034" s="14" t="n">
        <v>8208048.865131873</v>
      </c>
      <c r="H2034" s="14" t="n">
        <v>2148845.889206082</v>
      </c>
      <c r="I2034" s="14" t="n">
        <v>941207.637876234</v>
      </c>
      <c r="J2034" s="14" t="n">
        <v>0</v>
      </c>
      <c r="K2034" s="14" t="n">
        <v>284913.8575567208</v>
      </c>
      <c r="L2034" s="14" t="n">
        <v>4833081.480492835</v>
      </c>
      <c r="M2034" s="14" t="n">
        <v>0</v>
      </c>
      <c r="N2034" s="14" t="n">
        <v>2238756.336553357</v>
      </c>
      <c r="O2034" s="14" t="n">
        <v>3204445.378328989</v>
      </c>
      <c r="P2034" s="14" t="n">
        <v>183088.0125099331</v>
      </c>
      <c r="Q2034" s="14" t="n">
        <v>21432902.26105054</v>
      </c>
      <c r="R2034" s="15">
        <f>IF(D2034=1,"Section 1","Control")</f>
        <v/>
      </c>
      <c r="S2034" s="16">
        <f>N2034/10000</f>
        <v/>
      </c>
      <c r="T2034" s="16">
        <f>P2034/10000</f>
        <v/>
      </c>
      <c r="U2034" s="15">
        <f>IF(N2034&gt;=Summary!$D$3,1,0)</f>
        <v/>
      </c>
      <c r="V2034" s="17">
        <f>IF(N2034&gt;0,P2034/N2034,"")</f>
        <v/>
      </c>
      <c r="W2034" s="17">
        <f>IF(O2034&gt;0,H2034/O2034,"")</f>
        <v/>
      </c>
    </row>
    <row r="2035">
      <c r="A2035" s="13" t="inlineStr">
        <is>
          <t>CE26_B3</t>
        </is>
      </c>
      <c r="B2035" s="13" t="inlineStr">
        <is>
          <t>CE26</t>
        </is>
      </c>
      <c r="C2035" s="13" t="inlineStr">
        <is>
          <t>B3</t>
        </is>
      </c>
      <c r="D2035" s="13" t="n">
        <v>0</v>
      </c>
      <c r="E2035" s="13" t="inlineStr">
        <is>
          <t>E</t>
        </is>
      </c>
      <c r="F2035" s="13" t="n">
        <v>2023</v>
      </c>
      <c r="G2035" s="14" t="n">
        <v>8208048.865131872</v>
      </c>
      <c r="H2035" s="14" t="n">
        <v>2123409.206007923</v>
      </c>
      <c r="I2035" s="14" t="n">
        <v>966067.0298836801</v>
      </c>
      <c r="J2035" s="14" t="n">
        <v>0</v>
      </c>
      <c r="K2035" s="14" t="n">
        <v>112139.3615527583</v>
      </c>
      <c r="L2035" s="14" t="n">
        <v>5006433.26768751</v>
      </c>
      <c r="M2035" s="14" t="n">
        <v>0</v>
      </c>
      <c r="N2035" s="14" t="n">
        <v>2238756.336553357</v>
      </c>
      <c r="O2035" s="14" t="n">
        <v>3204445.378328989</v>
      </c>
      <c r="P2035" s="14" t="n">
        <v>184422.7667627073</v>
      </c>
      <c r="Q2035" s="14" t="n">
        <v>21432902.26105053</v>
      </c>
      <c r="R2035" s="15">
        <f>IF(D2035=1,"Section 1","Control")</f>
        <v/>
      </c>
      <c r="S2035" s="16">
        <f>N2035/10000</f>
        <v/>
      </c>
      <c r="T2035" s="16">
        <f>P2035/10000</f>
        <v/>
      </c>
      <c r="U2035" s="15">
        <f>IF(N2035&gt;=Summary!$D$3,1,0)</f>
        <v/>
      </c>
      <c r="V2035" s="17">
        <f>IF(N2035&gt;0,P2035/N2035,"")</f>
        <v/>
      </c>
      <c r="W2035" s="17">
        <f>IF(O2035&gt;0,H2035/O2035,"")</f>
        <v/>
      </c>
    </row>
    <row r="2036">
      <c r="A2036" s="13" t="inlineStr">
        <is>
          <t>CE26_B3</t>
        </is>
      </c>
      <c r="B2036" s="13" t="inlineStr">
        <is>
          <t>CE26</t>
        </is>
      </c>
      <c r="C2036" s="13" t="inlineStr">
        <is>
          <t>B3</t>
        </is>
      </c>
      <c r="D2036" s="13" t="n">
        <v>0</v>
      </c>
      <c r="E2036" s="13" t="inlineStr">
        <is>
          <t>E</t>
        </is>
      </c>
      <c r="F2036" s="13" t="n">
        <v>2024</v>
      </c>
      <c r="G2036" s="14" t="n">
        <v>8208048.865131873</v>
      </c>
      <c r="H2036" s="14" t="n">
        <v>2219742.593919313</v>
      </c>
      <c r="I2036" s="14" t="n">
        <v>891780.2993342379</v>
      </c>
      <c r="J2036" s="14" t="n">
        <v>0</v>
      </c>
      <c r="K2036" s="14" t="n">
        <v>149082.0200323965</v>
      </c>
      <c r="L2036" s="14" t="n">
        <v>4947443.951845924</v>
      </c>
      <c r="M2036" s="14" t="n">
        <v>0</v>
      </c>
      <c r="N2036" s="14" t="n">
        <v>2238756.336553357</v>
      </c>
      <c r="O2036" s="14" t="n">
        <v>3204445.378328989</v>
      </c>
      <c r="P2036" s="14" t="n">
        <v>154290.0548307232</v>
      </c>
      <c r="Q2036" s="14" t="n">
        <v>21432902.26105053</v>
      </c>
      <c r="R2036" s="15">
        <f>IF(D2036=1,"Section 1","Control")</f>
        <v/>
      </c>
      <c r="S2036" s="16">
        <f>N2036/10000</f>
        <v/>
      </c>
      <c r="T2036" s="16">
        <f>P2036/10000</f>
        <v/>
      </c>
      <c r="U2036" s="15">
        <f>IF(N2036&gt;=Summary!$D$3,1,0)</f>
        <v/>
      </c>
      <c r="V2036" s="17">
        <f>IF(N2036&gt;0,P2036/N2036,"")</f>
        <v/>
      </c>
      <c r="W2036" s="17">
        <f>IF(O2036&gt;0,H2036/O2036,"")</f>
        <v/>
      </c>
    </row>
    <row r="2037">
      <c r="A2037" s="13" t="inlineStr">
        <is>
          <t>CE26_B3</t>
        </is>
      </c>
      <c r="B2037" s="13" t="inlineStr">
        <is>
          <t>CE26</t>
        </is>
      </c>
      <c r="C2037" s="13" t="inlineStr">
        <is>
          <t>B3</t>
        </is>
      </c>
      <c r="D2037" s="13" t="n">
        <v>0</v>
      </c>
      <c r="E2037" s="13" t="inlineStr">
        <is>
          <t>E</t>
        </is>
      </c>
      <c r="F2037" s="13" t="n">
        <v>2025</v>
      </c>
      <c r="G2037" s="14" t="n">
        <v>8208048.865131873</v>
      </c>
      <c r="H2037" s="14" t="n">
        <v>2397417.095823161</v>
      </c>
      <c r="I2037" s="14" t="n">
        <v>675835.3438376035</v>
      </c>
      <c r="J2037" s="14" t="n">
        <v>0</v>
      </c>
      <c r="K2037" s="14" t="n">
        <v>133107.3582569197</v>
      </c>
      <c r="L2037" s="14" t="n">
        <v>5001689.067214188</v>
      </c>
      <c r="M2037" s="14" t="n">
        <v>0</v>
      </c>
      <c r="N2037" s="14" t="n">
        <v>2238756.336553357</v>
      </c>
      <c r="O2037" s="14" t="n">
        <v>3204445.378328989</v>
      </c>
      <c r="P2037" s="14" t="n">
        <v>133106.5003323424</v>
      </c>
      <c r="Q2037" s="14" t="n">
        <v>21432902.26105053</v>
      </c>
      <c r="R2037" s="15">
        <f>IF(D2037=1,"Section 1","Control")</f>
        <v/>
      </c>
      <c r="S2037" s="16">
        <f>N2037/10000</f>
        <v/>
      </c>
      <c r="T2037" s="16">
        <f>P2037/10000</f>
        <v/>
      </c>
      <c r="U2037" s="15">
        <f>IF(N2037&gt;=Summary!$D$3,1,0)</f>
        <v/>
      </c>
      <c r="V2037" s="17">
        <f>IF(N2037&gt;0,P2037/N2037,"")</f>
        <v/>
      </c>
      <c r="W2037" s="17">
        <f>IF(O2037&gt;0,H2037/O2037,"")</f>
        <v/>
      </c>
    </row>
    <row r="2038">
      <c r="A2038" s="13" t="inlineStr">
        <is>
          <t>CE26_B3</t>
        </is>
      </c>
      <c r="B2038" s="13" t="inlineStr">
        <is>
          <t>CE26</t>
        </is>
      </c>
      <c r="C2038" s="13" t="inlineStr">
        <is>
          <t>B3</t>
        </is>
      </c>
      <c r="D2038" s="13" t="n">
        <v>0</v>
      </c>
      <c r="E2038" s="13" t="inlineStr">
        <is>
          <t>E</t>
        </is>
      </c>
      <c r="F2038" s="13" t="n">
        <v>2026</v>
      </c>
      <c r="G2038" s="14" t="n">
        <v>8208048.865131873</v>
      </c>
      <c r="H2038" s="14" t="n">
        <v>2282379.81525478</v>
      </c>
      <c r="I2038" s="14" t="n">
        <v>666994.8766721239</v>
      </c>
      <c r="J2038" s="14" t="n">
        <v>0</v>
      </c>
      <c r="K2038" s="14" t="n">
        <v>248224.5522233252</v>
      </c>
      <c r="L2038" s="14" t="n">
        <v>5010449.620981643</v>
      </c>
      <c r="M2038" s="14" t="n">
        <v>0</v>
      </c>
      <c r="N2038" s="14" t="n">
        <v>2238756.336553357</v>
      </c>
      <c r="O2038" s="14" t="n">
        <v>3204445.378328989</v>
      </c>
      <c r="P2038" s="14" t="n">
        <v>163202.2703743131</v>
      </c>
      <c r="Q2038" s="14" t="n">
        <v>21432902.26105053</v>
      </c>
      <c r="R2038" s="15">
        <f>IF(D2038=1,"Section 1","Control")</f>
        <v/>
      </c>
      <c r="S2038" s="16">
        <f>N2038/10000</f>
        <v/>
      </c>
      <c r="T2038" s="16">
        <f>P2038/10000</f>
        <v/>
      </c>
      <c r="U2038" s="15">
        <f>IF(N2038&gt;=Summary!$D$3,1,0)</f>
        <v/>
      </c>
      <c r="V2038" s="17">
        <f>IF(N2038&gt;0,P2038/N2038,"")</f>
        <v/>
      </c>
      <c r="W2038" s="17">
        <f>IF(O2038&gt;0,H2038/O2038,"")</f>
        <v/>
      </c>
    </row>
    <row r="2039">
      <c r="A2039" s="13" t="inlineStr">
        <is>
          <t>CE26_F</t>
        </is>
      </c>
      <c r="B2039" s="13" t="inlineStr">
        <is>
          <t>CE26</t>
        </is>
      </c>
      <c r="C2039" s="13" t="inlineStr">
        <is>
          <t>F</t>
        </is>
      </c>
      <c r="D2039" s="13" t="n">
        <v>0</v>
      </c>
      <c r="E2039" s="13" t="inlineStr">
        <is>
          <t>E</t>
        </is>
      </c>
      <c r="F2039" s="13" t="n">
        <v>2020</v>
      </c>
      <c r="G2039" s="14" t="n">
        <v>71328.77765437108</v>
      </c>
      <c r="H2039" s="14" t="n">
        <v>64586.02509254009</v>
      </c>
      <c r="I2039" s="14" t="n">
        <v>5031.799558751723</v>
      </c>
      <c r="J2039" s="14" t="n">
        <v>0</v>
      </c>
      <c r="K2039" s="14" t="n">
        <v>1710.953003079284</v>
      </c>
      <c r="L2039" s="14" t="n">
        <v>0</v>
      </c>
      <c r="M2039" s="14" t="n">
        <v>0</v>
      </c>
      <c r="N2039" s="14" t="n">
        <v>64586.02509254009</v>
      </c>
      <c r="O2039" s="14" t="n">
        <v>71328.77765437108</v>
      </c>
      <c r="P2039" s="14" t="n">
        <v>0</v>
      </c>
      <c r="Q2039" s="14" t="n">
        <v>527070.0555229634</v>
      </c>
      <c r="R2039" s="15">
        <f>IF(D2039=1,"Section 1","Control")</f>
        <v/>
      </c>
      <c r="S2039" s="16">
        <f>N2039/10000</f>
        <v/>
      </c>
      <c r="T2039" s="16">
        <f>P2039/10000</f>
        <v/>
      </c>
      <c r="U2039" s="15">
        <f>IF(N2039&gt;=Summary!$D$3,1,0)</f>
        <v/>
      </c>
      <c r="V2039" s="17">
        <f>IF(N2039&gt;0,P2039/N2039,"")</f>
        <v/>
      </c>
      <c r="W2039" s="17">
        <f>IF(O2039&gt;0,H2039/O2039,"")</f>
        <v/>
      </c>
    </row>
    <row r="2040">
      <c r="A2040" s="13" t="inlineStr">
        <is>
          <t>CE26_F</t>
        </is>
      </c>
      <c r="B2040" s="13" t="inlineStr">
        <is>
          <t>CE26</t>
        </is>
      </c>
      <c r="C2040" s="13" t="inlineStr">
        <is>
          <t>F</t>
        </is>
      </c>
      <c r="D2040" s="13" t="n">
        <v>0</v>
      </c>
      <c r="E2040" s="13" t="inlineStr">
        <is>
          <t>E</t>
        </is>
      </c>
      <c r="F2040" s="13" t="n">
        <v>2021</v>
      </c>
      <c r="G2040" s="14" t="n">
        <v>71328.77765437108</v>
      </c>
      <c r="H2040" s="14" t="n">
        <v>43849.78054001752</v>
      </c>
      <c r="I2040" s="14" t="n">
        <v>18611.3937350404</v>
      </c>
      <c r="J2040" s="14" t="n">
        <v>0</v>
      </c>
      <c r="K2040" s="14" t="n">
        <v>8867.60337931315</v>
      </c>
      <c r="L2040" s="14" t="n">
        <v>0</v>
      </c>
      <c r="M2040" s="14" t="n">
        <v>0</v>
      </c>
      <c r="N2040" s="14" t="n">
        <v>64586.02509254009</v>
      </c>
      <c r="O2040" s="14" t="n">
        <v>71328.77765437108</v>
      </c>
      <c r="P2040" s="14" t="n">
        <v>20736.24455252255</v>
      </c>
      <c r="Q2040" s="14" t="n">
        <v>527070.0555229634</v>
      </c>
      <c r="R2040" s="15">
        <f>IF(D2040=1,"Section 1","Control")</f>
        <v/>
      </c>
      <c r="S2040" s="16">
        <f>N2040/10000</f>
        <v/>
      </c>
      <c r="T2040" s="16">
        <f>P2040/10000</f>
        <v/>
      </c>
      <c r="U2040" s="15">
        <f>IF(N2040&gt;=Summary!$D$3,1,0)</f>
        <v/>
      </c>
      <c r="V2040" s="17">
        <f>IF(N2040&gt;0,P2040/N2040,"")</f>
        <v/>
      </c>
      <c r="W2040" s="17">
        <f>IF(O2040&gt;0,H2040/O2040,"")</f>
        <v/>
      </c>
    </row>
    <row r="2041">
      <c r="A2041" s="13" t="inlineStr">
        <is>
          <t>CE26_F</t>
        </is>
      </c>
      <c r="B2041" s="13" t="inlineStr">
        <is>
          <t>CE26</t>
        </is>
      </c>
      <c r="C2041" s="13" t="inlineStr">
        <is>
          <t>F</t>
        </is>
      </c>
      <c r="D2041" s="13" t="n">
        <v>0</v>
      </c>
      <c r="E2041" s="13" t="inlineStr">
        <is>
          <t>E</t>
        </is>
      </c>
      <c r="F2041" s="13" t="n">
        <v>2022</v>
      </c>
      <c r="G2041" s="14" t="n">
        <v>71328.77765437108</v>
      </c>
      <c r="H2041" s="14" t="n">
        <v>47458.31090485817</v>
      </c>
      <c r="I2041" s="14" t="n">
        <v>14649.75321164598</v>
      </c>
      <c r="J2041" s="14" t="n">
        <v>0</v>
      </c>
      <c r="K2041" s="14" t="n">
        <v>9220.713537866926</v>
      </c>
      <c r="L2041" s="14" t="n">
        <v>0</v>
      </c>
      <c r="M2041" s="14" t="n">
        <v>0</v>
      </c>
      <c r="N2041" s="14" t="n">
        <v>64586.02509254009</v>
      </c>
      <c r="O2041" s="14" t="n">
        <v>71328.77765437108</v>
      </c>
      <c r="P2041" s="14" t="n">
        <v>17906.72179245294</v>
      </c>
      <c r="Q2041" s="14" t="n">
        <v>527070.0555229634</v>
      </c>
      <c r="R2041" s="15">
        <f>IF(D2041=1,"Section 1","Control")</f>
        <v/>
      </c>
      <c r="S2041" s="16">
        <f>N2041/10000</f>
        <v/>
      </c>
      <c r="T2041" s="16">
        <f>P2041/10000</f>
        <v/>
      </c>
      <c r="U2041" s="15">
        <f>IF(N2041&gt;=Summary!$D$3,1,0)</f>
        <v/>
      </c>
      <c r="V2041" s="17">
        <f>IF(N2041&gt;0,P2041/N2041,"")</f>
        <v/>
      </c>
      <c r="W2041" s="17">
        <f>IF(O2041&gt;0,H2041/O2041,"")</f>
        <v/>
      </c>
    </row>
    <row r="2042">
      <c r="A2042" s="13" t="inlineStr">
        <is>
          <t>CE26_F</t>
        </is>
      </c>
      <c r="B2042" s="13" t="inlineStr">
        <is>
          <t>CE26</t>
        </is>
      </c>
      <c r="C2042" s="13" t="inlineStr">
        <is>
          <t>F</t>
        </is>
      </c>
      <c r="D2042" s="13" t="n">
        <v>0</v>
      </c>
      <c r="E2042" s="13" t="inlineStr">
        <is>
          <t>E</t>
        </is>
      </c>
      <c r="F2042" s="13" t="n">
        <v>2023</v>
      </c>
      <c r="G2042" s="14" t="n">
        <v>71328.77765437108</v>
      </c>
      <c r="H2042" s="14" t="n">
        <v>39286.4643455655</v>
      </c>
      <c r="I2042" s="14" t="n">
        <v>24699.03961178649</v>
      </c>
      <c r="J2042" s="14" t="n">
        <v>0</v>
      </c>
      <c r="K2042" s="14" t="n">
        <v>7343.27369701909</v>
      </c>
      <c r="L2042" s="14" t="n">
        <v>0</v>
      </c>
      <c r="M2042" s="14" t="n">
        <v>0</v>
      </c>
      <c r="N2042" s="14" t="n">
        <v>64586.02509254009</v>
      </c>
      <c r="O2042" s="14" t="n">
        <v>71328.77765437108</v>
      </c>
      <c r="P2042" s="14" t="n">
        <v>25710.35942095588</v>
      </c>
      <c r="Q2042" s="14" t="n">
        <v>527070.0555229634</v>
      </c>
      <c r="R2042" s="15">
        <f>IF(D2042=1,"Section 1","Control")</f>
        <v/>
      </c>
      <c r="S2042" s="16">
        <f>N2042/10000</f>
        <v/>
      </c>
      <c r="T2042" s="16">
        <f>P2042/10000</f>
        <v/>
      </c>
      <c r="U2042" s="15">
        <f>IF(N2042&gt;=Summary!$D$3,1,0)</f>
        <v/>
      </c>
      <c r="V2042" s="17">
        <f>IF(N2042&gt;0,P2042/N2042,"")</f>
        <v/>
      </c>
      <c r="W2042" s="17">
        <f>IF(O2042&gt;0,H2042/O2042,"")</f>
        <v/>
      </c>
    </row>
    <row r="2043">
      <c r="A2043" s="13" t="inlineStr">
        <is>
          <t>CE26_F</t>
        </is>
      </c>
      <c r="B2043" s="13" t="inlineStr">
        <is>
          <t>CE26</t>
        </is>
      </c>
      <c r="C2043" s="13" t="inlineStr">
        <is>
          <t>F</t>
        </is>
      </c>
      <c r="D2043" s="13" t="n">
        <v>0</v>
      </c>
      <c r="E2043" s="13" t="inlineStr">
        <is>
          <t>E</t>
        </is>
      </c>
      <c r="F2043" s="13" t="n">
        <v>2024</v>
      </c>
      <c r="G2043" s="14" t="n">
        <v>71328.77765437108</v>
      </c>
      <c r="H2043" s="14" t="n">
        <v>44458.04464356666</v>
      </c>
      <c r="I2043" s="14" t="n">
        <v>19951.80981693641</v>
      </c>
      <c r="J2043" s="14" t="n">
        <v>0</v>
      </c>
      <c r="K2043" s="14" t="n">
        <v>6918.923193868001</v>
      </c>
      <c r="L2043" s="14" t="n">
        <v>0</v>
      </c>
      <c r="M2043" s="14" t="n">
        <v>0</v>
      </c>
      <c r="N2043" s="14" t="n">
        <v>64586.02509254009</v>
      </c>
      <c r="O2043" s="14" t="n">
        <v>71328.77765437108</v>
      </c>
      <c r="P2043" s="14" t="n">
        <v>20127.98044897341</v>
      </c>
      <c r="Q2043" s="14" t="n">
        <v>527070.0555229634</v>
      </c>
      <c r="R2043" s="15">
        <f>IF(D2043=1,"Section 1","Control")</f>
        <v/>
      </c>
      <c r="S2043" s="16">
        <f>N2043/10000</f>
        <v/>
      </c>
      <c r="T2043" s="16">
        <f>P2043/10000</f>
        <v/>
      </c>
      <c r="U2043" s="15">
        <f>IF(N2043&gt;=Summary!$D$3,1,0)</f>
        <v/>
      </c>
      <c r="V2043" s="17">
        <f>IF(N2043&gt;0,P2043/N2043,"")</f>
        <v/>
      </c>
      <c r="W2043" s="17">
        <f>IF(O2043&gt;0,H2043/O2043,"")</f>
        <v/>
      </c>
    </row>
    <row r="2044">
      <c r="A2044" s="13" t="inlineStr">
        <is>
          <t>CE26_F</t>
        </is>
      </c>
      <c r="B2044" s="13" t="inlineStr">
        <is>
          <t>CE26</t>
        </is>
      </c>
      <c r="C2044" s="13" t="inlineStr">
        <is>
          <t>F</t>
        </is>
      </c>
      <c r="D2044" s="13" t="n">
        <v>0</v>
      </c>
      <c r="E2044" s="13" t="inlineStr">
        <is>
          <t>E</t>
        </is>
      </c>
      <c r="F2044" s="13" t="n">
        <v>2025</v>
      </c>
      <c r="G2044" s="14" t="n">
        <v>71328.77765437108</v>
      </c>
      <c r="H2044" s="14" t="n">
        <v>40909.91855262308</v>
      </c>
      <c r="I2044" s="14" t="n">
        <v>24383.86932764989</v>
      </c>
      <c r="J2044" s="14" t="n">
        <v>0</v>
      </c>
      <c r="K2044" s="14" t="n">
        <v>6034.989774098115</v>
      </c>
      <c r="L2044" s="14" t="n">
        <v>0</v>
      </c>
      <c r="M2044" s="14" t="n">
        <v>0</v>
      </c>
      <c r="N2044" s="14" t="n">
        <v>64586.02509254009</v>
      </c>
      <c r="O2044" s="14" t="n">
        <v>71328.77765437108</v>
      </c>
      <c r="P2044" s="14" t="n">
        <v>23676.10653991699</v>
      </c>
      <c r="Q2044" s="14" t="n">
        <v>527070.0555229634</v>
      </c>
      <c r="R2044" s="15">
        <f>IF(D2044=1,"Section 1","Control")</f>
        <v/>
      </c>
      <c r="S2044" s="16">
        <f>N2044/10000</f>
        <v/>
      </c>
      <c r="T2044" s="16">
        <f>P2044/10000</f>
        <v/>
      </c>
      <c r="U2044" s="15">
        <f>IF(N2044&gt;=Summary!$D$3,1,0)</f>
        <v/>
      </c>
      <c r="V2044" s="17">
        <f>IF(N2044&gt;0,P2044/N2044,"")</f>
        <v/>
      </c>
      <c r="W2044" s="17">
        <f>IF(O2044&gt;0,H2044/O2044,"")</f>
        <v/>
      </c>
    </row>
    <row r="2045">
      <c r="A2045" s="13" t="inlineStr">
        <is>
          <t>CE26_F</t>
        </is>
      </c>
      <c r="B2045" s="13" t="inlineStr">
        <is>
          <t>CE26</t>
        </is>
      </c>
      <c r="C2045" s="13" t="inlineStr">
        <is>
          <t>F</t>
        </is>
      </c>
      <c r="D2045" s="13" t="n">
        <v>0</v>
      </c>
      <c r="E2045" s="13" t="inlineStr">
        <is>
          <t>E</t>
        </is>
      </c>
      <c r="F2045" s="13" t="n">
        <v>2026</v>
      </c>
      <c r="G2045" s="14" t="n">
        <v>71328.77765437108</v>
      </c>
      <c r="H2045" s="14" t="n">
        <v>57999.68974977382</v>
      </c>
      <c r="I2045" s="14" t="n">
        <v>4792.135864407409</v>
      </c>
      <c r="J2045" s="14" t="n">
        <v>0</v>
      </c>
      <c r="K2045" s="14" t="n">
        <v>8536.952040189854</v>
      </c>
      <c r="L2045" s="14" t="n">
        <v>0</v>
      </c>
      <c r="M2045" s="14" t="n">
        <v>0</v>
      </c>
      <c r="N2045" s="14" t="n">
        <v>64586.02509254009</v>
      </c>
      <c r="O2045" s="14" t="n">
        <v>71328.77765437108</v>
      </c>
      <c r="P2045" s="14" t="n">
        <v>9352.741161002365</v>
      </c>
      <c r="Q2045" s="14" t="n">
        <v>527070.0555229634</v>
      </c>
      <c r="R2045" s="15">
        <f>IF(D2045=1,"Section 1","Control")</f>
        <v/>
      </c>
      <c r="S2045" s="16">
        <f>N2045/10000</f>
        <v/>
      </c>
      <c r="T2045" s="16">
        <f>P2045/10000</f>
        <v/>
      </c>
      <c r="U2045" s="15">
        <f>IF(N2045&gt;=Summary!$D$3,1,0)</f>
        <v/>
      </c>
      <c r="V2045" s="17">
        <f>IF(N2045&gt;0,P2045/N2045,"")</f>
        <v/>
      </c>
      <c r="W2045" s="17">
        <f>IF(O2045&gt;0,H2045/O2045,"")</f>
        <v/>
      </c>
    </row>
    <row r="2046">
      <c r="A2046" s="13" t="inlineStr">
        <is>
          <t>CE27_B1</t>
        </is>
      </c>
      <c r="B2046" s="13" t="inlineStr">
        <is>
          <t>CE27</t>
        </is>
      </c>
      <c r="C2046" s="13" t="inlineStr">
        <is>
          <t>B1</t>
        </is>
      </c>
      <c r="D2046" s="13" t="n">
        <v>0</v>
      </c>
      <c r="E2046" s="13" t="inlineStr">
        <is>
          <t>E</t>
        </is>
      </c>
      <c r="F2046" s="13" t="n">
        <v>2020</v>
      </c>
      <c r="G2046" s="14" t="n">
        <v>974442.4772256288</v>
      </c>
      <c r="H2046" s="14" t="n">
        <v>324319.0944128597</v>
      </c>
      <c r="I2046" s="14" t="n">
        <v>317994.4894909727</v>
      </c>
      <c r="J2046" s="14" t="n">
        <v>0</v>
      </c>
      <c r="K2046" s="14" t="n">
        <v>81984.68694461</v>
      </c>
      <c r="L2046" s="14" t="n">
        <v>250144.2063771865</v>
      </c>
      <c r="M2046" s="14" t="n">
        <v>0</v>
      </c>
      <c r="N2046" s="14" t="n">
        <v>324319.0944128597</v>
      </c>
      <c r="O2046" s="14" t="n">
        <v>724298.2708484426</v>
      </c>
      <c r="P2046" s="14" t="n">
        <v>0</v>
      </c>
      <c r="Q2046" s="14" t="n">
        <v>5731741.926020365</v>
      </c>
      <c r="R2046" s="15">
        <f>IF(D2046=1,"Section 1","Control")</f>
        <v/>
      </c>
      <c r="S2046" s="16">
        <f>N2046/10000</f>
        <v/>
      </c>
      <c r="T2046" s="16">
        <f>P2046/10000</f>
        <v/>
      </c>
      <c r="U2046" s="15">
        <f>IF(N2046&gt;=Summary!$D$3,1,0)</f>
        <v/>
      </c>
      <c r="V2046" s="17">
        <f>IF(N2046&gt;0,P2046/N2046,"")</f>
        <v/>
      </c>
      <c r="W2046" s="17">
        <f>IF(O2046&gt;0,H2046/O2046,"")</f>
        <v/>
      </c>
    </row>
    <row r="2047">
      <c r="A2047" s="13" t="inlineStr">
        <is>
          <t>CE27_B1</t>
        </is>
      </c>
      <c r="B2047" s="13" t="inlineStr">
        <is>
          <t>CE27</t>
        </is>
      </c>
      <c r="C2047" s="13" t="inlineStr">
        <is>
          <t>B1</t>
        </is>
      </c>
      <c r="D2047" s="13" t="n">
        <v>0</v>
      </c>
      <c r="E2047" s="13" t="inlineStr">
        <is>
          <t>E</t>
        </is>
      </c>
      <c r="F2047" s="13" t="n">
        <v>2021</v>
      </c>
      <c r="G2047" s="14" t="n">
        <v>974442.4772256288</v>
      </c>
      <c r="H2047" s="14" t="n">
        <v>213542.9564572502</v>
      </c>
      <c r="I2047" s="14" t="n">
        <v>323565.4890531652</v>
      </c>
      <c r="J2047" s="14" t="n">
        <v>0</v>
      </c>
      <c r="K2047" s="14" t="n">
        <v>204592.5598212448</v>
      </c>
      <c r="L2047" s="14" t="n">
        <v>232741.4718939688</v>
      </c>
      <c r="M2047" s="14" t="n">
        <v>0</v>
      </c>
      <c r="N2047" s="14" t="n">
        <v>324319.0944128597</v>
      </c>
      <c r="O2047" s="14" t="n">
        <v>724298.2708484426</v>
      </c>
      <c r="P2047" s="14" t="n">
        <v>123531.0301243502</v>
      </c>
      <c r="Q2047" s="14" t="n">
        <v>5731741.926020365</v>
      </c>
      <c r="R2047" s="15">
        <f>IF(D2047=1,"Section 1","Control")</f>
        <v/>
      </c>
      <c r="S2047" s="16">
        <f>N2047/10000</f>
        <v/>
      </c>
      <c r="T2047" s="16">
        <f>P2047/10000</f>
        <v/>
      </c>
      <c r="U2047" s="15">
        <f>IF(N2047&gt;=Summary!$D$3,1,0)</f>
        <v/>
      </c>
      <c r="V2047" s="17">
        <f>IF(N2047&gt;0,P2047/N2047,"")</f>
        <v/>
      </c>
      <c r="W2047" s="17">
        <f>IF(O2047&gt;0,H2047/O2047,"")</f>
        <v/>
      </c>
    </row>
    <row r="2048">
      <c r="A2048" s="13" t="inlineStr">
        <is>
          <t>CE27_B1</t>
        </is>
      </c>
      <c r="B2048" s="13" t="inlineStr">
        <is>
          <t>CE27</t>
        </is>
      </c>
      <c r="C2048" s="13" t="inlineStr">
        <is>
          <t>B1</t>
        </is>
      </c>
      <c r="D2048" s="13" t="n">
        <v>0</v>
      </c>
      <c r="E2048" s="13" t="inlineStr">
        <is>
          <t>E</t>
        </is>
      </c>
      <c r="F2048" s="13" t="n">
        <v>2022</v>
      </c>
      <c r="G2048" s="14" t="n">
        <v>974442.4772256288</v>
      </c>
      <c r="H2048" s="14" t="n">
        <v>216718.9472068337</v>
      </c>
      <c r="I2048" s="14" t="n">
        <v>379893.0986675785</v>
      </c>
      <c r="J2048" s="14" t="n">
        <v>0</v>
      </c>
      <c r="K2048" s="14" t="n">
        <v>135511.9749220306</v>
      </c>
      <c r="L2048" s="14" t="n">
        <v>242318.456429186</v>
      </c>
      <c r="M2048" s="14" t="n">
        <v>0</v>
      </c>
      <c r="N2048" s="14" t="n">
        <v>324319.0944128597</v>
      </c>
      <c r="O2048" s="14" t="n">
        <v>724298.2708484426</v>
      </c>
      <c r="P2048" s="14" t="n">
        <v>130985.0571227728</v>
      </c>
      <c r="Q2048" s="14" t="n">
        <v>5731741.926020365</v>
      </c>
      <c r="R2048" s="15">
        <f>IF(D2048=1,"Section 1","Control")</f>
        <v/>
      </c>
      <c r="S2048" s="16">
        <f>N2048/10000</f>
        <v/>
      </c>
      <c r="T2048" s="16">
        <f>P2048/10000</f>
        <v/>
      </c>
      <c r="U2048" s="15">
        <f>IF(N2048&gt;=Summary!$D$3,1,0)</f>
        <v/>
      </c>
      <c r="V2048" s="17">
        <f>IF(N2048&gt;0,P2048/N2048,"")</f>
        <v/>
      </c>
      <c r="W2048" s="17">
        <f>IF(O2048&gt;0,H2048/O2048,"")</f>
        <v/>
      </c>
    </row>
    <row r="2049">
      <c r="A2049" s="13" t="inlineStr">
        <is>
          <t>CE27_B1</t>
        </is>
      </c>
      <c r="B2049" s="13" t="inlineStr">
        <is>
          <t>CE27</t>
        </is>
      </c>
      <c r="C2049" s="13" t="inlineStr">
        <is>
          <t>B1</t>
        </is>
      </c>
      <c r="D2049" s="13" t="n">
        <v>0</v>
      </c>
      <c r="E2049" s="13" t="inlineStr">
        <is>
          <t>E</t>
        </is>
      </c>
      <c r="F2049" s="13" t="n">
        <v>2023</v>
      </c>
      <c r="G2049" s="14" t="n">
        <v>974442.4772256288</v>
      </c>
      <c r="H2049" s="14" t="n">
        <v>221977.251692469</v>
      </c>
      <c r="I2049" s="14" t="n">
        <v>359805.2995480407</v>
      </c>
      <c r="J2049" s="14" t="n">
        <v>0</v>
      </c>
      <c r="K2049" s="14" t="n">
        <v>138461.5309582879</v>
      </c>
      <c r="L2049" s="14" t="n">
        <v>254198.3950268315</v>
      </c>
      <c r="M2049" s="14" t="n">
        <v>0</v>
      </c>
      <c r="N2049" s="14" t="n">
        <v>324319.0944128597</v>
      </c>
      <c r="O2049" s="14" t="n">
        <v>724298.2708484426</v>
      </c>
      <c r="P2049" s="14" t="n">
        <v>133444.4022374172</v>
      </c>
      <c r="Q2049" s="14" t="n">
        <v>5731741.926020365</v>
      </c>
      <c r="R2049" s="15">
        <f>IF(D2049=1,"Section 1","Control")</f>
        <v/>
      </c>
      <c r="S2049" s="16">
        <f>N2049/10000</f>
        <v/>
      </c>
      <c r="T2049" s="16">
        <f>P2049/10000</f>
        <v/>
      </c>
      <c r="U2049" s="15">
        <f>IF(N2049&gt;=Summary!$D$3,1,0)</f>
        <v/>
      </c>
      <c r="V2049" s="17">
        <f>IF(N2049&gt;0,P2049/N2049,"")</f>
        <v/>
      </c>
      <c r="W2049" s="17">
        <f>IF(O2049&gt;0,H2049/O2049,"")</f>
        <v/>
      </c>
    </row>
    <row r="2050">
      <c r="A2050" s="13" t="inlineStr">
        <is>
          <t>CE27_B1</t>
        </is>
      </c>
      <c r="B2050" s="13" t="inlineStr">
        <is>
          <t>CE27</t>
        </is>
      </c>
      <c r="C2050" s="13" t="inlineStr">
        <is>
          <t>B1</t>
        </is>
      </c>
      <c r="D2050" s="13" t="n">
        <v>0</v>
      </c>
      <c r="E2050" s="13" t="inlineStr">
        <is>
          <t>E</t>
        </is>
      </c>
      <c r="F2050" s="13" t="n">
        <v>2024</v>
      </c>
      <c r="G2050" s="14" t="n">
        <v>974442.4772256288</v>
      </c>
      <c r="H2050" s="14" t="n">
        <v>261129.7652896657</v>
      </c>
      <c r="I2050" s="14" t="n">
        <v>347181.7290745754</v>
      </c>
      <c r="J2050" s="14" t="n">
        <v>0</v>
      </c>
      <c r="K2050" s="14" t="n">
        <v>130579.7217333027</v>
      </c>
      <c r="L2050" s="14" t="n">
        <v>235551.2611280853</v>
      </c>
      <c r="M2050" s="14" t="n">
        <v>0</v>
      </c>
      <c r="N2050" s="14" t="n">
        <v>324319.0944128597</v>
      </c>
      <c r="O2050" s="14" t="n">
        <v>724298.2708484426</v>
      </c>
      <c r="P2050" s="14" t="n">
        <v>106685.5504110598</v>
      </c>
      <c r="Q2050" s="14" t="n">
        <v>5731741.926020365</v>
      </c>
      <c r="R2050" s="15">
        <f>IF(D2050=1,"Section 1","Control")</f>
        <v/>
      </c>
      <c r="S2050" s="16">
        <f>N2050/10000</f>
        <v/>
      </c>
      <c r="T2050" s="16">
        <f>P2050/10000</f>
        <v/>
      </c>
      <c r="U2050" s="15">
        <f>IF(N2050&gt;=Summary!$D$3,1,0)</f>
        <v/>
      </c>
      <c r="V2050" s="17">
        <f>IF(N2050&gt;0,P2050/N2050,"")</f>
        <v/>
      </c>
      <c r="W2050" s="17">
        <f>IF(O2050&gt;0,H2050/O2050,"")</f>
        <v/>
      </c>
    </row>
    <row r="2051">
      <c r="A2051" s="13" t="inlineStr">
        <is>
          <t>CE27_B1</t>
        </is>
      </c>
      <c r="B2051" s="13" t="inlineStr">
        <is>
          <t>CE27</t>
        </is>
      </c>
      <c r="C2051" s="13" t="inlineStr">
        <is>
          <t>B1</t>
        </is>
      </c>
      <c r="D2051" s="13" t="n">
        <v>0</v>
      </c>
      <c r="E2051" s="13" t="inlineStr">
        <is>
          <t>E</t>
        </is>
      </c>
      <c r="F2051" s="13" t="n">
        <v>2025</v>
      </c>
      <c r="G2051" s="14" t="n">
        <v>974442.4772256288</v>
      </c>
      <c r="H2051" s="14" t="n">
        <v>288168.0047732784</v>
      </c>
      <c r="I2051" s="14" t="n">
        <v>318269.1291573617</v>
      </c>
      <c r="J2051" s="14" t="n">
        <v>0</v>
      </c>
      <c r="K2051" s="14" t="n">
        <v>130041.539386465</v>
      </c>
      <c r="L2051" s="14" t="n">
        <v>237963.8039085238</v>
      </c>
      <c r="M2051" s="14" t="n">
        <v>0</v>
      </c>
      <c r="N2051" s="14" t="n">
        <v>324319.0944128597</v>
      </c>
      <c r="O2051" s="14" t="n">
        <v>724298.2708484426</v>
      </c>
      <c r="P2051" s="14" t="n">
        <v>103471.9919678333</v>
      </c>
      <c r="Q2051" s="14" t="n">
        <v>5731741.926020365</v>
      </c>
      <c r="R2051" s="15">
        <f>IF(D2051=1,"Section 1","Control")</f>
        <v/>
      </c>
      <c r="S2051" s="16">
        <f>N2051/10000</f>
        <v/>
      </c>
      <c r="T2051" s="16">
        <f>P2051/10000</f>
        <v/>
      </c>
      <c r="U2051" s="15">
        <f>IF(N2051&gt;=Summary!$D$3,1,0)</f>
        <v/>
      </c>
      <c r="V2051" s="17">
        <f>IF(N2051&gt;0,P2051/N2051,"")</f>
        <v/>
      </c>
      <c r="W2051" s="17">
        <f>IF(O2051&gt;0,H2051/O2051,"")</f>
        <v/>
      </c>
    </row>
    <row r="2052">
      <c r="A2052" s="13" t="inlineStr">
        <is>
          <t>CE27_B1</t>
        </is>
      </c>
      <c r="B2052" s="13" t="inlineStr">
        <is>
          <t>CE27</t>
        </is>
      </c>
      <c r="C2052" s="13" t="inlineStr">
        <is>
          <t>B1</t>
        </is>
      </c>
      <c r="D2052" s="13" t="n">
        <v>0</v>
      </c>
      <c r="E2052" s="13" t="inlineStr">
        <is>
          <t>E</t>
        </is>
      </c>
      <c r="F2052" s="13" t="n">
        <v>2026</v>
      </c>
      <c r="G2052" s="14" t="n">
        <v>974442.4772256288</v>
      </c>
      <c r="H2052" s="14" t="n">
        <v>323327.0912044151</v>
      </c>
      <c r="I2052" s="14" t="n">
        <v>286276.201837248</v>
      </c>
      <c r="J2052" s="14" t="n">
        <v>0</v>
      </c>
      <c r="K2052" s="14" t="n">
        <v>143745.7394837622</v>
      </c>
      <c r="L2052" s="14" t="n">
        <v>221093.4447002037</v>
      </c>
      <c r="M2052" s="14" t="n">
        <v>0</v>
      </c>
      <c r="N2052" s="14" t="n">
        <v>324319.0944128597</v>
      </c>
      <c r="O2052" s="14" t="n">
        <v>724298.2708484426</v>
      </c>
      <c r="P2052" s="14" t="n">
        <v>86785.29271291097</v>
      </c>
      <c r="Q2052" s="14" t="n">
        <v>5731741.926020365</v>
      </c>
      <c r="R2052" s="15">
        <f>IF(D2052=1,"Section 1","Control")</f>
        <v/>
      </c>
      <c r="S2052" s="16">
        <f>N2052/10000</f>
        <v/>
      </c>
      <c r="T2052" s="16">
        <f>P2052/10000</f>
        <v/>
      </c>
      <c r="U2052" s="15">
        <f>IF(N2052&gt;=Summary!$D$3,1,0)</f>
        <v/>
      </c>
      <c r="V2052" s="17">
        <f>IF(N2052&gt;0,P2052/N2052,"")</f>
        <v/>
      </c>
      <c r="W2052" s="17">
        <f>IF(O2052&gt;0,H2052/O2052,"")</f>
        <v/>
      </c>
    </row>
    <row r="2053">
      <c r="A2053" s="13" t="inlineStr">
        <is>
          <t>CE27_B2</t>
        </is>
      </c>
      <c r="B2053" s="13" t="inlineStr">
        <is>
          <t>CE27</t>
        </is>
      </c>
      <c r="C2053" s="13" t="inlineStr">
        <is>
          <t>B2</t>
        </is>
      </c>
      <c r="D2053" s="13" t="n">
        <v>0</v>
      </c>
      <c r="E2053" s="13" t="inlineStr">
        <is>
          <t>E</t>
        </is>
      </c>
      <c r="F2053" s="13" t="n">
        <v>2020</v>
      </c>
      <c r="G2053" s="14" t="n">
        <v>974506.3588107536</v>
      </c>
      <c r="H2053" s="14" t="n">
        <v>300031.7146586996</v>
      </c>
      <c r="I2053" s="14" t="n">
        <v>167878.5052567126</v>
      </c>
      <c r="J2053" s="14" t="n">
        <v>0</v>
      </c>
      <c r="K2053" s="14" t="n">
        <v>19291.50456928926</v>
      </c>
      <c r="L2053" s="14" t="n">
        <v>487304.6343260522</v>
      </c>
      <c r="M2053" s="14" t="n">
        <v>0</v>
      </c>
      <c r="N2053" s="14" t="n">
        <v>300031.7146586996</v>
      </c>
      <c r="O2053" s="14" t="n">
        <v>487201.7244847015</v>
      </c>
      <c r="P2053" s="14" t="n">
        <v>0</v>
      </c>
      <c r="Q2053" s="14" t="n">
        <v>4088145.837068265</v>
      </c>
      <c r="R2053" s="15">
        <f>IF(D2053=1,"Section 1","Control")</f>
        <v/>
      </c>
      <c r="S2053" s="16">
        <f>N2053/10000</f>
        <v/>
      </c>
      <c r="T2053" s="16">
        <f>P2053/10000</f>
        <v/>
      </c>
      <c r="U2053" s="15">
        <f>IF(N2053&gt;=Summary!$D$3,1,0)</f>
        <v/>
      </c>
      <c r="V2053" s="17">
        <f>IF(N2053&gt;0,P2053/N2053,"")</f>
        <v/>
      </c>
      <c r="W2053" s="17">
        <f>IF(O2053&gt;0,H2053/O2053,"")</f>
        <v/>
      </c>
    </row>
    <row r="2054">
      <c r="A2054" s="13" t="inlineStr">
        <is>
          <t>CE27_B2</t>
        </is>
      </c>
      <c r="B2054" s="13" t="inlineStr">
        <is>
          <t>CE27</t>
        </is>
      </c>
      <c r="C2054" s="13" t="inlineStr">
        <is>
          <t>B2</t>
        </is>
      </c>
      <c r="D2054" s="13" t="n">
        <v>0</v>
      </c>
      <c r="E2054" s="13" t="inlineStr">
        <is>
          <t>E</t>
        </is>
      </c>
      <c r="F2054" s="13" t="n">
        <v>2021</v>
      </c>
      <c r="G2054" s="14" t="n">
        <v>974506.3588107536</v>
      </c>
      <c r="H2054" s="14" t="n">
        <v>117953.1769873227</v>
      </c>
      <c r="I2054" s="14" t="n">
        <v>161540.7344785802</v>
      </c>
      <c r="J2054" s="14" t="n">
        <v>0</v>
      </c>
      <c r="K2054" s="14" t="n">
        <v>207707.8130187988</v>
      </c>
      <c r="L2054" s="14" t="n">
        <v>487304.6343260522</v>
      </c>
      <c r="M2054" s="14" t="n">
        <v>0</v>
      </c>
      <c r="N2054" s="14" t="n">
        <v>300031.7146586996</v>
      </c>
      <c r="O2054" s="14" t="n">
        <v>487201.7244847015</v>
      </c>
      <c r="P2054" s="14" t="n">
        <v>182362.339011009</v>
      </c>
      <c r="Q2054" s="14" t="n">
        <v>4088145.837068265</v>
      </c>
      <c r="R2054" s="15">
        <f>IF(D2054=1,"Section 1","Control")</f>
        <v/>
      </c>
      <c r="S2054" s="16">
        <f>N2054/10000</f>
        <v/>
      </c>
      <c r="T2054" s="16">
        <f>P2054/10000</f>
        <v/>
      </c>
      <c r="U2054" s="15">
        <f>IF(N2054&gt;=Summary!$D$3,1,0)</f>
        <v/>
      </c>
      <c r="V2054" s="17">
        <f>IF(N2054&gt;0,P2054/N2054,"")</f>
        <v/>
      </c>
      <c r="W2054" s="17">
        <f>IF(O2054&gt;0,H2054/O2054,"")</f>
        <v/>
      </c>
    </row>
    <row r="2055">
      <c r="A2055" s="13" t="inlineStr">
        <is>
          <t>CE27_B2</t>
        </is>
      </c>
      <c r="B2055" s="13" t="inlineStr">
        <is>
          <t>CE27</t>
        </is>
      </c>
      <c r="C2055" s="13" t="inlineStr">
        <is>
          <t>B2</t>
        </is>
      </c>
      <c r="D2055" s="13" t="n">
        <v>0</v>
      </c>
      <c r="E2055" s="13" t="inlineStr">
        <is>
          <t>E</t>
        </is>
      </c>
      <c r="F2055" s="13" t="n">
        <v>2022</v>
      </c>
      <c r="G2055" s="14" t="n">
        <v>974506.3588107538</v>
      </c>
      <c r="H2055" s="14" t="n">
        <v>113976.4530323403</v>
      </c>
      <c r="I2055" s="14" t="n">
        <v>298882.6804597143</v>
      </c>
      <c r="J2055" s="14" t="n">
        <v>0</v>
      </c>
      <c r="K2055" s="14" t="n">
        <v>74342.59099264705</v>
      </c>
      <c r="L2055" s="14" t="n">
        <v>487304.6343260522</v>
      </c>
      <c r="M2055" s="14" t="n">
        <v>0</v>
      </c>
      <c r="N2055" s="14" t="n">
        <v>300031.7146586996</v>
      </c>
      <c r="O2055" s="14" t="n">
        <v>487201.7244847015</v>
      </c>
      <c r="P2055" s="14" t="n">
        <v>188939.7270158057</v>
      </c>
      <c r="Q2055" s="14" t="n">
        <v>4088145.837068265</v>
      </c>
      <c r="R2055" s="15">
        <f>IF(D2055=1,"Section 1","Control")</f>
        <v/>
      </c>
      <c r="S2055" s="16">
        <f>N2055/10000</f>
        <v/>
      </c>
      <c r="T2055" s="16">
        <f>P2055/10000</f>
        <v/>
      </c>
      <c r="U2055" s="15">
        <f>IF(N2055&gt;=Summary!$D$3,1,0)</f>
        <v/>
      </c>
      <c r="V2055" s="17">
        <f>IF(N2055&gt;0,P2055/N2055,"")</f>
        <v/>
      </c>
      <c r="W2055" s="17">
        <f>IF(O2055&gt;0,H2055/O2055,"")</f>
        <v/>
      </c>
    </row>
    <row r="2056">
      <c r="A2056" s="13" t="inlineStr">
        <is>
          <t>CE27_B2</t>
        </is>
      </c>
      <c r="B2056" s="13" t="inlineStr">
        <is>
          <t>CE27</t>
        </is>
      </c>
      <c r="C2056" s="13" t="inlineStr">
        <is>
          <t>B2</t>
        </is>
      </c>
      <c r="D2056" s="13" t="n">
        <v>0</v>
      </c>
      <c r="E2056" s="13" t="inlineStr">
        <is>
          <t>E</t>
        </is>
      </c>
      <c r="F2056" s="13" t="n">
        <v>2023</v>
      </c>
      <c r="G2056" s="14" t="n">
        <v>974506.3588107538</v>
      </c>
      <c r="H2056" s="14" t="n">
        <v>124185.917979491</v>
      </c>
      <c r="I2056" s="14" t="n">
        <v>301655.6212411617</v>
      </c>
      <c r="J2056" s="14" t="n">
        <v>0</v>
      </c>
      <c r="K2056" s="14" t="n">
        <v>61360.18526404885</v>
      </c>
      <c r="L2056" s="14" t="n">
        <v>487304.6343260522</v>
      </c>
      <c r="M2056" s="14" t="n">
        <v>0</v>
      </c>
      <c r="N2056" s="14" t="n">
        <v>300031.7146586996</v>
      </c>
      <c r="O2056" s="14" t="n">
        <v>487201.7244847015</v>
      </c>
      <c r="P2056" s="14" t="n">
        <v>179215.7845228008</v>
      </c>
      <c r="Q2056" s="14" t="n">
        <v>4088145.837068265</v>
      </c>
      <c r="R2056" s="15">
        <f>IF(D2056=1,"Section 1","Control")</f>
        <v/>
      </c>
      <c r="S2056" s="16">
        <f>N2056/10000</f>
        <v/>
      </c>
      <c r="T2056" s="16">
        <f>P2056/10000</f>
        <v/>
      </c>
      <c r="U2056" s="15">
        <f>IF(N2056&gt;=Summary!$D$3,1,0)</f>
        <v/>
      </c>
      <c r="V2056" s="17">
        <f>IF(N2056&gt;0,P2056/N2056,"")</f>
        <v/>
      </c>
      <c r="W2056" s="17">
        <f>IF(O2056&gt;0,H2056/O2056,"")</f>
        <v/>
      </c>
    </row>
    <row r="2057">
      <c r="A2057" s="13" t="inlineStr">
        <is>
          <t>CE27_B2</t>
        </is>
      </c>
      <c r="B2057" s="13" t="inlineStr">
        <is>
          <t>CE27</t>
        </is>
      </c>
      <c r="C2057" s="13" t="inlineStr">
        <is>
          <t>B2</t>
        </is>
      </c>
      <c r="D2057" s="13" t="n">
        <v>0</v>
      </c>
      <c r="E2057" s="13" t="inlineStr">
        <is>
          <t>E</t>
        </is>
      </c>
      <c r="F2057" s="13" t="n">
        <v>2024</v>
      </c>
      <c r="G2057" s="14" t="n">
        <v>974506.3588107536</v>
      </c>
      <c r="H2057" s="14" t="n">
        <v>137813.3940034754</v>
      </c>
      <c r="I2057" s="14" t="n">
        <v>296339.2771891574</v>
      </c>
      <c r="J2057" s="14" t="n">
        <v>0</v>
      </c>
      <c r="K2057" s="14" t="n">
        <v>53049.05329206878</v>
      </c>
      <c r="L2057" s="14" t="n">
        <v>487304.6343260522</v>
      </c>
      <c r="M2057" s="14" t="n">
        <v>0</v>
      </c>
      <c r="N2057" s="14" t="n">
        <v>300031.7146586996</v>
      </c>
      <c r="O2057" s="14" t="n">
        <v>487201.7244847015</v>
      </c>
      <c r="P2057" s="14" t="n">
        <v>168024.047087875</v>
      </c>
      <c r="Q2057" s="14" t="n">
        <v>4088145.837068265</v>
      </c>
      <c r="R2057" s="15">
        <f>IF(D2057=1,"Section 1","Control")</f>
        <v/>
      </c>
      <c r="S2057" s="16">
        <f>N2057/10000</f>
        <v/>
      </c>
      <c r="T2057" s="16">
        <f>P2057/10000</f>
        <v/>
      </c>
      <c r="U2057" s="15">
        <f>IF(N2057&gt;=Summary!$D$3,1,0)</f>
        <v/>
      </c>
      <c r="V2057" s="17">
        <f>IF(N2057&gt;0,P2057/N2057,"")</f>
        <v/>
      </c>
      <c r="W2057" s="17">
        <f>IF(O2057&gt;0,H2057/O2057,"")</f>
        <v/>
      </c>
    </row>
    <row r="2058">
      <c r="A2058" s="13" t="inlineStr">
        <is>
          <t>CE27_B2</t>
        </is>
      </c>
      <c r="B2058" s="13" t="inlineStr">
        <is>
          <t>CE27</t>
        </is>
      </c>
      <c r="C2058" s="13" t="inlineStr">
        <is>
          <t>B2</t>
        </is>
      </c>
      <c r="D2058" s="13" t="n">
        <v>0</v>
      </c>
      <c r="E2058" s="13" t="inlineStr">
        <is>
          <t>E</t>
        </is>
      </c>
      <c r="F2058" s="13" t="n">
        <v>2025</v>
      </c>
      <c r="G2058" s="14" t="n">
        <v>974506.3588107536</v>
      </c>
      <c r="H2058" s="14" t="n">
        <v>165466.6669723212</v>
      </c>
      <c r="I2058" s="14" t="n">
        <v>271071.3969662235</v>
      </c>
      <c r="J2058" s="14" t="n">
        <v>0</v>
      </c>
      <c r="K2058" s="14" t="n">
        <v>50663.66054615694</v>
      </c>
      <c r="L2058" s="14" t="n">
        <v>487304.6343260522</v>
      </c>
      <c r="M2058" s="14" t="n">
        <v>0</v>
      </c>
      <c r="N2058" s="14" t="n">
        <v>300031.7146586996</v>
      </c>
      <c r="O2058" s="14" t="n">
        <v>487201.7244847015</v>
      </c>
      <c r="P2058" s="14" t="n">
        <v>145153.9535229253</v>
      </c>
      <c r="Q2058" s="14" t="n">
        <v>4088145.837068265</v>
      </c>
      <c r="R2058" s="15">
        <f>IF(D2058=1,"Section 1","Control")</f>
        <v/>
      </c>
      <c r="S2058" s="16">
        <f>N2058/10000</f>
        <v/>
      </c>
      <c r="T2058" s="16">
        <f>P2058/10000</f>
        <v/>
      </c>
      <c r="U2058" s="15">
        <f>IF(N2058&gt;=Summary!$D$3,1,0)</f>
        <v/>
      </c>
      <c r="V2058" s="17">
        <f>IF(N2058&gt;0,P2058/N2058,"")</f>
        <v/>
      </c>
      <c r="W2058" s="17">
        <f>IF(O2058&gt;0,H2058/O2058,"")</f>
        <v/>
      </c>
    </row>
    <row r="2059">
      <c r="A2059" s="13" t="inlineStr">
        <is>
          <t>CE27_B2</t>
        </is>
      </c>
      <c r="B2059" s="13" t="inlineStr">
        <is>
          <t>CE27</t>
        </is>
      </c>
      <c r="C2059" s="13" t="inlineStr">
        <is>
          <t>B2</t>
        </is>
      </c>
      <c r="D2059" s="13" t="n">
        <v>0</v>
      </c>
      <c r="E2059" s="13" t="inlineStr">
        <is>
          <t>E</t>
        </is>
      </c>
      <c r="F2059" s="13" t="n">
        <v>2026</v>
      </c>
      <c r="G2059" s="14" t="n">
        <v>974506.3588107536</v>
      </c>
      <c r="H2059" s="14" t="n">
        <v>212992.9238072413</v>
      </c>
      <c r="I2059" s="14" t="n">
        <v>219892.5043568628</v>
      </c>
      <c r="J2059" s="14" t="n">
        <v>0</v>
      </c>
      <c r="K2059" s="14" t="n">
        <v>54217.56597391765</v>
      </c>
      <c r="L2059" s="14" t="n">
        <v>487403.3646727318</v>
      </c>
      <c r="M2059" s="14" t="n">
        <v>0</v>
      </c>
      <c r="N2059" s="14" t="n">
        <v>300031.7146586996</v>
      </c>
      <c r="O2059" s="14" t="n">
        <v>487201.7244847015</v>
      </c>
      <c r="P2059" s="14" t="n">
        <v>110016.5599406523</v>
      </c>
      <c r="Q2059" s="14" t="n">
        <v>4088145.837068265</v>
      </c>
      <c r="R2059" s="15">
        <f>IF(D2059=1,"Section 1","Control")</f>
        <v/>
      </c>
      <c r="S2059" s="16">
        <f>N2059/10000</f>
        <v/>
      </c>
      <c r="T2059" s="16">
        <f>P2059/10000</f>
        <v/>
      </c>
      <c r="U2059" s="15">
        <f>IF(N2059&gt;=Summary!$D$3,1,0)</f>
        <v/>
      </c>
      <c r="V2059" s="17">
        <f>IF(N2059&gt;0,P2059/N2059,"")</f>
        <v/>
      </c>
      <c r="W2059" s="17">
        <f>IF(O2059&gt;0,H2059/O2059,"")</f>
        <v/>
      </c>
    </row>
    <row r="2060">
      <c r="A2060" s="13" t="inlineStr">
        <is>
          <t>CE27_B3</t>
        </is>
      </c>
      <c r="B2060" s="13" t="inlineStr">
        <is>
          <t>CE27</t>
        </is>
      </c>
      <c r="C2060" s="13" t="inlineStr">
        <is>
          <t>B3</t>
        </is>
      </c>
      <c r="D2060" s="13" t="n">
        <v>0</v>
      </c>
      <c r="E2060" s="13" t="inlineStr">
        <is>
          <t>E</t>
        </is>
      </c>
      <c r="F2060" s="13" t="n">
        <v>2020</v>
      </c>
      <c r="G2060" s="14" t="n">
        <v>7796843.580400175</v>
      </c>
      <c r="H2060" s="14" t="n">
        <v>2415860.811297996</v>
      </c>
      <c r="I2060" s="14" t="n">
        <v>618564.7215849933</v>
      </c>
      <c r="J2060" s="14" t="n">
        <v>0</v>
      </c>
      <c r="K2060" s="14" t="n">
        <v>38154.69364267985</v>
      </c>
      <c r="L2060" s="14" t="n">
        <v>4724263.353874505</v>
      </c>
      <c r="M2060" s="14" t="n">
        <v>0</v>
      </c>
      <c r="N2060" s="14" t="n">
        <v>2415860.811297996</v>
      </c>
      <c r="O2060" s="14" t="n">
        <v>3072580.226525669</v>
      </c>
      <c r="P2060" s="14" t="n">
        <v>0</v>
      </c>
      <c r="Q2060" s="14" t="n">
        <v>22427513.68923163</v>
      </c>
      <c r="R2060" s="15">
        <f>IF(D2060=1,"Section 1","Control")</f>
        <v/>
      </c>
      <c r="S2060" s="16">
        <f>N2060/10000</f>
        <v/>
      </c>
      <c r="T2060" s="16">
        <f>P2060/10000</f>
        <v/>
      </c>
      <c r="U2060" s="15">
        <f>IF(N2060&gt;=Summary!$D$3,1,0)</f>
        <v/>
      </c>
      <c r="V2060" s="17">
        <f>IF(N2060&gt;0,P2060/N2060,"")</f>
        <v/>
      </c>
      <c r="W2060" s="17">
        <f>IF(O2060&gt;0,H2060/O2060,"")</f>
        <v/>
      </c>
    </row>
    <row r="2061">
      <c r="A2061" s="13" t="inlineStr">
        <is>
          <t>CE27_B3</t>
        </is>
      </c>
      <c r="B2061" s="13" t="inlineStr">
        <is>
          <t>CE27</t>
        </is>
      </c>
      <c r="C2061" s="13" t="inlineStr">
        <is>
          <t>B3</t>
        </is>
      </c>
      <c r="D2061" s="13" t="n">
        <v>0</v>
      </c>
      <c r="E2061" s="13" t="inlineStr">
        <is>
          <t>E</t>
        </is>
      </c>
      <c r="F2061" s="13" t="n">
        <v>2021</v>
      </c>
      <c r="G2061" s="14" t="n">
        <v>7796843.580400175</v>
      </c>
      <c r="H2061" s="14" t="n">
        <v>2081129.278940507</v>
      </c>
      <c r="I2061" s="14" t="n">
        <v>683358.2237515617</v>
      </c>
      <c r="J2061" s="14" t="n">
        <v>0</v>
      </c>
      <c r="K2061" s="14" t="n">
        <v>518347.5592875463</v>
      </c>
      <c r="L2061" s="14" t="n">
        <v>4514008.518420559</v>
      </c>
      <c r="M2061" s="14" t="n">
        <v>0</v>
      </c>
      <c r="N2061" s="14" t="n">
        <v>2415860.811297997</v>
      </c>
      <c r="O2061" s="14" t="n">
        <v>3072580.226525669</v>
      </c>
      <c r="P2061" s="14" t="n">
        <v>365434.8560751821</v>
      </c>
      <c r="Q2061" s="14" t="n">
        <v>22427513.68923163</v>
      </c>
      <c r="R2061" s="15">
        <f>IF(D2061=1,"Section 1","Control")</f>
        <v/>
      </c>
      <c r="S2061" s="16">
        <f>N2061/10000</f>
        <v/>
      </c>
      <c r="T2061" s="16">
        <f>P2061/10000</f>
        <v/>
      </c>
      <c r="U2061" s="15">
        <f>IF(N2061&gt;=Summary!$D$3,1,0)</f>
        <v/>
      </c>
      <c r="V2061" s="17">
        <f>IF(N2061&gt;0,P2061/N2061,"")</f>
        <v/>
      </c>
      <c r="W2061" s="17">
        <f>IF(O2061&gt;0,H2061/O2061,"")</f>
        <v/>
      </c>
    </row>
    <row r="2062">
      <c r="A2062" s="13" t="inlineStr">
        <is>
          <t>CE27_B3</t>
        </is>
      </c>
      <c r="B2062" s="13" t="inlineStr">
        <is>
          <t>CE27</t>
        </is>
      </c>
      <c r="C2062" s="13" t="inlineStr">
        <is>
          <t>B3</t>
        </is>
      </c>
      <c r="D2062" s="13" t="n">
        <v>0</v>
      </c>
      <c r="E2062" s="13" t="inlineStr">
        <is>
          <t>E</t>
        </is>
      </c>
      <c r="F2062" s="13" t="n">
        <v>2022</v>
      </c>
      <c r="G2062" s="14" t="n">
        <v>7796843.580400176</v>
      </c>
      <c r="H2062" s="14" t="n">
        <v>2058998.113356497</v>
      </c>
      <c r="I2062" s="14" t="n">
        <v>843428.4836065857</v>
      </c>
      <c r="J2062" s="14" t="n">
        <v>0</v>
      </c>
      <c r="K2062" s="14" t="n">
        <v>461970.8380426744</v>
      </c>
      <c r="L2062" s="14" t="n">
        <v>4432446.145394417</v>
      </c>
      <c r="M2062" s="14" t="n">
        <v>0</v>
      </c>
      <c r="N2062" s="14" t="n">
        <v>2415860.811297996</v>
      </c>
      <c r="O2062" s="14" t="n">
        <v>3072580.226525669</v>
      </c>
      <c r="P2062" s="14" t="n">
        <v>402565.9656710157</v>
      </c>
      <c r="Q2062" s="14" t="n">
        <v>22427513.68923163</v>
      </c>
      <c r="R2062" s="15">
        <f>IF(D2062=1,"Section 1","Control")</f>
        <v/>
      </c>
      <c r="S2062" s="16">
        <f>N2062/10000</f>
        <v/>
      </c>
      <c r="T2062" s="16">
        <f>P2062/10000</f>
        <v/>
      </c>
      <c r="U2062" s="15">
        <f>IF(N2062&gt;=Summary!$D$3,1,0)</f>
        <v/>
      </c>
      <c r="V2062" s="17">
        <f>IF(N2062&gt;0,P2062/N2062,"")</f>
        <v/>
      </c>
      <c r="W2062" s="17">
        <f>IF(O2062&gt;0,H2062/O2062,"")</f>
        <v/>
      </c>
    </row>
    <row r="2063">
      <c r="A2063" s="13" t="inlineStr">
        <is>
          <t>CE27_B3</t>
        </is>
      </c>
      <c r="B2063" s="13" t="inlineStr">
        <is>
          <t>CE27</t>
        </is>
      </c>
      <c r="C2063" s="13" t="inlineStr">
        <is>
          <t>B3</t>
        </is>
      </c>
      <c r="D2063" s="13" t="n">
        <v>0</v>
      </c>
      <c r="E2063" s="13" t="inlineStr">
        <is>
          <t>E</t>
        </is>
      </c>
      <c r="F2063" s="13" t="n">
        <v>2023</v>
      </c>
      <c r="G2063" s="14" t="n">
        <v>7796843.580400175</v>
      </c>
      <c r="H2063" s="14" t="n">
        <v>2118179.271429234</v>
      </c>
      <c r="I2063" s="14" t="n">
        <v>780770.5746985641</v>
      </c>
      <c r="J2063" s="14" t="n">
        <v>0</v>
      </c>
      <c r="K2063" s="14" t="n">
        <v>177201.5026771695</v>
      </c>
      <c r="L2063" s="14" t="n">
        <v>4720692.231595208</v>
      </c>
      <c r="M2063" s="14" t="n">
        <v>0</v>
      </c>
      <c r="N2063" s="14" t="n">
        <v>2415860.811297997</v>
      </c>
      <c r="O2063" s="14" t="n">
        <v>3072580.226525669</v>
      </c>
      <c r="P2063" s="14" t="n">
        <v>360439.036669114</v>
      </c>
      <c r="Q2063" s="14" t="n">
        <v>22427513.68923164</v>
      </c>
      <c r="R2063" s="15">
        <f>IF(D2063=1,"Section 1","Control")</f>
        <v/>
      </c>
      <c r="S2063" s="16">
        <f>N2063/10000</f>
        <v/>
      </c>
      <c r="T2063" s="16">
        <f>P2063/10000</f>
        <v/>
      </c>
      <c r="U2063" s="15">
        <f>IF(N2063&gt;=Summary!$D$3,1,0)</f>
        <v/>
      </c>
      <c r="V2063" s="17">
        <f>IF(N2063&gt;0,P2063/N2063,"")</f>
        <v/>
      </c>
      <c r="W2063" s="17">
        <f>IF(O2063&gt;0,H2063/O2063,"")</f>
        <v/>
      </c>
    </row>
    <row r="2064">
      <c r="A2064" s="13" t="inlineStr">
        <is>
          <t>CE27_B3</t>
        </is>
      </c>
      <c r="B2064" s="13" t="inlineStr">
        <is>
          <t>CE27</t>
        </is>
      </c>
      <c r="C2064" s="13" t="inlineStr">
        <is>
          <t>B3</t>
        </is>
      </c>
      <c r="D2064" s="13" t="n">
        <v>0</v>
      </c>
      <c r="E2064" s="13" t="inlineStr">
        <is>
          <t>E</t>
        </is>
      </c>
      <c r="F2064" s="13" t="n">
        <v>2024</v>
      </c>
      <c r="G2064" s="14" t="n">
        <v>7796843.580400175</v>
      </c>
      <c r="H2064" s="14" t="n">
        <v>2265972.337719398</v>
      </c>
      <c r="I2064" s="14" t="n">
        <v>670597.9771105599</v>
      </c>
      <c r="J2064" s="14" t="n">
        <v>0</v>
      </c>
      <c r="K2064" s="14" t="n">
        <v>205538.1800260656</v>
      </c>
      <c r="L2064" s="14" t="n">
        <v>4654735.085544152</v>
      </c>
      <c r="M2064" s="14" t="n">
        <v>0</v>
      </c>
      <c r="N2064" s="14" t="n">
        <v>2415860.811297997</v>
      </c>
      <c r="O2064" s="14" t="n">
        <v>3072580.226525669</v>
      </c>
      <c r="P2064" s="14" t="n">
        <v>275624.3774244421</v>
      </c>
      <c r="Q2064" s="14" t="n">
        <v>22427513.68923163</v>
      </c>
      <c r="R2064" s="15">
        <f>IF(D2064=1,"Section 1","Control")</f>
        <v/>
      </c>
      <c r="S2064" s="16">
        <f>N2064/10000</f>
        <v/>
      </c>
      <c r="T2064" s="16">
        <f>P2064/10000</f>
        <v/>
      </c>
      <c r="U2064" s="15">
        <f>IF(N2064&gt;=Summary!$D$3,1,0)</f>
        <v/>
      </c>
      <c r="V2064" s="17">
        <f>IF(N2064&gt;0,P2064/N2064,"")</f>
        <v/>
      </c>
      <c r="W2064" s="17">
        <f>IF(O2064&gt;0,H2064/O2064,"")</f>
        <v/>
      </c>
    </row>
    <row r="2065">
      <c r="A2065" s="13" t="inlineStr">
        <is>
          <t>CE27_B3</t>
        </is>
      </c>
      <c r="B2065" s="13" t="inlineStr">
        <is>
          <t>CE27</t>
        </is>
      </c>
      <c r="C2065" s="13" t="inlineStr">
        <is>
          <t>B3</t>
        </is>
      </c>
      <c r="D2065" s="13" t="n">
        <v>0</v>
      </c>
      <c r="E2065" s="13" t="inlineStr">
        <is>
          <t>E</t>
        </is>
      </c>
      <c r="F2065" s="13" t="n">
        <v>2025</v>
      </c>
      <c r="G2065" s="14" t="n">
        <v>7796843.580400175</v>
      </c>
      <c r="H2065" s="14" t="n">
        <v>2465851.536664686</v>
      </c>
      <c r="I2065" s="14" t="n">
        <v>444060.5190901513</v>
      </c>
      <c r="J2065" s="14" t="n">
        <v>0</v>
      </c>
      <c r="K2065" s="14" t="n">
        <v>204634.2799459719</v>
      </c>
      <c r="L2065" s="14" t="n">
        <v>4682297.244699366</v>
      </c>
      <c r="M2065" s="14" t="n">
        <v>0</v>
      </c>
      <c r="N2065" s="14" t="n">
        <v>2415860.811297996</v>
      </c>
      <c r="O2065" s="14" t="n">
        <v>3072580.226525669</v>
      </c>
      <c r="P2065" s="14" t="n">
        <v>242097.6380355835</v>
      </c>
      <c r="Q2065" s="14" t="n">
        <v>22427513.68923163</v>
      </c>
      <c r="R2065" s="15">
        <f>IF(D2065=1,"Section 1","Control")</f>
        <v/>
      </c>
      <c r="S2065" s="16">
        <f>N2065/10000</f>
        <v/>
      </c>
      <c r="T2065" s="16">
        <f>P2065/10000</f>
        <v/>
      </c>
      <c r="U2065" s="15">
        <f>IF(N2065&gt;=Summary!$D$3,1,0)</f>
        <v/>
      </c>
      <c r="V2065" s="17">
        <f>IF(N2065&gt;0,P2065/N2065,"")</f>
        <v/>
      </c>
      <c r="W2065" s="17">
        <f>IF(O2065&gt;0,H2065/O2065,"")</f>
        <v/>
      </c>
    </row>
    <row r="2066">
      <c r="A2066" s="13" t="inlineStr">
        <is>
          <t>CE27_B3</t>
        </is>
      </c>
      <c r="B2066" s="13" t="inlineStr">
        <is>
          <t>CE27</t>
        </is>
      </c>
      <c r="C2066" s="13" t="inlineStr">
        <is>
          <t>B3</t>
        </is>
      </c>
      <c r="D2066" s="13" t="n">
        <v>0</v>
      </c>
      <c r="E2066" s="13" t="inlineStr">
        <is>
          <t>E</t>
        </is>
      </c>
      <c r="F2066" s="13" t="n">
        <v>2026</v>
      </c>
      <c r="G2066" s="14" t="n">
        <v>7796843.580400176</v>
      </c>
      <c r="H2066" s="14" t="n">
        <v>2519888.455500375</v>
      </c>
      <c r="I2066" s="14" t="n">
        <v>323797.5495809219</v>
      </c>
      <c r="J2066" s="14" t="n">
        <v>0</v>
      </c>
      <c r="K2066" s="14" t="n">
        <v>229685.3243333106</v>
      </c>
      <c r="L2066" s="14" t="n">
        <v>4723472.250985568</v>
      </c>
      <c r="M2066" s="14" t="n">
        <v>0</v>
      </c>
      <c r="N2066" s="14" t="n">
        <v>2415860.811297997</v>
      </c>
      <c r="O2066" s="14" t="n">
        <v>3072580.226525669</v>
      </c>
      <c r="P2066" s="14" t="n">
        <v>219244.4819427191</v>
      </c>
      <c r="Q2066" s="14" t="n">
        <v>22427513.68923163</v>
      </c>
      <c r="R2066" s="15">
        <f>IF(D2066=1,"Section 1","Control")</f>
        <v/>
      </c>
      <c r="S2066" s="16">
        <f>N2066/10000</f>
        <v/>
      </c>
      <c r="T2066" s="16">
        <f>P2066/10000</f>
        <v/>
      </c>
      <c r="U2066" s="15">
        <f>IF(N2066&gt;=Summary!$D$3,1,0)</f>
        <v/>
      </c>
      <c r="V2066" s="17">
        <f>IF(N2066&gt;0,P2066/N2066,"")</f>
        <v/>
      </c>
      <c r="W2066" s="17">
        <f>IF(O2066&gt;0,H2066/O2066,"")</f>
        <v/>
      </c>
    </row>
    <row r="2067">
      <c r="A2067" s="13" t="inlineStr">
        <is>
          <t>CE27_F</t>
        </is>
      </c>
      <c r="B2067" s="13" t="inlineStr">
        <is>
          <t>CE27</t>
        </is>
      </c>
      <c r="C2067" s="13" t="inlineStr">
        <is>
          <t>F</t>
        </is>
      </c>
      <c r="D2067" s="13" t="n">
        <v>0</v>
      </c>
      <c r="E2067" s="13" t="inlineStr">
        <is>
          <t>E</t>
        </is>
      </c>
      <c r="F2067" s="13" t="n">
        <v>2020</v>
      </c>
      <c r="G2067" s="14" t="n">
        <v>67758.30801173192</v>
      </c>
      <c r="H2067" s="14" t="n">
        <v>37274.34428725897</v>
      </c>
      <c r="I2067" s="14" t="n">
        <v>26622.21565007228</v>
      </c>
      <c r="J2067" s="14" t="n">
        <v>0</v>
      </c>
      <c r="K2067" s="14" t="n">
        <v>3861.748074400659</v>
      </c>
      <c r="L2067" s="14" t="n">
        <v>0</v>
      </c>
      <c r="M2067" s="14" t="n">
        <v>0</v>
      </c>
      <c r="N2067" s="14" t="n">
        <v>37274.34428725897</v>
      </c>
      <c r="O2067" s="14" t="n">
        <v>67758.30801173192</v>
      </c>
      <c r="P2067" s="14" t="n">
        <v>0</v>
      </c>
      <c r="Q2067" s="14" t="n">
        <v>570441.086208448</v>
      </c>
      <c r="R2067" s="15">
        <f>IF(D2067=1,"Section 1","Control")</f>
        <v/>
      </c>
      <c r="S2067" s="16">
        <f>N2067/10000</f>
        <v/>
      </c>
      <c r="T2067" s="16">
        <f>P2067/10000</f>
        <v/>
      </c>
      <c r="U2067" s="15">
        <f>IF(N2067&gt;=Summary!$D$3,1,0)</f>
        <v/>
      </c>
      <c r="V2067" s="17">
        <f>IF(N2067&gt;0,P2067/N2067,"")</f>
        <v/>
      </c>
      <c r="W2067" s="17">
        <f>IF(O2067&gt;0,H2067/O2067,"")</f>
        <v/>
      </c>
    </row>
    <row r="2068">
      <c r="A2068" s="13" t="inlineStr">
        <is>
          <t>CE27_F</t>
        </is>
      </c>
      <c r="B2068" s="13" t="inlineStr">
        <is>
          <t>CE27</t>
        </is>
      </c>
      <c r="C2068" s="13" t="inlineStr">
        <is>
          <t>F</t>
        </is>
      </c>
      <c r="D2068" s="13" t="n">
        <v>0</v>
      </c>
      <c r="E2068" s="13" t="inlineStr">
        <is>
          <t>E</t>
        </is>
      </c>
      <c r="F2068" s="13" t="n">
        <v>2021</v>
      </c>
      <c r="G2068" s="14" t="n">
        <v>67758.30801173192</v>
      </c>
      <c r="H2068" s="14" t="n">
        <v>26959.06113068824</v>
      </c>
      <c r="I2068" s="14" t="n">
        <v>34111.85040815765</v>
      </c>
      <c r="J2068" s="14" t="n">
        <v>0</v>
      </c>
      <c r="K2068" s="14" t="n">
        <v>6687.396472886028</v>
      </c>
      <c r="L2068" s="14" t="n">
        <v>0</v>
      </c>
      <c r="M2068" s="14" t="n">
        <v>0</v>
      </c>
      <c r="N2068" s="14" t="n">
        <v>37274.34428725897</v>
      </c>
      <c r="O2068" s="14" t="n">
        <v>67758.30801173192</v>
      </c>
      <c r="P2068" s="14" t="n">
        <v>12113.74249845019</v>
      </c>
      <c r="Q2068" s="14" t="n">
        <v>570441.086208448</v>
      </c>
      <c r="R2068" s="15">
        <f>IF(D2068=1,"Section 1","Control")</f>
        <v/>
      </c>
      <c r="S2068" s="16">
        <f>N2068/10000</f>
        <v/>
      </c>
      <c r="T2068" s="16">
        <f>P2068/10000</f>
        <v/>
      </c>
      <c r="U2068" s="15">
        <f>IF(N2068&gt;=Summary!$D$3,1,0)</f>
        <v/>
      </c>
      <c r="V2068" s="17">
        <f>IF(N2068&gt;0,P2068/N2068,"")</f>
        <v/>
      </c>
      <c r="W2068" s="17">
        <f>IF(O2068&gt;0,H2068/O2068,"")</f>
        <v/>
      </c>
    </row>
    <row r="2069">
      <c r="A2069" s="13" t="inlineStr">
        <is>
          <t>CE27_F</t>
        </is>
      </c>
      <c r="B2069" s="13" t="inlineStr">
        <is>
          <t>CE27</t>
        </is>
      </c>
      <c r="C2069" s="13" t="inlineStr">
        <is>
          <t>F</t>
        </is>
      </c>
      <c r="D2069" s="13" t="n">
        <v>0</v>
      </c>
      <c r="E2069" s="13" t="inlineStr">
        <is>
          <t>E</t>
        </is>
      </c>
      <c r="F2069" s="13" t="n">
        <v>2022</v>
      </c>
      <c r="G2069" s="14" t="n">
        <v>67758.30801173192</v>
      </c>
      <c r="H2069" s="14" t="n">
        <v>22861.904464602</v>
      </c>
      <c r="I2069" s="14" t="n">
        <v>40217.7032716938</v>
      </c>
      <c r="J2069" s="14" t="n">
        <v>0</v>
      </c>
      <c r="K2069" s="14" t="n">
        <v>4678.700275436102</v>
      </c>
      <c r="L2069" s="14" t="n">
        <v>0</v>
      </c>
      <c r="M2069" s="14" t="n">
        <v>0</v>
      </c>
      <c r="N2069" s="14" t="n">
        <v>37274.34428725897</v>
      </c>
      <c r="O2069" s="14" t="n">
        <v>67758.30801173192</v>
      </c>
      <c r="P2069" s="14" t="n">
        <v>16202.38072399064</v>
      </c>
      <c r="Q2069" s="14" t="n">
        <v>570441.086208448</v>
      </c>
      <c r="R2069" s="15">
        <f>IF(D2069=1,"Section 1","Control")</f>
        <v/>
      </c>
      <c r="S2069" s="16">
        <f>N2069/10000</f>
        <v/>
      </c>
      <c r="T2069" s="16">
        <f>P2069/10000</f>
        <v/>
      </c>
      <c r="U2069" s="15">
        <f>IF(N2069&gt;=Summary!$D$3,1,0)</f>
        <v/>
      </c>
      <c r="V2069" s="17">
        <f>IF(N2069&gt;0,P2069/N2069,"")</f>
        <v/>
      </c>
      <c r="W2069" s="17">
        <f>IF(O2069&gt;0,H2069/O2069,"")</f>
        <v/>
      </c>
    </row>
    <row r="2070">
      <c r="A2070" s="13" t="inlineStr">
        <is>
          <t>CE27_F</t>
        </is>
      </c>
      <c r="B2070" s="13" t="inlineStr">
        <is>
          <t>CE27</t>
        </is>
      </c>
      <c r="C2070" s="13" t="inlineStr">
        <is>
          <t>F</t>
        </is>
      </c>
      <c r="D2070" s="13" t="n">
        <v>0</v>
      </c>
      <c r="E2070" s="13" t="inlineStr">
        <is>
          <t>E</t>
        </is>
      </c>
      <c r="F2070" s="13" t="n">
        <v>2023</v>
      </c>
      <c r="G2070" s="14" t="n">
        <v>67758.30801173192</v>
      </c>
      <c r="H2070" s="14" t="n">
        <v>25891.98787766999</v>
      </c>
      <c r="I2070" s="14" t="n">
        <v>37215.10964169969</v>
      </c>
      <c r="J2070" s="14" t="n">
        <v>0</v>
      </c>
      <c r="K2070" s="14" t="n">
        <v>4651.210492362228</v>
      </c>
      <c r="L2070" s="14" t="n">
        <v>0</v>
      </c>
      <c r="M2070" s="14" t="n">
        <v>0</v>
      </c>
      <c r="N2070" s="14" t="n">
        <v>37274.34428725897</v>
      </c>
      <c r="O2070" s="14" t="n">
        <v>67758.30801173192</v>
      </c>
      <c r="P2070" s="14" t="n">
        <v>14485.23041920381</v>
      </c>
      <c r="Q2070" s="14" t="n">
        <v>570441.086208448</v>
      </c>
      <c r="R2070" s="15">
        <f>IF(D2070=1,"Section 1","Control")</f>
        <v/>
      </c>
      <c r="S2070" s="16">
        <f>N2070/10000</f>
        <v/>
      </c>
      <c r="T2070" s="16">
        <f>P2070/10000</f>
        <v/>
      </c>
      <c r="U2070" s="15">
        <f>IF(N2070&gt;=Summary!$D$3,1,0)</f>
        <v/>
      </c>
      <c r="V2070" s="17">
        <f>IF(N2070&gt;0,P2070/N2070,"")</f>
        <v/>
      </c>
      <c r="W2070" s="17">
        <f>IF(O2070&gt;0,H2070/O2070,"")</f>
        <v/>
      </c>
    </row>
    <row r="2071">
      <c r="A2071" s="13" t="inlineStr">
        <is>
          <t>CE27_F</t>
        </is>
      </c>
      <c r="B2071" s="13" t="inlineStr">
        <is>
          <t>CE27</t>
        </is>
      </c>
      <c r="C2071" s="13" t="inlineStr">
        <is>
          <t>F</t>
        </is>
      </c>
      <c r="D2071" s="13" t="n">
        <v>0</v>
      </c>
      <c r="E2071" s="13" t="inlineStr">
        <is>
          <t>E</t>
        </is>
      </c>
      <c r="F2071" s="13" t="n">
        <v>2024</v>
      </c>
      <c r="G2071" s="14" t="n">
        <v>67758.30801173192</v>
      </c>
      <c r="H2071" s="14" t="n">
        <v>36508.11664692</v>
      </c>
      <c r="I2071" s="14" t="n">
        <v>26210.25076033648</v>
      </c>
      <c r="J2071" s="14" t="n">
        <v>0</v>
      </c>
      <c r="K2071" s="14" t="n">
        <v>5039.940604475433</v>
      </c>
      <c r="L2071" s="14" t="n">
        <v>0</v>
      </c>
      <c r="M2071" s="14" t="n">
        <v>0</v>
      </c>
      <c r="N2071" s="14" t="n">
        <v>37274.34428725897</v>
      </c>
      <c r="O2071" s="14" t="n">
        <v>67758.30801173192</v>
      </c>
      <c r="P2071" s="14" t="n">
        <v>10294.37919613707</v>
      </c>
      <c r="Q2071" s="14" t="n">
        <v>570441.086208448</v>
      </c>
      <c r="R2071" s="15">
        <f>IF(D2071=1,"Section 1","Control")</f>
        <v/>
      </c>
      <c r="S2071" s="16">
        <f>N2071/10000</f>
        <v/>
      </c>
      <c r="T2071" s="16">
        <f>P2071/10000</f>
        <v/>
      </c>
      <c r="U2071" s="15">
        <f>IF(N2071&gt;=Summary!$D$3,1,0)</f>
        <v/>
      </c>
      <c r="V2071" s="17">
        <f>IF(N2071&gt;0,P2071/N2071,"")</f>
        <v/>
      </c>
      <c r="W2071" s="17">
        <f>IF(O2071&gt;0,H2071/O2071,"")</f>
        <v/>
      </c>
    </row>
    <row r="2072">
      <c r="A2072" s="13" t="inlineStr">
        <is>
          <t>CE27_F</t>
        </is>
      </c>
      <c r="B2072" s="13" t="inlineStr">
        <is>
          <t>CE27</t>
        </is>
      </c>
      <c r="C2072" s="13" t="inlineStr">
        <is>
          <t>F</t>
        </is>
      </c>
      <c r="D2072" s="13" t="n">
        <v>0</v>
      </c>
      <c r="E2072" s="13" t="inlineStr">
        <is>
          <t>E</t>
        </is>
      </c>
      <c r="F2072" s="13" t="n">
        <v>2025</v>
      </c>
      <c r="G2072" s="14" t="n">
        <v>67758.30801173192</v>
      </c>
      <c r="H2072" s="14" t="n">
        <v>31751.20428383023</v>
      </c>
      <c r="I2072" s="14" t="n">
        <v>30272.17208993949</v>
      </c>
      <c r="J2072" s="14" t="n">
        <v>0</v>
      </c>
      <c r="K2072" s="14" t="n">
        <v>5734.931637962191</v>
      </c>
      <c r="L2072" s="14" t="n">
        <v>0</v>
      </c>
      <c r="M2072" s="14" t="n">
        <v>0</v>
      </c>
      <c r="N2072" s="14" t="n">
        <v>37274.34428725897</v>
      </c>
      <c r="O2072" s="14" t="n">
        <v>67758.30801173192</v>
      </c>
      <c r="P2072" s="14" t="n">
        <v>10813.9758939556</v>
      </c>
      <c r="Q2072" s="14" t="n">
        <v>570441.086208448</v>
      </c>
      <c r="R2072" s="15">
        <f>IF(D2072=1,"Section 1","Control")</f>
        <v/>
      </c>
      <c r="S2072" s="16">
        <f>N2072/10000</f>
        <v/>
      </c>
      <c r="T2072" s="16">
        <f>P2072/10000</f>
        <v/>
      </c>
      <c r="U2072" s="15">
        <f>IF(N2072&gt;=Summary!$D$3,1,0)</f>
        <v/>
      </c>
      <c r="V2072" s="17">
        <f>IF(N2072&gt;0,P2072/N2072,"")</f>
        <v/>
      </c>
      <c r="W2072" s="17">
        <f>IF(O2072&gt;0,H2072/O2072,"")</f>
        <v/>
      </c>
    </row>
    <row r="2073">
      <c r="A2073" s="13" t="inlineStr">
        <is>
          <t>CE27_F</t>
        </is>
      </c>
      <c r="B2073" s="13" t="inlineStr">
        <is>
          <t>CE27</t>
        </is>
      </c>
      <c r="C2073" s="13" t="inlineStr">
        <is>
          <t>F</t>
        </is>
      </c>
      <c r="D2073" s="13" t="n">
        <v>0</v>
      </c>
      <c r="E2073" s="13" t="inlineStr">
        <is>
          <t>E</t>
        </is>
      </c>
      <c r="F2073" s="13" t="n">
        <v>2026</v>
      </c>
      <c r="G2073" s="14" t="n">
        <v>67758.30801173192</v>
      </c>
      <c r="H2073" s="14" t="n">
        <v>42794.00583373426</v>
      </c>
      <c r="I2073" s="14" t="n">
        <v>18420.93592592127</v>
      </c>
      <c r="J2073" s="14" t="n">
        <v>0</v>
      </c>
      <c r="K2073" s="14" t="n">
        <v>6543.366252076391</v>
      </c>
      <c r="L2073" s="14" t="n">
        <v>0</v>
      </c>
      <c r="M2073" s="14" t="n">
        <v>0</v>
      </c>
      <c r="N2073" s="14" t="n">
        <v>37274.34428725897</v>
      </c>
      <c r="O2073" s="14" t="n">
        <v>67758.30801173192</v>
      </c>
      <c r="P2073" s="14" t="n">
        <v>6178.254110657936</v>
      </c>
      <c r="Q2073" s="14" t="n">
        <v>570441.086208448</v>
      </c>
      <c r="R2073" s="15">
        <f>IF(D2073=1,"Section 1","Control")</f>
        <v/>
      </c>
      <c r="S2073" s="16">
        <f>N2073/10000</f>
        <v/>
      </c>
      <c r="T2073" s="16">
        <f>P2073/10000</f>
        <v/>
      </c>
      <c r="U2073" s="15">
        <f>IF(N2073&gt;=Summary!$D$3,1,0)</f>
        <v/>
      </c>
      <c r="V2073" s="17">
        <f>IF(N2073&gt;0,P2073/N2073,"")</f>
        <v/>
      </c>
      <c r="W2073" s="17">
        <f>IF(O2073&gt;0,H2073/O2073,"")</f>
        <v/>
      </c>
    </row>
    <row r="2074">
      <c r="A2074" s="13" t="inlineStr">
        <is>
          <t>CE28_B1</t>
        </is>
      </c>
      <c r="B2074" s="13" t="inlineStr">
        <is>
          <t>CE28</t>
        </is>
      </c>
      <c r="C2074" s="13" t="inlineStr">
        <is>
          <t>B1</t>
        </is>
      </c>
      <c r="D2074" s="13" t="n">
        <v>0</v>
      </c>
      <c r="E2074" s="13" t="inlineStr">
        <is>
          <t>E</t>
        </is>
      </c>
      <c r="F2074" s="13" t="n">
        <v>2020</v>
      </c>
      <c r="G2074" s="14" t="n">
        <v>1026018.205753491</v>
      </c>
      <c r="H2074" s="14" t="n">
        <v>403721.6302103977</v>
      </c>
      <c r="I2074" s="14" t="n">
        <v>383269.968702997</v>
      </c>
      <c r="J2074" s="14" t="n">
        <v>0</v>
      </c>
      <c r="K2074" s="14" t="n">
        <v>7193.852853333716</v>
      </c>
      <c r="L2074" s="14" t="n">
        <v>231832.7539867625</v>
      </c>
      <c r="M2074" s="14" t="n">
        <v>0</v>
      </c>
      <c r="N2074" s="14" t="n">
        <v>403721.6302103977</v>
      </c>
      <c r="O2074" s="14" t="n">
        <v>794185.4517667285</v>
      </c>
      <c r="P2074" s="14" t="n">
        <v>0</v>
      </c>
      <c r="Q2074" s="14" t="n">
        <v>4922957.637030149</v>
      </c>
      <c r="R2074" s="15">
        <f>IF(D2074=1,"Section 1","Control")</f>
        <v/>
      </c>
      <c r="S2074" s="16">
        <f>N2074/10000</f>
        <v/>
      </c>
      <c r="T2074" s="16">
        <f>P2074/10000</f>
        <v/>
      </c>
      <c r="U2074" s="15">
        <f>IF(N2074&gt;=Summary!$D$3,1,0)</f>
        <v/>
      </c>
      <c r="V2074" s="17">
        <f>IF(N2074&gt;0,P2074/N2074,"")</f>
        <v/>
      </c>
      <c r="W2074" s="17">
        <f>IF(O2074&gt;0,H2074/O2074,"")</f>
        <v/>
      </c>
    </row>
    <row r="2075">
      <c r="A2075" s="13" t="inlineStr">
        <is>
          <t>CE28_B1</t>
        </is>
      </c>
      <c r="B2075" s="13" t="inlineStr">
        <is>
          <t>CE28</t>
        </is>
      </c>
      <c r="C2075" s="13" t="inlineStr">
        <is>
          <t>B1</t>
        </is>
      </c>
      <c r="D2075" s="13" t="n">
        <v>0</v>
      </c>
      <c r="E2075" s="13" t="inlineStr">
        <is>
          <t>E</t>
        </is>
      </c>
      <c r="F2075" s="13" t="n">
        <v>2021</v>
      </c>
      <c r="G2075" s="14" t="n">
        <v>1026018.205753491</v>
      </c>
      <c r="H2075" s="14" t="n">
        <v>210023.3255081776</v>
      </c>
      <c r="I2075" s="14" t="n">
        <v>500944.917900564</v>
      </c>
      <c r="J2075" s="14" t="n">
        <v>0</v>
      </c>
      <c r="K2075" s="14" t="n">
        <v>111820.8280182483</v>
      </c>
      <c r="L2075" s="14" t="n">
        <v>203229.134326501</v>
      </c>
      <c r="M2075" s="14" t="n">
        <v>0</v>
      </c>
      <c r="N2075" s="14" t="n">
        <v>403721.6302103977</v>
      </c>
      <c r="O2075" s="14" t="n">
        <v>794185.4517667285</v>
      </c>
      <c r="P2075" s="14" t="n">
        <v>199641.1413754033</v>
      </c>
      <c r="Q2075" s="14" t="n">
        <v>4922957.637030149</v>
      </c>
      <c r="R2075" s="15">
        <f>IF(D2075=1,"Section 1","Control")</f>
        <v/>
      </c>
      <c r="S2075" s="16">
        <f>N2075/10000</f>
        <v/>
      </c>
      <c r="T2075" s="16">
        <f>P2075/10000</f>
        <v/>
      </c>
      <c r="U2075" s="15">
        <f>IF(N2075&gt;=Summary!$D$3,1,0)</f>
        <v/>
      </c>
      <c r="V2075" s="17">
        <f>IF(N2075&gt;0,P2075/N2075,"")</f>
        <v/>
      </c>
      <c r="W2075" s="17">
        <f>IF(O2075&gt;0,H2075/O2075,"")</f>
        <v/>
      </c>
    </row>
    <row r="2076">
      <c r="A2076" s="13" t="inlineStr">
        <is>
          <t>CE28_B1</t>
        </is>
      </c>
      <c r="B2076" s="13" t="inlineStr">
        <is>
          <t>CE28</t>
        </is>
      </c>
      <c r="C2076" s="13" t="inlineStr">
        <is>
          <t>B1</t>
        </is>
      </c>
      <c r="D2076" s="13" t="n">
        <v>0</v>
      </c>
      <c r="E2076" s="13" t="inlineStr">
        <is>
          <t>E</t>
        </is>
      </c>
      <c r="F2076" s="13" t="n">
        <v>2022</v>
      </c>
      <c r="G2076" s="14" t="n">
        <v>1026018.205753491</v>
      </c>
      <c r="H2076" s="14" t="n">
        <v>216025.648514153</v>
      </c>
      <c r="I2076" s="14" t="n">
        <v>549500.3401817471</v>
      </c>
      <c r="J2076" s="14" t="n">
        <v>0</v>
      </c>
      <c r="K2076" s="14" t="n">
        <v>43445.63687666351</v>
      </c>
      <c r="L2076" s="14" t="n">
        <v>217046.5801809273</v>
      </c>
      <c r="M2076" s="14" t="n">
        <v>0</v>
      </c>
      <c r="N2076" s="14" t="n">
        <v>403721.6302103977</v>
      </c>
      <c r="O2076" s="14" t="n">
        <v>794185.4517667285</v>
      </c>
      <c r="P2076" s="14" t="n">
        <v>209017.2179378734</v>
      </c>
      <c r="Q2076" s="14" t="n">
        <v>4922957.637030149</v>
      </c>
      <c r="R2076" s="15">
        <f>IF(D2076=1,"Section 1","Control")</f>
        <v/>
      </c>
      <c r="S2076" s="16">
        <f>N2076/10000</f>
        <v/>
      </c>
      <c r="T2076" s="16">
        <f>P2076/10000</f>
        <v/>
      </c>
      <c r="U2076" s="15">
        <f>IF(N2076&gt;=Summary!$D$3,1,0)</f>
        <v/>
      </c>
      <c r="V2076" s="17">
        <f>IF(N2076&gt;0,P2076/N2076,"")</f>
        <v/>
      </c>
      <c r="W2076" s="17">
        <f>IF(O2076&gt;0,H2076/O2076,"")</f>
        <v/>
      </c>
    </row>
    <row r="2077">
      <c r="A2077" s="13" t="inlineStr">
        <is>
          <t>CE28_B1</t>
        </is>
      </c>
      <c r="B2077" s="13" t="inlineStr">
        <is>
          <t>CE28</t>
        </is>
      </c>
      <c r="C2077" s="13" t="inlineStr">
        <is>
          <t>B1</t>
        </is>
      </c>
      <c r="D2077" s="13" t="n">
        <v>0</v>
      </c>
      <c r="E2077" s="13" t="inlineStr">
        <is>
          <t>E</t>
        </is>
      </c>
      <c r="F2077" s="13" t="n">
        <v>2023</v>
      </c>
      <c r="G2077" s="14" t="n">
        <v>1026018.205753491</v>
      </c>
      <c r="H2077" s="14" t="n">
        <v>216082.8853442323</v>
      </c>
      <c r="I2077" s="14" t="n">
        <v>547194.6552361283</v>
      </c>
      <c r="J2077" s="14" t="n">
        <v>0</v>
      </c>
      <c r="K2077" s="14" t="n">
        <v>36476.39254874435</v>
      </c>
      <c r="L2077" s="14" t="n">
        <v>226264.2726243861</v>
      </c>
      <c r="M2077" s="14" t="n">
        <v>0</v>
      </c>
      <c r="N2077" s="14" t="n">
        <v>403721.6302103977</v>
      </c>
      <c r="O2077" s="14" t="n">
        <v>794185.4517667285</v>
      </c>
      <c r="P2077" s="14" t="n">
        <v>202704.3103012684</v>
      </c>
      <c r="Q2077" s="14" t="n">
        <v>4922957.637030149</v>
      </c>
      <c r="R2077" s="15">
        <f>IF(D2077=1,"Section 1","Control")</f>
        <v/>
      </c>
      <c r="S2077" s="16">
        <f>N2077/10000</f>
        <v/>
      </c>
      <c r="T2077" s="16">
        <f>P2077/10000</f>
        <v/>
      </c>
      <c r="U2077" s="15">
        <f>IF(N2077&gt;=Summary!$D$3,1,0)</f>
        <v/>
      </c>
      <c r="V2077" s="17">
        <f>IF(N2077&gt;0,P2077/N2077,"")</f>
        <v/>
      </c>
      <c r="W2077" s="17">
        <f>IF(O2077&gt;0,H2077/O2077,"")</f>
        <v/>
      </c>
    </row>
    <row r="2078">
      <c r="A2078" s="13" t="inlineStr">
        <is>
          <t>CE28_B1</t>
        </is>
      </c>
      <c r="B2078" s="13" t="inlineStr">
        <is>
          <t>CE28</t>
        </is>
      </c>
      <c r="C2078" s="13" t="inlineStr">
        <is>
          <t>B1</t>
        </is>
      </c>
      <c r="D2078" s="13" t="n">
        <v>0</v>
      </c>
      <c r="E2078" s="13" t="inlineStr">
        <is>
          <t>E</t>
        </is>
      </c>
      <c r="F2078" s="13" t="n">
        <v>2024</v>
      </c>
      <c r="G2078" s="14" t="n">
        <v>1026018.205753491</v>
      </c>
      <c r="H2078" s="14" t="n">
        <v>310238.4392741783</v>
      </c>
      <c r="I2078" s="14" t="n">
        <v>472804.4253696217</v>
      </c>
      <c r="J2078" s="14" t="n">
        <v>0</v>
      </c>
      <c r="K2078" s="14" t="n">
        <v>36608.46775022021</v>
      </c>
      <c r="L2078" s="14" t="n">
        <v>206366.8733594708</v>
      </c>
      <c r="M2078" s="14" t="n">
        <v>0</v>
      </c>
      <c r="N2078" s="14" t="n">
        <v>403721.6302103977</v>
      </c>
      <c r="O2078" s="14" t="n">
        <v>794185.4517667285</v>
      </c>
      <c r="P2078" s="14" t="n">
        <v>136765.6572344312</v>
      </c>
      <c r="Q2078" s="14" t="n">
        <v>4922957.637030149</v>
      </c>
      <c r="R2078" s="15">
        <f>IF(D2078=1,"Section 1","Control")</f>
        <v/>
      </c>
      <c r="S2078" s="16">
        <f>N2078/10000</f>
        <v/>
      </c>
      <c r="T2078" s="16">
        <f>P2078/10000</f>
        <v/>
      </c>
      <c r="U2078" s="15">
        <f>IF(N2078&gt;=Summary!$D$3,1,0)</f>
        <v/>
      </c>
      <c r="V2078" s="17">
        <f>IF(N2078&gt;0,P2078/N2078,"")</f>
        <v/>
      </c>
      <c r="W2078" s="17">
        <f>IF(O2078&gt;0,H2078/O2078,"")</f>
        <v/>
      </c>
    </row>
    <row r="2079">
      <c r="A2079" s="13" t="inlineStr">
        <is>
          <t>CE28_B1</t>
        </is>
      </c>
      <c r="B2079" s="13" t="inlineStr">
        <is>
          <t>CE28</t>
        </is>
      </c>
      <c r="C2079" s="13" t="inlineStr">
        <is>
          <t>B1</t>
        </is>
      </c>
      <c r="D2079" s="13" t="n">
        <v>0</v>
      </c>
      <c r="E2079" s="13" t="inlineStr">
        <is>
          <t>E</t>
        </is>
      </c>
      <c r="F2079" s="13" t="n">
        <v>2025</v>
      </c>
      <c r="G2079" s="14" t="n">
        <v>1026018.205753491</v>
      </c>
      <c r="H2079" s="14" t="n">
        <v>440302.6024048749</v>
      </c>
      <c r="I2079" s="14" t="n">
        <v>338754.128848476</v>
      </c>
      <c r="J2079" s="14" t="n">
        <v>0</v>
      </c>
      <c r="K2079" s="14" t="n">
        <v>27644.06075445437</v>
      </c>
      <c r="L2079" s="14" t="n">
        <v>219317.4137456857</v>
      </c>
      <c r="M2079" s="14" t="n">
        <v>0</v>
      </c>
      <c r="N2079" s="14" t="n">
        <v>403721.6302103977</v>
      </c>
      <c r="O2079" s="14" t="n">
        <v>794185.4517667285</v>
      </c>
      <c r="P2079" s="14" t="n">
        <v>106939.6396422741</v>
      </c>
      <c r="Q2079" s="14" t="n">
        <v>4922957.637030149</v>
      </c>
      <c r="R2079" s="15">
        <f>IF(D2079=1,"Section 1","Control")</f>
        <v/>
      </c>
      <c r="S2079" s="16">
        <f>N2079/10000</f>
        <v/>
      </c>
      <c r="T2079" s="16">
        <f>P2079/10000</f>
        <v/>
      </c>
      <c r="U2079" s="15">
        <f>IF(N2079&gt;=Summary!$D$3,1,0)</f>
        <v/>
      </c>
      <c r="V2079" s="17">
        <f>IF(N2079&gt;0,P2079/N2079,"")</f>
        <v/>
      </c>
      <c r="W2079" s="17">
        <f>IF(O2079&gt;0,H2079/O2079,"")</f>
        <v/>
      </c>
    </row>
    <row r="2080">
      <c r="A2080" s="13" t="inlineStr">
        <is>
          <t>CE28_B1</t>
        </is>
      </c>
      <c r="B2080" s="13" t="inlineStr">
        <is>
          <t>CE28</t>
        </is>
      </c>
      <c r="C2080" s="13" t="inlineStr">
        <is>
          <t>B1</t>
        </is>
      </c>
      <c r="D2080" s="13" t="n">
        <v>0</v>
      </c>
      <c r="E2080" s="13" t="inlineStr">
        <is>
          <t>E</t>
        </is>
      </c>
      <c r="F2080" s="13" t="n">
        <v>2026</v>
      </c>
      <c r="G2080" s="14" t="n">
        <v>1026018.205753491</v>
      </c>
      <c r="H2080" s="14" t="n">
        <v>345269.0106378592</v>
      </c>
      <c r="I2080" s="14" t="n">
        <v>422987.0889721441</v>
      </c>
      <c r="J2080" s="14" t="n">
        <v>0</v>
      </c>
      <c r="K2080" s="14" t="n">
        <v>60754.63401734595</v>
      </c>
      <c r="L2080" s="14" t="n">
        <v>197007.4721261417</v>
      </c>
      <c r="M2080" s="14" t="n">
        <v>0</v>
      </c>
      <c r="N2080" s="14" t="n">
        <v>403721.6302103978</v>
      </c>
      <c r="O2080" s="14" t="n">
        <v>794185.4517667285</v>
      </c>
      <c r="P2080" s="14" t="n">
        <v>121549.073349388</v>
      </c>
      <c r="Q2080" s="14" t="n">
        <v>4922957.637030149</v>
      </c>
      <c r="R2080" s="15">
        <f>IF(D2080=1,"Section 1","Control")</f>
        <v/>
      </c>
      <c r="S2080" s="16">
        <f>N2080/10000</f>
        <v/>
      </c>
      <c r="T2080" s="16">
        <f>P2080/10000</f>
        <v/>
      </c>
      <c r="U2080" s="15">
        <f>IF(N2080&gt;=Summary!$D$3,1,0)</f>
        <v/>
      </c>
      <c r="V2080" s="17">
        <f>IF(N2080&gt;0,P2080/N2080,"")</f>
        <v/>
      </c>
      <c r="W2080" s="17">
        <f>IF(O2080&gt;0,H2080/O2080,"")</f>
        <v/>
      </c>
    </row>
    <row r="2081">
      <c r="A2081" s="13" t="inlineStr">
        <is>
          <t>CE28_B2</t>
        </is>
      </c>
      <c r="B2081" s="13" t="inlineStr">
        <is>
          <t>CE28</t>
        </is>
      </c>
      <c r="C2081" s="13" t="inlineStr">
        <is>
          <t>B2</t>
        </is>
      </c>
      <c r="D2081" s="13" t="n">
        <v>0</v>
      </c>
      <c r="E2081" s="13" t="inlineStr">
        <is>
          <t>E</t>
        </is>
      </c>
      <c r="F2081" s="13" t="n">
        <v>2020</v>
      </c>
      <c r="G2081" s="14" t="n">
        <v>1025564.005358617</v>
      </c>
      <c r="H2081" s="14" t="n">
        <v>334346.6195807363</v>
      </c>
      <c r="I2081" s="14" t="n">
        <v>212817.2815186445</v>
      </c>
      <c r="J2081" s="14" t="n">
        <v>0</v>
      </c>
      <c r="K2081" s="14" t="n">
        <v>197.459846496582</v>
      </c>
      <c r="L2081" s="14" t="n">
        <v>478202.6444127401</v>
      </c>
      <c r="M2081" s="14" t="n">
        <v>0</v>
      </c>
      <c r="N2081" s="14" t="n">
        <v>334346.6195807363</v>
      </c>
      <c r="O2081" s="14" t="n">
        <v>547361.3609458773</v>
      </c>
      <c r="P2081" s="14" t="n">
        <v>0</v>
      </c>
      <c r="Q2081" s="14" t="n">
        <v>3880272.06027437</v>
      </c>
      <c r="R2081" s="15">
        <f>IF(D2081=1,"Section 1","Control")</f>
        <v/>
      </c>
      <c r="S2081" s="16">
        <f>N2081/10000</f>
        <v/>
      </c>
      <c r="T2081" s="16">
        <f>P2081/10000</f>
        <v/>
      </c>
      <c r="U2081" s="15">
        <f>IF(N2081&gt;=Summary!$D$3,1,0)</f>
        <v/>
      </c>
      <c r="V2081" s="17">
        <f>IF(N2081&gt;0,P2081/N2081,"")</f>
        <v/>
      </c>
      <c r="W2081" s="17">
        <f>IF(O2081&gt;0,H2081/O2081,"")</f>
        <v/>
      </c>
    </row>
    <row r="2082">
      <c r="A2082" s="13" t="inlineStr">
        <is>
          <t>CE28_B2</t>
        </is>
      </c>
      <c r="B2082" s="13" t="inlineStr">
        <is>
          <t>CE28</t>
        </is>
      </c>
      <c r="C2082" s="13" t="inlineStr">
        <is>
          <t>B2</t>
        </is>
      </c>
      <c r="D2082" s="13" t="n">
        <v>0</v>
      </c>
      <c r="E2082" s="13" t="inlineStr">
        <is>
          <t>E</t>
        </is>
      </c>
      <c r="F2082" s="13" t="n">
        <v>2021</v>
      </c>
      <c r="G2082" s="14" t="n">
        <v>1025564.005358618</v>
      </c>
      <c r="H2082" s="14" t="n">
        <v>87197.69724115109</v>
      </c>
      <c r="I2082" s="14" t="n">
        <v>141640.9328673419</v>
      </c>
      <c r="J2082" s="14" t="n">
        <v>0</v>
      </c>
      <c r="K2082" s="14" t="n">
        <v>318522.7308373844</v>
      </c>
      <c r="L2082" s="14" t="n">
        <v>478202.6444127401</v>
      </c>
      <c r="M2082" s="14" t="n">
        <v>0</v>
      </c>
      <c r="N2082" s="14" t="n">
        <v>334346.6195807363</v>
      </c>
      <c r="O2082" s="14" t="n">
        <v>547361.3609458774</v>
      </c>
      <c r="P2082" s="14" t="n">
        <v>249074.358081683</v>
      </c>
      <c r="Q2082" s="14" t="n">
        <v>3880272.06027437</v>
      </c>
      <c r="R2082" s="15">
        <f>IF(D2082=1,"Section 1","Control")</f>
        <v/>
      </c>
      <c r="S2082" s="16">
        <f>N2082/10000</f>
        <v/>
      </c>
      <c r="T2082" s="16">
        <f>P2082/10000</f>
        <v/>
      </c>
      <c r="U2082" s="15">
        <f>IF(N2082&gt;=Summary!$D$3,1,0)</f>
        <v/>
      </c>
      <c r="V2082" s="17">
        <f>IF(N2082&gt;0,P2082/N2082,"")</f>
        <v/>
      </c>
      <c r="W2082" s="17">
        <f>IF(O2082&gt;0,H2082/O2082,"")</f>
        <v/>
      </c>
    </row>
    <row r="2083">
      <c r="A2083" s="13" t="inlineStr">
        <is>
          <t>CE28_B2</t>
        </is>
      </c>
      <c r="B2083" s="13" t="inlineStr">
        <is>
          <t>CE28</t>
        </is>
      </c>
      <c r="C2083" s="13" t="inlineStr">
        <is>
          <t>B2</t>
        </is>
      </c>
      <c r="D2083" s="13" t="n">
        <v>0</v>
      </c>
      <c r="E2083" s="13" t="inlineStr">
        <is>
          <t>E</t>
        </is>
      </c>
      <c r="F2083" s="13" t="n">
        <v>2022</v>
      </c>
      <c r="G2083" s="14" t="n">
        <v>1025564.005358618</v>
      </c>
      <c r="H2083" s="14" t="n">
        <v>139654.3651274737</v>
      </c>
      <c r="I2083" s="14" t="n">
        <v>263410.0137766222</v>
      </c>
      <c r="J2083" s="14" t="n">
        <v>0</v>
      </c>
      <c r="K2083" s="14" t="n">
        <v>144296.9820417816</v>
      </c>
      <c r="L2083" s="14" t="n">
        <v>478202.6444127401</v>
      </c>
      <c r="M2083" s="14" t="n">
        <v>0</v>
      </c>
      <c r="N2083" s="14" t="n">
        <v>334346.6195807363</v>
      </c>
      <c r="O2083" s="14" t="n">
        <v>547361.3609458774</v>
      </c>
      <c r="P2083" s="14" t="n">
        <v>210777.146598038</v>
      </c>
      <c r="Q2083" s="14" t="n">
        <v>3880272.06027437</v>
      </c>
      <c r="R2083" s="15">
        <f>IF(D2083=1,"Section 1","Control")</f>
        <v/>
      </c>
      <c r="S2083" s="16">
        <f>N2083/10000</f>
        <v/>
      </c>
      <c r="T2083" s="16">
        <f>P2083/10000</f>
        <v/>
      </c>
      <c r="U2083" s="15">
        <f>IF(N2083&gt;=Summary!$D$3,1,0)</f>
        <v/>
      </c>
      <c r="V2083" s="17">
        <f>IF(N2083&gt;0,P2083/N2083,"")</f>
        <v/>
      </c>
      <c r="W2083" s="17">
        <f>IF(O2083&gt;0,H2083/O2083,"")</f>
        <v/>
      </c>
    </row>
    <row r="2084">
      <c r="A2084" s="13" t="inlineStr">
        <is>
          <t>CE28_B2</t>
        </is>
      </c>
      <c r="B2084" s="13" t="inlineStr">
        <is>
          <t>CE28</t>
        </is>
      </c>
      <c r="C2084" s="13" t="inlineStr">
        <is>
          <t>B2</t>
        </is>
      </c>
      <c r="D2084" s="13" t="n">
        <v>0</v>
      </c>
      <c r="E2084" s="13" t="inlineStr">
        <is>
          <t>E</t>
        </is>
      </c>
      <c r="F2084" s="13" t="n">
        <v>2023</v>
      </c>
      <c r="G2084" s="14" t="n">
        <v>1025564.005358617</v>
      </c>
      <c r="H2084" s="14" t="n">
        <v>155703.2191281188</v>
      </c>
      <c r="I2084" s="14" t="n">
        <v>270913.1419345333</v>
      </c>
      <c r="J2084" s="14" t="n">
        <v>0</v>
      </c>
      <c r="K2084" s="14" t="n">
        <v>120744.9998832254</v>
      </c>
      <c r="L2084" s="14" t="n">
        <v>478202.6444127401</v>
      </c>
      <c r="M2084" s="14" t="n">
        <v>0</v>
      </c>
      <c r="N2084" s="14" t="n">
        <v>334346.6195807363</v>
      </c>
      <c r="O2084" s="14" t="n">
        <v>547361.3609458773</v>
      </c>
      <c r="P2084" s="14" t="n">
        <v>195431.0141727822</v>
      </c>
      <c r="Q2084" s="14" t="n">
        <v>3880272.06027437</v>
      </c>
      <c r="R2084" s="15">
        <f>IF(D2084=1,"Section 1","Control")</f>
        <v/>
      </c>
      <c r="S2084" s="16">
        <f>N2084/10000</f>
        <v/>
      </c>
      <c r="T2084" s="16">
        <f>P2084/10000</f>
        <v/>
      </c>
      <c r="U2084" s="15">
        <f>IF(N2084&gt;=Summary!$D$3,1,0)</f>
        <v/>
      </c>
      <c r="V2084" s="17">
        <f>IF(N2084&gt;0,P2084/N2084,"")</f>
        <v/>
      </c>
      <c r="W2084" s="17">
        <f>IF(O2084&gt;0,H2084/O2084,"")</f>
        <v/>
      </c>
    </row>
    <row r="2085">
      <c r="A2085" s="13" t="inlineStr">
        <is>
          <t>CE28_B2</t>
        </is>
      </c>
      <c r="B2085" s="13" t="inlineStr">
        <is>
          <t>CE28</t>
        </is>
      </c>
      <c r="C2085" s="13" t="inlineStr">
        <is>
          <t>B2</t>
        </is>
      </c>
      <c r="D2085" s="13" t="n">
        <v>0</v>
      </c>
      <c r="E2085" s="13" t="inlineStr">
        <is>
          <t>E</t>
        </is>
      </c>
      <c r="F2085" s="13" t="n">
        <v>2024</v>
      </c>
      <c r="G2085" s="14" t="n">
        <v>1025564.005358617</v>
      </c>
      <c r="H2085" s="14" t="n">
        <v>222547.7781952802</v>
      </c>
      <c r="I2085" s="14" t="n">
        <v>210310.2518233056</v>
      </c>
      <c r="J2085" s="14" t="n">
        <v>0</v>
      </c>
      <c r="K2085" s="14" t="n">
        <v>114503.3309272916</v>
      </c>
      <c r="L2085" s="14" t="n">
        <v>478202.6444127401</v>
      </c>
      <c r="M2085" s="14" t="n">
        <v>0</v>
      </c>
      <c r="N2085" s="14" t="n">
        <v>334346.6195807363</v>
      </c>
      <c r="O2085" s="14" t="n">
        <v>547361.3609458773</v>
      </c>
      <c r="P2085" s="14" t="n">
        <v>161760.5581051995</v>
      </c>
      <c r="Q2085" s="14" t="n">
        <v>3880272.06027437</v>
      </c>
      <c r="R2085" s="15">
        <f>IF(D2085=1,"Section 1","Control")</f>
        <v/>
      </c>
      <c r="S2085" s="16">
        <f>N2085/10000</f>
        <v/>
      </c>
      <c r="T2085" s="16">
        <f>P2085/10000</f>
        <v/>
      </c>
      <c r="U2085" s="15">
        <f>IF(N2085&gt;=Summary!$D$3,1,0)</f>
        <v/>
      </c>
      <c r="V2085" s="17">
        <f>IF(N2085&gt;0,P2085/N2085,"")</f>
        <v/>
      </c>
      <c r="W2085" s="17">
        <f>IF(O2085&gt;0,H2085/O2085,"")</f>
        <v/>
      </c>
    </row>
    <row r="2086">
      <c r="A2086" s="13" t="inlineStr">
        <is>
          <t>CE28_B2</t>
        </is>
      </c>
      <c r="B2086" s="13" t="inlineStr">
        <is>
          <t>CE28</t>
        </is>
      </c>
      <c r="C2086" s="13" t="inlineStr">
        <is>
          <t>B2</t>
        </is>
      </c>
      <c r="D2086" s="13" t="n">
        <v>0</v>
      </c>
      <c r="E2086" s="13" t="inlineStr">
        <is>
          <t>E</t>
        </is>
      </c>
      <c r="F2086" s="13" t="n">
        <v>2025</v>
      </c>
      <c r="G2086" s="14" t="n">
        <v>1025564.005358617</v>
      </c>
      <c r="H2086" s="14" t="n">
        <v>281508.9664033778</v>
      </c>
      <c r="I2086" s="14" t="n">
        <v>154014.777741795</v>
      </c>
      <c r="J2086" s="14" t="n">
        <v>0</v>
      </c>
      <c r="K2086" s="14" t="n">
        <v>111837.6168007046</v>
      </c>
      <c r="L2086" s="14" t="n">
        <v>478202.6444127401</v>
      </c>
      <c r="M2086" s="14" t="n">
        <v>0</v>
      </c>
      <c r="N2086" s="14" t="n">
        <v>334346.6195807363</v>
      </c>
      <c r="O2086" s="14" t="n">
        <v>547361.3609458773</v>
      </c>
      <c r="P2086" s="14" t="n">
        <v>145657.5074101168</v>
      </c>
      <c r="Q2086" s="14" t="n">
        <v>3880272.06027437</v>
      </c>
      <c r="R2086" s="15">
        <f>IF(D2086=1,"Section 1","Control")</f>
        <v/>
      </c>
      <c r="S2086" s="16">
        <f>N2086/10000</f>
        <v/>
      </c>
      <c r="T2086" s="16">
        <f>P2086/10000</f>
        <v/>
      </c>
      <c r="U2086" s="15">
        <f>IF(N2086&gt;=Summary!$D$3,1,0)</f>
        <v/>
      </c>
      <c r="V2086" s="17">
        <f>IF(N2086&gt;0,P2086/N2086,"")</f>
        <v/>
      </c>
      <c r="W2086" s="17">
        <f>IF(O2086&gt;0,H2086/O2086,"")</f>
        <v/>
      </c>
    </row>
    <row r="2087">
      <c r="A2087" s="13" t="inlineStr">
        <is>
          <t>CE28_B2</t>
        </is>
      </c>
      <c r="B2087" s="13" t="inlineStr">
        <is>
          <t>CE28</t>
        </is>
      </c>
      <c r="C2087" s="13" t="inlineStr">
        <is>
          <t>B2</t>
        </is>
      </c>
      <c r="D2087" s="13" t="n">
        <v>0</v>
      </c>
      <c r="E2087" s="13" t="inlineStr">
        <is>
          <t>E</t>
        </is>
      </c>
      <c r="F2087" s="13" t="n">
        <v>2026</v>
      </c>
      <c r="G2087" s="14" t="n">
        <v>1025564.005358617</v>
      </c>
      <c r="H2087" s="14" t="n">
        <v>234475.5267021029</v>
      </c>
      <c r="I2087" s="14" t="n">
        <v>198283.7692008823</v>
      </c>
      <c r="J2087" s="14" t="n">
        <v>0</v>
      </c>
      <c r="K2087" s="14" t="n">
        <v>114602.0650428922</v>
      </c>
      <c r="L2087" s="14" t="n">
        <v>478202.6444127401</v>
      </c>
      <c r="M2087" s="14" t="n">
        <v>0</v>
      </c>
      <c r="N2087" s="14" t="n">
        <v>334346.6195807363</v>
      </c>
      <c r="O2087" s="14" t="n">
        <v>547361.3609458773</v>
      </c>
      <c r="P2087" s="14" t="n">
        <v>154855.270118474</v>
      </c>
      <c r="Q2087" s="14" t="n">
        <v>3880272.06027437</v>
      </c>
      <c r="R2087" s="15">
        <f>IF(D2087=1,"Section 1","Control")</f>
        <v/>
      </c>
      <c r="S2087" s="16">
        <f>N2087/10000</f>
        <v/>
      </c>
      <c r="T2087" s="16">
        <f>P2087/10000</f>
        <v/>
      </c>
      <c r="U2087" s="15">
        <f>IF(N2087&gt;=Summary!$D$3,1,0)</f>
        <v/>
      </c>
      <c r="V2087" s="17">
        <f>IF(N2087&gt;0,P2087/N2087,"")</f>
        <v/>
      </c>
      <c r="W2087" s="17">
        <f>IF(O2087&gt;0,H2087/O2087,"")</f>
        <v/>
      </c>
    </row>
    <row r="2088">
      <c r="A2088" s="13" t="inlineStr">
        <is>
          <t>CE28_B3</t>
        </is>
      </c>
      <c r="B2088" s="13" t="inlineStr">
        <is>
          <t>CE28</t>
        </is>
      </c>
      <c r="C2088" s="13" t="inlineStr">
        <is>
          <t>B3</t>
        </is>
      </c>
      <c r="D2088" s="13" t="n">
        <v>0</v>
      </c>
      <c r="E2088" s="13" t="inlineStr">
        <is>
          <t>E</t>
        </is>
      </c>
      <c r="F2088" s="13" t="n">
        <v>2020</v>
      </c>
      <c r="G2088" s="14" t="n">
        <v>8206373.794138231</v>
      </c>
      <c r="H2088" s="14" t="n">
        <v>3542460.337018779</v>
      </c>
      <c r="I2088" s="14" t="n">
        <v>712284.9852504358</v>
      </c>
      <c r="J2088" s="14" t="n">
        <v>0</v>
      </c>
      <c r="K2088" s="14" t="n">
        <v>28100.06394710167</v>
      </c>
      <c r="L2088" s="14" t="n">
        <v>3923528.407921915</v>
      </c>
      <c r="M2088" s="14" t="n">
        <v>0</v>
      </c>
      <c r="N2088" s="14" t="n">
        <v>3542460.337018779</v>
      </c>
      <c r="O2088" s="14" t="n">
        <v>4282845.386216316</v>
      </c>
      <c r="P2088" s="14" t="n">
        <v>0</v>
      </c>
      <c r="Q2088" s="14" t="n">
        <v>32947699.10277632</v>
      </c>
      <c r="R2088" s="15">
        <f>IF(D2088=1,"Section 1","Control")</f>
        <v/>
      </c>
      <c r="S2088" s="16">
        <f>N2088/10000</f>
        <v/>
      </c>
      <c r="T2088" s="16">
        <f>P2088/10000</f>
        <v/>
      </c>
      <c r="U2088" s="15">
        <f>IF(N2088&gt;=Summary!$D$3,1,0)</f>
        <v/>
      </c>
      <c r="V2088" s="17">
        <f>IF(N2088&gt;0,P2088/N2088,"")</f>
        <v/>
      </c>
      <c r="W2088" s="17">
        <f>IF(O2088&gt;0,H2088/O2088,"")</f>
        <v/>
      </c>
    </row>
    <row r="2089">
      <c r="A2089" s="13" t="inlineStr">
        <is>
          <t>CE28_B3</t>
        </is>
      </c>
      <c r="B2089" s="13" t="inlineStr">
        <is>
          <t>CE28</t>
        </is>
      </c>
      <c r="C2089" s="13" t="inlineStr">
        <is>
          <t>B3</t>
        </is>
      </c>
      <c r="D2089" s="13" t="n">
        <v>0</v>
      </c>
      <c r="E2089" s="13" t="inlineStr">
        <is>
          <t>E</t>
        </is>
      </c>
      <c r="F2089" s="13" t="n">
        <v>2021</v>
      </c>
      <c r="G2089" s="14" t="n">
        <v>8206373.794138232</v>
      </c>
      <c r="H2089" s="14" t="n">
        <v>3045966.040319765</v>
      </c>
      <c r="I2089" s="14" t="n">
        <v>836148.5293481564</v>
      </c>
      <c r="J2089" s="14" t="n">
        <v>0</v>
      </c>
      <c r="K2089" s="14" t="n">
        <v>493405.6934064379</v>
      </c>
      <c r="L2089" s="14" t="n">
        <v>3830853.531063874</v>
      </c>
      <c r="M2089" s="14" t="n">
        <v>0</v>
      </c>
      <c r="N2089" s="14" t="n">
        <v>3542460.337018779</v>
      </c>
      <c r="O2089" s="14" t="n">
        <v>4282845.386216316</v>
      </c>
      <c r="P2089" s="14" t="n">
        <v>508736.4783243815</v>
      </c>
      <c r="Q2089" s="14" t="n">
        <v>32947699.10277632</v>
      </c>
      <c r="R2089" s="15">
        <f>IF(D2089=1,"Section 1","Control")</f>
        <v/>
      </c>
      <c r="S2089" s="16">
        <f>N2089/10000</f>
        <v/>
      </c>
      <c r="T2089" s="16">
        <f>P2089/10000</f>
        <v/>
      </c>
      <c r="U2089" s="15">
        <f>IF(N2089&gt;=Summary!$D$3,1,0)</f>
        <v/>
      </c>
      <c r="V2089" s="17">
        <f>IF(N2089&gt;0,P2089/N2089,"")</f>
        <v/>
      </c>
      <c r="W2089" s="17">
        <f>IF(O2089&gt;0,H2089/O2089,"")</f>
        <v/>
      </c>
    </row>
    <row r="2090">
      <c r="A2090" s="13" t="inlineStr">
        <is>
          <t>CE28_B3</t>
        </is>
      </c>
      <c r="B2090" s="13" t="inlineStr">
        <is>
          <t>CE28</t>
        </is>
      </c>
      <c r="C2090" s="13" t="inlineStr">
        <is>
          <t>B3</t>
        </is>
      </c>
      <c r="D2090" s="13" t="n">
        <v>0</v>
      </c>
      <c r="E2090" s="13" t="inlineStr">
        <is>
          <t>E</t>
        </is>
      </c>
      <c r="F2090" s="13" t="n">
        <v>2022</v>
      </c>
      <c r="G2090" s="14" t="n">
        <v>8206373.794138232</v>
      </c>
      <c r="H2090" s="14" t="n">
        <v>3150513.289609902</v>
      </c>
      <c r="I2090" s="14" t="n">
        <v>933388.5279700484</v>
      </c>
      <c r="J2090" s="14" t="n">
        <v>0</v>
      </c>
      <c r="K2090" s="14" t="n">
        <v>399448.7241946352</v>
      </c>
      <c r="L2090" s="14" t="n">
        <v>3723023.252363646</v>
      </c>
      <c r="M2090" s="14" t="n">
        <v>0</v>
      </c>
      <c r="N2090" s="14" t="n">
        <v>3542460.337018779</v>
      </c>
      <c r="O2090" s="14" t="n">
        <v>4282845.386216316</v>
      </c>
      <c r="P2090" s="14" t="n">
        <v>451153.6667007745</v>
      </c>
      <c r="Q2090" s="14" t="n">
        <v>32947699.10277632</v>
      </c>
      <c r="R2090" s="15">
        <f>IF(D2090=1,"Section 1","Control")</f>
        <v/>
      </c>
      <c r="S2090" s="16">
        <f>N2090/10000</f>
        <v/>
      </c>
      <c r="T2090" s="16">
        <f>P2090/10000</f>
        <v/>
      </c>
      <c r="U2090" s="15">
        <f>IF(N2090&gt;=Summary!$D$3,1,0)</f>
        <v/>
      </c>
      <c r="V2090" s="17">
        <f>IF(N2090&gt;0,P2090/N2090,"")</f>
        <v/>
      </c>
      <c r="W2090" s="17">
        <f>IF(O2090&gt;0,H2090/O2090,"")</f>
        <v/>
      </c>
    </row>
    <row r="2091">
      <c r="A2091" s="13" t="inlineStr">
        <is>
          <t>CE28_B3</t>
        </is>
      </c>
      <c r="B2091" s="13" t="inlineStr">
        <is>
          <t>CE28</t>
        </is>
      </c>
      <c r="C2091" s="13" t="inlineStr">
        <is>
          <t>B3</t>
        </is>
      </c>
      <c r="D2091" s="13" t="n">
        <v>0</v>
      </c>
      <c r="E2091" s="13" t="inlineStr">
        <is>
          <t>E</t>
        </is>
      </c>
      <c r="F2091" s="13" t="n">
        <v>2023</v>
      </c>
      <c r="G2091" s="14" t="n">
        <v>8206373.794138232</v>
      </c>
      <c r="H2091" s="14" t="n">
        <v>3280073.574301805</v>
      </c>
      <c r="I2091" s="14" t="n">
        <v>840319.4644956702</v>
      </c>
      <c r="J2091" s="14" t="n">
        <v>0</v>
      </c>
      <c r="K2091" s="14" t="n">
        <v>182420.3444413428</v>
      </c>
      <c r="L2091" s="14" t="n">
        <v>3903560.410899413</v>
      </c>
      <c r="M2091" s="14" t="n">
        <v>0</v>
      </c>
      <c r="N2091" s="14" t="n">
        <v>3542460.337018779</v>
      </c>
      <c r="O2091" s="14" t="n">
        <v>4282845.386216316</v>
      </c>
      <c r="P2091" s="14" t="n">
        <v>368733.5395288803</v>
      </c>
      <c r="Q2091" s="14" t="n">
        <v>32947699.10277632</v>
      </c>
      <c r="R2091" s="15">
        <f>IF(D2091=1,"Section 1","Control")</f>
        <v/>
      </c>
      <c r="S2091" s="16">
        <f>N2091/10000</f>
        <v/>
      </c>
      <c r="T2091" s="16">
        <f>P2091/10000</f>
        <v/>
      </c>
      <c r="U2091" s="15">
        <f>IF(N2091&gt;=Summary!$D$3,1,0)</f>
        <v/>
      </c>
      <c r="V2091" s="17">
        <f>IF(N2091&gt;0,P2091/N2091,"")</f>
        <v/>
      </c>
      <c r="W2091" s="17">
        <f>IF(O2091&gt;0,H2091/O2091,"")</f>
        <v/>
      </c>
    </row>
    <row r="2092">
      <c r="A2092" s="13" t="inlineStr">
        <is>
          <t>CE28_B3</t>
        </is>
      </c>
      <c r="B2092" s="13" t="inlineStr">
        <is>
          <t>CE28</t>
        </is>
      </c>
      <c r="C2092" s="13" t="inlineStr">
        <is>
          <t>B3</t>
        </is>
      </c>
      <c r="D2092" s="13" t="n">
        <v>0</v>
      </c>
      <c r="E2092" s="13" t="inlineStr">
        <is>
          <t>E</t>
        </is>
      </c>
      <c r="F2092" s="13" t="n">
        <v>2024</v>
      </c>
      <c r="G2092" s="14" t="n">
        <v>8206373.794138231</v>
      </c>
      <c r="H2092" s="14" t="n">
        <v>3341039.43235321</v>
      </c>
      <c r="I2092" s="14" t="n">
        <v>796928.3329307707</v>
      </c>
      <c r="J2092" s="14" t="n">
        <v>0</v>
      </c>
      <c r="K2092" s="14" t="n">
        <v>198710.8334958544</v>
      </c>
      <c r="L2092" s="14" t="n">
        <v>3869695.195358397</v>
      </c>
      <c r="M2092" s="14" t="n">
        <v>0</v>
      </c>
      <c r="N2092" s="14" t="n">
        <v>3542460.337018779</v>
      </c>
      <c r="O2092" s="14" t="n">
        <v>4282845.386216316</v>
      </c>
      <c r="P2092" s="14" t="n">
        <v>325476.9071101469</v>
      </c>
      <c r="Q2092" s="14" t="n">
        <v>32947699.10277632</v>
      </c>
      <c r="R2092" s="15">
        <f>IF(D2092=1,"Section 1","Control")</f>
        <v/>
      </c>
      <c r="S2092" s="16">
        <f>N2092/10000</f>
        <v/>
      </c>
      <c r="T2092" s="16">
        <f>P2092/10000</f>
        <v/>
      </c>
      <c r="U2092" s="15">
        <f>IF(N2092&gt;=Summary!$D$3,1,0)</f>
        <v/>
      </c>
      <c r="V2092" s="17">
        <f>IF(N2092&gt;0,P2092/N2092,"")</f>
        <v/>
      </c>
      <c r="W2092" s="17">
        <f>IF(O2092&gt;0,H2092/O2092,"")</f>
        <v/>
      </c>
    </row>
    <row r="2093">
      <c r="A2093" s="13" t="inlineStr">
        <is>
          <t>CE28_B3</t>
        </is>
      </c>
      <c r="B2093" s="13" t="inlineStr">
        <is>
          <t>CE28</t>
        </is>
      </c>
      <c r="C2093" s="13" t="inlineStr">
        <is>
          <t>B3</t>
        </is>
      </c>
      <c r="D2093" s="13" t="n">
        <v>0</v>
      </c>
      <c r="E2093" s="13" t="inlineStr">
        <is>
          <t>E</t>
        </is>
      </c>
      <c r="F2093" s="13" t="n">
        <v>2025</v>
      </c>
      <c r="G2093" s="14" t="n">
        <v>8206373.794138232</v>
      </c>
      <c r="H2093" s="14" t="n">
        <v>3431037.757057968</v>
      </c>
      <c r="I2093" s="14" t="n">
        <v>667898.7623672187</v>
      </c>
      <c r="J2093" s="14" t="n">
        <v>0</v>
      </c>
      <c r="K2093" s="14" t="n">
        <v>207821.5996692732</v>
      </c>
      <c r="L2093" s="14" t="n">
        <v>3899615.675043773</v>
      </c>
      <c r="M2093" s="14" t="n">
        <v>0</v>
      </c>
      <c r="N2093" s="14" t="n">
        <v>3542460.337018779</v>
      </c>
      <c r="O2093" s="14" t="n">
        <v>4282845.386216316</v>
      </c>
      <c r="P2093" s="14" t="n">
        <v>313030.0019371482</v>
      </c>
      <c r="Q2093" s="14" t="n">
        <v>32947699.10277632</v>
      </c>
      <c r="R2093" s="15">
        <f>IF(D2093=1,"Section 1","Control")</f>
        <v/>
      </c>
      <c r="S2093" s="16">
        <f>N2093/10000</f>
        <v/>
      </c>
      <c r="T2093" s="16">
        <f>P2093/10000</f>
        <v/>
      </c>
      <c r="U2093" s="15">
        <f>IF(N2093&gt;=Summary!$D$3,1,0)</f>
        <v/>
      </c>
      <c r="V2093" s="17">
        <f>IF(N2093&gt;0,P2093/N2093,"")</f>
        <v/>
      </c>
      <c r="W2093" s="17">
        <f>IF(O2093&gt;0,H2093/O2093,"")</f>
        <v/>
      </c>
    </row>
    <row r="2094">
      <c r="A2094" s="13" t="inlineStr">
        <is>
          <t>CE28_B3</t>
        </is>
      </c>
      <c r="B2094" s="13" t="inlineStr">
        <is>
          <t>CE28</t>
        </is>
      </c>
      <c r="C2094" s="13" t="inlineStr">
        <is>
          <t>B3</t>
        </is>
      </c>
      <c r="D2094" s="13" t="n">
        <v>0</v>
      </c>
      <c r="E2094" s="13" t="inlineStr">
        <is>
          <t>E</t>
        </is>
      </c>
      <c r="F2094" s="13" t="n">
        <v>2026</v>
      </c>
      <c r="G2094" s="14" t="n">
        <v>8206373.794138232</v>
      </c>
      <c r="H2094" s="14" t="n">
        <v>3487481.281517387</v>
      </c>
      <c r="I2094" s="14" t="n">
        <v>563908.0702568503</v>
      </c>
      <c r="J2094" s="14" t="n">
        <v>0</v>
      </c>
      <c r="K2094" s="14" t="n">
        <v>230952.87121226</v>
      </c>
      <c r="L2094" s="14" t="n">
        <v>3924031.571151733</v>
      </c>
      <c r="M2094" s="14" t="n">
        <v>0</v>
      </c>
      <c r="N2094" s="14" t="n">
        <v>3542460.337018779</v>
      </c>
      <c r="O2094" s="14" t="n">
        <v>4282845.386216316</v>
      </c>
      <c r="P2094" s="14" t="n">
        <v>271751.8832440246</v>
      </c>
      <c r="Q2094" s="14" t="n">
        <v>32947699.10277632</v>
      </c>
      <c r="R2094" s="15">
        <f>IF(D2094=1,"Section 1","Control")</f>
        <v/>
      </c>
      <c r="S2094" s="16">
        <f>N2094/10000</f>
        <v/>
      </c>
      <c r="T2094" s="16">
        <f>P2094/10000</f>
        <v/>
      </c>
      <c r="U2094" s="15">
        <f>IF(N2094&gt;=Summary!$D$3,1,0)</f>
        <v/>
      </c>
      <c r="V2094" s="17">
        <f>IF(N2094&gt;0,P2094/N2094,"")</f>
        <v/>
      </c>
      <c r="W2094" s="17">
        <f>IF(O2094&gt;0,H2094/O2094,"")</f>
        <v/>
      </c>
    </row>
    <row r="2095">
      <c r="A2095" s="13" t="inlineStr">
        <is>
          <t>CE28_F</t>
        </is>
      </c>
      <c r="B2095" s="13" t="inlineStr">
        <is>
          <t>CE28</t>
        </is>
      </c>
      <c r="C2095" s="13" t="inlineStr">
        <is>
          <t>F</t>
        </is>
      </c>
      <c r="D2095" s="13" t="n">
        <v>0</v>
      </c>
      <c r="E2095" s="13" t="inlineStr">
        <is>
          <t>E</t>
        </is>
      </c>
      <c r="F2095" s="13" t="n">
        <v>2020</v>
      </c>
      <c r="G2095" s="14" t="n">
        <v>71228.73739743701</v>
      </c>
      <c r="H2095" s="14" t="n">
        <v>37093.20657151166</v>
      </c>
      <c r="I2095" s="14" t="n">
        <v>34081.71255442302</v>
      </c>
      <c r="J2095" s="14" t="n">
        <v>0</v>
      </c>
      <c r="K2095" s="14" t="n">
        <v>53.81827150232651</v>
      </c>
      <c r="L2095" s="14" t="n">
        <v>0</v>
      </c>
      <c r="M2095" s="14" t="n">
        <v>0</v>
      </c>
      <c r="N2095" s="14" t="n">
        <v>37093.20657151166</v>
      </c>
      <c r="O2095" s="14" t="n">
        <v>71228.73739743701</v>
      </c>
      <c r="P2095" s="14" t="n">
        <v>0</v>
      </c>
      <c r="Q2095" s="14" t="n">
        <v>451763.75011106</v>
      </c>
      <c r="R2095" s="15">
        <f>IF(D2095=1,"Section 1","Control")</f>
        <v/>
      </c>
      <c r="S2095" s="16">
        <f>N2095/10000</f>
        <v/>
      </c>
      <c r="T2095" s="16">
        <f>P2095/10000</f>
        <v/>
      </c>
      <c r="U2095" s="15">
        <f>IF(N2095&gt;=Summary!$D$3,1,0)</f>
        <v/>
      </c>
      <c r="V2095" s="17">
        <f>IF(N2095&gt;0,P2095/N2095,"")</f>
        <v/>
      </c>
      <c r="W2095" s="17">
        <f>IF(O2095&gt;0,H2095/O2095,"")</f>
        <v/>
      </c>
    </row>
    <row r="2096">
      <c r="A2096" s="13" t="inlineStr">
        <is>
          <t>CE28_F</t>
        </is>
      </c>
      <c r="B2096" s="13" t="inlineStr">
        <is>
          <t>CE28</t>
        </is>
      </c>
      <c r="C2096" s="13" t="inlineStr">
        <is>
          <t>F</t>
        </is>
      </c>
      <c r="D2096" s="13" t="n">
        <v>0</v>
      </c>
      <c r="E2096" s="13" t="inlineStr">
        <is>
          <t>E</t>
        </is>
      </c>
      <c r="F2096" s="13" t="n">
        <v>2021</v>
      </c>
      <c r="G2096" s="14" t="n">
        <v>71228.73739743701</v>
      </c>
      <c r="H2096" s="14" t="n">
        <v>15637.89828449324</v>
      </c>
      <c r="I2096" s="14" t="n">
        <v>54112.96483109418</v>
      </c>
      <c r="J2096" s="14" t="n">
        <v>0</v>
      </c>
      <c r="K2096" s="14" t="n">
        <v>1477.874281849581</v>
      </c>
      <c r="L2096" s="14" t="n">
        <v>0</v>
      </c>
      <c r="M2096" s="14" t="n">
        <v>0</v>
      </c>
      <c r="N2096" s="14" t="n">
        <v>37093.20657151166</v>
      </c>
      <c r="O2096" s="14" t="n">
        <v>71228.73739743701</v>
      </c>
      <c r="P2096" s="14" t="n">
        <v>21554.03970944274</v>
      </c>
      <c r="Q2096" s="14" t="n">
        <v>451763.75011106</v>
      </c>
      <c r="R2096" s="15">
        <f>IF(D2096=1,"Section 1","Control")</f>
        <v/>
      </c>
      <c r="S2096" s="16">
        <f>N2096/10000</f>
        <v/>
      </c>
      <c r="T2096" s="16">
        <f>P2096/10000</f>
        <v/>
      </c>
      <c r="U2096" s="15">
        <f>IF(N2096&gt;=Summary!$D$3,1,0)</f>
        <v/>
      </c>
      <c r="V2096" s="17">
        <f>IF(N2096&gt;0,P2096/N2096,"")</f>
        <v/>
      </c>
      <c r="W2096" s="17">
        <f>IF(O2096&gt;0,H2096/O2096,"")</f>
        <v/>
      </c>
    </row>
    <row r="2097">
      <c r="A2097" s="13" t="inlineStr">
        <is>
          <t>CE28_F</t>
        </is>
      </c>
      <c r="B2097" s="13" t="inlineStr">
        <is>
          <t>CE28</t>
        </is>
      </c>
      <c r="C2097" s="13" t="inlineStr">
        <is>
          <t>F</t>
        </is>
      </c>
      <c r="D2097" s="13" t="n">
        <v>0</v>
      </c>
      <c r="E2097" s="13" t="inlineStr">
        <is>
          <t>E</t>
        </is>
      </c>
      <c r="F2097" s="13" t="n">
        <v>2022</v>
      </c>
      <c r="G2097" s="14" t="n">
        <v>71228.73739743701</v>
      </c>
      <c r="H2097" s="14" t="n">
        <v>20020.41507224289</v>
      </c>
      <c r="I2097" s="14" t="n">
        <v>51010.85941168094</v>
      </c>
      <c r="J2097" s="14" t="n">
        <v>0</v>
      </c>
      <c r="K2097" s="14" t="n">
        <v>197.4629135131836</v>
      </c>
      <c r="L2097" s="14" t="n">
        <v>0</v>
      </c>
      <c r="M2097" s="14" t="n">
        <v>0</v>
      </c>
      <c r="N2097" s="14" t="n">
        <v>37093.20657151166</v>
      </c>
      <c r="O2097" s="14" t="n">
        <v>71228.73739743701</v>
      </c>
      <c r="P2097" s="14" t="n">
        <v>19050.51902537626</v>
      </c>
      <c r="Q2097" s="14" t="n">
        <v>451763.75011106</v>
      </c>
      <c r="R2097" s="15">
        <f>IF(D2097=1,"Section 1","Control")</f>
        <v/>
      </c>
      <c r="S2097" s="16">
        <f>N2097/10000</f>
        <v/>
      </c>
      <c r="T2097" s="16">
        <f>P2097/10000</f>
        <v/>
      </c>
      <c r="U2097" s="15">
        <f>IF(N2097&gt;=Summary!$D$3,1,0)</f>
        <v/>
      </c>
      <c r="V2097" s="17">
        <f>IF(N2097&gt;0,P2097/N2097,"")</f>
        <v/>
      </c>
      <c r="W2097" s="17">
        <f>IF(O2097&gt;0,H2097/O2097,"")</f>
        <v/>
      </c>
    </row>
    <row r="2098">
      <c r="A2098" s="13" t="inlineStr">
        <is>
          <t>CE28_F</t>
        </is>
      </c>
      <c r="B2098" s="13" t="inlineStr">
        <is>
          <t>CE28</t>
        </is>
      </c>
      <c r="C2098" s="13" t="inlineStr">
        <is>
          <t>F</t>
        </is>
      </c>
      <c r="D2098" s="13" t="n">
        <v>0</v>
      </c>
      <c r="E2098" s="13" t="inlineStr">
        <is>
          <t>E</t>
        </is>
      </c>
      <c r="F2098" s="13" t="n">
        <v>2023</v>
      </c>
      <c r="G2098" s="14" t="n">
        <v>71228.73739743701</v>
      </c>
      <c r="H2098" s="14" t="n">
        <v>16498.60530272839</v>
      </c>
      <c r="I2098" s="14" t="n">
        <v>54532.66935667151</v>
      </c>
      <c r="J2098" s="14" t="n">
        <v>0</v>
      </c>
      <c r="K2098" s="14" t="n">
        <v>197.4627380371093</v>
      </c>
      <c r="L2098" s="14" t="n">
        <v>0</v>
      </c>
      <c r="M2098" s="14" t="n">
        <v>0</v>
      </c>
      <c r="N2098" s="14" t="n">
        <v>37093.20657151166</v>
      </c>
      <c r="O2098" s="14" t="n">
        <v>71228.73739743701</v>
      </c>
      <c r="P2098" s="14" t="n">
        <v>21134.72074734557</v>
      </c>
      <c r="Q2098" s="14" t="n">
        <v>451763.75011106</v>
      </c>
      <c r="R2098" s="15">
        <f>IF(D2098=1,"Section 1","Control")</f>
        <v/>
      </c>
      <c r="S2098" s="16">
        <f>N2098/10000</f>
        <v/>
      </c>
      <c r="T2098" s="16">
        <f>P2098/10000</f>
        <v/>
      </c>
      <c r="U2098" s="15">
        <f>IF(N2098&gt;=Summary!$D$3,1,0)</f>
        <v/>
      </c>
      <c r="V2098" s="17">
        <f>IF(N2098&gt;0,P2098/N2098,"")</f>
        <v/>
      </c>
      <c r="W2098" s="17">
        <f>IF(O2098&gt;0,H2098/O2098,"")</f>
        <v/>
      </c>
    </row>
    <row r="2099">
      <c r="A2099" s="13" t="inlineStr">
        <is>
          <t>CE28_F</t>
        </is>
      </c>
      <c r="B2099" s="13" t="inlineStr">
        <is>
          <t>CE28</t>
        </is>
      </c>
      <c r="C2099" s="13" t="inlineStr">
        <is>
          <t>F</t>
        </is>
      </c>
      <c r="D2099" s="13" t="n">
        <v>0</v>
      </c>
      <c r="E2099" s="13" t="inlineStr">
        <is>
          <t>E</t>
        </is>
      </c>
      <c r="F2099" s="13" t="n">
        <v>2024</v>
      </c>
      <c r="G2099" s="14" t="n">
        <v>71228.73739743701</v>
      </c>
      <c r="H2099" s="14" t="n">
        <v>22337.31433216169</v>
      </c>
      <c r="I2099" s="14" t="n">
        <v>48891.4230652753</v>
      </c>
      <c r="J2099" s="14" t="n">
        <v>0</v>
      </c>
      <c r="K2099" s="14" t="n">
        <v>0</v>
      </c>
      <c r="L2099" s="14" t="n">
        <v>0</v>
      </c>
      <c r="M2099" s="14" t="n">
        <v>0</v>
      </c>
      <c r="N2099" s="14" t="n">
        <v>37093.20657151166</v>
      </c>
      <c r="O2099" s="14" t="n">
        <v>71228.73739743701</v>
      </c>
      <c r="P2099" s="14" t="n">
        <v>18391.14711528105</v>
      </c>
      <c r="Q2099" s="14" t="n">
        <v>451763.75011106</v>
      </c>
      <c r="R2099" s="15">
        <f>IF(D2099=1,"Section 1","Control")</f>
        <v/>
      </c>
      <c r="S2099" s="16">
        <f>N2099/10000</f>
        <v/>
      </c>
      <c r="T2099" s="16">
        <f>P2099/10000</f>
        <v/>
      </c>
      <c r="U2099" s="15">
        <f>IF(N2099&gt;=Summary!$D$3,1,0)</f>
        <v/>
      </c>
      <c r="V2099" s="17">
        <f>IF(N2099&gt;0,P2099/N2099,"")</f>
        <v/>
      </c>
      <c r="W2099" s="17">
        <f>IF(O2099&gt;0,H2099/O2099,"")</f>
        <v/>
      </c>
    </row>
    <row r="2100">
      <c r="A2100" s="13" t="inlineStr">
        <is>
          <t>CE28_F</t>
        </is>
      </c>
      <c r="B2100" s="13" t="inlineStr">
        <is>
          <t>CE28</t>
        </is>
      </c>
      <c r="C2100" s="13" t="inlineStr">
        <is>
          <t>F</t>
        </is>
      </c>
      <c r="D2100" s="13" t="n">
        <v>0</v>
      </c>
      <c r="E2100" s="13" t="inlineStr">
        <is>
          <t>E</t>
        </is>
      </c>
      <c r="F2100" s="13" t="n">
        <v>2025</v>
      </c>
      <c r="G2100" s="14" t="n">
        <v>71228.73739743701</v>
      </c>
      <c r="H2100" s="14" t="n">
        <v>23518.21732417088</v>
      </c>
      <c r="I2100" s="14" t="n">
        <v>47710.52007326613</v>
      </c>
      <c r="J2100" s="14" t="n">
        <v>0</v>
      </c>
      <c r="K2100" s="14" t="n">
        <v>0</v>
      </c>
      <c r="L2100" s="14" t="n">
        <v>0</v>
      </c>
      <c r="M2100" s="14" t="n">
        <v>0</v>
      </c>
      <c r="N2100" s="14" t="n">
        <v>37093.20657151166</v>
      </c>
      <c r="O2100" s="14" t="n">
        <v>71228.73739743701</v>
      </c>
      <c r="P2100" s="14" t="n">
        <v>17294.64797859939</v>
      </c>
      <c r="Q2100" s="14" t="n">
        <v>451763.75011106</v>
      </c>
      <c r="R2100" s="15">
        <f>IF(D2100=1,"Section 1","Control")</f>
        <v/>
      </c>
      <c r="S2100" s="16">
        <f>N2100/10000</f>
        <v/>
      </c>
      <c r="T2100" s="16">
        <f>P2100/10000</f>
        <v/>
      </c>
      <c r="U2100" s="15">
        <f>IF(N2100&gt;=Summary!$D$3,1,0)</f>
        <v/>
      </c>
      <c r="V2100" s="17">
        <f>IF(N2100&gt;0,P2100/N2100,"")</f>
        <v/>
      </c>
      <c r="W2100" s="17">
        <f>IF(O2100&gt;0,H2100/O2100,"")</f>
        <v/>
      </c>
    </row>
    <row r="2101">
      <c r="A2101" s="13" t="inlineStr">
        <is>
          <t>CE28_F</t>
        </is>
      </c>
      <c r="B2101" s="13" t="inlineStr">
        <is>
          <t>CE28</t>
        </is>
      </c>
      <c r="C2101" s="13" t="inlineStr">
        <is>
          <t>F</t>
        </is>
      </c>
      <c r="D2101" s="13" t="n">
        <v>0</v>
      </c>
      <c r="E2101" s="13" t="inlineStr">
        <is>
          <t>E</t>
        </is>
      </c>
      <c r="F2101" s="13" t="n">
        <v>2026</v>
      </c>
      <c r="G2101" s="14" t="n">
        <v>71228.73739743701</v>
      </c>
      <c r="H2101" s="14" t="n">
        <v>28276.68668547985</v>
      </c>
      <c r="I2101" s="14" t="n">
        <v>41484.63147005568</v>
      </c>
      <c r="J2101" s="14" t="n">
        <v>0</v>
      </c>
      <c r="K2101" s="14" t="n">
        <v>1467.419241901473</v>
      </c>
      <c r="L2101" s="14" t="n">
        <v>0</v>
      </c>
      <c r="M2101" s="14" t="n">
        <v>0</v>
      </c>
      <c r="N2101" s="14" t="n">
        <v>37093.20657151166</v>
      </c>
      <c r="O2101" s="14" t="n">
        <v>71228.73739743701</v>
      </c>
      <c r="P2101" s="14" t="n">
        <v>14112.00995552213</v>
      </c>
      <c r="Q2101" s="14" t="n">
        <v>451763.75011106</v>
      </c>
      <c r="R2101" s="15">
        <f>IF(D2101=1,"Section 1","Control")</f>
        <v/>
      </c>
      <c r="S2101" s="16">
        <f>N2101/10000</f>
        <v/>
      </c>
      <c r="T2101" s="16">
        <f>P2101/10000</f>
        <v/>
      </c>
      <c r="U2101" s="15">
        <f>IF(N2101&gt;=Summary!$D$3,1,0)</f>
        <v/>
      </c>
      <c r="V2101" s="17">
        <f>IF(N2101&gt;0,P2101/N2101,"")</f>
        <v/>
      </c>
      <c r="W2101" s="17">
        <f>IF(O2101&gt;0,H2101/O2101,"")</f>
        <v/>
      </c>
    </row>
    <row r="2102">
      <c r="A2102" s="13" t="inlineStr">
        <is>
          <t>CE29_B1</t>
        </is>
      </c>
      <c r="B2102" s="13" t="inlineStr">
        <is>
          <t>CE29</t>
        </is>
      </c>
      <c r="C2102" s="13" t="inlineStr">
        <is>
          <t>B1</t>
        </is>
      </c>
      <c r="D2102" s="13" t="n">
        <v>0</v>
      </c>
      <c r="E2102" s="13" t="inlineStr">
        <is>
          <t>E</t>
        </is>
      </c>
      <c r="F2102" s="13" t="n">
        <v>2020</v>
      </c>
      <c r="G2102" s="14" t="n">
        <v>974190.4997020044</v>
      </c>
      <c r="H2102" s="14" t="n">
        <v>536846.5868205052</v>
      </c>
      <c r="I2102" s="14" t="n">
        <v>175423.2000059539</v>
      </c>
      <c r="J2102" s="14" t="n">
        <v>0</v>
      </c>
      <c r="K2102" s="14" t="n">
        <v>23040.55570699654</v>
      </c>
      <c r="L2102" s="14" t="n">
        <v>238880.1571685492</v>
      </c>
      <c r="M2102" s="14" t="n">
        <v>0</v>
      </c>
      <c r="N2102" s="14" t="n">
        <v>536846.5868205052</v>
      </c>
      <c r="O2102" s="14" t="n">
        <v>735310.3425334557</v>
      </c>
      <c r="P2102" s="14" t="n">
        <v>0</v>
      </c>
      <c r="Q2102" s="14" t="n">
        <v>6309600.819855814</v>
      </c>
      <c r="R2102" s="15">
        <f>IF(D2102=1,"Section 1","Control")</f>
        <v/>
      </c>
      <c r="S2102" s="16">
        <f>N2102/10000</f>
        <v/>
      </c>
      <c r="T2102" s="16">
        <f>P2102/10000</f>
        <v/>
      </c>
      <c r="U2102" s="15">
        <f>IF(N2102&gt;=Summary!$D$3,1,0)</f>
        <v/>
      </c>
      <c r="V2102" s="17">
        <f>IF(N2102&gt;0,P2102/N2102,"")</f>
        <v/>
      </c>
      <c r="W2102" s="17">
        <f>IF(O2102&gt;0,H2102/O2102,"")</f>
        <v/>
      </c>
    </row>
    <row r="2103">
      <c r="A2103" s="13" t="inlineStr">
        <is>
          <t>CE29_B1</t>
        </is>
      </c>
      <c r="B2103" s="13" t="inlineStr">
        <is>
          <t>CE29</t>
        </is>
      </c>
      <c r="C2103" s="13" t="inlineStr">
        <is>
          <t>B1</t>
        </is>
      </c>
      <c r="D2103" s="13" t="n">
        <v>0</v>
      </c>
      <c r="E2103" s="13" t="inlineStr">
        <is>
          <t>E</t>
        </is>
      </c>
      <c r="F2103" s="13" t="n">
        <v>2021</v>
      </c>
      <c r="G2103" s="14" t="n">
        <v>974190.4997020044</v>
      </c>
      <c r="H2103" s="14" t="n">
        <v>375396.4178472184</v>
      </c>
      <c r="I2103" s="14" t="n">
        <v>225753.9316005333</v>
      </c>
      <c r="J2103" s="14" t="n">
        <v>0</v>
      </c>
      <c r="K2103" s="14" t="n">
        <v>159038.1937904508</v>
      </c>
      <c r="L2103" s="14" t="n">
        <v>214001.9564638025</v>
      </c>
      <c r="M2103" s="14" t="n">
        <v>0</v>
      </c>
      <c r="N2103" s="14" t="n">
        <v>536846.5868205052</v>
      </c>
      <c r="O2103" s="14" t="n">
        <v>735310.3425334557</v>
      </c>
      <c r="P2103" s="14" t="n">
        <v>162459.166122616</v>
      </c>
      <c r="Q2103" s="14" t="n">
        <v>6309600.819855814</v>
      </c>
      <c r="R2103" s="15">
        <f>IF(D2103=1,"Section 1","Control")</f>
        <v/>
      </c>
      <c r="S2103" s="16">
        <f>N2103/10000</f>
        <v/>
      </c>
      <c r="T2103" s="16">
        <f>P2103/10000</f>
        <v/>
      </c>
      <c r="U2103" s="15">
        <f>IF(N2103&gt;=Summary!$D$3,1,0)</f>
        <v/>
      </c>
      <c r="V2103" s="17">
        <f>IF(N2103&gt;0,P2103/N2103,"")</f>
        <v/>
      </c>
      <c r="W2103" s="17">
        <f>IF(O2103&gt;0,H2103/O2103,"")</f>
        <v/>
      </c>
    </row>
    <row r="2104">
      <c r="A2104" s="13" t="inlineStr">
        <is>
          <t>CE29_B1</t>
        </is>
      </c>
      <c r="B2104" s="13" t="inlineStr">
        <is>
          <t>CE29</t>
        </is>
      </c>
      <c r="C2104" s="13" t="inlineStr">
        <is>
          <t>B1</t>
        </is>
      </c>
      <c r="D2104" s="13" t="n">
        <v>0</v>
      </c>
      <c r="E2104" s="13" t="inlineStr">
        <is>
          <t>E</t>
        </is>
      </c>
      <c r="F2104" s="13" t="n">
        <v>2022</v>
      </c>
      <c r="G2104" s="14" t="n">
        <v>974190.4997020044</v>
      </c>
      <c r="H2104" s="14" t="n">
        <v>424152.6200709923</v>
      </c>
      <c r="I2104" s="14" t="n">
        <v>179458.1244231879</v>
      </c>
      <c r="J2104" s="14" t="n">
        <v>0</v>
      </c>
      <c r="K2104" s="14" t="n">
        <v>142454.0526123645</v>
      </c>
      <c r="L2104" s="14" t="n">
        <v>228125.7025954601</v>
      </c>
      <c r="M2104" s="14" t="n">
        <v>0</v>
      </c>
      <c r="N2104" s="14" t="n">
        <v>536846.5868205052</v>
      </c>
      <c r="O2104" s="14" t="n">
        <v>735310.3425334557</v>
      </c>
      <c r="P2104" s="14" t="n">
        <v>132011.9858256022</v>
      </c>
      <c r="Q2104" s="14" t="n">
        <v>6309600.819855814</v>
      </c>
      <c r="R2104" s="15">
        <f>IF(D2104=1,"Section 1","Control")</f>
        <v/>
      </c>
      <c r="S2104" s="16">
        <f>N2104/10000</f>
        <v/>
      </c>
      <c r="T2104" s="16">
        <f>P2104/10000</f>
        <v/>
      </c>
      <c r="U2104" s="15">
        <f>IF(N2104&gt;=Summary!$D$3,1,0)</f>
        <v/>
      </c>
      <c r="V2104" s="17">
        <f>IF(N2104&gt;0,P2104/N2104,"")</f>
        <v/>
      </c>
      <c r="W2104" s="17">
        <f>IF(O2104&gt;0,H2104/O2104,"")</f>
        <v/>
      </c>
    </row>
    <row r="2105">
      <c r="A2105" s="13" t="inlineStr">
        <is>
          <t>CE29_B1</t>
        </is>
      </c>
      <c r="B2105" s="13" t="inlineStr">
        <is>
          <t>CE29</t>
        </is>
      </c>
      <c r="C2105" s="13" t="inlineStr">
        <is>
          <t>B1</t>
        </is>
      </c>
      <c r="D2105" s="13" t="n">
        <v>0</v>
      </c>
      <c r="E2105" s="13" t="inlineStr">
        <is>
          <t>E</t>
        </is>
      </c>
      <c r="F2105" s="13" t="n">
        <v>2023</v>
      </c>
      <c r="G2105" s="14" t="n">
        <v>974190.4997020044</v>
      </c>
      <c r="H2105" s="14" t="n">
        <v>404955.2905048745</v>
      </c>
      <c r="I2105" s="14" t="n">
        <v>205872.479736777</v>
      </c>
      <c r="J2105" s="14" t="n">
        <v>0</v>
      </c>
      <c r="K2105" s="14" t="n">
        <v>131676.4739234775</v>
      </c>
      <c r="L2105" s="14" t="n">
        <v>231686.255536876</v>
      </c>
      <c r="M2105" s="14" t="n">
        <v>0</v>
      </c>
      <c r="N2105" s="14" t="n">
        <v>536846.5868205052</v>
      </c>
      <c r="O2105" s="14" t="n">
        <v>735310.3425334557</v>
      </c>
      <c r="P2105" s="14" t="n">
        <v>154438.7821646597</v>
      </c>
      <c r="Q2105" s="14" t="n">
        <v>6309600.819855814</v>
      </c>
      <c r="R2105" s="15">
        <f>IF(D2105=1,"Section 1","Control")</f>
        <v/>
      </c>
      <c r="S2105" s="16">
        <f>N2105/10000</f>
        <v/>
      </c>
      <c r="T2105" s="16">
        <f>P2105/10000</f>
        <v/>
      </c>
      <c r="U2105" s="15">
        <f>IF(N2105&gt;=Summary!$D$3,1,0)</f>
        <v/>
      </c>
      <c r="V2105" s="17">
        <f>IF(N2105&gt;0,P2105/N2105,"")</f>
        <v/>
      </c>
      <c r="W2105" s="17">
        <f>IF(O2105&gt;0,H2105/O2105,"")</f>
        <v/>
      </c>
    </row>
    <row r="2106">
      <c r="A2106" s="13" t="inlineStr">
        <is>
          <t>CE29_B1</t>
        </is>
      </c>
      <c r="B2106" s="13" t="inlineStr">
        <is>
          <t>CE29</t>
        </is>
      </c>
      <c r="C2106" s="13" t="inlineStr">
        <is>
          <t>B1</t>
        </is>
      </c>
      <c r="D2106" s="13" t="n">
        <v>0</v>
      </c>
      <c r="E2106" s="13" t="inlineStr">
        <is>
          <t>E</t>
        </is>
      </c>
      <c r="F2106" s="13" t="n">
        <v>2024</v>
      </c>
      <c r="G2106" s="14" t="n">
        <v>974190.4997020044</v>
      </c>
      <c r="H2106" s="14" t="n">
        <v>400725.8049868416</v>
      </c>
      <c r="I2106" s="14" t="n">
        <v>242102.3172951792</v>
      </c>
      <c r="J2106" s="14" t="n">
        <v>0</v>
      </c>
      <c r="K2106" s="14" t="n">
        <v>122703.5711232802</v>
      </c>
      <c r="L2106" s="14" t="n">
        <v>208658.8062967038</v>
      </c>
      <c r="M2106" s="14" t="n">
        <v>0</v>
      </c>
      <c r="N2106" s="14" t="n">
        <v>536846.5868205052</v>
      </c>
      <c r="O2106" s="14" t="n">
        <v>735310.3425334557</v>
      </c>
      <c r="P2106" s="14" t="n">
        <v>158897.0986357146</v>
      </c>
      <c r="Q2106" s="14" t="n">
        <v>6309600.819855814</v>
      </c>
      <c r="R2106" s="15">
        <f>IF(D2106=1,"Section 1","Control")</f>
        <v/>
      </c>
      <c r="S2106" s="16">
        <f>N2106/10000</f>
        <v/>
      </c>
      <c r="T2106" s="16">
        <f>P2106/10000</f>
        <v/>
      </c>
      <c r="U2106" s="15">
        <f>IF(N2106&gt;=Summary!$D$3,1,0)</f>
        <v/>
      </c>
      <c r="V2106" s="17">
        <f>IF(N2106&gt;0,P2106/N2106,"")</f>
        <v/>
      </c>
      <c r="W2106" s="17">
        <f>IF(O2106&gt;0,H2106/O2106,"")</f>
        <v/>
      </c>
    </row>
    <row r="2107">
      <c r="A2107" s="13" t="inlineStr">
        <is>
          <t>CE29_B1</t>
        </is>
      </c>
      <c r="B2107" s="13" t="inlineStr">
        <is>
          <t>CE29</t>
        </is>
      </c>
      <c r="C2107" s="13" t="inlineStr">
        <is>
          <t>B1</t>
        </is>
      </c>
      <c r="D2107" s="13" t="n">
        <v>0</v>
      </c>
      <c r="E2107" s="13" t="inlineStr">
        <is>
          <t>E</t>
        </is>
      </c>
      <c r="F2107" s="13" t="n">
        <v>2025</v>
      </c>
      <c r="G2107" s="14" t="n">
        <v>974190.4997020044</v>
      </c>
      <c r="H2107" s="14" t="n">
        <v>412600.6062072755</v>
      </c>
      <c r="I2107" s="14" t="n">
        <v>229799.8667521159</v>
      </c>
      <c r="J2107" s="14" t="n">
        <v>0</v>
      </c>
      <c r="K2107" s="14" t="n">
        <v>104552.913617063</v>
      </c>
      <c r="L2107" s="14" t="n">
        <v>227237.1131255505</v>
      </c>
      <c r="M2107" s="14" t="n">
        <v>0</v>
      </c>
      <c r="N2107" s="14" t="n">
        <v>536846.5868205052</v>
      </c>
      <c r="O2107" s="14" t="n">
        <v>735310.3425334557</v>
      </c>
      <c r="P2107" s="14" t="n">
        <v>150721.4271950216</v>
      </c>
      <c r="Q2107" s="14" t="n">
        <v>6309600.819855814</v>
      </c>
      <c r="R2107" s="15">
        <f>IF(D2107=1,"Section 1","Control")</f>
        <v/>
      </c>
      <c r="S2107" s="16">
        <f>N2107/10000</f>
        <v/>
      </c>
      <c r="T2107" s="16">
        <f>P2107/10000</f>
        <v/>
      </c>
      <c r="U2107" s="15">
        <f>IF(N2107&gt;=Summary!$D$3,1,0)</f>
        <v/>
      </c>
      <c r="V2107" s="17">
        <f>IF(N2107&gt;0,P2107/N2107,"")</f>
        <v/>
      </c>
      <c r="W2107" s="17">
        <f>IF(O2107&gt;0,H2107/O2107,"")</f>
        <v/>
      </c>
    </row>
    <row r="2108">
      <c r="A2108" s="13" t="inlineStr">
        <is>
          <t>CE29_B1</t>
        </is>
      </c>
      <c r="B2108" s="13" t="inlineStr">
        <is>
          <t>CE29</t>
        </is>
      </c>
      <c r="C2108" s="13" t="inlineStr">
        <is>
          <t>B1</t>
        </is>
      </c>
      <c r="D2108" s="13" t="n">
        <v>0</v>
      </c>
      <c r="E2108" s="13" t="inlineStr">
        <is>
          <t>E</t>
        </is>
      </c>
      <c r="F2108" s="13" t="n">
        <v>2026</v>
      </c>
      <c r="G2108" s="14" t="n">
        <v>974190.4997020044</v>
      </c>
      <c r="H2108" s="14" t="n">
        <v>454637.6887277642</v>
      </c>
      <c r="I2108" s="14" t="n">
        <v>191238.2028578216</v>
      </c>
      <c r="J2108" s="14" t="n">
        <v>0</v>
      </c>
      <c r="K2108" s="14" t="n">
        <v>110548.8192527023</v>
      </c>
      <c r="L2108" s="14" t="n">
        <v>217765.7888637168</v>
      </c>
      <c r="M2108" s="14" t="n">
        <v>0</v>
      </c>
      <c r="N2108" s="14" t="n">
        <v>536846.5868205052</v>
      </c>
      <c r="O2108" s="14" t="n">
        <v>735310.3425334557</v>
      </c>
      <c r="P2108" s="14" t="n">
        <v>123756.9192927342</v>
      </c>
      <c r="Q2108" s="14" t="n">
        <v>6309600.819855814</v>
      </c>
      <c r="R2108" s="15">
        <f>IF(D2108=1,"Section 1","Control")</f>
        <v/>
      </c>
      <c r="S2108" s="16">
        <f>N2108/10000</f>
        <v/>
      </c>
      <c r="T2108" s="16">
        <f>P2108/10000</f>
        <v/>
      </c>
      <c r="U2108" s="15">
        <f>IF(N2108&gt;=Summary!$D$3,1,0)</f>
        <v/>
      </c>
      <c r="V2108" s="17">
        <f>IF(N2108&gt;0,P2108/N2108,"")</f>
        <v/>
      </c>
      <c r="W2108" s="17">
        <f>IF(O2108&gt;0,H2108/O2108,"")</f>
        <v/>
      </c>
    </row>
    <row r="2109">
      <c r="A2109" s="13" t="inlineStr">
        <is>
          <t>CE29_B2</t>
        </is>
      </c>
      <c r="B2109" s="13" t="inlineStr">
        <is>
          <t>CE29</t>
        </is>
      </c>
      <c r="C2109" s="13" t="inlineStr">
        <is>
          <t>B2</t>
        </is>
      </c>
      <c r="D2109" s="13" t="n">
        <v>0</v>
      </c>
      <c r="E2109" s="13" t="inlineStr">
        <is>
          <t>E</t>
        </is>
      </c>
      <c r="F2109" s="13" t="n">
        <v>2020</v>
      </c>
      <c r="G2109" s="14" t="n">
        <v>974743.3960022572</v>
      </c>
      <c r="H2109" s="14" t="n">
        <v>299156.1812350106</v>
      </c>
      <c r="I2109" s="14" t="n">
        <v>188085.7397067201</v>
      </c>
      <c r="J2109" s="14" t="n">
        <v>0</v>
      </c>
      <c r="K2109" s="14" t="n">
        <v>0</v>
      </c>
      <c r="L2109" s="14" t="n">
        <v>487501.4750605266</v>
      </c>
      <c r="M2109" s="14" t="n">
        <v>0</v>
      </c>
      <c r="N2109" s="14" t="n">
        <v>299156.1812350106</v>
      </c>
      <c r="O2109" s="14" t="n">
        <v>487241.9209417306</v>
      </c>
      <c r="P2109" s="14" t="n">
        <v>0</v>
      </c>
      <c r="Q2109" s="14" t="n">
        <v>4005177.53177586</v>
      </c>
      <c r="R2109" s="15">
        <f>IF(D2109=1,"Section 1","Control")</f>
        <v/>
      </c>
      <c r="S2109" s="16">
        <f>N2109/10000</f>
        <v/>
      </c>
      <c r="T2109" s="16">
        <f>P2109/10000</f>
        <v/>
      </c>
      <c r="U2109" s="15">
        <f>IF(N2109&gt;=Summary!$D$3,1,0)</f>
        <v/>
      </c>
      <c r="V2109" s="17">
        <f>IF(N2109&gt;0,P2109/N2109,"")</f>
        <v/>
      </c>
      <c r="W2109" s="17">
        <f>IF(O2109&gt;0,H2109/O2109,"")</f>
        <v/>
      </c>
    </row>
    <row r="2110">
      <c r="A2110" s="13" t="inlineStr">
        <is>
          <t>CE29_B2</t>
        </is>
      </c>
      <c r="B2110" s="13" t="inlineStr">
        <is>
          <t>CE29</t>
        </is>
      </c>
      <c r="C2110" s="13" t="inlineStr">
        <is>
          <t>B2</t>
        </is>
      </c>
      <c r="D2110" s="13" t="n">
        <v>0</v>
      </c>
      <c r="E2110" s="13" t="inlineStr">
        <is>
          <t>E</t>
        </is>
      </c>
      <c r="F2110" s="13" t="n">
        <v>2021</v>
      </c>
      <c r="G2110" s="14" t="n">
        <v>974743.3960022572</v>
      </c>
      <c r="H2110" s="14" t="n">
        <v>138126.9586223827</v>
      </c>
      <c r="I2110" s="14" t="n">
        <v>144848.3362934487</v>
      </c>
      <c r="J2110" s="14" t="n">
        <v>0</v>
      </c>
      <c r="K2110" s="14" t="n">
        <v>204266.6260258992</v>
      </c>
      <c r="L2110" s="14" t="n">
        <v>487501.4750605266</v>
      </c>
      <c r="M2110" s="14" t="n">
        <v>0</v>
      </c>
      <c r="N2110" s="14" t="n">
        <v>299156.1812350106</v>
      </c>
      <c r="O2110" s="14" t="n">
        <v>487241.9209417306</v>
      </c>
      <c r="P2110" s="14" t="n">
        <v>161621.6046087826</v>
      </c>
      <c r="Q2110" s="14" t="n">
        <v>4005177.53177586</v>
      </c>
      <c r="R2110" s="15">
        <f>IF(D2110=1,"Section 1","Control")</f>
        <v/>
      </c>
      <c r="S2110" s="16">
        <f>N2110/10000</f>
        <v/>
      </c>
      <c r="T2110" s="16">
        <f>P2110/10000</f>
        <v/>
      </c>
      <c r="U2110" s="15">
        <f>IF(N2110&gt;=Summary!$D$3,1,0)</f>
        <v/>
      </c>
      <c r="V2110" s="17">
        <f>IF(N2110&gt;0,P2110/N2110,"")</f>
        <v/>
      </c>
      <c r="W2110" s="17">
        <f>IF(O2110&gt;0,H2110/O2110,"")</f>
        <v/>
      </c>
    </row>
    <row r="2111">
      <c r="A2111" s="13" t="inlineStr">
        <is>
          <t>CE29_B2</t>
        </is>
      </c>
      <c r="B2111" s="13" t="inlineStr">
        <is>
          <t>CE29</t>
        </is>
      </c>
      <c r="C2111" s="13" t="inlineStr">
        <is>
          <t>B2</t>
        </is>
      </c>
      <c r="D2111" s="13" t="n">
        <v>0</v>
      </c>
      <c r="E2111" s="13" t="inlineStr">
        <is>
          <t>E</t>
        </is>
      </c>
      <c r="F2111" s="13" t="n">
        <v>2022</v>
      </c>
      <c r="G2111" s="14" t="n">
        <v>974743.3960022572</v>
      </c>
      <c r="H2111" s="14" t="n">
        <v>153435.9810558244</v>
      </c>
      <c r="I2111" s="14" t="n">
        <v>239945.8447409536</v>
      </c>
      <c r="J2111" s="14" t="n">
        <v>0</v>
      </c>
      <c r="K2111" s="14" t="n">
        <v>93860.0951449525</v>
      </c>
      <c r="L2111" s="14" t="n">
        <v>487501.4750605266</v>
      </c>
      <c r="M2111" s="14" t="n">
        <v>0</v>
      </c>
      <c r="N2111" s="14" t="n">
        <v>299156.1812350106</v>
      </c>
      <c r="O2111" s="14" t="n">
        <v>487241.9209417306</v>
      </c>
      <c r="P2111" s="14" t="n">
        <v>152495.817050141</v>
      </c>
      <c r="Q2111" s="14" t="n">
        <v>4005177.53177586</v>
      </c>
      <c r="R2111" s="15">
        <f>IF(D2111=1,"Section 1","Control")</f>
        <v/>
      </c>
      <c r="S2111" s="16">
        <f>N2111/10000</f>
        <v/>
      </c>
      <c r="T2111" s="16">
        <f>P2111/10000</f>
        <v/>
      </c>
      <c r="U2111" s="15">
        <f>IF(N2111&gt;=Summary!$D$3,1,0)</f>
        <v/>
      </c>
      <c r="V2111" s="17">
        <f>IF(N2111&gt;0,P2111/N2111,"")</f>
        <v/>
      </c>
      <c r="W2111" s="17">
        <f>IF(O2111&gt;0,H2111/O2111,"")</f>
        <v/>
      </c>
    </row>
    <row r="2112">
      <c r="A2112" s="13" t="inlineStr">
        <is>
          <t>CE29_B2</t>
        </is>
      </c>
      <c r="B2112" s="13" t="inlineStr">
        <is>
          <t>CE29</t>
        </is>
      </c>
      <c r="C2112" s="13" t="inlineStr">
        <is>
          <t>B2</t>
        </is>
      </c>
      <c r="D2112" s="13" t="n">
        <v>0</v>
      </c>
      <c r="E2112" s="13" t="inlineStr">
        <is>
          <t>E</t>
        </is>
      </c>
      <c r="F2112" s="13" t="n">
        <v>2023</v>
      </c>
      <c r="G2112" s="14" t="n">
        <v>974743.3960022572</v>
      </c>
      <c r="H2112" s="14" t="n">
        <v>182657.4294026095</v>
      </c>
      <c r="I2112" s="14" t="n">
        <v>228676.697890278</v>
      </c>
      <c r="J2112" s="14" t="n">
        <v>0</v>
      </c>
      <c r="K2112" s="14" t="n">
        <v>75907.7936488432</v>
      </c>
      <c r="L2112" s="14" t="n">
        <v>487501.4750605266</v>
      </c>
      <c r="M2112" s="14" t="n">
        <v>0</v>
      </c>
      <c r="N2112" s="14" t="n">
        <v>299156.1812350106</v>
      </c>
      <c r="O2112" s="14" t="n">
        <v>487241.9209417306</v>
      </c>
      <c r="P2112" s="14" t="n">
        <v>126376.4467032937</v>
      </c>
      <c r="Q2112" s="14" t="n">
        <v>4005177.53177586</v>
      </c>
      <c r="R2112" s="15">
        <f>IF(D2112=1,"Section 1","Control")</f>
        <v/>
      </c>
      <c r="S2112" s="16">
        <f>N2112/10000</f>
        <v/>
      </c>
      <c r="T2112" s="16">
        <f>P2112/10000</f>
        <v/>
      </c>
      <c r="U2112" s="15">
        <f>IF(N2112&gt;=Summary!$D$3,1,0)</f>
        <v/>
      </c>
      <c r="V2112" s="17">
        <f>IF(N2112&gt;0,P2112/N2112,"")</f>
        <v/>
      </c>
      <c r="W2112" s="17">
        <f>IF(O2112&gt;0,H2112/O2112,"")</f>
        <v/>
      </c>
    </row>
    <row r="2113">
      <c r="A2113" s="13" t="inlineStr">
        <is>
          <t>CE29_B2</t>
        </is>
      </c>
      <c r="B2113" s="13" t="inlineStr">
        <is>
          <t>CE29</t>
        </is>
      </c>
      <c r="C2113" s="13" t="inlineStr">
        <is>
          <t>B2</t>
        </is>
      </c>
      <c r="D2113" s="13" t="n">
        <v>0</v>
      </c>
      <c r="E2113" s="13" t="inlineStr">
        <is>
          <t>E</t>
        </is>
      </c>
      <c r="F2113" s="13" t="n">
        <v>2024</v>
      </c>
      <c r="G2113" s="14" t="n">
        <v>974743.3960022572</v>
      </c>
      <c r="H2113" s="14" t="n">
        <v>206778.2127222997</v>
      </c>
      <c r="I2113" s="14" t="n">
        <v>216481.0029806399</v>
      </c>
      <c r="J2113" s="14" t="n">
        <v>0</v>
      </c>
      <c r="K2113" s="14" t="n">
        <v>63982.70523879107</v>
      </c>
      <c r="L2113" s="14" t="n">
        <v>487501.4750605266</v>
      </c>
      <c r="M2113" s="14" t="n">
        <v>0</v>
      </c>
      <c r="N2113" s="14" t="n">
        <v>299156.1812350106</v>
      </c>
      <c r="O2113" s="14" t="n">
        <v>487241.9209417306</v>
      </c>
      <c r="P2113" s="14" t="n">
        <v>114085.5051209992</v>
      </c>
      <c r="Q2113" s="14" t="n">
        <v>4005177.53177586</v>
      </c>
      <c r="R2113" s="15">
        <f>IF(D2113=1,"Section 1","Control")</f>
        <v/>
      </c>
      <c r="S2113" s="16">
        <f>N2113/10000</f>
        <v/>
      </c>
      <c r="T2113" s="16">
        <f>P2113/10000</f>
        <v/>
      </c>
      <c r="U2113" s="15">
        <f>IF(N2113&gt;=Summary!$D$3,1,0)</f>
        <v/>
      </c>
      <c r="V2113" s="17">
        <f>IF(N2113&gt;0,P2113/N2113,"")</f>
        <v/>
      </c>
      <c r="W2113" s="17">
        <f>IF(O2113&gt;0,H2113/O2113,"")</f>
        <v/>
      </c>
    </row>
    <row r="2114">
      <c r="A2114" s="13" t="inlineStr">
        <is>
          <t>CE29_B2</t>
        </is>
      </c>
      <c r="B2114" s="13" t="inlineStr">
        <is>
          <t>CE29</t>
        </is>
      </c>
      <c r="C2114" s="13" t="inlineStr">
        <is>
          <t>B2</t>
        </is>
      </c>
      <c r="D2114" s="13" t="n">
        <v>0</v>
      </c>
      <c r="E2114" s="13" t="inlineStr">
        <is>
          <t>E</t>
        </is>
      </c>
      <c r="F2114" s="13" t="n">
        <v>2025</v>
      </c>
      <c r="G2114" s="14" t="n">
        <v>974743.3960022572</v>
      </c>
      <c r="H2114" s="14" t="n">
        <v>227321.803401962</v>
      </c>
      <c r="I2114" s="14" t="n">
        <v>203539.6617135142</v>
      </c>
      <c r="J2114" s="14" t="n">
        <v>0</v>
      </c>
      <c r="K2114" s="14" t="n">
        <v>56380.45582625445</v>
      </c>
      <c r="L2114" s="14" t="n">
        <v>487501.4750605266</v>
      </c>
      <c r="M2114" s="14" t="n">
        <v>0</v>
      </c>
      <c r="N2114" s="14" t="n">
        <v>299156.1812350106</v>
      </c>
      <c r="O2114" s="14" t="n">
        <v>487241.9209417306</v>
      </c>
      <c r="P2114" s="14" t="n">
        <v>120960.6435225244</v>
      </c>
      <c r="Q2114" s="14" t="n">
        <v>4005177.53177586</v>
      </c>
      <c r="R2114" s="15">
        <f>IF(D2114=1,"Section 1","Control")</f>
        <v/>
      </c>
      <c r="S2114" s="16">
        <f>N2114/10000</f>
        <v/>
      </c>
      <c r="T2114" s="16">
        <f>P2114/10000</f>
        <v/>
      </c>
      <c r="U2114" s="15">
        <f>IF(N2114&gt;=Summary!$D$3,1,0)</f>
        <v/>
      </c>
      <c r="V2114" s="17">
        <f>IF(N2114&gt;0,P2114/N2114,"")</f>
        <v/>
      </c>
      <c r="W2114" s="17">
        <f>IF(O2114&gt;0,H2114/O2114,"")</f>
        <v/>
      </c>
    </row>
    <row r="2115">
      <c r="A2115" s="13" t="inlineStr">
        <is>
          <t>CE29_B2</t>
        </is>
      </c>
      <c r="B2115" s="13" t="inlineStr">
        <is>
          <t>CE29</t>
        </is>
      </c>
      <c r="C2115" s="13" t="inlineStr">
        <is>
          <t>B2</t>
        </is>
      </c>
      <c r="D2115" s="13" t="n">
        <v>0</v>
      </c>
      <c r="E2115" s="13" t="inlineStr">
        <is>
          <t>E</t>
        </is>
      </c>
      <c r="F2115" s="13" t="n">
        <v>2026</v>
      </c>
      <c r="G2115" s="14" t="n">
        <v>974743.3960022572</v>
      </c>
      <c r="H2115" s="14" t="n">
        <v>281675.5543149761</v>
      </c>
      <c r="I2115" s="14" t="n">
        <v>150587.5065982594</v>
      </c>
      <c r="J2115" s="14" t="n">
        <v>0</v>
      </c>
      <c r="K2115" s="14" t="n">
        <v>54978.86002849504</v>
      </c>
      <c r="L2115" s="14" t="n">
        <v>487501.4750605266</v>
      </c>
      <c r="M2115" s="14" t="n">
        <v>0</v>
      </c>
      <c r="N2115" s="14" t="n">
        <v>299156.1812350106</v>
      </c>
      <c r="O2115" s="14" t="n">
        <v>487241.9209417306</v>
      </c>
      <c r="P2115" s="14" t="n">
        <v>76254.31923956776</v>
      </c>
      <c r="Q2115" s="14" t="n">
        <v>4005177.53177586</v>
      </c>
      <c r="R2115" s="15">
        <f>IF(D2115=1,"Section 1","Control")</f>
        <v/>
      </c>
      <c r="S2115" s="16">
        <f>N2115/10000</f>
        <v/>
      </c>
      <c r="T2115" s="16">
        <f>P2115/10000</f>
        <v/>
      </c>
      <c r="U2115" s="15">
        <f>IF(N2115&gt;=Summary!$D$3,1,0)</f>
        <v/>
      </c>
      <c r="V2115" s="17">
        <f>IF(N2115&gt;0,P2115/N2115,"")</f>
        <v/>
      </c>
      <c r="W2115" s="17">
        <f>IF(O2115&gt;0,H2115/O2115,"")</f>
        <v/>
      </c>
    </row>
    <row r="2116">
      <c r="A2116" s="13" t="inlineStr">
        <is>
          <t>CE29_B3</t>
        </is>
      </c>
      <c r="B2116" s="13" t="inlineStr">
        <is>
          <t>CE29</t>
        </is>
      </c>
      <c r="C2116" s="13" t="inlineStr">
        <is>
          <t>B3</t>
        </is>
      </c>
      <c r="D2116" s="13" t="n">
        <v>0</v>
      </c>
      <c r="E2116" s="13" t="inlineStr">
        <is>
          <t>E</t>
        </is>
      </c>
      <c r="F2116" s="13" t="n">
        <v>2020</v>
      </c>
      <c r="G2116" s="14" t="n">
        <v>7796027.326458591</v>
      </c>
      <c r="H2116" s="14" t="n">
        <v>2357317.370362345</v>
      </c>
      <c r="I2116" s="14" t="n">
        <v>708965.8203228521</v>
      </c>
      <c r="J2116" s="14" t="n">
        <v>0</v>
      </c>
      <c r="K2116" s="14" t="n">
        <v>14988.48225815717</v>
      </c>
      <c r="L2116" s="14" t="n">
        <v>4714755.653515236</v>
      </c>
      <c r="M2116" s="14" t="n">
        <v>0</v>
      </c>
      <c r="N2116" s="14" t="n">
        <v>2357317.370362345</v>
      </c>
      <c r="O2116" s="14" t="n">
        <v>3081271.672943355</v>
      </c>
      <c r="P2116" s="14" t="n">
        <v>0</v>
      </c>
      <c r="Q2116" s="14" t="n">
        <v>20760944.77006321</v>
      </c>
      <c r="R2116" s="15">
        <f>IF(D2116=1,"Section 1","Control")</f>
        <v/>
      </c>
      <c r="S2116" s="16">
        <f>N2116/10000</f>
        <v/>
      </c>
      <c r="T2116" s="16">
        <f>P2116/10000</f>
        <v/>
      </c>
      <c r="U2116" s="15">
        <f>IF(N2116&gt;=Summary!$D$3,1,0)</f>
        <v/>
      </c>
      <c r="V2116" s="17">
        <f>IF(N2116&gt;0,P2116/N2116,"")</f>
        <v/>
      </c>
      <c r="W2116" s="17">
        <f>IF(O2116&gt;0,H2116/O2116,"")</f>
        <v/>
      </c>
    </row>
    <row r="2117">
      <c r="A2117" s="13" t="inlineStr">
        <is>
          <t>CE29_B3</t>
        </is>
      </c>
      <c r="B2117" s="13" t="inlineStr">
        <is>
          <t>CE29</t>
        </is>
      </c>
      <c r="C2117" s="13" t="inlineStr">
        <is>
          <t>B3</t>
        </is>
      </c>
      <c r="D2117" s="13" t="n">
        <v>0</v>
      </c>
      <c r="E2117" s="13" t="inlineStr">
        <is>
          <t>E</t>
        </is>
      </c>
      <c r="F2117" s="13" t="n">
        <v>2021</v>
      </c>
      <c r="G2117" s="14" t="n">
        <v>7796027.326458591</v>
      </c>
      <c r="H2117" s="14" t="n">
        <v>1660351.293900284</v>
      </c>
      <c r="I2117" s="14" t="n">
        <v>868664.1015672273</v>
      </c>
      <c r="J2117" s="14" t="n">
        <v>0</v>
      </c>
      <c r="K2117" s="14" t="n">
        <v>632081.4303844076</v>
      </c>
      <c r="L2117" s="14" t="n">
        <v>4634930.500606671</v>
      </c>
      <c r="M2117" s="14" t="n">
        <v>0</v>
      </c>
      <c r="N2117" s="14" t="n">
        <v>2357317.370362345</v>
      </c>
      <c r="O2117" s="14" t="n">
        <v>3081271.672943355</v>
      </c>
      <c r="P2117" s="14" t="n">
        <v>714442.3750905057</v>
      </c>
      <c r="Q2117" s="14" t="n">
        <v>20760944.77006321</v>
      </c>
      <c r="R2117" s="15">
        <f>IF(D2117=1,"Section 1","Control")</f>
        <v/>
      </c>
      <c r="S2117" s="16">
        <f>N2117/10000</f>
        <v/>
      </c>
      <c r="T2117" s="16">
        <f>P2117/10000</f>
        <v/>
      </c>
      <c r="U2117" s="15">
        <f>IF(N2117&gt;=Summary!$D$3,1,0)</f>
        <v/>
      </c>
      <c r="V2117" s="17">
        <f>IF(N2117&gt;0,P2117/N2117,"")</f>
        <v/>
      </c>
      <c r="W2117" s="17">
        <f>IF(O2117&gt;0,H2117/O2117,"")</f>
        <v/>
      </c>
    </row>
    <row r="2118">
      <c r="A2118" s="13" t="inlineStr">
        <is>
          <t>CE29_B3</t>
        </is>
      </c>
      <c r="B2118" s="13" t="inlineStr">
        <is>
          <t>CE29</t>
        </is>
      </c>
      <c r="C2118" s="13" t="inlineStr">
        <is>
          <t>B3</t>
        </is>
      </c>
      <c r="D2118" s="13" t="n">
        <v>0</v>
      </c>
      <c r="E2118" s="13" t="inlineStr">
        <is>
          <t>E</t>
        </is>
      </c>
      <c r="F2118" s="13" t="n">
        <v>2022</v>
      </c>
      <c r="G2118" s="14" t="n">
        <v>7796027.326458591</v>
      </c>
      <c r="H2118" s="14" t="n">
        <v>1706839.682668978</v>
      </c>
      <c r="I2118" s="14" t="n">
        <v>1151012.641780838</v>
      </c>
      <c r="J2118" s="14" t="n">
        <v>0</v>
      </c>
      <c r="K2118" s="14" t="n">
        <v>330274.6732488893</v>
      </c>
      <c r="L2118" s="14" t="n">
        <v>4607900.328759885</v>
      </c>
      <c r="M2118" s="14" t="n">
        <v>0</v>
      </c>
      <c r="N2118" s="14" t="n">
        <v>2357317.370362345</v>
      </c>
      <c r="O2118" s="14" t="n">
        <v>3081271.672943355</v>
      </c>
      <c r="P2118" s="14" t="n">
        <v>672960.6180262247</v>
      </c>
      <c r="Q2118" s="14" t="n">
        <v>20760944.77006321</v>
      </c>
      <c r="R2118" s="15">
        <f>IF(D2118=1,"Section 1","Control")</f>
        <v/>
      </c>
      <c r="S2118" s="16">
        <f>N2118/10000</f>
        <v/>
      </c>
      <c r="T2118" s="16">
        <f>P2118/10000</f>
        <v/>
      </c>
      <c r="U2118" s="15">
        <f>IF(N2118&gt;=Summary!$D$3,1,0)</f>
        <v/>
      </c>
      <c r="V2118" s="17">
        <f>IF(N2118&gt;0,P2118/N2118,"")</f>
        <v/>
      </c>
      <c r="W2118" s="17">
        <f>IF(O2118&gt;0,H2118/O2118,"")</f>
        <v/>
      </c>
    </row>
    <row r="2119">
      <c r="A2119" s="13" t="inlineStr">
        <is>
          <t>CE29_B3</t>
        </is>
      </c>
      <c r="B2119" s="13" t="inlineStr">
        <is>
          <t>CE29</t>
        </is>
      </c>
      <c r="C2119" s="13" t="inlineStr">
        <is>
          <t>B3</t>
        </is>
      </c>
      <c r="D2119" s="13" t="n">
        <v>0</v>
      </c>
      <c r="E2119" s="13" t="inlineStr">
        <is>
          <t>E</t>
        </is>
      </c>
      <c r="F2119" s="13" t="n">
        <v>2023</v>
      </c>
      <c r="G2119" s="14" t="n">
        <v>7796027.326458591</v>
      </c>
      <c r="H2119" s="14" t="n">
        <v>1927594.190411796</v>
      </c>
      <c r="I2119" s="14" t="n">
        <v>960138.8996283138</v>
      </c>
      <c r="J2119" s="14" t="n">
        <v>0</v>
      </c>
      <c r="K2119" s="14" t="n">
        <v>210909.9825121711</v>
      </c>
      <c r="L2119" s="14" t="n">
        <v>4697384.25390631</v>
      </c>
      <c r="M2119" s="14" t="n">
        <v>0</v>
      </c>
      <c r="N2119" s="14" t="n">
        <v>2357317.370362345</v>
      </c>
      <c r="O2119" s="14" t="n">
        <v>3081271.672943355</v>
      </c>
      <c r="P2119" s="14" t="n">
        <v>503656.3082573685</v>
      </c>
      <c r="Q2119" s="14" t="n">
        <v>20760944.77006321</v>
      </c>
      <c r="R2119" s="15">
        <f>IF(D2119=1,"Section 1","Control")</f>
        <v/>
      </c>
      <c r="S2119" s="16">
        <f>N2119/10000</f>
        <v/>
      </c>
      <c r="T2119" s="16">
        <f>P2119/10000</f>
        <v/>
      </c>
      <c r="U2119" s="15">
        <f>IF(N2119&gt;=Summary!$D$3,1,0)</f>
        <v/>
      </c>
      <c r="V2119" s="17">
        <f>IF(N2119&gt;0,P2119/N2119,"")</f>
        <v/>
      </c>
      <c r="W2119" s="17">
        <f>IF(O2119&gt;0,H2119/O2119,"")</f>
        <v/>
      </c>
    </row>
    <row r="2120">
      <c r="A2120" s="13" t="inlineStr">
        <is>
          <t>CE29_B3</t>
        </is>
      </c>
      <c r="B2120" s="13" t="inlineStr">
        <is>
          <t>CE29</t>
        </is>
      </c>
      <c r="C2120" s="13" t="inlineStr">
        <is>
          <t>B3</t>
        </is>
      </c>
      <c r="D2120" s="13" t="n">
        <v>0</v>
      </c>
      <c r="E2120" s="13" t="inlineStr">
        <is>
          <t>E</t>
        </is>
      </c>
      <c r="F2120" s="13" t="n">
        <v>2024</v>
      </c>
      <c r="G2120" s="14" t="n">
        <v>7796027.326458591</v>
      </c>
      <c r="H2120" s="14" t="n">
        <v>2052487.100000389</v>
      </c>
      <c r="I2120" s="14" t="n">
        <v>853072.3565075145</v>
      </c>
      <c r="J2120" s="14" t="n">
        <v>0</v>
      </c>
      <c r="K2120" s="14" t="n">
        <v>229881.4202869191</v>
      </c>
      <c r="L2120" s="14" t="n">
        <v>4660586.449663769</v>
      </c>
      <c r="M2120" s="14" t="n">
        <v>0</v>
      </c>
      <c r="N2120" s="14" t="n">
        <v>2357317.370362345</v>
      </c>
      <c r="O2120" s="14" t="n">
        <v>3081271.672943356</v>
      </c>
      <c r="P2120" s="14" t="n">
        <v>414803.7152179793</v>
      </c>
      <c r="Q2120" s="14" t="n">
        <v>20760944.77006321</v>
      </c>
      <c r="R2120" s="15">
        <f>IF(D2120=1,"Section 1","Control")</f>
        <v/>
      </c>
      <c r="S2120" s="16">
        <f>N2120/10000</f>
        <v/>
      </c>
      <c r="T2120" s="16">
        <f>P2120/10000</f>
        <v/>
      </c>
      <c r="U2120" s="15">
        <f>IF(N2120&gt;=Summary!$D$3,1,0)</f>
        <v/>
      </c>
      <c r="V2120" s="17">
        <f>IF(N2120&gt;0,P2120/N2120,"")</f>
        <v/>
      </c>
      <c r="W2120" s="17">
        <f>IF(O2120&gt;0,H2120/O2120,"")</f>
        <v/>
      </c>
    </row>
    <row r="2121">
      <c r="A2121" s="13" t="inlineStr">
        <is>
          <t>CE29_B3</t>
        </is>
      </c>
      <c r="B2121" s="13" t="inlineStr">
        <is>
          <t>CE29</t>
        </is>
      </c>
      <c r="C2121" s="13" t="inlineStr">
        <is>
          <t>B3</t>
        </is>
      </c>
      <c r="D2121" s="13" t="n">
        <v>0</v>
      </c>
      <c r="E2121" s="13" t="inlineStr">
        <is>
          <t>E</t>
        </is>
      </c>
      <c r="F2121" s="13" t="n">
        <v>2025</v>
      </c>
      <c r="G2121" s="14" t="n">
        <v>7796027.326458591</v>
      </c>
      <c r="H2121" s="14" t="n">
        <v>1932230.494638869</v>
      </c>
      <c r="I2121" s="14" t="n">
        <v>912203.1911613316</v>
      </c>
      <c r="J2121" s="14" t="n">
        <v>0</v>
      </c>
      <c r="K2121" s="14" t="n">
        <v>259395.4262794345</v>
      </c>
      <c r="L2121" s="14" t="n">
        <v>4692198.214378955</v>
      </c>
      <c r="M2121" s="14" t="n">
        <v>0</v>
      </c>
      <c r="N2121" s="14" t="n">
        <v>2357317.370362345</v>
      </c>
      <c r="O2121" s="14" t="n">
        <v>3081271.672943356</v>
      </c>
      <c r="P2121" s="14" t="n">
        <v>519076.3115223604</v>
      </c>
      <c r="Q2121" s="14" t="n">
        <v>20760944.77006321</v>
      </c>
      <c r="R2121" s="15">
        <f>IF(D2121=1,"Section 1","Control")</f>
        <v/>
      </c>
      <c r="S2121" s="16">
        <f>N2121/10000</f>
        <v/>
      </c>
      <c r="T2121" s="16">
        <f>P2121/10000</f>
        <v/>
      </c>
      <c r="U2121" s="15">
        <f>IF(N2121&gt;=Summary!$D$3,1,0)</f>
        <v/>
      </c>
      <c r="V2121" s="17">
        <f>IF(N2121&gt;0,P2121/N2121,"")</f>
        <v/>
      </c>
      <c r="W2121" s="17">
        <f>IF(O2121&gt;0,H2121/O2121,"")</f>
        <v/>
      </c>
    </row>
    <row r="2122">
      <c r="A2122" s="13" t="inlineStr">
        <is>
          <t>CE29_B3</t>
        </is>
      </c>
      <c r="B2122" s="13" t="inlineStr">
        <is>
          <t>CE29</t>
        </is>
      </c>
      <c r="C2122" s="13" t="inlineStr">
        <is>
          <t>B3</t>
        </is>
      </c>
      <c r="D2122" s="13" t="n">
        <v>0</v>
      </c>
      <c r="E2122" s="13" t="inlineStr">
        <is>
          <t>E</t>
        </is>
      </c>
      <c r="F2122" s="13" t="n">
        <v>2026</v>
      </c>
      <c r="G2122" s="14" t="n">
        <v>7796027.326458591</v>
      </c>
      <c r="H2122" s="14" t="n">
        <v>2236581.57319659</v>
      </c>
      <c r="I2122" s="14" t="n">
        <v>627350.3904590382</v>
      </c>
      <c r="J2122" s="14" t="n">
        <v>0</v>
      </c>
      <c r="K2122" s="14" t="n">
        <v>223091.542786213</v>
      </c>
      <c r="L2122" s="14" t="n">
        <v>4709003.820016749</v>
      </c>
      <c r="M2122" s="14" t="n">
        <v>0</v>
      </c>
      <c r="N2122" s="14" t="n">
        <v>2357317.370362346</v>
      </c>
      <c r="O2122" s="14" t="n">
        <v>3081271.672943356</v>
      </c>
      <c r="P2122" s="14" t="n">
        <v>315004.1143053541</v>
      </c>
      <c r="Q2122" s="14" t="n">
        <v>20760944.77006321</v>
      </c>
      <c r="R2122" s="15">
        <f>IF(D2122=1,"Section 1","Control")</f>
        <v/>
      </c>
      <c r="S2122" s="16">
        <f>N2122/10000</f>
        <v/>
      </c>
      <c r="T2122" s="16">
        <f>P2122/10000</f>
        <v/>
      </c>
      <c r="U2122" s="15">
        <f>IF(N2122&gt;=Summary!$D$3,1,0)</f>
        <v/>
      </c>
      <c r="V2122" s="17">
        <f>IF(N2122&gt;0,P2122/N2122,"")</f>
        <v/>
      </c>
      <c r="W2122" s="17">
        <f>IF(O2122&gt;0,H2122/O2122,"")</f>
        <v/>
      </c>
    </row>
    <row r="2123">
      <c r="A2123" s="13" t="inlineStr">
        <is>
          <t>CE29_F</t>
        </is>
      </c>
      <c r="B2123" s="13" t="inlineStr">
        <is>
          <t>CE29</t>
        </is>
      </c>
      <c r="C2123" s="13" t="inlineStr">
        <is>
          <t>F</t>
        </is>
      </c>
      <c r="D2123" s="13" t="n">
        <v>0</v>
      </c>
      <c r="E2123" s="13" t="inlineStr">
        <is>
          <t>E</t>
        </is>
      </c>
      <c r="F2123" s="13" t="n">
        <v>2020</v>
      </c>
      <c r="G2123" s="14" t="n">
        <v>67815.13852467258</v>
      </c>
      <c r="H2123" s="14" t="n">
        <v>65102.53496599387</v>
      </c>
      <c r="I2123" s="14" t="n">
        <v>2374.979551158232</v>
      </c>
      <c r="J2123" s="14" t="n">
        <v>0</v>
      </c>
      <c r="K2123" s="14" t="n">
        <v>337.6240075204887</v>
      </c>
      <c r="L2123" s="14" t="n">
        <v>0</v>
      </c>
      <c r="M2123" s="14" t="n">
        <v>0</v>
      </c>
      <c r="N2123" s="14" t="n">
        <v>65102.53496599387</v>
      </c>
      <c r="O2123" s="14" t="n">
        <v>67815.13852467258</v>
      </c>
      <c r="P2123" s="14" t="n">
        <v>0</v>
      </c>
      <c r="Q2123" s="14" t="n">
        <v>709558.5264152976</v>
      </c>
      <c r="R2123" s="15">
        <f>IF(D2123=1,"Section 1","Control")</f>
        <v/>
      </c>
      <c r="S2123" s="16">
        <f>N2123/10000</f>
        <v/>
      </c>
      <c r="T2123" s="16">
        <f>P2123/10000</f>
        <v/>
      </c>
      <c r="U2123" s="15">
        <f>IF(N2123&gt;=Summary!$D$3,1,0)</f>
        <v/>
      </c>
      <c r="V2123" s="17">
        <f>IF(N2123&gt;0,P2123/N2123,"")</f>
        <v/>
      </c>
      <c r="W2123" s="17">
        <f>IF(O2123&gt;0,H2123/O2123,"")</f>
        <v/>
      </c>
    </row>
    <row r="2124">
      <c r="A2124" s="13" t="inlineStr">
        <is>
          <t>CE29_F</t>
        </is>
      </c>
      <c r="B2124" s="13" t="inlineStr">
        <is>
          <t>CE29</t>
        </is>
      </c>
      <c r="C2124" s="13" t="inlineStr">
        <is>
          <t>F</t>
        </is>
      </c>
      <c r="D2124" s="13" t="n">
        <v>0</v>
      </c>
      <c r="E2124" s="13" t="inlineStr">
        <is>
          <t>E</t>
        </is>
      </c>
      <c r="F2124" s="13" t="n">
        <v>2021</v>
      </c>
      <c r="G2124" s="14" t="n">
        <v>67815.13852467258</v>
      </c>
      <c r="H2124" s="14" t="n">
        <v>57440.17786431407</v>
      </c>
      <c r="I2124" s="14" t="n">
        <v>2280.120083468568</v>
      </c>
      <c r="J2124" s="14" t="n">
        <v>0</v>
      </c>
      <c r="K2124" s="14" t="n">
        <v>8094.840576889936</v>
      </c>
      <c r="L2124" s="14" t="n">
        <v>0</v>
      </c>
      <c r="M2124" s="14" t="n">
        <v>0</v>
      </c>
      <c r="N2124" s="14" t="n">
        <v>65102.53496599387</v>
      </c>
      <c r="O2124" s="14" t="n">
        <v>67815.13852467258</v>
      </c>
      <c r="P2124" s="14" t="n">
        <v>8452.209961176855</v>
      </c>
      <c r="Q2124" s="14" t="n">
        <v>709558.5264152976</v>
      </c>
      <c r="R2124" s="15">
        <f>IF(D2124=1,"Section 1","Control")</f>
        <v/>
      </c>
      <c r="S2124" s="16">
        <f>N2124/10000</f>
        <v/>
      </c>
      <c r="T2124" s="16">
        <f>P2124/10000</f>
        <v/>
      </c>
      <c r="U2124" s="15">
        <f>IF(N2124&gt;=Summary!$D$3,1,0)</f>
        <v/>
      </c>
      <c r="V2124" s="17">
        <f>IF(N2124&gt;0,P2124/N2124,"")</f>
        <v/>
      </c>
      <c r="W2124" s="17">
        <f>IF(O2124&gt;0,H2124/O2124,"")</f>
        <v/>
      </c>
    </row>
    <row r="2125">
      <c r="A2125" s="13" t="inlineStr">
        <is>
          <t>CE29_F</t>
        </is>
      </c>
      <c r="B2125" s="13" t="inlineStr">
        <is>
          <t>CE29</t>
        </is>
      </c>
      <c r="C2125" s="13" t="inlineStr">
        <is>
          <t>F</t>
        </is>
      </c>
      <c r="D2125" s="13" t="n">
        <v>0</v>
      </c>
      <c r="E2125" s="13" t="inlineStr">
        <is>
          <t>E</t>
        </is>
      </c>
      <c r="F2125" s="13" t="n">
        <v>2022</v>
      </c>
      <c r="G2125" s="14" t="n">
        <v>67815.13852467258</v>
      </c>
      <c r="H2125" s="14" t="n">
        <v>58078.25381086762</v>
      </c>
      <c r="I2125" s="14" t="n">
        <v>1457.357717955346</v>
      </c>
      <c r="J2125" s="14" t="n">
        <v>0</v>
      </c>
      <c r="K2125" s="14" t="n">
        <v>8279.52699584961</v>
      </c>
      <c r="L2125" s="14" t="n">
        <v>0</v>
      </c>
      <c r="M2125" s="14" t="n">
        <v>0</v>
      </c>
      <c r="N2125" s="14" t="n">
        <v>65102.53496599387</v>
      </c>
      <c r="O2125" s="14" t="n">
        <v>67815.13852467258</v>
      </c>
      <c r="P2125" s="14" t="n">
        <v>8305.856294789035</v>
      </c>
      <c r="Q2125" s="14" t="n">
        <v>709558.5264152976</v>
      </c>
      <c r="R2125" s="15">
        <f>IF(D2125=1,"Section 1","Control")</f>
        <v/>
      </c>
      <c r="S2125" s="16">
        <f>N2125/10000</f>
        <v/>
      </c>
      <c r="T2125" s="16">
        <f>P2125/10000</f>
        <v/>
      </c>
      <c r="U2125" s="15">
        <f>IF(N2125&gt;=Summary!$D$3,1,0)</f>
        <v/>
      </c>
      <c r="V2125" s="17">
        <f>IF(N2125&gt;0,P2125/N2125,"")</f>
        <v/>
      </c>
      <c r="W2125" s="17">
        <f>IF(O2125&gt;0,H2125/O2125,"")</f>
        <v/>
      </c>
    </row>
    <row r="2126">
      <c r="A2126" s="13" t="inlineStr">
        <is>
          <t>CE29_F</t>
        </is>
      </c>
      <c r="B2126" s="13" t="inlineStr">
        <is>
          <t>CE29</t>
        </is>
      </c>
      <c r="C2126" s="13" t="inlineStr">
        <is>
          <t>F</t>
        </is>
      </c>
      <c r="D2126" s="13" t="n">
        <v>0</v>
      </c>
      <c r="E2126" s="13" t="inlineStr">
        <is>
          <t>E</t>
        </is>
      </c>
      <c r="F2126" s="13" t="n">
        <v>2023</v>
      </c>
      <c r="G2126" s="14" t="n">
        <v>67815.13852467258</v>
      </c>
      <c r="H2126" s="14" t="n">
        <v>51668.05240469541</v>
      </c>
      <c r="I2126" s="14" t="n">
        <v>7955.836591114717</v>
      </c>
      <c r="J2126" s="14" t="n">
        <v>0</v>
      </c>
      <c r="K2126" s="14" t="n">
        <v>8191.24952886245</v>
      </c>
      <c r="L2126" s="14" t="n">
        <v>0</v>
      </c>
      <c r="M2126" s="14" t="n">
        <v>0</v>
      </c>
      <c r="N2126" s="14" t="n">
        <v>65102.53496599387</v>
      </c>
      <c r="O2126" s="14" t="n">
        <v>67815.13852467258</v>
      </c>
      <c r="P2126" s="14" t="n">
        <v>13533.21417445763</v>
      </c>
      <c r="Q2126" s="14" t="n">
        <v>709558.5264152976</v>
      </c>
      <c r="R2126" s="15">
        <f>IF(D2126=1,"Section 1","Control")</f>
        <v/>
      </c>
      <c r="S2126" s="16">
        <f>N2126/10000</f>
        <v/>
      </c>
      <c r="T2126" s="16">
        <f>P2126/10000</f>
        <v/>
      </c>
      <c r="U2126" s="15">
        <f>IF(N2126&gt;=Summary!$D$3,1,0)</f>
        <v/>
      </c>
      <c r="V2126" s="17">
        <f>IF(N2126&gt;0,P2126/N2126,"")</f>
        <v/>
      </c>
      <c r="W2126" s="17">
        <f>IF(O2126&gt;0,H2126/O2126,"")</f>
        <v/>
      </c>
    </row>
    <row r="2127">
      <c r="A2127" s="13" t="inlineStr">
        <is>
          <t>CE29_F</t>
        </is>
      </c>
      <c r="B2127" s="13" t="inlineStr">
        <is>
          <t>CE29</t>
        </is>
      </c>
      <c r="C2127" s="13" t="inlineStr">
        <is>
          <t>F</t>
        </is>
      </c>
      <c r="D2127" s="13" t="n">
        <v>0</v>
      </c>
      <c r="E2127" s="13" t="inlineStr">
        <is>
          <t>E</t>
        </is>
      </c>
      <c r="F2127" s="13" t="n">
        <v>2024</v>
      </c>
      <c r="G2127" s="14" t="n">
        <v>67815.13852467258</v>
      </c>
      <c r="H2127" s="14" t="n">
        <v>56258.10481690052</v>
      </c>
      <c r="I2127" s="14" t="n">
        <v>1796.531405789245</v>
      </c>
      <c r="J2127" s="14" t="n">
        <v>0</v>
      </c>
      <c r="K2127" s="14" t="n">
        <v>9760.502301982806</v>
      </c>
      <c r="L2127" s="14" t="n">
        <v>0</v>
      </c>
      <c r="M2127" s="14" t="n">
        <v>0</v>
      </c>
      <c r="N2127" s="14" t="n">
        <v>65102.53496599387</v>
      </c>
      <c r="O2127" s="14" t="n">
        <v>67815.13852467258</v>
      </c>
      <c r="P2127" s="14" t="n">
        <v>10126.0053345325</v>
      </c>
      <c r="Q2127" s="14" t="n">
        <v>709558.5264152976</v>
      </c>
      <c r="R2127" s="15">
        <f>IF(D2127=1,"Section 1","Control")</f>
        <v/>
      </c>
      <c r="S2127" s="16">
        <f>N2127/10000</f>
        <v/>
      </c>
      <c r="T2127" s="16">
        <f>P2127/10000</f>
        <v/>
      </c>
      <c r="U2127" s="15">
        <f>IF(N2127&gt;=Summary!$D$3,1,0)</f>
        <v/>
      </c>
      <c r="V2127" s="17">
        <f>IF(N2127&gt;0,P2127/N2127,"")</f>
        <v/>
      </c>
      <c r="W2127" s="17">
        <f>IF(O2127&gt;0,H2127/O2127,"")</f>
        <v/>
      </c>
    </row>
    <row r="2128">
      <c r="A2128" s="13" t="inlineStr">
        <is>
          <t>CE29_F</t>
        </is>
      </c>
      <c r="B2128" s="13" t="inlineStr">
        <is>
          <t>CE29</t>
        </is>
      </c>
      <c r="C2128" s="13" t="inlineStr">
        <is>
          <t>F</t>
        </is>
      </c>
      <c r="D2128" s="13" t="n">
        <v>0</v>
      </c>
      <c r="E2128" s="13" t="inlineStr">
        <is>
          <t>E</t>
        </is>
      </c>
      <c r="F2128" s="13" t="n">
        <v>2025</v>
      </c>
      <c r="G2128" s="14" t="n">
        <v>67815.13852467258</v>
      </c>
      <c r="H2128" s="14" t="n">
        <v>50458.10519457051</v>
      </c>
      <c r="I2128" s="14" t="n">
        <v>8439.815364882525</v>
      </c>
      <c r="J2128" s="14" t="n">
        <v>0</v>
      </c>
      <c r="K2128" s="14" t="n">
        <v>8917.217965219535</v>
      </c>
      <c r="L2128" s="14" t="n">
        <v>0</v>
      </c>
      <c r="M2128" s="14" t="n">
        <v>0</v>
      </c>
      <c r="N2128" s="14" t="n">
        <v>65102.53496599387</v>
      </c>
      <c r="O2128" s="14" t="n">
        <v>67815.13852467258</v>
      </c>
      <c r="P2128" s="14" t="n">
        <v>14839.95715107637</v>
      </c>
      <c r="Q2128" s="14" t="n">
        <v>709558.5264152976</v>
      </c>
      <c r="R2128" s="15">
        <f>IF(D2128=1,"Section 1","Control")</f>
        <v/>
      </c>
      <c r="S2128" s="16">
        <f>N2128/10000</f>
        <v/>
      </c>
      <c r="T2128" s="16">
        <f>P2128/10000</f>
        <v/>
      </c>
      <c r="U2128" s="15">
        <f>IF(N2128&gt;=Summary!$D$3,1,0)</f>
        <v/>
      </c>
      <c r="V2128" s="17">
        <f>IF(N2128&gt;0,P2128/N2128,"")</f>
        <v/>
      </c>
      <c r="W2128" s="17">
        <f>IF(O2128&gt;0,H2128/O2128,"")</f>
        <v/>
      </c>
    </row>
    <row r="2129">
      <c r="A2129" s="13" t="inlineStr">
        <is>
          <t>CE29_F</t>
        </is>
      </c>
      <c r="B2129" s="13" t="inlineStr">
        <is>
          <t>CE29</t>
        </is>
      </c>
      <c r="C2129" s="13" t="inlineStr">
        <is>
          <t>F</t>
        </is>
      </c>
      <c r="D2129" s="13" t="n">
        <v>0</v>
      </c>
      <c r="E2129" s="13" t="inlineStr">
        <is>
          <t>E</t>
        </is>
      </c>
      <c r="F2129" s="13" t="n">
        <v>2026</v>
      </c>
      <c r="G2129" s="14" t="n">
        <v>67815.13852467258</v>
      </c>
      <c r="H2129" s="14" t="n">
        <v>56639.09434736664</v>
      </c>
      <c r="I2129" s="14" t="n">
        <v>1547.571561357087</v>
      </c>
      <c r="J2129" s="14" t="n">
        <v>0</v>
      </c>
      <c r="K2129" s="14" t="n">
        <v>9628.472615948844</v>
      </c>
      <c r="L2129" s="14" t="n">
        <v>0</v>
      </c>
      <c r="M2129" s="14" t="n">
        <v>0</v>
      </c>
      <c r="N2129" s="14" t="n">
        <v>65102.53496599387</v>
      </c>
      <c r="O2129" s="14" t="n">
        <v>67815.13852467258</v>
      </c>
      <c r="P2129" s="14" t="n">
        <v>9352.025137059831</v>
      </c>
      <c r="Q2129" s="14" t="n">
        <v>709558.5264152976</v>
      </c>
      <c r="R2129" s="15">
        <f>IF(D2129=1,"Section 1","Control")</f>
        <v/>
      </c>
      <c r="S2129" s="16">
        <f>N2129/10000</f>
        <v/>
      </c>
      <c r="T2129" s="16">
        <f>P2129/10000</f>
        <v/>
      </c>
      <c r="U2129" s="15">
        <f>IF(N2129&gt;=Summary!$D$3,1,0)</f>
        <v/>
      </c>
      <c r="V2129" s="17">
        <f>IF(N2129&gt;0,P2129/N2129,"")</f>
        <v/>
      </c>
      <c r="W2129" s="17">
        <f>IF(O2129&gt;0,H2129/O2129,"")</f>
        <v/>
      </c>
    </row>
    <row r="2130">
      <c r="A2130" s="13" t="inlineStr">
        <is>
          <t>CE30_B1</t>
        </is>
      </c>
      <c r="B2130" s="13" t="inlineStr">
        <is>
          <t>CE30</t>
        </is>
      </c>
      <c r="C2130" s="13" t="inlineStr">
        <is>
          <t>B1</t>
        </is>
      </c>
      <c r="D2130" s="13" t="n">
        <v>0</v>
      </c>
      <c r="E2130" s="13" t="inlineStr">
        <is>
          <t>E</t>
        </is>
      </c>
      <c r="F2130" s="13" t="n">
        <v>2020</v>
      </c>
      <c r="G2130" s="14" t="n">
        <v>1025494.352020802</v>
      </c>
      <c r="H2130" s="14" t="n">
        <v>503541.1136952719</v>
      </c>
      <c r="I2130" s="14" t="n">
        <v>224956.0928552666</v>
      </c>
      <c r="J2130" s="14" t="n">
        <v>0</v>
      </c>
      <c r="K2130" s="14" t="n">
        <v>15210.55728188309</v>
      </c>
      <c r="L2130" s="14" t="n">
        <v>281786.5881883809</v>
      </c>
      <c r="M2130" s="14" t="n">
        <v>0</v>
      </c>
      <c r="N2130" s="14" t="n">
        <v>503541.1136952719</v>
      </c>
      <c r="O2130" s="14" t="n">
        <v>743707.7638324214</v>
      </c>
      <c r="P2130" s="14" t="n">
        <v>0</v>
      </c>
      <c r="Q2130" s="14" t="n">
        <v>5292921.802534992</v>
      </c>
      <c r="R2130" s="15">
        <f>IF(D2130=1,"Section 1","Control")</f>
        <v/>
      </c>
      <c r="S2130" s="16">
        <f>N2130/10000</f>
        <v/>
      </c>
      <c r="T2130" s="16">
        <f>P2130/10000</f>
        <v/>
      </c>
      <c r="U2130" s="15">
        <f>IF(N2130&gt;=Summary!$D$3,1,0)</f>
        <v/>
      </c>
      <c r="V2130" s="17">
        <f>IF(N2130&gt;0,P2130/N2130,"")</f>
        <v/>
      </c>
      <c r="W2130" s="17">
        <f>IF(O2130&gt;0,H2130/O2130,"")</f>
        <v/>
      </c>
    </row>
    <row r="2131">
      <c r="A2131" s="13" t="inlineStr">
        <is>
          <t>CE30_B1</t>
        </is>
      </c>
      <c r="B2131" s="13" t="inlineStr">
        <is>
          <t>CE30</t>
        </is>
      </c>
      <c r="C2131" s="13" t="inlineStr">
        <is>
          <t>B1</t>
        </is>
      </c>
      <c r="D2131" s="13" t="n">
        <v>0</v>
      </c>
      <c r="E2131" s="13" t="inlineStr">
        <is>
          <t>E</t>
        </is>
      </c>
      <c r="F2131" s="13" t="n">
        <v>2021</v>
      </c>
      <c r="G2131" s="14" t="n">
        <v>1025494.352020802</v>
      </c>
      <c r="H2131" s="14" t="n">
        <v>426750.7675536213</v>
      </c>
      <c r="I2131" s="14" t="n">
        <v>296964.6060158823</v>
      </c>
      <c r="J2131" s="14" t="n">
        <v>0</v>
      </c>
      <c r="K2131" s="14" t="n">
        <v>52110.65768402698</v>
      </c>
      <c r="L2131" s="14" t="n">
        <v>249668.3207672718</v>
      </c>
      <c r="M2131" s="14" t="n">
        <v>0</v>
      </c>
      <c r="N2131" s="14" t="n">
        <v>503541.1136952719</v>
      </c>
      <c r="O2131" s="14" t="n">
        <v>743707.7638324214</v>
      </c>
      <c r="P2131" s="14" t="n">
        <v>90747.91586549047</v>
      </c>
      <c r="Q2131" s="14" t="n">
        <v>5292921.802534992</v>
      </c>
      <c r="R2131" s="15">
        <f>IF(D2131=1,"Section 1","Control")</f>
        <v/>
      </c>
      <c r="S2131" s="16">
        <f>N2131/10000</f>
        <v/>
      </c>
      <c r="T2131" s="16">
        <f>P2131/10000</f>
        <v/>
      </c>
      <c r="U2131" s="15">
        <f>IF(N2131&gt;=Summary!$D$3,1,0)</f>
        <v/>
      </c>
      <c r="V2131" s="17">
        <f>IF(N2131&gt;0,P2131/N2131,"")</f>
        <v/>
      </c>
      <c r="W2131" s="17">
        <f>IF(O2131&gt;0,H2131/O2131,"")</f>
        <v/>
      </c>
    </row>
    <row r="2132">
      <c r="A2132" s="13" t="inlineStr">
        <is>
          <t>CE30_B1</t>
        </is>
      </c>
      <c r="B2132" s="13" t="inlineStr">
        <is>
          <t>CE30</t>
        </is>
      </c>
      <c r="C2132" s="13" t="inlineStr">
        <is>
          <t>B1</t>
        </is>
      </c>
      <c r="D2132" s="13" t="n">
        <v>0</v>
      </c>
      <c r="E2132" s="13" t="inlineStr">
        <is>
          <t>E</t>
        </is>
      </c>
      <c r="F2132" s="13" t="n">
        <v>2022</v>
      </c>
      <c r="G2132" s="14" t="n">
        <v>1025494.352020802</v>
      </c>
      <c r="H2132" s="14" t="n">
        <v>379197.7774336573</v>
      </c>
      <c r="I2132" s="14" t="n">
        <v>345477.6609122781</v>
      </c>
      <c r="J2132" s="14" t="n">
        <v>0</v>
      </c>
      <c r="K2132" s="14" t="n">
        <v>39812.22335605996</v>
      </c>
      <c r="L2132" s="14" t="n">
        <v>261006.690318807</v>
      </c>
      <c r="M2132" s="14" t="n">
        <v>0</v>
      </c>
      <c r="N2132" s="14" t="n">
        <v>503541.1136952719</v>
      </c>
      <c r="O2132" s="14" t="n">
        <v>743707.7638324214</v>
      </c>
      <c r="P2132" s="14" t="n">
        <v>133812.2916389914</v>
      </c>
      <c r="Q2132" s="14" t="n">
        <v>5292921.802534993</v>
      </c>
      <c r="R2132" s="15">
        <f>IF(D2132=1,"Section 1","Control")</f>
        <v/>
      </c>
      <c r="S2132" s="16">
        <f>N2132/10000</f>
        <v/>
      </c>
      <c r="T2132" s="16">
        <f>P2132/10000</f>
        <v/>
      </c>
      <c r="U2132" s="15">
        <f>IF(N2132&gt;=Summary!$D$3,1,0)</f>
        <v/>
      </c>
      <c r="V2132" s="17">
        <f>IF(N2132&gt;0,P2132/N2132,"")</f>
        <v/>
      </c>
      <c r="W2132" s="17">
        <f>IF(O2132&gt;0,H2132/O2132,"")</f>
        <v/>
      </c>
    </row>
    <row r="2133">
      <c r="A2133" s="13" t="inlineStr">
        <is>
          <t>CE30_B1</t>
        </is>
      </c>
      <c r="B2133" s="13" t="inlineStr">
        <is>
          <t>CE30</t>
        </is>
      </c>
      <c r="C2133" s="13" t="inlineStr">
        <is>
          <t>B1</t>
        </is>
      </c>
      <c r="D2133" s="13" t="n">
        <v>0</v>
      </c>
      <c r="E2133" s="13" t="inlineStr">
        <is>
          <t>E</t>
        </is>
      </c>
      <c r="F2133" s="13" t="n">
        <v>2023</v>
      </c>
      <c r="G2133" s="14" t="n">
        <v>1025494.352020802</v>
      </c>
      <c r="H2133" s="14" t="n">
        <v>320911.6869134641</v>
      </c>
      <c r="I2133" s="14" t="n">
        <v>402220.7573460299</v>
      </c>
      <c r="J2133" s="14" t="n">
        <v>0</v>
      </c>
      <c r="K2133" s="14" t="n">
        <v>33562.3203899608</v>
      </c>
      <c r="L2133" s="14" t="n">
        <v>268799.5873713475</v>
      </c>
      <c r="M2133" s="14" t="n">
        <v>0</v>
      </c>
      <c r="N2133" s="14" t="n">
        <v>503541.1136952719</v>
      </c>
      <c r="O2133" s="14" t="n">
        <v>743707.7638324214</v>
      </c>
      <c r="P2133" s="14" t="n">
        <v>192860.3651232551</v>
      </c>
      <c r="Q2133" s="14" t="n">
        <v>5292921.802534992</v>
      </c>
      <c r="R2133" s="15">
        <f>IF(D2133=1,"Section 1","Control")</f>
        <v/>
      </c>
      <c r="S2133" s="16">
        <f>N2133/10000</f>
        <v/>
      </c>
      <c r="T2133" s="16">
        <f>P2133/10000</f>
        <v/>
      </c>
      <c r="U2133" s="15">
        <f>IF(N2133&gt;=Summary!$D$3,1,0)</f>
        <v/>
      </c>
      <c r="V2133" s="17">
        <f>IF(N2133&gt;0,P2133/N2133,"")</f>
        <v/>
      </c>
      <c r="W2133" s="17">
        <f>IF(O2133&gt;0,H2133/O2133,"")</f>
        <v/>
      </c>
    </row>
    <row r="2134">
      <c r="A2134" s="13" t="inlineStr">
        <is>
          <t>CE30_B1</t>
        </is>
      </c>
      <c r="B2134" s="13" t="inlineStr">
        <is>
          <t>CE30</t>
        </is>
      </c>
      <c r="C2134" s="13" t="inlineStr">
        <is>
          <t>B1</t>
        </is>
      </c>
      <c r="D2134" s="13" t="n">
        <v>0</v>
      </c>
      <c r="E2134" s="13" t="inlineStr">
        <is>
          <t>E</t>
        </is>
      </c>
      <c r="F2134" s="13" t="n">
        <v>2024</v>
      </c>
      <c r="G2134" s="14" t="n">
        <v>1025494.352020802</v>
      </c>
      <c r="H2134" s="14" t="n">
        <v>399233.7427828022</v>
      </c>
      <c r="I2134" s="14" t="n">
        <v>335205.3367752973</v>
      </c>
      <c r="J2134" s="14" t="n">
        <v>0</v>
      </c>
      <c r="K2134" s="14" t="n">
        <v>40377.16180560542</v>
      </c>
      <c r="L2134" s="14" t="n">
        <v>250678.1106570973</v>
      </c>
      <c r="M2134" s="14" t="n">
        <v>0</v>
      </c>
      <c r="N2134" s="14" t="n">
        <v>503541.1136952719</v>
      </c>
      <c r="O2134" s="14" t="n">
        <v>743707.7638324214</v>
      </c>
      <c r="P2134" s="14" t="n">
        <v>130304.3984212838</v>
      </c>
      <c r="Q2134" s="14" t="n">
        <v>5292921.802534993</v>
      </c>
      <c r="R2134" s="15">
        <f>IF(D2134=1,"Section 1","Control")</f>
        <v/>
      </c>
      <c r="S2134" s="16">
        <f>N2134/10000</f>
        <v/>
      </c>
      <c r="T2134" s="16">
        <f>P2134/10000</f>
        <v/>
      </c>
      <c r="U2134" s="15">
        <f>IF(N2134&gt;=Summary!$D$3,1,0)</f>
        <v/>
      </c>
      <c r="V2134" s="17">
        <f>IF(N2134&gt;0,P2134/N2134,"")</f>
        <v/>
      </c>
      <c r="W2134" s="17">
        <f>IF(O2134&gt;0,H2134/O2134,"")</f>
        <v/>
      </c>
    </row>
    <row r="2135">
      <c r="A2135" s="13" t="inlineStr">
        <is>
          <t>CE30_B1</t>
        </is>
      </c>
      <c r="B2135" s="13" t="inlineStr">
        <is>
          <t>CE30</t>
        </is>
      </c>
      <c r="C2135" s="13" t="inlineStr">
        <is>
          <t>B1</t>
        </is>
      </c>
      <c r="D2135" s="13" t="n">
        <v>0</v>
      </c>
      <c r="E2135" s="13" t="inlineStr">
        <is>
          <t>E</t>
        </is>
      </c>
      <c r="F2135" s="13" t="n">
        <v>2025</v>
      </c>
      <c r="G2135" s="14" t="n">
        <v>1025494.352020802</v>
      </c>
      <c r="H2135" s="14" t="n">
        <v>318763.9126619826</v>
      </c>
      <c r="I2135" s="14" t="n">
        <v>401589.6999109305</v>
      </c>
      <c r="J2135" s="14" t="n">
        <v>0</v>
      </c>
      <c r="K2135" s="14" t="n">
        <v>36267.58381207036</v>
      </c>
      <c r="L2135" s="14" t="n">
        <v>268873.1556358188</v>
      </c>
      <c r="M2135" s="14" t="n">
        <v>0</v>
      </c>
      <c r="N2135" s="14" t="n">
        <v>503541.1136952719</v>
      </c>
      <c r="O2135" s="14" t="n">
        <v>743707.7638324214</v>
      </c>
      <c r="P2135" s="14" t="n">
        <v>197626.6267235849</v>
      </c>
      <c r="Q2135" s="14" t="n">
        <v>5292921.802534992</v>
      </c>
      <c r="R2135" s="15">
        <f>IF(D2135=1,"Section 1","Control")</f>
        <v/>
      </c>
      <c r="S2135" s="16">
        <f>N2135/10000</f>
        <v/>
      </c>
      <c r="T2135" s="16">
        <f>P2135/10000</f>
        <v/>
      </c>
      <c r="U2135" s="15">
        <f>IF(N2135&gt;=Summary!$D$3,1,0)</f>
        <v/>
      </c>
      <c r="V2135" s="17">
        <f>IF(N2135&gt;0,P2135/N2135,"")</f>
        <v/>
      </c>
      <c r="W2135" s="17">
        <f>IF(O2135&gt;0,H2135/O2135,"")</f>
        <v/>
      </c>
    </row>
    <row r="2136">
      <c r="A2136" s="13" t="inlineStr">
        <is>
          <t>CE30_B1</t>
        </is>
      </c>
      <c r="B2136" s="13" t="inlineStr">
        <is>
          <t>CE30</t>
        </is>
      </c>
      <c r="C2136" s="13" t="inlineStr">
        <is>
          <t>B1</t>
        </is>
      </c>
      <c r="D2136" s="13" t="n">
        <v>0</v>
      </c>
      <c r="E2136" s="13" t="inlineStr">
        <is>
          <t>E</t>
        </is>
      </c>
      <c r="F2136" s="13" t="n">
        <v>2026</v>
      </c>
      <c r="G2136" s="14" t="n">
        <v>1025494.352020802</v>
      </c>
      <c r="H2136" s="14" t="n">
        <v>481576.9724999822</v>
      </c>
      <c r="I2136" s="14" t="n">
        <v>240293.7591212852</v>
      </c>
      <c r="J2136" s="14" t="n">
        <v>0</v>
      </c>
      <c r="K2136" s="14" t="n">
        <v>49244.01505174823</v>
      </c>
      <c r="L2136" s="14" t="n">
        <v>254379.6053477867</v>
      </c>
      <c r="M2136" s="14" t="n">
        <v>0</v>
      </c>
      <c r="N2136" s="14" t="n">
        <v>503541.1136952719</v>
      </c>
      <c r="O2136" s="14" t="n">
        <v>743707.7638324214</v>
      </c>
      <c r="P2136" s="14" t="n">
        <v>84295.90274676154</v>
      </c>
      <c r="Q2136" s="14" t="n">
        <v>5292921.802534993</v>
      </c>
      <c r="R2136" s="15">
        <f>IF(D2136=1,"Section 1","Control")</f>
        <v/>
      </c>
      <c r="S2136" s="16">
        <f>N2136/10000</f>
        <v/>
      </c>
      <c r="T2136" s="16">
        <f>P2136/10000</f>
        <v/>
      </c>
      <c r="U2136" s="15">
        <f>IF(N2136&gt;=Summary!$D$3,1,0)</f>
        <v/>
      </c>
      <c r="V2136" s="17">
        <f>IF(N2136&gt;0,P2136/N2136,"")</f>
        <v/>
      </c>
      <c r="W2136" s="17">
        <f>IF(O2136&gt;0,H2136/O2136,"")</f>
        <v/>
      </c>
    </row>
    <row r="2137">
      <c r="A2137" s="13" t="inlineStr">
        <is>
          <t>CE30_B2</t>
        </is>
      </c>
      <c r="B2137" s="13" t="inlineStr">
        <is>
          <t>CE30</t>
        </is>
      </c>
      <c r="C2137" s="13" t="inlineStr">
        <is>
          <t>B2</t>
        </is>
      </c>
      <c r="D2137" s="13" t="n">
        <v>0</v>
      </c>
      <c r="E2137" s="13" t="inlineStr">
        <is>
          <t>E</t>
        </is>
      </c>
      <c r="F2137" s="13" t="n">
        <v>2020</v>
      </c>
      <c r="G2137" s="14" t="n">
        <v>1025501.700671536</v>
      </c>
      <c r="H2137" s="14" t="n">
        <v>226448.7797783945</v>
      </c>
      <c r="I2137" s="14" t="n">
        <v>285193.5563598333</v>
      </c>
      <c r="J2137" s="14" t="n">
        <v>0</v>
      </c>
      <c r="K2137" s="14" t="n">
        <v>1103.075486964805</v>
      </c>
      <c r="L2137" s="14" t="n">
        <v>512756.2890463436</v>
      </c>
      <c r="M2137" s="14" t="n">
        <v>0</v>
      </c>
      <c r="N2137" s="14" t="n">
        <v>226448.7797783945</v>
      </c>
      <c r="O2137" s="14" t="n">
        <v>512745.4116251927</v>
      </c>
      <c r="P2137" s="14" t="n">
        <v>0</v>
      </c>
      <c r="Q2137" s="14" t="n">
        <v>3852571.906833664</v>
      </c>
      <c r="R2137" s="15">
        <f>IF(D2137=1,"Section 1","Control")</f>
        <v/>
      </c>
      <c r="S2137" s="16">
        <f>N2137/10000</f>
        <v/>
      </c>
      <c r="T2137" s="16">
        <f>P2137/10000</f>
        <v/>
      </c>
      <c r="U2137" s="15">
        <f>IF(N2137&gt;=Summary!$D$3,1,0)</f>
        <v/>
      </c>
      <c r="V2137" s="17">
        <f>IF(N2137&gt;0,P2137/N2137,"")</f>
        <v/>
      </c>
      <c r="W2137" s="17">
        <f>IF(O2137&gt;0,H2137/O2137,"")</f>
        <v/>
      </c>
    </row>
    <row r="2138">
      <c r="A2138" s="13" t="inlineStr">
        <is>
          <t>CE30_B2</t>
        </is>
      </c>
      <c r="B2138" s="13" t="inlineStr">
        <is>
          <t>CE30</t>
        </is>
      </c>
      <c r="C2138" s="13" t="inlineStr">
        <is>
          <t>B2</t>
        </is>
      </c>
      <c r="D2138" s="13" t="n">
        <v>0</v>
      </c>
      <c r="E2138" s="13" t="inlineStr">
        <is>
          <t>E</t>
        </is>
      </c>
      <c r="F2138" s="13" t="n">
        <v>2021</v>
      </c>
      <c r="G2138" s="14" t="n">
        <v>1025501.700671536</v>
      </c>
      <c r="H2138" s="14" t="n">
        <v>147354.7068619373</v>
      </c>
      <c r="I2138" s="14" t="n">
        <v>314655.5860291724</v>
      </c>
      <c r="J2138" s="14" t="n">
        <v>0</v>
      </c>
      <c r="K2138" s="14" t="n">
        <v>50735.11873408299</v>
      </c>
      <c r="L2138" s="14" t="n">
        <v>512756.2890463436</v>
      </c>
      <c r="M2138" s="14" t="n">
        <v>0</v>
      </c>
      <c r="N2138" s="14" t="n">
        <v>226448.7797783945</v>
      </c>
      <c r="O2138" s="14" t="n">
        <v>512745.4116251927</v>
      </c>
      <c r="P2138" s="14" t="n">
        <v>81661.07309956269</v>
      </c>
      <c r="Q2138" s="14" t="n">
        <v>3852571.906833664</v>
      </c>
      <c r="R2138" s="15">
        <f>IF(D2138=1,"Section 1","Control")</f>
        <v/>
      </c>
      <c r="S2138" s="16">
        <f>N2138/10000</f>
        <v/>
      </c>
      <c r="T2138" s="16">
        <f>P2138/10000</f>
        <v/>
      </c>
      <c r="U2138" s="15">
        <f>IF(N2138&gt;=Summary!$D$3,1,0)</f>
        <v/>
      </c>
      <c r="V2138" s="17">
        <f>IF(N2138&gt;0,P2138/N2138,"")</f>
        <v/>
      </c>
      <c r="W2138" s="17">
        <f>IF(O2138&gt;0,H2138/O2138,"")</f>
        <v/>
      </c>
    </row>
    <row r="2139">
      <c r="A2139" s="13" t="inlineStr">
        <is>
          <t>CE30_B2</t>
        </is>
      </c>
      <c r="B2139" s="13" t="inlineStr">
        <is>
          <t>CE30</t>
        </is>
      </c>
      <c r="C2139" s="13" t="inlineStr">
        <is>
          <t>B2</t>
        </is>
      </c>
      <c r="D2139" s="13" t="n">
        <v>0</v>
      </c>
      <c r="E2139" s="13" t="inlineStr">
        <is>
          <t>E</t>
        </is>
      </c>
      <c r="F2139" s="13" t="n">
        <v>2022</v>
      </c>
      <c r="G2139" s="14" t="n">
        <v>1025501.700671536</v>
      </c>
      <c r="H2139" s="14" t="n">
        <v>137942.2980918435</v>
      </c>
      <c r="I2139" s="14" t="n">
        <v>351629.7018959793</v>
      </c>
      <c r="J2139" s="14" t="n">
        <v>0</v>
      </c>
      <c r="K2139" s="14" t="n">
        <v>23173.41163736979</v>
      </c>
      <c r="L2139" s="14" t="n">
        <v>512756.2890463436</v>
      </c>
      <c r="M2139" s="14" t="n">
        <v>0</v>
      </c>
      <c r="N2139" s="14" t="n">
        <v>226448.7797783945</v>
      </c>
      <c r="O2139" s="14" t="n">
        <v>512745.4116251927</v>
      </c>
      <c r="P2139" s="14" t="n">
        <v>99370.72054165111</v>
      </c>
      <c r="Q2139" s="14" t="n">
        <v>3852571.906833665</v>
      </c>
      <c r="R2139" s="15">
        <f>IF(D2139=1,"Section 1","Control")</f>
        <v/>
      </c>
      <c r="S2139" s="16">
        <f>N2139/10000</f>
        <v/>
      </c>
      <c r="T2139" s="16">
        <f>P2139/10000</f>
        <v/>
      </c>
      <c r="U2139" s="15">
        <f>IF(N2139&gt;=Summary!$D$3,1,0)</f>
        <v/>
      </c>
      <c r="V2139" s="17">
        <f>IF(N2139&gt;0,P2139/N2139,"")</f>
        <v/>
      </c>
      <c r="W2139" s="17">
        <f>IF(O2139&gt;0,H2139/O2139,"")</f>
        <v/>
      </c>
    </row>
    <row r="2140">
      <c r="A2140" s="13" t="inlineStr">
        <is>
          <t>CE30_B2</t>
        </is>
      </c>
      <c r="B2140" s="13" t="inlineStr">
        <is>
          <t>CE30</t>
        </is>
      </c>
      <c r="C2140" s="13" t="inlineStr">
        <is>
          <t>B2</t>
        </is>
      </c>
      <c r="D2140" s="13" t="n">
        <v>0</v>
      </c>
      <c r="E2140" s="13" t="inlineStr">
        <is>
          <t>E</t>
        </is>
      </c>
      <c r="F2140" s="13" t="n">
        <v>2023</v>
      </c>
      <c r="G2140" s="14" t="n">
        <v>1025501.700671536</v>
      </c>
      <c r="H2140" s="14" t="n">
        <v>147919.8835646985</v>
      </c>
      <c r="I2140" s="14" t="n">
        <v>350339.2486506742</v>
      </c>
      <c r="J2140" s="14" t="n">
        <v>0</v>
      </c>
      <c r="K2140" s="14" t="n">
        <v>14486.27940981996</v>
      </c>
      <c r="L2140" s="14" t="n">
        <v>512756.2890463435</v>
      </c>
      <c r="M2140" s="14" t="n">
        <v>0</v>
      </c>
      <c r="N2140" s="14" t="n">
        <v>226448.7797783945</v>
      </c>
      <c r="O2140" s="14" t="n">
        <v>512745.4116251927</v>
      </c>
      <c r="P2140" s="14" t="n">
        <v>92798.76827883252</v>
      </c>
      <c r="Q2140" s="14" t="n">
        <v>3852571.906833665</v>
      </c>
      <c r="R2140" s="15">
        <f>IF(D2140=1,"Section 1","Control")</f>
        <v/>
      </c>
      <c r="S2140" s="16">
        <f>N2140/10000</f>
        <v/>
      </c>
      <c r="T2140" s="16">
        <f>P2140/10000</f>
        <v/>
      </c>
      <c r="U2140" s="15">
        <f>IF(N2140&gt;=Summary!$D$3,1,0)</f>
        <v/>
      </c>
      <c r="V2140" s="17">
        <f>IF(N2140&gt;0,P2140/N2140,"")</f>
        <v/>
      </c>
      <c r="W2140" s="17">
        <f>IF(O2140&gt;0,H2140/O2140,"")</f>
        <v/>
      </c>
    </row>
    <row r="2141">
      <c r="A2141" s="13" t="inlineStr">
        <is>
          <t>CE30_B2</t>
        </is>
      </c>
      <c r="B2141" s="13" t="inlineStr">
        <is>
          <t>CE30</t>
        </is>
      </c>
      <c r="C2141" s="13" t="inlineStr">
        <is>
          <t>B2</t>
        </is>
      </c>
      <c r="D2141" s="13" t="n">
        <v>0</v>
      </c>
      <c r="E2141" s="13" t="inlineStr">
        <is>
          <t>E</t>
        </is>
      </c>
      <c r="F2141" s="13" t="n">
        <v>2024</v>
      </c>
      <c r="G2141" s="14" t="n">
        <v>1025501.700671536</v>
      </c>
      <c r="H2141" s="14" t="n">
        <v>205133.7555097094</v>
      </c>
      <c r="I2141" s="14" t="n">
        <v>294043.3783759024</v>
      </c>
      <c r="J2141" s="14" t="n">
        <v>0</v>
      </c>
      <c r="K2141" s="14" t="n">
        <v>13568.27773958094</v>
      </c>
      <c r="L2141" s="14" t="n">
        <v>512756.2890463436</v>
      </c>
      <c r="M2141" s="14" t="n">
        <v>0</v>
      </c>
      <c r="N2141" s="14" t="n">
        <v>226448.7797783945</v>
      </c>
      <c r="O2141" s="14" t="n">
        <v>512745.4116251927</v>
      </c>
      <c r="P2141" s="14" t="n">
        <v>60005.82105111515</v>
      </c>
      <c r="Q2141" s="14" t="n">
        <v>3852571.906833665</v>
      </c>
      <c r="R2141" s="15">
        <f>IF(D2141=1,"Section 1","Control")</f>
        <v/>
      </c>
      <c r="S2141" s="16">
        <f>N2141/10000</f>
        <v/>
      </c>
      <c r="T2141" s="16">
        <f>P2141/10000</f>
        <v/>
      </c>
      <c r="U2141" s="15">
        <f>IF(N2141&gt;=Summary!$D$3,1,0)</f>
        <v/>
      </c>
      <c r="V2141" s="17">
        <f>IF(N2141&gt;0,P2141/N2141,"")</f>
        <v/>
      </c>
      <c r="W2141" s="17">
        <f>IF(O2141&gt;0,H2141/O2141,"")</f>
        <v/>
      </c>
    </row>
    <row r="2142">
      <c r="A2142" s="13" t="inlineStr">
        <is>
          <t>CE30_B2</t>
        </is>
      </c>
      <c r="B2142" s="13" t="inlineStr">
        <is>
          <t>CE30</t>
        </is>
      </c>
      <c r="C2142" s="13" t="inlineStr">
        <is>
          <t>B2</t>
        </is>
      </c>
      <c r="D2142" s="13" t="n">
        <v>0</v>
      </c>
      <c r="E2142" s="13" t="inlineStr">
        <is>
          <t>E</t>
        </is>
      </c>
      <c r="F2142" s="13" t="n">
        <v>2025</v>
      </c>
      <c r="G2142" s="14" t="n">
        <v>1025501.700671536</v>
      </c>
      <c r="H2142" s="14" t="n">
        <v>197213.9195095885</v>
      </c>
      <c r="I2142" s="14" t="n">
        <v>302650.4586909275</v>
      </c>
      <c r="J2142" s="14" t="n">
        <v>0</v>
      </c>
      <c r="K2142" s="14" t="n">
        <v>12881.03342467663</v>
      </c>
      <c r="L2142" s="14" t="n">
        <v>512756.2890463436</v>
      </c>
      <c r="M2142" s="14" t="n">
        <v>0</v>
      </c>
      <c r="N2142" s="14" t="n">
        <v>226448.7797783945</v>
      </c>
      <c r="O2142" s="14" t="n">
        <v>512745.4116251927</v>
      </c>
      <c r="P2142" s="14" t="n">
        <v>67904.3254666796</v>
      </c>
      <c r="Q2142" s="14" t="n">
        <v>3852571.906833664</v>
      </c>
      <c r="R2142" s="15">
        <f>IF(D2142=1,"Section 1","Control")</f>
        <v/>
      </c>
      <c r="S2142" s="16">
        <f>N2142/10000</f>
        <v/>
      </c>
      <c r="T2142" s="16">
        <f>P2142/10000</f>
        <v/>
      </c>
      <c r="U2142" s="15">
        <f>IF(N2142&gt;=Summary!$D$3,1,0)</f>
        <v/>
      </c>
      <c r="V2142" s="17">
        <f>IF(N2142&gt;0,P2142/N2142,"")</f>
        <v/>
      </c>
      <c r="W2142" s="17">
        <f>IF(O2142&gt;0,H2142/O2142,"")</f>
        <v/>
      </c>
    </row>
    <row r="2143">
      <c r="A2143" s="13" t="inlineStr">
        <is>
          <t>CE30_B2</t>
        </is>
      </c>
      <c r="B2143" s="13" t="inlineStr">
        <is>
          <t>CE30</t>
        </is>
      </c>
      <c r="C2143" s="13" t="inlineStr">
        <is>
          <t>B2</t>
        </is>
      </c>
      <c r="D2143" s="13" t="n">
        <v>0</v>
      </c>
      <c r="E2143" s="13" t="inlineStr">
        <is>
          <t>E</t>
        </is>
      </c>
      <c r="F2143" s="13" t="n">
        <v>2026</v>
      </c>
      <c r="G2143" s="14" t="n">
        <v>1025501.700671536</v>
      </c>
      <c r="H2143" s="14" t="n">
        <v>213820.8498417873</v>
      </c>
      <c r="I2143" s="14" t="n">
        <v>285656.3433112051</v>
      </c>
      <c r="J2143" s="14" t="n">
        <v>0</v>
      </c>
      <c r="K2143" s="14" t="n">
        <v>13268.21847220028</v>
      </c>
      <c r="L2143" s="14" t="n">
        <v>512756.2890463436</v>
      </c>
      <c r="M2143" s="14" t="n">
        <v>0</v>
      </c>
      <c r="N2143" s="14" t="n">
        <v>226448.7797783945</v>
      </c>
      <c r="O2143" s="14" t="n">
        <v>512745.4116251927</v>
      </c>
      <c r="P2143" s="14" t="n">
        <v>56381.85481145522</v>
      </c>
      <c r="Q2143" s="14" t="n">
        <v>3852571.906833665</v>
      </c>
      <c r="R2143" s="15">
        <f>IF(D2143=1,"Section 1","Control")</f>
        <v/>
      </c>
      <c r="S2143" s="16">
        <f>N2143/10000</f>
        <v/>
      </c>
      <c r="T2143" s="16">
        <f>P2143/10000</f>
        <v/>
      </c>
      <c r="U2143" s="15">
        <f>IF(N2143&gt;=Summary!$D$3,1,0)</f>
        <v/>
      </c>
      <c r="V2143" s="17">
        <f>IF(N2143&gt;0,P2143/N2143,"")</f>
        <v/>
      </c>
      <c r="W2143" s="17">
        <f>IF(O2143&gt;0,H2143/O2143,"")</f>
        <v/>
      </c>
    </row>
    <row r="2144">
      <c r="A2144" s="13" t="inlineStr">
        <is>
          <t>CE30_B3</t>
        </is>
      </c>
      <c r="B2144" s="13" t="inlineStr">
        <is>
          <t>CE30</t>
        </is>
      </c>
      <c r="C2144" s="13" t="inlineStr">
        <is>
          <t>B3</t>
        </is>
      </c>
      <c r="D2144" s="13" t="n">
        <v>0</v>
      </c>
      <c r="E2144" s="13" t="inlineStr">
        <is>
          <t>E</t>
        </is>
      </c>
      <c r="F2144" s="13" t="n">
        <v>2020</v>
      </c>
      <c r="G2144" s="14" t="n">
        <v>8205012.23373072</v>
      </c>
      <c r="H2144" s="14" t="n">
        <v>1656058.301384002</v>
      </c>
      <c r="I2144" s="14" t="n">
        <v>1294617.631513438</v>
      </c>
      <c r="J2144" s="14" t="n">
        <v>0</v>
      </c>
      <c r="K2144" s="14" t="n">
        <v>38313.79094022863</v>
      </c>
      <c r="L2144" s="14" t="n">
        <v>5216022.509893051</v>
      </c>
      <c r="M2144" s="14" t="n">
        <v>0</v>
      </c>
      <c r="N2144" s="14" t="n">
        <v>1656058.301384002</v>
      </c>
      <c r="O2144" s="14" t="n">
        <v>2988989.72383767</v>
      </c>
      <c r="P2144" s="14" t="n">
        <v>0</v>
      </c>
      <c r="Q2144" s="14" t="n">
        <v>19610214.63528194</v>
      </c>
      <c r="R2144" s="15">
        <f>IF(D2144=1,"Section 1","Control")</f>
        <v/>
      </c>
      <c r="S2144" s="16">
        <f>N2144/10000</f>
        <v/>
      </c>
      <c r="T2144" s="16">
        <f>P2144/10000</f>
        <v/>
      </c>
      <c r="U2144" s="15">
        <f>IF(N2144&gt;=Summary!$D$3,1,0)</f>
        <v/>
      </c>
      <c r="V2144" s="17">
        <f>IF(N2144&gt;0,P2144/N2144,"")</f>
        <v/>
      </c>
      <c r="W2144" s="17">
        <f>IF(O2144&gt;0,H2144/O2144,"")</f>
        <v/>
      </c>
    </row>
    <row r="2145">
      <c r="A2145" s="13" t="inlineStr">
        <is>
          <t>CE30_B3</t>
        </is>
      </c>
      <c r="B2145" s="13" t="inlineStr">
        <is>
          <t>CE30</t>
        </is>
      </c>
      <c r="C2145" s="13" t="inlineStr">
        <is>
          <t>B3</t>
        </is>
      </c>
      <c r="D2145" s="13" t="n">
        <v>0</v>
      </c>
      <c r="E2145" s="13" t="inlineStr">
        <is>
          <t>E</t>
        </is>
      </c>
      <c r="F2145" s="13" t="n">
        <v>2021</v>
      </c>
      <c r="G2145" s="14" t="n">
        <v>8205012.233730719</v>
      </c>
      <c r="H2145" s="14" t="n">
        <v>1150939.188965891</v>
      </c>
      <c r="I2145" s="14" t="n">
        <v>1208227.497611491</v>
      </c>
      <c r="J2145" s="14" t="n">
        <v>0</v>
      </c>
      <c r="K2145" s="14" t="n">
        <v>717827.4602472341</v>
      </c>
      <c r="L2145" s="14" t="n">
        <v>5128018.086906103</v>
      </c>
      <c r="M2145" s="14" t="n">
        <v>0</v>
      </c>
      <c r="N2145" s="14" t="n">
        <v>1656058.301384002</v>
      </c>
      <c r="O2145" s="14" t="n">
        <v>2988989.72383767</v>
      </c>
      <c r="P2145" s="14" t="n">
        <v>534146.2260833741</v>
      </c>
      <c r="Q2145" s="14" t="n">
        <v>19610214.63528194</v>
      </c>
      <c r="R2145" s="15">
        <f>IF(D2145=1,"Section 1","Control")</f>
        <v/>
      </c>
      <c r="S2145" s="16">
        <f>N2145/10000</f>
        <v/>
      </c>
      <c r="T2145" s="16">
        <f>P2145/10000</f>
        <v/>
      </c>
      <c r="U2145" s="15">
        <f>IF(N2145&gt;=Summary!$D$3,1,0)</f>
        <v/>
      </c>
      <c r="V2145" s="17">
        <f>IF(N2145&gt;0,P2145/N2145,"")</f>
        <v/>
      </c>
      <c r="W2145" s="17">
        <f>IF(O2145&gt;0,H2145/O2145,"")</f>
        <v/>
      </c>
    </row>
    <row r="2146">
      <c r="A2146" s="13" t="inlineStr">
        <is>
          <t>CE30_B3</t>
        </is>
      </c>
      <c r="B2146" s="13" t="inlineStr">
        <is>
          <t>CE30</t>
        </is>
      </c>
      <c r="C2146" s="13" t="inlineStr">
        <is>
          <t>B3</t>
        </is>
      </c>
      <c r="D2146" s="13" t="n">
        <v>0</v>
      </c>
      <c r="E2146" s="13" t="inlineStr">
        <is>
          <t>E</t>
        </is>
      </c>
      <c r="F2146" s="13" t="n">
        <v>2022</v>
      </c>
      <c r="G2146" s="14" t="n">
        <v>8205012.23373072</v>
      </c>
      <c r="H2146" s="14" t="n">
        <v>1168637.931463563</v>
      </c>
      <c r="I2146" s="14" t="n">
        <v>1597804.460481771</v>
      </c>
      <c r="J2146" s="14" t="n">
        <v>0</v>
      </c>
      <c r="K2146" s="14" t="n">
        <v>666704.7084609087</v>
      </c>
      <c r="L2146" s="14" t="n">
        <v>4771865.133324477</v>
      </c>
      <c r="M2146" s="14" t="n">
        <v>0</v>
      </c>
      <c r="N2146" s="14" t="n">
        <v>1656058.301384002</v>
      </c>
      <c r="O2146" s="14" t="n">
        <v>2988989.72383767</v>
      </c>
      <c r="P2146" s="14" t="n">
        <v>516874.6630067714</v>
      </c>
      <c r="Q2146" s="14" t="n">
        <v>19610214.63528194</v>
      </c>
      <c r="R2146" s="15">
        <f>IF(D2146=1,"Section 1","Control")</f>
        <v/>
      </c>
      <c r="S2146" s="16">
        <f>N2146/10000</f>
        <v/>
      </c>
      <c r="T2146" s="16">
        <f>P2146/10000</f>
        <v/>
      </c>
      <c r="U2146" s="15">
        <f>IF(N2146&gt;=Summary!$D$3,1,0)</f>
        <v/>
      </c>
      <c r="V2146" s="17">
        <f>IF(N2146&gt;0,P2146/N2146,"")</f>
        <v/>
      </c>
      <c r="W2146" s="17">
        <f>IF(O2146&gt;0,H2146/O2146,"")</f>
        <v/>
      </c>
    </row>
    <row r="2147">
      <c r="A2147" s="13" t="inlineStr">
        <is>
          <t>CE30_B3</t>
        </is>
      </c>
      <c r="B2147" s="13" t="inlineStr">
        <is>
          <t>CE30</t>
        </is>
      </c>
      <c r="C2147" s="13" t="inlineStr">
        <is>
          <t>B3</t>
        </is>
      </c>
      <c r="D2147" s="13" t="n">
        <v>0</v>
      </c>
      <c r="E2147" s="13" t="inlineStr">
        <is>
          <t>E</t>
        </is>
      </c>
      <c r="F2147" s="13" t="n">
        <v>2023</v>
      </c>
      <c r="G2147" s="14" t="n">
        <v>8205012.23373072</v>
      </c>
      <c r="H2147" s="14" t="n">
        <v>1394413.504590023</v>
      </c>
      <c r="I2147" s="14" t="n">
        <v>1402236.930748345</v>
      </c>
      <c r="J2147" s="14" t="n">
        <v>0</v>
      </c>
      <c r="K2147" s="14" t="n">
        <v>201359.4647775388</v>
      </c>
      <c r="L2147" s="14" t="n">
        <v>5207002.333614813</v>
      </c>
      <c r="M2147" s="14" t="n">
        <v>0</v>
      </c>
      <c r="N2147" s="14" t="n">
        <v>1656058.301384002</v>
      </c>
      <c r="O2147" s="14" t="n">
        <v>2988989.72383767</v>
      </c>
      <c r="P2147" s="14" t="n">
        <v>386761.5053502402</v>
      </c>
      <c r="Q2147" s="14" t="n">
        <v>19610214.63528194</v>
      </c>
      <c r="R2147" s="15">
        <f>IF(D2147=1,"Section 1","Control")</f>
        <v/>
      </c>
      <c r="S2147" s="16">
        <f>N2147/10000</f>
        <v/>
      </c>
      <c r="T2147" s="16">
        <f>P2147/10000</f>
        <v/>
      </c>
      <c r="U2147" s="15">
        <f>IF(N2147&gt;=Summary!$D$3,1,0)</f>
        <v/>
      </c>
      <c r="V2147" s="17">
        <f>IF(N2147&gt;0,P2147/N2147,"")</f>
        <v/>
      </c>
      <c r="W2147" s="17">
        <f>IF(O2147&gt;0,H2147/O2147,"")</f>
        <v/>
      </c>
    </row>
    <row r="2148">
      <c r="A2148" s="13" t="inlineStr">
        <is>
          <t>CE30_B3</t>
        </is>
      </c>
      <c r="B2148" s="13" t="inlineStr">
        <is>
          <t>CE30</t>
        </is>
      </c>
      <c r="C2148" s="13" t="inlineStr">
        <is>
          <t>B3</t>
        </is>
      </c>
      <c r="D2148" s="13" t="n">
        <v>0</v>
      </c>
      <c r="E2148" s="13" t="inlineStr">
        <is>
          <t>E</t>
        </is>
      </c>
      <c r="F2148" s="13" t="n">
        <v>2024</v>
      </c>
      <c r="G2148" s="14" t="n">
        <v>8205012.23373072</v>
      </c>
      <c r="H2148" s="14" t="n">
        <v>1718296.679073409</v>
      </c>
      <c r="I2148" s="14" t="n">
        <v>1071685.714312385</v>
      </c>
      <c r="J2148" s="14" t="n">
        <v>0</v>
      </c>
      <c r="K2148" s="14" t="n">
        <v>256825.3439830406</v>
      </c>
      <c r="L2148" s="14" t="n">
        <v>5158204.496361885</v>
      </c>
      <c r="M2148" s="14" t="n">
        <v>0</v>
      </c>
      <c r="N2148" s="14" t="n">
        <v>1656058.301384002</v>
      </c>
      <c r="O2148" s="14" t="n">
        <v>2988989.72383767</v>
      </c>
      <c r="P2148" s="14" t="n">
        <v>275582.3424521653</v>
      </c>
      <c r="Q2148" s="14" t="n">
        <v>19610214.63528193</v>
      </c>
      <c r="R2148" s="15">
        <f>IF(D2148=1,"Section 1","Control")</f>
        <v/>
      </c>
      <c r="S2148" s="16">
        <f>N2148/10000</f>
        <v/>
      </c>
      <c r="T2148" s="16">
        <f>P2148/10000</f>
        <v/>
      </c>
      <c r="U2148" s="15">
        <f>IF(N2148&gt;=Summary!$D$3,1,0)</f>
        <v/>
      </c>
      <c r="V2148" s="17">
        <f>IF(N2148&gt;0,P2148/N2148,"")</f>
        <v/>
      </c>
      <c r="W2148" s="17">
        <f>IF(O2148&gt;0,H2148/O2148,"")</f>
        <v/>
      </c>
    </row>
    <row r="2149">
      <c r="A2149" s="13" t="inlineStr">
        <is>
          <t>CE30_B3</t>
        </is>
      </c>
      <c r="B2149" s="13" t="inlineStr">
        <is>
          <t>CE30</t>
        </is>
      </c>
      <c r="C2149" s="13" t="inlineStr">
        <is>
          <t>B3</t>
        </is>
      </c>
      <c r="D2149" s="13" t="n">
        <v>0</v>
      </c>
      <c r="E2149" s="13" t="inlineStr">
        <is>
          <t>E</t>
        </is>
      </c>
      <c r="F2149" s="13" t="n">
        <v>2025</v>
      </c>
      <c r="G2149" s="14" t="n">
        <v>8205012.23373072</v>
      </c>
      <c r="H2149" s="14" t="n">
        <v>1428209.413049286</v>
      </c>
      <c r="I2149" s="14" t="n">
        <v>1275456.650386675</v>
      </c>
      <c r="J2149" s="14" t="n">
        <v>0</v>
      </c>
      <c r="K2149" s="14" t="n">
        <v>310342.1466427074</v>
      </c>
      <c r="L2149" s="14" t="n">
        <v>5191004.023652051</v>
      </c>
      <c r="M2149" s="14" t="n">
        <v>0</v>
      </c>
      <c r="N2149" s="14" t="n">
        <v>1656058.301384002</v>
      </c>
      <c r="O2149" s="14" t="n">
        <v>2988989.72383767</v>
      </c>
      <c r="P2149" s="14" t="n">
        <v>461923.2316862219</v>
      </c>
      <c r="Q2149" s="14" t="n">
        <v>19610214.63528194</v>
      </c>
      <c r="R2149" s="15">
        <f>IF(D2149=1,"Section 1","Control")</f>
        <v/>
      </c>
      <c r="S2149" s="16">
        <f>N2149/10000</f>
        <v/>
      </c>
      <c r="T2149" s="16">
        <f>P2149/10000</f>
        <v/>
      </c>
      <c r="U2149" s="15">
        <f>IF(N2149&gt;=Summary!$D$3,1,0)</f>
        <v/>
      </c>
      <c r="V2149" s="17">
        <f>IF(N2149&gt;0,P2149/N2149,"")</f>
        <v/>
      </c>
      <c r="W2149" s="17">
        <f>IF(O2149&gt;0,H2149/O2149,"")</f>
        <v/>
      </c>
    </row>
    <row r="2150">
      <c r="A2150" s="13" t="inlineStr">
        <is>
          <t>CE30_B3</t>
        </is>
      </c>
      <c r="B2150" s="13" t="inlineStr">
        <is>
          <t>CE30</t>
        </is>
      </c>
      <c r="C2150" s="13" t="inlineStr">
        <is>
          <t>B3</t>
        </is>
      </c>
      <c r="D2150" s="13" t="n">
        <v>0</v>
      </c>
      <c r="E2150" s="13" t="inlineStr">
        <is>
          <t>E</t>
        </is>
      </c>
      <c r="F2150" s="13" t="n">
        <v>2026</v>
      </c>
      <c r="G2150" s="14" t="n">
        <v>8205012.233730719</v>
      </c>
      <c r="H2150" s="14" t="n">
        <v>1888479.9878184</v>
      </c>
      <c r="I2150" s="14" t="n">
        <v>862767.4956975898</v>
      </c>
      <c r="J2150" s="14" t="n">
        <v>0</v>
      </c>
      <c r="K2150" s="14" t="n">
        <v>241487.5920780556</v>
      </c>
      <c r="L2150" s="14" t="n">
        <v>5212277.158136674</v>
      </c>
      <c r="M2150" s="14" t="n">
        <v>0</v>
      </c>
      <c r="N2150" s="14" t="n">
        <v>1656058.301384002</v>
      </c>
      <c r="O2150" s="14" t="n">
        <v>2988989.72383767</v>
      </c>
      <c r="P2150" s="14" t="n">
        <v>246136.9689885458</v>
      </c>
      <c r="Q2150" s="14" t="n">
        <v>19610214.63528194</v>
      </c>
      <c r="R2150" s="15">
        <f>IF(D2150=1,"Section 1","Control")</f>
        <v/>
      </c>
      <c r="S2150" s="16">
        <f>N2150/10000</f>
        <v/>
      </c>
      <c r="T2150" s="16">
        <f>P2150/10000</f>
        <v/>
      </c>
      <c r="U2150" s="15">
        <f>IF(N2150&gt;=Summary!$D$3,1,0)</f>
        <v/>
      </c>
      <c r="V2150" s="17">
        <f>IF(N2150&gt;0,P2150/N2150,"")</f>
        <v/>
      </c>
      <c r="W2150" s="17">
        <f>IF(O2150&gt;0,H2150/O2150,"")</f>
        <v/>
      </c>
    </row>
    <row r="2151">
      <c r="A2151" s="13" t="inlineStr">
        <is>
          <t>CE30_F</t>
        </is>
      </c>
      <c r="B2151" s="13" t="inlineStr">
        <is>
          <t>CE30</t>
        </is>
      </c>
      <c r="C2151" s="13" t="inlineStr">
        <is>
          <t>F</t>
        </is>
      </c>
      <c r="D2151" s="13" t="n">
        <v>0</v>
      </c>
      <c r="E2151" s="13" t="inlineStr">
        <is>
          <t>E</t>
        </is>
      </c>
      <c r="F2151" s="13" t="n">
        <v>2020</v>
      </c>
      <c r="G2151" s="14" t="n">
        <v>71424.29861513025</v>
      </c>
      <c r="H2151" s="14" t="n">
        <v>69568.91219099457</v>
      </c>
      <c r="I2151" s="14" t="n">
        <v>531.6038143382353</v>
      </c>
      <c r="J2151" s="14" t="n">
        <v>0</v>
      </c>
      <c r="K2151" s="14" t="n">
        <v>1323.782609797459</v>
      </c>
      <c r="L2151" s="14" t="n">
        <v>0</v>
      </c>
      <c r="M2151" s="14" t="n">
        <v>0</v>
      </c>
      <c r="N2151" s="14" t="n">
        <v>69568.91219099457</v>
      </c>
      <c r="O2151" s="14" t="n">
        <v>71424.29861513025</v>
      </c>
      <c r="P2151" s="14" t="n">
        <v>0</v>
      </c>
      <c r="Q2151" s="14" t="n">
        <v>631967.9032974541</v>
      </c>
      <c r="R2151" s="15">
        <f>IF(D2151=1,"Section 1","Control")</f>
        <v/>
      </c>
      <c r="S2151" s="16">
        <f>N2151/10000</f>
        <v/>
      </c>
      <c r="T2151" s="16">
        <f>P2151/10000</f>
        <v/>
      </c>
      <c r="U2151" s="15">
        <f>IF(N2151&gt;=Summary!$D$3,1,0)</f>
        <v/>
      </c>
      <c r="V2151" s="17">
        <f>IF(N2151&gt;0,P2151/N2151,"")</f>
        <v/>
      </c>
      <c r="W2151" s="17">
        <f>IF(O2151&gt;0,H2151/O2151,"")</f>
        <v/>
      </c>
    </row>
    <row r="2152">
      <c r="A2152" s="13" t="inlineStr">
        <is>
          <t>CE30_F</t>
        </is>
      </c>
      <c r="B2152" s="13" t="inlineStr">
        <is>
          <t>CE30</t>
        </is>
      </c>
      <c r="C2152" s="13" t="inlineStr">
        <is>
          <t>F</t>
        </is>
      </c>
      <c r="D2152" s="13" t="n">
        <v>0</v>
      </c>
      <c r="E2152" s="13" t="inlineStr">
        <is>
          <t>E</t>
        </is>
      </c>
      <c r="F2152" s="13" t="n">
        <v>2021</v>
      </c>
      <c r="G2152" s="14" t="n">
        <v>71424.29861513025</v>
      </c>
      <c r="H2152" s="14" t="n">
        <v>64473.95271830839</v>
      </c>
      <c r="I2152" s="14" t="n">
        <v>1752.783387696509</v>
      </c>
      <c r="J2152" s="14" t="n">
        <v>0</v>
      </c>
      <c r="K2152" s="14" t="n">
        <v>5197.562509125353</v>
      </c>
      <c r="L2152" s="14" t="n">
        <v>0</v>
      </c>
      <c r="M2152" s="14" t="n">
        <v>0</v>
      </c>
      <c r="N2152" s="14" t="n">
        <v>69568.91219099457</v>
      </c>
      <c r="O2152" s="14" t="n">
        <v>71424.29861513025</v>
      </c>
      <c r="P2152" s="14" t="n">
        <v>5403.932566773658</v>
      </c>
      <c r="Q2152" s="14" t="n">
        <v>631967.9032974541</v>
      </c>
      <c r="R2152" s="15">
        <f>IF(D2152=1,"Section 1","Control")</f>
        <v/>
      </c>
      <c r="S2152" s="16">
        <f>N2152/10000</f>
        <v/>
      </c>
      <c r="T2152" s="16">
        <f>P2152/10000</f>
        <v/>
      </c>
      <c r="U2152" s="15">
        <f>IF(N2152&gt;=Summary!$D$3,1,0)</f>
        <v/>
      </c>
      <c r="V2152" s="17">
        <f>IF(N2152&gt;0,P2152/N2152,"")</f>
        <v/>
      </c>
      <c r="W2152" s="17">
        <f>IF(O2152&gt;0,H2152/O2152,"")</f>
        <v/>
      </c>
    </row>
    <row r="2153">
      <c r="A2153" s="13" t="inlineStr">
        <is>
          <t>CE30_F</t>
        </is>
      </c>
      <c r="B2153" s="13" t="inlineStr">
        <is>
          <t>CE30</t>
        </is>
      </c>
      <c r="C2153" s="13" t="inlineStr">
        <is>
          <t>F</t>
        </is>
      </c>
      <c r="D2153" s="13" t="n">
        <v>0</v>
      </c>
      <c r="E2153" s="13" t="inlineStr">
        <is>
          <t>E</t>
        </is>
      </c>
      <c r="F2153" s="13" t="n">
        <v>2022</v>
      </c>
      <c r="G2153" s="14" t="n">
        <v>71424.29861513025</v>
      </c>
      <c r="H2153" s="14" t="n">
        <v>51612.07120071111</v>
      </c>
      <c r="I2153" s="14" t="n">
        <v>12729.46346411612</v>
      </c>
      <c r="J2153" s="14" t="n">
        <v>0</v>
      </c>
      <c r="K2153" s="14" t="n">
        <v>7082.763950303021</v>
      </c>
      <c r="L2153" s="14" t="n">
        <v>0</v>
      </c>
      <c r="M2153" s="14" t="n">
        <v>0</v>
      </c>
      <c r="N2153" s="14" t="n">
        <v>69568.91219099457</v>
      </c>
      <c r="O2153" s="14" t="n">
        <v>71424.29861513025</v>
      </c>
      <c r="P2153" s="14" t="n">
        <v>18000.20562435973</v>
      </c>
      <c r="Q2153" s="14" t="n">
        <v>631967.9032974541</v>
      </c>
      <c r="R2153" s="15">
        <f>IF(D2153=1,"Section 1","Control")</f>
        <v/>
      </c>
      <c r="S2153" s="16">
        <f>N2153/10000</f>
        <v/>
      </c>
      <c r="T2153" s="16">
        <f>P2153/10000</f>
        <v/>
      </c>
      <c r="U2153" s="15">
        <f>IF(N2153&gt;=Summary!$D$3,1,0)</f>
        <v/>
      </c>
      <c r="V2153" s="17">
        <f>IF(N2153&gt;0,P2153/N2153,"")</f>
        <v/>
      </c>
      <c r="W2153" s="17">
        <f>IF(O2153&gt;0,H2153/O2153,"")</f>
        <v/>
      </c>
    </row>
    <row r="2154">
      <c r="A2154" s="13" t="inlineStr">
        <is>
          <t>CE30_F</t>
        </is>
      </c>
      <c r="B2154" s="13" t="inlineStr">
        <is>
          <t>CE30</t>
        </is>
      </c>
      <c r="C2154" s="13" t="inlineStr">
        <is>
          <t>F</t>
        </is>
      </c>
      <c r="D2154" s="13" t="n">
        <v>0</v>
      </c>
      <c r="E2154" s="13" t="inlineStr">
        <is>
          <t>E</t>
        </is>
      </c>
      <c r="F2154" s="13" t="n">
        <v>2023</v>
      </c>
      <c r="G2154" s="14" t="n">
        <v>71424.29861513025</v>
      </c>
      <c r="H2154" s="14" t="n">
        <v>56750.39946621165</v>
      </c>
      <c r="I2154" s="14" t="n">
        <v>8805.345774482279</v>
      </c>
      <c r="J2154" s="14" t="n">
        <v>0</v>
      </c>
      <c r="K2154" s="14" t="n">
        <v>5868.553374436322</v>
      </c>
      <c r="L2154" s="14" t="n">
        <v>0</v>
      </c>
      <c r="M2154" s="14" t="n">
        <v>0</v>
      </c>
      <c r="N2154" s="14" t="n">
        <v>69568.91219099457</v>
      </c>
      <c r="O2154" s="14" t="n">
        <v>71424.29861513025</v>
      </c>
      <c r="P2154" s="14" t="n">
        <v>13152.65279400395</v>
      </c>
      <c r="Q2154" s="14" t="n">
        <v>631967.9032974541</v>
      </c>
      <c r="R2154" s="15">
        <f>IF(D2154=1,"Section 1","Control")</f>
        <v/>
      </c>
      <c r="S2154" s="16">
        <f>N2154/10000</f>
        <v/>
      </c>
      <c r="T2154" s="16">
        <f>P2154/10000</f>
        <v/>
      </c>
      <c r="U2154" s="15">
        <f>IF(N2154&gt;=Summary!$D$3,1,0)</f>
        <v/>
      </c>
      <c r="V2154" s="17">
        <f>IF(N2154&gt;0,P2154/N2154,"")</f>
        <v/>
      </c>
      <c r="W2154" s="17">
        <f>IF(O2154&gt;0,H2154/O2154,"")</f>
        <v/>
      </c>
    </row>
    <row r="2155">
      <c r="A2155" s="13" t="inlineStr">
        <is>
          <t>CE30_F</t>
        </is>
      </c>
      <c r="B2155" s="13" t="inlineStr">
        <is>
          <t>CE30</t>
        </is>
      </c>
      <c r="C2155" s="13" t="inlineStr">
        <is>
          <t>F</t>
        </is>
      </c>
      <c r="D2155" s="13" t="n">
        <v>0</v>
      </c>
      <c r="E2155" s="13" t="inlineStr">
        <is>
          <t>E</t>
        </is>
      </c>
      <c r="F2155" s="13" t="n">
        <v>2024</v>
      </c>
      <c r="G2155" s="14" t="n">
        <v>71424.29861513025</v>
      </c>
      <c r="H2155" s="14" t="n">
        <v>60818.16017105999</v>
      </c>
      <c r="I2155" s="14" t="n">
        <v>4676.795800332462</v>
      </c>
      <c r="J2155" s="14" t="n">
        <v>0</v>
      </c>
      <c r="K2155" s="14" t="n">
        <v>5929.342643737793</v>
      </c>
      <c r="L2155" s="14" t="n">
        <v>0</v>
      </c>
      <c r="M2155" s="14" t="n">
        <v>0</v>
      </c>
      <c r="N2155" s="14" t="n">
        <v>69568.91219099457</v>
      </c>
      <c r="O2155" s="14" t="n">
        <v>71424.29861513025</v>
      </c>
      <c r="P2155" s="14" t="n">
        <v>9084.892089155608</v>
      </c>
      <c r="Q2155" s="14" t="n">
        <v>631967.9032974541</v>
      </c>
      <c r="R2155" s="15">
        <f>IF(D2155=1,"Section 1","Control")</f>
        <v/>
      </c>
      <c r="S2155" s="16">
        <f>N2155/10000</f>
        <v/>
      </c>
      <c r="T2155" s="16">
        <f>P2155/10000</f>
        <v/>
      </c>
      <c r="U2155" s="15">
        <f>IF(N2155&gt;=Summary!$D$3,1,0)</f>
        <v/>
      </c>
      <c r="V2155" s="17">
        <f>IF(N2155&gt;0,P2155/N2155,"")</f>
        <v/>
      </c>
      <c r="W2155" s="17">
        <f>IF(O2155&gt;0,H2155/O2155,"")</f>
        <v/>
      </c>
    </row>
    <row r="2156">
      <c r="A2156" s="13" t="inlineStr">
        <is>
          <t>CE30_F</t>
        </is>
      </c>
      <c r="B2156" s="13" t="inlineStr">
        <is>
          <t>CE30</t>
        </is>
      </c>
      <c r="C2156" s="13" t="inlineStr">
        <is>
          <t>F</t>
        </is>
      </c>
      <c r="D2156" s="13" t="n">
        <v>0</v>
      </c>
      <c r="E2156" s="13" t="inlineStr">
        <is>
          <t>E</t>
        </is>
      </c>
      <c r="F2156" s="13" t="n">
        <v>2025</v>
      </c>
      <c r="G2156" s="14" t="n">
        <v>71424.29861513025</v>
      </c>
      <c r="H2156" s="14" t="n">
        <v>55005.36197716207</v>
      </c>
      <c r="I2156" s="14" t="n">
        <v>12111.89738485299</v>
      </c>
      <c r="J2156" s="14" t="n">
        <v>0</v>
      </c>
      <c r="K2156" s="14" t="n">
        <v>4307.039253115187</v>
      </c>
      <c r="L2156" s="14" t="n">
        <v>0</v>
      </c>
      <c r="M2156" s="14" t="n">
        <v>0</v>
      </c>
      <c r="N2156" s="14" t="n">
        <v>69568.91219099457</v>
      </c>
      <c r="O2156" s="14" t="n">
        <v>71424.29861513025</v>
      </c>
      <c r="P2156" s="14" t="n">
        <v>14563.55021383248</v>
      </c>
      <c r="Q2156" s="14" t="n">
        <v>631967.9032974541</v>
      </c>
      <c r="R2156" s="15">
        <f>IF(D2156=1,"Section 1","Control")</f>
        <v/>
      </c>
      <c r="S2156" s="16">
        <f>N2156/10000</f>
        <v/>
      </c>
      <c r="T2156" s="16">
        <f>P2156/10000</f>
        <v/>
      </c>
      <c r="U2156" s="15">
        <f>IF(N2156&gt;=Summary!$D$3,1,0)</f>
        <v/>
      </c>
      <c r="V2156" s="17">
        <f>IF(N2156&gt;0,P2156/N2156,"")</f>
        <v/>
      </c>
      <c r="W2156" s="17">
        <f>IF(O2156&gt;0,H2156/O2156,"")</f>
        <v/>
      </c>
    </row>
    <row r="2157">
      <c r="A2157" s="13" t="inlineStr">
        <is>
          <t>CE30_F</t>
        </is>
      </c>
      <c r="B2157" s="13" t="inlineStr">
        <is>
          <t>CE30</t>
        </is>
      </c>
      <c r="C2157" s="13" t="inlineStr">
        <is>
          <t>F</t>
        </is>
      </c>
      <c r="D2157" s="13" t="n">
        <v>0</v>
      </c>
      <c r="E2157" s="13" t="inlineStr">
        <is>
          <t>E</t>
        </is>
      </c>
      <c r="F2157" s="13" t="n">
        <v>2026</v>
      </c>
      <c r="G2157" s="14" t="n">
        <v>71424.29861513025</v>
      </c>
      <c r="H2157" s="14" t="n">
        <v>62522.54276619705</v>
      </c>
      <c r="I2157" s="14" t="n">
        <v>3840.09352276372</v>
      </c>
      <c r="J2157" s="14" t="n">
        <v>0</v>
      </c>
      <c r="K2157" s="14" t="n">
        <v>5061.662326169481</v>
      </c>
      <c r="L2157" s="14" t="n">
        <v>0</v>
      </c>
      <c r="M2157" s="14" t="n">
        <v>0</v>
      </c>
      <c r="N2157" s="14" t="n">
        <v>69568.91219099457</v>
      </c>
      <c r="O2157" s="14" t="n">
        <v>71424.29861513025</v>
      </c>
      <c r="P2157" s="14" t="n">
        <v>7577.973223876953</v>
      </c>
      <c r="Q2157" s="14" t="n">
        <v>631967.9032974541</v>
      </c>
      <c r="R2157" s="15">
        <f>IF(D2157=1,"Section 1","Control")</f>
        <v/>
      </c>
      <c r="S2157" s="16">
        <f>N2157/10000</f>
        <v/>
      </c>
      <c r="T2157" s="16">
        <f>P2157/10000</f>
        <v/>
      </c>
      <c r="U2157" s="15">
        <f>IF(N2157&gt;=Summary!$D$3,1,0)</f>
        <v/>
      </c>
      <c r="V2157" s="17">
        <f>IF(N2157&gt;0,P2157/N2157,"")</f>
        <v/>
      </c>
      <c r="W2157" s="17">
        <f>IF(O2157&gt;0,H2157/O2157,"")</f>
        <v/>
      </c>
    </row>
    <row r="2158">
      <c r="A2158" s="13" t="inlineStr">
        <is>
          <t>CE31_B1</t>
        </is>
      </c>
      <c r="B2158" s="13" t="inlineStr">
        <is>
          <t>CE31</t>
        </is>
      </c>
      <c r="C2158" s="13" t="inlineStr">
        <is>
          <t>B1</t>
        </is>
      </c>
      <c r="D2158" s="13" t="n">
        <v>0</v>
      </c>
      <c r="E2158" s="13" t="inlineStr">
        <is>
          <t>E</t>
        </is>
      </c>
      <c r="F2158" s="13" t="n">
        <v>2020</v>
      </c>
      <c r="G2158" s="14" t="n">
        <v>975014.3901182588</v>
      </c>
      <c r="H2158" s="14" t="n">
        <v>515743.6820404649</v>
      </c>
      <c r="I2158" s="14" t="n">
        <v>189150.0130733116</v>
      </c>
      <c r="J2158" s="14" t="n">
        <v>0</v>
      </c>
      <c r="K2158" s="14" t="n">
        <v>6758.730407266055</v>
      </c>
      <c r="L2158" s="14" t="n">
        <v>263361.9645972158</v>
      </c>
      <c r="M2158" s="14" t="n">
        <v>0</v>
      </c>
      <c r="N2158" s="14" t="n">
        <v>515743.6820404649</v>
      </c>
      <c r="O2158" s="14" t="n">
        <v>711652.4255210429</v>
      </c>
      <c r="P2158" s="14" t="n">
        <v>0</v>
      </c>
      <c r="Q2158" s="14" t="n">
        <v>5078100.242508715</v>
      </c>
      <c r="R2158" s="15">
        <f>IF(D2158=1,"Section 1","Control")</f>
        <v/>
      </c>
      <c r="S2158" s="16">
        <f>N2158/10000</f>
        <v/>
      </c>
      <c r="T2158" s="16">
        <f>P2158/10000</f>
        <v/>
      </c>
      <c r="U2158" s="15">
        <f>IF(N2158&gt;=Summary!$D$3,1,0)</f>
        <v/>
      </c>
      <c r="V2158" s="17">
        <f>IF(N2158&gt;0,P2158/N2158,"")</f>
        <v/>
      </c>
      <c r="W2158" s="17">
        <f>IF(O2158&gt;0,H2158/O2158,"")</f>
        <v/>
      </c>
    </row>
    <row r="2159">
      <c r="A2159" s="13" t="inlineStr">
        <is>
          <t>CE31_B1</t>
        </is>
      </c>
      <c r="B2159" s="13" t="inlineStr">
        <is>
          <t>CE31</t>
        </is>
      </c>
      <c r="C2159" s="13" t="inlineStr">
        <is>
          <t>B1</t>
        </is>
      </c>
      <c r="D2159" s="13" t="n">
        <v>0</v>
      </c>
      <c r="E2159" s="13" t="inlineStr">
        <is>
          <t>E</t>
        </is>
      </c>
      <c r="F2159" s="13" t="n">
        <v>2021</v>
      </c>
      <c r="G2159" s="14" t="n">
        <v>975014.3901182588</v>
      </c>
      <c r="H2159" s="14" t="n">
        <v>343366.3842739928</v>
      </c>
      <c r="I2159" s="14" t="n">
        <v>328954.1404438691</v>
      </c>
      <c r="J2159" s="14" t="n">
        <v>0</v>
      </c>
      <c r="K2159" s="14" t="n">
        <v>66338.60908532237</v>
      </c>
      <c r="L2159" s="14" t="n">
        <v>236355.2563150743</v>
      </c>
      <c r="M2159" s="14" t="n">
        <v>0</v>
      </c>
      <c r="N2159" s="14" t="n">
        <v>515743.6820404649</v>
      </c>
      <c r="O2159" s="14" t="n">
        <v>711652.4255210429</v>
      </c>
      <c r="P2159" s="14" t="n">
        <v>179069.7573273303</v>
      </c>
      <c r="Q2159" s="14" t="n">
        <v>5078100.242508715</v>
      </c>
      <c r="R2159" s="15">
        <f>IF(D2159=1,"Section 1","Control")</f>
        <v/>
      </c>
      <c r="S2159" s="16">
        <f>N2159/10000</f>
        <v/>
      </c>
      <c r="T2159" s="16">
        <f>P2159/10000</f>
        <v/>
      </c>
      <c r="U2159" s="15">
        <f>IF(N2159&gt;=Summary!$D$3,1,0)</f>
        <v/>
      </c>
      <c r="V2159" s="17">
        <f>IF(N2159&gt;0,P2159/N2159,"")</f>
        <v/>
      </c>
      <c r="W2159" s="17">
        <f>IF(O2159&gt;0,H2159/O2159,"")</f>
        <v/>
      </c>
    </row>
    <row r="2160">
      <c r="A2160" s="13" t="inlineStr">
        <is>
          <t>CE31_B1</t>
        </is>
      </c>
      <c r="B2160" s="13" t="inlineStr">
        <is>
          <t>CE31</t>
        </is>
      </c>
      <c r="C2160" s="13" t="inlineStr">
        <is>
          <t>B1</t>
        </is>
      </c>
      <c r="D2160" s="13" t="n">
        <v>0</v>
      </c>
      <c r="E2160" s="13" t="inlineStr">
        <is>
          <t>E</t>
        </is>
      </c>
      <c r="F2160" s="13" t="n">
        <v>2022</v>
      </c>
      <c r="G2160" s="14" t="n">
        <v>975014.3901182588</v>
      </c>
      <c r="H2160" s="14" t="n">
        <v>342626.1347323549</v>
      </c>
      <c r="I2160" s="14" t="n">
        <v>353002.8078124401</v>
      </c>
      <c r="J2160" s="14" t="n">
        <v>0</v>
      </c>
      <c r="K2160" s="14" t="n">
        <v>43583.09839492499</v>
      </c>
      <c r="L2160" s="14" t="n">
        <v>235802.3491785386</v>
      </c>
      <c r="M2160" s="14" t="n">
        <v>0</v>
      </c>
      <c r="N2160" s="14" t="n">
        <v>515743.6820404649</v>
      </c>
      <c r="O2160" s="14" t="n">
        <v>711652.4255210429</v>
      </c>
      <c r="P2160" s="14" t="n">
        <v>179354.2980814017</v>
      </c>
      <c r="Q2160" s="14" t="n">
        <v>5078100.242508715</v>
      </c>
      <c r="R2160" s="15">
        <f>IF(D2160=1,"Section 1","Control")</f>
        <v/>
      </c>
      <c r="S2160" s="16">
        <f>N2160/10000</f>
        <v/>
      </c>
      <c r="T2160" s="16">
        <f>P2160/10000</f>
        <v/>
      </c>
      <c r="U2160" s="15">
        <f>IF(N2160&gt;=Summary!$D$3,1,0)</f>
        <v/>
      </c>
      <c r="V2160" s="17">
        <f>IF(N2160&gt;0,P2160/N2160,"")</f>
        <v/>
      </c>
      <c r="W2160" s="17">
        <f>IF(O2160&gt;0,H2160/O2160,"")</f>
        <v/>
      </c>
    </row>
    <row r="2161">
      <c r="A2161" s="13" t="inlineStr">
        <is>
          <t>CE31_B1</t>
        </is>
      </c>
      <c r="B2161" s="13" t="inlineStr">
        <is>
          <t>CE31</t>
        </is>
      </c>
      <c r="C2161" s="13" t="inlineStr">
        <is>
          <t>B1</t>
        </is>
      </c>
      <c r="D2161" s="13" t="n">
        <v>0</v>
      </c>
      <c r="E2161" s="13" t="inlineStr">
        <is>
          <t>E</t>
        </is>
      </c>
      <c r="F2161" s="13" t="n">
        <v>2023</v>
      </c>
      <c r="G2161" s="14" t="n">
        <v>975014.3901182588</v>
      </c>
      <c r="H2161" s="14" t="n">
        <v>376477.5908414354</v>
      </c>
      <c r="I2161" s="14" t="n">
        <v>316224.5430346021</v>
      </c>
      <c r="J2161" s="14" t="n">
        <v>0</v>
      </c>
      <c r="K2161" s="14" t="n">
        <v>37747.85323950076</v>
      </c>
      <c r="L2161" s="14" t="n">
        <v>244564.4030027203</v>
      </c>
      <c r="M2161" s="14" t="n">
        <v>0</v>
      </c>
      <c r="N2161" s="14" t="n">
        <v>515743.6820404649</v>
      </c>
      <c r="O2161" s="14" t="n">
        <v>711652.4255210429</v>
      </c>
      <c r="P2161" s="14" t="n">
        <v>147751.5947864906</v>
      </c>
      <c r="Q2161" s="14" t="n">
        <v>5078100.242508715</v>
      </c>
      <c r="R2161" s="15">
        <f>IF(D2161=1,"Section 1","Control")</f>
        <v/>
      </c>
      <c r="S2161" s="16">
        <f>N2161/10000</f>
        <v/>
      </c>
      <c r="T2161" s="16">
        <f>P2161/10000</f>
        <v/>
      </c>
      <c r="U2161" s="15">
        <f>IF(N2161&gt;=Summary!$D$3,1,0)</f>
        <v/>
      </c>
      <c r="V2161" s="17">
        <f>IF(N2161&gt;0,P2161/N2161,"")</f>
        <v/>
      </c>
      <c r="W2161" s="17">
        <f>IF(O2161&gt;0,H2161/O2161,"")</f>
        <v/>
      </c>
    </row>
    <row r="2162">
      <c r="A2162" s="13" t="inlineStr">
        <is>
          <t>CE31_B1</t>
        </is>
      </c>
      <c r="B2162" s="13" t="inlineStr">
        <is>
          <t>CE31</t>
        </is>
      </c>
      <c r="C2162" s="13" t="inlineStr">
        <is>
          <t>B1</t>
        </is>
      </c>
      <c r="D2162" s="13" t="n">
        <v>0</v>
      </c>
      <c r="E2162" s="13" t="inlineStr">
        <is>
          <t>E</t>
        </is>
      </c>
      <c r="F2162" s="13" t="n">
        <v>2024</v>
      </c>
      <c r="G2162" s="14" t="n">
        <v>975014.3901182588</v>
      </c>
      <c r="H2162" s="14" t="n">
        <v>436906.4569398168</v>
      </c>
      <c r="I2162" s="14" t="n">
        <v>264902.7200297038</v>
      </c>
      <c r="J2162" s="14" t="n">
        <v>0</v>
      </c>
      <c r="K2162" s="14" t="n">
        <v>40272.31339703728</v>
      </c>
      <c r="L2162" s="14" t="n">
        <v>232932.8997517006</v>
      </c>
      <c r="M2162" s="14" t="n">
        <v>0</v>
      </c>
      <c r="N2162" s="14" t="n">
        <v>515743.6820404649</v>
      </c>
      <c r="O2162" s="14" t="n">
        <v>711652.4255210429</v>
      </c>
      <c r="P2162" s="14" t="n">
        <v>103170.9049667957</v>
      </c>
      <c r="Q2162" s="14" t="n">
        <v>5078100.242508715</v>
      </c>
      <c r="R2162" s="15">
        <f>IF(D2162=1,"Section 1","Control")</f>
        <v/>
      </c>
      <c r="S2162" s="16">
        <f>N2162/10000</f>
        <v/>
      </c>
      <c r="T2162" s="16">
        <f>P2162/10000</f>
        <v/>
      </c>
      <c r="U2162" s="15">
        <f>IF(N2162&gt;=Summary!$D$3,1,0)</f>
        <v/>
      </c>
      <c r="V2162" s="17">
        <f>IF(N2162&gt;0,P2162/N2162,"")</f>
        <v/>
      </c>
      <c r="W2162" s="17">
        <f>IF(O2162&gt;0,H2162/O2162,"")</f>
        <v/>
      </c>
    </row>
    <row r="2163">
      <c r="A2163" s="13" t="inlineStr">
        <is>
          <t>CE31_B1</t>
        </is>
      </c>
      <c r="B2163" s="13" t="inlineStr">
        <is>
          <t>CE31</t>
        </is>
      </c>
      <c r="C2163" s="13" t="inlineStr">
        <is>
          <t>B1</t>
        </is>
      </c>
      <c r="D2163" s="13" t="n">
        <v>0</v>
      </c>
      <c r="E2163" s="13" t="inlineStr">
        <is>
          <t>E</t>
        </is>
      </c>
      <c r="F2163" s="13" t="n">
        <v>2025</v>
      </c>
      <c r="G2163" s="14" t="n">
        <v>975014.3901182588</v>
      </c>
      <c r="H2163" s="14" t="n">
        <v>388034.1166618197</v>
      </c>
      <c r="I2163" s="14" t="n">
        <v>303179.6312237608</v>
      </c>
      <c r="J2163" s="14" t="n">
        <v>0</v>
      </c>
      <c r="K2163" s="14" t="n">
        <v>35328.74292429008</v>
      </c>
      <c r="L2163" s="14" t="n">
        <v>248471.8993083879</v>
      </c>
      <c r="M2163" s="14" t="n">
        <v>0</v>
      </c>
      <c r="N2163" s="14" t="n">
        <v>515743.6820404649</v>
      </c>
      <c r="O2163" s="14" t="n">
        <v>711652.4255210429</v>
      </c>
      <c r="P2163" s="14" t="n">
        <v>145154.0819568409</v>
      </c>
      <c r="Q2163" s="14" t="n">
        <v>5078100.242508715</v>
      </c>
      <c r="R2163" s="15">
        <f>IF(D2163=1,"Section 1","Control")</f>
        <v/>
      </c>
      <c r="S2163" s="16">
        <f>N2163/10000</f>
        <v/>
      </c>
      <c r="T2163" s="16">
        <f>P2163/10000</f>
        <v/>
      </c>
      <c r="U2163" s="15">
        <f>IF(N2163&gt;=Summary!$D$3,1,0)</f>
        <v/>
      </c>
      <c r="V2163" s="17">
        <f>IF(N2163&gt;0,P2163/N2163,"")</f>
        <v/>
      </c>
      <c r="W2163" s="17">
        <f>IF(O2163&gt;0,H2163/O2163,"")</f>
        <v/>
      </c>
    </row>
    <row r="2164">
      <c r="A2164" s="13" t="inlineStr">
        <is>
          <t>CE31_B1</t>
        </is>
      </c>
      <c r="B2164" s="13" t="inlineStr">
        <is>
          <t>CE31</t>
        </is>
      </c>
      <c r="C2164" s="13" t="inlineStr">
        <is>
          <t>B1</t>
        </is>
      </c>
      <c r="D2164" s="13" t="n">
        <v>0</v>
      </c>
      <c r="E2164" s="13" t="inlineStr">
        <is>
          <t>E</t>
        </is>
      </c>
      <c r="F2164" s="13" t="n">
        <v>2026</v>
      </c>
      <c r="G2164" s="14" t="n">
        <v>975014.3901182588</v>
      </c>
      <c r="H2164" s="14" t="n">
        <v>440971.9084855322</v>
      </c>
      <c r="I2164" s="14" t="n">
        <v>261485.3795104681</v>
      </c>
      <c r="J2164" s="14" t="n">
        <v>0</v>
      </c>
      <c r="K2164" s="14" t="n">
        <v>38389.45428140678</v>
      </c>
      <c r="L2164" s="14" t="n">
        <v>234167.6478408515</v>
      </c>
      <c r="M2164" s="14" t="n">
        <v>0</v>
      </c>
      <c r="N2164" s="14" t="n">
        <v>515743.6820404649</v>
      </c>
      <c r="O2164" s="14" t="n">
        <v>711652.4255210429</v>
      </c>
      <c r="P2164" s="14" t="n">
        <v>93261.32046951597</v>
      </c>
      <c r="Q2164" s="14" t="n">
        <v>5078100.242508715</v>
      </c>
      <c r="R2164" s="15">
        <f>IF(D2164=1,"Section 1","Control")</f>
        <v/>
      </c>
      <c r="S2164" s="16">
        <f>N2164/10000</f>
        <v/>
      </c>
      <c r="T2164" s="16">
        <f>P2164/10000</f>
        <v/>
      </c>
      <c r="U2164" s="15">
        <f>IF(N2164&gt;=Summary!$D$3,1,0)</f>
        <v/>
      </c>
      <c r="V2164" s="17">
        <f>IF(N2164&gt;0,P2164/N2164,"")</f>
        <v/>
      </c>
      <c r="W2164" s="17">
        <f>IF(O2164&gt;0,H2164/O2164,"")</f>
        <v/>
      </c>
    </row>
    <row r="2165">
      <c r="A2165" s="13" t="inlineStr">
        <is>
          <t>CE31_B2</t>
        </is>
      </c>
      <c r="B2165" s="13" t="inlineStr">
        <is>
          <t>CE31</t>
        </is>
      </c>
      <c r="C2165" s="13" t="inlineStr">
        <is>
          <t>B2</t>
        </is>
      </c>
      <c r="D2165" s="13" t="n">
        <v>0</v>
      </c>
      <c r="E2165" s="13" t="inlineStr">
        <is>
          <t>E</t>
        </is>
      </c>
      <c r="F2165" s="13" t="n">
        <v>2020</v>
      </c>
      <c r="G2165" s="14" t="n">
        <v>975003.5350684372</v>
      </c>
      <c r="H2165" s="14" t="n">
        <v>248825.8300149357</v>
      </c>
      <c r="I2165" s="14" t="n">
        <v>238811.3839881748</v>
      </c>
      <c r="J2165" s="14" t="n">
        <v>0</v>
      </c>
      <c r="K2165" s="14" t="n">
        <v>98.73114013671876</v>
      </c>
      <c r="L2165" s="14" t="n">
        <v>487267.58992519</v>
      </c>
      <c r="M2165" s="14" t="n">
        <v>0</v>
      </c>
      <c r="N2165" s="14" t="n">
        <v>248825.8300149357</v>
      </c>
      <c r="O2165" s="14" t="n">
        <v>487735.9451432472</v>
      </c>
      <c r="P2165" s="14" t="n">
        <v>0</v>
      </c>
      <c r="Q2165" s="14" t="n">
        <v>3558441.420638199</v>
      </c>
      <c r="R2165" s="15">
        <f>IF(D2165=1,"Section 1","Control")</f>
        <v/>
      </c>
      <c r="S2165" s="16">
        <f>N2165/10000</f>
        <v/>
      </c>
      <c r="T2165" s="16">
        <f>P2165/10000</f>
        <v/>
      </c>
      <c r="U2165" s="15">
        <f>IF(N2165&gt;=Summary!$D$3,1,0)</f>
        <v/>
      </c>
      <c r="V2165" s="17">
        <f>IF(N2165&gt;0,P2165/N2165,"")</f>
        <v/>
      </c>
      <c r="W2165" s="17">
        <f>IF(O2165&gt;0,H2165/O2165,"")</f>
        <v/>
      </c>
    </row>
    <row r="2166">
      <c r="A2166" s="13" t="inlineStr">
        <is>
          <t>CE31_B2</t>
        </is>
      </c>
      <c r="B2166" s="13" t="inlineStr">
        <is>
          <t>CE31</t>
        </is>
      </c>
      <c r="C2166" s="13" t="inlineStr">
        <is>
          <t>B2</t>
        </is>
      </c>
      <c r="D2166" s="13" t="n">
        <v>0</v>
      </c>
      <c r="E2166" s="13" t="inlineStr">
        <is>
          <t>E</t>
        </is>
      </c>
      <c r="F2166" s="13" t="n">
        <v>2021</v>
      </c>
      <c r="G2166" s="14" t="n">
        <v>975003.5350684372</v>
      </c>
      <c r="H2166" s="14" t="n">
        <v>98041.00459531895</v>
      </c>
      <c r="I2166" s="14" t="n">
        <v>252364.8942205989</v>
      </c>
      <c r="J2166" s="14" t="n">
        <v>0</v>
      </c>
      <c r="K2166" s="14" t="n">
        <v>137330.0463273292</v>
      </c>
      <c r="L2166" s="14" t="n">
        <v>487267.58992519</v>
      </c>
      <c r="M2166" s="14" t="n">
        <v>0</v>
      </c>
      <c r="N2166" s="14" t="n">
        <v>248825.8300149357</v>
      </c>
      <c r="O2166" s="14" t="n">
        <v>487735.9451432472</v>
      </c>
      <c r="P2166" s="14" t="n">
        <v>154446.3933589561</v>
      </c>
      <c r="Q2166" s="14" t="n">
        <v>3558441.420638199</v>
      </c>
      <c r="R2166" s="15">
        <f>IF(D2166=1,"Section 1","Control")</f>
        <v/>
      </c>
      <c r="S2166" s="16">
        <f>N2166/10000</f>
        <v/>
      </c>
      <c r="T2166" s="16">
        <f>P2166/10000</f>
        <v/>
      </c>
      <c r="U2166" s="15">
        <f>IF(N2166&gt;=Summary!$D$3,1,0)</f>
        <v/>
      </c>
      <c r="V2166" s="17">
        <f>IF(N2166&gt;0,P2166/N2166,"")</f>
        <v/>
      </c>
      <c r="W2166" s="17">
        <f>IF(O2166&gt;0,H2166/O2166,"")</f>
        <v/>
      </c>
    </row>
    <row r="2167">
      <c r="A2167" s="13" t="inlineStr">
        <is>
          <t>CE31_B2</t>
        </is>
      </c>
      <c r="B2167" s="13" t="inlineStr">
        <is>
          <t>CE31</t>
        </is>
      </c>
      <c r="C2167" s="13" t="inlineStr">
        <is>
          <t>B2</t>
        </is>
      </c>
      <c r="D2167" s="13" t="n">
        <v>0</v>
      </c>
      <c r="E2167" s="13" t="inlineStr">
        <is>
          <t>E</t>
        </is>
      </c>
      <c r="F2167" s="13" t="n">
        <v>2022</v>
      </c>
      <c r="G2167" s="14" t="n">
        <v>975003.5350684372</v>
      </c>
      <c r="H2167" s="14" t="n">
        <v>79127.23110755469</v>
      </c>
      <c r="I2167" s="14" t="n">
        <v>394074.7474319756</v>
      </c>
      <c r="J2167" s="14" t="n">
        <v>0</v>
      </c>
      <c r="K2167" s="14" t="n">
        <v>14533.96660371668</v>
      </c>
      <c r="L2167" s="14" t="n">
        <v>487267.58992519</v>
      </c>
      <c r="M2167" s="14" t="n">
        <v>0</v>
      </c>
      <c r="N2167" s="14" t="n">
        <v>248825.8300149357</v>
      </c>
      <c r="O2167" s="14" t="n">
        <v>487735.9451432472</v>
      </c>
      <c r="P2167" s="14" t="n">
        <v>172364.3355559405</v>
      </c>
      <c r="Q2167" s="14" t="n">
        <v>3558441.420638199</v>
      </c>
      <c r="R2167" s="15">
        <f>IF(D2167=1,"Section 1","Control")</f>
        <v/>
      </c>
      <c r="S2167" s="16">
        <f>N2167/10000</f>
        <v/>
      </c>
      <c r="T2167" s="16">
        <f>P2167/10000</f>
        <v/>
      </c>
      <c r="U2167" s="15">
        <f>IF(N2167&gt;=Summary!$D$3,1,0)</f>
        <v/>
      </c>
      <c r="V2167" s="17">
        <f>IF(N2167&gt;0,P2167/N2167,"")</f>
        <v/>
      </c>
      <c r="W2167" s="17">
        <f>IF(O2167&gt;0,H2167/O2167,"")</f>
        <v/>
      </c>
    </row>
    <row r="2168">
      <c r="A2168" s="13" t="inlineStr">
        <is>
          <t>CE31_B2</t>
        </is>
      </c>
      <c r="B2168" s="13" t="inlineStr">
        <is>
          <t>CE31</t>
        </is>
      </c>
      <c r="C2168" s="13" t="inlineStr">
        <is>
          <t>B2</t>
        </is>
      </c>
      <c r="D2168" s="13" t="n">
        <v>0</v>
      </c>
      <c r="E2168" s="13" t="inlineStr">
        <is>
          <t>E</t>
        </is>
      </c>
      <c r="F2168" s="13" t="n">
        <v>2023</v>
      </c>
      <c r="G2168" s="14" t="n">
        <v>975003.5350684372</v>
      </c>
      <c r="H2168" s="14" t="n">
        <v>162543.7179562139</v>
      </c>
      <c r="I2168" s="14" t="n">
        <v>313817.6432279698</v>
      </c>
      <c r="J2168" s="14" t="n">
        <v>0</v>
      </c>
      <c r="K2168" s="14" t="n">
        <v>11374.58395906336</v>
      </c>
      <c r="L2168" s="14" t="n">
        <v>487267.58992519</v>
      </c>
      <c r="M2168" s="14" t="n">
        <v>0</v>
      </c>
      <c r="N2168" s="14" t="n">
        <v>248825.8300149357</v>
      </c>
      <c r="O2168" s="14" t="n">
        <v>487735.9451432472</v>
      </c>
      <c r="P2168" s="14" t="n">
        <v>109701.8728493485</v>
      </c>
      <c r="Q2168" s="14" t="n">
        <v>3558441.420638199</v>
      </c>
      <c r="R2168" s="15">
        <f>IF(D2168=1,"Section 1","Control")</f>
        <v/>
      </c>
      <c r="S2168" s="16">
        <f>N2168/10000</f>
        <v/>
      </c>
      <c r="T2168" s="16">
        <f>P2168/10000</f>
        <v/>
      </c>
      <c r="U2168" s="15">
        <f>IF(N2168&gt;=Summary!$D$3,1,0)</f>
        <v/>
      </c>
      <c r="V2168" s="17">
        <f>IF(N2168&gt;0,P2168/N2168,"")</f>
        <v/>
      </c>
      <c r="W2168" s="17">
        <f>IF(O2168&gt;0,H2168/O2168,"")</f>
        <v/>
      </c>
    </row>
    <row r="2169">
      <c r="A2169" s="13" t="inlineStr">
        <is>
          <t>CE31_B2</t>
        </is>
      </c>
      <c r="B2169" s="13" t="inlineStr">
        <is>
          <t>CE31</t>
        </is>
      </c>
      <c r="C2169" s="13" t="inlineStr">
        <is>
          <t>B2</t>
        </is>
      </c>
      <c r="D2169" s="13" t="n">
        <v>0</v>
      </c>
      <c r="E2169" s="13" t="inlineStr">
        <is>
          <t>E</t>
        </is>
      </c>
      <c r="F2169" s="13" t="n">
        <v>2024</v>
      </c>
      <c r="G2169" s="14" t="n">
        <v>975003.5350684372</v>
      </c>
      <c r="H2169" s="14" t="n">
        <v>279491.2120750577</v>
      </c>
      <c r="I2169" s="14" t="n">
        <v>196870.1499941358</v>
      </c>
      <c r="J2169" s="14" t="n">
        <v>0</v>
      </c>
      <c r="K2169" s="14" t="n">
        <v>11374.5830740536</v>
      </c>
      <c r="L2169" s="14" t="n">
        <v>487267.5899251899</v>
      </c>
      <c r="M2169" s="14" t="n">
        <v>0</v>
      </c>
      <c r="N2169" s="14" t="n">
        <v>248825.8300149357</v>
      </c>
      <c r="O2169" s="14" t="n">
        <v>487735.9451432472</v>
      </c>
      <c r="P2169" s="14" t="n">
        <v>44520.37659983915</v>
      </c>
      <c r="Q2169" s="14" t="n">
        <v>3558441.420638199</v>
      </c>
      <c r="R2169" s="15">
        <f>IF(D2169=1,"Section 1","Control")</f>
        <v/>
      </c>
      <c r="S2169" s="16">
        <f>N2169/10000</f>
        <v/>
      </c>
      <c r="T2169" s="16">
        <f>P2169/10000</f>
        <v/>
      </c>
      <c r="U2169" s="15">
        <f>IF(N2169&gt;=Summary!$D$3,1,0)</f>
        <v/>
      </c>
      <c r="V2169" s="17">
        <f>IF(N2169&gt;0,P2169/N2169,"")</f>
        <v/>
      </c>
      <c r="W2169" s="17">
        <f>IF(O2169&gt;0,H2169/O2169,"")</f>
        <v/>
      </c>
    </row>
    <row r="2170">
      <c r="A2170" s="13" t="inlineStr">
        <is>
          <t>CE31_B2</t>
        </is>
      </c>
      <c r="B2170" s="13" t="inlineStr">
        <is>
          <t>CE31</t>
        </is>
      </c>
      <c r="C2170" s="13" t="inlineStr">
        <is>
          <t>B2</t>
        </is>
      </c>
      <c r="D2170" s="13" t="n">
        <v>0</v>
      </c>
      <c r="E2170" s="13" t="inlineStr">
        <is>
          <t>E</t>
        </is>
      </c>
      <c r="F2170" s="13" t="n">
        <v>2025</v>
      </c>
      <c r="G2170" s="14" t="n">
        <v>975003.5350684372</v>
      </c>
      <c r="H2170" s="14" t="n">
        <v>238488.1352181828</v>
      </c>
      <c r="I2170" s="14" t="n">
        <v>236332.2561320286</v>
      </c>
      <c r="J2170" s="14" t="n">
        <v>0</v>
      </c>
      <c r="K2170" s="14" t="n">
        <v>12915.55379303577</v>
      </c>
      <c r="L2170" s="14" t="n">
        <v>487267.58992519</v>
      </c>
      <c r="M2170" s="14" t="n">
        <v>0</v>
      </c>
      <c r="N2170" s="14" t="n">
        <v>248825.8300149357</v>
      </c>
      <c r="O2170" s="14" t="n">
        <v>487735.9451432472</v>
      </c>
      <c r="P2170" s="14" t="n">
        <v>75827.39934785131</v>
      </c>
      <c r="Q2170" s="14" t="n">
        <v>3558441.420638199</v>
      </c>
      <c r="R2170" s="15">
        <f>IF(D2170=1,"Section 1","Control")</f>
        <v/>
      </c>
      <c r="S2170" s="16">
        <f>N2170/10000</f>
        <v/>
      </c>
      <c r="T2170" s="16">
        <f>P2170/10000</f>
        <v/>
      </c>
      <c r="U2170" s="15">
        <f>IF(N2170&gt;=Summary!$D$3,1,0)</f>
        <v/>
      </c>
      <c r="V2170" s="17">
        <f>IF(N2170&gt;0,P2170/N2170,"")</f>
        <v/>
      </c>
      <c r="W2170" s="17">
        <f>IF(O2170&gt;0,H2170/O2170,"")</f>
        <v/>
      </c>
    </row>
    <row r="2171">
      <c r="A2171" s="13" t="inlineStr">
        <is>
          <t>CE31_B2</t>
        </is>
      </c>
      <c r="B2171" s="13" t="inlineStr">
        <is>
          <t>CE31</t>
        </is>
      </c>
      <c r="C2171" s="13" t="inlineStr">
        <is>
          <t>B2</t>
        </is>
      </c>
      <c r="D2171" s="13" t="n">
        <v>0</v>
      </c>
      <c r="E2171" s="13" t="inlineStr">
        <is>
          <t>E</t>
        </is>
      </c>
      <c r="F2171" s="13" t="n">
        <v>2026</v>
      </c>
      <c r="G2171" s="14" t="n">
        <v>975003.5350684372</v>
      </c>
      <c r="H2171" s="14" t="n">
        <v>277625.433053559</v>
      </c>
      <c r="I2171" s="14" t="n">
        <v>197762.1749042885</v>
      </c>
      <c r="J2171" s="14" t="n">
        <v>0</v>
      </c>
      <c r="K2171" s="14" t="n">
        <v>12348.33718539967</v>
      </c>
      <c r="L2171" s="14" t="n">
        <v>487267.58992519</v>
      </c>
      <c r="M2171" s="14" t="n">
        <v>0</v>
      </c>
      <c r="N2171" s="14" t="n">
        <v>248825.8300149357</v>
      </c>
      <c r="O2171" s="14" t="n">
        <v>487735.9451432472</v>
      </c>
      <c r="P2171" s="14" t="n">
        <v>49562.99868038402</v>
      </c>
      <c r="Q2171" s="14" t="n">
        <v>3558441.420638199</v>
      </c>
      <c r="R2171" s="15">
        <f>IF(D2171=1,"Section 1","Control")</f>
        <v/>
      </c>
      <c r="S2171" s="16">
        <f>N2171/10000</f>
        <v/>
      </c>
      <c r="T2171" s="16">
        <f>P2171/10000</f>
        <v/>
      </c>
      <c r="U2171" s="15">
        <f>IF(N2171&gt;=Summary!$D$3,1,0)</f>
        <v/>
      </c>
      <c r="V2171" s="17">
        <f>IF(N2171&gt;0,P2171/N2171,"")</f>
        <v/>
      </c>
      <c r="W2171" s="17">
        <f>IF(O2171&gt;0,H2171/O2171,"")</f>
        <v/>
      </c>
    </row>
    <row r="2172">
      <c r="A2172" s="13" t="inlineStr">
        <is>
          <t>CE31_B3</t>
        </is>
      </c>
      <c r="B2172" s="13" t="inlineStr">
        <is>
          <t>CE31</t>
        </is>
      </c>
      <c r="C2172" s="13" t="inlineStr">
        <is>
          <t>B3</t>
        </is>
      </c>
      <c r="D2172" s="13" t="n">
        <v>0</v>
      </c>
      <c r="E2172" s="13" t="inlineStr">
        <is>
          <t>E</t>
        </is>
      </c>
      <c r="F2172" s="13" t="n">
        <v>2020</v>
      </c>
      <c r="G2172" s="14" t="n">
        <v>7801063.993548913</v>
      </c>
      <c r="H2172" s="14" t="n">
        <v>2041264.093596365</v>
      </c>
      <c r="I2172" s="14" t="n">
        <v>812593.2593539071</v>
      </c>
      <c r="J2172" s="14" t="n">
        <v>0</v>
      </c>
      <c r="K2172" s="14" t="n">
        <v>180904.0162060008</v>
      </c>
      <c r="L2172" s="14" t="n">
        <v>4766302.624392642</v>
      </c>
      <c r="M2172" s="14" t="n">
        <v>0</v>
      </c>
      <c r="N2172" s="14" t="n">
        <v>2041264.093596365</v>
      </c>
      <c r="O2172" s="14" t="n">
        <v>3034761.369156273</v>
      </c>
      <c r="P2172" s="14" t="n">
        <v>0</v>
      </c>
      <c r="Q2172" s="14" t="n">
        <v>22196184.11165095</v>
      </c>
      <c r="R2172" s="15">
        <f>IF(D2172=1,"Section 1","Control")</f>
        <v/>
      </c>
      <c r="S2172" s="16">
        <f>N2172/10000</f>
        <v/>
      </c>
      <c r="T2172" s="16">
        <f>P2172/10000</f>
        <v/>
      </c>
      <c r="U2172" s="15">
        <f>IF(N2172&gt;=Summary!$D$3,1,0)</f>
        <v/>
      </c>
      <c r="V2172" s="17">
        <f>IF(N2172&gt;0,P2172/N2172,"")</f>
        <v/>
      </c>
      <c r="W2172" s="17">
        <f>IF(O2172&gt;0,H2172/O2172,"")</f>
        <v/>
      </c>
    </row>
    <row r="2173">
      <c r="A2173" s="13" t="inlineStr">
        <is>
          <t>CE31_B3</t>
        </is>
      </c>
      <c r="B2173" s="13" t="inlineStr">
        <is>
          <t>CE31</t>
        </is>
      </c>
      <c r="C2173" s="13" t="inlineStr">
        <is>
          <t>B3</t>
        </is>
      </c>
      <c r="D2173" s="13" t="n">
        <v>0</v>
      </c>
      <c r="E2173" s="13" t="inlineStr">
        <is>
          <t>E</t>
        </is>
      </c>
      <c r="F2173" s="13" t="n">
        <v>2021</v>
      </c>
      <c r="G2173" s="14" t="n">
        <v>7801063.993548913</v>
      </c>
      <c r="H2173" s="14" t="n">
        <v>1364237.360766422</v>
      </c>
      <c r="I2173" s="14" t="n">
        <v>714790.5256542431</v>
      </c>
      <c r="J2173" s="14" t="n">
        <v>0</v>
      </c>
      <c r="K2173" s="14" t="n">
        <v>1059697.468844186</v>
      </c>
      <c r="L2173" s="14" t="n">
        <v>4662338.638284063</v>
      </c>
      <c r="M2173" s="14" t="n">
        <v>0</v>
      </c>
      <c r="N2173" s="14" t="n">
        <v>2041264.093596365</v>
      </c>
      <c r="O2173" s="14" t="n">
        <v>3034761.369156273</v>
      </c>
      <c r="P2173" s="14" t="n">
        <v>702602.6417468202</v>
      </c>
      <c r="Q2173" s="14" t="n">
        <v>22196184.11165095</v>
      </c>
      <c r="R2173" s="15">
        <f>IF(D2173=1,"Section 1","Control")</f>
        <v/>
      </c>
      <c r="S2173" s="16">
        <f>N2173/10000</f>
        <v/>
      </c>
      <c r="T2173" s="16">
        <f>P2173/10000</f>
        <v/>
      </c>
      <c r="U2173" s="15">
        <f>IF(N2173&gt;=Summary!$D$3,1,0)</f>
        <v/>
      </c>
      <c r="V2173" s="17">
        <f>IF(N2173&gt;0,P2173/N2173,"")</f>
        <v/>
      </c>
      <c r="W2173" s="17">
        <f>IF(O2173&gt;0,H2173/O2173,"")</f>
        <v/>
      </c>
    </row>
    <row r="2174">
      <c r="A2174" s="13" t="inlineStr">
        <is>
          <t>CE31_B3</t>
        </is>
      </c>
      <c r="B2174" s="13" t="inlineStr">
        <is>
          <t>CE31</t>
        </is>
      </c>
      <c r="C2174" s="13" t="inlineStr">
        <is>
          <t>B3</t>
        </is>
      </c>
      <c r="D2174" s="13" t="n">
        <v>0</v>
      </c>
      <c r="E2174" s="13" t="inlineStr">
        <is>
          <t>E</t>
        </is>
      </c>
      <c r="F2174" s="13" t="n">
        <v>2022</v>
      </c>
      <c r="G2174" s="14" t="n">
        <v>7801063.993548914</v>
      </c>
      <c r="H2174" s="14" t="n">
        <v>1285968.214360286</v>
      </c>
      <c r="I2174" s="14" t="n">
        <v>1111797.13906268</v>
      </c>
      <c r="J2174" s="14" t="n">
        <v>0</v>
      </c>
      <c r="K2174" s="14" t="n">
        <v>858253.4657638549</v>
      </c>
      <c r="L2174" s="14" t="n">
        <v>4545045.174362092</v>
      </c>
      <c r="M2174" s="14" t="n">
        <v>0</v>
      </c>
      <c r="N2174" s="14" t="n">
        <v>2041264.093596365</v>
      </c>
      <c r="O2174" s="14" t="n">
        <v>3034761.369156273</v>
      </c>
      <c r="P2174" s="14" t="n">
        <v>777116.4638413076</v>
      </c>
      <c r="Q2174" s="14" t="n">
        <v>22196184.11165095</v>
      </c>
      <c r="R2174" s="15">
        <f>IF(D2174=1,"Section 1","Control")</f>
        <v/>
      </c>
      <c r="S2174" s="16">
        <f>N2174/10000</f>
        <v/>
      </c>
      <c r="T2174" s="16">
        <f>P2174/10000</f>
        <v/>
      </c>
      <c r="U2174" s="15">
        <f>IF(N2174&gt;=Summary!$D$3,1,0)</f>
        <v/>
      </c>
      <c r="V2174" s="17">
        <f>IF(N2174&gt;0,P2174/N2174,"")</f>
        <v/>
      </c>
      <c r="W2174" s="17">
        <f>IF(O2174&gt;0,H2174/O2174,"")</f>
        <v/>
      </c>
    </row>
    <row r="2175">
      <c r="A2175" s="13" t="inlineStr">
        <is>
          <t>CE31_B3</t>
        </is>
      </c>
      <c r="B2175" s="13" t="inlineStr">
        <is>
          <t>CE31</t>
        </is>
      </c>
      <c r="C2175" s="13" t="inlineStr">
        <is>
          <t>B3</t>
        </is>
      </c>
      <c r="D2175" s="13" t="n">
        <v>0</v>
      </c>
      <c r="E2175" s="13" t="inlineStr">
        <is>
          <t>E</t>
        </is>
      </c>
      <c r="F2175" s="13" t="n">
        <v>2023</v>
      </c>
      <c r="G2175" s="14" t="n">
        <v>7801063.993548914</v>
      </c>
      <c r="H2175" s="14" t="n">
        <v>1429365.484255861</v>
      </c>
      <c r="I2175" s="14" t="n">
        <v>992294.4095374312</v>
      </c>
      <c r="J2175" s="14" t="n">
        <v>0</v>
      </c>
      <c r="K2175" s="14" t="n">
        <v>641152.488761094</v>
      </c>
      <c r="L2175" s="14" t="n">
        <v>4738251.610994526</v>
      </c>
      <c r="M2175" s="14" t="n">
        <v>0</v>
      </c>
      <c r="N2175" s="14" t="n">
        <v>2041264.093596365</v>
      </c>
      <c r="O2175" s="14" t="n">
        <v>3034761.369156273</v>
      </c>
      <c r="P2175" s="14" t="n">
        <v>663247.8886812397</v>
      </c>
      <c r="Q2175" s="14" t="n">
        <v>22196184.11165095</v>
      </c>
      <c r="R2175" s="15">
        <f>IF(D2175=1,"Section 1","Control")</f>
        <v/>
      </c>
      <c r="S2175" s="16">
        <f>N2175/10000</f>
        <v/>
      </c>
      <c r="T2175" s="16">
        <f>P2175/10000</f>
        <v/>
      </c>
      <c r="U2175" s="15">
        <f>IF(N2175&gt;=Summary!$D$3,1,0)</f>
        <v/>
      </c>
      <c r="V2175" s="17">
        <f>IF(N2175&gt;0,P2175/N2175,"")</f>
        <v/>
      </c>
      <c r="W2175" s="17">
        <f>IF(O2175&gt;0,H2175/O2175,"")</f>
        <v/>
      </c>
    </row>
    <row r="2176">
      <c r="A2176" s="13" t="inlineStr">
        <is>
          <t>CE31_B3</t>
        </is>
      </c>
      <c r="B2176" s="13" t="inlineStr">
        <is>
          <t>CE31</t>
        </is>
      </c>
      <c r="C2176" s="13" t="inlineStr">
        <is>
          <t>B3</t>
        </is>
      </c>
      <c r="D2176" s="13" t="n">
        <v>0</v>
      </c>
      <c r="E2176" s="13" t="inlineStr">
        <is>
          <t>E</t>
        </is>
      </c>
      <c r="F2176" s="13" t="n">
        <v>2024</v>
      </c>
      <c r="G2176" s="14" t="n">
        <v>7801063.993548913</v>
      </c>
      <c r="H2176" s="14" t="n">
        <v>1698106.347042248</v>
      </c>
      <c r="I2176" s="14" t="n">
        <v>736922.9749434228</v>
      </c>
      <c r="J2176" s="14" t="n">
        <v>0</v>
      </c>
      <c r="K2176" s="14" t="n">
        <v>684171.2861572863</v>
      </c>
      <c r="L2176" s="14" t="n">
        <v>4681863.385405956</v>
      </c>
      <c r="M2176" s="14" t="n">
        <v>0</v>
      </c>
      <c r="N2176" s="14" t="n">
        <v>2041264.093596365</v>
      </c>
      <c r="O2176" s="14" t="n">
        <v>3034761.369156273</v>
      </c>
      <c r="P2176" s="14" t="n">
        <v>524633.8376378077</v>
      </c>
      <c r="Q2176" s="14" t="n">
        <v>22196184.11165095</v>
      </c>
      <c r="R2176" s="15">
        <f>IF(D2176=1,"Section 1","Control")</f>
        <v/>
      </c>
      <c r="S2176" s="16">
        <f>N2176/10000</f>
        <v/>
      </c>
      <c r="T2176" s="16">
        <f>P2176/10000</f>
        <v/>
      </c>
      <c r="U2176" s="15">
        <f>IF(N2176&gt;=Summary!$D$3,1,0)</f>
        <v/>
      </c>
      <c r="V2176" s="17">
        <f>IF(N2176&gt;0,P2176/N2176,"")</f>
        <v/>
      </c>
      <c r="W2176" s="17">
        <f>IF(O2176&gt;0,H2176/O2176,"")</f>
        <v/>
      </c>
    </row>
    <row r="2177">
      <c r="A2177" s="13" t="inlineStr">
        <is>
          <t>CE31_B3</t>
        </is>
      </c>
      <c r="B2177" s="13" t="inlineStr">
        <is>
          <t>CE31</t>
        </is>
      </c>
      <c r="C2177" s="13" t="inlineStr">
        <is>
          <t>B3</t>
        </is>
      </c>
      <c r="D2177" s="13" t="n">
        <v>0</v>
      </c>
      <c r="E2177" s="13" t="inlineStr">
        <is>
          <t>E</t>
        </is>
      </c>
      <c r="F2177" s="13" t="n">
        <v>2025</v>
      </c>
      <c r="G2177" s="14" t="n">
        <v>7801063.993548913</v>
      </c>
      <c r="H2177" s="14" t="n">
        <v>1486567.151258761</v>
      </c>
      <c r="I2177" s="14" t="n">
        <v>964596.9918903126</v>
      </c>
      <c r="J2177" s="14" t="n">
        <v>0</v>
      </c>
      <c r="K2177" s="14" t="n">
        <v>628747.9229697733</v>
      </c>
      <c r="L2177" s="14" t="n">
        <v>4721151.927430066</v>
      </c>
      <c r="M2177" s="14" t="n">
        <v>0</v>
      </c>
      <c r="N2177" s="14" t="n">
        <v>2041264.093596365</v>
      </c>
      <c r="O2177" s="14" t="n">
        <v>3034761.369156273</v>
      </c>
      <c r="P2177" s="14" t="n">
        <v>673405.2681524239</v>
      </c>
      <c r="Q2177" s="14" t="n">
        <v>22196184.11165095</v>
      </c>
      <c r="R2177" s="15">
        <f>IF(D2177=1,"Section 1","Control")</f>
        <v/>
      </c>
      <c r="S2177" s="16">
        <f>N2177/10000</f>
        <v/>
      </c>
      <c r="T2177" s="16">
        <f>P2177/10000</f>
        <v/>
      </c>
      <c r="U2177" s="15">
        <f>IF(N2177&gt;=Summary!$D$3,1,0)</f>
        <v/>
      </c>
      <c r="V2177" s="17">
        <f>IF(N2177&gt;0,P2177/N2177,"")</f>
        <v/>
      </c>
      <c r="W2177" s="17">
        <f>IF(O2177&gt;0,H2177/O2177,"")</f>
        <v/>
      </c>
    </row>
    <row r="2178">
      <c r="A2178" s="13" t="inlineStr">
        <is>
          <t>CE31_B3</t>
        </is>
      </c>
      <c r="B2178" s="13" t="inlineStr">
        <is>
          <t>CE31</t>
        </is>
      </c>
      <c r="C2178" s="13" t="inlineStr">
        <is>
          <t>B3</t>
        </is>
      </c>
      <c r="D2178" s="13" t="n">
        <v>0</v>
      </c>
      <c r="E2178" s="13" t="inlineStr">
        <is>
          <t>E</t>
        </is>
      </c>
      <c r="F2178" s="13" t="n">
        <v>2026</v>
      </c>
      <c r="G2178" s="14" t="n">
        <v>7801063.993548913</v>
      </c>
      <c r="H2178" s="14" t="n">
        <v>1862520.441766028</v>
      </c>
      <c r="I2178" s="14" t="n">
        <v>559762.5142444386</v>
      </c>
      <c r="J2178" s="14" t="n">
        <v>0</v>
      </c>
      <c r="K2178" s="14" t="n">
        <v>633918.7638250313</v>
      </c>
      <c r="L2178" s="14" t="n">
        <v>4744862.273713416</v>
      </c>
      <c r="M2178" s="14" t="n">
        <v>0</v>
      </c>
      <c r="N2178" s="14" t="n">
        <v>2041264.093596365</v>
      </c>
      <c r="O2178" s="14" t="n">
        <v>3034761.369156273</v>
      </c>
      <c r="P2178" s="14" t="n">
        <v>477389.5039797615</v>
      </c>
      <c r="Q2178" s="14" t="n">
        <v>22196184.11165095</v>
      </c>
      <c r="R2178" s="15">
        <f>IF(D2178=1,"Section 1","Control")</f>
        <v/>
      </c>
      <c r="S2178" s="16">
        <f>N2178/10000</f>
        <v/>
      </c>
      <c r="T2178" s="16">
        <f>P2178/10000</f>
        <v/>
      </c>
      <c r="U2178" s="15">
        <f>IF(N2178&gt;=Summary!$D$3,1,0)</f>
        <v/>
      </c>
      <c r="V2178" s="17">
        <f>IF(N2178&gt;0,P2178/N2178,"")</f>
        <v/>
      </c>
      <c r="W2178" s="17">
        <f>IF(O2178&gt;0,H2178/O2178,"")</f>
        <v/>
      </c>
    </row>
    <row r="2179">
      <c r="A2179" s="13" t="inlineStr">
        <is>
          <t>CE31_F</t>
        </is>
      </c>
      <c r="B2179" s="13" t="inlineStr">
        <is>
          <t>CE31</t>
        </is>
      </c>
      <c r="C2179" s="13" t="inlineStr">
        <is>
          <t>F</t>
        </is>
      </c>
      <c r="D2179" s="13" t="n">
        <v>0</v>
      </c>
      <c r="E2179" s="13" t="inlineStr">
        <is>
          <t>E</t>
        </is>
      </c>
      <c r="F2179" s="13" t="n">
        <v>2020</v>
      </c>
      <c r="G2179" s="14" t="n">
        <v>67905.39380104213</v>
      </c>
      <c r="H2179" s="14" t="n">
        <v>67905.39380104213</v>
      </c>
      <c r="I2179" s="14" t="n">
        <v>0</v>
      </c>
      <c r="J2179" s="14" t="n">
        <v>0</v>
      </c>
      <c r="K2179" s="14" t="n">
        <v>0</v>
      </c>
      <c r="L2179" s="14" t="n">
        <v>0</v>
      </c>
      <c r="M2179" s="14" t="n">
        <v>0</v>
      </c>
      <c r="N2179" s="14" t="n">
        <v>67905.39380104213</v>
      </c>
      <c r="O2179" s="14" t="n">
        <v>67905.39380104213</v>
      </c>
      <c r="P2179" s="14" t="n">
        <v>0</v>
      </c>
      <c r="Q2179" s="14" t="n">
        <v>681833.1099463368</v>
      </c>
      <c r="R2179" s="15">
        <f>IF(D2179=1,"Section 1","Control")</f>
        <v/>
      </c>
      <c r="S2179" s="16">
        <f>N2179/10000</f>
        <v/>
      </c>
      <c r="T2179" s="16">
        <f>P2179/10000</f>
        <v/>
      </c>
      <c r="U2179" s="15">
        <f>IF(N2179&gt;=Summary!$D$3,1,0)</f>
        <v/>
      </c>
      <c r="V2179" s="17">
        <f>IF(N2179&gt;0,P2179/N2179,"")</f>
        <v/>
      </c>
      <c r="W2179" s="17">
        <f>IF(O2179&gt;0,H2179/O2179,"")</f>
        <v/>
      </c>
    </row>
    <row r="2180">
      <c r="A2180" s="13" t="inlineStr">
        <is>
          <t>CE31_F</t>
        </is>
      </c>
      <c r="B2180" s="13" t="inlineStr">
        <is>
          <t>CE31</t>
        </is>
      </c>
      <c r="C2180" s="13" t="inlineStr">
        <is>
          <t>F</t>
        </is>
      </c>
      <c r="D2180" s="13" t="n">
        <v>0</v>
      </c>
      <c r="E2180" s="13" t="inlineStr">
        <is>
          <t>E</t>
        </is>
      </c>
      <c r="F2180" s="13" t="n">
        <v>2021</v>
      </c>
      <c r="G2180" s="14" t="n">
        <v>67905.39380104213</v>
      </c>
      <c r="H2180" s="14" t="n">
        <v>67904.61943084117</v>
      </c>
      <c r="I2180" s="14" t="n">
        <v>0</v>
      </c>
      <c r="J2180" s="14" t="n">
        <v>0</v>
      </c>
      <c r="K2180" s="14" t="n">
        <v>0.7743702009612439</v>
      </c>
      <c r="L2180" s="14" t="n">
        <v>0</v>
      </c>
      <c r="M2180" s="14" t="n">
        <v>0</v>
      </c>
      <c r="N2180" s="14" t="n">
        <v>67905.39380104213</v>
      </c>
      <c r="O2180" s="14" t="n">
        <v>67905.39380104213</v>
      </c>
      <c r="P2180" s="14" t="n">
        <v>0.7743702009612439</v>
      </c>
      <c r="Q2180" s="14" t="n">
        <v>681833.1099463368</v>
      </c>
      <c r="R2180" s="15">
        <f>IF(D2180=1,"Section 1","Control")</f>
        <v/>
      </c>
      <c r="S2180" s="16">
        <f>N2180/10000</f>
        <v/>
      </c>
      <c r="T2180" s="16">
        <f>P2180/10000</f>
        <v/>
      </c>
      <c r="U2180" s="15">
        <f>IF(N2180&gt;=Summary!$D$3,1,0)</f>
        <v/>
      </c>
      <c r="V2180" s="17">
        <f>IF(N2180&gt;0,P2180/N2180,"")</f>
        <v/>
      </c>
      <c r="W2180" s="17">
        <f>IF(O2180&gt;0,H2180/O2180,"")</f>
        <v/>
      </c>
    </row>
    <row r="2181">
      <c r="A2181" s="13" t="inlineStr">
        <is>
          <t>CE31_F</t>
        </is>
      </c>
      <c r="B2181" s="13" t="inlineStr">
        <is>
          <t>CE31</t>
        </is>
      </c>
      <c r="C2181" s="13" t="inlineStr">
        <is>
          <t>F</t>
        </is>
      </c>
      <c r="D2181" s="13" t="n">
        <v>0</v>
      </c>
      <c r="E2181" s="13" t="inlineStr">
        <is>
          <t>E</t>
        </is>
      </c>
      <c r="F2181" s="13" t="n">
        <v>2022</v>
      </c>
      <c r="G2181" s="14" t="n">
        <v>67905.39380104213</v>
      </c>
      <c r="H2181" s="14" t="n">
        <v>67833.76459577971</v>
      </c>
      <c r="I2181" s="14" t="n">
        <v>70.85483506146599</v>
      </c>
      <c r="J2181" s="14" t="n">
        <v>0</v>
      </c>
      <c r="K2181" s="14" t="n">
        <v>0.7743702009612439</v>
      </c>
      <c r="L2181" s="14" t="n">
        <v>0</v>
      </c>
      <c r="M2181" s="14" t="n">
        <v>0</v>
      </c>
      <c r="N2181" s="14" t="n">
        <v>67905.39380104213</v>
      </c>
      <c r="O2181" s="14" t="n">
        <v>67905.39380104213</v>
      </c>
      <c r="P2181" s="14" t="n">
        <v>71.62920526242723</v>
      </c>
      <c r="Q2181" s="14" t="n">
        <v>681833.1099463368</v>
      </c>
      <c r="R2181" s="15">
        <f>IF(D2181=1,"Section 1","Control")</f>
        <v/>
      </c>
      <c r="S2181" s="16">
        <f>N2181/10000</f>
        <v/>
      </c>
      <c r="T2181" s="16">
        <f>P2181/10000</f>
        <v/>
      </c>
      <c r="U2181" s="15">
        <f>IF(N2181&gt;=Summary!$D$3,1,0)</f>
        <v/>
      </c>
      <c r="V2181" s="17">
        <f>IF(N2181&gt;0,P2181/N2181,"")</f>
        <v/>
      </c>
      <c r="W2181" s="17">
        <f>IF(O2181&gt;0,H2181/O2181,"")</f>
        <v/>
      </c>
    </row>
    <row r="2182">
      <c r="A2182" s="13" t="inlineStr">
        <is>
          <t>CE31_F</t>
        </is>
      </c>
      <c r="B2182" s="13" t="inlineStr">
        <is>
          <t>CE31</t>
        </is>
      </c>
      <c r="C2182" s="13" t="inlineStr">
        <is>
          <t>F</t>
        </is>
      </c>
      <c r="D2182" s="13" t="n">
        <v>0</v>
      </c>
      <c r="E2182" s="13" t="inlineStr">
        <is>
          <t>E</t>
        </is>
      </c>
      <c r="F2182" s="13" t="n">
        <v>2023</v>
      </c>
      <c r="G2182" s="14" t="n">
        <v>67905.39380104213</v>
      </c>
      <c r="H2182" s="14" t="n">
        <v>67722.64233518112</v>
      </c>
      <c r="I2182" s="14" t="n">
        <v>181.9770956600414</v>
      </c>
      <c r="J2182" s="14" t="n">
        <v>0</v>
      </c>
      <c r="K2182" s="14" t="n">
        <v>0.7743702009612439</v>
      </c>
      <c r="L2182" s="14" t="n">
        <v>0</v>
      </c>
      <c r="M2182" s="14" t="n">
        <v>0</v>
      </c>
      <c r="N2182" s="14" t="n">
        <v>67905.39380104213</v>
      </c>
      <c r="O2182" s="14" t="n">
        <v>67905.39380104213</v>
      </c>
      <c r="P2182" s="14" t="n">
        <v>182.7514658610026</v>
      </c>
      <c r="Q2182" s="14" t="n">
        <v>681833.1099463368</v>
      </c>
      <c r="R2182" s="15">
        <f>IF(D2182=1,"Section 1","Control")</f>
        <v/>
      </c>
      <c r="S2182" s="16">
        <f>N2182/10000</f>
        <v/>
      </c>
      <c r="T2182" s="16">
        <f>P2182/10000</f>
        <v/>
      </c>
      <c r="U2182" s="15">
        <f>IF(N2182&gt;=Summary!$D$3,1,0)</f>
        <v/>
      </c>
      <c r="V2182" s="17">
        <f>IF(N2182&gt;0,P2182/N2182,"")</f>
        <v/>
      </c>
      <c r="W2182" s="17">
        <f>IF(O2182&gt;0,H2182/O2182,"")</f>
        <v/>
      </c>
    </row>
    <row r="2183">
      <c r="A2183" s="13" t="inlineStr">
        <is>
          <t>CE31_F</t>
        </is>
      </c>
      <c r="B2183" s="13" t="inlineStr">
        <is>
          <t>CE31</t>
        </is>
      </c>
      <c r="C2183" s="13" t="inlineStr">
        <is>
          <t>F</t>
        </is>
      </c>
      <c r="D2183" s="13" t="n">
        <v>0</v>
      </c>
      <c r="E2183" s="13" t="inlineStr">
        <is>
          <t>E</t>
        </is>
      </c>
      <c r="F2183" s="13" t="n">
        <v>2024</v>
      </c>
      <c r="G2183" s="14" t="n">
        <v>67905.39380104213</v>
      </c>
      <c r="H2183" s="14" t="n">
        <v>67904.61943084117</v>
      </c>
      <c r="I2183" s="14" t="n">
        <v>0</v>
      </c>
      <c r="J2183" s="14" t="n">
        <v>0</v>
      </c>
      <c r="K2183" s="14" t="n">
        <v>0.7743702009612439</v>
      </c>
      <c r="L2183" s="14" t="n">
        <v>0</v>
      </c>
      <c r="M2183" s="14" t="n">
        <v>0</v>
      </c>
      <c r="N2183" s="14" t="n">
        <v>67905.39380104213</v>
      </c>
      <c r="O2183" s="14" t="n">
        <v>67905.39380104213</v>
      </c>
      <c r="P2183" s="14" t="n">
        <v>0.7743702009612439</v>
      </c>
      <c r="Q2183" s="14" t="n">
        <v>681833.1099463368</v>
      </c>
      <c r="R2183" s="15">
        <f>IF(D2183=1,"Section 1","Control")</f>
        <v/>
      </c>
      <c r="S2183" s="16">
        <f>N2183/10000</f>
        <v/>
      </c>
      <c r="T2183" s="16">
        <f>P2183/10000</f>
        <v/>
      </c>
      <c r="U2183" s="15">
        <f>IF(N2183&gt;=Summary!$D$3,1,0)</f>
        <v/>
      </c>
      <c r="V2183" s="17">
        <f>IF(N2183&gt;0,P2183/N2183,"")</f>
        <v/>
      </c>
      <c r="W2183" s="17">
        <f>IF(O2183&gt;0,H2183/O2183,"")</f>
        <v/>
      </c>
    </row>
    <row r="2184">
      <c r="A2184" s="13" t="inlineStr">
        <is>
          <t>CE31_F</t>
        </is>
      </c>
      <c r="B2184" s="13" t="inlineStr">
        <is>
          <t>CE31</t>
        </is>
      </c>
      <c r="C2184" s="13" t="inlineStr">
        <is>
          <t>F</t>
        </is>
      </c>
      <c r="D2184" s="13" t="n">
        <v>0</v>
      </c>
      <c r="E2184" s="13" t="inlineStr">
        <is>
          <t>E</t>
        </is>
      </c>
      <c r="F2184" s="13" t="n">
        <v>2025</v>
      </c>
      <c r="G2184" s="14" t="n">
        <v>67905.39380104213</v>
      </c>
      <c r="H2184" s="14" t="n">
        <v>66044.19367400522</v>
      </c>
      <c r="I2184" s="14" t="n">
        <v>1860.425756835938</v>
      </c>
      <c r="J2184" s="14" t="n">
        <v>0</v>
      </c>
      <c r="K2184" s="14" t="n">
        <v>0.7743702009612439</v>
      </c>
      <c r="L2184" s="14" t="n">
        <v>0</v>
      </c>
      <c r="M2184" s="14" t="n">
        <v>0</v>
      </c>
      <c r="N2184" s="14" t="n">
        <v>67905.39380104213</v>
      </c>
      <c r="O2184" s="14" t="n">
        <v>67905.39380104213</v>
      </c>
      <c r="P2184" s="14" t="n">
        <v>1861.200127036899</v>
      </c>
      <c r="Q2184" s="14" t="n">
        <v>681833.1099463368</v>
      </c>
      <c r="R2184" s="15">
        <f>IF(D2184=1,"Section 1","Control")</f>
        <v/>
      </c>
      <c r="S2184" s="16">
        <f>N2184/10000</f>
        <v/>
      </c>
      <c r="T2184" s="16">
        <f>P2184/10000</f>
        <v/>
      </c>
      <c r="U2184" s="15">
        <f>IF(N2184&gt;=Summary!$D$3,1,0)</f>
        <v/>
      </c>
      <c r="V2184" s="17">
        <f>IF(N2184&gt;0,P2184/N2184,"")</f>
        <v/>
      </c>
      <c r="W2184" s="17">
        <f>IF(O2184&gt;0,H2184/O2184,"")</f>
        <v/>
      </c>
    </row>
    <row r="2185">
      <c r="A2185" s="13" t="inlineStr">
        <is>
          <t>CE31_F</t>
        </is>
      </c>
      <c r="B2185" s="13" t="inlineStr">
        <is>
          <t>CE31</t>
        </is>
      </c>
      <c r="C2185" s="13" t="inlineStr">
        <is>
          <t>F</t>
        </is>
      </c>
      <c r="D2185" s="13" t="n">
        <v>0</v>
      </c>
      <c r="E2185" s="13" t="inlineStr">
        <is>
          <t>E</t>
        </is>
      </c>
      <c r="F2185" s="13" t="n">
        <v>2026</v>
      </c>
      <c r="G2185" s="14" t="n">
        <v>67905.39380104213</v>
      </c>
      <c r="H2185" s="14" t="n">
        <v>67904.61943084117</v>
      </c>
      <c r="I2185" s="14" t="n">
        <v>0</v>
      </c>
      <c r="J2185" s="14" t="n">
        <v>0</v>
      </c>
      <c r="K2185" s="14" t="n">
        <v>0.7743702009612439</v>
      </c>
      <c r="L2185" s="14" t="n">
        <v>0</v>
      </c>
      <c r="M2185" s="14" t="n">
        <v>0</v>
      </c>
      <c r="N2185" s="14" t="n">
        <v>67905.39380104213</v>
      </c>
      <c r="O2185" s="14" t="n">
        <v>67905.39380104213</v>
      </c>
      <c r="P2185" s="14" t="n">
        <v>0.7743702009612439</v>
      </c>
      <c r="Q2185" s="14" t="n">
        <v>681833.1099463368</v>
      </c>
      <c r="R2185" s="15">
        <f>IF(D2185=1,"Section 1","Control")</f>
        <v/>
      </c>
      <c r="S2185" s="16">
        <f>N2185/10000</f>
        <v/>
      </c>
      <c r="T2185" s="16">
        <f>P2185/10000</f>
        <v/>
      </c>
      <c r="U2185" s="15">
        <f>IF(N2185&gt;=Summary!$D$3,1,0)</f>
        <v/>
      </c>
      <c r="V2185" s="17">
        <f>IF(N2185&gt;0,P2185/N2185,"")</f>
        <v/>
      </c>
      <c r="W2185" s="17">
        <f>IF(O2185&gt;0,H2185/O2185,"")</f>
        <v/>
      </c>
    </row>
    <row r="2186">
      <c r="A2186" s="13" t="inlineStr">
        <is>
          <t>CE32_B1</t>
        </is>
      </c>
      <c r="B2186" s="13" t="inlineStr">
        <is>
          <t>CE32</t>
        </is>
      </c>
      <c r="C2186" s="13" t="inlineStr">
        <is>
          <t>B1</t>
        </is>
      </c>
      <c r="D2186" s="13" t="n">
        <v>0</v>
      </c>
      <c r="E2186" s="13" t="inlineStr">
        <is>
          <t>E</t>
        </is>
      </c>
      <c r="F2186" s="13" t="n">
        <v>2020</v>
      </c>
      <c r="G2186" s="14" t="n">
        <v>1000164.441829846</v>
      </c>
      <c r="H2186" s="14" t="n">
        <v>555380.8366510727</v>
      </c>
      <c r="I2186" s="14" t="n">
        <v>188044.8546796612</v>
      </c>
      <c r="J2186" s="14" t="n">
        <v>0</v>
      </c>
      <c r="K2186" s="14" t="n">
        <v>12569.28043275721</v>
      </c>
      <c r="L2186" s="14" t="n">
        <v>244169.4700663548</v>
      </c>
      <c r="M2186" s="14" t="n">
        <v>0</v>
      </c>
      <c r="N2186" s="14" t="n">
        <v>555380.8366510727</v>
      </c>
      <c r="O2186" s="14" t="n">
        <v>755994.971763491</v>
      </c>
      <c r="P2186" s="14" t="n">
        <v>0</v>
      </c>
      <c r="Q2186" s="14" t="n">
        <v>5247042.638197536</v>
      </c>
      <c r="R2186" s="15">
        <f>IF(D2186=1,"Section 1","Control")</f>
        <v/>
      </c>
      <c r="S2186" s="16">
        <f>N2186/10000</f>
        <v/>
      </c>
      <c r="T2186" s="16">
        <f>P2186/10000</f>
        <v/>
      </c>
      <c r="U2186" s="15">
        <f>IF(N2186&gt;=Summary!$D$3,1,0)</f>
        <v/>
      </c>
      <c r="V2186" s="17">
        <f>IF(N2186&gt;0,P2186/N2186,"")</f>
        <v/>
      </c>
      <c r="W2186" s="17">
        <f>IF(O2186&gt;0,H2186/O2186,"")</f>
        <v/>
      </c>
    </row>
    <row r="2187">
      <c r="A2187" s="13" t="inlineStr">
        <is>
          <t>CE32_B1</t>
        </is>
      </c>
      <c r="B2187" s="13" t="inlineStr">
        <is>
          <t>CE32</t>
        </is>
      </c>
      <c r="C2187" s="13" t="inlineStr">
        <is>
          <t>B1</t>
        </is>
      </c>
      <c r="D2187" s="13" t="n">
        <v>0</v>
      </c>
      <c r="E2187" s="13" t="inlineStr">
        <is>
          <t>E</t>
        </is>
      </c>
      <c r="F2187" s="13" t="n">
        <v>2021</v>
      </c>
      <c r="G2187" s="14" t="n">
        <v>1000164.441829846</v>
      </c>
      <c r="H2187" s="14" t="n">
        <v>467157.8019166833</v>
      </c>
      <c r="I2187" s="14" t="n">
        <v>276231.3189400766</v>
      </c>
      <c r="J2187" s="14" t="n">
        <v>0</v>
      </c>
      <c r="K2187" s="14" t="n">
        <v>31192.08159212599</v>
      </c>
      <c r="L2187" s="14" t="n">
        <v>225583.2393809599</v>
      </c>
      <c r="M2187" s="14" t="n">
        <v>0</v>
      </c>
      <c r="N2187" s="14" t="n">
        <v>555380.8366510726</v>
      </c>
      <c r="O2187" s="14" t="n">
        <v>755994.971763491</v>
      </c>
      <c r="P2187" s="14" t="n">
        <v>90543.04874512916</v>
      </c>
      <c r="Q2187" s="14" t="n">
        <v>5247042.638197536</v>
      </c>
      <c r="R2187" s="15">
        <f>IF(D2187=1,"Section 1","Control")</f>
        <v/>
      </c>
      <c r="S2187" s="16">
        <f>N2187/10000</f>
        <v/>
      </c>
      <c r="T2187" s="16">
        <f>P2187/10000</f>
        <v/>
      </c>
      <c r="U2187" s="15">
        <f>IF(N2187&gt;=Summary!$D$3,1,0)</f>
        <v/>
      </c>
      <c r="V2187" s="17">
        <f>IF(N2187&gt;0,P2187/N2187,"")</f>
        <v/>
      </c>
      <c r="W2187" s="17">
        <f>IF(O2187&gt;0,H2187/O2187,"")</f>
        <v/>
      </c>
    </row>
    <row r="2188">
      <c r="A2188" s="13" t="inlineStr">
        <is>
          <t>CE32_B1</t>
        </is>
      </c>
      <c r="B2188" s="13" t="inlineStr">
        <is>
          <t>CE32</t>
        </is>
      </c>
      <c r="C2188" s="13" t="inlineStr">
        <is>
          <t>B1</t>
        </is>
      </c>
      <c r="D2188" s="13" t="n">
        <v>0</v>
      </c>
      <c r="E2188" s="13" t="inlineStr">
        <is>
          <t>E</t>
        </is>
      </c>
      <c r="F2188" s="13" t="n">
        <v>2022</v>
      </c>
      <c r="G2188" s="14" t="n">
        <v>1000164.441829846</v>
      </c>
      <c r="H2188" s="14" t="n">
        <v>445485.1795439775</v>
      </c>
      <c r="I2188" s="14" t="n">
        <v>311010.5315308814</v>
      </c>
      <c r="J2188" s="14" t="n">
        <v>0</v>
      </c>
      <c r="K2188" s="14" t="n">
        <v>20183.6641159656</v>
      </c>
      <c r="L2188" s="14" t="n">
        <v>223485.0666390213</v>
      </c>
      <c r="M2188" s="14" t="n">
        <v>0</v>
      </c>
      <c r="N2188" s="14" t="n">
        <v>555380.8366510726</v>
      </c>
      <c r="O2188" s="14" t="n">
        <v>755994.971763491</v>
      </c>
      <c r="P2188" s="14" t="n">
        <v>112857.6264521879</v>
      </c>
      <c r="Q2188" s="14" t="n">
        <v>5247042.638197535</v>
      </c>
      <c r="R2188" s="15">
        <f>IF(D2188=1,"Section 1","Control")</f>
        <v/>
      </c>
      <c r="S2188" s="16">
        <f>N2188/10000</f>
        <v/>
      </c>
      <c r="T2188" s="16">
        <f>P2188/10000</f>
        <v/>
      </c>
      <c r="U2188" s="15">
        <f>IF(N2188&gt;=Summary!$D$3,1,0)</f>
        <v/>
      </c>
      <c r="V2188" s="17">
        <f>IF(N2188&gt;0,P2188/N2188,"")</f>
        <v/>
      </c>
      <c r="W2188" s="17">
        <f>IF(O2188&gt;0,H2188/O2188,"")</f>
        <v/>
      </c>
    </row>
    <row r="2189">
      <c r="A2189" s="13" t="inlineStr">
        <is>
          <t>CE32_B1</t>
        </is>
      </c>
      <c r="B2189" s="13" t="inlineStr">
        <is>
          <t>CE32</t>
        </is>
      </c>
      <c r="C2189" s="13" t="inlineStr">
        <is>
          <t>B1</t>
        </is>
      </c>
      <c r="D2189" s="13" t="n">
        <v>0</v>
      </c>
      <c r="E2189" s="13" t="inlineStr">
        <is>
          <t>E</t>
        </is>
      </c>
      <c r="F2189" s="13" t="n">
        <v>2023</v>
      </c>
      <c r="G2189" s="14" t="n">
        <v>1000164.441829846</v>
      </c>
      <c r="H2189" s="14" t="n">
        <v>458336.1835921941</v>
      </c>
      <c r="I2189" s="14" t="n">
        <v>291778.661088562</v>
      </c>
      <c r="J2189" s="14" t="n">
        <v>0</v>
      </c>
      <c r="K2189" s="14" t="n">
        <v>22392.18612637987</v>
      </c>
      <c r="L2189" s="14" t="n">
        <v>227657.4110227098</v>
      </c>
      <c r="M2189" s="14" t="n">
        <v>0</v>
      </c>
      <c r="N2189" s="14" t="n">
        <v>555380.8366510727</v>
      </c>
      <c r="O2189" s="14" t="n">
        <v>755994.971763491</v>
      </c>
      <c r="P2189" s="14" t="n">
        <v>100500.2833384196</v>
      </c>
      <c r="Q2189" s="14" t="n">
        <v>5247042.638197536</v>
      </c>
      <c r="R2189" s="15">
        <f>IF(D2189=1,"Section 1","Control")</f>
        <v/>
      </c>
      <c r="S2189" s="16">
        <f>N2189/10000</f>
        <v/>
      </c>
      <c r="T2189" s="16">
        <f>P2189/10000</f>
        <v/>
      </c>
      <c r="U2189" s="15">
        <f>IF(N2189&gt;=Summary!$D$3,1,0)</f>
        <v/>
      </c>
      <c r="V2189" s="17">
        <f>IF(N2189&gt;0,P2189/N2189,"")</f>
        <v/>
      </c>
      <c r="W2189" s="17">
        <f>IF(O2189&gt;0,H2189/O2189,"")</f>
        <v/>
      </c>
    </row>
    <row r="2190">
      <c r="A2190" s="13" t="inlineStr">
        <is>
          <t>CE32_B1</t>
        </is>
      </c>
      <c r="B2190" s="13" t="inlineStr">
        <is>
          <t>CE32</t>
        </is>
      </c>
      <c r="C2190" s="13" t="inlineStr">
        <is>
          <t>B1</t>
        </is>
      </c>
      <c r="D2190" s="13" t="n">
        <v>0</v>
      </c>
      <c r="E2190" s="13" t="inlineStr">
        <is>
          <t>E</t>
        </is>
      </c>
      <c r="F2190" s="13" t="n">
        <v>2024</v>
      </c>
      <c r="G2190" s="14" t="n">
        <v>1000164.441829846</v>
      </c>
      <c r="H2190" s="14" t="n">
        <v>547010.6978911455</v>
      </c>
      <c r="I2190" s="14" t="n">
        <v>221099.1504329906</v>
      </c>
      <c r="J2190" s="14" t="n">
        <v>0</v>
      </c>
      <c r="K2190" s="14" t="n">
        <v>26272.19915229947</v>
      </c>
      <c r="L2190" s="14" t="n">
        <v>205782.3943534103</v>
      </c>
      <c r="M2190" s="14" t="n">
        <v>0</v>
      </c>
      <c r="N2190" s="14" t="n">
        <v>555380.8366510727</v>
      </c>
      <c r="O2190" s="14" t="n">
        <v>755994.971763491</v>
      </c>
      <c r="P2190" s="14" t="n">
        <v>31880.37606527291</v>
      </c>
      <c r="Q2190" s="14" t="n">
        <v>5247042.638197536</v>
      </c>
      <c r="R2190" s="15">
        <f>IF(D2190=1,"Section 1","Control")</f>
        <v/>
      </c>
      <c r="S2190" s="16">
        <f>N2190/10000</f>
        <v/>
      </c>
      <c r="T2190" s="16">
        <f>P2190/10000</f>
        <v/>
      </c>
      <c r="U2190" s="15">
        <f>IF(N2190&gt;=Summary!$D$3,1,0)</f>
        <v/>
      </c>
      <c r="V2190" s="17">
        <f>IF(N2190&gt;0,P2190/N2190,"")</f>
        <v/>
      </c>
      <c r="W2190" s="17">
        <f>IF(O2190&gt;0,H2190/O2190,"")</f>
        <v/>
      </c>
    </row>
    <row r="2191">
      <c r="A2191" s="13" t="inlineStr">
        <is>
          <t>CE32_B1</t>
        </is>
      </c>
      <c r="B2191" s="13" t="inlineStr">
        <is>
          <t>CE32</t>
        </is>
      </c>
      <c r="C2191" s="13" t="inlineStr">
        <is>
          <t>B1</t>
        </is>
      </c>
      <c r="D2191" s="13" t="n">
        <v>0</v>
      </c>
      <c r="E2191" s="13" t="inlineStr">
        <is>
          <t>E</t>
        </is>
      </c>
      <c r="F2191" s="13" t="n">
        <v>2025</v>
      </c>
      <c r="G2191" s="14" t="n">
        <v>1000164.441829846</v>
      </c>
      <c r="H2191" s="14" t="n">
        <v>474734.6314009123</v>
      </c>
      <c r="I2191" s="14" t="n">
        <v>273460.1346115412</v>
      </c>
      <c r="J2191" s="14" t="n">
        <v>0</v>
      </c>
      <c r="K2191" s="14" t="n">
        <v>26805.37141265869</v>
      </c>
      <c r="L2191" s="14" t="n">
        <v>225164.3044047337</v>
      </c>
      <c r="M2191" s="14" t="n">
        <v>0</v>
      </c>
      <c r="N2191" s="14" t="n">
        <v>555380.8366510726</v>
      </c>
      <c r="O2191" s="14" t="n">
        <v>755994.971763491</v>
      </c>
      <c r="P2191" s="14" t="n">
        <v>90944.56521603452</v>
      </c>
      <c r="Q2191" s="14" t="n">
        <v>5247042.638197536</v>
      </c>
      <c r="R2191" s="15">
        <f>IF(D2191=1,"Section 1","Control")</f>
        <v/>
      </c>
      <c r="S2191" s="16">
        <f>N2191/10000</f>
        <v/>
      </c>
      <c r="T2191" s="16">
        <f>P2191/10000</f>
        <v/>
      </c>
      <c r="U2191" s="15">
        <f>IF(N2191&gt;=Summary!$D$3,1,0)</f>
        <v/>
      </c>
      <c r="V2191" s="17">
        <f>IF(N2191&gt;0,P2191/N2191,"")</f>
        <v/>
      </c>
      <c r="W2191" s="17">
        <f>IF(O2191&gt;0,H2191/O2191,"")</f>
        <v/>
      </c>
    </row>
    <row r="2192">
      <c r="A2192" s="13" t="inlineStr">
        <is>
          <t>CE32_B1</t>
        </is>
      </c>
      <c r="B2192" s="13" t="inlineStr">
        <is>
          <t>CE32</t>
        </is>
      </c>
      <c r="C2192" s="13" t="inlineStr">
        <is>
          <t>B1</t>
        </is>
      </c>
      <c r="D2192" s="13" t="n">
        <v>0</v>
      </c>
      <c r="E2192" s="13" t="inlineStr">
        <is>
          <t>E</t>
        </is>
      </c>
      <c r="F2192" s="13" t="n">
        <v>2026</v>
      </c>
      <c r="G2192" s="14" t="n">
        <v>1000164.441829846</v>
      </c>
      <c r="H2192" s="14" t="n">
        <v>516268.6706171073</v>
      </c>
      <c r="I2192" s="14" t="n">
        <v>235081.7042015824</v>
      </c>
      <c r="J2192" s="14" t="n">
        <v>0</v>
      </c>
      <c r="K2192" s="14" t="n">
        <v>34534.80662327187</v>
      </c>
      <c r="L2192" s="14" t="n">
        <v>214279.2603878844</v>
      </c>
      <c r="M2192" s="14" t="n">
        <v>0</v>
      </c>
      <c r="N2192" s="14" t="n">
        <v>555380.8366510726</v>
      </c>
      <c r="O2192" s="14" t="n">
        <v>755994.971763491</v>
      </c>
      <c r="P2192" s="14" t="n">
        <v>52676.43829357671</v>
      </c>
      <c r="Q2192" s="14" t="n">
        <v>5247042.638197535</v>
      </c>
      <c r="R2192" s="15">
        <f>IF(D2192=1,"Section 1","Control")</f>
        <v/>
      </c>
      <c r="S2192" s="16">
        <f>N2192/10000</f>
        <v/>
      </c>
      <c r="T2192" s="16">
        <f>P2192/10000</f>
        <v/>
      </c>
      <c r="U2192" s="15">
        <f>IF(N2192&gt;=Summary!$D$3,1,0)</f>
        <v/>
      </c>
      <c r="V2192" s="17">
        <f>IF(N2192&gt;0,P2192/N2192,"")</f>
        <v/>
      </c>
      <c r="W2192" s="17">
        <f>IF(O2192&gt;0,H2192/O2192,"")</f>
        <v/>
      </c>
    </row>
    <row r="2193">
      <c r="A2193" s="13" t="inlineStr">
        <is>
          <t>CE32_B2</t>
        </is>
      </c>
      <c r="B2193" s="13" t="inlineStr">
        <is>
          <t>CE32</t>
        </is>
      </c>
      <c r="C2193" s="13" t="inlineStr">
        <is>
          <t>B2</t>
        </is>
      </c>
      <c r="D2193" s="13" t="n">
        <v>0</v>
      </c>
      <c r="E2193" s="13" t="inlineStr">
        <is>
          <t>E</t>
        </is>
      </c>
      <c r="F2193" s="13" t="n">
        <v>2020</v>
      </c>
      <c r="G2193" s="14" t="n">
        <v>999728.4524993598</v>
      </c>
      <c r="H2193" s="14" t="n">
        <v>376344.4140712365</v>
      </c>
      <c r="I2193" s="14" t="n">
        <v>123766.6057128607</v>
      </c>
      <c r="J2193" s="14" t="n">
        <v>0</v>
      </c>
      <c r="K2193" s="14" t="n">
        <v>0</v>
      </c>
      <c r="L2193" s="14" t="n">
        <v>499617.4327152626</v>
      </c>
      <c r="M2193" s="14" t="n">
        <v>0</v>
      </c>
      <c r="N2193" s="14" t="n">
        <v>376344.4140712365</v>
      </c>
      <c r="O2193" s="14" t="n">
        <v>500111.0197840971</v>
      </c>
      <c r="P2193" s="14" t="n">
        <v>0</v>
      </c>
      <c r="Q2193" s="14" t="n">
        <v>4407407.912501557</v>
      </c>
      <c r="R2193" s="15">
        <f>IF(D2193=1,"Section 1","Control")</f>
        <v/>
      </c>
      <c r="S2193" s="16">
        <f>N2193/10000</f>
        <v/>
      </c>
      <c r="T2193" s="16">
        <f>P2193/10000</f>
        <v/>
      </c>
      <c r="U2193" s="15">
        <f>IF(N2193&gt;=Summary!$D$3,1,0)</f>
        <v/>
      </c>
      <c r="V2193" s="17">
        <f>IF(N2193&gt;0,P2193/N2193,"")</f>
        <v/>
      </c>
      <c r="W2193" s="17">
        <f>IF(O2193&gt;0,H2193/O2193,"")</f>
        <v/>
      </c>
    </row>
    <row r="2194">
      <c r="A2194" s="13" t="inlineStr">
        <is>
          <t>CE32_B2</t>
        </is>
      </c>
      <c r="B2194" s="13" t="inlineStr">
        <is>
          <t>CE32</t>
        </is>
      </c>
      <c r="C2194" s="13" t="inlineStr">
        <is>
          <t>B2</t>
        </is>
      </c>
      <c r="D2194" s="13" t="n">
        <v>0</v>
      </c>
      <c r="E2194" s="13" t="inlineStr">
        <is>
          <t>E</t>
        </is>
      </c>
      <c r="F2194" s="13" t="n">
        <v>2021</v>
      </c>
      <c r="G2194" s="14" t="n">
        <v>999728.4524993598</v>
      </c>
      <c r="H2194" s="14" t="n">
        <v>231404.9030560662</v>
      </c>
      <c r="I2194" s="14" t="n">
        <v>196156.0041281308</v>
      </c>
      <c r="J2194" s="14" t="n">
        <v>0</v>
      </c>
      <c r="K2194" s="14" t="n">
        <v>72550.1125999002</v>
      </c>
      <c r="L2194" s="14" t="n">
        <v>499617.4327152626</v>
      </c>
      <c r="M2194" s="14" t="n">
        <v>0</v>
      </c>
      <c r="N2194" s="14" t="n">
        <v>376344.4140712365</v>
      </c>
      <c r="O2194" s="14" t="n">
        <v>500111.0197840971</v>
      </c>
      <c r="P2194" s="14" t="n">
        <v>145554.7433950985</v>
      </c>
      <c r="Q2194" s="14" t="n">
        <v>4407407.912501557</v>
      </c>
      <c r="R2194" s="15">
        <f>IF(D2194=1,"Section 1","Control")</f>
        <v/>
      </c>
      <c r="S2194" s="16">
        <f>N2194/10000</f>
        <v/>
      </c>
      <c r="T2194" s="16">
        <f>P2194/10000</f>
        <v/>
      </c>
      <c r="U2194" s="15">
        <f>IF(N2194&gt;=Summary!$D$3,1,0)</f>
        <v/>
      </c>
      <c r="V2194" s="17">
        <f>IF(N2194&gt;0,P2194/N2194,"")</f>
        <v/>
      </c>
      <c r="W2194" s="17">
        <f>IF(O2194&gt;0,H2194/O2194,"")</f>
        <v/>
      </c>
    </row>
    <row r="2195">
      <c r="A2195" s="13" t="inlineStr">
        <is>
          <t>CE32_B2</t>
        </is>
      </c>
      <c r="B2195" s="13" t="inlineStr">
        <is>
          <t>CE32</t>
        </is>
      </c>
      <c r="C2195" s="13" t="inlineStr">
        <is>
          <t>B2</t>
        </is>
      </c>
      <c r="D2195" s="13" t="n">
        <v>0</v>
      </c>
      <c r="E2195" s="13" t="inlineStr">
        <is>
          <t>E</t>
        </is>
      </c>
      <c r="F2195" s="13" t="n">
        <v>2022</v>
      </c>
      <c r="G2195" s="14" t="n">
        <v>999728.4524993598</v>
      </c>
      <c r="H2195" s="14" t="n">
        <v>225305.6323933919</v>
      </c>
      <c r="I2195" s="14" t="n">
        <v>254733.8855622236</v>
      </c>
      <c r="J2195" s="14" t="n">
        <v>0</v>
      </c>
      <c r="K2195" s="14" t="n">
        <v>20071.50182848164</v>
      </c>
      <c r="L2195" s="14" t="n">
        <v>499617.4327152626</v>
      </c>
      <c r="M2195" s="14" t="n">
        <v>0</v>
      </c>
      <c r="N2195" s="14" t="n">
        <v>376344.4140712365</v>
      </c>
      <c r="O2195" s="14" t="n">
        <v>500111.0197840971</v>
      </c>
      <c r="P2195" s="14" t="n">
        <v>151777.9125680063</v>
      </c>
      <c r="Q2195" s="14" t="n">
        <v>4407407.912501557</v>
      </c>
      <c r="R2195" s="15">
        <f>IF(D2195=1,"Section 1","Control")</f>
        <v/>
      </c>
      <c r="S2195" s="16">
        <f>N2195/10000</f>
        <v/>
      </c>
      <c r="T2195" s="16">
        <f>P2195/10000</f>
        <v/>
      </c>
      <c r="U2195" s="15">
        <f>IF(N2195&gt;=Summary!$D$3,1,0)</f>
        <v/>
      </c>
      <c r="V2195" s="17">
        <f>IF(N2195&gt;0,P2195/N2195,"")</f>
        <v/>
      </c>
      <c r="W2195" s="17">
        <f>IF(O2195&gt;0,H2195/O2195,"")</f>
        <v/>
      </c>
    </row>
    <row r="2196">
      <c r="A2196" s="13" t="inlineStr">
        <is>
          <t>CE32_B2</t>
        </is>
      </c>
      <c r="B2196" s="13" t="inlineStr">
        <is>
          <t>CE32</t>
        </is>
      </c>
      <c r="C2196" s="13" t="inlineStr">
        <is>
          <t>B2</t>
        </is>
      </c>
      <c r="D2196" s="13" t="n">
        <v>0</v>
      </c>
      <c r="E2196" s="13" t="inlineStr">
        <is>
          <t>E</t>
        </is>
      </c>
      <c r="F2196" s="13" t="n">
        <v>2023</v>
      </c>
      <c r="G2196" s="14" t="n">
        <v>999728.4524993598</v>
      </c>
      <c r="H2196" s="14" t="n">
        <v>280254.4377939262</v>
      </c>
      <c r="I2196" s="14" t="n">
        <v>204847.8708381503</v>
      </c>
      <c r="J2196" s="14" t="n">
        <v>0</v>
      </c>
      <c r="K2196" s="14" t="n">
        <v>15008.71115202062</v>
      </c>
      <c r="L2196" s="14" t="n">
        <v>499617.4327152626</v>
      </c>
      <c r="M2196" s="14" t="n">
        <v>0</v>
      </c>
      <c r="N2196" s="14" t="n">
        <v>376344.4140712365</v>
      </c>
      <c r="O2196" s="14" t="n">
        <v>500111.0197840971</v>
      </c>
      <c r="P2196" s="14" t="n">
        <v>103753.4724691653</v>
      </c>
      <c r="Q2196" s="14" t="n">
        <v>4407407.912501557</v>
      </c>
      <c r="R2196" s="15">
        <f>IF(D2196=1,"Section 1","Control")</f>
        <v/>
      </c>
      <c r="S2196" s="16">
        <f>N2196/10000</f>
        <v/>
      </c>
      <c r="T2196" s="16">
        <f>P2196/10000</f>
        <v/>
      </c>
      <c r="U2196" s="15">
        <f>IF(N2196&gt;=Summary!$D$3,1,0)</f>
        <v/>
      </c>
      <c r="V2196" s="17">
        <f>IF(N2196&gt;0,P2196/N2196,"")</f>
        <v/>
      </c>
      <c r="W2196" s="17">
        <f>IF(O2196&gt;0,H2196/O2196,"")</f>
        <v/>
      </c>
    </row>
    <row r="2197">
      <c r="A2197" s="13" t="inlineStr">
        <is>
          <t>CE32_B2</t>
        </is>
      </c>
      <c r="B2197" s="13" t="inlineStr">
        <is>
          <t>CE32</t>
        </is>
      </c>
      <c r="C2197" s="13" t="inlineStr">
        <is>
          <t>B2</t>
        </is>
      </c>
      <c r="D2197" s="13" t="n">
        <v>0</v>
      </c>
      <c r="E2197" s="13" t="inlineStr">
        <is>
          <t>E</t>
        </is>
      </c>
      <c r="F2197" s="13" t="n">
        <v>2024</v>
      </c>
      <c r="G2197" s="14" t="n">
        <v>999728.4524993598</v>
      </c>
      <c r="H2197" s="14" t="n">
        <v>344005.5773545209</v>
      </c>
      <c r="I2197" s="14" t="n">
        <v>143233.9702171774</v>
      </c>
      <c r="J2197" s="14" t="n">
        <v>0</v>
      </c>
      <c r="K2197" s="14" t="n">
        <v>12871.47221239875</v>
      </c>
      <c r="L2197" s="14" t="n">
        <v>499617.4327152626</v>
      </c>
      <c r="M2197" s="14" t="n">
        <v>0</v>
      </c>
      <c r="N2197" s="14" t="n">
        <v>376344.4140712365</v>
      </c>
      <c r="O2197" s="14" t="n">
        <v>500111.0197840971</v>
      </c>
      <c r="P2197" s="14" t="n">
        <v>67697.89173718619</v>
      </c>
      <c r="Q2197" s="14" t="n">
        <v>4407407.912501557</v>
      </c>
      <c r="R2197" s="15">
        <f>IF(D2197=1,"Section 1","Control")</f>
        <v/>
      </c>
      <c r="S2197" s="16">
        <f>N2197/10000</f>
        <v/>
      </c>
      <c r="T2197" s="16">
        <f>P2197/10000</f>
        <v/>
      </c>
      <c r="U2197" s="15">
        <f>IF(N2197&gt;=Summary!$D$3,1,0)</f>
        <v/>
      </c>
      <c r="V2197" s="17">
        <f>IF(N2197&gt;0,P2197/N2197,"")</f>
        <v/>
      </c>
      <c r="W2197" s="17">
        <f>IF(O2197&gt;0,H2197/O2197,"")</f>
        <v/>
      </c>
    </row>
    <row r="2198">
      <c r="A2198" s="13" t="inlineStr">
        <is>
          <t>CE32_B2</t>
        </is>
      </c>
      <c r="B2198" s="13" t="inlineStr">
        <is>
          <t>CE32</t>
        </is>
      </c>
      <c r="C2198" s="13" t="inlineStr">
        <is>
          <t>B2</t>
        </is>
      </c>
      <c r="D2198" s="13" t="n">
        <v>0</v>
      </c>
      <c r="E2198" s="13" t="inlineStr">
        <is>
          <t>E</t>
        </is>
      </c>
      <c r="F2198" s="13" t="n">
        <v>2025</v>
      </c>
      <c r="G2198" s="14" t="n">
        <v>999728.4524993598</v>
      </c>
      <c r="H2198" s="14" t="n">
        <v>266411.3250592999</v>
      </c>
      <c r="I2198" s="14" t="n">
        <v>211251.6955176858</v>
      </c>
      <c r="J2198" s="14" t="n">
        <v>0</v>
      </c>
      <c r="K2198" s="14" t="n">
        <v>22447.99920711144</v>
      </c>
      <c r="L2198" s="14" t="n">
        <v>499617.4327152626</v>
      </c>
      <c r="M2198" s="14" t="n">
        <v>0</v>
      </c>
      <c r="N2198" s="14" t="n">
        <v>376344.4140712365</v>
      </c>
      <c r="O2198" s="14" t="n">
        <v>500111.0197840971</v>
      </c>
      <c r="P2198" s="14" t="n">
        <v>138895.1538789338</v>
      </c>
      <c r="Q2198" s="14" t="n">
        <v>4407407.912501557</v>
      </c>
      <c r="R2198" s="15">
        <f>IF(D2198=1,"Section 1","Control")</f>
        <v/>
      </c>
      <c r="S2198" s="16">
        <f>N2198/10000</f>
        <v/>
      </c>
      <c r="T2198" s="16">
        <f>P2198/10000</f>
        <v/>
      </c>
      <c r="U2198" s="15">
        <f>IF(N2198&gt;=Summary!$D$3,1,0)</f>
        <v/>
      </c>
      <c r="V2198" s="17">
        <f>IF(N2198&gt;0,P2198/N2198,"")</f>
        <v/>
      </c>
      <c r="W2198" s="17">
        <f>IF(O2198&gt;0,H2198/O2198,"")</f>
        <v/>
      </c>
    </row>
    <row r="2199">
      <c r="A2199" s="13" t="inlineStr">
        <is>
          <t>CE32_B2</t>
        </is>
      </c>
      <c r="B2199" s="13" t="inlineStr">
        <is>
          <t>CE32</t>
        </is>
      </c>
      <c r="C2199" s="13" t="inlineStr">
        <is>
          <t>B2</t>
        </is>
      </c>
      <c r="D2199" s="13" t="n">
        <v>0</v>
      </c>
      <c r="E2199" s="13" t="inlineStr">
        <is>
          <t>E</t>
        </is>
      </c>
      <c r="F2199" s="13" t="n">
        <v>2026</v>
      </c>
      <c r="G2199" s="14" t="n">
        <v>999728.4524993598</v>
      </c>
      <c r="H2199" s="14" t="n">
        <v>321550.1150990207</v>
      </c>
      <c r="I2199" s="14" t="n">
        <v>167142.9051365572</v>
      </c>
      <c r="J2199" s="14" t="n">
        <v>0</v>
      </c>
      <c r="K2199" s="14" t="n">
        <v>11417.99954851936</v>
      </c>
      <c r="L2199" s="14" t="n">
        <v>499617.4327152626</v>
      </c>
      <c r="M2199" s="14" t="n">
        <v>0</v>
      </c>
      <c r="N2199" s="14" t="n">
        <v>376344.4140712365</v>
      </c>
      <c r="O2199" s="14" t="n">
        <v>500111.0197840971</v>
      </c>
      <c r="P2199" s="14" t="n">
        <v>88186.82404348336</v>
      </c>
      <c r="Q2199" s="14" t="n">
        <v>4407407.912501557</v>
      </c>
      <c r="R2199" s="15">
        <f>IF(D2199=1,"Section 1","Control")</f>
        <v/>
      </c>
      <c r="S2199" s="16">
        <f>N2199/10000</f>
        <v/>
      </c>
      <c r="T2199" s="16">
        <f>P2199/10000</f>
        <v/>
      </c>
      <c r="U2199" s="15">
        <f>IF(N2199&gt;=Summary!$D$3,1,0)</f>
        <v/>
      </c>
      <c r="V2199" s="17">
        <f>IF(N2199&gt;0,P2199/N2199,"")</f>
        <v/>
      </c>
      <c r="W2199" s="17">
        <f>IF(O2199&gt;0,H2199/O2199,"")</f>
        <v/>
      </c>
    </row>
    <row r="2200">
      <c r="A2200" s="13" t="inlineStr">
        <is>
          <t>CE32_B3</t>
        </is>
      </c>
      <c r="B2200" s="13" t="inlineStr">
        <is>
          <t>CE32</t>
        </is>
      </c>
      <c r="C2200" s="13" t="inlineStr">
        <is>
          <t>B3</t>
        </is>
      </c>
      <c r="D2200" s="13" t="n">
        <v>0</v>
      </c>
      <c r="E2200" s="13" t="inlineStr">
        <is>
          <t>E</t>
        </is>
      </c>
      <c r="F2200" s="13" t="n">
        <v>2020</v>
      </c>
      <c r="G2200" s="14" t="n">
        <v>7999890.010548191</v>
      </c>
      <c r="H2200" s="14" t="n">
        <v>1979682.434923569</v>
      </c>
      <c r="I2200" s="14" t="n">
        <v>1421033.140163257</v>
      </c>
      <c r="J2200" s="14" t="n">
        <v>0</v>
      </c>
      <c r="K2200" s="14" t="n">
        <v>26693.52181513169</v>
      </c>
      <c r="L2200" s="14" t="n">
        <v>4572480.913646234</v>
      </c>
      <c r="M2200" s="14" t="n">
        <v>0</v>
      </c>
      <c r="N2200" s="14" t="n">
        <v>1979682.434923569</v>
      </c>
      <c r="O2200" s="14" t="n">
        <v>3427409.096901957</v>
      </c>
      <c r="P2200" s="14" t="n">
        <v>0</v>
      </c>
      <c r="Q2200" s="14" t="n">
        <v>25702621.04775609</v>
      </c>
      <c r="R2200" s="15">
        <f>IF(D2200=1,"Section 1","Control")</f>
        <v/>
      </c>
      <c r="S2200" s="16">
        <f>N2200/10000</f>
        <v/>
      </c>
      <c r="T2200" s="16">
        <f>P2200/10000</f>
        <v/>
      </c>
      <c r="U2200" s="15">
        <f>IF(N2200&gt;=Summary!$D$3,1,0)</f>
        <v/>
      </c>
      <c r="V2200" s="17">
        <f>IF(N2200&gt;0,P2200/N2200,"")</f>
        <v/>
      </c>
      <c r="W2200" s="17">
        <f>IF(O2200&gt;0,H2200/O2200,"")</f>
        <v/>
      </c>
    </row>
    <row r="2201">
      <c r="A2201" s="13" t="inlineStr">
        <is>
          <t>CE32_B3</t>
        </is>
      </c>
      <c r="B2201" s="13" t="inlineStr">
        <is>
          <t>CE32</t>
        </is>
      </c>
      <c r="C2201" s="13" t="inlineStr">
        <is>
          <t>B3</t>
        </is>
      </c>
      <c r="D2201" s="13" t="n">
        <v>0</v>
      </c>
      <c r="E2201" s="13" t="inlineStr">
        <is>
          <t>E</t>
        </is>
      </c>
      <c r="F2201" s="13" t="n">
        <v>2021</v>
      </c>
      <c r="G2201" s="14" t="n">
        <v>7999890.010548191</v>
      </c>
      <c r="H2201" s="14" t="n">
        <v>1486195.377666489</v>
      </c>
      <c r="I2201" s="14" t="n">
        <v>1423171.458872268</v>
      </c>
      <c r="J2201" s="14" t="n">
        <v>0</v>
      </c>
      <c r="K2201" s="14" t="n">
        <v>614305.9969555724</v>
      </c>
      <c r="L2201" s="14" t="n">
        <v>4476217.177053862</v>
      </c>
      <c r="M2201" s="14" t="n">
        <v>0</v>
      </c>
      <c r="N2201" s="14" t="n">
        <v>1979682.434923569</v>
      </c>
      <c r="O2201" s="14" t="n">
        <v>3427409.096901957</v>
      </c>
      <c r="P2201" s="14" t="n">
        <v>530488.6081858317</v>
      </c>
      <c r="Q2201" s="14" t="n">
        <v>25702621.04775609</v>
      </c>
      <c r="R2201" s="15">
        <f>IF(D2201=1,"Section 1","Control")</f>
        <v/>
      </c>
      <c r="S2201" s="16">
        <f>N2201/10000</f>
        <v/>
      </c>
      <c r="T2201" s="16">
        <f>P2201/10000</f>
        <v/>
      </c>
      <c r="U2201" s="15">
        <f>IF(N2201&gt;=Summary!$D$3,1,0)</f>
        <v/>
      </c>
      <c r="V2201" s="17">
        <f>IF(N2201&gt;0,P2201/N2201,"")</f>
        <v/>
      </c>
      <c r="W2201" s="17">
        <f>IF(O2201&gt;0,H2201/O2201,"")</f>
        <v/>
      </c>
    </row>
    <row r="2202">
      <c r="A2202" s="13" t="inlineStr">
        <is>
          <t>CE32_B3</t>
        </is>
      </c>
      <c r="B2202" s="13" t="inlineStr">
        <is>
          <t>CE32</t>
        </is>
      </c>
      <c r="C2202" s="13" t="inlineStr">
        <is>
          <t>B3</t>
        </is>
      </c>
      <c r="D2202" s="13" t="n">
        <v>0</v>
      </c>
      <c r="E2202" s="13" t="inlineStr">
        <is>
          <t>E</t>
        </is>
      </c>
      <c r="F2202" s="13" t="n">
        <v>2022</v>
      </c>
      <c r="G2202" s="14" t="n">
        <v>7999890.010548191</v>
      </c>
      <c r="H2202" s="14" t="n">
        <v>1384094.465513521</v>
      </c>
      <c r="I2202" s="14" t="n">
        <v>1752364.530389703</v>
      </c>
      <c r="J2202" s="14" t="n">
        <v>0</v>
      </c>
      <c r="K2202" s="14" t="n">
        <v>389257.2616775811</v>
      </c>
      <c r="L2202" s="14" t="n">
        <v>4474173.752967385</v>
      </c>
      <c r="M2202" s="14" t="n">
        <v>0</v>
      </c>
      <c r="N2202" s="14" t="n">
        <v>1979682.434923569</v>
      </c>
      <c r="O2202" s="14" t="n">
        <v>3427409.096901957</v>
      </c>
      <c r="P2202" s="14" t="n">
        <v>647336.0182199515</v>
      </c>
      <c r="Q2202" s="14" t="n">
        <v>25702621.04775609</v>
      </c>
      <c r="R2202" s="15">
        <f>IF(D2202=1,"Section 1","Control")</f>
        <v/>
      </c>
      <c r="S2202" s="16">
        <f>N2202/10000</f>
        <v/>
      </c>
      <c r="T2202" s="16">
        <f>P2202/10000</f>
        <v/>
      </c>
      <c r="U2202" s="15">
        <f>IF(N2202&gt;=Summary!$D$3,1,0)</f>
        <v/>
      </c>
      <c r="V2202" s="17">
        <f>IF(N2202&gt;0,P2202/N2202,"")</f>
        <v/>
      </c>
      <c r="W2202" s="17">
        <f>IF(O2202&gt;0,H2202/O2202,"")</f>
        <v/>
      </c>
    </row>
    <row r="2203">
      <c r="A2203" s="13" t="inlineStr">
        <is>
          <t>CE32_B3</t>
        </is>
      </c>
      <c r="B2203" s="13" t="inlineStr">
        <is>
          <t>CE32</t>
        </is>
      </c>
      <c r="C2203" s="13" t="inlineStr">
        <is>
          <t>B3</t>
        </is>
      </c>
      <c r="D2203" s="13" t="n">
        <v>0</v>
      </c>
      <c r="E2203" s="13" t="inlineStr">
        <is>
          <t>E</t>
        </is>
      </c>
      <c r="F2203" s="13" t="n">
        <v>2023</v>
      </c>
      <c r="G2203" s="14" t="n">
        <v>7999890.010548191</v>
      </c>
      <c r="H2203" s="14" t="n">
        <v>1524214.159024527</v>
      </c>
      <c r="I2203" s="14" t="n">
        <v>1675571.546558485</v>
      </c>
      <c r="J2203" s="14" t="n">
        <v>0</v>
      </c>
      <c r="K2203" s="14" t="n">
        <v>233558.1642410278</v>
      </c>
      <c r="L2203" s="14" t="n">
        <v>4566546.140724152</v>
      </c>
      <c r="M2203" s="14" t="n">
        <v>0</v>
      </c>
      <c r="N2203" s="14" t="n">
        <v>1979682.434923569</v>
      </c>
      <c r="O2203" s="14" t="n">
        <v>3427409.096901957</v>
      </c>
      <c r="P2203" s="14" t="n">
        <v>536068.7764075486</v>
      </c>
      <c r="Q2203" s="14" t="n">
        <v>25702621.04775609</v>
      </c>
      <c r="R2203" s="15">
        <f>IF(D2203=1,"Section 1","Control")</f>
        <v/>
      </c>
      <c r="S2203" s="16">
        <f>N2203/10000</f>
        <v/>
      </c>
      <c r="T2203" s="16">
        <f>P2203/10000</f>
        <v/>
      </c>
      <c r="U2203" s="15">
        <f>IF(N2203&gt;=Summary!$D$3,1,0)</f>
        <v/>
      </c>
      <c r="V2203" s="17">
        <f>IF(N2203&gt;0,P2203/N2203,"")</f>
        <v/>
      </c>
      <c r="W2203" s="17">
        <f>IF(O2203&gt;0,H2203/O2203,"")</f>
        <v/>
      </c>
    </row>
    <row r="2204">
      <c r="A2204" s="13" t="inlineStr">
        <is>
          <t>CE32_B3</t>
        </is>
      </c>
      <c r="B2204" s="13" t="inlineStr">
        <is>
          <t>CE32</t>
        </is>
      </c>
      <c r="C2204" s="13" t="inlineStr">
        <is>
          <t>B3</t>
        </is>
      </c>
      <c r="D2204" s="13" t="n">
        <v>0</v>
      </c>
      <c r="E2204" s="13" t="inlineStr">
        <is>
          <t>E</t>
        </is>
      </c>
      <c r="F2204" s="13" t="n">
        <v>2024</v>
      </c>
      <c r="G2204" s="14" t="n">
        <v>7999890.010548191</v>
      </c>
      <c r="H2204" s="14" t="n">
        <v>1949270.937210652</v>
      </c>
      <c r="I2204" s="14" t="n">
        <v>1262387.80572076</v>
      </c>
      <c r="J2204" s="14" t="n">
        <v>0</v>
      </c>
      <c r="K2204" s="14" t="n">
        <v>267500.1224807739</v>
      </c>
      <c r="L2204" s="14" t="n">
        <v>4520731.145136006</v>
      </c>
      <c r="M2204" s="14" t="n">
        <v>0</v>
      </c>
      <c r="N2204" s="14" t="n">
        <v>1979682.434923569</v>
      </c>
      <c r="O2204" s="14" t="n">
        <v>3427409.096901957</v>
      </c>
      <c r="P2204" s="14" t="n">
        <v>352664.0857411403</v>
      </c>
      <c r="Q2204" s="14" t="n">
        <v>25702621.04775609</v>
      </c>
      <c r="R2204" s="15">
        <f>IF(D2204=1,"Section 1","Control")</f>
        <v/>
      </c>
      <c r="S2204" s="16">
        <f>N2204/10000</f>
        <v/>
      </c>
      <c r="T2204" s="16">
        <f>P2204/10000</f>
        <v/>
      </c>
      <c r="U2204" s="15">
        <f>IF(N2204&gt;=Summary!$D$3,1,0)</f>
        <v/>
      </c>
      <c r="V2204" s="17">
        <f>IF(N2204&gt;0,P2204/N2204,"")</f>
        <v/>
      </c>
      <c r="W2204" s="17">
        <f>IF(O2204&gt;0,H2204/O2204,"")</f>
        <v/>
      </c>
    </row>
    <row r="2205">
      <c r="A2205" s="13" t="inlineStr">
        <is>
          <t>CE32_B3</t>
        </is>
      </c>
      <c r="B2205" s="13" t="inlineStr">
        <is>
          <t>CE32</t>
        </is>
      </c>
      <c r="C2205" s="13" t="inlineStr">
        <is>
          <t>B3</t>
        </is>
      </c>
      <c r="D2205" s="13" t="n">
        <v>0</v>
      </c>
      <c r="E2205" s="13" t="inlineStr">
        <is>
          <t>E</t>
        </is>
      </c>
      <c r="F2205" s="13" t="n">
        <v>2025</v>
      </c>
      <c r="G2205" s="14" t="n">
        <v>7999890.010548192</v>
      </c>
      <c r="H2205" s="14" t="n">
        <v>1622436.132587986</v>
      </c>
      <c r="I2205" s="14" t="n">
        <v>1563344.036185889</v>
      </c>
      <c r="J2205" s="14" t="n">
        <v>0</v>
      </c>
      <c r="K2205" s="14" t="n">
        <v>256346.0720715691</v>
      </c>
      <c r="L2205" s="14" t="n">
        <v>4557763.769702747</v>
      </c>
      <c r="M2205" s="14" t="n">
        <v>0</v>
      </c>
      <c r="N2205" s="14" t="n">
        <v>1979682.434923569</v>
      </c>
      <c r="O2205" s="14" t="n">
        <v>3427409.096901957</v>
      </c>
      <c r="P2205" s="14" t="n">
        <v>516894.6147353228</v>
      </c>
      <c r="Q2205" s="14" t="n">
        <v>25702621.04775609</v>
      </c>
      <c r="R2205" s="15">
        <f>IF(D2205=1,"Section 1","Control")</f>
        <v/>
      </c>
      <c r="S2205" s="16">
        <f>N2205/10000</f>
        <v/>
      </c>
      <c r="T2205" s="16">
        <f>P2205/10000</f>
        <v/>
      </c>
      <c r="U2205" s="15">
        <f>IF(N2205&gt;=Summary!$D$3,1,0)</f>
        <v/>
      </c>
      <c r="V2205" s="17">
        <f>IF(N2205&gt;0,P2205/N2205,"")</f>
        <v/>
      </c>
      <c r="W2205" s="17">
        <f>IF(O2205&gt;0,H2205/O2205,"")</f>
        <v/>
      </c>
    </row>
    <row r="2206">
      <c r="A2206" s="13" t="inlineStr">
        <is>
          <t>CE32_B3</t>
        </is>
      </c>
      <c r="B2206" s="13" t="inlineStr">
        <is>
          <t>CE32</t>
        </is>
      </c>
      <c r="C2206" s="13" t="inlineStr">
        <is>
          <t>B3</t>
        </is>
      </c>
      <c r="D2206" s="13" t="n">
        <v>0</v>
      </c>
      <c r="E2206" s="13" t="inlineStr">
        <is>
          <t>E</t>
        </is>
      </c>
      <c r="F2206" s="13" t="n">
        <v>2026</v>
      </c>
      <c r="G2206" s="14" t="n">
        <v>7999890.010548192</v>
      </c>
      <c r="H2206" s="14" t="n">
        <v>2109889.128986763</v>
      </c>
      <c r="I2206" s="14" t="n">
        <v>1086275.697038808</v>
      </c>
      <c r="J2206" s="14" t="n">
        <v>0</v>
      </c>
      <c r="K2206" s="14" t="n">
        <v>255322.0431121825</v>
      </c>
      <c r="L2206" s="14" t="n">
        <v>4548403.141410438</v>
      </c>
      <c r="M2206" s="14" t="n">
        <v>0</v>
      </c>
      <c r="N2206" s="14" t="n">
        <v>1979682.434923569</v>
      </c>
      <c r="O2206" s="14" t="n">
        <v>3427409.096901957</v>
      </c>
      <c r="P2206" s="14" t="n">
        <v>305072.6402298273</v>
      </c>
      <c r="Q2206" s="14" t="n">
        <v>25702621.04775609</v>
      </c>
      <c r="R2206" s="15">
        <f>IF(D2206=1,"Section 1","Control")</f>
        <v/>
      </c>
      <c r="S2206" s="16">
        <f>N2206/10000</f>
        <v/>
      </c>
      <c r="T2206" s="16">
        <f>P2206/10000</f>
        <v/>
      </c>
      <c r="U2206" s="15">
        <f>IF(N2206&gt;=Summary!$D$3,1,0)</f>
        <v/>
      </c>
      <c r="V2206" s="17">
        <f>IF(N2206&gt;0,P2206/N2206,"")</f>
        <v/>
      </c>
      <c r="W2206" s="17">
        <f>IF(O2206&gt;0,H2206/O2206,"")</f>
        <v/>
      </c>
    </row>
    <row r="2207">
      <c r="A2207" s="13" t="inlineStr">
        <is>
          <t>CE32_F</t>
        </is>
      </c>
      <c r="B2207" s="13" t="inlineStr">
        <is>
          <t>CE32</t>
        </is>
      </c>
      <c r="C2207" s="13" t="inlineStr">
        <is>
          <t>F</t>
        </is>
      </c>
      <c r="D2207" s="13" t="n">
        <v>0</v>
      </c>
      <c r="E2207" s="13" t="inlineStr">
        <is>
          <t>E</t>
        </is>
      </c>
      <c r="F2207" s="13" t="n">
        <v>2020</v>
      </c>
      <c r="G2207" s="14" t="n">
        <v>69356.00713653566</v>
      </c>
      <c r="H2207" s="14" t="n">
        <v>69356.00713653566</v>
      </c>
      <c r="I2207" s="14" t="n">
        <v>0</v>
      </c>
      <c r="J2207" s="14" t="n">
        <v>0</v>
      </c>
      <c r="K2207" s="14" t="n">
        <v>0</v>
      </c>
      <c r="L2207" s="14" t="n">
        <v>0</v>
      </c>
      <c r="M2207" s="14" t="n">
        <v>0</v>
      </c>
      <c r="N2207" s="14" t="n">
        <v>69356.00713653566</v>
      </c>
      <c r="O2207" s="14" t="n">
        <v>69356.00713653566</v>
      </c>
      <c r="P2207" s="14" t="n">
        <v>0</v>
      </c>
      <c r="Q2207" s="14" t="n">
        <v>665089.0324302524</v>
      </c>
      <c r="R2207" s="15">
        <f>IF(D2207=1,"Section 1","Control")</f>
        <v/>
      </c>
      <c r="S2207" s="16">
        <f>N2207/10000</f>
        <v/>
      </c>
      <c r="T2207" s="16">
        <f>P2207/10000</f>
        <v/>
      </c>
      <c r="U2207" s="15">
        <f>IF(N2207&gt;=Summary!$D$3,1,0)</f>
        <v/>
      </c>
      <c r="V2207" s="17">
        <f>IF(N2207&gt;0,P2207/N2207,"")</f>
        <v/>
      </c>
      <c r="W2207" s="17">
        <f>IF(O2207&gt;0,H2207/O2207,"")</f>
        <v/>
      </c>
    </row>
    <row r="2208">
      <c r="A2208" s="13" t="inlineStr">
        <is>
          <t>CE32_F</t>
        </is>
      </c>
      <c r="B2208" s="13" t="inlineStr">
        <is>
          <t>CE32</t>
        </is>
      </c>
      <c r="C2208" s="13" t="inlineStr">
        <is>
          <t>F</t>
        </is>
      </c>
      <c r="D2208" s="13" t="n">
        <v>0</v>
      </c>
      <c r="E2208" s="13" t="inlineStr">
        <is>
          <t>E</t>
        </is>
      </c>
      <c r="F2208" s="13" t="n">
        <v>2021</v>
      </c>
      <c r="G2208" s="14" t="n">
        <v>69356.00713653564</v>
      </c>
      <c r="H2208" s="14" t="n">
        <v>68719.85799404967</v>
      </c>
      <c r="I2208" s="14" t="n">
        <v>0</v>
      </c>
      <c r="J2208" s="14" t="n">
        <v>0</v>
      </c>
      <c r="K2208" s="14" t="n">
        <v>636.1491424859739</v>
      </c>
      <c r="L2208" s="14" t="n">
        <v>0</v>
      </c>
      <c r="M2208" s="14" t="n">
        <v>0</v>
      </c>
      <c r="N2208" s="14" t="n">
        <v>69356.00713653564</v>
      </c>
      <c r="O2208" s="14" t="n">
        <v>69356.00713653564</v>
      </c>
      <c r="P2208" s="14" t="n">
        <v>636.1491424859739</v>
      </c>
      <c r="Q2208" s="14" t="n">
        <v>665089.0324302524</v>
      </c>
      <c r="R2208" s="15">
        <f>IF(D2208=1,"Section 1","Control")</f>
        <v/>
      </c>
      <c r="S2208" s="16">
        <f>N2208/10000</f>
        <v/>
      </c>
      <c r="T2208" s="16">
        <f>P2208/10000</f>
        <v/>
      </c>
      <c r="U2208" s="15">
        <f>IF(N2208&gt;=Summary!$D$3,1,0)</f>
        <v/>
      </c>
      <c r="V2208" s="17">
        <f>IF(N2208&gt;0,P2208/N2208,"")</f>
        <v/>
      </c>
      <c r="W2208" s="17">
        <f>IF(O2208&gt;0,H2208/O2208,"")</f>
        <v/>
      </c>
    </row>
    <row r="2209">
      <c r="A2209" s="13" t="inlineStr">
        <is>
          <t>CE32_F</t>
        </is>
      </c>
      <c r="B2209" s="13" t="inlineStr">
        <is>
          <t>CE32</t>
        </is>
      </c>
      <c r="C2209" s="13" t="inlineStr">
        <is>
          <t>F</t>
        </is>
      </c>
      <c r="D2209" s="13" t="n">
        <v>0</v>
      </c>
      <c r="E2209" s="13" t="inlineStr">
        <is>
          <t>E</t>
        </is>
      </c>
      <c r="F2209" s="13" t="n">
        <v>2022</v>
      </c>
      <c r="G2209" s="14" t="n">
        <v>69356.00713653564</v>
      </c>
      <c r="H2209" s="14" t="n">
        <v>68681.9136020436</v>
      </c>
      <c r="I2209" s="14" t="n">
        <v>37.94439200607001</v>
      </c>
      <c r="J2209" s="14" t="n">
        <v>0</v>
      </c>
      <c r="K2209" s="14" t="n">
        <v>636.1491424859739</v>
      </c>
      <c r="L2209" s="14" t="n">
        <v>0</v>
      </c>
      <c r="M2209" s="14" t="n">
        <v>0</v>
      </c>
      <c r="N2209" s="14" t="n">
        <v>69356.00713653564</v>
      </c>
      <c r="O2209" s="14" t="n">
        <v>69356.00713653564</v>
      </c>
      <c r="P2209" s="14" t="n">
        <v>674.0935344920439</v>
      </c>
      <c r="Q2209" s="14" t="n">
        <v>665089.0324302524</v>
      </c>
      <c r="R2209" s="15">
        <f>IF(D2209=1,"Section 1","Control")</f>
        <v/>
      </c>
      <c r="S2209" s="16">
        <f>N2209/10000</f>
        <v/>
      </c>
      <c r="T2209" s="16">
        <f>P2209/10000</f>
        <v/>
      </c>
      <c r="U2209" s="15">
        <f>IF(N2209&gt;=Summary!$D$3,1,0)</f>
        <v/>
      </c>
      <c r="V2209" s="17">
        <f>IF(N2209&gt;0,P2209/N2209,"")</f>
        <v/>
      </c>
      <c r="W2209" s="17">
        <f>IF(O2209&gt;0,H2209/O2209,"")</f>
        <v/>
      </c>
    </row>
    <row r="2210">
      <c r="A2210" s="13" t="inlineStr">
        <is>
          <t>CE32_F</t>
        </is>
      </c>
      <c r="B2210" s="13" t="inlineStr">
        <is>
          <t>CE32</t>
        </is>
      </c>
      <c r="C2210" s="13" t="inlineStr">
        <is>
          <t>F</t>
        </is>
      </c>
      <c r="D2210" s="13" t="n">
        <v>0</v>
      </c>
      <c r="E2210" s="13" t="inlineStr">
        <is>
          <t>E</t>
        </is>
      </c>
      <c r="F2210" s="13" t="n">
        <v>2023</v>
      </c>
      <c r="G2210" s="14" t="n">
        <v>69356.00713653566</v>
      </c>
      <c r="H2210" s="14" t="n">
        <v>68681.91360204361</v>
      </c>
      <c r="I2210" s="14" t="n">
        <v>37.94439200607001</v>
      </c>
      <c r="J2210" s="14" t="n">
        <v>0</v>
      </c>
      <c r="K2210" s="14" t="n">
        <v>636.1491424859739</v>
      </c>
      <c r="L2210" s="14" t="n">
        <v>0</v>
      </c>
      <c r="M2210" s="14" t="n">
        <v>0</v>
      </c>
      <c r="N2210" s="14" t="n">
        <v>69356.00713653566</v>
      </c>
      <c r="O2210" s="14" t="n">
        <v>69356.00713653566</v>
      </c>
      <c r="P2210" s="14" t="n">
        <v>674.0935344920439</v>
      </c>
      <c r="Q2210" s="14" t="n">
        <v>665089.0324302524</v>
      </c>
      <c r="R2210" s="15">
        <f>IF(D2210=1,"Section 1","Control")</f>
        <v/>
      </c>
      <c r="S2210" s="16">
        <f>N2210/10000</f>
        <v/>
      </c>
      <c r="T2210" s="16">
        <f>P2210/10000</f>
        <v/>
      </c>
      <c r="U2210" s="15">
        <f>IF(N2210&gt;=Summary!$D$3,1,0)</f>
        <v/>
      </c>
      <c r="V2210" s="17">
        <f>IF(N2210&gt;0,P2210/N2210,"")</f>
        <v/>
      </c>
      <c r="W2210" s="17">
        <f>IF(O2210&gt;0,H2210/O2210,"")</f>
        <v/>
      </c>
    </row>
    <row r="2211">
      <c r="A2211" s="13" t="inlineStr">
        <is>
          <t>CE32_F</t>
        </is>
      </c>
      <c r="B2211" s="13" t="inlineStr">
        <is>
          <t>CE32</t>
        </is>
      </c>
      <c r="C2211" s="13" t="inlineStr">
        <is>
          <t>F</t>
        </is>
      </c>
      <c r="D2211" s="13" t="n">
        <v>0</v>
      </c>
      <c r="E2211" s="13" t="inlineStr">
        <is>
          <t>E</t>
        </is>
      </c>
      <c r="F2211" s="13" t="n">
        <v>2024</v>
      </c>
      <c r="G2211" s="14" t="n">
        <v>69356.00713653566</v>
      </c>
      <c r="H2211" s="14" t="n">
        <v>68582.01919477875</v>
      </c>
      <c r="I2211" s="14" t="n">
        <v>137.8387992709291</v>
      </c>
      <c r="J2211" s="14" t="n">
        <v>0</v>
      </c>
      <c r="K2211" s="14" t="n">
        <v>636.1491424859739</v>
      </c>
      <c r="L2211" s="14" t="n">
        <v>0</v>
      </c>
      <c r="M2211" s="14" t="n">
        <v>0</v>
      </c>
      <c r="N2211" s="14" t="n">
        <v>69356.00713653566</v>
      </c>
      <c r="O2211" s="14" t="n">
        <v>69356.00713653566</v>
      </c>
      <c r="P2211" s="14" t="n">
        <v>773.987941756903</v>
      </c>
      <c r="Q2211" s="14" t="n">
        <v>665089.0324302524</v>
      </c>
      <c r="R2211" s="15">
        <f>IF(D2211=1,"Section 1","Control")</f>
        <v/>
      </c>
      <c r="S2211" s="16">
        <f>N2211/10000</f>
        <v/>
      </c>
      <c r="T2211" s="16">
        <f>P2211/10000</f>
        <v/>
      </c>
      <c r="U2211" s="15">
        <f>IF(N2211&gt;=Summary!$D$3,1,0)</f>
        <v/>
      </c>
      <c r="V2211" s="17">
        <f>IF(N2211&gt;0,P2211/N2211,"")</f>
        <v/>
      </c>
      <c r="W2211" s="17">
        <f>IF(O2211&gt;0,H2211/O2211,"")</f>
        <v/>
      </c>
    </row>
    <row r="2212">
      <c r="A2212" s="13" t="inlineStr">
        <is>
          <t>CE32_F</t>
        </is>
      </c>
      <c r="B2212" s="13" t="inlineStr">
        <is>
          <t>CE32</t>
        </is>
      </c>
      <c r="C2212" s="13" t="inlineStr">
        <is>
          <t>F</t>
        </is>
      </c>
      <c r="D2212" s="13" t="n">
        <v>0</v>
      </c>
      <c r="E2212" s="13" t="inlineStr">
        <is>
          <t>E</t>
        </is>
      </c>
      <c r="F2212" s="13" t="n">
        <v>2025</v>
      </c>
      <c r="G2212" s="14" t="n">
        <v>69356.00713653566</v>
      </c>
      <c r="H2212" s="14" t="n">
        <v>68719.85799404967</v>
      </c>
      <c r="I2212" s="14" t="n">
        <v>0</v>
      </c>
      <c r="J2212" s="14" t="n">
        <v>0</v>
      </c>
      <c r="K2212" s="14" t="n">
        <v>636.1491424859739</v>
      </c>
      <c r="L2212" s="14" t="n">
        <v>0</v>
      </c>
      <c r="M2212" s="14" t="n">
        <v>0</v>
      </c>
      <c r="N2212" s="14" t="n">
        <v>69356.00713653566</v>
      </c>
      <c r="O2212" s="14" t="n">
        <v>69356.00713653566</v>
      </c>
      <c r="P2212" s="14" t="n">
        <v>636.1491424859739</v>
      </c>
      <c r="Q2212" s="14" t="n">
        <v>665089.0324302524</v>
      </c>
      <c r="R2212" s="15">
        <f>IF(D2212=1,"Section 1","Control")</f>
        <v/>
      </c>
      <c r="S2212" s="16">
        <f>N2212/10000</f>
        <v/>
      </c>
      <c r="T2212" s="16">
        <f>P2212/10000</f>
        <v/>
      </c>
      <c r="U2212" s="15">
        <f>IF(N2212&gt;=Summary!$D$3,1,0)</f>
        <v/>
      </c>
      <c r="V2212" s="17">
        <f>IF(N2212&gt;0,P2212/N2212,"")</f>
        <v/>
      </c>
      <c r="W2212" s="17">
        <f>IF(O2212&gt;0,H2212/O2212,"")</f>
        <v/>
      </c>
    </row>
    <row r="2213">
      <c r="A2213" s="13" t="inlineStr">
        <is>
          <t>CE32_F</t>
        </is>
      </c>
      <c r="B2213" s="13" t="inlineStr">
        <is>
          <t>CE32</t>
        </is>
      </c>
      <c r="C2213" s="13" t="inlineStr">
        <is>
          <t>F</t>
        </is>
      </c>
      <c r="D2213" s="13" t="n">
        <v>0</v>
      </c>
      <c r="E2213" s="13" t="inlineStr">
        <is>
          <t>E</t>
        </is>
      </c>
      <c r="F2213" s="13" t="n">
        <v>2026</v>
      </c>
      <c r="G2213" s="14" t="n">
        <v>69356.00713653564</v>
      </c>
      <c r="H2213" s="14" t="n">
        <v>68719.85799404967</v>
      </c>
      <c r="I2213" s="14" t="n">
        <v>0</v>
      </c>
      <c r="J2213" s="14" t="n">
        <v>0</v>
      </c>
      <c r="K2213" s="14" t="n">
        <v>636.1491424859739</v>
      </c>
      <c r="L2213" s="14" t="n">
        <v>0</v>
      </c>
      <c r="M2213" s="14" t="n">
        <v>0</v>
      </c>
      <c r="N2213" s="14" t="n">
        <v>69356.00713653564</v>
      </c>
      <c r="O2213" s="14" t="n">
        <v>69356.00713653564</v>
      </c>
      <c r="P2213" s="14" t="n">
        <v>636.1491424859739</v>
      </c>
      <c r="Q2213" s="14" t="n">
        <v>665089.0324302524</v>
      </c>
      <c r="R2213" s="15">
        <f>IF(D2213=1,"Section 1","Control")</f>
        <v/>
      </c>
      <c r="S2213" s="16">
        <f>N2213/10000</f>
        <v/>
      </c>
      <c r="T2213" s="16">
        <f>P2213/10000</f>
        <v/>
      </c>
      <c r="U2213" s="15">
        <f>IF(N2213&gt;=Summary!$D$3,1,0)</f>
        <v/>
      </c>
      <c r="V2213" s="17">
        <f>IF(N2213&gt;0,P2213/N2213,"")</f>
        <v/>
      </c>
      <c r="W2213" s="17">
        <f>IF(O2213&gt;0,H2213/O2213,"")</f>
        <v/>
      </c>
    </row>
    <row r="2214">
      <c r="A2214" s="13" t="inlineStr">
        <is>
          <t>CE33_B1</t>
        </is>
      </c>
      <c r="B2214" s="13" t="inlineStr">
        <is>
          <t>CE33</t>
        </is>
      </c>
      <c r="C2214" s="13" t="inlineStr">
        <is>
          <t>B1</t>
        </is>
      </c>
      <c r="D2214" s="13" t="n">
        <v>0</v>
      </c>
      <c r="E2214" s="13" t="inlineStr">
        <is>
          <t>E</t>
        </is>
      </c>
      <c r="F2214" s="13" t="n">
        <v>2020</v>
      </c>
      <c r="G2214" s="14" t="n">
        <v>1000442.797428057</v>
      </c>
      <c r="H2214" s="14" t="n">
        <v>463994.1971771539</v>
      </c>
      <c r="I2214" s="14" t="n">
        <v>299532.5589879953</v>
      </c>
      <c r="J2214" s="14" t="n">
        <v>0</v>
      </c>
      <c r="K2214" s="14" t="n">
        <v>43930.8101364435</v>
      </c>
      <c r="L2214" s="14" t="n">
        <v>192985.2311264637</v>
      </c>
      <c r="M2214" s="14" t="n">
        <v>0</v>
      </c>
      <c r="N2214" s="14" t="n">
        <v>463994.1971771539</v>
      </c>
      <c r="O2214" s="14" t="n">
        <v>807457.5663015929</v>
      </c>
      <c r="P2214" s="14" t="n">
        <v>0</v>
      </c>
      <c r="Q2214" s="14" t="n">
        <v>5569335.831974642</v>
      </c>
      <c r="R2214" s="15">
        <f>IF(D2214=1,"Section 1","Control")</f>
        <v/>
      </c>
      <c r="S2214" s="16">
        <f>N2214/10000</f>
        <v/>
      </c>
      <c r="T2214" s="16">
        <f>P2214/10000</f>
        <v/>
      </c>
      <c r="U2214" s="15">
        <f>IF(N2214&gt;=Summary!$D$3,1,0)</f>
        <v/>
      </c>
      <c r="V2214" s="17">
        <f>IF(N2214&gt;0,P2214/N2214,"")</f>
        <v/>
      </c>
      <c r="W2214" s="17">
        <f>IF(O2214&gt;0,H2214/O2214,"")</f>
        <v/>
      </c>
    </row>
    <row r="2215">
      <c r="A2215" s="13" t="inlineStr">
        <is>
          <t>CE33_B1</t>
        </is>
      </c>
      <c r="B2215" s="13" t="inlineStr">
        <is>
          <t>CE33</t>
        </is>
      </c>
      <c r="C2215" s="13" t="inlineStr">
        <is>
          <t>B1</t>
        </is>
      </c>
      <c r="D2215" s="13" t="n">
        <v>0</v>
      </c>
      <c r="E2215" s="13" t="inlineStr">
        <is>
          <t>E</t>
        </is>
      </c>
      <c r="F2215" s="13" t="n">
        <v>2021</v>
      </c>
      <c r="G2215" s="14" t="n">
        <v>1000442.797428057</v>
      </c>
      <c r="H2215" s="14" t="n">
        <v>399762.6571460498</v>
      </c>
      <c r="I2215" s="14" t="n">
        <v>350958.4595458386</v>
      </c>
      <c r="J2215" s="14" t="n">
        <v>0</v>
      </c>
      <c r="K2215" s="14" t="n">
        <v>81727.27311039346</v>
      </c>
      <c r="L2215" s="14" t="n">
        <v>167994.4076257743</v>
      </c>
      <c r="M2215" s="14" t="n">
        <v>0</v>
      </c>
      <c r="N2215" s="14" t="n">
        <v>463994.1971771539</v>
      </c>
      <c r="O2215" s="14" t="n">
        <v>807457.566301593</v>
      </c>
      <c r="P2215" s="14" t="n">
        <v>83489.84543208701</v>
      </c>
      <c r="Q2215" s="14" t="n">
        <v>5569335.831974642</v>
      </c>
      <c r="R2215" s="15">
        <f>IF(D2215=1,"Section 1","Control")</f>
        <v/>
      </c>
      <c r="S2215" s="16">
        <f>N2215/10000</f>
        <v/>
      </c>
      <c r="T2215" s="16">
        <f>P2215/10000</f>
        <v/>
      </c>
      <c r="U2215" s="15">
        <f>IF(N2215&gt;=Summary!$D$3,1,0)</f>
        <v/>
      </c>
      <c r="V2215" s="17">
        <f>IF(N2215&gt;0,P2215/N2215,"")</f>
        <v/>
      </c>
      <c r="W2215" s="17">
        <f>IF(O2215&gt;0,H2215/O2215,"")</f>
        <v/>
      </c>
    </row>
    <row r="2216">
      <c r="A2216" s="13" t="inlineStr">
        <is>
          <t>CE33_B1</t>
        </is>
      </c>
      <c r="B2216" s="13" t="inlineStr">
        <is>
          <t>CE33</t>
        </is>
      </c>
      <c r="C2216" s="13" t="inlineStr">
        <is>
          <t>B1</t>
        </is>
      </c>
      <c r="D2216" s="13" t="n">
        <v>0</v>
      </c>
      <c r="E2216" s="13" t="inlineStr">
        <is>
          <t>E</t>
        </is>
      </c>
      <c r="F2216" s="13" t="n">
        <v>2022</v>
      </c>
      <c r="G2216" s="14" t="n">
        <v>1000442.797428057</v>
      </c>
      <c r="H2216" s="14" t="n">
        <v>337367.2160135605</v>
      </c>
      <c r="I2216" s="14" t="n">
        <v>405414.1259113087</v>
      </c>
      <c r="J2216" s="14" t="n">
        <v>0</v>
      </c>
      <c r="K2216" s="14" t="n">
        <v>77560.3755842321</v>
      </c>
      <c r="L2216" s="14" t="n">
        <v>180101.0799189549</v>
      </c>
      <c r="M2216" s="14" t="n">
        <v>0</v>
      </c>
      <c r="N2216" s="14" t="n">
        <v>463994.1971771539</v>
      </c>
      <c r="O2216" s="14" t="n">
        <v>807457.566301593</v>
      </c>
      <c r="P2216" s="14" t="n">
        <v>142375.0354751587</v>
      </c>
      <c r="Q2216" s="14" t="n">
        <v>5569335.831974642</v>
      </c>
      <c r="R2216" s="15">
        <f>IF(D2216=1,"Section 1","Control")</f>
        <v/>
      </c>
      <c r="S2216" s="16">
        <f>N2216/10000</f>
        <v/>
      </c>
      <c r="T2216" s="16">
        <f>P2216/10000</f>
        <v/>
      </c>
      <c r="U2216" s="15">
        <f>IF(N2216&gt;=Summary!$D$3,1,0)</f>
        <v/>
      </c>
      <c r="V2216" s="17">
        <f>IF(N2216&gt;0,P2216/N2216,"")</f>
        <v/>
      </c>
      <c r="W2216" s="17">
        <f>IF(O2216&gt;0,H2216/O2216,"")</f>
        <v/>
      </c>
    </row>
    <row r="2217">
      <c r="A2217" s="13" t="inlineStr">
        <is>
          <t>CE33_B1</t>
        </is>
      </c>
      <c r="B2217" s="13" t="inlineStr">
        <is>
          <t>CE33</t>
        </is>
      </c>
      <c r="C2217" s="13" t="inlineStr">
        <is>
          <t>B1</t>
        </is>
      </c>
      <c r="D2217" s="13" t="n">
        <v>0</v>
      </c>
      <c r="E2217" s="13" t="inlineStr">
        <is>
          <t>E</t>
        </is>
      </c>
      <c r="F2217" s="13" t="n">
        <v>2023</v>
      </c>
      <c r="G2217" s="14" t="n">
        <v>1000442.797428057</v>
      </c>
      <c r="H2217" s="14" t="n">
        <v>314815.0659216787</v>
      </c>
      <c r="I2217" s="14" t="n">
        <v>448738.5237391453</v>
      </c>
      <c r="J2217" s="14" t="n">
        <v>0</v>
      </c>
      <c r="K2217" s="14" t="n">
        <v>60584.52430162616</v>
      </c>
      <c r="L2217" s="14" t="n">
        <v>176304.6834656061</v>
      </c>
      <c r="M2217" s="14" t="n">
        <v>0</v>
      </c>
      <c r="N2217" s="14" t="n">
        <v>463994.1971771539</v>
      </c>
      <c r="O2217" s="14" t="n">
        <v>807457.566301593</v>
      </c>
      <c r="P2217" s="14" t="n">
        <v>162428.6690324372</v>
      </c>
      <c r="Q2217" s="14" t="n">
        <v>5569335.831974642</v>
      </c>
      <c r="R2217" s="15">
        <f>IF(D2217=1,"Section 1","Control")</f>
        <v/>
      </c>
      <c r="S2217" s="16">
        <f>N2217/10000</f>
        <v/>
      </c>
      <c r="T2217" s="16">
        <f>P2217/10000</f>
        <v/>
      </c>
      <c r="U2217" s="15">
        <f>IF(N2217&gt;=Summary!$D$3,1,0)</f>
        <v/>
      </c>
      <c r="V2217" s="17">
        <f>IF(N2217&gt;0,P2217/N2217,"")</f>
        <v/>
      </c>
      <c r="W2217" s="17">
        <f>IF(O2217&gt;0,H2217/O2217,"")</f>
        <v/>
      </c>
    </row>
    <row r="2218">
      <c r="A2218" s="13" t="inlineStr">
        <is>
          <t>CE33_B1</t>
        </is>
      </c>
      <c r="B2218" s="13" t="inlineStr">
        <is>
          <t>CE33</t>
        </is>
      </c>
      <c r="C2218" s="13" t="inlineStr">
        <is>
          <t>B1</t>
        </is>
      </c>
      <c r="D2218" s="13" t="n">
        <v>0</v>
      </c>
      <c r="E2218" s="13" t="inlineStr">
        <is>
          <t>E</t>
        </is>
      </c>
      <c r="F2218" s="13" t="n">
        <v>2024</v>
      </c>
      <c r="G2218" s="14" t="n">
        <v>1000442.797428057</v>
      </c>
      <c r="H2218" s="14" t="n">
        <v>353290.0896590588</v>
      </c>
      <c r="I2218" s="14" t="n">
        <v>412184.6392937754</v>
      </c>
      <c r="J2218" s="14" t="n">
        <v>0</v>
      </c>
      <c r="K2218" s="14" t="n">
        <v>95227.73097375606</v>
      </c>
      <c r="L2218" s="14" t="n">
        <v>139740.337501466</v>
      </c>
      <c r="M2218" s="14" t="n">
        <v>0</v>
      </c>
      <c r="N2218" s="14" t="n">
        <v>463994.1971771539</v>
      </c>
      <c r="O2218" s="14" t="n">
        <v>807457.566301593</v>
      </c>
      <c r="P2218" s="14" t="n">
        <v>129761.0306143069</v>
      </c>
      <c r="Q2218" s="14" t="n">
        <v>5569335.831974642</v>
      </c>
      <c r="R2218" s="15">
        <f>IF(D2218=1,"Section 1","Control")</f>
        <v/>
      </c>
      <c r="S2218" s="16">
        <f>N2218/10000</f>
        <v/>
      </c>
      <c r="T2218" s="16">
        <f>P2218/10000</f>
        <v/>
      </c>
      <c r="U2218" s="15">
        <f>IF(N2218&gt;=Summary!$D$3,1,0)</f>
        <v/>
      </c>
      <c r="V2218" s="17">
        <f>IF(N2218&gt;0,P2218/N2218,"")</f>
        <v/>
      </c>
      <c r="W2218" s="17">
        <f>IF(O2218&gt;0,H2218/O2218,"")</f>
        <v/>
      </c>
    </row>
    <row r="2219">
      <c r="A2219" s="13" t="inlineStr">
        <is>
          <t>CE33_B1</t>
        </is>
      </c>
      <c r="B2219" s="13" t="inlineStr">
        <is>
          <t>CE33</t>
        </is>
      </c>
      <c r="C2219" s="13" t="inlineStr">
        <is>
          <t>B1</t>
        </is>
      </c>
      <c r="D2219" s="13" t="n">
        <v>0</v>
      </c>
      <c r="E2219" s="13" t="inlineStr">
        <is>
          <t>E</t>
        </is>
      </c>
      <c r="F2219" s="13" t="n">
        <v>2025</v>
      </c>
      <c r="G2219" s="14" t="n">
        <v>1000442.797428057</v>
      </c>
      <c r="H2219" s="14" t="n">
        <v>322694.3039903828</v>
      </c>
      <c r="I2219" s="14" t="n">
        <v>426840.769778173</v>
      </c>
      <c r="J2219" s="14" t="n">
        <v>0</v>
      </c>
      <c r="K2219" s="14" t="n">
        <v>76235.82358969894</v>
      </c>
      <c r="L2219" s="14" t="n">
        <v>174671.9000698015</v>
      </c>
      <c r="M2219" s="14" t="n">
        <v>0</v>
      </c>
      <c r="N2219" s="14" t="n">
        <v>463994.1971771539</v>
      </c>
      <c r="O2219" s="14" t="n">
        <v>807457.566301593</v>
      </c>
      <c r="P2219" s="14" t="n">
        <v>162879.3539813173</v>
      </c>
      <c r="Q2219" s="14" t="n">
        <v>5569335.831974642</v>
      </c>
      <c r="R2219" s="15">
        <f>IF(D2219=1,"Section 1","Control")</f>
        <v/>
      </c>
      <c r="S2219" s="16">
        <f>N2219/10000</f>
        <v/>
      </c>
      <c r="T2219" s="16">
        <f>P2219/10000</f>
        <v/>
      </c>
      <c r="U2219" s="15">
        <f>IF(N2219&gt;=Summary!$D$3,1,0)</f>
        <v/>
      </c>
      <c r="V2219" s="17">
        <f>IF(N2219&gt;0,P2219/N2219,"")</f>
        <v/>
      </c>
      <c r="W2219" s="17">
        <f>IF(O2219&gt;0,H2219/O2219,"")</f>
        <v/>
      </c>
    </row>
    <row r="2220">
      <c r="A2220" s="13" t="inlineStr">
        <is>
          <t>CE33_B1</t>
        </is>
      </c>
      <c r="B2220" s="13" t="inlineStr">
        <is>
          <t>CE33</t>
        </is>
      </c>
      <c r="C2220" s="13" t="inlineStr">
        <is>
          <t>B1</t>
        </is>
      </c>
      <c r="D2220" s="13" t="n">
        <v>0</v>
      </c>
      <c r="E2220" s="13" t="inlineStr">
        <is>
          <t>E</t>
        </is>
      </c>
      <c r="F2220" s="13" t="n">
        <v>2026</v>
      </c>
      <c r="G2220" s="14" t="n">
        <v>1000442.797428057</v>
      </c>
      <c r="H2220" s="14" t="n">
        <v>427104.5415446562</v>
      </c>
      <c r="I2220" s="14" t="n">
        <v>324766.5384759043</v>
      </c>
      <c r="J2220" s="14" t="n">
        <v>0</v>
      </c>
      <c r="K2220" s="14" t="n">
        <v>83068.48501323625</v>
      </c>
      <c r="L2220" s="14" t="n">
        <v>165503.2323942596</v>
      </c>
      <c r="M2220" s="14" t="n">
        <v>0</v>
      </c>
      <c r="N2220" s="14" t="n">
        <v>463994.1971771539</v>
      </c>
      <c r="O2220" s="14" t="n">
        <v>807457.566301593</v>
      </c>
      <c r="P2220" s="14" t="n">
        <v>84923.24725356756</v>
      </c>
      <c r="Q2220" s="14" t="n">
        <v>5569335.831974642</v>
      </c>
      <c r="R2220" s="15">
        <f>IF(D2220=1,"Section 1","Control")</f>
        <v/>
      </c>
      <c r="S2220" s="16">
        <f>N2220/10000</f>
        <v/>
      </c>
      <c r="T2220" s="16">
        <f>P2220/10000</f>
        <v/>
      </c>
      <c r="U2220" s="15">
        <f>IF(N2220&gt;=Summary!$D$3,1,0)</f>
        <v/>
      </c>
      <c r="V2220" s="17">
        <f>IF(N2220&gt;0,P2220/N2220,"")</f>
        <v/>
      </c>
      <c r="W2220" s="17">
        <f>IF(O2220&gt;0,H2220/O2220,"")</f>
        <v/>
      </c>
    </row>
    <row r="2221">
      <c r="A2221" s="13" t="inlineStr">
        <is>
          <t>CE33_B2</t>
        </is>
      </c>
      <c r="B2221" s="13" t="inlineStr">
        <is>
          <t>CE33</t>
        </is>
      </c>
      <c r="C2221" s="13" t="inlineStr">
        <is>
          <t>B2</t>
        </is>
      </c>
      <c r="D2221" s="13" t="n">
        <v>0</v>
      </c>
      <c r="E2221" s="13" t="inlineStr">
        <is>
          <t>E</t>
        </is>
      </c>
      <c r="F2221" s="13" t="n">
        <v>2020</v>
      </c>
      <c r="G2221" s="14" t="n">
        <v>1000304.002071216</v>
      </c>
      <c r="H2221" s="14" t="n">
        <v>406094.6819623761</v>
      </c>
      <c r="I2221" s="14" t="n">
        <v>117710.456937932</v>
      </c>
      <c r="J2221" s="14" t="n">
        <v>0</v>
      </c>
      <c r="K2221" s="14" t="n">
        <v>893.2316091200885</v>
      </c>
      <c r="L2221" s="14" t="n">
        <v>475605.6315617879</v>
      </c>
      <c r="M2221" s="14" t="n">
        <v>0</v>
      </c>
      <c r="N2221" s="14" t="n">
        <v>406094.6819623761</v>
      </c>
      <c r="O2221" s="14" t="n">
        <v>524698.3705094281</v>
      </c>
      <c r="P2221" s="14" t="n">
        <v>0</v>
      </c>
      <c r="Q2221" s="14" t="n">
        <v>5302870.585597618</v>
      </c>
      <c r="R2221" s="15">
        <f>IF(D2221=1,"Section 1","Control")</f>
        <v/>
      </c>
      <c r="S2221" s="16">
        <f>N2221/10000</f>
        <v/>
      </c>
      <c r="T2221" s="16">
        <f>P2221/10000</f>
        <v/>
      </c>
      <c r="U2221" s="15">
        <f>IF(N2221&gt;=Summary!$D$3,1,0)</f>
        <v/>
      </c>
      <c r="V2221" s="17">
        <f>IF(N2221&gt;0,P2221/N2221,"")</f>
        <v/>
      </c>
      <c r="W2221" s="17">
        <f>IF(O2221&gt;0,H2221/O2221,"")</f>
        <v/>
      </c>
    </row>
    <row r="2222">
      <c r="A2222" s="13" t="inlineStr">
        <is>
          <t>CE33_B2</t>
        </is>
      </c>
      <c r="B2222" s="13" t="inlineStr">
        <is>
          <t>CE33</t>
        </is>
      </c>
      <c r="C2222" s="13" t="inlineStr">
        <is>
          <t>B2</t>
        </is>
      </c>
      <c r="D2222" s="13" t="n">
        <v>0</v>
      </c>
      <c r="E2222" s="13" t="inlineStr">
        <is>
          <t>E</t>
        </is>
      </c>
      <c r="F2222" s="13" t="n">
        <v>2021</v>
      </c>
      <c r="G2222" s="14" t="n">
        <v>1000304.002071216</v>
      </c>
      <c r="H2222" s="14" t="n">
        <v>337251.2290987202</v>
      </c>
      <c r="I2222" s="14" t="n">
        <v>154108.7801323984</v>
      </c>
      <c r="J2222" s="14" t="n">
        <v>0</v>
      </c>
      <c r="K2222" s="14" t="n">
        <v>33338.36127830955</v>
      </c>
      <c r="L2222" s="14" t="n">
        <v>475605.6315617879</v>
      </c>
      <c r="M2222" s="14" t="n">
        <v>0</v>
      </c>
      <c r="N2222" s="14" t="n">
        <v>406094.6819623761</v>
      </c>
      <c r="O2222" s="14" t="n">
        <v>524698.3705094281</v>
      </c>
      <c r="P2222" s="14" t="n">
        <v>73147.37914730895</v>
      </c>
      <c r="Q2222" s="14" t="n">
        <v>5302870.585597618</v>
      </c>
      <c r="R2222" s="15">
        <f>IF(D2222=1,"Section 1","Control")</f>
        <v/>
      </c>
      <c r="S2222" s="16">
        <f>N2222/10000</f>
        <v/>
      </c>
      <c r="T2222" s="16">
        <f>P2222/10000</f>
        <v/>
      </c>
      <c r="U2222" s="15">
        <f>IF(N2222&gt;=Summary!$D$3,1,0)</f>
        <v/>
      </c>
      <c r="V2222" s="17">
        <f>IF(N2222&gt;0,P2222/N2222,"")</f>
        <v/>
      </c>
      <c r="W2222" s="17">
        <f>IF(O2222&gt;0,H2222/O2222,"")</f>
        <v/>
      </c>
    </row>
    <row r="2223">
      <c r="A2223" s="13" t="inlineStr">
        <is>
          <t>CE33_B2</t>
        </is>
      </c>
      <c r="B2223" s="13" t="inlineStr">
        <is>
          <t>CE33</t>
        </is>
      </c>
      <c r="C2223" s="13" t="inlineStr">
        <is>
          <t>B2</t>
        </is>
      </c>
      <c r="D2223" s="13" t="n">
        <v>0</v>
      </c>
      <c r="E2223" s="13" t="inlineStr">
        <is>
          <t>E</t>
        </is>
      </c>
      <c r="F2223" s="13" t="n">
        <v>2022</v>
      </c>
      <c r="G2223" s="14" t="n">
        <v>1000304.002071216</v>
      </c>
      <c r="H2223" s="14" t="n">
        <v>347827.8873174929</v>
      </c>
      <c r="I2223" s="14" t="n">
        <v>156744.3293941423</v>
      </c>
      <c r="J2223" s="14" t="n">
        <v>0</v>
      </c>
      <c r="K2223" s="14" t="n">
        <v>20126.15379779292</v>
      </c>
      <c r="L2223" s="14" t="n">
        <v>475605.6315617879</v>
      </c>
      <c r="M2223" s="14" t="n">
        <v>0</v>
      </c>
      <c r="N2223" s="14" t="n">
        <v>406094.6819623761</v>
      </c>
      <c r="O2223" s="14" t="n">
        <v>524698.3705094281</v>
      </c>
      <c r="P2223" s="14" t="n">
        <v>68213.14603540757</v>
      </c>
      <c r="Q2223" s="14" t="n">
        <v>5302870.585597618</v>
      </c>
      <c r="R2223" s="15">
        <f>IF(D2223=1,"Section 1","Control")</f>
        <v/>
      </c>
      <c r="S2223" s="16">
        <f>N2223/10000</f>
        <v/>
      </c>
      <c r="T2223" s="16">
        <f>P2223/10000</f>
        <v/>
      </c>
      <c r="U2223" s="15">
        <f>IF(N2223&gt;=Summary!$D$3,1,0)</f>
        <v/>
      </c>
      <c r="V2223" s="17">
        <f>IF(N2223&gt;0,P2223/N2223,"")</f>
        <v/>
      </c>
      <c r="W2223" s="17">
        <f>IF(O2223&gt;0,H2223/O2223,"")</f>
        <v/>
      </c>
    </row>
    <row r="2224">
      <c r="A2224" s="13" t="inlineStr">
        <is>
          <t>CE33_B2</t>
        </is>
      </c>
      <c r="B2224" s="13" t="inlineStr">
        <is>
          <t>CE33</t>
        </is>
      </c>
      <c r="C2224" s="13" t="inlineStr">
        <is>
          <t>B2</t>
        </is>
      </c>
      <c r="D2224" s="13" t="n">
        <v>0</v>
      </c>
      <c r="E2224" s="13" t="inlineStr">
        <is>
          <t>E</t>
        </is>
      </c>
      <c r="F2224" s="13" t="n">
        <v>2023</v>
      </c>
      <c r="G2224" s="14" t="n">
        <v>1000304.002071216</v>
      </c>
      <c r="H2224" s="14" t="n">
        <v>315912.4024367089</v>
      </c>
      <c r="I2224" s="14" t="n">
        <v>199125.7555715823</v>
      </c>
      <c r="J2224" s="14" t="n">
        <v>0</v>
      </c>
      <c r="K2224" s="14" t="n">
        <v>9660.21250113693</v>
      </c>
      <c r="L2224" s="14" t="n">
        <v>475605.6315617879</v>
      </c>
      <c r="M2224" s="14" t="n">
        <v>0</v>
      </c>
      <c r="N2224" s="14" t="n">
        <v>406094.6819623761</v>
      </c>
      <c r="O2224" s="14" t="n">
        <v>524698.3705094281</v>
      </c>
      <c r="P2224" s="14" t="n">
        <v>97329.67452033548</v>
      </c>
      <c r="Q2224" s="14" t="n">
        <v>5302870.585597618</v>
      </c>
      <c r="R2224" s="15">
        <f>IF(D2224=1,"Section 1","Control")</f>
        <v/>
      </c>
      <c r="S2224" s="16">
        <f>N2224/10000</f>
        <v/>
      </c>
      <c r="T2224" s="16">
        <f>P2224/10000</f>
        <v/>
      </c>
      <c r="U2224" s="15">
        <f>IF(N2224&gt;=Summary!$D$3,1,0)</f>
        <v/>
      </c>
      <c r="V2224" s="17">
        <f>IF(N2224&gt;0,P2224/N2224,"")</f>
        <v/>
      </c>
      <c r="W2224" s="17">
        <f>IF(O2224&gt;0,H2224/O2224,"")</f>
        <v/>
      </c>
    </row>
    <row r="2225">
      <c r="A2225" s="13" t="inlineStr">
        <is>
          <t>CE33_B2</t>
        </is>
      </c>
      <c r="B2225" s="13" t="inlineStr">
        <is>
          <t>CE33</t>
        </is>
      </c>
      <c r="C2225" s="13" t="inlineStr">
        <is>
          <t>B2</t>
        </is>
      </c>
      <c r="D2225" s="13" t="n">
        <v>0</v>
      </c>
      <c r="E2225" s="13" t="inlineStr">
        <is>
          <t>E</t>
        </is>
      </c>
      <c r="F2225" s="13" t="n">
        <v>2024</v>
      </c>
      <c r="G2225" s="14" t="n">
        <v>1000304.002071216</v>
      </c>
      <c r="H2225" s="14" t="n">
        <v>392611.3031006159</v>
      </c>
      <c r="I2225" s="14" t="n">
        <v>118536.046799484</v>
      </c>
      <c r="J2225" s="14" t="n">
        <v>0</v>
      </c>
      <c r="K2225" s="14" t="n">
        <v>13551.02060932833</v>
      </c>
      <c r="L2225" s="14" t="n">
        <v>475605.6315617879</v>
      </c>
      <c r="M2225" s="14" t="n">
        <v>0</v>
      </c>
      <c r="N2225" s="14" t="n">
        <v>406094.6819623761</v>
      </c>
      <c r="O2225" s="14" t="n">
        <v>524698.3705094281</v>
      </c>
      <c r="P2225" s="14" t="n">
        <v>53489.41756588804</v>
      </c>
      <c r="Q2225" s="14" t="n">
        <v>5302870.585597618</v>
      </c>
      <c r="R2225" s="15">
        <f>IF(D2225=1,"Section 1","Control")</f>
        <v/>
      </c>
      <c r="S2225" s="16">
        <f>N2225/10000</f>
        <v/>
      </c>
      <c r="T2225" s="16">
        <f>P2225/10000</f>
        <v/>
      </c>
      <c r="U2225" s="15">
        <f>IF(N2225&gt;=Summary!$D$3,1,0)</f>
        <v/>
      </c>
      <c r="V2225" s="17">
        <f>IF(N2225&gt;0,P2225/N2225,"")</f>
        <v/>
      </c>
      <c r="W2225" s="17">
        <f>IF(O2225&gt;0,H2225/O2225,"")</f>
        <v/>
      </c>
    </row>
    <row r="2226">
      <c r="A2226" s="13" t="inlineStr">
        <is>
          <t>CE33_B2</t>
        </is>
      </c>
      <c r="B2226" s="13" t="inlineStr">
        <is>
          <t>CE33</t>
        </is>
      </c>
      <c r="C2226" s="13" t="inlineStr">
        <is>
          <t>B2</t>
        </is>
      </c>
      <c r="D2226" s="13" t="n">
        <v>0</v>
      </c>
      <c r="E2226" s="13" t="inlineStr">
        <is>
          <t>E</t>
        </is>
      </c>
      <c r="F2226" s="13" t="n">
        <v>2025</v>
      </c>
      <c r="G2226" s="14" t="n">
        <v>1000304.002071216</v>
      </c>
      <c r="H2226" s="14" t="n">
        <v>314451.1319132487</v>
      </c>
      <c r="I2226" s="14" t="n">
        <v>195251.2507089652</v>
      </c>
      <c r="J2226" s="14" t="n">
        <v>0</v>
      </c>
      <c r="K2226" s="14" t="n">
        <v>14995.98788721421</v>
      </c>
      <c r="L2226" s="14" t="n">
        <v>475605.6315617879</v>
      </c>
      <c r="M2226" s="14" t="n">
        <v>0</v>
      </c>
      <c r="N2226" s="14" t="n">
        <v>406094.6819623761</v>
      </c>
      <c r="O2226" s="14" t="n">
        <v>524698.3705094281</v>
      </c>
      <c r="P2226" s="14" t="n">
        <v>105650.2780301262</v>
      </c>
      <c r="Q2226" s="14" t="n">
        <v>5302870.585597618</v>
      </c>
      <c r="R2226" s="15">
        <f>IF(D2226=1,"Section 1","Control")</f>
        <v/>
      </c>
      <c r="S2226" s="16">
        <f>N2226/10000</f>
        <v/>
      </c>
      <c r="T2226" s="16">
        <f>P2226/10000</f>
        <v/>
      </c>
      <c r="U2226" s="15">
        <f>IF(N2226&gt;=Summary!$D$3,1,0)</f>
        <v/>
      </c>
      <c r="V2226" s="17">
        <f>IF(N2226&gt;0,P2226/N2226,"")</f>
        <v/>
      </c>
      <c r="W2226" s="17">
        <f>IF(O2226&gt;0,H2226/O2226,"")</f>
        <v/>
      </c>
    </row>
    <row r="2227">
      <c r="A2227" s="13" t="inlineStr">
        <is>
          <t>CE33_B2</t>
        </is>
      </c>
      <c r="B2227" s="13" t="inlineStr">
        <is>
          <t>CE33</t>
        </is>
      </c>
      <c r="C2227" s="13" t="inlineStr">
        <is>
          <t>B2</t>
        </is>
      </c>
      <c r="D2227" s="13" t="n">
        <v>0</v>
      </c>
      <c r="E2227" s="13" t="inlineStr">
        <is>
          <t>E</t>
        </is>
      </c>
      <c r="F2227" s="13" t="n">
        <v>2026</v>
      </c>
      <c r="G2227" s="14" t="n">
        <v>1000304.002071216</v>
      </c>
      <c r="H2227" s="14" t="n">
        <v>337921.7564594045</v>
      </c>
      <c r="I2227" s="14" t="n">
        <v>144266.2733563592</v>
      </c>
      <c r="J2227" s="14" t="n">
        <v>0</v>
      </c>
      <c r="K2227" s="14" t="n">
        <v>42510.34069366455</v>
      </c>
      <c r="L2227" s="14" t="n">
        <v>475605.6315617879</v>
      </c>
      <c r="M2227" s="14" t="n">
        <v>0</v>
      </c>
      <c r="N2227" s="14" t="n">
        <v>406094.6819623761</v>
      </c>
      <c r="O2227" s="14" t="n">
        <v>524698.3705094281</v>
      </c>
      <c r="P2227" s="14" t="n">
        <v>94897.44852644976</v>
      </c>
      <c r="Q2227" s="14" t="n">
        <v>5302870.585597618</v>
      </c>
      <c r="R2227" s="15">
        <f>IF(D2227=1,"Section 1","Control")</f>
        <v/>
      </c>
      <c r="S2227" s="16">
        <f>N2227/10000</f>
        <v/>
      </c>
      <c r="T2227" s="16">
        <f>P2227/10000</f>
        <v/>
      </c>
      <c r="U2227" s="15">
        <f>IF(N2227&gt;=Summary!$D$3,1,0)</f>
        <v/>
      </c>
      <c r="V2227" s="17">
        <f>IF(N2227&gt;0,P2227/N2227,"")</f>
        <v/>
      </c>
      <c r="W2227" s="17">
        <f>IF(O2227&gt;0,H2227/O2227,"")</f>
        <v/>
      </c>
    </row>
    <row r="2228">
      <c r="A2228" s="13" t="inlineStr">
        <is>
          <t>CE33_B3</t>
        </is>
      </c>
      <c r="B2228" s="13" t="inlineStr">
        <is>
          <t>CE33</t>
        </is>
      </c>
      <c r="C2228" s="13" t="inlineStr">
        <is>
          <t>B3</t>
        </is>
      </c>
      <c r="D2228" s="13" t="n">
        <v>0</v>
      </c>
      <c r="E2228" s="13" t="inlineStr">
        <is>
          <t>E</t>
        </is>
      </c>
      <c r="F2228" s="13" t="n">
        <v>2020</v>
      </c>
      <c r="G2228" s="14" t="n">
        <v>8000659.496642409</v>
      </c>
      <c r="H2228" s="14" t="n">
        <v>2680681.021444642</v>
      </c>
      <c r="I2228" s="14" t="n">
        <v>1283864.545078951</v>
      </c>
      <c r="J2228" s="14" t="n">
        <v>0</v>
      </c>
      <c r="K2228" s="14" t="n">
        <v>41674.43283487955</v>
      </c>
      <c r="L2228" s="14" t="n">
        <v>3994439.497283935</v>
      </c>
      <c r="M2228" s="14" t="n">
        <v>0</v>
      </c>
      <c r="N2228" s="14" t="n">
        <v>2680681.021444642</v>
      </c>
      <c r="O2228" s="14" t="n">
        <v>4006219.999358472</v>
      </c>
      <c r="P2228" s="14" t="n">
        <v>0</v>
      </c>
      <c r="Q2228" s="14" t="n">
        <v>34147364.49218577</v>
      </c>
      <c r="R2228" s="15">
        <f>IF(D2228=1,"Section 1","Control")</f>
        <v/>
      </c>
      <c r="S2228" s="16">
        <f>N2228/10000</f>
        <v/>
      </c>
      <c r="T2228" s="16">
        <f>P2228/10000</f>
        <v/>
      </c>
      <c r="U2228" s="15">
        <f>IF(N2228&gt;=Summary!$D$3,1,0)</f>
        <v/>
      </c>
      <c r="V2228" s="17">
        <f>IF(N2228&gt;0,P2228/N2228,"")</f>
        <v/>
      </c>
      <c r="W2228" s="17">
        <f>IF(O2228&gt;0,H2228/O2228,"")</f>
        <v/>
      </c>
    </row>
    <row r="2229">
      <c r="A2229" s="13" t="inlineStr">
        <is>
          <t>CE33_B3</t>
        </is>
      </c>
      <c r="B2229" s="13" t="inlineStr">
        <is>
          <t>CE33</t>
        </is>
      </c>
      <c r="C2229" s="13" t="inlineStr">
        <is>
          <t>B3</t>
        </is>
      </c>
      <c r="D2229" s="13" t="n">
        <v>0</v>
      </c>
      <c r="E2229" s="13" t="inlineStr">
        <is>
          <t>E</t>
        </is>
      </c>
      <c r="F2229" s="13" t="n">
        <v>2021</v>
      </c>
      <c r="G2229" s="14" t="n">
        <v>8000659.496642409</v>
      </c>
      <c r="H2229" s="14" t="n">
        <v>1785973.515848945</v>
      </c>
      <c r="I2229" s="14" t="n">
        <v>1575231.624876194</v>
      </c>
      <c r="J2229" s="14" t="n">
        <v>0</v>
      </c>
      <c r="K2229" s="14" t="n">
        <v>730072.329259087</v>
      </c>
      <c r="L2229" s="14" t="n">
        <v>3909382.026658181</v>
      </c>
      <c r="M2229" s="14" t="n">
        <v>0</v>
      </c>
      <c r="N2229" s="14" t="n">
        <v>2680681.021444642</v>
      </c>
      <c r="O2229" s="14" t="n">
        <v>4006219.999358472</v>
      </c>
      <c r="P2229" s="14" t="n">
        <v>955231.634087686</v>
      </c>
      <c r="Q2229" s="14" t="n">
        <v>34147364.49218577</v>
      </c>
      <c r="R2229" s="15">
        <f>IF(D2229=1,"Section 1","Control")</f>
        <v/>
      </c>
      <c r="S2229" s="16">
        <f>N2229/10000</f>
        <v/>
      </c>
      <c r="T2229" s="16">
        <f>P2229/10000</f>
        <v/>
      </c>
      <c r="U2229" s="15">
        <f>IF(N2229&gt;=Summary!$D$3,1,0)</f>
        <v/>
      </c>
      <c r="V2229" s="17">
        <f>IF(N2229&gt;0,P2229/N2229,"")</f>
        <v/>
      </c>
      <c r="W2229" s="17">
        <f>IF(O2229&gt;0,H2229/O2229,"")</f>
        <v/>
      </c>
    </row>
    <row r="2230">
      <c r="A2230" s="13" t="inlineStr">
        <is>
          <t>CE33_B3</t>
        </is>
      </c>
      <c r="B2230" s="13" t="inlineStr">
        <is>
          <t>CE33</t>
        </is>
      </c>
      <c r="C2230" s="13" t="inlineStr">
        <is>
          <t>B3</t>
        </is>
      </c>
      <c r="D2230" s="13" t="n">
        <v>0</v>
      </c>
      <c r="E2230" s="13" t="inlineStr">
        <is>
          <t>E</t>
        </is>
      </c>
      <c r="F2230" s="13" t="n">
        <v>2022</v>
      </c>
      <c r="G2230" s="14" t="n">
        <v>8000659.496642409</v>
      </c>
      <c r="H2230" s="14" t="n">
        <v>1675349.621230451</v>
      </c>
      <c r="I2230" s="14" t="n">
        <v>1858516.503694123</v>
      </c>
      <c r="J2230" s="14" t="n">
        <v>0</v>
      </c>
      <c r="K2230" s="14" t="n">
        <v>738900.3699746523</v>
      </c>
      <c r="L2230" s="14" t="n">
        <v>3727893.001743181</v>
      </c>
      <c r="M2230" s="14" t="n">
        <v>0</v>
      </c>
      <c r="N2230" s="14" t="n">
        <v>2680681.021444642</v>
      </c>
      <c r="O2230" s="14" t="n">
        <v>4006219.999358472</v>
      </c>
      <c r="P2230" s="14" t="n">
        <v>1070328.940004895</v>
      </c>
      <c r="Q2230" s="14" t="n">
        <v>34147364.49218576</v>
      </c>
      <c r="R2230" s="15">
        <f>IF(D2230=1,"Section 1","Control")</f>
        <v/>
      </c>
      <c r="S2230" s="16">
        <f>N2230/10000</f>
        <v/>
      </c>
      <c r="T2230" s="16">
        <f>P2230/10000</f>
        <v/>
      </c>
      <c r="U2230" s="15">
        <f>IF(N2230&gt;=Summary!$D$3,1,0)</f>
        <v/>
      </c>
      <c r="V2230" s="17">
        <f>IF(N2230&gt;0,P2230/N2230,"")</f>
        <v/>
      </c>
      <c r="W2230" s="17">
        <f>IF(O2230&gt;0,H2230/O2230,"")</f>
        <v/>
      </c>
    </row>
    <row r="2231">
      <c r="A2231" s="13" t="inlineStr">
        <is>
          <t>CE33_B3</t>
        </is>
      </c>
      <c r="B2231" s="13" t="inlineStr">
        <is>
          <t>CE33</t>
        </is>
      </c>
      <c r="C2231" s="13" t="inlineStr">
        <is>
          <t>B3</t>
        </is>
      </c>
      <c r="D2231" s="13" t="n">
        <v>0</v>
      </c>
      <c r="E2231" s="13" t="inlineStr">
        <is>
          <t>E</t>
        </is>
      </c>
      <c r="F2231" s="13" t="n">
        <v>2023</v>
      </c>
      <c r="G2231" s="14" t="n">
        <v>8000659.496642409</v>
      </c>
      <c r="H2231" s="14" t="n">
        <v>1616812.077268264</v>
      </c>
      <c r="I2231" s="14" t="n">
        <v>1985060.811071089</v>
      </c>
      <c r="J2231" s="14" t="n">
        <v>0</v>
      </c>
      <c r="K2231" s="14" t="n">
        <v>422585.5583532894</v>
      </c>
      <c r="L2231" s="14" t="n">
        <v>3976201.049949765</v>
      </c>
      <c r="M2231" s="14" t="n">
        <v>0</v>
      </c>
      <c r="N2231" s="14" t="n">
        <v>2680681.021444642</v>
      </c>
      <c r="O2231" s="14" t="n">
        <v>4006219.999358472</v>
      </c>
      <c r="P2231" s="14" t="n">
        <v>1125014.86357009</v>
      </c>
      <c r="Q2231" s="14" t="n">
        <v>34147364.49218577</v>
      </c>
      <c r="R2231" s="15">
        <f>IF(D2231=1,"Section 1","Control")</f>
        <v/>
      </c>
      <c r="S2231" s="16">
        <f>N2231/10000</f>
        <v/>
      </c>
      <c r="T2231" s="16">
        <f>P2231/10000</f>
        <v/>
      </c>
      <c r="U2231" s="15">
        <f>IF(N2231&gt;=Summary!$D$3,1,0)</f>
        <v/>
      </c>
      <c r="V2231" s="17">
        <f>IF(N2231&gt;0,P2231/N2231,"")</f>
        <v/>
      </c>
      <c r="W2231" s="17">
        <f>IF(O2231&gt;0,H2231/O2231,"")</f>
        <v/>
      </c>
    </row>
    <row r="2232">
      <c r="A2232" s="13" t="inlineStr">
        <is>
          <t>CE33_B3</t>
        </is>
      </c>
      <c r="B2232" s="13" t="inlineStr">
        <is>
          <t>CE33</t>
        </is>
      </c>
      <c r="C2232" s="13" t="inlineStr">
        <is>
          <t>B3</t>
        </is>
      </c>
      <c r="D2232" s="13" t="n">
        <v>0</v>
      </c>
      <c r="E2232" s="13" t="inlineStr">
        <is>
          <t>E</t>
        </is>
      </c>
      <c r="F2232" s="13" t="n">
        <v>2024</v>
      </c>
      <c r="G2232" s="14" t="n">
        <v>8000659.496642409</v>
      </c>
      <c r="H2232" s="14" t="n">
        <v>2377240.059420417</v>
      </c>
      <c r="I2232" s="14" t="n">
        <v>1269831.187104977</v>
      </c>
      <c r="J2232" s="14" t="n">
        <v>0</v>
      </c>
      <c r="K2232" s="14" t="n">
        <v>438956.5393870933</v>
      </c>
      <c r="L2232" s="14" t="n">
        <v>3914631.71072992</v>
      </c>
      <c r="M2232" s="14" t="n">
        <v>0</v>
      </c>
      <c r="N2232" s="14" t="n">
        <v>2680681.021444642</v>
      </c>
      <c r="O2232" s="14" t="n">
        <v>4006219.999358472</v>
      </c>
      <c r="P2232" s="14" t="n">
        <v>626587.0526612228</v>
      </c>
      <c r="Q2232" s="14" t="n">
        <v>34147364.49218577</v>
      </c>
      <c r="R2232" s="15">
        <f>IF(D2232=1,"Section 1","Control")</f>
        <v/>
      </c>
      <c r="S2232" s="16">
        <f>N2232/10000</f>
        <v/>
      </c>
      <c r="T2232" s="16">
        <f>P2232/10000</f>
        <v/>
      </c>
      <c r="U2232" s="15">
        <f>IF(N2232&gt;=Summary!$D$3,1,0)</f>
        <v/>
      </c>
      <c r="V2232" s="17">
        <f>IF(N2232&gt;0,P2232/N2232,"")</f>
        <v/>
      </c>
      <c r="W2232" s="17">
        <f>IF(O2232&gt;0,H2232/O2232,"")</f>
        <v/>
      </c>
    </row>
    <row r="2233">
      <c r="A2233" s="13" t="inlineStr">
        <is>
          <t>CE33_B3</t>
        </is>
      </c>
      <c r="B2233" s="13" t="inlineStr">
        <is>
          <t>CE33</t>
        </is>
      </c>
      <c r="C2233" s="13" t="inlineStr">
        <is>
          <t>B3</t>
        </is>
      </c>
      <c r="D2233" s="13" t="n">
        <v>0</v>
      </c>
      <c r="E2233" s="13" t="inlineStr">
        <is>
          <t>E</t>
        </is>
      </c>
      <c r="F2233" s="13" t="n">
        <v>2025</v>
      </c>
      <c r="G2233" s="14" t="n">
        <v>8000659.496642409</v>
      </c>
      <c r="H2233" s="14" t="n">
        <v>1919856.448999832</v>
      </c>
      <c r="I2233" s="14" t="n">
        <v>1708143.450967916</v>
      </c>
      <c r="J2233" s="14" t="n">
        <v>0</v>
      </c>
      <c r="K2233" s="14" t="n">
        <v>395960.6581516041</v>
      </c>
      <c r="L2233" s="14" t="n">
        <v>3976698.938523057</v>
      </c>
      <c r="M2233" s="14" t="n">
        <v>0</v>
      </c>
      <c r="N2233" s="14" t="n">
        <v>2680681.021444642</v>
      </c>
      <c r="O2233" s="14" t="n">
        <v>4006219.999358472</v>
      </c>
      <c r="P2233" s="14" t="n">
        <v>955559.9987409704</v>
      </c>
      <c r="Q2233" s="14" t="n">
        <v>34147364.49218577</v>
      </c>
      <c r="R2233" s="15">
        <f>IF(D2233=1,"Section 1","Control")</f>
        <v/>
      </c>
      <c r="S2233" s="16">
        <f>N2233/10000</f>
        <v/>
      </c>
      <c r="T2233" s="16">
        <f>P2233/10000</f>
        <v/>
      </c>
      <c r="U2233" s="15">
        <f>IF(N2233&gt;=Summary!$D$3,1,0)</f>
        <v/>
      </c>
      <c r="V2233" s="17">
        <f>IF(N2233&gt;0,P2233/N2233,"")</f>
        <v/>
      </c>
      <c r="W2233" s="17">
        <f>IF(O2233&gt;0,H2233/O2233,"")</f>
        <v/>
      </c>
    </row>
    <row r="2234">
      <c r="A2234" s="13" t="inlineStr">
        <is>
          <t>CE33_B3</t>
        </is>
      </c>
      <c r="B2234" s="13" t="inlineStr">
        <is>
          <t>CE33</t>
        </is>
      </c>
      <c r="C2234" s="13" t="inlineStr">
        <is>
          <t>B3</t>
        </is>
      </c>
      <c r="D2234" s="13" t="n">
        <v>0</v>
      </c>
      <c r="E2234" s="13" t="inlineStr">
        <is>
          <t>E</t>
        </is>
      </c>
      <c r="F2234" s="13" t="n">
        <v>2026</v>
      </c>
      <c r="G2234" s="14" t="n">
        <v>8000659.496642409</v>
      </c>
      <c r="H2234" s="14" t="n">
        <v>2486218.843440217</v>
      </c>
      <c r="I2234" s="14" t="n">
        <v>1162884.422152859</v>
      </c>
      <c r="J2234" s="14" t="n">
        <v>0</v>
      </c>
      <c r="K2234" s="14" t="n">
        <v>381283.3259858075</v>
      </c>
      <c r="L2234" s="14" t="n">
        <v>3970272.905063525</v>
      </c>
      <c r="M2234" s="14" t="n">
        <v>0</v>
      </c>
      <c r="N2234" s="14" t="n">
        <v>2680681.021444642</v>
      </c>
      <c r="O2234" s="14" t="n">
        <v>4006219.999358472</v>
      </c>
      <c r="P2234" s="14" t="n">
        <v>623244.8064744837</v>
      </c>
      <c r="Q2234" s="14" t="n">
        <v>34147364.49218576</v>
      </c>
      <c r="R2234" s="15">
        <f>IF(D2234=1,"Section 1","Control")</f>
        <v/>
      </c>
      <c r="S2234" s="16">
        <f>N2234/10000</f>
        <v/>
      </c>
      <c r="T2234" s="16">
        <f>P2234/10000</f>
        <v/>
      </c>
      <c r="U2234" s="15">
        <f>IF(N2234&gt;=Summary!$D$3,1,0)</f>
        <v/>
      </c>
      <c r="V2234" s="17">
        <f>IF(N2234&gt;0,P2234/N2234,"")</f>
        <v/>
      </c>
      <c r="W2234" s="17">
        <f>IF(O2234&gt;0,H2234/O2234,"")</f>
        <v/>
      </c>
    </row>
    <row r="2235">
      <c r="A2235" s="13" t="inlineStr">
        <is>
          <t>CE33_F</t>
        </is>
      </c>
      <c r="B2235" s="13" t="inlineStr">
        <is>
          <t>CE33</t>
        </is>
      </c>
      <c r="C2235" s="13" t="inlineStr">
        <is>
          <t>F</t>
        </is>
      </c>
      <c r="D2235" s="13" t="n">
        <v>0</v>
      </c>
      <c r="E2235" s="13" t="inlineStr">
        <is>
          <t>E</t>
        </is>
      </c>
      <c r="F2235" s="13" t="n">
        <v>2020</v>
      </c>
      <c r="G2235" s="14" t="n">
        <v>69221.09884078082</v>
      </c>
      <c r="H2235" s="14" t="n">
        <v>32984.14920169605</v>
      </c>
      <c r="I2235" s="14" t="n">
        <v>34578.23322861616</v>
      </c>
      <c r="J2235" s="14" t="n">
        <v>0</v>
      </c>
      <c r="K2235" s="14" t="n">
        <v>1658.716410468606</v>
      </c>
      <c r="L2235" s="14" t="n">
        <v>0</v>
      </c>
      <c r="M2235" s="14" t="n">
        <v>0</v>
      </c>
      <c r="N2235" s="14" t="n">
        <v>32984.14920169605</v>
      </c>
      <c r="O2235" s="14" t="n">
        <v>69221.09884078082</v>
      </c>
      <c r="P2235" s="14" t="n">
        <v>0</v>
      </c>
      <c r="Q2235" s="14" t="n">
        <v>485664.6786844289</v>
      </c>
      <c r="R2235" s="15">
        <f>IF(D2235=1,"Section 1","Control")</f>
        <v/>
      </c>
      <c r="S2235" s="16">
        <f>N2235/10000</f>
        <v/>
      </c>
      <c r="T2235" s="16">
        <f>P2235/10000</f>
        <v/>
      </c>
      <c r="U2235" s="15">
        <f>IF(N2235&gt;=Summary!$D$3,1,0)</f>
        <v/>
      </c>
      <c r="V2235" s="17">
        <f>IF(N2235&gt;0,P2235/N2235,"")</f>
        <v/>
      </c>
      <c r="W2235" s="17">
        <f>IF(O2235&gt;0,H2235/O2235,"")</f>
        <v/>
      </c>
    </row>
    <row r="2236">
      <c r="A2236" s="13" t="inlineStr">
        <is>
          <t>CE33_F</t>
        </is>
      </c>
      <c r="B2236" s="13" t="inlineStr">
        <is>
          <t>CE33</t>
        </is>
      </c>
      <c r="C2236" s="13" t="inlineStr">
        <is>
          <t>F</t>
        </is>
      </c>
      <c r="D2236" s="13" t="n">
        <v>0</v>
      </c>
      <c r="E2236" s="13" t="inlineStr">
        <is>
          <t>E</t>
        </is>
      </c>
      <c r="F2236" s="13" t="n">
        <v>2021</v>
      </c>
      <c r="G2236" s="14" t="n">
        <v>69221.09884078082</v>
      </c>
      <c r="H2236" s="14" t="n">
        <v>48337.32315778546</v>
      </c>
      <c r="I2236" s="14" t="n">
        <v>17435.09043991986</v>
      </c>
      <c r="J2236" s="14" t="n">
        <v>0</v>
      </c>
      <c r="K2236" s="14" t="n">
        <v>3448.685243075502</v>
      </c>
      <c r="L2236" s="14" t="n">
        <v>0</v>
      </c>
      <c r="M2236" s="14" t="n">
        <v>0</v>
      </c>
      <c r="N2236" s="14" t="n">
        <v>32984.14920169605</v>
      </c>
      <c r="O2236" s="14" t="n">
        <v>69221.09884078082</v>
      </c>
      <c r="P2236" s="14" t="n">
        <v>2640.623043464212</v>
      </c>
      <c r="Q2236" s="14" t="n">
        <v>485664.6786844289</v>
      </c>
      <c r="R2236" s="15">
        <f>IF(D2236=1,"Section 1","Control")</f>
        <v/>
      </c>
      <c r="S2236" s="16">
        <f>N2236/10000</f>
        <v/>
      </c>
      <c r="T2236" s="16">
        <f>P2236/10000</f>
        <v/>
      </c>
      <c r="U2236" s="15">
        <f>IF(N2236&gt;=Summary!$D$3,1,0)</f>
        <v/>
      </c>
      <c r="V2236" s="17">
        <f>IF(N2236&gt;0,P2236/N2236,"")</f>
        <v/>
      </c>
      <c r="W2236" s="17">
        <f>IF(O2236&gt;0,H2236/O2236,"")</f>
        <v/>
      </c>
    </row>
    <row r="2237">
      <c r="A2237" s="13" t="inlineStr">
        <is>
          <t>CE33_F</t>
        </is>
      </c>
      <c r="B2237" s="13" t="inlineStr">
        <is>
          <t>CE33</t>
        </is>
      </c>
      <c r="C2237" s="13" t="inlineStr">
        <is>
          <t>F</t>
        </is>
      </c>
      <c r="D2237" s="13" t="n">
        <v>0</v>
      </c>
      <c r="E2237" s="13" t="inlineStr">
        <is>
          <t>E</t>
        </is>
      </c>
      <c r="F2237" s="13" t="n">
        <v>2022</v>
      </c>
      <c r="G2237" s="14" t="n">
        <v>69221.09884078082</v>
      </c>
      <c r="H2237" s="14" t="n">
        <v>40149.84447141161</v>
      </c>
      <c r="I2237" s="14" t="n">
        <v>25638.0566197414</v>
      </c>
      <c r="J2237" s="14" t="n">
        <v>0</v>
      </c>
      <c r="K2237" s="14" t="n">
        <v>3433.197749627805</v>
      </c>
      <c r="L2237" s="14" t="n">
        <v>0</v>
      </c>
      <c r="M2237" s="14" t="n">
        <v>0</v>
      </c>
      <c r="N2237" s="14" t="n">
        <v>32984.14920169605</v>
      </c>
      <c r="O2237" s="14" t="n">
        <v>69221.09884078082</v>
      </c>
      <c r="P2237" s="14" t="n">
        <v>5404.760331696156</v>
      </c>
      <c r="Q2237" s="14" t="n">
        <v>485664.6786844289</v>
      </c>
      <c r="R2237" s="15">
        <f>IF(D2237=1,"Section 1","Control")</f>
        <v/>
      </c>
      <c r="S2237" s="16">
        <f>N2237/10000</f>
        <v/>
      </c>
      <c r="T2237" s="16">
        <f>P2237/10000</f>
        <v/>
      </c>
      <c r="U2237" s="15">
        <f>IF(N2237&gt;=Summary!$D$3,1,0)</f>
        <v/>
      </c>
      <c r="V2237" s="17">
        <f>IF(N2237&gt;0,P2237/N2237,"")</f>
        <v/>
      </c>
      <c r="W2237" s="17">
        <f>IF(O2237&gt;0,H2237/O2237,"")</f>
        <v/>
      </c>
    </row>
    <row r="2238">
      <c r="A2238" s="13" t="inlineStr">
        <is>
          <t>CE33_F</t>
        </is>
      </c>
      <c r="B2238" s="13" t="inlineStr">
        <is>
          <t>CE33</t>
        </is>
      </c>
      <c r="C2238" s="13" t="inlineStr">
        <is>
          <t>F</t>
        </is>
      </c>
      <c r="D2238" s="13" t="n">
        <v>0</v>
      </c>
      <c r="E2238" s="13" t="inlineStr">
        <is>
          <t>E</t>
        </is>
      </c>
      <c r="F2238" s="13" t="n">
        <v>2023</v>
      </c>
      <c r="G2238" s="14" t="n">
        <v>69221.09884078082</v>
      </c>
      <c r="H2238" s="14" t="n">
        <v>39266.66556549072</v>
      </c>
      <c r="I2238" s="14" t="n">
        <v>27898.46386287914</v>
      </c>
      <c r="J2238" s="14" t="n">
        <v>0</v>
      </c>
      <c r="K2238" s="14" t="n">
        <v>2055.969412410961</v>
      </c>
      <c r="L2238" s="14" t="n">
        <v>0</v>
      </c>
      <c r="M2238" s="14" t="n">
        <v>0</v>
      </c>
      <c r="N2238" s="14" t="n">
        <v>32984.14920169605</v>
      </c>
      <c r="O2238" s="14" t="n">
        <v>69221.09884078082</v>
      </c>
      <c r="P2238" s="14" t="n">
        <v>5259.177430575502</v>
      </c>
      <c r="Q2238" s="14" t="n">
        <v>485664.6786844289</v>
      </c>
      <c r="R2238" s="15">
        <f>IF(D2238=1,"Section 1","Control")</f>
        <v/>
      </c>
      <c r="S2238" s="16">
        <f>N2238/10000</f>
        <v/>
      </c>
      <c r="T2238" s="16">
        <f>P2238/10000</f>
        <v/>
      </c>
      <c r="U2238" s="15">
        <f>IF(N2238&gt;=Summary!$D$3,1,0)</f>
        <v/>
      </c>
      <c r="V2238" s="17">
        <f>IF(N2238&gt;0,P2238/N2238,"")</f>
        <v/>
      </c>
      <c r="W2238" s="17">
        <f>IF(O2238&gt;0,H2238/O2238,"")</f>
        <v/>
      </c>
    </row>
    <row r="2239">
      <c r="A2239" s="13" t="inlineStr">
        <is>
          <t>CE33_F</t>
        </is>
      </c>
      <c r="B2239" s="13" t="inlineStr">
        <is>
          <t>CE33</t>
        </is>
      </c>
      <c r="C2239" s="13" t="inlineStr">
        <is>
          <t>F</t>
        </is>
      </c>
      <c r="D2239" s="13" t="n">
        <v>0</v>
      </c>
      <c r="E2239" s="13" t="inlineStr">
        <is>
          <t>E</t>
        </is>
      </c>
      <c r="F2239" s="13" t="n">
        <v>2024</v>
      </c>
      <c r="G2239" s="14" t="n">
        <v>69221.09884078082</v>
      </c>
      <c r="H2239" s="14" t="n">
        <v>32033.60324527516</v>
      </c>
      <c r="I2239" s="14" t="n">
        <v>14786.71397277234</v>
      </c>
      <c r="J2239" s="14" t="n">
        <v>0</v>
      </c>
      <c r="K2239" s="14" t="n">
        <v>22400.78162273332</v>
      </c>
      <c r="L2239" s="14" t="n">
        <v>0</v>
      </c>
      <c r="M2239" s="14" t="n">
        <v>0</v>
      </c>
      <c r="N2239" s="14" t="n">
        <v>32984.14920169605</v>
      </c>
      <c r="O2239" s="14" t="n">
        <v>69221.09884078082</v>
      </c>
      <c r="P2239" s="14" t="n">
        <v>8310.220387716856</v>
      </c>
      <c r="Q2239" s="14" t="n">
        <v>485664.6786844289</v>
      </c>
      <c r="R2239" s="15">
        <f>IF(D2239=1,"Section 1","Control")</f>
        <v/>
      </c>
      <c r="S2239" s="16">
        <f>N2239/10000</f>
        <v/>
      </c>
      <c r="T2239" s="16">
        <f>P2239/10000</f>
        <v/>
      </c>
      <c r="U2239" s="15">
        <f>IF(N2239&gt;=Summary!$D$3,1,0)</f>
        <v/>
      </c>
      <c r="V2239" s="17">
        <f>IF(N2239&gt;0,P2239/N2239,"")</f>
        <v/>
      </c>
      <c r="W2239" s="17">
        <f>IF(O2239&gt;0,H2239/O2239,"")</f>
        <v/>
      </c>
    </row>
    <row r="2240">
      <c r="A2240" s="13" t="inlineStr">
        <is>
          <t>CE33_F</t>
        </is>
      </c>
      <c r="B2240" s="13" t="inlineStr">
        <is>
          <t>CE33</t>
        </is>
      </c>
      <c r="C2240" s="13" t="inlineStr">
        <is>
          <t>F</t>
        </is>
      </c>
      <c r="D2240" s="13" t="n">
        <v>0</v>
      </c>
      <c r="E2240" s="13" t="inlineStr">
        <is>
          <t>E</t>
        </is>
      </c>
      <c r="F2240" s="13" t="n">
        <v>2025</v>
      </c>
      <c r="G2240" s="14" t="n">
        <v>69221.09884078082</v>
      </c>
      <c r="H2240" s="14" t="n">
        <v>33501.81775575527</v>
      </c>
      <c r="I2240" s="14" t="n">
        <v>27789.66668267344</v>
      </c>
      <c r="J2240" s="14" t="n">
        <v>0</v>
      </c>
      <c r="K2240" s="14" t="n">
        <v>7929.614402352126</v>
      </c>
      <c r="L2240" s="14" t="n">
        <v>0</v>
      </c>
      <c r="M2240" s="14" t="n">
        <v>0</v>
      </c>
      <c r="N2240" s="14" t="n">
        <v>32984.14920169605</v>
      </c>
      <c r="O2240" s="14" t="n">
        <v>69221.09884078082</v>
      </c>
      <c r="P2240" s="14" t="n">
        <v>8920.042547009038</v>
      </c>
      <c r="Q2240" s="14" t="n">
        <v>485664.6786844289</v>
      </c>
      <c r="R2240" s="15">
        <f>IF(D2240=1,"Section 1","Control")</f>
        <v/>
      </c>
      <c r="S2240" s="16">
        <f>N2240/10000</f>
        <v/>
      </c>
      <c r="T2240" s="16">
        <f>P2240/10000</f>
        <v/>
      </c>
      <c r="U2240" s="15">
        <f>IF(N2240&gt;=Summary!$D$3,1,0)</f>
        <v/>
      </c>
      <c r="V2240" s="17">
        <f>IF(N2240&gt;0,P2240/N2240,"")</f>
        <v/>
      </c>
      <c r="W2240" s="17">
        <f>IF(O2240&gt;0,H2240/O2240,"")</f>
        <v/>
      </c>
    </row>
    <row r="2241">
      <c r="A2241" s="13" t="inlineStr">
        <is>
          <t>CE33_F</t>
        </is>
      </c>
      <c r="B2241" s="13" t="inlineStr">
        <is>
          <t>CE33</t>
        </is>
      </c>
      <c r="C2241" s="13" t="inlineStr">
        <is>
          <t>F</t>
        </is>
      </c>
      <c r="D2241" s="13" t="n">
        <v>0</v>
      </c>
      <c r="E2241" s="13" t="inlineStr">
        <is>
          <t>E</t>
        </is>
      </c>
      <c r="F2241" s="13" t="n">
        <v>2026</v>
      </c>
      <c r="G2241" s="14" t="n">
        <v>69221.09884078082</v>
      </c>
      <c r="H2241" s="14" t="n">
        <v>43379.76655243519</v>
      </c>
      <c r="I2241" s="14" t="n">
        <v>12076.78829878264</v>
      </c>
      <c r="J2241" s="14" t="n">
        <v>0</v>
      </c>
      <c r="K2241" s="14" t="n">
        <v>13764.54398956299</v>
      </c>
      <c r="L2241" s="14" t="n">
        <v>0</v>
      </c>
      <c r="M2241" s="14" t="n">
        <v>0</v>
      </c>
      <c r="N2241" s="14" t="n">
        <v>32984.14920169605</v>
      </c>
      <c r="O2241" s="14" t="n">
        <v>69221.09884078082</v>
      </c>
      <c r="P2241" s="14" t="n">
        <v>7417.364037936341</v>
      </c>
      <c r="Q2241" s="14" t="n">
        <v>485664.6786844289</v>
      </c>
      <c r="R2241" s="15">
        <f>IF(D2241=1,"Section 1","Control")</f>
        <v/>
      </c>
      <c r="S2241" s="16">
        <f>N2241/10000</f>
        <v/>
      </c>
      <c r="T2241" s="16">
        <f>P2241/10000</f>
        <v/>
      </c>
      <c r="U2241" s="15">
        <f>IF(N2241&gt;=Summary!$D$3,1,0)</f>
        <v/>
      </c>
      <c r="V2241" s="17">
        <f>IF(N2241&gt;0,P2241/N2241,"")</f>
        <v/>
      </c>
      <c r="W2241" s="17">
        <f>IF(O2241&gt;0,H2241/O2241,"")</f>
        <v/>
      </c>
    </row>
    <row r="2242">
      <c r="A2242" s="13" t="inlineStr">
        <is>
          <t>CE34_B1</t>
        </is>
      </c>
      <c r="B2242" s="13" t="inlineStr">
        <is>
          <t>CE34</t>
        </is>
      </c>
      <c r="C2242" s="13" t="inlineStr">
        <is>
          <t>B1</t>
        </is>
      </c>
      <c r="D2242" s="13" t="n">
        <v>0</v>
      </c>
      <c r="E2242" s="13" t="inlineStr">
        <is>
          <t>E</t>
        </is>
      </c>
      <c r="F2242" s="13" t="n">
        <v>2020</v>
      </c>
      <c r="G2242" s="14" t="n">
        <v>1025223.070073116</v>
      </c>
      <c r="H2242" s="14" t="n">
        <v>410210.8875999002</v>
      </c>
      <c r="I2242" s="14" t="n">
        <v>315972.3350818709</v>
      </c>
      <c r="J2242" s="14" t="n">
        <v>0</v>
      </c>
      <c r="K2242" s="14" t="n">
        <v>54233.60387393727</v>
      </c>
      <c r="L2242" s="14" t="n">
        <v>244806.2435174081</v>
      </c>
      <c r="M2242" s="14" t="n">
        <v>0</v>
      </c>
      <c r="N2242" s="14" t="n">
        <v>410210.8875999002</v>
      </c>
      <c r="O2242" s="14" t="n">
        <v>780416.8265557082</v>
      </c>
      <c r="P2242" s="14" t="n">
        <v>0</v>
      </c>
      <c r="Q2242" s="14" t="n">
        <v>5023924.002845407</v>
      </c>
      <c r="R2242" s="15">
        <f>IF(D2242=1,"Section 1","Control")</f>
        <v/>
      </c>
      <c r="S2242" s="16">
        <f>N2242/10000</f>
        <v/>
      </c>
      <c r="T2242" s="16">
        <f>P2242/10000</f>
        <v/>
      </c>
      <c r="U2242" s="15">
        <f>IF(N2242&gt;=Summary!$D$3,1,0)</f>
        <v/>
      </c>
      <c r="V2242" s="17">
        <f>IF(N2242&gt;0,P2242/N2242,"")</f>
        <v/>
      </c>
      <c r="W2242" s="17">
        <f>IF(O2242&gt;0,H2242/O2242,"")</f>
        <v/>
      </c>
    </row>
    <row r="2243">
      <c r="A2243" s="13" t="inlineStr">
        <is>
          <t>CE34_B1</t>
        </is>
      </c>
      <c r="B2243" s="13" t="inlineStr">
        <is>
          <t>CE34</t>
        </is>
      </c>
      <c r="C2243" s="13" t="inlineStr">
        <is>
          <t>B1</t>
        </is>
      </c>
      <c r="D2243" s="13" t="n">
        <v>0</v>
      </c>
      <c r="E2243" s="13" t="inlineStr">
        <is>
          <t>E</t>
        </is>
      </c>
      <c r="F2243" s="13" t="n">
        <v>2021</v>
      </c>
      <c r="G2243" s="14" t="n">
        <v>1025223.070073116</v>
      </c>
      <c r="H2243" s="14" t="n">
        <v>375184.3897729313</v>
      </c>
      <c r="I2243" s="14" t="n">
        <v>359744.3655834423</v>
      </c>
      <c r="J2243" s="14" t="n">
        <v>0</v>
      </c>
      <c r="K2243" s="14" t="n">
        <v>93148.25939289168</v>
      </c>
      <c r="L2243" s="14" t="n">
        <v>197146.0553238513</v>
      </c>
      <c r="M2243" s="14" t="n">
        <v>0</v>
      </c>
      <c r="N2243" s="14" t="n">
        <v>410210.8875999002</v>
      </c>
      <c r="O2243" s="14" t="n">
        <v>780416.8265557082</v>
      </c>
      <c r="P2243" s="14" t="n">
        <v>55627.24157843497</v>
      </c>
      <c r="Q2243" s="14" t="n">
        <v>5023924.002845406</v>
      </c>
      <c r="R2243" s="15">
        <f>IF(D2243=1,"Section 1","Control")</f>
        <v/>
      </c>
      <c r="S2243" s="16">
        <f>N2243/10000</f>
        <v/>
      </c>
      <c r="T2243" s="16">
        <f>P2243/10000</f>
        <v/>
      </c>
      <c r="U2243" s="15">
        <f>IF(N2243&gt;=Summary!$D$3,1,0)</f>
        <v/>
      </c>
      <c r="V2243" s="17">
        <f>IF(N2243&gt;0,P2243/N2243,"")</f>
        <v/>
      </c>
      <c r="W2243" s="17">
        <f>IF(O2243&gt;0,H2243/O2243,"")</f>
        <v/>
      </c>
    </row>
    <row r="2244">
      <c r="A2244" s="13" t="inlineStr">
        <is>
          <t>CE34_B1</t>
        </is>
      </c>
      <c r="B2244" s="13" t="inlineStr">
        <is>
          <t>CE34</t>
        </is>
      </c>
      <c r="C2244" s="13" t="inlineStr">
        <is>
          <t>B1</t>
        </is>
      </c>
      <c r="D2244" s="13" t="n">
        <v>0</v>
      </c>
      <c r="E2244" s="13" t="inlineStr">
        <is>
          <t>E</t>
        </is>
      </c>
      <c r="F2244" s="13" t="n">
        <v>2022</v>
      </c>
      <c r="G2244" s="14" t="n">
        <v>1025223.070073116</v>
      </c>
      <c r="H2244" s="14" t="n">
        <v>374427.055676479</v>
      </c>
      <c r="I2244" s="14" t="n">
        <v>336620.7977649763</v>
      </c>
      <c r="J2244" s="14" t="n">
        <v>0</v>
      </c>
      <c r="K2244" s="14" t="n">
        <v>117995.0407637652</v>
      </c>
      <c r="L2244" s="14" t="n">
        <v>196180.175867896</v>
      </c>
      <c r="M2244" s="14" t="n">
        <v>0</v>
      </c>
      <c r="N2244" s="14" t="n">
        <v>410210.8875999002</v>
      </c>
      <c r="O2244" s="14" t="n">
        <v>780416.8265557082</v>
      </c>
      <c r="P2244" s="14" t="n">
        <v>62458.38728984757</v>
      </c>
      <c r="Q2244" s="14" t="n">
        <v>5023924.002845406</v>
      </c>
      <c r="R2244" s="15">
        <f>IF(D2244=1,"Section 1","Control")</f>
        <v/>
      </c>
      <c r="S2244" s="16">
        <f>N2244/10000</f>
        <v/>
      </c>
      <c r="T2244" s="16">
        <f>P2244/10000</f>
        <v/>
      </c>
      <c r="U2244" s="15">
        <f>IF(N2244&gt;=Summary!$D$3,1,0)</f>
        <v/>
      </c>
      <c r="V2244" s="17">
        <f>IF(N2244&gt;0,P2244/N2244,"")</f>
        <v/>
      </c>
      <c r="W2244" s="17">
        <f>IF(O2244&gt;0,H2244/O2244,"")</f>
        <v/>
      </c>
    </row>
    <row r="2245">
      <c r="A2245" s="13" t="inlineStr">
        <is>
          <t>CE34_B1</t>
        </is>
      </c>
      <c r="B2245" s="13" t="inlineStr">
        <is>
          <t>CE34</t>
        </is>
      </c>
      <c r="C2245" s="13" t="inlineStr">
        <is>
          <t>B1</t>
        </is>
      </c>
      <c r="D2245" s="13" t="n">
        <v>0</v>
      </c>
      <c r="E2245" s="13" t="inlineStr">
        <is>
          <t>E</t>
        </is>
      </c>
      <c r="F2245" s="13" t="n">
        <v>2023</v>
      </c>
      <c r="G2245" s="14" t="n">
        <v>1025223.070073116</v>
      </c>
      <c r="H2245" s="14" t="n">
        <v>324009.0048271329</v>
      </c>
      <c r="I2245" s="14" t="n">
        <v>392983.6156693402</v>
      </c>
      <c r="J2245" s="14" t="n">
        <v>0</v>
      </c>
      <c r="K2245" s="14" t="n">
        <v>73285.90385104909</v>
      </c>
      <c r="L2245" s="14" t="n">
        <v>234944.5457255943</v>
      </c>
      <c r="M2245" s="14" t="n">
        <v>0</v>
      </c>
      <c r="N2245" s="14" t="n">
        <v>410210.8875999002</v>
      </c>
      <c r="O2245" s="14" t="n">
        <v>780416.8265557082</v>
      </c>
      <c r="P2245" s="14" t="n">
        <v>99407.34104859596</v>
      </c>
      <c r="Q2245" s="14" t="n">
        <v>5023924.002845406</v>
      </c>
      <c r="R2245" s="15">
        <f>IF(D2245=1,"Section 1","Control")</f>
        <v/>
      </c>
      <c r="S2245" s="16">
        <f>N2245/10000</f>
        <v/>
      </c>
      <c r="T2245" s="16">
        <f>P2245/10000</f>
        <v/>
      </c>
      <c r="U2245" s="15">
        <f>IF(N2245&gt;=Summary!$D$3,1,0)</f>
        <v/>
      </c>
      <c r="V2245" s="17">
        <f>IF(N2245&gt;0,P2245/N2245,"")</f>
        <v/>
      </c>
      <c r="W2245" s="17">
        <f>IF(O2245&gt;0,H2245/O2245,"")</f>
        <v/>
      </c>
    </row>
    <row r="2246">
      <c r="A2246" s="13" t="inlineStr">
        <is>
          <t>CE34_B1</t>
        </is>
      </c>
      <c r="B2246" s="13" t="inlineStr">
        <is>
          <t>CE34</t>
        </is>
      </c>
      <c r="C2246" s="13" t="inlineStr">
        <is>
          <t>B1</t>
        </is>
      </c>
      <c r="D2246" s="13" t="n">
        <v>0</v>
      </c>
      <c r="E2246" s="13" t="inlineStr">
        <is>
          <t>E</t>
        </is>
      </c>
      <c r="F2246" s="13" t="n">
        <v>2024</v>
      </c>
      <c r="G2246" s="14" t="n">
        <v>1025223.070073116</v>
      </c>
      <c r="H2246" s="14" t="n">
        <v>360637.5878732719</v>
      </c>
      <c r="I2246" s="14" t="n">
        <v>376971.3390798232</v>
      </c>
      <c r="J2246" s="14" t="n">
        <v>0</v>
      </c>
      <c r="K2246" s="14" t="n">
        <v>136883.6963016585</v>
      </c>
      <c r="L2246" s="14" t="n">
        <v>150730.446818363</v>
      </c>
      <c r="M2246" s="14" t="n">
        <v>0</v>
      </c>
      <c r="N2246" s="14" t="n">
        <v>410210.8875999002</v>
      </c>
      <c r="O2246" s="14" t="n">
        <v>780416.8265557082</v>
      </c>
      <c r="P2246" s="14" t="n">
        <v>76708.93343221628</v>
      </c>
      <c r="Q2246" s="14" t="n">
        <v>5023924.002845406</v>
      </c>
      <c r="R2246" s="15">
        <f>IF(D2246=1,"Section 1","Control")</f>
        <v/>
      </c>
      <c r="S2246" s="16">
        <f>N2246/10000</f>
        <v/>
      </c>
      <c r="T2246" s="16">
        <f>P2246/10000</f>
        <v/>
      </c>
      <c r="U2246" s="15">
        <f>IF(N2246&gt;=Summary!$D$3,1,0)</f>
        <v/>
      </c>
      <c r="V2246" s="17">
        <f>IF(N2246&gt;0,P2246/N2246,"")</f>
        <v/>
      </c>
      <c r="W2246" s="17">
        <f>IF(O2246&gt;0,H2246/O2246,"")</f>
        <v/>
      </c>
    </row>
    <row r="2247">
      <c r="A2247" s="13" t="inlineStr">
        <is>
          <t>CE34_B1</t>
        </is>
      </c>
      <c r="B2247" s="13" t="inlineStr">
        <is>
          <t>CE34</t>
        </is>
      </c>
      <c r="C2247" s="13" t="inlineStr">
        <is>
          <t>B1</t>
        </is>
      </c>
      <c r="D2247" s="13" t="n">
        <v>0</v>
      </c>
      <c r="E2247" s="13" t="inlineStr">
        <is>
          <t>E</t>
        </is>
      </c>
      <c r="F2247" s="13" t="n">
        <v>2025</v>
      </c>
      <c r="G2247" s="14" t="n">
        <v>1025223.070073116</v>
      </c>
      <c r="H2247" s="14" t="n">
        <v>366404.0413872513</v>
      </c>
      <c r="I2247" s="14" t="n">
        <v>348957.4035204719</v>
      </c>
      <c r="J2247" s="14" t="n">
        <v>0</v>
      </c>
      <c r="K2247" s="14" t="n">
        <v>83066.68622825472</v>
      </c>
      <c r="L2247" s="14" t="n">
        <v>226794.9389371386</v>
      </c>
      <c r="M2247" s="14" t="n">
        <v>0</v>
      </c>
      <c r="N2247" s="14" t="n">
        <v>410210.8875999002</v>
      </c>
      <c r="O2247" s="14" t="n">
        <v>780416.8265557082</v>
      </c>
      <c r="P2247" s="14" t="n">
        <v>68652.30700414321</v>
      </c>
      <c r="Q2247" s="14" t="n">
        <v>5023924.002845406</v>
      </c>
      <c r="R2247" s="15">
        <f>IF(D2247=1,"Section 1","Control")</f>
        <v/>
      </c>
      <c r="S2247" s="16">
        <f>N2247/10000</f>
        <v/>
      </c>
      <c r="T2247" s="16">
        <f>P2247/10000</f>
        <v/>
      </c>
      <c r="U2247" s="15">
        <f>IF(N2247&gt;=Summary!$D$3,1,0)</f>
        <v/>
      </c>
      <c r="V2247" s="17">
        <f>IF(N2247&gt;0,P2247/N2247,"")</f>
        <v/>
      </c>
      <c r="W2247" s="17">
        <f>IF(O2247&gt;0,H2247/O2247,"")</f>
        <v/>
      </c>
    </row>
    <row r="2248">
      <c r="A2248" s="13" t="inlineStr">
        <is>
          <t>CE34_B1</t>
        </is>
      </c>
      <c r="B2248" s="13" t="inlineStr">
        <is>
          <t>CE34</t>
        </is>
      </c>
      <c r="C2248" s="13" t="inlineStr">
        <is>
          <t>B1</t>
        </is>
      </c>
      <c r="D2248" s="13" t="n">
        <v>0</v>
      </c>
      <c r="E2248" s="13" t="inlineStr">
        <is>
          <t>E</t>
        </is>
      </c>
      <c r="F2248" s="13" t="n">
        <v>2026</v>
      </c>
      <c r="G2248" s="14" t="n">
        <v>1025223.070073116</v>
      </c>
      <c r="H2248" s="14" t="n">
        <v>393683.6498719458</v>
      </c>
      <c r="I2248" s="14" t="n">
        <v>341339.8799906113</v>
      </c>
      <c r="J2248" s="14" t="n">
        <v>0</v>
      </c>
      <c r="K2248" s="14" t="n">
        <v>107316.3804961859</v>
      </c>
      <c r="L2248" s="14" t="n">
        <v>182883.1597143734</v>
      </c>
      <c r="M2248" s="14" t="n">
        <v>0</v>
      </c>
      <c r="N2248" s="14" t="n">
        <v>410210.8875999002</v>
      </c>
      <c r="O2248" s="14" t="n">
        <v>780416.8265557082</v>
      </c>
      <c r="P2248" s="14" t="n">
        <v>56291.38359300202</v>
      </c>
      <c r="Q2248" s="14" t="n">
        <v>5023924.002845406</v>
      </c>
      <c r="R2248" s="15">
        <f>IF(D2248=1,"Section 1","Control")</f>
        <v/>
      </c>
      <c r="S2248" s="16">
        <f>N2248/10000</f>
        <v/>
      </c>
      <c r="T2248" s="16">
        <f>P2248/10000</f>
        <v/>
      </c>
      <c r="U2248" s="15">
        <f>IF(N2248&gt;=Summary!$D$3,1,0)</f>
        <v/>
      </c>
      <c r="V2248" s="17">
        <f>IF(N2248&gt;0,P2248/N2248,"")</f>
        <v/>
      </c>
      <c r="W2248" s="17">
        <f>IF(O2248&gt;0,H2248/O2248,"")</f>
        <v/>
      </c>
    </row>
    <row r="2249">
      <c r="A2249" s="13" t="inlineStr">
        <is>
          <t>CE34_B2</t>
        </is>
      </c>
      <c r="B2249" s="13" t="inlineStr">
        <is>
          <t>CE34</t>
        </is>
      </c>
      <c r="C2249" s="13" t="inlineStr">
        <is>
          <t>B2</t>
        </is>
      </c>
      <c r="D2249" s="13" t="n">
        <v>0</v>
      </c>
      <c r="E2249" s="13" t="inlineStr">
        <is>
          <t>E</t>
        </is>
      </c>
      <c r="F2249" s="13" t="n">
        <v>2020</v>
      </c>
      <c r="G2249" s="14" t="n">
        <v>1025641.607232845</v>
      </c>
      <c r="H2249" s="14" t="n">
        <v>445007.0776375864</v>
      </c>
      <c r="I2249" s="14" t="n">
        <v>59091.2939627554</v>
      </c>
      <c r="J2249" s="14" t="n">
        <v>0</v>
      </c>
      <c r="K2249" s="14" t="n">
        <v>8141.349381271063</v>
      </c>
      <c r="L2249" s="14" t="n">
        <v>513401.8862512327</v>
      </c>
      <c r="M2249" s="14" t="n">
        <v>0</v>
      </c>
      <c r="N2249" s="14" t="n">
        <v>445007.0776375864</v>
      </c>
      <c r="O2249" s="14" t="n">
        <v>512239.7209816127</v>
      </c>
      <c r="P2249" s="14" t="n">
        <v>0</v>
      </c>
      <c r="Q2249" s="14" t="n">
        <v>5594483.566624539</v>
      </c>
      <c r="R2249" s="15">
        <f>IF(D2249=1,"Section 1","Control")</f>
        <v/>
      </c>
      <c r="S2249" s="16">
        <f>N2249/10000</f>
        <v/>
      </c>
      <c r="T2249" s="16">
        <f>P2249/10000</f>
        <v/>
      </c>
      <c r="U2249" s="15">
        <f>IF(N2249&gt;=Summary!$D$3,1,0)</f>
        <v/>
      </c>
      <c r="V2249" s="17">
        <f>IF(N2249&gt;0,P2249/N2249,"")</f>
        <v/>
      </c>
      <c r="W2249" s="17">
        <f>IF(O2249&gt;0,H2249/O2249,"")</f>
        <v/>
      </c>
    </row>
    <row r="2250">
      <c r="A2250" s="13" t="inlineStr">
        <is>
          <t>CE34_B2</t>
        </is>
      </c>
      <c r="B2250" s="13" t="inlineStr">
        <is>
          <t>CE34</t>
        </is>
      </c>
      <c r="C2250" s="13" t="inlineStr">
        <is>
          <t>B2</t>
        </is>
      </c>
      <c r="D2250" s="13" t="n">
        <v>0</v>
      </c>
      <c r="E2250" s="13" t="inlineStr">
        <is>
          <t>E</t>
        </is>
      </c>
      <c r="F2250" s="13" t="n">
        <v>2021</v>
      </c>
      <c r="G2250" s="14" t="n">
        <v>1025641.607232845</v>
      </c>
      <c r="H2250" s="14" t="n">
        <v>418259.9272672466</v>
      </c>
      <c r="I2250" s="14" t="n">
        <v>78129.58894273348</v>
      </c>
      <c r="J2250" s="14" t="n">
        <v>0</v>
      </c>
      <c r="K2250" s="14" t="n">
        <v>16343.86691152535</v>
      </c>
      <c r="L2250" s="14" t="n">
        <v>512908.2241113401</v>
      </c>
      <c r="M2250" s="14" t="n">
        <v>0</v>
      </c>
      <c r="N2250" s="14" t="n">
        <v>445007.0776375864</v>
      </c>
      <c r="O2250" s="14" t="n">
        <v>512239.7209816127</v>
      </c>
      <c r="P2250" s="14" t="n">
        <v>36182.82873221005</v>
      </c>
      <c r="Q2250" s="14" t="n">
        <v>5594483.566624539</v>
      </c>
      <c r="R2250" s="15">
        <f>IF(D2250=1,"Section 1","Control")</f>
        <v/>
      </c>
      <c r="S2250" s="16">
        <f>N2250/10000</f>
        <v/>
      </c>
      <c r="T2250" s="16">
        <f>P2250/10000</f>
        <v/>
      </c>
      <c r="U2250" s="15">
        <f>IF(N2250&gt;=Summary!$D$3,1,0)</f>
        <v/>
      </c>
      <c r="V2250" s="17">
        <f>IF(N2250&gt;0,P2250/N2250,"")</f>
        <v/>
      </c>
      <c r="W2250" s="17">
        <f>IF(O2250&gt;0,H2250/O2250,"")</f>
        <v/>
      </c>
    </row>
    <row r="2251">
      <c r="A2251" s="13" t="inlineStr">
        <is>
          <t>CE34_B2</t>
        </is>
      </c>
      <c r="B2251" s="13" t="inlineStr">
        <is>
          <t>CE34</t>
        </is>
      </c>
      <c r="C2251" s="13" t="inlineStr">
        <is>
          <t>B2</t>
        </is>
      </c>
      <c r="D2251" s="13" t="n">
        <v>0</v>
      </c>
      <c r="E2251" s="13" t="inlineStr">
        <is>
          <t>E</t>
        </is>
      </c>
      <c r="F2251" s="13" t="n">
        <v>2022</v>
      </c>
      <c r="G2251" s="14" t="n">
        <v>1025641.607232845</v>
      </c>
      <c r="H2251" s="14" t="n">
        <v>435346.4212065753</v>
      </c>
      <c r="I2251" s="14" t="n">
        <v>59490.87950092391</v>
      </c>
      <c r="J2251" s="14" t="n">
        <v>0</v>
      </c>
      <c r="K2251" s="14" t="n">
        <v>18230.99858236874</v>
      </c>
      <c r="L2251" s="14" t="n">
        <v>512573.3079429776</v>
      </c>
      <c r="M2251" s="14" t="n">
        <v>0</v>
      </c>
      <c r="N2251" s="14" t="n">
        <v>445007.0776375864</v>
      </c>
      <c r="O2251" s="14" t="n">
        <v>512239.7209816127</v>
      </c>
      <c r="P2251" s="14" t="n">
        <v>25644.7873782588</v>
      </c>
      <c r="Q2251" s="14" t="n">
        <v>5594483.566624539</v>
      </c>
      <c r="R2251" s="15">
        <f>IF(D2251=1,"Section 1","Control")</f>
        <v/>
      </c>
      <c r="S2251" s="16">
        <f>N2251/10000</f>
        <v/>
      </c>
      <c r="T2251" s="16">
        <f>P2251/10000</f>
        <v/>
      </c>
      <c r="U2251" s="15">
        <f>IF(N2251&gt;=Summary!$D$3,1,0)</f>
        <v/>
      </c>
      <c r="V2251" s="17">
        <f>IF(N2251&gt;0,P2251/N2251,"")</f>
        <v/>
      </c>
      <c r="W2251" s="17">
        <f>IF(O2251&gt;0,H2251/O2251,"")</f>
        <v/>
      </c>
    </row>
    <row r="2252">
      <c r="A2252" s="13" t="inlineStr">
        <is>
          <t>CE34_B2</t>
        </is>
      </c>
      <c r="B2252" s="13" t="inlineStr">
        <is>
          <t>CE34</t>
        </is>
      </c>
      <c r="C2252" s="13" t="inlineStr">
        <is>
          <t>B2</t>
        </is>
      </c>
      <c r="D2252" s="13" t="n">
        <v>0</v>
      </c>
      <c r="E2252" s="13" t="inlineStr">
        <is>
          <t>E</t>
        </is>
      </c>
      <c r="F2252" s="13" t="n">
        <v>2023</v>
      </c>
      <c r="G2252" s="14" t="n">
        <v>1025641.607232845</v>
      </c>
      <c r="H2252" s="14" t="n">
        <v>429760.8675190046</v>
      </c>
      <c r="I2252" s="14" t="n">
        <v>66822.63849998922</v>
      </c>
      <c r="J2252" s="14" t="n">
        <v>0</v>
      </c>
      <c r="K2252" s="14" t="n">
        <v>16484.79327087403</v>
      </c>
      <c r="L2252" s="14" t="n">
        <v>512573.3079429776</v>
      </c>
      <c r="M2252" s="14" t="n">
        <v>0</v>
      </c>
      <c r="N2252" s="14" t="n">
        <v>445007.0776375864</v>
      </c>
      <c r="O2252" s="14" t="n">
        <v>512239.7209816127</v>
      </c>
      <c r="P2252" s="14" t="n">
        <v>37770.64694375431</v>
      </c>
      <c r="Q2252" s="14" t="n">
        <v>5594483.566624539</v>
      </c>
      <c r="R2252" s="15">
        <f>IF(D2252=1,"Section 1","Control")</f>
        <v/>
      </c>
      <c r="S2252" s="16">
        <f>N2252/10000</f>
        <v/>
      </c>
      <c r="T2252" s="16">
        <f>P2252/10000</f>
        <v/>
      </c>
      <c r="U2252" s="15">
        <f>IF(N2252&gt;=Summary!$D$3,1,0)</f>
        <v/>
      </c>
      <c r="V2252" s="17">
        <f>IF(N2252&gt;0,P2252/N2252,"")</f>
        <v/>
      </c>
      <c r="W2252" s="17">
        <f>IF(O2252&gt;0,H2252/O2252,"")</f>
        <v/>
      </c>
    </row>
    <row r="2253">
      <c r="A2253" s="13" t="inlineStr">
        <is>
          <t>CE34_B2</t>
        </is>
      </c>
      <c r="B2253" s="13" t="inlineStr">
        <is>
          <t>CE34</t>
        </is>
      </c>
      <c r="C2253" s="13" t="inlineStr">
        <is>
          <t>B2</t>
        </is>
      </c>
      <c r="D2253" s="13" t="n">
        <v>0</v>
      </c>
      <c r="E2253" s="13" t="inlineStr">
        <is>
          <t>E</t>
        </is>
      </c>
      <c r="F2253" s="13" t="n">
        <v>2024</v>
      </c>
      <c r="G2253" s="14" t="n">
        <v>1025641.607232845</v>
      </c>
      <c r="H2253" s="14" t="n">
        <v>445069.3964137656</v>
      </c>
      <c r="I2253" s="14" t="n">
        <v>49083.36904057522</v>
      </c>
      <c r="J2253" s="14" t="n">
        <v>0</v>
      </c>
      <c r="K2253" s="14" t="n">
        <v>18915.53383552701</v>
      </c>
      <c r="L2253" s="14" t="n">
        <v>512573.3079429776</v>
      </c>
      <c r="M2253" s="14" t="n">
        <v>0</v>
      </c>
      <c r="N2253" s="14" t="n">
        <v>445007.0776375864</v>
      </c>
      <c r="O2253" s="14" t="n">
        <v>512239.7209816127</v>
      </c>
      <c r="P2253" s="14" t="n">
        <v>21078.72739042394</v>
      </c>
      <c r="Q2253" s="14" t="n">
        <v>5594483.566624539</v>
      </c>
      <c r="R2253" s="15">
        <f>IF(D2253=1,"Section 1","Control")</f>
        <v/>
      </c>
      <c r="S2253" s="16">
        <f>N2253/10000</f>
        <v/>
      </c>
      <c r="T2253" s="16">
        <f>P2253/10000</f>
        <v/>
      </c>
      <c r="U2253" s="15">
        <f>IF(N2253&gt;=Summary!$D$3,1,0)</f>
        <v/>
      </c>
      <c r="V2253" s="17">
        <f>IF(N2253&gt;0,P2253/N2253,"")</f>
        <v/>
      </c>
      <c r="W2253" s="17">
        <f>IF(O2253&gt;0,H2253/O2253,"")</f>
        <v/>
      </c>
    </row>
    <row r="2254">
      <c r="A2254" s="13" t="inlineStr">
        <is>
          <t>CE34_B2</t>
        </is>
      </c>
      <c r="B2254" s="13" t="inlineStr">
        <is>
          <t>CE34</t>
        </is>
      </c>
      <c r="C2254" s="13" t="inlineStr">
        <is>
          <t>B2</t>
        </is>
      </c>
      <c r="D2254" s="13" t="n">
        <v>0</v>
      </c>
      <c r="E2254" s="13" t="inlineStr">
        <is>
          <t>E</t>
        </is>
      </c>
      <c r="F2254" s="13" t="n">
        <v>2025</v>
      </c>
      <c r="G2254" s="14" t="n">
        <v>1025641.607232845</v>
      </c>
      <c r="H2254" s="14" t="n">
        <v>417364.0437932632</v>
      </c>
      <c r="I2254" s="14" t="n">
        <v>76775.1677533318</v>
      </c>
      <c r="J2254" s="14" t="n">
        <v>0</v>
      </c>
      <c r="K2254" s="14" t="n">
        <v>18929.08774327297</v>
      </c>
      <c r="L2254" s="14" t="n">
        <v>512573.3079429776</v>
      </c>
      <c r="M2254" s="14" t="n">
        <v>0</v>
      </c>
      <c r="N2254" s="14" t="n">
        <v>445007.0776375864</v>
      </c>
      <c r="O2254" s="14" t="n">
        <v>512239.7209816127</v>
      </c>
      <c r="P2254" s="14" t="n">
        <v>32104.18291512284</v>
      </c>
      <c r="Q2254" s="14" t="n">
        <v>5594483.566624539</v>
      </c>
      <c r="R2254" s="15">
        <f>IF(D2254=1,"Section 1","Control")</f>
        <v/>
      </c>
      <c r="S2254" s="16">
        <f>N2254/10000</f>
        <v/>
      </c>
      <c r="T2254" s="16">
        <f>P2254/10000</f>
        <v/>
      </c>
      <c r="U2254" s="15">
        <f>IF(N2254&gt;=Summary!$D$3,1,0)</f>
        <v/>
      </c>
      <c r="V2254" s="17">
        <f>IF(N2254&gt;0,P2254/N2254,"")</f>
        <v/>
      </c>
      <c r="W2254" s="17">
        <f>IF(O2254&gt;0,H2254/O2254,"")</f>
        <v/>
      </c>
    </row>
    <row r="2255">
      <c r="A2255" s="13" t="inlineStr">
        <is>
          <t>CE34_B2</t>
        </is>
      </c>
      <c r="B2255" s="13" t="inlineStr">
        <is>
          <t>CE34</t>
        </is>
      </c>
      <c r="C2255" s="13" t="inlineStr">
        <is>
          <t>B2</t>
        </is>
      </c>
      <c r="D2255" s="13" t="n">
        <v>0</v>
      </c>
      <c r="E2255" s="13" t="inlineStr">
        <is>
          <t>E</t>
        </is>
      </c>
      <c r="F2255" s="13" t="n">
        <v>2026</v>
      </c>
      <c r="G2255" s="14" t="n">
        <v>1025641.607232845</v>
      </c>
      <c r="H2255" s="14" t="n">
        <v>458310.7278637157</v>
      </c>
      <c r="I2255" s="14" t="n">
        <v>33196.78498762543</v>
      </c>
      <c r="J2255" s="14" t="n">
        <v>0</v>
      </c>
      <c r="K2255" s="14" t="n">
        <v>21560.78643852683</v>
      </c>
      <c r="L2255" s="14" t="n">
        <v>512573.3079429775</v>
      </c>
      <c r="M2255" s="14" t="n">
        <v>0</v>
      </c>
      <c r="N2255" s="14" t="n">
        <v>445007.0776375864</v>
      </c>
      <c r="O2255" s="14" t="n">
        <v>512239.7209816127</v>
      </c>
      <c r="P2255" s="14" t="n">
        <v>22741.27473228305</v>
      </c>
      <c r="Q2255" s="14" t="n">
        <v>5594483.566624539</v>
      </c>
      <c r="R2255" s="15">
        <f>IF(D2255=1,"Section 1","Control")</f>
        <v/>
      </c>
      <c r="S2255" s="16">
        <f>N2255/10000</f>
        <v/>
      </c>
      <c r="T2255" s="16">
        <f>P2255/10000</f>
        <v/>
      </c>
      <c r="U2255" s="15">
        <f>IF(N2255&gt;=Summary!$D$3,1,0)</f>
        <v/>
      </c>
      <c r="V2255" s="17">
        <f>IF(N2255&gt;0,P2255/N2255,"")</f>
        <v/>
      </c>
      <c r="W2255" s="17">
        <f>IF(O2255&gt;0,H2255/O2255,"")</f>
        <v/>
      </c>
    </row>
    <row r="2256">
      <c r="A2256" s="13" t="inlineStr">
        <is>
          <t>CE34_B3</t>
        </is>
      </c>
      <c r="B2256" s="13" t="inlineStr">
        <is>
          <t>CE34</t>
        </is>
      </c>
      <c r="C2256" s="13" t="inlineStr">
        <is>
          <t>B3</t>
        </is>
      </c>
      <c r="D2256" s="13" t="n">
        <v>0</v>
      </c>
      <c r="E2256" s="13" t="inlineStr">
        <is>
          <t>E</t>
        </is>
      </c>
      <c r="F2256" s="13" t="n">
        <v>2020</v>
      </c>
      <c r="G2256" s="14" t="n">
        <v>8204720.839827686</v>
      </c>
      <c r="H2256" s="14" t="n">
        <v>1901870.369684017</v>
      </c>
      <c r="I2256" s="14" t="n">
        <v>1512082.434458864</v>
      </c>
      <c r="J2256" s="14" t="n">
        <v>0</v>
      </c>
      <c r="K2256" s="14" t="n">
        <v>38684.65250872444</v>
      </c>
      <c r="L2256" s="14" t="n">
        <v>4752083.383176077</v>
      </c>
      <c r="M2256" s="14" t="n">
        <v>0</v>
      </c>
      <c r="N2256" s="14" t="n">
        <v>1901870.369684017</v>
      </c>
      <c r="O2256" s="14" t="n">
        <v>3452637.456651606</v>
      </c>
      <c r="P2256" s="14" t="n">
        <v>0</v>
      </c>
      <c r="Q2256" s="14" t="n">
        <v>29097027.56505875</v>
      </c>
      <c r="R2256" s="15">
        <f>IF(D2256=1,"Section 1","Control")</f>
        <v/>
      </c>
      <c r="S2256" s="16">
        <f>N2256/10000</f>
        <v/>
      </c>
      <c r="T2256" s="16">
        <f>P2256/10000</f>
        <v/>
      </c>
      <c r="U2256" s="15">
        <f>IF(N2256&gt;=Summary!$D$3,1,0)</f>
        <v/>
      </c>
      <c r="V2256" s="17">
        <f>IF(N2256&gt;0,P2256/N2256,"")</f>
        <v/>
      </c>
      <c r="W2256" s="17">
        <f>IF(O2256&gt;0,H2256/O2256,"")</f>
        <v/>
      </c>
    </row>
    <row r="2257">
      <c r="A2257" s="13" t="inlineStr">
        <is>
          <t>CE34_B3</t>
        </is>
      </c>
      <c r="B2257" s="13" t="inlineStr">
        <is>
          <t>CE34</t>
        </is>
      </c>
      <c r="C2257" s="13" t="inlineStr">
        <is>
          <t>B3</t>
        </is>
      </c>
      <c r="D2257" s="13" t="n">
        <v>0</v>
      </c>
      <c r="E2257" s="13" t="inlineStr">
        <is>
          <t>E</t>
        </is>
      </c>
      <c r="F2257" s="13" t="n">
        <v>2021</v>
      </c>
      <c r="G2257" s="14" t="n">
        <v>8204720.839827686</v>
      </c>
      <c r="H2257" s="14" t="n">
        <v>1069103.09654191</v>
      </c>
      <c r="I2257" s="14" t="n">
        <v>1568997.57592208</v>
      </c>
      <c r="J2257" s="14" t="n">
        <v>0</v>
      </c>
      <c r="K2257" s="14" t="n">
        <v>894012.7458249258</v>
      </c>
      <c r="L2257" s="14" t="n">
        <v>4672607.421538767</v>
      </c>
      <c r="M2257" s="14" t="n">
        <v>0</v>
      </c>
      <c r="N2257" s="14" t="n">
        <v>1901870.369684017</v>
      </c>
      <c r="O2257" s="14" t="n">
        <v>3452637.456651606</v>
      </c>
      <c r="P2257" s="14" t="n">
        <v>874369.038308656</v>
      </c>
      <c r="Q2257" s="14" t="n">
        <v>29097027.56505875</v>
      </c>
      <c r="R2257" s="15">
        <f>IF(D2257=1,"Section 1","Control")</f>
        <v/>
      </c>
      <c r="S2257" s="16">
        <f>N2257/10000</f>
        <v/>
      </c>
      <c r="T2257" s="16">
        <f>P2257/10000</f>
        <v/>
      </c>
      <c r="U2257" s="15">
        <f>IF(N2257&gt;=Summary!$D$3,1,0)</f>
        <v/>
      </c>
      <c r="V2257" s="17">
        <f>IF(N2257&gt;0,P2257/N2257,"")</f>
        <v/>
      </c>
      <c r="W2257" s="17">
        <f>IF(O2257&gt;0,H2257/O2257,"")</f>
        <v/>
      </c>
    </row>
    <row r="2258">
      <c r="A2258" s="13" t="inlineStr">
        <is>
          <t>CE34_B3</t>
        </is>
      </c>
      <c r="B2258" s="13" t="inlineStr">
        <is>
          <t>CE34</t>
        </is>
      </c>
      <c r="C2258" s="13" t="inlineStr">
        <is>
          <t>B3</t>
        </is>
      </c>
      <c r="D2258" s="13" t="n">
        <v>0</v>
      </c>
      <c r="E2258" s="13" t="inlineStr">
        <is>
          <t>E</t>
        </is>
      </c>
      <c r="F2258" s="13" t="n">
        <v>2022</v>
      </c>
      <c r="G2258" s="14" t="n">
        <v>8204720.839827684</v>
      </c>
      <c r="H2258" s="14" t="n">
        <v>952003.114038026</v>
      </c>
      <c r="I2258" s="14" t="n">
        <v>2136965.869230862</v>
      </c>
      <c r="J2258" s="14" t="n">
        <v>0</v>
      </c>
      <c r="K2258" s="14" t="n">
        <v>418546.4031272141</v>
      </c>
      <c r="L2258" s="14" t="n">
        <v>4697205.453431581</v>
      </c>
      <c r="M2258" s="14" t="n">
        <v>0</v>
      </c>
      <c r="N2258" s="14" t="n">
        <v>1901870.369684017</v>
      </c>
      <c r="O2258" s="14" t="n">
        <v>3452637.456651606</v>
      </c>
      <c r="P2258" s="14" t="n">
        <v>999601.6225245158</v>
      </c>
      <c r="Q2258" s="14" t="n">
        <v>29097027.56505875</v>
      </c>
      <c r="R2258" s="15">
        <f>IF(D2258=1,"Section 1","Control")</f>
        <v/>
      </c>
      <c r="S2258" s="16">
        <f>N2258/10000</f>
        <v/>
      </c>
      <c r="T2258" s="16">
        <f>P2258/10000</f>
        <v/>
      </c>
      <c r="U2258" s="15">
        <f>IF(N2258&gt;=Summary!$D$3,1,0)</f>
        <v/>
      </c>
      <c r="V2258" s="17">
        <f>IF(N2258&gt;0,P2258/N2258,"")</f>
        <v/>
      </c>
      <c r="W2258" s="17">
        <f>IF(O2258&gt;0,H2258/O2258,"")</f>
        <v/>
      </c>
    </row>
    <row r="2259">
      <c r="A2259" s="13" t="inlineStr">
        <is>
          <t>CE34_B3</t>
        </is>
      </c>
      <c r="B2259" s="13" t="inlineStr">
        <is>
          <t>CE34</t>
        </is>
      </c>
      <c r="C2259" s="13" t="inlineStr">
        <is>
          <t>B3</t>
        </is>
      </c>
      <c r="D2259" s="13" t="n">
        <v>0</v>
      </c>
      <c r="E2259" s="13" t="inlineStr">
        <is>
          <t>E</t>
        </is>
      </c>
      <c r="F2259" s="13" t="n">
        <v>2023</v>
      </c>
      <c r="G2259" s="14" t="n">
        <v>8204720.839827684</v>
      </c>
      <c r="H2259" s="14" t="n">
        <v>962577.1237543742</v>
      </c>
      <c r="I2259" s="14" t="n">
        <v>2162043.99180606</v>
      </c>
      <c r="J2259" s="14" t="n">
        <v>0</v>
      </c>
      <c r="K2259" s="14" t="n">
        <v>338626.6224191404</v>
      </c>
      <c r="L2259" s="14" t="n">
        <v>4741473.101848108</v>
      </c>
      <c r="M2259" s="14" t="n">
        <v>0</v>
      </c>
      <c r="N2259" s="14" t="n">
        <v>1901870.369684017</v>
      </c>
      <c r="O2259" s="14" t="n">
        <v>3452637.456651606</v>
      </c>
      <c r="P2259" s="14" t="n">
        <v>989657.1198165294</v>
      </c>
      <c r="Q2259" s="14" t="n">
        <v>29097027.56505875</v>
      </c>
      <c r="R2259" s="15">
        <f>IF(D2259=1,"Section 1","Control")</f>
        <v/>
      </c>
      <c r="S2259" s="16">
        <f>N2259/10000</f>
        <v/>
      </c>
      <c r="T2259" s="16">
        <f>P2259/10000</f>
        <v/>
      </c>
      <c r="U2259" s="15">
        <f>IF(N2259&gt;=Summary!$D$3,1,0)</f>
        <v/>
      </c>
      <c r="V2259" s="17">
        <f>IF(N2259&gt;0,P2259/N2259,"")</f>
        <v/>
      </c>
      <c r="W2259" s="17">
        <f>IF(O2259&gt;0,H2259/O2259,"")</f>
        <v/>
      </c>
    </row>
    <row r="2260">
      <c r="A2260" s="13" t="inlineStr">
        <is>
          <t>CE34_B3</t>
        </is>
      </c>
      <c r="B2260" s="13" t="inlineStr">
        <is>
          <t>CE34</t>
        </is>
      </c>
      <c r="C2260" s="13" t="inlineStr">
        <is>
          <t>B3</t>
        </is>
      </c>
      <c r="D2260" s="13" t="n">
        <v>0</v>
      </c>
      <c r="E2260" s="13" t="inlineStr">
        <is>
          <t>E</t>
        </is>
      </c>
      <c r="F2260" s="13" t="n">
        <v>2024</v>
      </c>
      <c r="G2260" s="14" t="n">
        <v>8204720.839827684</v>
      </c>
      <c r="H2260" s="14" t="n">
        <v>1535863.967704593</v>
      </c>
      <c r="I2260" s="14" t="n">
        <v>1639289.539011219</v>
      </c>
      <c r="J2260" s="14" t="n">
        <v>0</v>
      </c>
      <c r="K2260" s="14" t="n">
        <v>311883.0531296075</v>
      </c>
      <c r="L2260" s="14" t="n">
        <v>4717684.279982263</v>
      </c>
      <c r="M2260" s="14" t="n">
        <v>0</v>
      </c>
      <c r="N2260" s="14" t="n">
        <v>1901870.369684017</v>
      </c>
      <c r="O2260" s="14" t="n">
        <v>3452637.456651606</v>
      </c>
      <c r="P2260" s="14" t="n">
        <v>626814.0051777561</v>
      </c>
      <c r="Q2260" s="14" t="n">
        <v>29097027.56505875</v>
      </c>
      <c r="R2260" s="15">
        <f>IF(D2260=1,"Section 1","Control")</f>
        <v/>
      </c>
      <c r="S2260" s="16">
        <f>N2260/10000</f>
        <v/>
      </c>
      <c r="T2260" s="16">
        <f>P2260/10000</f>
        <v/>
      </c>
      <c r="U2260" s="15">
        <f>IF(N2260&gt;=Summary!$D$3,1,0)</f>
        <v/>
      </c>
      <c r="V2260" s="17">
        <f>IF(N2260&gt;0,P2260/N2260,"")</f>
        <v/>
      </c>
      <c r="W2260" s="17">
        <f>IF(O2260&gt;0,H2260/O2260,"")</f>
        <v/>
      </c>
    </row>
    <row r="2261">
      <c r="A2261" s="13" t="inlineStr">
        <is>
          <t>CE34_B3</t>
        </is>
      </c>
      <c r="B2261" s="13" t="inlineStr">
        <is>
          <t>CE34</t>
        </is>
      </c>
      <c r="C2261" s="13" t="inlineStr">
        <is>
          <t>B3</t>
        </is>
      </c>
      <c r="D2261" s="13" t="n">
        <v>0</v>
      </c>
      <c r="E2261" s="13" t="inlineStr">
        <is>
          <t>E</t>
        </is>
      </c>
      <c r="F2261" s="13" t="n">
        <v>2025</v>
      </c>
      <c r="G2261" s="14" t="n">
        <v>8204720.839827686</v>
      </c>
      <c r="H2261" s="14" t="n">
        <v>1187996.137789827</v>
      </c>
      <c r="I2261" s="14" t="n">
        <v>1932064.669005839</v>
      </c>
      <c r="J2261" s="14" t="n">
        <v>0</v>
      </c>
      <c r="K2261" s="14" t="n">
        <v>342580.2087793387</v>
      </c>
      <c r="L2261" s="14" t="n">
        <v>4742079.824252678</v>
      </c>
      <c r="M2261" s="14" t="n">
        <v>0</v>
      </c>
      <c r="N2261" s="14" t="n">
        <v>1901870.369684017</v>
      </c>
      <c r="O2261" s="14" t="n">
        <v>3452637.456651606</v>
      </c>
      <c r="P2261" s="14" t="n">
        <v>864446.878961361</v>
      </c>
      <c r="Q2261" s="14" t="n">
        <v>29097027.56505875</v>
      </c>
      <c r="R2261" s="15">
        <f>IF(D2261=1,"Section 1","Control")</f>
        <v/>
      </c>
      <c r="S2261" s="16">
        <f>N2261/10000</f>
        <v/>
      </c>
      <c r="T2261" s="16">
        <f>P2261/10000</f>
        <v/>
      </c>
      <c r="U2261" s="15">
        <f>IF(N2261&gt;=Summary!$D$3,1,0)</f>
        <v/>
      </c>
      <c r="V2261" s="17">
        <f>IF(N2261&gt;0,P2261/N2261,"")</f>
        <v/>
      </c>
      <c r="W2261" s="17">
        <f>IF(O2261&gt;0,H2261/O2261,"")</f>
        <v/>
      </c>
    </row>
    <row r="2262">
      <c r="A2262" s="13" t="inlineStr">
        <is>
          <t>CE34_B3</t>
        </is>
      </c>
      <c r="B2262" s="13" t="inlineStr">
        <is>
          <t>CE34</t>
        </is>
      </c>
      <c r="C2262" s="13" t="inlineStr">
        <is>
          <t>B3</t>
        </is>
      </c>
      <c r="D2262" s="13" t="n">
        <v>0</v>
      </c>
      <c r="E2262" s="13" t="inlineStr">
        <is>
          <t>E</t>
        </is>
      </c>
      <c r="F2262" s="13" t="n">
        <v>2026</v>
      </c>
      <c r="G2262" s="14" t="n">
        <v>8204720.839827684</v>
      </c>
      <c r="H2262" s="14" t="n">
        <v>1657909.443768341</v>
      </c>
      <c r="I2262" s="14" t="n">
        <v>1496950.925281988</v>
      </c>
      <c r="J2262" s="14" t="n">
        <v>0</v>
      </c>
      <c r="K2262" s="14" t="n">
        <v>310750.1598666322</v>
      </c>
      <c r="L2262" s="14" t="n">
        <v>4739110.31091072</v>
      </c>
      <c r="M2262" s="14" t="n">
        <v>0</v>
      </c>
      <c r="N2262" s="14" t="n">
        <v>1901870.369684017</v>
      </c>
      <c r="O2262" s="14" t="n">
        <v>3452637.456651606</v>
      </c>
      <c r="P2262" s="14" t="n">
        <v>589735.6528206919</v>
      </c>
      <c r="Q2262" s="14" t="n">
        <v>29097027.56505875</v>
      </c>
      <c r="R2262" s="15">
        <f>IF(D2262=1,"Section 1","Control")</f>
        <v/>
      </c>
      <c r="S2262" s="16">
        <f>N2262/10000</f>
        <v/>
      </c>
      <c r="T2262" s="16">
        <f>P2262/10000</f>
        <v/>
      </c>
      <c r="U2262" s="15">
        <f>IF(N2262&gt;=Summary!$D$3,1,0)</f>
        <v/>
      </c>
      <c r="V2262" s="17">
        <f>IF(N2262&gt;0,P2262/N2262,"")</f>
        <v/>
      </c>
      <c r="W2262" s="17">
        <f>IF(O2262&gt;0,H2262/O2262,"")</f>
        <v/>
      </c>
    </row>
    <row r="2263">
      <c r="A2263" s="13" t="inlineStr">
        <is>
          <t>CE34_F</t>
        </is>
      </c>
      <c r="B2263" s="13" t="inlineStr">
        <is>
          <t>CE34</t>
        </is>
      </c>
      <c r="C2263" s="13" t="inlineStr">
        <is>
          <t>F</t>
        </is>
      </c>
      <c r="D2263" s="13" t="n">
        <v>0</v>
      </c>
      <c r="E2263" s="13" t="inlineStr">
        <is>
          <t>E</t>
        </is>
      </c>
      <c r="F2263" s="13" t="n">
        <v>2020</v>
      </c>
      <c r="G2263" s="14" t="n">
        <v>71288.96138853185</v>
      </c>
      <c r="H2263" s="14" t="n">
        <v>31488.58581465179</v>
      </c>
      <c r="I2263" s="14" t="n">
        <v>18772.49457122205</v>
      </c>
      <c r="J2263" s="14" t="n">
        <v>0</v>
      </c>
      <c r="K2263" s="14" t="n">
        <v>11893.68256189683</v>
      </c>
      <c r="L2263" s="14" t="n">
        <v>9134.198440761193</v>
      </c>
      <c r="M2263" s="14" t="n">
        <v>0</v>
      </c>
      <c r="N2263" s="14" t="n">
        <v>31488.58581465179</v>
      </c>
      <c r="O2263" s="14" t="n">
        <v>62154.76294777068</v>
      </c>
      <c r="P2263" s="14" t="n">
        <v>0</v>
      </c>
      <c r="Q2263" s="14" t="n">
        <v>361518.4255225089</v>
      </c>
      <c r="R2263" s="15">
        <f>IF(D2263=1,"Section 1","Control")</f>
        <v/>
      </c>
      <c r="S2263" s="16">
        <f>N2263/10000</f>
        <v/>
      </c>
      <c r="T2263" s="16">
        <f>P2263/10000</f>
        <v/>
      </c>
      <c r="U2263" s="15">
        <f>IF(N2263&gt;=Summary!$D$3,1,0)</f>
        <v/>
      </c>
      <c r="V2263" s="17">
        <f>IF(N2263&gt;0,P2263/N2263,"")</f>
        <v/>
      </c>
      <c r="W2263" s="17">
        <f>IF(O2263&gt;0,H2263/O2263,"")</f>
        <v/>
      </c>
    </row>
    <row r="2264">
      <c r="A2264" s="13" t="inlineStr">
        <is>
          <t>CE34_F</t>
        </is>
      </c>
      <c r="B2264" s="13" t="inlineStr">
        <is>
          <t>CE34</t>
        </is>
      </c>
      <c r="C2264" s="13" t="inlineStr">
        <is>
          <t>F</t>
        </is>
      </c>
      <c r="D2264" s="13" t="n">
        <v>0</v>
      </c>
      <c r="E2264" s="13" t="inlineStr">
        <is>
          <t>E</t>
        </is>
      </c>
      <c r="F2264" s="13" t="n">
        <v>2021</v>
      </c>
      <c r="G2264" s="14" t="n">
        <v>71288.96138853187</v>
      </c>
      <c r="H2264" s="14" t="n">
        <v>29879.42783143287</v>
      </c>
      <c r="I2264" s="14" t="n">
        <v>19156.97173279407</v>
      </c>
      <c r="J2264" s="14" t="n">
        <v>0</v>
      </c>
      <c r="K2264" s="14" t="n">
        <v>12938.32010447184</v>
      </c>
      <c r="L2264" s="14" t="n">
        <v>9314.241719833071</v>
      </c>
      <c r="M2264" s="14" t="n">
        <v>0</v>
      </c>
      <c r="N2264" s="14" t="n">
        <v>31488.58581465179</v>
      </c>
      <c r="O2264" s="14" t="n">
        <v>62154.76294777068</v>
      </c>
      <c r="P2264" s="14" t="n">
        <v>3782.452360654345</v>
      </c>
      <c r="Q2264" s="14" t="n">
        <v>361518.4255225089</v>
      </c>
      <c r="R2264" s="15">
        <f>IF(D2264=1,"Section 1","Control")</f>
        <v/>
      </c>
      <c r="S2264" s="16">
        <f>N2264/10000</f>
        <v/>
      </c>
      <c r="T2264" s="16">
        <f>P2264/10000</f>
        <v/>
      </c>
      <c r="U2264" s="15">
        <f>IF(N2264&gt;=Summary!$D$3,1,0)</f>
        <v/>
      </c>
      <c r="V2264" s="17">
        <f>IF(N2264&gt;0,P2264/N2264,"")</f>
        <v/>
      </c>
      <c r="W2264" s="17">
        <f>IF(O2264&gt;0,H2264/O2264,"")</f>
        <v/>
      </c>
    </row>
    <row r="2265">
      <c r="A2265" s="13" t="inlineStr">
        <is>
          <t>CE34_F</t>
        </is>
      </c>
      <c r="B2265" s="13" t="inlineStr">
        <is>
          <t>CE34</t>
        </is>
      </c>
      <c r="C2265" s="13" t="inlineStr">
        <is>
          <t>F</t>
        </is>
      </c>
      <c r="D2265" s="13" t="n">
        <v>0</v>
      </c>
      <c r="E2265" s="13" t="inlineStr">
        <is>
          <t>E</t>
        </is>
      </c>
      <c r="F2265" s="13" t="n">
        <v>2022</v>
      </c>
      <c r="G2265" s="14" t="n">
        <v>71288.96138853187</v>
      </c>
      <c r="H2265" s="14" t="n">
        <v>27075.79534436394</v>
      </c>
      <c r="I2265" s="14" t="n">
        <v>9458.655033814675</v>
      </c>
      <c r="J2265" s="14" t="n">
        <v>0</v>
      </c>
      <c r="K2265" s="14" t="n">
        <v>26884.87504398121</v>
      </c>
      <c r="L2265" s="14" t="n">
        <v>7869.635966372023</v>
      </c>
      <c r="M2265" s="14" t="n">
        <v>0</v>
      </c>
      <c r="N2265" s="14" t="n">
        <v>31488.58581465179</v>
      </c>
      <c r="O2265" s="14" t="n">
        <v>62154.76294777068</v>
      </c>
      <c r="P2265" s="14" t="n">
        <v>9044.738108017866</v>
      </c>
      <c r="Q2265" s="14" t="n">
        <v>361518.4255225089</v>
      </c>
      <c r="R2265" s="15">
        <f>IF(D2265=1,"Section 1","Control")</f>
        <v/>
      </c>
      <c r="S2265" s="16">
        <f>N2265/10000</f>
        <v/>
      </c>
      <c r="T2265" s="16">
        <f>P2265/10000</f>
        <v/>
      </c>
      <c r="U2265" s="15">
        <f>IF(N2265&gt;=Summary!$D$3,1,0)</f>
        <v/>
      </c>
      <c r="V2265" s="17">
        <f>IF(N2265&gt;0,P2265/N2265,"")</f>
        <v/>
      </c>
      <c r="W2265" s="17">
        <f>IF(O2265&gt;0,H2265/O2265,"")</f>
        <v/>
      </c>
    </row>
    <row r="2266">
      <c r="A2266" s="13" t="inlineStr">
        <is>
          <t>CE34_F</t>
        </is>
      </c>
      <c r="B2266" s="13" t="inlineStr">
        <is>
          <t>CE34</t>
        </is>
      </c>
      <c r="C2266" s="13" t="inlineStr">
        <is>
          <t>F</t>
        </is>
      </c>
      <c r="D2266" s="13" t="n">
        <v>0</v>
      </c>
      <c r="E2266" s="13" t="inlineStr">
        <is>
          <t>E</t>
        </is>
      </c>
      <c r="F2266" s="13" t="n">
        <v>2023</v>
      </c>
      <c r="G2266" s="14" t="n">
        <v>71288.96138853187</v>
      </c>
      <c r="H2266" s="14" t="n">
        <v>19905.43395622104</v>
      </c>
      <c r="I2266" s="14" t="n">
        <v>27423.85081661449</v>
      </c>
      <c r="J2266" s="14" t="n">
        <v>0</v>
      </c>
      <c r="K2266" s="14" t="n">
        <v>13927.97188753614</v>
      </c>
      <c r="L2266" s="14" t="n">
        <v>10031.70472816018</v>
      </c>
      <c r="M2266" s="14" t="n">
        <v>0</v>
      </c>
      <c r="N2266" s="14" t="n">
        <v>31488.58581465179</v>
      </c>
      <c r="O2266" s="14" t="n">
        <v>62154.76294777068</v>
      </c>
      <c r="P2266" s="14" t="n">
        <v>12515.50469261618</v>
      </c>
      <c r="Q2266" s="14" t="n">
        <v>361518.4255225089</v>
      </c>
      <c r="R2266" s="15">
        <f>IF(D2266=1,"Section 1","Control")</f>
        <v/>
      </c>
      <c r="S2266" s="16">
        <f>N2266/10000</f>
        <v/>
      </c>
      <c r="T2266" s="16">
        <f>P2266/10000</f>
        <v/>
      </c>
      <c r="U2266" s="15">
        <f>IF(N2266&gt;=Summary!$D$3,1,0)</f>
        <v/>
      </c>
      <c r="V2266" s="17">
        <f>IF(N2266&gt;0,P2266/N2266,"")</f>
        <v/>
      </c>
      <c r="W2266" s="17">
        <f>IF(O2266&gt;0,H2266/O2266,"")</f>
        <v/>
      </c>
    </row>
    <row r="2267">
      <c r="A2267" s="13" t="inlineStr">
        <is>
          <t>CE34_F</t>
        </is>
      </c>
      <c r="B2267" s="13" t="inlineStr">
        <is>
          <t>CE34</t>
        </is>
      </c>
      <c r="C2267" s="13" t="inlineStr">
        <is>
          <t>F</t>
        </is>
      </c>
      <c r="D2267" s="13" t="n">
        <v>0</v>
      </c>
      <c r="E2267" s="13" t="inlineStr">
        <is>
          <t>E</t>
        </is>
      </c>
      <c r="F2267" s="13" t="n">
        <v>2024</v>
      </c>
      <c r="G2267" s="14" t="n">
        <v>71288.96138853187</v>
      </c>
      <c r="H2267" s="14" t="n">
        <v>22031.10097195494</v>
      </c>
      <c r="I2267" s="14" t="n">
        <v>14138.61729347378</v>
      </c>
      <c r="J2267" s="14" t="n">
        <v>0</v>
      </c>
      <c r="K2267" s="14" t="n">
        <v>27821.48656981225</v>
      </c>
      <c r="L2267" s="14" t="n">
        <v>7297.756553290872</v>
      </c>
      <c r="M2267" s="14" t="n">
        <v>0</v>
      </c>
      <c r="N2267" s="14" t="n">
        <v>31488.58581465179</v>
      </c>
      <c r="O2267" s="14" t="n">
        <v>62154.76294777068</v>
      </c>
      <c r="P2267" s="14" t="n">
        <v>11400.78822667739</v>
      </c>
      <c r="Q2267" s="14" t="n">
        <v>361518.4255225089</v>
      </c>
      <c r="R2267" s="15">
        <f>IF(D2267=1,"Section 1","Control")</f>
        <v/>
      </c>
      <c r="S2267" s="16">
        <f>N2267/10000</f>
        <v/>
      </c>
      <c r="T2267" s="16">
        <f>P2267/10000</f>
        <v/>
      </c>
      <c r="U2267" s="15">
        <f>IF(N2267&gt;=Summary!$D$3,1,0)</f>
        <v/>
      </c>
      <c r="V2267" s="17">
        <f>IF(N2267&gt;0,P2267/N2267,"")</f>
        <v/>
      </c>
      <c r="W2267" s="17">
        <f>IF(O2267&gt;0,H2267/O2267,"")</f>
        <v/>
      </c>
    </row>
    <row r="2268">
      <c r="A2268" s="13" t="inlineStr">
        <is>
          <t>CE34_F</t>
        </is>
      </c>
      <c r="B2268" s="13" t="inlineStr">
        <is>
          <t>CE34</t>
        </is>
      </c>
      <c r="C2268" s="13" t="inlineStr">
        <is>
          <t>F</t>
        </is>
      </c>
      <c r="D2268" s="13" t="n">
        <v>0</v>
      </c>
      <c r="E2268" s="13" t="inlineStr">
        <is>
          <t>E</t>
        </is>
      </c>
      <c r="F2268" s="13" t="n">
        <v>2025</v>
      </c>
      <c r="G2268" s="14" t="n">
        <v>71288.96138853187</v>
      </c>
      <c r="H2268" s="14" t="n">
        <v>20028.94991751279</v>
      </c>
      <c r="I2268" s="14" t="n">
        <v>28718.22257932775</v>
      </c>
      <c r="J2268" s="14" t="n">
        <v>0</v>
      </c>
      <c r="K2268" s="14" t="n">
        <v>12806.28458009608</v>
      </c>
      <c r="L2268" s="14" t="n">
        <v>9735.504311595245</v>
      </c>
      <c r="M2268" s="14" t="n">
        <v>0</v>
      </c>
      <c r="N2268" s="14" t="n">
        <v>31488.58581465179</v>
      </c>
      <c r="O2268" s="14" t="n">
        <v>62154.76294777068</v>
      </c>
      <c r="P2268" s="14" t="n">
        <v>13318.92103546741</v>
      </c>
      <c r="Q2268" s="14" t="n">
        <v>361518.4255225089</v>
      </c>
      <c r="R2268" s="15">
        <f>IF(D2268=1,"Section 1","Control")</f>
        <v/>
      </c>
      <c r="S2268" s="16">
        <f>N2268/10000</f>
        <v/>
      </c>
      <c r="T2268" s="16">
        <f>P2268/10000</f>
        <v/>
      </c>
      <c r="U2268" s="15">
        <f>IF(N2268&gt;=Summary!$D$3,1,0)</f>
        <v/>
      </c>
      <c r="V2268" s="17">
        <f>IF(N2268&gt;0,P2268/N2268,"")</f>
        <v/>
      </c>
      <c r="W2268" s="17">
        <f>IF(O2268&gt;0,H2268/O2268,"")</f>
        <v/>
      </c>
    </row>
    <row r="2269">
      <c r="A2269" s="13" t="inlineStr">
        <is>
          <t>CE34_F</t>
        </is>
      </c>
      <c r="B2269" s="13" t="inlineStr">
        <is>
          <t>CE34</t>
        </is>
      </c>
      <c r="C2269" s="13" t="inlineStr">
        <is>
          <t>F</t>
        </is>
      </c>
      <c r="D2269" s="13" t="n">
        <v>0</v>
      </c>
      <c r="E2269" s="13" t="inlineStr">
        <is>
          <t>E</t>
        </is>
      </c>
      <c r="F2269" s="13" t="n">
        <v>2026</v>
      </c>
      <c r="G2269" s="14" t="n">
        <v>71288.96138853187</v>
      </c>
      <c r="H2269" s="14" t="n">
        <v>24012.34607125077</v>
      </c>
      <c r="I2269" s="14" t="n">
        <v>15775.26470058665</v>
      </c>
      <c r="J2269" s="14" t="n">
        <v>0</v>
      </c>
      <c r="K2269" s="14" t="n">
        <v>23086.16430290072</v>
      </c>
      <c r="L2269" s="14" t="n">
        <v>8415.186313793707</v>
      </c>
      <c r="M2269" s="14" t="n">
        <v>0</v>
      </c>
      <c r="N2269" s="14" t="n">
        <v>31488.58581465179</v>
      </c>
      <c r="O2269" s="14" t="n">
        <v>62154.76294777068</v>
      </c>
      <c r="P2269" s="14" t="n">
        <v>11544.43692082424</v>
      </c>
      <c r="Q2269" s="14" t="n">
        <v>361518.4255225089</v>
      </c>
      <c r="R2269" s="15">
        <f>IF(D2269=1,"Section 1","Control")</f>
        <v/>
      </c>
      <c r="S2269" s="16">
        <f>N2269/10000</f>
        <v/>
      </c>
      <c r="T2269" s="16">
        <f>P2269/10000</f>
        <v/>
      </c>
      <c r="U2269" s="15">
        <f>IF(N2269&gt;=Summary!$D$3,1,0)</f>
        <v/>
      </c>
      <c r="V2269" s="17">
        <f>IF(N2269&gt;0,P2269/N2269,"")</f>
        <v/>
      </c>
      <c r="W2269" s="17">
        <f>IF(O2269&gt;0,H2269/O2269,"")</f>
        <v/>
      </c>
    </row>
    <row r="2270">
      <c r="A2270" s="13" t="inlineStr">
        <is>
          <t>CE35_B1</t>
        </is>
      </c>
      <c r="B2270" s="13" t="inlineStr">
        <is>
          <t>CE35</t>
        </is>
      </c>
      <c r="C2270" s="13" t="inlineStr">
        <is>
          <t>B1</t>
        </is>
      </c>
      <c r="D2270" s="13" t="n">
        <v>0</v>
      </c>
      <c r="E2270" s="13" t="inlineStr">
        <is>
          <t>E</t>
        </is>
      </c>
      <c r="F2270" s="13" t="n">
        <v>2020</v>
      </c>
      <c r="G2270" s="14" t="n">
        <v>974763.190697734</v>
      </c>
      <c r="H2270" s="14" t="n">
        <v>446442.6652481378</v>
      </c>
      <c r="I2270" s="14" t="n">
        <v>303721.4549519857</v>
      </c>
      <c r="J2270" s="14" t="n">
        <v>0</v>
      </c>
      <c r="K2270" s="14" t="n">
        <v>37898.36409104292</v>
      </c>
      <c r="L2270" s="14" t="n">
        <v>186700.7064065672</v>
      </c>
      <c r="M2270" s="14" t="n">
        <v>0</v>
      </c>
      <c r="N2270" s="14" t="n">
        <v>446442.6652481378</v>
      </c>
      <c r="O2270" s="14" t="n">
        <v>788062.4842911665</v>
      </c>
      <c r="P2270" s="14" t="n">
        <v>0</v>
      </c>
      <c r="Q2270" s="14" t="n">
        <v>4290628.129016831</v>
      </c>
      <c r="R2270" s="15">
        <f>IF(D2270=1,"Section 1","Control")</f>
        <v/>
      </c>
      <c r="S2270" s="16">
        <f>N2270/10000</f>
        <v/>
      </c>
      <c r="T2270" s="16">
        <f>P2270/10000</f>
        <v/>
      </c>
      <c r="U2270" s="15">
        <f>IF(N2270&gt;=Summary!$D$3,1,0)</f>
        <v/>
      </c>
      <c r="V2270" s="17">
        <f>IF(N2270&gt;0,P2270/N2270,"")</f>
        <v/>
      </c>
      <c r="W2270" s="17">
        <f>IF(O2270&gt;0,H2270/O2270,"")</f>
        <v/>
      </c>
    </row>
    <row r="2271">
      <c r="A2271" s="13" t="inlineStr">
        <is>
          <t>CE35_B1</t>
        </is>
      </c>
      <c r="B2271" s="13" t="inlineStr">
        <is>
          <t>CE35</t>
        </is>
      </c>
      <c r="C2271" s="13" t="inlineStr">
        <is>
          <t>B1</t>
        </is>
      </c>
      <c r="D2271" s="13" t="n">
        <v>0</v>
      </c>
      <c r="E2271" s="13" t="inlineStr">
        <is>
          <t>E</t>
        </is>
      </c>
      <c r="F2271" s="13" t="n">
        <v>2021</v>
      </c>
      <c r="G2271" s="14" t="n">
        <v>974763.190697734</v>
      </c>
      <c r="H2271" s="14" t="n">
        <v>436893.3267601162</v>
      </c>
      <c r="I2271" s="14" t="n">
        <v>288973.9425166411</v>
      </c>
      <c r="J2271" s="14" t="n">
        <v>0</v>
      </c>
      <c r="K2271" s="14" t="n">
        <v>83220.58628255807</v>
      </c>
      <c r="L2271" s="14" t="n">
        <v>165675.3351384182</v>
      </c>
      <c r="M2271" s="14" t="n">
        <v>0</v>
      </c>
      <c r="N2271" s="14" t="n">
        <v>446442.6652481377</v>
      </c>
      <c r="O2271" s="14" t="n">
        <v>788062.4842911665</v>
      </c>
      <c r="P2271" s="14" t="n">
        <v>50069.13935139973</v>
      </c>
      <c r="Q2271" s="14" t="n">
        <v>4290628.129016831</v>
      </c>
      <c r="R2271" s="15">
        <f>IF(D2271=1,"Section 1","Control")</f>
        <v/>
      </c>
      <c r="S2271" s="16">
        <f>N2271/10000</f>
        <v/>
      </c>
      <c r="T2271" s="16">
        <f>P2271/10000</f>
        <v/>
      </c>
      <c r="U2271" s="15">
        <f>IF(N2271&gt;=Summary!$D$3,1,0)</f>
        <v/>
      </c>
      <c r="V2271" s="17">
        <f>IF(N2271&gt;0,P2271/N2271,"")</f>
        <v/>
      </c>
      <c r="W2271" s="17">
        <f>IF(O2271&gt;0,H2271/O2271,"")</f>
        <v/>
      </c>
    </row>
    <row r="2272">
      <c r="A2272" s="13" t="inlineStr">
        <is>
          <t>CE35_B1</t>
        </is>
      </c>
      <c r="B2272" s="13" t="inlineStr">
        <is>
          <t>CE35</t>
        </is>
      </c>
      <c r="C2272" s="13" t="inlineStr">
        <is>
          <t>B1</t>
        </is>
      </c>
      <c r="D2272" s="13" t="n">
        <v>0</v>
      </c>
      <c r="E2272" s="13" t="inlineStr">
        <is>
          <t>E</t>
        </is>
      </c>
      <c r="F2272" s="13" t="n">
        <v>2022</v>
      </c>
      <c r="G2272" s="14" t="n">
        <v>974763.190697734</v>
      </c>
      <c r="H2272" s="14" t="n">
        <v>365412.3458294439</v>
      </c>
      <c r="I2272" s="14" t="n">
        <v>358107.3732374304</v>
      </c>
      <c r="J2272" s="14" t="n">
        <v>0</v>
      </c>
      <c r="K2272" s="14" t="n">
        <v>79921.71065622967</v>
      </c>
      <c r="L2272" s="14" t="n">
        <v>171321.7609746298</v>
      </c>
      <c r="M2272" s="14" t="n">
        <v>0</v>
      </c>
      <c r="N2272" s="14" t="n">
        <v>446442.6652481377</v>
      </c>
      <c r="O2272" s="14" t="n">
        <v>788062.4842911665</v>
      </c>
      <c r="P2272" s="14" t="n">
        <v>94996.63921481864</v>
      </c>
      <c r="Q2272" s="14" t="n">
        <v>4290628.129016831</v>
      </c>
      <c r="R2272" s="15">
        <f>IF(D2272=1,"Section 1","Control")</f>
        <v/>
      </c>
      <c r="S2272" s="16">
        <f>N2272/10000</f>
        <v/>
      </c>
      <c r="T2272" s="16">
        <f>P2272/10000</f>
        <v/>
      </c>
      <c r="U2272" s="15">
        <f>IF(N2272&gt;=Summary!$D$3,1,0)</f>
        <v/>
      </c>
      <c r="V2272" s="17">
        <f>IF(N2272&gt;0,P2272/N2272,"")</f>
        <v/>
      </c>
      <c r="W2272" s="17">
        <f>IF(O2272&gt;0,H2272/O2272,"")</f>
        <v/>
      </c>
    </row>
    <row r="2273">
      <c r="A2273" s="13" t="inlineStr">
        <is>
          <t>CE35_B1</t>
        </is>
      </c>
      <c r="B2273" s="13" t="inlineStr">
        <is>
          <t>CE35</t>
        </is>
      </c>
      <c r="C2273" s="13" t="inlineStr">
        <is>
          <t>B1</t>
        </is>
      </c>
      <c r="D2273" s="13" t="n">
        <v>0</v>
      </c>
      <c r="E2273" s="13" t="inlineStr">
        <is>
          <t>E</t>
        </is>
      </c>
      <c r="F2273" s="13" t="n">
        <v>2023</v>
      </c>
      <c r="G2273" s="14" t="n">
        <v>974763.190697734</v>
      </c>
      <c r="H2273" s="14" t="n">
        <v>345080.6060887953</v>
      </c>
      <c r="I2273" s="14" t="n">
        <v>395732.0944788616</v>
      </c>
      <c r="J2273" s="14" t="n">
        <v>0</v>
      </c>
      <c r="K2273" s="14" t="n">
        <v>46214.03039897844</v>
      </c>
      <c r="L2273" s="14" t="n">
        <v>187736.4597310982</v>
      </c>
      <c r="M2273" s="14" t="n">
        <v>0</v>
      </c>
      <c r="N2273" s="14" t="n">
        <v>446442.6652481377</v>
      </c>
      <c r="O2273" s="14" t="n">
        <v>788062.4842911665</v>
      </c>
      <c r="P2273" s="14" t="n">
        <v>114184.6288614909</v>
      </c>
      <c r="Q2273" s="14" t="n">
        <v>4290628.129016831</v>
      </c>
      <c r="R2273" s="15">
        <f>IF(D2273=1,"Section 1","Control")</f>
        <v/>
      </c>
      <c r="S2273" s="16">
        <f>N2273/10000</f>
        <v/>
      </c>
      <c r="T2273" s="16">
        <f>P2273/10000</f>
        <v/>
      </c>
      <c r="U2273" s="15">
        <f>IF(N2273&gt;=Summary!$D$3,1,0)</f>
        <v/>
      </c>
      <c r="V2273" s="17">
        <f>IF(N2273&gt;0,P2273/N2273,"")</f>
        <v/>
      </c>
      <c r="W2273" s="17">
        <f>IF(O2273&gt;0,H2273/O2273,"")</f>
        <v/>
      </c>
    </row>
    <row r="2274">
      <c r="A2274" s="13" t="inlineStr">
        <is>
          <t>CE35_B1</t>
        </is>
      </c>
      <c r="B2274" s="13" t="inlineStr">
        <is>
          <t>CE35</t>
        </is>
      </c>
      <c r="C2274" s="13" t="inlineStr">
        <is>
          <t>B1</t>
        </is>
      </c>
      <c r="D2274" s="13" t="n">
        <v>0</v>
      </c>
      <c r="E2274" s="13" t="inlineStr">
        <is>
          <t>E</t>
        </is>
      </c>
      <c r="F2274" s="13" t="n">
        <v>2024</v>
      </c>
      <c r="G2274" s="14" t="n">
        <v>974763.190697734</v>
      </c>
      <c r="H2274" s="14" t="n">
        <v>442544.349923736</v>
      </c>
      <c r="I2274" s="14" t="n">
        <v>294377.5879633586</v>
      </c>
      <c r="J2274" s="14" t="n">
        <v>0</v>
      </c>
      <c r="K2274" s="14" t="n">
        <v>71874.36451858821</v>
      </c>
      <c r="L2274" s="14" t="n">
        <v>165966.8882920509</v>
      </c>
      <c r="M2274" s="14" t="n">
        <v>0</v>
      </c>
      <c r="N2274" s="14" t="n">
        <v>446442.6652481377</v>
      </c>
      <c r="O2274" s="14" t="n">
        <v>788062.4842911665</v>
      </c>
      <c r="P2274" s="14" t="n">
        <v>51693.01767120361</v>
      </c>
      <c r="Q2274" s="14" t="n">
        <v>4290628.129016831</v>
      </c>
      <c r="R2274" s="15">
        <f>IF(D2274=1,"Section 1","Control")</f>
        <v/>
      </c>
      <c r="S2274" s="16">
        <f>N2274/10000</f>
        <v/>
      </c>
      <c r="T2274" s="16">
        <f>P2274/10000</f>
        <v/>
      </c>
      <c r="U2274" s="15">
        <f>IF(N2274&gt;=Summary!$D$3,1,0)</f>
        <v/>
      </c>
      <c r="V2274" s="17">
        <f>IF(N2274&gt;0,P2274/N2274,"")</f>
        <v/>
      </c>
      <c r="W2274" s="17">
        <f>IF(O2274&gt;0,H2274/O2274,"")</f>
        <v/>
      </c>
    </row>
    <row r="2275">
      <c r="A2275" s="13" t="inlineStr">
        <is>
          <t>CE35_B1</t>
        </is>
      </c>
      <c r="B2275" s="13" t="inlineStr">
        <is>
          <t>CE35</t>
        </is>
      </c>
      <c r="C2275" s="13" t="inlineStr">
        <is>
          <t>B1</t>
        </is>
      </c>
      <c r="D2275" s="13" t="n">
        <v>0</v>
      </c>
      <c r="E2275" s="13" t="inlineStr">
        <is>
          <t>E</t>
        </is>
      </c>
      <c r="F2275" s="13" t="n">
        <v>2025</v>
      </c>
      <c r="G2275" s="14" t="n">
        <v>974763.190697734</v>
      </c>
      <c r="H2275" s="14" t="n">
        <v>414515.0315250173</v>
      </c>
      <c r="I2275" s="14" t="n">
        <v>316880.8453395469</v>
      </c>
      <c r="J2275" s="14" t="n">
        <v>0</v>
      </c>
      <c r="K2275" s="14" t="n">
        <v>68278.1487349267</v>
      </c>
      <c r="L2275" s="14" t="n">
        <v>175089.1650982427</v>
      </c>
      <c r="M2275" s="14" t="n">
        <v>0</v>
      </c>
      <c r="N2275" s="14" t="n">
        <v>446442.6652481377</v>
      </c>
      <c r="O2275" s="14" t="n">
        <v>788062.4842911665</v>
      </c>
      <c r="P2275" s="14" t="n">
        <v>75398.23200563918</v>
      </c>
      <c r="Q2275" s="14" t="n">
        <v>4290628.129016831</v>
      </c>
      <c r="R2275" s="15">
        <f>IF(D2275=1,"Section 1","Control")</f>
        <v/>
      </c>
      <c r="S2275" s="16">
        <f>N2275/10000</f>
        <v/>
      </c>
      <c r="T2275" s="16">
        <f>P2275/10000</f>
        <v/>
      </c>
      <c r="U2275" s="15">
        <f>IF(N2275&gt;=Summary!$D$3,1,0)</f>
        <v/>
      </c>
      <c r="V2275" s="17">
        <f>IF(N2275&gt;0,P2275/N2275,"")</f>
        <v/>
      </c>
      <c r="W2275" s="17">
        <f>IF(O2275&gt;0,H2275/O2275,"")</f>
        <v/>
      </c>
    </row>
    <row r="2276">
      <c r="A2276" s="13" t="inlineStr">
        <is>
          <t>CE35_B1</t>
        </is>
      </c>
      <c r="B2276" s="13" t="inlineStr">
        <is>
          <t>CE35</t>
        </is>
      </c>
      <c r="C2276" s="13" t="inlineStr">
        <is>
          <t>B1</t>
        </is>
      </c>
      <c r="D2276" s="13" t="n">
        <v>0</v>
      </c>
      <c r="E2276" s="13" t="inlineStr">
        <is>
          <t>E</t>
        </is>
      </c>
      <c r="F2276" s="13" t="n">
        <v>2026</v>
      </c>
      <c r="G2276" s="14" t="n">
        <v>974763.190697734</v>
      </c>
      <c r="H2276" s="14" t="n">
        <v>413522.6243283739</v>
      </c>
      <c r="I2276" s="14" t="n">
        <v>318274.0974329033</v>
      </c>
      <c r="J2276" s="14" t="n">
        <v>0</v>
      </c>
      <c r="K2276" s="14" t="n">
        <v>84371.35611491484</v>
      </c>
      <c r="L2276" s="14" t="n">
        <v>158595.1128215416</v>
      </c>
      <c r="M2276" s="14" t="n">
        <v>0</v>
      </c>
      <c r="N2276" s="14" t="n">
        <v>446442.6652481377</v>
      </c>
      <c r="O2276" s="14" t="n">
        <v>788062.4842911665</v>
      </c>
      <c r="P2276" s="14" t="n">
        <v>75926.41028217989</v>
      </c>
      <c r="Q2276" s="14" t="n">
        <v>4290628.129016831</v>
      </c>
      <c r="R2276" s="15">
        <f>IF(D2276=1,"Section 1","Control")</f>
        <v/>
      </c>
      <c r="S2276" s="16">
        <f>N2276/10000</f>
        <v/>
      </c>
      <c r="T2276" s="16">
        <f>P2276/10000</f>
        <v/>
      </c>
      <c r="U2276" s="15">
        <f>IF(N2276&gt;=Summary!$D$3,1,0)</f>
        <v/>
      </c>
      <c r="V2276" s="17">
        <f>IF(N2276&gt;0,P2276/N2276,"")</f>
        <v/>
      </c>
      <c r="W2276" s="17">
        <f>IF(O2276&gt;0,H2276/O2276,"")</f>
        <v/>
      </c>
    </row>
    <row r="2277">
      <c r="A2277" s="13" t="inlineStr">
        <is>
          <t>CE35_B2</t>
        </is>
      </c>
      <c r="B2277" s="13" t="inlineStr">
        <is>
          <t>CE35</t>
        </is>
      </c>
      <c r="C2277" s="13" t="inlineStr">
        <is>
          <t>B2</t>
        </is>
      </c>
      <c r="D2277" s="13" t="n">
        <v>0</v>
      </c>
      <c r="E2277" s="13" t="inlineStr">
        <is>
          <t>E</t>
        </is>
      </c>
      <c r="F2277" s="13" t="n">
        <v>2020</v>
      </c>
      <c r="G2277" s="14" t="n">
        <v>975476.3917218974</v>
      </c>
      <c r="H2277" s="14" t="n">
        <v>384742.3328510359</v>
      </c>
      <c r="I2277" s="14" t="n">
        <v>102998.7902387432</v>
      </c>
      <c r="J2277" s="14" t="n">
        <v>0</v>
      </c>
      <c r="K2277" s="14" t="n">
        <v>0</v>
      </c>
      <c r="L2277" s="14" t="n">
        <v>487735.2686321183</v>
      </c>
      <c r="M2277" s="14" t="n">
        <v>0</v>
      </c>
      <c r="N2277" s="14" t="n">
        <v>384742.3328510359</v>
      </c>
      <c r="O2277" s="14" t="n">
        <v>487741.1230897792</v>
      </c>
      <c r="P2277" s="14" t="n">
        <v>0</v>
      </c>
      <c r="Q2277" s="14" t="n">
        <v>3981799.663761153</v>
      </c>
      <c r="R2277" s="15">
        <f>IF(D2277=1,"Section 1","Control")</f>
        <v/>
      </c>
      <c r="S2277" s="16">
        <f>N2277/10000</f>
        <v/>
      </c>
      <c r="T2277" s="16">
        <f>P2277/10000</f>
        <v/>
      </c>
      <c r="U2277" s="15">
        <f>IF(N2277&gt;=Summary!$D$3,1,0)</f>
        <v/>
      </c>
      <c r="V2277" s="17">
        <f>IF(N2277&gt;0,P2277/N2277,"")</f>
        <v/>
      </c>
      <c r="W2277" s="17">
        <f>IF(O2277&gt;0,H2277/O2277,"")</f>
        <v/>
      </c>
    </row>
    <row r="2278">
      <c r="A2278" s="13" t="inlineStr">
        <is>
          <t>CE35_B2</t>
        </is>
      </c>
      <c r="B2278" s="13" t="inlineStr">
        <is>
          <t>CE35</t>
        </is>
      </c>
      <c r="C2278" s="13" t="inlineStr">
        <is>
          <t>B2</t>
        </is>
      </c>
      <c r="D2278" s="13" t="n">
        <v>0</v>
      </c>
      <c r="E2278" s="13" t="inlineStr">
        <is>
          <t>E</t>
        </is>
      </c>
      <c r="F2278" s="13" t="n">
        <v>2021</v>
      </c>
      <c r="G2278" s="14" t="n">
        <v>975476.3917218974</v>
      </c>
      <c r="H2278" s="14" t="n">
        <v>308971.6006381764</v>
      </c>
      <c r="I2278" s="14" t="n">
        <v>171829.9877056945</v>
      </c>
      <c r="J2278" s="14" t="n">
        <v>0</v>
      </c>
      <c r="K2278" s="14" t="n">
        <v>6939.534745908251</v>
      </c>
      <c r="L2278" s="14" t="n">
        <v>487735.2686321183</v>
      </c>
      <c r="M2278" s="14" t="n">
        <v>0</v>
      </c>
      <c r="N2278" s="14" t="n">
        <v>384742.3328510359</v>
      </c>
      <c r="O2278" s="14" t="n">
        <v>487741.1230897791</v>
      </c>
      <c r="P2278" s="14" t="n">
        <v>88628.00960373224</v>
      </c>
      <c r="Q2278" s="14" t="n">
        <v>3981799.663761153</v>
      </c>
      <c r="R2278" s="15">
        <f>IF(D2278=1,"Section 1","Control")</f>
        <v/>
      </c>
      <c r="S2278" s="16">
        <f>N2278/10000</f>
        <v/>
      </c>
      <c r="T2278" s="16">
        <f>P2278/10000</f>
        <v/>
      </c>
      <c r="U2278" s="15">
        <f>IF(N2278&gt;=Summary!$D$3,1,0)</f>
        <v/>
      </c>
      <c r="V2278" s="17">
        <f>IF(N2278&gt;0,P2278/N2278,"")</f>
        <v/>
      </c>
      <c r="W2278" s="17">
        <f>IF(O2278&gt;0,H2278/O2278,"")</f>
        <v/>
      </c>
    </row>
    <row r="2279">
      <c r="A2279" s="13" t="inlineStr">
        <is>
          <t>CE35_B2</t>
        </is>
      </c>
      <c r="B2279" s="13" t="inlineStr">
        <is>
          <t>CE35</t>
        </is>
      </c>
      <c r="C2279" s="13" t="inlineStr">
        <is>
          <t>B2</t>
        </is>
      </c>
      <c r="D2279" s="13" t="n">
        <v>0</v>
      </c>
      <c r="E2279" s="13" t="inlineStr">
        <is>
          <t>E</t>
        </is>
      </c>
      <c r="F2279" s="13" t="n">
        <v>2022</v>
      </c>
      <c r="G2279" s="14" t="n">
        <v>975476.3917218974</v>
      </c>
      <c r="H2279" s="14" t="n">
        <v>186174.9516856474</v>
      </c>
      <c r="I2279" s="14" t="n">
        <v>300241.2237561094</v>
      </c>
      <c r="J2279" s="14" t="n">
        <v>0</v>
      </c>
      <c r="K2279" s="14" t="n">
        <v>1324.947648022222</v>
      </c>
      <c r="L2279" s="14" t="n">
        <v>487735.2686321183</v>
      </c>
      <c r="M2279" s="14" t="n">
        <v>0</v>
      </c>
      <c r="N2279" s="14" t="n">
        <v>384742.3328510359</v>
      </c>
      <c r="O2279" s="14" t="n">
        <v>487741.1230897791</v>
      </c>
      <c r="P2279" s="14" t="n">
        <v>203423.074188741</v>
      </c>
      <c r="Q2279" s="14" t="n">
        <v>3981799.663761153</v>
      </c>
      <c r="R2279" s="15">
        <f>IF(D2279=1,"Section 1","Control")</f>
        <v/>
      </c>
      <c r="S2279" s="16">
        <f>N2279/10000</f>
        <v/>
      </c>
      <c r="T2279" s="16">
        <f>P2279/10000</f>
        <v/>
      </c>
      <c r="U2279" s="15">
        <f>IF(N2279&gt;=Summary!$D$3,1,0)</f>
        <v/>
      </c>
      <c r="V2279" s="17">
        <f>IF(N2279&gt;0,P2279/N2279,"")</f>
        <v/>
      </c>
      <c r="W2279" s="17">
        <f>IF(O2279&gt;0,H2279/O2279,"")</f>
        <v/>
      </c>
    </row>
    <row r="2280">
      <c r="A2280" s="13" t="inlineStr">
        <is>
          <t>CE35_B2</t>
        </is>
      </c>
      <c r="B2280" s="13" t="inlineStr">
        <is>
          <t>CE35</t>
        </is>
      </c>
      <c r="C2280" s="13" t="inlineStr">
        <is>
          <t>B2</t>
        </is>
      </c>
      <c r="D2280" s="13" t="n">
        <v>0</v>
      </c>
      <c r="E2280" s="13" t="inlineStr">
        <is>
          <t>E</t>
        </is>
      </c>
      <c r="F2280" s="13" t="n">
        <v>2023</v>
      </c>
      <c r="G2280" s="14" t="n">
        <v>975476.3917218974</v>
      </c>
      <c r="H2280" s="14" t="n">
        <v>231120.7789770986</v>
      </c>
      <c r="I2280" s="14" t="n">
        <v>255830.4860651951</v>
      </c>
      <c r="J2280" s="14" t="n">
        <v>0</v>
      </c>
      <c r="K2280" s="14" t="n">
        <v>789.8580474853516</v>
      </c>
      <c r="L2280" s="14" t="n">
        <v>487735.2686321183</v>
      </c>
      <c r="M2280" s="14" t="n">
        <v>0</v>
      </c>
      <c r="N2280" s="14" t="n">
        <v>384742.3328510359</v>
      </c>
      <c r="O2280" s="14" t="n">
        <v>487741.1230897791</v>
      </c>
      <c r="P2280" s="14" t="n">
        <v>163216.4036508298</v>
      </c>
      <c r="Q2280" s="14" t="n">
        <v>3981799.663761153</v>
      </c>
      <c r="R2280" s="15">
        <f>IF(D2280=1,"Section 1","Control")</f>
        <v/>
      </c>
      <c r="S2280" s="16">
        <f>N2280/10000</f>
        <v/>
      </c>
      <c r="T2280" s="16">
        <f>P2280/10000</f>
        <v/>
      </c>
      <c r="U2280" s="15">
        <f>IF(N2280&gt;=Summary!$D$3,1,0)</f>
        <v/>
      </c>
      <c r="V2280" s="17">
        <f>IF(N2280&gt;0,P2280/N2280,"")</f>
        <v/>
      </c>
      <c r="W2280" s="17">
        <f>IF(O2280&gt;0,H2280/O2280,"")</f>
        <v/>
      </c>
    </row>
    <row r="2281">
      <c r="A2281" s="13" t="inlineStr">
        <is>
          <t>CE35_B2</t>
        </is>
      </c>
      <c r="B2281" s="13" t="inlineStr">
        <is>
          <t>CE35</t>
        </is>
      </c>
      <c r="C2281" s="13" t="inlineStr">
        <is>
          <t>B2</t>
        </is>
      </c>
      <c r="D2281" s="13" t="n">
        <v>0</v>
      </c>
      <c r="E2281" s="13" t="inlineStr">
        <is>
          <t>E</t>
        </is>
      </c>
      <c r="F2281" s="13" t="n">
        <v>2024</v>
      </c>
      <c r="G2281" s="14" t="n">
        <v>975476.3917218974</v>
      </c>
      <c r="H2281" s="14" t="n">
        <v>390702.6181357888</v>
      </c>
      <c r="I2281" s="14" t="n">
        <v>96051.18331397561</v>
      </c>
      <c r="J2281" s="14" t="n">
        <v>0</v>
      </c>
      <c r="K2281" s="14" t="n">
        <v>987.3216400146484</v>
      </c>
      <c r="L2281" s="14" t="n">
        <v>487735.2686321183</v>
      </c>
      <c r="M2281" s="14" t="n">
        <v>0</v>
      </c>
      <c r="N2281" s="14" t="n">
        <v>384742.3328510359</v>
      </c>
      <c r="O2281" s="14" t="n">
        <v>487741.1230897791</v>
      </c>
      <c r="P2281" s="14" t="n">
        <v>49439.80504356833</v>
      </c>
      <c r="Q2281" s="14" t="n">
        <v>3981799.663761153</v>
      </c>
      <c r="R2281" s="15">
        <f>IF(D2281=1,"Section 1","Control")</f>
        <v/>
      </c>
      <c r="S2281" s="16">
        <f>N2281/10000</f>
        <v/>
      </c>
      <c r="T2281" s="16">
        <f>P2281/10000</f>
        <v/>
      </c>
      <c r="U2281" s="15">
        <f>IF(N2281&gt;=Summary!$D$3,1,0)</f>
        <v/>
      </c>
      <c r="V2281" s="17">
        <f>IF(N2281&gt;0,P2281/N2281,"")</f>
        <v/>
      </c>
      <c r="W2281" s="17">
        <f>IF(O2281&gt;0,H2281/O2281,"")</f>
        <v/>
      </c>
    </row>
    <row r="2282">
      <c r="A2282" s="13" t="inlineStr">
        <is>
          <t>CE35_B2</t>
        </is>
      </c>
      <c r="B2282" s="13" t="inlineStr">
        <is>
          <t>CE35</t>
        </is>
      </c>
      <c r="C2282" s="13" t="inlineStr">
        <is>
          <t>B2</t>
        </is>
      </c>
      <c r="D2282" s="13" t="n">
        <v>0</v>
      </c>
      <c r="E2282" s="13" t="inlineStr">
        <is>
          <t>E</t>
        </is>
      </c>
      <c r="F2282" s="13" t="n">
        <v>2025</v>
      </c>
      <c r="G2282" s="14" t="n">
        <v>975476.3917218974</v>
      </c>
      <c r="H2282" s="14" t="n">
        <v>247159.2661636951</v>
      </c>
      <c r="I2282" s="14" t="n">
        <v>218937.8409753836</v>
      </c>
      <c r="J2282" s="14" t="n">
        <v>0</v>
      </c>
      <c r="K2282" s="14" t="n">
        <v>21644.01595070035</v>
      </c>
      <c r="L2282" s="14" t="n">
        <v>487735.2686321183</v>
      </c>
      <c r="M2282" s="14" t="n">
        <v>0</v>
      </c>
      <c r="N2282" s="14" t="n">
        <v>384742.3328510359</v>
      </c>
      <c r="O2282" s="14" t="n">
        <v>487741.1230897791</v>
      </c>
      <c r="P2282" s="14" t="n">
        <v>153653.610001478</v>
      </c>
      <c r="Q2282" s="14" t="n">
        <v>3981799.663761153</v>
      </c>
      <c r="R2282" s="15">
        <f>IF(D2282=1,"Section 1","Control")</f>
        <v/>
      </c>
      <c r="S2282" s="16">
        <f>N2282/10000</f>
        <v/>
      </c>
      <c r="T2282" s="16">
        <f>P2282/10000</f>
        <v/>
      </c>
      <c r="U2282" s="15">
        <f>IF(N2282&gt;=Summary!$D$3,1,0)</f>
        <v/>
      </c>
      <c r="V2282" s="17">
        <f>IF(N2282&gt;0,P2282/N2282,"")</f>
        <v/>
      </c>
      <c r="W2282" s="17">
        <f>IF(O2282&gt;0,H2282/O2282,"")</f>
        <v/>
      </c>
    </row>
    <row r="2283">
      <c r="A2283" s="13" t="inlineStr">
        <is>
          <t>CE35_B2</t>
        </is>
      </c>
      <c r="B2283" s="13" t="inlineStr">
        <is>
          <t>CE35</t>
        </is>
      </c>
      <c r="C2283" s="13" t="inlineStr">
        <is>
          <t>B2</t>
        </is>
      </c>
      <c r="D2283" s="13" t="n">
        <v>0</v>
      </c>
      <c r="E2283" s="13" t="inlineStr">
        <is>
          <t>E</t>
        </is>
      </c>
      <c r="F2283" s="13" t="n">
        <v>2026</v>
      </c>
      <c r="G2283" s="14" t="n">
        <v>975476.3917218974</v>
      </c>
      <c r="H2283" s="14" t="n">
        <v>284665.1751057942</v>
      </c>
      <c r="I2283" s="14" t="n">
        <v>185341.3220847036</v>
      </c>
      <c r="J2283" s="14" t="n">
        <v>0</v>
      </c>
      <c r="K2283" s="14" t="n">
        <v>17734.62589928122</v>
      </c>
      <c r="L2283" s="14" t="n">
        <v>487735.2686321183</v>
      </c>
      <c r="M2283" s="14" t="n">
        <v>0</v>
      </c>
      <c r="N2283" s="14" t="n">
        <v>384742.3328510359</v>
      </c>
      <c r="O2283" s="14" t="n">
        <v>487741.1230897791</v>
      </c>
      <c r="P2283" s="14" t="n">
        <v>121438.1985826081</v>
      </c>
      <c r="Q2283" s="14" t="n">
        <v>3981799.663761153</v>
      </c>
      <c r="R2283" s="15">
        <f>IF(D2283=1,"Section 1","Control")</f>
        <v/>
      </c>
      <c r="S2283" s="16">
        <f>N2283/10000</f>
        <v/>
      </c>
      <c r="T2283" s="16">
        <f>P2283/10000</f>
        <v/>
      </c>
      <c r="U2283" s="15">
        <f>IF(N2283&gt;=Summary!$D$3,1,0)</f>
        <v/>
      </c>
      <c r="V2283" s="17">
        <f>IF(N2283&gt;0,P2283/N2283,"")</f>
        <v/>
      </c>
      <c r="W2283" s="17">
        <f>IF(O2283&gt;0,H2283/O2283,"")</f>
        <v/>
      </c>
    </row>
    <row r="2284">
      <c r="A2284" s="13" t="inlineStr">
        <is>
          <t>CE35_B3</t>
        </is>
      </c>
      <c r="B2284" s="13" t="inlineStr">
        <is>
          <t>CE35</t>
        </is>
      </c>
      <c r="C2284" s="13" t="inlineStr">
        <is>
          <t>B3</t>
        </is>
      </c>
      <c r="D2284" s="13" t="n">
        <v>0</v>
      </c>
      <c r="E2284" s="13" t="inlineStr">
        <is>
          <t>E</t>
        </is>
      </c>
      <c r="F2284" s="13" t="n">
        <v>2020</v>
      </c>
      <c r="G2284" s="14" t="n">
        <v>7801449.065153893</v>
      </c>
      <c r="H2284" s="14" t="n">
        <v>1969473.858262964</v>
      </c>
      <c r="I2284" s="14" t="n">
        <v>1211235.835691115</v>
      </c>
      <c r="J2284" s="14" t="n">
        <v>0</v>
      </c>
      <c r="K2284" s="14" t="n">
        <v>26505.5560657576</v>
      </c>
      <c r="L2284" s="14" t="n">
        <v>4594233.815134056</v>
      </c>
      <c r="M2284" s="14" t="n">
        <v>0</v>
      </c>
      <c r="N2284" s="14" t="n">
        <v>1969473.858262964</v>
      </c>
      <c r="O2284" s="14" t="n">
        <v>3207215.250019838</v>
      </c>
      <c r="P2284" s="14" t="n">
        <v>0</v>
      </c>
      <c r="Q2284" s="14" t="n">
        <v>28964263.9478907</v>
      </c>
      <c r="R2284" s="15">
        <f>IF(D2284=1,"Section 1","Control")</f>
        <v/>
      </c>
      <c r="S2284" s="16">
        <f>N2284/10000</f>
        <v/>
      </c>
      <c r="T2284" s="16">
        <f>P2284/10000</f>
        <v/>
      </c>
      <c r="U2284" s="15">
        <f>IF(N2284&gt;=Summary!$D$3,1,0)</f>
        <v/>
      </c>
      <c r="V2284" s="17">
        <f>IF(N2284&gt;0,P2284/N2284,"")</f>
        <v/>
      </c>
      <c r="W2284" s="17">
        <f>IF(O2284&gt;0,H2284/O2284,"")</f>
        <v/>
      </c>
    </row>
    <row r="2285">
      <c r="A2285" s="13" t="inlineStr">
        <is>
          <t>CE35_B3</t>
        </is>
      </c>
      <c r="B2285" s="13" t="inlineStr">
        <is>
          <t>CE35</t>
        </is>
      </c>
      <c r="C2285" s="13" t="inlineStr">
        <is>
          <t>B3</t>
        </is>
      </c>
      <c r="D2285" s="13" t="n">
        <v>0</v>
      </c>
      <c r="E2285" s="13" t="inlineStr">
        <is>
          <t>E</t>
        </is>
      </c>
      <c r="F2285" s="13" t="n">
        <v>2021</v>
      </c>
      <c r="G2285" s="14" t="n">
        <v>7801449.065153891</v>
      </c>
      <c r="H2285" s="14" t="n">
        <v>1329481.236183197</v>
      </c>
      <c r="I2285" s="14" t="n">
        <v>1550887.962738336</v>
      </c>
      <c r="J2285" s="14" t="n">
        <v>0</v>
      </c>
      <c r="K2285" s="14" t="n">
        <v>430333.8062712725</v>
      </c>
      <c r="L2285" s="14" t="n">
        <v>4490746.059961087</v>
      </c>
      <c r="M2285" s="14" t="n">
        <v>0</v>
      </c>
      <c r="N2285" s="14" t="n">
        <v>1969473.858262964</v>
      </c>
      <c r="O2285" s="14" t="n">
        <v>3207215.250019837</v>
      </c>
      <c r="P2285" s="14" t="n">
        <v>682328.9093409819</v>
      </c>
      <c r="Q2285" s="14" t="n">
        <v>28964263.94789069</v>
      </c>
      <c r="R2285" s="15">
        <f>IF(D2285=1,"Section 1","Control")</f>
        <v/>
      </c>
      <c r="S2285" s="16">
        <f>N2285/10000</f>
        <v/>
      </c>
      <c r="T2285" s="16">
        <f>P2285/10000</f>
        <v/>
      </c>
      <c r="U2285" s="15">
        <f>IF(N2285&gt;=Summary!$D$3,1,0)</f>
        <v/>
      </c>
      <c r="V2285" s="17">
        <f>IF(N2285&gt;0,P2285/N2285,"")</f>
        <v/>
      </c>
      <c r="W2285" s="17">
        <f>IF(O2285&gt;0,H2285/O2285,"")</f>
        <v/>
      </c>
    </row>
    <row r="2286">
      <c r="A2286" s="13" t="inlineStr">
        <is>
          <t>CE35_B3</t>
        </is>
      </c>
      <c r="B2286" s="13" t="inlineStr">
        <is>
          <t>CE35</t>
        </is>
      </c>
      <c r="C2286" s="13" t="inlineStr">
        <is>
          <t>B3</t>
        </is>
      </c>
      <c r="D2286" s="13" t="n">
        <v>0</v>
      </c>
      <c r="E2286" s="13" t="inlineStr">
        <is>
          <t>E</t>
        </is>
      </c>
      <c r="F2286" s="13" t="n">
        <v>2022</v>
      </c>
      <c r="G2286" s="14" t="n">
        <v>7801449.065153891</v>
      </c>
      <c r="H2286" s="14" t="n">
        <v>1195216.832635438</v>
      </c>
      <c r="I2286" s="14" t="n">
        <v>1773192.400208208</v>
      </c>
      <c r="J2286" s="14" t="n">
        <v>0</v>
      </c>
      <c r="K2286" s="14" t="n">
        <v>263135.7890603758</v>
      </c>
      <c r="L2286" s="14" t="n">
        <v>4569904.043249871</v>
      </c>
      <c r="M2286" s="14" t="n">
        <v>0</v>
      </c>
      <c r="N2286" s="14" t="n">
        <v>1969473.858262964</v>
      </c>
      <c r="O2286" s="14" t="n">
        <v>3207215.250019838</v>
      </c>
      <c r="P2286" s="14" t="n">
        <v>806325.5628686941</v>
      </c>
      <c r="Q2286" s="14" t="n">
        <v>28964263.94789069</v>
      </c>
      <c r="R2286" s="15">
        <f>IF(D2286=1,"Section 1","Control")</f>
        <v/>
      </c>
      <c r="S2286" s="16">
        <f>N2286/10000</f>
        <v/>
      </c>
      <c r="T2286" s="16">
        <f>P2286/10000</f>
        <v/>
      </c>
      <c r="U2286" s="15">
        <f>IF(N2286&gt;=Summary!$D$3,1,0)</f>
        <v/>
      </c>
      <c r="V2286" s="17">
        <f>IF(N2286&gt;0,P2286/N2286,"")</f>
        <v/>
      </c>
      <c r="W2286" s="17">
        <f>IF(O2286&gt;0,H2286/O2286,"")</f>
        <v/>
      </c>
    </row>
    <row r="2287">
      <c r="A2287" s="13" t="inlineStr">
        <is>
          <t>CE35_B3</t>
        </is>
      </c>
      <c r="B2287" s="13" t="inlineStr">
        <is>
          <t>CE35</t>
        </is>
      </c>
      <c r="C2287" s="13" t="inlineStr">
        <is>
          <t>B3</t>
        </is>
      </c>
      <c r="D2287" s="13" t="n">
        <v>0</v>
      </c>
      <c r="E2287" s="13" t="inlineStr">
        <is>
          <t>E</t>
        </is>
      </c>
      <c r="F2287" s="13" t="n">
        <v>2023</v>
      </c>
      <c r="G2287" s="14" t="n">
        <v>7801449.065153891</v>
      </c>
      <c r="H2287" s="14" t="n">
        <v>1211652.236676863</v>
      </c>
      <c r="I2287" s="14" t="n">
        <v>1743694.916747897</v>
      </c>
      <c r="J2287" s="14" t="n">
        <v>0</v>
      </c>
      <c r="K2287" s="14" t="n">
        <v>268036.0403794831</v>
      </c>
      <c r="L2287" s="14" t="n">
        <v>4578065.871349649</v>
      </c>
      <c r="M2287" s="14" t="n">
        <v>0</v>
      </c>
      <c r="N2287" s="14" t="n">
        <v>1969473.858262964</v>
      </c>
      <c r="O2287" s="14" t="n">
        <v>3207215.250019837</v>
      </c>
      <c r="P2287" s="14" t="n">
        <v>798465.3111521103</v>
      </c>
      <c r="Q2287" s="14" t="n">
        <v>28964263.94789069</v>
      </c>
      <c r="R2287" s="15">
        <f>IF(D2287=1,"Section 1","Control")</f>
        <v/>
      </c>
      <c r="S2287" s="16">
        <f>N2287/10000</f>
        <v/>
      </c>
      <c r="T2287" s="16">
        <f>P2287/10000</f>
        <v/>
      </c>
      <c r="U2287" s="15">
        <f>IF(N2287&gt;=Summary!$D$3,1,0)</f>
        <v/>
      </c>
      <c r="V2287" s="17">
        <f>IF(N2287&gt;0,P2287/N2287,"")</f>
        <v/>
      </c>
      <c r="W2287" s="17">
        <f>IF(O2287&gt;0,H2287/O2287,"")</f>
        <v/>
      </c>
    </row>
    <row r="2288">
      <c r="A2288" s="13" t="inlineStr">
        <is>
          <t>CE35_B3</t>
        </is>
      </c>
      <c r="B2288" s="13" t="inlineStr">
        <is>
          <t>CE35</t>
        </is>
      </c>
      <c r="C2288" s="13" t="inlineStr">
        <is>
          <t>B3</t>
        </is>
      </c>
      <c r="D2288" s="13" t="n">
        <v>0</v>
      </c>
      <c r="E2288" s="13" t="inlineStr">
        <is>
          <t>E</t>
        </is>
      </c>
      <c r="F2288" s="13" t="n">
        <v>2024</v>
      </c>
      <c r="G2288" s="14" t="n">
        <v>7801449.065153891</v>
      </c>
      <c r="H2288" s="14" t="n">
        <v>1661302.59111729</v>
      </c>
      <c r="I2288" s="14" t="n">
        <v>1355291.251283085</v>
      </c>
      <c r="J2288" s="14" t="n">
        <v>0</v>
      </c>
      <c r="K2288" s="14" t="n">
        <v>237569.2144567752</v>
      </c>
      <c r="L2288" s="14" t="n">
        <v>4547286.008296742</v>
      </c>
      <c r="M2288" s="14" t="n">
        <v>0</v>
      </c>
      <c r="N2288" s="14" t="n">
        <v>1969473.858262964</v>
      </c>
      <c r="O2288" s="14" t="n">
        <v>3207215.250019837</v>
      </c>
      <c r="P2288" s="14" t="n">
        <v>549284.4856190102</v>
      </c>
      <c r="Q2288" s="14" t="n">
        <v>28964263.9478907</v>
      </c>
      <c r="R2288" s="15">
        <f>IF(D2288=1,"Section 1","Control")</f>
        <v/>
      </c>
      <c r="S2288" s="16">
        <f>N2288/10000</f>
        <v/>
      </c>
      <c r="T2288" s="16">
        <f>P2288/10000</f>
        <v/>
      </c>
      <c r="U2288" s="15">
        <f>IF(N2288&gt;=Summary!$D$3,1,0)</f>
        <v/>
      </c>
      <c r="V2288" s="17">
        <f>IF(N2288&gt;0,P2288/N2288,"")</f>
        <v/>
      </c>
      <c r="W2288" s="17">
        <f>IF(O2288&gt;0,H2288/O2288,"")</f>
        <v/>
      </c>
    </row>
    <row r="2289">
      <c r="A2289" s="13" t="inlineStr">
        <is>
          <t>CE35_B3</t>
        </is>
      </c>
      <c r="B2289" s="13" t="inlineStr">
        <is>
          <t>CE35</t>
        </is>
      </c>
      <c r="C2289" s="13" t="inlineStr">
        <is>
          <t>B3</t>
        </is>
      </c>
      <c r="D2289" s="13" t="n">
        <v>0</v>
      </c>
      <c r="E2289" s="13" t="inlineStr">
        <is>
          <t>E</t>
        </is>
      </c>
      <c r="F2289" s="13" t="n">
        <v>2025</v>
      </c>
      <c r="G2289" s="14" t="n">
        <v>7801449.065153891</v>
      </c>
      <c r="H2289" s="14" t="n">
        <v>1411708.029710059</v>
      </c>
      <c r="I2289" s="14" t="n">
        <v>1608769.211516646</v>
      </c>
      <c r="J2289" s="14" t="n">
        <v>0</v>
      </c>
      <c r="K2289" s="14" t="n">
        <v>199677.7974579756</v>
      </c>
      <c r="L2289" s="14" t="n">
        <v>4581294.026469212</v>
      </c>
      <c r="M2289" s="14" t="n">
        <v>0</v>
      </c>
      <c r="N2289" s="14" t="n">
        <v>1969473.858262964</v>
      </c>
      <c r="O2289" s="14" t="n">
        <v>3207215.250019837</v>
      </c>
      <c r="P2289" s="14" t="n">
        <v>715189.9248335295</v>
      </c>
      <c r="Q2289" s="14" t="n">
        <v>28964263.9478907</v>
      </c>
      <c r="R2289" s="15">
        <f>IF(D2289=1,"Section 1","Control")</f>
        <v/>
      </c>
      <c r="S2289" s="16">
        <f>N2289/10000</f>
        <v/>
      </c>
      <c r="T2289" s="16">
        <f>P2289/10000</f>
        <v/>
      </c>
      <c r="U2289" s="15">
        <f>IF(N2289&gt;=Summary!$D$3,1,0)</f>
        <v/>
      </c>
      <c r="V2289" s="17">
        <f>IF(N2289&gt;0,P2289/N2289,"")</f>
        <v/>
      </c>
      <c r="W2289" s="17">
        <f>IF(O2289&gt;0,H2289/O2289,"")</f>
        <v/>
      </c>
    </row>
    <row r="2290">
      <c r="A2290" s="13" t="inlineStr">
        <is>
          <t>CE35_B3</t>
        </is>
      </c>
      <c r="B2290" s="13" t="inlineStr">
        <is>
          <t>CE35</t>
        </is>
      </c>
      <c r="C2290" s="13" t="inlineStr">
        <is>
          <t>B3</t>
        </is>
      </c>
      <c r="D2290" s="13" t="n">
        <v>0</v>
      </c>
      <c r="E2290" s="13" t="inlineStr">
        <is>
          <t>E</t>
        </is>
      </c>
      <c r="F2290" s="13" t="n">
        <v>2026</v>
      </c>
      <c r="G2290" s="14" t="n">
        <v>7801449.065153891</v>
      </c>
      <c r="H2290" s="14" t="n">
        <v>1548155.444929923</v>
      </c>
      <c r="I2290" s="14" t="n">
        <v>1488732.494584058</v>
      </c>
      <c r="J2290" s="14" t="n">
        <v>0</v>
      </c>
      <c r="K2290" s="14" t="n">
        <v>173663.4860298905</v>
      </c>
      <c r="L2290" s="14" t="n">
        <v>4590897.639610021</v>
      </c>
      <c r="M2290" s="14" t="n">
        <v>0</v>
      </c>
      <c r="N2290" s="14" t="n">
        <v>1969473.858262964</v>
      </c>
      <c r="O2290" s="14" t="n">
        <v>3207215.250019837</v>
      </c>
      <c r="P2290" s="14" t="n">
        <v>604218.1748097138</v>
      </c>
      <c r="Q2290" s="14" t="n">
        <v>28964263.9478907</v>
      </c>
      <c r="R2290" s="15">
        <f>IF(D2290=1,"Section 1","Control")</f>
        <v/>
      </c>
      <c r="S2290" s="16">
        <f>N2290/10000</f>
        <v/>
      </c>
      <c r="T2290" s="16">
        <f>P2290/10000</f>
        <v/>
      </c>
      <c r="U2290" s="15">
        <f>IF(N2290&gt;=Summary!$D$3,1,0)</f>
        <v/>
      </c>
      <c r="V2290" s="17">
        <f>IF(N2290&gt;0,P2290/N2290,"")</f>
        <v/>
      </c>
      <c r="W2290" s="17">
        <f>IF(O2290&gt;0,H2290/O2290,"")</f>
        <v/>
      </c>
    </row>
    <row r="2291">
      <c r="A2291" s="13" t="inlineStr">
        <is>
          <t>CE35_F</t>
        </is>
      </c>
      <c r="B2291" s="13" t="inlineStr">
        <is>
          <t>CE35</t>
        </is>
      </c>
      <c r="C2291" s="13" t="inlineStr">
        <is>
          <t>F</t>
        </is>
      </c>
      <c r="D2291" s="13" t="n">
        <v>0</v>
      </c>
      <c r="E2291" s="13" t="inlineStr">
        <is>
          <t>E</t>
        </is>
      </c>
      <c r="F2291" s="13" t="n">
        <v>2020</v>
      </c>
      <c r="G2291" s="14" t="n">
        <v>67765.43307070265</v>
      </c>
      <c r="H2291" s="14" t="n">
        <v>43457.17497043983</v>
      </c>
      <c r="I2291" s="14" t="n">
        <v>22077.6491956823</v>
      </c>
      <c r="J2291" s="14" t="n">
        <v>0</v>
      </c>
      <c r="K2291" s="14" t="n">
        <v>2230.608904580509</v>
      </c>
      <c r="L2291" s="14" t="n">
        <v>0</v>
      </c>
      <c r="M2291" s="14" t="n">
        <v>0</v>
      </c>
      <c r="N2291" s="14" t="n">
        <v>43457.17497043983</v>
      </c>
      <c r="O2291" s="14" t="n">
        <v>67765.43307070265</v>
      </c>
      <c r="P2291" s="14" t="n">
        <v>0</v>
      </c>
      <c r="Q2291" s="14" t="n">
        <v>475570.2967949364</v>
      </c>
      <c r="R2291" s="15">
        <f>IF(D2291=1,"Section 1","Control")</f>
        <v/>
      </c>
      <c r="S2291" s="16">
        <f>N2291/10000</f>
        <v/>
      </c>
      <c r="T2291" s="16">
        <f>P2291/10000</f>
        <v/>
      </c>
      <c r="U2291" s="15">
        <f>IF(N2291&gt;=Summary!$D$3,1,0)</f>
        <v/>
      </c>
      <c r="V2291" s="17">
        <f>IF(N2291&gt;0,P2291/N2291,"")</f>
        <v/>
      </c>
      <c r="W2291" s="17">
        <f>IF(O2291&gt;0,H2291/O2291,"")</f>
        <v/>
      </c>
    </row>
    <row r="2292">
      <c r="A2292" s="13" t="inlineStr">
        <is>
          <t>CE35_F</t>
        </is>
      </c>
      <c r="B2292" s="13" t="inlineStr">
        <is>
          <t>CE35</t>
        </is>
      </c>
      <c r="C2292" s="13" t="inlineStr">
        <is>
          <t>F</t>
        </is>
      </c>
      <c r="D2292" s="13" t="n">
        <v>0</v>
      </c>
      <c r="E2292" s="13" t="inlineStr">
        <is>
          <t>E</t>
        </is>
      </c>
      <c r="F2292" s="13" t="n">
        <v>2021</v>
      </c>
      <c r="G2292" s="14" t="n">
        <v>67765.43307070265</v>
      </c>
      <c r="H2292" s="14" t="n">
        <v>25568.56208478142</v>
      </c>
      <c r="I2292" s="14" t="n">
        <v>13054.93061849557</v>
      </c>
      <c r="J2292" s="14" t="n">
        <v>0</v>
      </c>
      <c r="K2292" s="14" t="n">
        <v>29141.94036742565</v>
      </c>
      <c r="L2292" s="14" t="n">
        <v>0</v>
      </c>
      <c r="M2292" s="14" t="n">
        <v>0</v>
      </c>
      <c r="N2292" s="14" t="n">
        <v>43457.17497043983</v>
      </c>
      <c r="O2292" s="14" t="n">
        <v>67765.43307070265</v>
      </c>
      <c r="P2292" s="14" t="n">
        <v>20072.37213706222</v>
      </c>
      <c r="Q2292" s="14" t="n">
        <v>475570.2967949364</v>
      </c>
      <c r="R2292" s="15">
        <f>IF(D2292=1,"Section 1","Control")</f>
        <v/>
      </c>
      <c r="S2292" s="16">
        <f>N2292/10000</f>
        <v/>
      </c>
      <c r="T2292" s="16">
        <f>P2292/10000</f>
        <v/>
      </c>
      <c r="U2292" s="15">
        <f>IF(N2292&gt;=Summary!$D$3,1,0)</f>
        <v/>
      </c>
      <c r="V2292" s="17">
        <f>IF(N2292&gt;0,P2292/N2292,"")</f>
        <v/>
      </c>
      <c r="W2292" s="17">
        <f>IF(O2292&gt;0,H2292/O2292,"")</f>
        <v/>
      </c>
    </row>
    <row r="2293">
      <c r="A2293" s="13" t="inlineStr">
        <is>
          <t>CE35_F</t>
        </is>
      </c>
      <c r="B2293" s="13" t="inlineStr">
        <is>
          <t>CE35</t>
        </is>
      </c>
      <c r="C2293" s="13" t="inlineStr">
        <is>
          <t>F</t>
        </is>
      </c>
      <c r="D2293" s="13" t="n">
        <v>0</v>
      </c>
      <c r="E2293" s="13" t="inlineStr">
        <is>
          <t>E</t>
        </is>
      </c>
      <c r="F2293" s="13" t="n">
        <v>2022</v>
      </c>
      <c r="G2293" s="14" t="n">
        <v>67765.43307070265</v>
      </c>
      <c r="H2293" s="14" t="n">
        <v>20920.3233288634</v>
      </c>
      <c r="I2293" s="14" t="n">
        <v>24062.39979855407</v>
      </c>
      <c r="J2293" s="14" t="n">
        <v>0</v>
      </c>
      <c r="K2293" s="14" t="n">
        <v>22782.70994328518</v>
      </c>
      <c r="L2293" s="14" t="n">
        <v>0</v>
      </c>
      <c r="M2293" s="14" t="n">
        <v>0</v>
      </c>
      <c r="N2293" s="14" t="n">
        <v>43457.17497043983</v>
      </c>
      <c r="O2293" s="14" t="n">
        <v>67765.43307070265</v>
      </c>
      <c r="P2293" s="14" t="n">
        <v>24419.37505759445</v>
      </c>
      <c r="Q2293" s="14" t="n">
        <v>475570.2967949364</v>
      </c>
      <c r="R2293" s="15">
        <f>IF(D2293=1,"Section 1","Control")</f>
        <v/>
      </c>
      <c r="S2293" s="16">
        <f>N2293/10000</f>
        <v/>
      </c>
      <c r="T2293" s="16">
        <f>P2293/10000</f>
        <v/>
      </c>
      <c r="U2293" s="15">
        <f>IF(N2293&gt;=Summary!$D$3,1,0)</f>
        <v/>
      </c>
      <c r="V2293" s="17">
        <f>IF(N2293&gt;0,P2293/N2293,"")</f>
        <v/>
      </c>
      <c r="W2293" s="17">
        <f>IF(O2293&gt;0,H2293/O2293,"")</f>
        <v/>
      </c>
    </row>
    <row r="2294">
      <c r="A2294" s="13" t="inlineStr">
        <is>
          <t>CE35_F</t>
        </is>
      </c>
      <c r="B2294" s="13" t="inlineStr">
        <is>
          <t>CE35</t>
        </is>
      </c>
      <c r="C2294" s="13" t="inlineStr">
        <is>
          <t>F</t>
        </is>
      </c>
      <c r="D2294" s="13" t="n">
        <v>0</v>
      </c>
      <c r="E2294" s="13" t="inlineStr">
        <is>
          <t>E</t>
        </is>
      </c>
      <c r="F2294" s="13" t="n">
        <v>2023</v>
      </c>
      <c r="G2294" s="14" t="n">
        <v>67765.43307070265</v>
      </c>
      <c r="H2294" s="14" t="n">
        <v>10060.0036729102</v>
      </c>
      <c r="I2294" s="14" t="n">
        <v>49229.0423376046</v>
      </c>
      <c r="J2294" s="14" t="n">
        <v>0</v>
      </c>
      <c r="K2294" s="14" t="n">
        <v>8476.387060187844</v>
      </c>
      <c r="L2294" s="14" t="n">
        <v>0</v>
      </c>
      <c r="M2294" s="14" t="n">
        <v>0</v>
      </c>
      <c r="N2294" s="14" t="n">
        <v>43457.17497043983</v>
      </c>
      <c r="O2294" s="14" t="n">
        <v>67765.43307070265</v>
      </c>
      <c r="P2294" s="14" t="n">
        <v>33409.94862602084</v>
      </c>
      <c r="Q2294" s="14" t="n">
        <v>475570.2967949364</v>
      </c>
      <c r="R2294" s="15">
        <f>IF(D2294=1,"Section 1","Control")</f>
        <v/>
      </c>
      <c r="S2294" s="16">
        <f>N2294/10000</f>
        <v/>
      </c>
      <c r="T2294" s="16">
        <f>P2294/10000</f>
        <v/>
      </c>
      <c r="U2294" s="15">
        <f>IF(N2294&gt;=Summary!$D$3,1,0)</f>
        <v/>
      </c>
      <c r="V2294" s="17">
        <f>IF(N2294&gt;0,P2294/N2294,"")</f>
        <v/>
      </c>
      <c r="W2294" s="17">
        <f>IF(O2294&gt;0,H2294/O2294,"")</f>
        <v/>
      </c>
    </row>
    <row r="2295">
      <c r="A2295" s="13" t="inlineStr">
        <is>
          <t>CE35_F</t>
        </is>
      </c>
      <c r="B2295" s="13" t="inlineStr">
        <is>
          <t>CE35</t>
        </is>
      </c>
      <c r="C2295" s="13" t="inlineStr">
        <is>
          <t>F</t>
        </is>
      </c>
      <c r="D2295" s="13" t="n">
        <v>0</v>
      </c>
      <c r="E2295" s="13" t="inlineStr">
        <is>
          <t>E</t>
        </is>
      </c>
      <c r="F2295" s="13" t="n">
        <v>2024</v>
      </c>
      <c r="G2295" s="14" t="n">
        <v>67765.43307070265</v>
      </c>
      <c r="H2295" s="14" t="n">
        <v>24166.92710406734</v>
      </c>
      <c r="I2295" s="14" t="n">
        <v>31928.94889385747</v>
      </c>
      <c r="J2295" s="14" t="n">
        <v>0</v>
      </c>
      <c r="K2295" s="14" t="n">
        <v>11669.55707277784</v>
      </c>
      <c r="L2295" s="14" t="n">
        <v>0</v>
      </c>
      <c r="M2295" s="14" t="n">
        <v>0</v>
      </c>
      <c r="N2295" s="14" t="n">
        <v>43457.17497043983</v>
      </c>
      <c r="O2295" s="14" t="n">
        <v>67765.43307070265</v>
      </c>
      <c r="P2295" s="14" t="n">
        <v>20442.91688621372</v>
      </c>
      <c r="Q2295" s="14" t="n">
        <v>475570.2967949364</v>
      </c>
      <c r="R2295" s="15">
        <f>IF(D2295=1,"Section 1","Control")</f>
        <v/>
      </c>
      <c r="S2295" s="16">
        <f>N2295/10000</f>
        <v/>
      </c>
      <c r="T2295" s="16">
        <f>P2295/10000</f>
        <v/>
      </c>
      <c r="U2295" s="15">
        <f>IF(N2295&gt;=Summary!$D$3,1,0)</f>
        <v/>
      </c>
      <c r="V2295" s="17">
        <f>IF(N2295&gt;0,P2295/N2295,"")</f>
        <v/>
      </c>
      <c r="W2295" s="17">
        <f>IF(O2295&gt;0,H2295/O2295,"")</f>
        <v/>
      </c>
    </row>
    <row r="2296">
      <c r="A2296" s="13" t="inlineStr">
        <is>
          <t>CE35_F</t>
        </is>
      </c>
      <c r="B2296" s="13" t="inlineStr">
        <is>
          <t>CE35</t>
        </is>
      </c>
      <c r="C2296" s="13" t="inlineStr">
        <is>
          <t>F</t>
        </is>
      </c>
      <c r="D2296" s="13" t="n">
        <v>0</v>
      </c>
      <c r="E2296" s="13" t="inlineStr">
        <is>
          <t>E</t>
        </is>
      </c>
      <c r="F2296" s="13" t="n">
        <v>2025</v>
      </c>
      <c r="G2296" s="14" t="n">
        <v>67765.43307070265</v>
      </c>
      <c r="H2296" s="14" t="n">
        <v>24689.24506222595</v>
      </c>
      <c r="I2296" s="14" t="n">
        <v>31596.74050334856</v>
      </c>
      <c r="J2296" s="14" t="n">
        <v>0</v>
      </c>
      <c r="K2296" s="14" t="n">
        <v>11479.44750512815</v>
      </c>
      <c r="L2296" s="14" t="n">
        <v>0</v>
      </c>
      <c r="M2296" s="14" t="n">
        <v>0</v>
      </c>
      <c r="N2296" s="14" t="n">
        <v>43457.17497043983</v>
      </c>
      <c r="O2296" s="14" t="n">
        <v>67765.43307070265</v>
      </c>
      <c r="P2296" s="14" t="n">
        <v>20777.83947999244</v>
      </c>
      <c r="Q2296" s="14" t="n">
        <v>475570.2967949364</v>
      </c>
      <c r="R2296" s="15">
        <f>IF(D2296=1,"Section 1","Control")</f>
        <v/>
      </c>
      <c r="S2296" s="16">
        <f>N2296/10000</f>
        <v/>
      </c>
      <c r="T2296" s="16">
        <f>P2296/10000</f>
        <v/>
      </c>
      <c r="U2296" s="15">
        <f>IF(N2296&gt;=Summary!$D$3,1,0)</f>
        <v/>
      </c>
      <c r="V2296" s="17">
        <f>IF(N2296&gt;0,P2296/N2296,"")</f>
        <v/>
      </c>
      <c r="W2296" s="17">
        <f>IF(O2296&gt;0,H2296/O2296,"")</f>
        <v/>
      </c>
    </row>
    <row r="2297">
      <c r="A2297" s="13" t="inlineStr">
        <is>
          <t>CE35_F</t>
        </is>
      </c>
      <c r="B2297" s="13" t="inlineStr">
        <is>
          <t>CE35</t>
        </is>
      </c>
      <c r="C2297" s="13" t="inlineStr">
        <is>
          <t>F</t>
        </is>
      </c>
      <c r="D2297" s="13" t="n">
        <v>0</v>
      </c>
      <c r="E2297" s="13" t="inlineStr">
        <is>
          <t>E</t>
        </is>
      </c>
      <c r="F2297" s="13" t="n">
        <v>2026</v>
      </c>
      <c r="G2297" s="14" t="n">
        <v>67765.43307070265</v>
      </c>
      <c r="H2297" s="14" t="n">
        <v>25883.72786305746</v>
      </c>
      <c r="I2297" s="14" t="n">
        <v>32380.806247038</v>
      </c>
      <c r="J2297" s="14" t="n">
        <v>0</v>
      </c>
      <c r="K2297" s="14" t="n">
        <v>9500.898960607192</v>
      </c>
      <c r="L2297" s="14" t="n">
        <v>0</v>
      </c>
      <c r="M2297" s="14" t="n">
        <v>0</v>
      </c>
      <c r="N2297" s="14" t="n">
        <v>43457.17497043983</v>
      </c>
      <c r="O2297" s="14" t="n">
        <v>67765.43307070265</v>
      </c>
      <c r="P2297" s="14" t="n">
        <v>19257.34239561792</v>
      </c>
      <c r="Q2297" s="14" t="n">
        <v>475570.2967949364</v>
      </c>
      <c r="R2297" s="15">
        <f>IF(D2297=1,"Section 1","Control")</f>
        <v/>
      </c>
      <c r="S2297" s="16">
        <f>N2297/10000</f>
        <v/>
      </c>
      <c r="T2297" s="16">
        <f>P2297/10000</f>
        <v/>
      </c>
      <c r="U2297" s="15">
        <f>IF(N2297&gt;=Summary!$D$3,1,0)</f>
        <v/>
      </c>
      <c r="V2297" s="17">
        <f>IF(N2297&gt;0,P2297/N2297,"")</f>
        <v/>
      </c>
      <c r="W2297" s="17">
        <f>IF(O2297&gt;0,H2297/O2297,"")</f>
        <v/>
      </c>
    </row>
    <row r="2298">
      <c r="A2298" s="13" t="inlineStr">
        <is>
          <t>CE36_B1</t>
        </is>
      </c>
      <c r="B2298" s="13" t="inlineStr">
        <is>
          <t>CE36</t>
        </is>
      </c>
      <c r="C2298" s="13" t="inlineStr">
        <is>
          <t>B1</t>
        </is>
      </c>
      <c r="D2298" s="13" t="n">
        <v>0</v>
      </c>
      <c r="E2298" s="13" t="inlineStr">
        <is>
          <t>E</t>
        </is>
      </c>
      <c r="F2298" s="13" t="n">
        <v>2020</v>
      </c>
      <c r="G2298" s="14" t="n">
        <v>1000037.366464473</v>
      </c>
      <c r="H2298" s="14" t="n">
        <v>435479.7016642551</v>
      </c>
      <c r="I2298" s="14" t="n">
        <v>340507.9114045686</v>
      </c>
      <c r="J2298" s="14" t="n">
        <v>0</v>
      </c>
      <c r="K2298" s="14" t="n">
        <v>45583.90564371744</v>
      </c>
      <c r="L2298" s="14" t="n">
        <v>178465.8477519316</v>
      </c>
      <c r="M2298" s="14" t="n">
        <v>0</v>
      </c>
      <c r="N2298" s="14" t="n">
        <v>435479.7016642551</v>
      </c>
      <c r="O2298" s="14" t="n">
        <v>821571.5187125411</v>
      </c>
      <c r="P2298" s="14" t="n">
        <v>0</v>
      </c>
      <c r="Q2298" s="14" t="n">
        <v>4022640.195183847</v>
      </c>
      <c r="R2298" s="15">
        <f>IF(D2298=1,"Section 1","Control")</f>
        <v/>
      </c>
      <c r="S2298" s="16">
        <f>N2298/10000</f>
        <v/>
      </c>
      <c r="T2298" s="16">
        <f>P2298/10000</f>
        <v/>
      </c>
      <c r="U2298" s="15">
        <f>IF(N2298&gt;=Summary!$D$3,1,0)</f>
        <v/>
      </c>
      <c r="V2298" s="17">
        <f>IF(N2298&gt;0,P2298/N2298,"")</f>
        <v/>
      </c>
      <c r="W2298" s="17">
        <f>IF(O2298&gt;0,H2298/O2298,"")</f>
        <v/>
      </c>
    </row>
    <row r="2299">
      <c r="A2299" s="13" t="inlineStr">
        <is>
          <t>CE36_B1</t>
        </is>
      </c>
      <c r="B2299" s="13" t="inlineStr">
        <is>
          <t>CE36</t>
        </is>
      </c>
      <c r="C2299" s="13" t="inlineStr">
        <is>
          <t>B1</t>
        </is>
      </c>
      <c r="D2299" s="13" t="n">
        <v>0</v>
      </c>
      <c r="E2299" s="13" t="inlineStr">
        <is>
          <t>E</t>
        </is>
      </c>
      <c r="F2299" s="13" t="n">
        <v>2021</v>
      </c>
      <c r="G2299" s="14" t="n">
        <v>1000037.366464473</v>
      </c>
      <c r="H2299" s="14" t="n">
        <v>430697.4286161236</v>
      </c>
      <c r="I2299" s="14" t="n">
        <v>338548.8944156721</v>
      </c>
      <c r="J2299" s="14" t="n">
        <v>0</v>
      </c>
      <c r="K2299" s="14" t="n">
        <v>68878.55088857016</v>
      </c>
      <c r="L2299" s="14" t="n">
        <v>161912.4925441069</v>
      </c>
      <c r="M2299" s="14" t="n">
        <v>0</v>
      </c>
      <c r="N2299" s="14" t="n">
        <v>435479.7016642551</v>
      </c>
      <c r="O2299" s="14" t="n">
        <v>821571.5187125411</v>
      </c>
      <c r="P2299" s="14" t="n">
        <v>43617.54100530288</v>
      </c>
      <c r="Q2299" s="14" t="n">
        <v>4022640.195183847</v>
      </c>
      <c r="R2299" s="15">
        <f>IF(D2299=1,"Section 1","Control")</f>
        <v/>
      </c>
      <c r="S2299" s="16">
        <f>N2299/10000</f>
        <v/>
      </c>
      <c r="T2299" s="16">
        <f>P2299/10000</f>
        <v/>
      </c>
      <c r="U2299" s="15">
        <f>IF(N2299&gt;=Summary!$D$3,1,0)</f>
        <v/>
      </c>
      <c r="V2299" s="17">
        <f>IF(N2299&gt;0,P2299/N2299,"")</f>
        <v/>
      </c>
      <c r="W2299" s="17">
        <f>IF(O2299&gt;0,H2299/O2299,"")</f>
        <v/>
      </c>
    </row>
    <row r="2300">
      <c r="A2300" s="13" t="inlineStr">
        <is>
          <t>CE36_B1</t>
        </is>
      </c>
      <c r="B2300" s="13" t="inlineStr">
        <is>
          <t>CE36</t>
        </is>
      </c>
      <c r="C2300" s="13" t="inlineStr">
        <is>
          <t>B1</t>
        </is>
      </c>
      <c r="D2300" s="13" t="n">
        <v>0</v>
      </c>
      <c r="E2300" s="13" t="inlineStr">
        <is>
          <t>E</t>
        </is>
      </c>
      <c r="F2300" s="13" t="n">
        <v>2022</v>
      </c>
      <c r="G2300" s="14" t="n">
        <v>1000037.366464473</v>
      </c>
      <c r="H2300" s="14" t="n">
        <v>302771.5627049764</v>
      </c>
      <c r="I2300" s="14" t="n">
        <v>466699.6323377722</v>
      </c>
      <c r="J2300" s="14" t="n">
        <v>0</v>
      </c>
      <c r="K2300" s="14" t="n">
        <v>56961.55761413574</v>
      </c>
      <c r="L2300" s="14" t="n">
        <v>173604.6138075885</v>
      </c>
      <c r="M2300" s="14" t="n">
        <v>0</v>
      </c>
      <c r="N2300" s="14" t="n">
        <v>435479.7016642552</v>
      </c>
      <c r="O2300" s="14" t="n">
        <v>821571.5187125411</v>
      </c>
      <c r="P2300" s="14" t="n">
        <v>142363.1511473412</v>
      </c>
      <c r="Q2300" s="14" t="n">
        <v>4022640.195183848</v>
      </c>
      <c r="R2300" s="15">
        <f>IF(D2300=1,"Section 1","Control")</f>
        <v/>
      </c>
      <c r="S2300" s="16">
        <f>N2300/10000</f>
        <v/>
      </c>
      <c r="T2300" s="16">
        <f>P2300/10000</f>
        <v/>
      </c>
      <c r="U2300" s="15">
        <f>IF(N2300&gt;=Summary!$D$3,1,0)</f>
        <v/>
      </c>
      <c r="V2300" s="17">
        <f>IF(N2300&gt;0,P2300/N2300,"")</f>
        <v/>
      </c>
      <c r="W2300" s="17">
        <f>IF(O2300&gt;0,H2300/O2300,"")</f>
        <v/>
      </c>
    </row>
    <row r="2301">
      <c r="A2301" s="13" t="inlineStr">
        <is>
          <t>CE36_B1</t>
        </is>
      </c>
      <c r="B2301" s="13" t="inlineStr">
        <is>
          <t>CE36</t>
        </is>
      </c>
      <c r="C2301" s="13" t="inlineStr">
        <is>
          <t>B1</t>
        </is>
      </c>
      <c r="D2301" s="13" t="n">
        <v>0</v>
      </c>
      <c r="E2301" s="13" t="inlineStr">
        <is>
          <t>E</t>
        </is>
      </c>
      <c r="F2301" s="13" t="n">
        <v>2023</v>
      </c>
      <c r="G2301" s="14" t="n">
        <v>1000037.366464473</v>
      </c>
      <c r="H2301" s="14" t="n">
        <v>309953.7847292133</v>
      </c>
      <c r="I2301" s="14" t="n">
        <v>443121.2438776953</v>
      </c>
      <c r="J2301" s="14" t="n">
        <v>0</v>
      </c>
      <c r="K2301" s="14" t="n">
        <v>55568.44365174537</v>
      </c>
      <c r="L2301" s="14" t="n">
        <v>191393.8942058189</v>
      </c>
      <c r="M2301" s="14" t="n">
        <v>0</v>
      </c>
      <c r="N2301" s="14" t="n">
        <v>435479.7016642551</v>
      </c>
      <c r="O2301" s="14" t="n">
        <v>821571.5187125411</v>
      </c>
      <c r="P2301" s="14" t="n">
        <v>140998.4506757848</v>
      </c>
      <c r="Q2301" s="14" t="n">
        <v>4022640.195183847</v>
      </c>
      <c r="R2301" s="15">
        <f>IF(D2301=1,"Section 1","Control")</f>
        <v/>
      </c>
      <c r="S2301" s="16">
        <f>N2301/10000</f>
        <v/>
      </c>
      <c r="T2301" s="16">
        <f>P2301/10000</f>
        <v/>
      </c>
      <c r="U2301" s="15">
        <f>IF(N2301&gt;=Summary!$D$3,1,0)</f>
        <v/>
      </c>
      <c r="V2301" s="17">
        <f>IF(N2301&gt;0,P2301/N2301,"")</f>
        <v/>
      </c>
      <c r="W2301" s="17">
        <f>IF(O2301&gt;0,H2301/O2301,"")</f>
        <v/>
      </c>
    </row>
    <row r="2302">
      <c r="A2302" s="13" t="inlineStr">
        <is>
          <t>CE36_B1</t>
        </is>
      </c>
      <c r="B2302" s="13" t="inlineStr">
        <is>
          <t>CE36</t>
        </is>
      </c>
      <c r="C2302" s="13" t="inlineStr">
        <is>
          <t>B1</t>
        </is>
      </c>
      <c r="D2302" s="13" t="n">
        <v>0</v>
      </c>
      <c r="E2302" s="13" t="inlineStr">
        <is>
          <t>E</t>
        </is>
      </c>
      <c r="F2302" s="13" t="n">
        <v>2024</v>
      </c>
      <c r="G2302" s="14" t="n">
        <v>1000037.366464473</v>
      </c>
      <c r="H2302" s="14" t="n">
        <v>371425.4477858599</v>
      </c>
      <c r="I2302" s="14" t="n">
        <v>390727.0879624311</v>
      </c>
      <c r="J2302" s="14" t="n">
        <v>0</v>
      </c>
      <c r="K2302" s="14" t="n">
        <v>71290.38564809164</v>
      </c>
      <c r="L2302" s="14" t="n">
        <v>166594.4450680901</v>
      </c>
      <c r="M2302" s="14" t="n">
        <v>0</v>
      </c>
      <c r="N2302" s="14" t="n">
        <v>435479.7016642551</v>
      </c>
      <c r="O2302" s="14" t="n">
        <v>821571.5187125411</v>
      </c>
      <c r="P2302" s="14" t="n">
        <v>89961.62525239833</v>
      </c>
      <c r="Q2302" s="14" t="n">
        <v>4022640.195183847</v>
      </c>
      <c r="R2302" s="15">
        <f>IF(D2302=1,"Section 1","Control")</f>
        <v/>
      </c>
      <c r="S2302" s="16">
        <f>N2302/10000</f>
        <v/>
      </c>
      <c r="T2302" s="16">
        <f>P2302/10000</f>
        <v/>
      </c>
      <c r="U2302" s="15">
        <f>IF(N2302&gt;=Summary!$D$3,1,0)</f>
        <v/>
      </c>
      <c r="V2302" s="17">
        <f>IF(N2302&gt;0,P2302/N2302,"")</f>
        <v/>
      </c>
      <c r="W2302" s="17">
        <f>IF(O2302&gt;0,H2302/O2302,"")</f>
        <v/>
      </c>
    </row>
    <row r="2303">
      <c r="A2303" s="13" t="inlineStr">
        <is>
          <t>CE36_B1</t>
        </is>
      </c>
      <c r="B2303" s="13" t="inlineStr">
        <is>
          <t>CE36</t>
        </is>
      </c>
      <c r="C2303" s="13" t="inlineStr">
        <is>
          <t>B1</t>
        </is>
      </c>
      <c r="D2303" s="13" t="n">
        <v>0</v>
      </c>
      <c r="E2303" s="13" t="inlineStr">
        <is>
          <t>E</t>
        </is>
      </c>
      <c r="F2303" s="13" t="n">
        <v>2025</v>
      </c>
      <c r="G2303" s="14" t="n">
        <v>1000037.366464473</v>
      </c>
      <c r="H2303" s="14" t="n">
        <v>443108.5365328323</v>
      </c>
      <c r="I2303" s="14" t="n">
        <v>321996.2705063764</v>
      </c>
      <c r="J2303" s="14" t="n">
        <v>0</v>
      </c>
      <c r="K2303" s="14" t="n">
        <v>52183.16951278986</v>
      </c>
      <c r="L2303" s="14" t="n">
        <v>182749.3899124744</v>
      </c>
      <c r="M2303" s="14" t="n">
        <v>0</v>
      </c>
      <c r="N2303" s="14" t="n">
        <v>435479.7016642551</v>
      </c>
      <c r="O2303" s="14" t="n">
        <v>821571.5187125411</v>
      </c>
      <c r="P2303" s="14" t="n">
        <v>51360.56665888768</v>
      </c>
      <c r="Q2303" s="14" t="n">
        <v>4022640.195183847</v>
      </c>
      <c r="R2303" s="15">
        <f>IF(D2303=1,"Section 1","Control")</f>
        <v/>
      </c>
      <c r="S2303" s="16">
        <f>N2303/10000</f>
        <v/>
      </c>
      <c r="T2303" s="16">
        <f>P2303/10000</f>
        <v/>
      </c>
      <c r="U2303" s="15">
        <f>IF(N2303&gt;=Summary!$D$3,1,0)</f>
        <v/>
      </c>
      <c r="V2303" s="17">
        <f>IF(N2303&gt;0,P2303/N2303,"")</f>
        <v/>
      </c>
      <c r="W2303" s="17">
        <f>IF(O2303&gt;0,H2303/O2303,"")</f>
        <v/>
      </c>
    </row>
    <row r="2304">
      <c r="A2304" s="13" t="inlineStr">
        <is>
          <t>CE36_B1</t>
        </is>
      </c>
      <c r="B2304" s="13" t="inlineStr">
        <is>
          <t>CE36</t>
        </is>
      </c>
      <c r="C2304" s="13" t="inlineStr">
        <is>
          <t>B1</t>
        </is>
      </c>
      <c r="D2304" s="13" t="n">
        <v>0</v>
      </c>
      <c r="E2304" s="13" t="inlineStr">
        <is>
          <t>E</t>
        </is>
      </c>
      <c r="F2304" s="13" t="n">
        <v>2026</v>
      </c>
      <c r="G2304" s="14" t="n">
        <v>1000037.366464473</v>
      </c>
      <c r="H2304" s="14" t="n">
        <v>470422.2409965068</v>
      </c>
      <c r="I2304" s="14" t="n">
        <v>300434.8375658821</v>
      </c>
      <c r="J2304" s="14" t="n">
        <v>0</v>
      </c>
      <c r="K2304" s="14" t="n">
        <v>68508.75880877925</v>
      </c>
      <c r="L2304" s="14" t="n">
        <v>160671.5290933048</v>
      </c>
      <c r="M2304" s="14" t="n">
        <v>0</v>
      </c>
      <c r="N2304" s="14" t="n">
        <v>435479.7016642551</v>
      </c>
      <c r="O2304" s="14" t="n">
        <v>821571.5187125411</v>
      </c>
      <c r="P2304" s="14" t="n">
        <v>48104.7202856924</v>
      </c>
      <c r="Q2304" s="14" t="n">
        <v>4022640.195183847</v>
      </c>
      <c r="R2304" s="15">
        <f>IF(D2304=1,"Section 1","Control")</f>
        <v/>
      </c>
      <c r="S2304" s="16">
        <f>N2304/10000</f>
        <v/>
      </c>
      <c r="T2304" s="16">
        <f>P2304/10000</f>
        <v/>
      </c>
      <c r="U2304" s="15">
        <f>IF(N2304&gt;=Summary!$D$3,1,0)</f>
        <v/>
      </c>
      <c r="V2304" s="17">
        <f>IF(N2304&gt;0,P2304/N2304,"")</f>
        <v/>
      </c>
      <c r="W2304" s="17">
        <f>IF(O2304&gt;0,H2304/O2304,"")</f>
        <v/>
      </c>
    </row>
    <row r="2305">
      <c r="A2305" s="13" t="inlineStr">
        <is>
          <t>CE36_B2</t>
        </is>
      </c>
      <c r="B2305" s="13" t="inlineStr">
        <is>
          <t>CE36</t>
        </is>
      </c>
      <c r="C2305" s="13" t="inlineStr">
        <is>
          <t>B2</t>
        </is>
      </c>
      <c r="D2305" s="13" t="n">
        <v>0</v>
      </c>
      <c r="E2305" s="13" t="inlineStr">
        <is>
          <t>E</t>
        </is>
      </c>
      <c r="F2305" s="13" t="n">
        <v>2020</v>
      </c>
      <c r="G2305" s="14" t="n">
        <v>999764.0055059696</v>
      </c>
      <c r="H2305" s="14" t="n">
        <v>330880.4507200056</v>
      </c>
      <c r="I2305" s="14" t="n">
        <v>168767.1686961155</v>
      </c>
      <c r="J2305" s="14" t="n">
        <v>0</v>
      </c>
      <c r="K2305" s="14" t="n">
        <v>98.7329559326172</v>
      </c>
      <c r="L2305" s="14" t="n">
        <v>500017.6531339159</v>
      </c>
      <c r="M2305" s="14" t="n">
        <v>0</v>
      </c>
      <c r="N2305" s="14" t="n">
        <v>330880.4507200056</v>
      </c>
      <c r="O2305" s="14" t="n">
        <v>499746.3523720537</v>
      </c>
      <c r="P2305" s="14" t="n">
        <v>0</v>
      </c>
      <c r="Q2305" s="14" t="n">
        <v>3820856.977676812</v>
      </c>
      <c r="R2305" s="15">
        <f>IF(D2305=1,"Section 1","Control")</f>
        <v/>
      </c>
      <c r="S2305" s="16">
        <f>N2305/10000</f>
        <v/>
      </c>
      <c r="T2305" s="16">
        <f>P2305/10000</f>
        <v/>
      </c>
      <c r="U2305" s="15">
        <f>IF(N2305&gt;=Summary!$D$3,1,0)</f>
        <v/>
      </c>
      <c r="V2305" s="17">
        <f>IF(N2305&gt;0,P2305/N2305,"")</f>
        <v/>
      </c>
      <c r="W2305" s="17">
        <f>IF(O2305&gt;0,H2305/O2305,"")</f>
        <v/>
      </c>
    </row>
    <row r="2306">
      <c r="A2306" s="13" t="inlineStr">
        <is>
          <t>CE36_B2</t>
        </is>
      </c>
      <c r="B2306" s="13" t="inlineStr">
        <is>
          <t>CE36</t>
        </is>
      </c>
      <c r="C2306" s="13" t="inlineStr">
        <is>
          <t>B2</t>
        </is>
      </c>
      <c r="D2306" s="13" t="n">
        <v>0</v>
      </c>
      <c r="E2306" s="13" t="inlineStr">
        <is>
          <t>E</t>
        </is>
      </c>
      <c r="F2306" s="13" t="n">
        <v>2021</v>
      </c>
      <c r="G2306" s="14" t="n">
        <v>999764.0055059696</v>
      </c>
      <c r="H2306" s="14" t="n">
        <v>363524.6381880817</v>
      </c>
      <c r="I2306" s="14" t="n">
        <v>129528.4120618035</v>
      </c>
      <c r="J2306" s="14" t="n">
        <v>0</v>
      </c>
      <c r="K2306" s="14" t="n">
        <v>6693.302122168447</v>
      </c>
      <c r="L2306" s="14" t="n">
        <v>500017.6531339159</v>
      </c>
      <c r="M2306" s="14" t="n">
        <v>0</v>
      </c>
      <c r="N2306" s="14" t="n">
        <v>330880.4507200056</v>
      </c>
      <c r="O2306" s="14" t="n">
        <v>499746.3523720537</v>
      </c>
      <c r="P2306" s="14" t="n">
        <v>25697.24525299072</v>
      </c>
      <c r="Q2306" s="14" t="n">
        <v>3820856.977676812</v>
      </c>
      <c r="R2306" s="15">
        <f>IF(D2306=1,"Section 1","Control")</f>
        <v/>
      </c>
      <c r="S2306" s="16">
        <f>N2306/10000</f>
        <v/>
      </c>
      <c r="T2306" s="16">
        <f>P2306/10000</f>
        <v/>
      </c>
      <c r="U2306" s="15">
        <f>IF(N2306&gt;=Summary!$D$3,1,0)</f>
        <v/>
      </c>
      <c r="V2306" s="17">
        <f>IF(N2306&gt;0,P2306/N2306,"")</f>
        <v/>
      </c>
      <c r="W2306" s="17">
        <f>IF(O2306&gt;0,H2306/O2306,"")</f>
        <v/>
      </c>
    </row>
    <row r="2307">
      <c r="A2307" s="13" t="inlineStr">
        <is>
          <t>CE36_B2</t>
        </is>
      </c>
      <c r="B2307" s="13" t="inlineStr">
        <is>
          <t>CE36</t>
        </is>
      </c>
      <c r="C2307" s="13" t="inlineStr">
        <is>
          <t>B2</t>
        </is>
      </c>
      <c r="D2307" s="13" t="n">
        <v>0</v>
      </c>
      <c r="E2307" s="13" t="inlineStr">
        <is>
          <t>E</t>
        </is>
      </c>
      <c r="F2307" s="13" t="n">
        <v>2022</v>
      </c>
      <c r="G2307" s="14" t="n">
        <v>999764.0055059696</v>
      </c>
      <c r="H2307" s="14" t="n">
        <v>194104.4818440755</v>
      </c>
      <c r="I2307" s="14" t="n">
        <v>303469.7492053463</v>
      </c>
      <c r="J2307" s="14" t="n">
        <v>0</v>
      </c>
      <c r="K2307" s="14" t="n">
        <v>2172.121322631836</v>
      </c>
      <c r="L2307" s="14" t="n">
        <v>500017.653133916</v>
      </c>
      <c r="M2307" s="14" t="n">
        <v>0</v>
      </c>
      <c r="N2307" s="14" t="n">
        <v>330880.4507200056</v>
      </c>
      <c r="O2307" s="14" t="n">
        <v>499746.3523720537</v>
      </c>
      <c r="P2307" s="14" t="n">
        <v>141694.4176191741</v>
      </c>
      <c r="Q2307" s="14" t="n">
        <v>3820856.977676812</v>
      </c>
      <c r="R2307" s="15">
        <f>IF(D2307=1,"Section 1","Control")</f>
        <v/>
      </c>
      <c r="S2307" s="16">
        <f>N2307/10000</f>
        <v/>
      </c>
      <c r="T2307" s="16">
        <f>P2307/10000</f>
        <v/>
      </c>
      <c r="U2307" s="15">
        <f>IF(N2307&gt;=Summary!$D$3,1,0)</f>
        <v/>
      </c>
      <c r="V2307" s="17">
        <f>IF(N2307&gt;0,P2307/N2307,"")</f>
        <v/>
      </c>
      <c r="W2307" s="17">
        <f>IF(O2307&gt;0,H2307/O2307,"")</f>
        <v/>
      </c>
    </row>
    <row r="2308">
      <c r="A2308" s="13" t="inlineStr">
        <is>
          <t>CE36_B2</t>
        </is>
      </c>
      <c r="B2308" s="13" t="inlineStr">
        <is>
          <t>CE36</t>
        </is>
      </c>
      <c r="C2308" s="13" t="inlineStr">
        <is>
          <t>B2</t>
        </is>
      </c>
      <c r="D2308" s="13" t="n">
        <v>0</v>
      </c>
      <c r="E2308" s="13" t="inlineStr">
        <is>
          <t>E</t>
        </is>
      </c>
      <c r="F2308" s="13" t="n">
        <v>2023</v>
      </c>
      <c r="G2308" s="14" t="n">
        <v>999764.0055059696</v>
      </c>
      <c r="H2308" s="14" t="n">
        <v>279031.3966524013</v>
      </c>
      <c r="I2308" s="14" t="n">
        <v>219628.8938681509</v>
      </c>
      <c r="J2308" s="14" t="n">
        <v>0</v>
      </c>
      <c r="K2308" s="14" t="n">
        <v>1086.061851501465</v>
      </c>
      <c r="L2308" s="14" t="n">
        <v>500017.6531339159</v>
      </c>
      <c r="M2308" s="14" t="n">
        <v>0</v>
      </c>
      <c r="N2308" s="14" t="n">
        <v>330880.4507200056</v>
      </c>
      <c r="O2308" s="14" t="n">
        <v>499746.3523720537</v>
      </c>
      <c r="P2308" s="14" t="n">
        <v>73373.98076097078</v>
      </c>
      <c r="Q2308" s="14" t="n">
        <v>3820856.977676812</v>
      </c>
      <c r="R2308" s="15">
        <f>IF(D2308=1,"Section 1","Control")</f>
        <v/>
      </c>
      <c r="S2308" s="16">
        <f>N2308/10000</f>
        <v/>
      </c>
      <c r="T2308" s="16">
        <f>P2308/10000</f>
        <v/>
      </c>
      <c r="U2308" s="15">
        <f>IF(N2308&gt;=Summary!$D$3,1,0)</f>
        <v/>
      </c>
      <c r="V2308" s="17">
        <f>IF(N2308&gt;0,P2308/N2308,"")</f>
        <v/>
      </c>
      <c r="W2308" s="17">
        <f>IF(O2308&gt;0,H2308/O2308,"")</f>
        <v/>
      </c>
    </row>
    <row r="2309">
      <c r="A2309" s="13" t="inlineStr">
        <is>
          <t>CE36_B2</t>
        </is>
      </c>
      <c r="B2309" s="13" t="inlineStr">
        <is>
          <t>CE36</t>
        </is>
      </c>
      <c r="C2309" s="13" t="inlineStr">
        <is>
          <t>B2</t>
        </is>
      </c>
      <c r="D2309" s="13" t="n">
        <v>0</v>
      </c>
      <c r="E2309" s="13" t="inlineStr">
        <is>
          <t>E</t>
        </is>
      </c>
      <c r="F2309" s="13" t="n">
        <v>2024</v>
      </c>
      <c r="G2309" s="14" t="n">
        <v>999764.0055059696</v>
      </c>
      <c r="H2309" s="14" t="n">
        <v>339852.3433085723</v>
      </c>
      <c r="I2309" s="14" t="n">
        <v>158291.0506104712</v>
      </c>
      <c r="J2309" s="14" t="n">
        <v>0</v>
      </c>
      <c r="K2309" s="14" t="n">
        <v>1602.95845301011</v>
      </c>
      <c r="L2309" s="14" t="n">
        <v>500017.6531339159</v>
      </c>
      <c r="M2309" s="14" t="n">
        <v>0</v>
      </c>
      <c r="N2309" s="14" t="n">
        <v>330880.4507200056</v>
      </c>
      <c r="O2309" s="14" t="n">
        <v>499746.3523720537</v>
      </c>
      <c r="P2309" s="14" t="n">
        <v>49944.49402750052</v>
      </c>
      <c r="Q2309" s="14" t="n">
        <v>3820856.977676812</v>
      </c>
      <c r="R2309" s="15">
        <f>IF(D2309=1,"Section 1","Control")</f>
        <v/>
      </c>
      <c r="S2309" s="16">
        <f>N2309/10000</f>
        <v/>
      </c>
      <c r="T2309" s="16">
        <f>P2309/10000</f>
        <v/>
      </c>
      <c r="U2309" s="15">
        <f>IF(N2309&gt;=Summary!$D$3,1,0)</f>
        <v/>
      </c>
      <c r="V2309" s="17">
        <f>IF(N2309&gt;0,P2309/N2309,"")</f>
        <v/>
      </c>
      <c r="W2309" s="17">
        <f>IF(O2309&gt;0,H2309/O2309,"")</f>
        <v/>
      </c>
    </row>
    <row r="2310">
      <c r="A2310" s="13" t="inlineStr">
        <is>
          <t>CE36_B2</t>
        </is>
      </c>
      <c r="B2310" s="13" t="inlineStr">
        <is>
          <t>CE36</t>
        </is>
      </c>
      <c r="C2310" s="13" t="inlineStr">
        <is>
          <t>B2</t>
        </is>
      </c>
      <c r="D2310" s="13" t="n">
        <v>0</v>
      </c>
      <c r="E2310" s="13" t="inlineStr">
        <is>
          <t>E</t>
        </is>
      </c>
      <c r="F2310" s="13" t="n">
        <v>2025</v>
      </c>
      <c r="G2310" s="14" t="n">
        <v>999764.0055059696</v>
      </c>
      <c r="H2310" s="14" t="n">
        <v>249348.8141743978</v>
      </c>
      <c r="I2310" s="14" t="n">
        <v>245942.9512991811</v>
      </c>
      <c r="J2310" s="14" t="n">
        <v>0</v>
      </c>
      <c r="K2310" s="14" t="n">
        <v>4454.586898474599</v>
      </c>
      <c r="L2310" s="14" t="n">
        <v>500017.653133916</v>
      </c>
      <c r="M2310" s="14" t="n">
        <v>0</v>
      </c>
      <c r="N2310" s="14" t="n">
        <v>330880.4507200056</v>
      </c>
      <c r="O2310" s="14" t="n">
        <v>499746.3523720537</v>
      </c>
      <c r="P2310" s="14" t="n">
        <v>104060.1569636625</v>
      </c>
      <c r="Q2310" s="14" t="n">
        <v>3820856.977676812</v>
      </c>
      <c r="R2310" s="15">
        <f>IF(D2310=1,"Section 1","Control")</f>
        <v/>
      </c>
      <c r="S2310" s="16">
        <f>N2310/10000</f>
        <v/>
      </c>
      <c r="T2310" s="16">
        <f>P2310/10000</f>
        <v/>
      </c>
      <c r="U2310" s="15">
        <f>IF(N2310&gt;=Summary!$D$3,1,0)</f>
        <v/>
      </c>
      <c r="V2310" s="17">
        <f>IF(N2310&gt;0,P2310/N2310,"")</f>
        <v/>
      </c>
      <c r="W2310" s="17">
        <f>IF(O2310&gt;0,H2310/O2310,"")</f>
        <v/>
      </c>
    </row>
    <row r="2311">
      <c r="A2311" s="13" t="inlineStr">
        <is>
          <t>CE36_B2</t>
        </is>
      </c>
      <c r="B2311" s="13" t="inlineStr">
        <is>
          <t>CE36</t>
        </is>
      </c>
      <c r="C2311" s="13" t="inlineStr">
        <is>
          <t>B2</t>
        </is>
      </c>
      <c r="D2311" s="13" t="n">
        <v>0</v>
      </c>
      <c r="E2311" s="13" t="inlineStr">
        <is>
          <t>E</t>
        </is>
      </c>
      <c r="F2311" s="13" t="n">
        <v>2026</v>
      </c>
      <c r="G2311" s="14" t="n">
        <v>999764.0055059696</v>
      </c>
      <c r="H2311" s="14" t="n">
        <v>196366.7869201062</v>
      </c>
      <c r="I2311" s="14" t="n">
        <v>298595.0859422273</v>
      </c>
      <c r="J2311" s="14" t="n">
        <v>0</v>
      </c>
      <c r="K2311" s="14" t="n">
        <v>4784.479509720148</v>
      </c>
      <c r="L2311" s="14" t="n">
        <v>500017.6531339159</v>
      </c>
      <c r="M2311" s="14" t="n">
        <v>0</v>
      </c>
      <c r="N2311" s="14" t="n">
        <v>330880.4507200056</v>
      </c>
      <c r="O2311" s="14" t="n">
        <v>499746.3523720537</v>
      </c>
      <c r="P2311" s="14" t="n">
        <v>151026.4392523373</v>
      </c>
      <c r="Q2311" s="14" t="n">
        <v>3820856.977676812</v>
      </c>
      <c r="R2311" s="15">
        <f>IF(D2311=1,"Section 1","Control")</f>
        <v/>
      </c>
      <c r="S2311" s="16">
        <f>N2311/10000</f>
        <v/>
      </c>
      <c r="T2311" s="16">
        <f>P2311/10000</f>
        <v/>
      </c>
      <c r="U2311" s="15">
        <f>IF(N2311&gt;=Summary!$D$3,1,0)</f>
        <v/>
      </c>
      <c r="V2311" s="17">
        <f>IF(N2311&gt;0,P2311/N2311,"")</f>
        <v/>
      </c>
      <c r="W2311" s="17">
        <f>IF(O2311&gt;0,H2311/O2311,"")</f>
        <v/>
      </c>
    </row>
    <row r="2312">
      <c r="A2312" s="13" t="inlineStr">
        <is>
          <t>CE36_B3</t>
        </is>
      </c>
      <c r="B2312" s="13" t="inlineStr">
        <is>
          <t>CE36</t>
        </is>
      </c>
      <c r="C2312" s="13" t="inlineStr">
        <is>
          <t>B3</t>
        </is>
      </c>
      <c r="D2312" s="13" t="n">
        <v>0</v>
      </c>
      <c r="E2312" s="13" t="inlineStr">
        <is>
          <t>E</t>
        </is>
      </c>
      <c r="F2312" s="13" t="n">
        <v>2020</v>
      </c>
      <c r="G2312" s="14" t="n">
        <v>7998917.627868114</v>
      </c>
      <c r="H2312" s="14" t="n">
        <v>2484819.185282149</v>
      </c>
      <c r="I2312" s="14" t="n">
        <v>885097.524891124</v>
      </c>
      <c r="J2312" s="14" t="n">
        <v>0</v>
      </c>
      <c r="K2312" s="14" t="n">
        <v>13543.48660188563</v>
      </c>
      <c r="L2312" s="14" t="n">
        <v>4615457.431092954</v>
      </c>
      <c r="M2312" s="14" t="n">
        <v>0</v>
      </c>
      <c r="N2312" s="14" t="n">
        <v>2484819.185282149</v>
      </c>
      <c r="O2312" s="14" t="n">
        <v>3383460.19677516</v>
      </c>
      <c r="P2312" s="14" t="n">
        <v>0</v>
      </c>
      <c r="Q2312" s="14" t="n">
        <v>29727693.04256741</v>
      </c>
      <c r="R2312" s="15">
        <f>IF(D2312=1,"Section 1","Control")</f>
        <v/>
      </c>
      <c r="S2312" s="16">
        <f>N2312/10000</f>
        <v/>
      </c>
      <c r="T2312" s="16">
        <f>P2312/10000</f>
        <v/>
      </c>
      <c r="U2312" s="15">
        <f>IF(N2312&gt;=Summary!$D$3,1,0)</f>
        <v/>
      </c>
      <c r="V2312" s="17">
        <f>IF(N2312&gt;0,P2312/N2312,"")</f>
        <v/>
      </c>
      <c r="W2312" s="17">
        <f>IF(O2312&gt;0,H2312/O2312,"")</f>
        <v/>
      </c>
    </row>
    <row r="2313">
      <c r="A2313" s="13" t="inlineStr">
        <is>
          <t>CE36_B3</t>
        </is>
      </c>
      <c r="B2313" s="13" t="inlineStr">
        <is>
          <t>CE36</t>
        </is>
      </c>
      <c r="C2313" s="13" t="inlineStr">
        <is>
          <t>B3</t>
        </is>
      </c>
      <c r="D2313" s="13" t="n">
        <v>0</v>
      </c>
      <c r="E2313" s="13" t="inlineStr">
        <is>
          <t>E</t>
        </is>
      </c>
      <c r="F2313" s="13" t="n">
        <v>2021</v>
      </c>
      <c r="G2313" s="14" t="n">
        <v>7998917.627868114</v>
      </c>
      <c r="H2313" s="14" t="n">
        <v>2074698.208174821</v>
      </c>
      <c r="I2313" s="14" t="n">
        <v>1085521.038947491</v>
      </c>
      <c r="J2313" s="14" t="n">
        <v>0</v>
      </c>
      <c r="K2313" s="14" t="n">
        <v>330017.4881894279</v>
      </c>
      <c r="L2313" s="14" t="n">
        <v>4508680.892556374</v>
      </c>
      <c r="M2313" s="14" t="n">
        <v>0</v>
      </c>
      <c r="N2313" s="14" t="n">
        <v>2484819.18528215</v>
      </c>
      <c r="O2313" s="14" t="n">
        <v>3383460.19677516</v>
      </c>
      <c r="P2313" s="14" t="n">
        <v>497050.0596054078</v>
      </c>
      <c r="Q2313" s="14" t="n">
        <v>29727693.04256742</v>
      </c>
      <c r="R2313" s="15">
        <f>IF(D2313=1,"Section 1","Control")</f>
        <v/>
      </c>
      <c r="S2313" s="16">
        <f>N2313/10000</f>
        <v/>
      </c>
      <c r="T2313" s="16">
        <f>P2313/10000</f>
        <v/>
      </c>
      <c r="U2313" s="15">
        <f>IF(N2313&gt;=Summary!$D$3,1,0)</f>
        <v/>
      </c>
      <c r="V2313" s="17">
        <f>IF(N2313&gt;0,P2313/N2313,"")</f>
        <v/>
      </c>
      <c r="W2313" s="17">
        <f>IF(O2313&gt;0,H2313/O2313,"")</f>
        <v/>
      </c>
    </row>
    <row r="2314">
      <c r="A2314" s="13" t="inlineStr">
        <is>
          <t>CE36_B3</t>
        </is>
      </c>
      <c r="B2314" s="13" t="inlineStr">
        <is>
          <t>CE36</t>
        </is>
      </c>
      <c r="C2314" s="13" t="inlineStr">
        <is>
          <t>B3</t>
        </is>
      </c>
      <c r="D2314" s="13" t="n">
        <v>0</v>
      </c>
      <c r="E2314" s="13" t="inlineStr">
        <is>
          <t>E</t>
        </is>
      </c>
      <c r="F2314" s="13" t="n">
        <v>2022</v>
      </c>
      <c r="G2314" s="14" t="n">
        <v>7998917.627868114</v>
      </c>
      <c r="H2314" s="14" t="n">
        <v>1794719.577784819</v>
      </c>
      <c r="I2314" s="14" t="n">
        <v>1363465.919068519</v>
      </c>
      <c r="J2314" s="14" t="n">
        <v>0</v>
      </c>
      <c r="K2314" s="14" t="n">
        <v>241256.8386983834</v>
      </c>
      <c r="L2314" s="14" t="n">
        <v>4599475.292316392</v>
      </c>
      <c r="M2314" s="14" t="n">
        <v>0</v>
      </c>
      <c r="N2314" s="14" t="n">
        <v>2484819.18528215</v>
      </c>
      <c r="O2314" s="14" t="n">
        <v>3383460.19677516</v>
      </c>
      <c r="P2314" s="14" t="n">
        <v>733693.0978745405</v>
      </c>
      <c r="Q2314" s="14" t="n">
        <v>29727693.04256742</v>
      </c>
      <c r="R2314" s="15">
        <f>IF(D2314=1,"Section 1","Control")</f>
        <v/>
      </c>
      <c r="S2314" s="16">
        <f>N2314/10000</f>
        <v/>
      </c>
      <c r="T2314" s="16">
        <f>P2314/10000</f>
        <v/>
      </c>
      <c r="U2314" s="15">
        <f>IF(N2314&gt;=Summary!$D$3,1,0)</f>
        <v/>
      </c>
      <c r="V2314" s="17">
        <f>IF(N2314&gt;0,P2314/N2314,"")</f>
        <v/>
      </c>
      <c r="W2314" s="17">
        <f>IF(O2314&gt;0,H2314/O2314,"")</f>
        <v/>
      </c>
    </row>
    <row r="2315">
      <c r="A2315" s="13" t="inlineStr">
        <is>
          <t>CE36_B3</t>
        </is>
      </c>
      <c r="B2315" s="13" t="inlineStr">
        <is>
          <t>CE36</t>
        </is>
      </c>
      <c r="C2315" s="13" t="inlineStr">
        <is>
          <t>B3</t>
        </is>
      </c>
      <c r="D2315" s="13" t="n">
        <v>0</v>
      </c>
      <c r="E2315" s="13" t="inlineStr">
        <is>
          <t>E</t>
        </is>
      </c>
      <c r="F2315" s="13" t="n">
        <v>2023</v>
      </c>
      <c r="G2315" s="14" t="n">
        <v>7998917.627868114</v>
      </c>
      <c r="H2315" s="14" t="n">
        <v>1879633.537624703</v>
      </c>
      <c r="I2315" s="14" t="n">
        <v>1343076.77463361</v>
      </c>
      <c r="J2315" s="14" t="n">
        <v>0</v>
      </c>
      <c r="K2315" s="14" t="n">
        <v>177167.5965842752</v>
      </c>
      <c r="L2315" s="14" t="n">
        <v>4599039.719025526</v>
      </c>
      <c r="M2315" s="14" t="n">
        <v>0</v>
      </c>
      <c r="N2315" s="14" t="n">
        <v>2484819.185282149</v>
      </c>
      <c r="O2315" s="14" t="n">
        <v>3383460.19677516</v>
      </c>
      <c r="P2315" s="14" t="n">
        <v>664730.7177692488</v>
      </c>
      <c r="Q2315" s="14" t="n">
        <v>29727693.04256741</v>
      </c>
      <c r="R2315" s="15">
        <f>IF(D2315=1,"Section 1","Control")</f>
        <v/>
      </c>
      <c r="S2315" s="16">
        <f>N2315/10000</f>
        <v/>
      </c>
      <c r="T2315" s="16">
        <f>P2315/10000</f>
        <v/>
      </c>
      <c r="U2315" s="15">
        <f>IF(N2315&gt;=Summary!$D$3,1,0)</f>
        <v/>
      </c>
      <c r="V2315" s="17">
        <f>IF(N2315&gt;0,P2315/N2315,"")</f>
        <v/>
      </c>
      <c r="W2315" s="17">
        <f>IF(O2315&gt;0,H2315/O2315,"")</f>
        <v/>
      </c>
    </row>
    <row r="2316">
      <c r="A2316" s="13" t="inlineStr">
        <is>
          <t>CE36_B3</t>
        </is>
      </c>
      <c r="B2316" s="13" t="inlineStr">
        <is>
          <t>CE36</t>
        </is>
      </c>
      <c r="C2316" s="13" t="inlineStr">
        <is>
          <t>B3</t>
        </is>
      </c>
      <c r="D2316" s="13" t="n">
        <v>0</v>
      </c>
      <c r="E2316" s="13" t="inlineStr">
        <is>
          <t>E</t>
        </is>
      </c>
      <c r="F2316" s="13" t="n">
        <v>2024</v>
      </c>
      <c r="G2316" s="14" t="n">
        <v>7998917.627868115</v>
      </c>
      <c r="H2316" s="14" t="n">
        <v>2345640.739628212</v>
      </c>
      <c r="I2316" s="14" t="n">
        <v>869725.1448136572</v>
      </c>
      <c r="J2316" s="14" t="n">
        <v>0</v>
      </c>
      <c r="K2316" s="14" t="n">
        <v>209625.7707046808</v>
      </c>
      <c r="L2316" s="14" t="n">
        <v>4573925.972721564</v>
      </c>
      <c r="M2316" s="14" t="n">
        <v>0</v>
      </c>
      <c r="N2316" s="14" t="n">
        <v>2484819.185282149</v>
      </c>
      <c r="O2316" s="14" t="n">
        <v>3383460.19677516</v>
      </c>
      <c r="P2316" s="14" t="n">
        <v>359705.5343260223</v>
      </c>
      <c r="Q2316" s="14" t="n">
        <v>29727693.04256741</v>
      </c>
      <c r="R2316" s="15">
        <f>IF(D2316=1,"Section 1","Control")</f>
        <v/>
      </c>
      <c r="S2316" s="16">
        <f>N2316/10000</f>
        <v/>
      </c>
      <c r="T2316" s="16">
        <f>P2316/10000</f>
        <v/>
      </c>
      <c r="U2316" s="15">
        <f>IF(N2316&gt;=Summary!$D$3,1,0)</f>
        <v/>
      </c>
      <c r="V2316" s="17">
        <f>IF(N2316&gt;0,P2316/N2316,"")</f>
        <v/>
      </c>
      <c r="W2316" s="17">
        <f>IF(O2316&gt;0,H2316/O2316,"")</f>
        <v/>
      </c>
    </row>
    <row r="2317">
      <c r="A2317" s="13" t="inlineStr">
        <is>
          <t>CE36_B3</t>
        </is>
      </c>
      <c r="B2317" s="13" t="inlineStr">
        <is>
          <t>CE36</t>
        </is>
      </c>
      <c r="C2317" s="13" t="inlineStr">
        <is>
          <t>B3</t>
        </is>
      </c>
      <c r="D2317" s="13" t="n">
        <v>0</v>
      </c>
      <c r="E2317" s="13" t="inlineStr">
        <is>
          <t>E</t>
        </is>
      </c>
      <c r="F2317" s="13" t="n">
        <v>2025</v>
      </c>
      <c r="G2317" s="14" t="n">
        <v>7998917.627868114</v>
      </c>
      <c r="H2317" s="14" t="n">
        <v>2224521.210157656</v>
      </c>
      <c r="I2317" s="14" t="n">
        <v>1016946.004651567</v>
      </c>
      <c r="J2317" s="14" t="n">
        <v>0</v>
      </c>
      <c r="K2317" s="14" t="n">
        <v>156398.2159419639</v>
      </c>
      <c r="L2317" s="14" t="n">
        <v>4601052.197116927</v>
      </c>
      <c r="M2317" s="14" t="n">
        <v>0</v>
      </c>
      <c r="N2317" s="14" t="n">
        <v>2484819.185282149</v>
      </c>
      <c r="O2317" s="14" t="n">
        <v>3383460.19677516</v>
      </c>
      <c r="P2317" s="14" t="n">
        <v>468944.5827383304</v>
      </c>
      <c r="Q2317" s="14" t="n">
        <v>29727693.04256741</v>
      </c>
      <c r="R2317" s="15">
        <f>IF(D2317=1,"Section 1","Control")</f>
        <v/>
      </c>
      <c r="S2317" s="16">
        <f>N2317/10000</f>
        <v/>
      </c>
      <c r="T2317" s="16">
        <f>P2317/10000</f>
        <v/>
      </c>
      <c r="U2317" s="15">
        <f>IF(N2317&gt;=Summary!$D$3,1,0)</f>
        <v/>
      </c>
      <c r="V2317" s="17">
        <f>IF(N2317&gt;0,P2317/N2317,"")</f>
        <v/>
      </c>
      <c r="W2317" s="17">
        <f>IF(O2317&gt;0,H2317/O2317,"")</f>
        <v/>
      </c>
    </row>
    <row r="2318">
      <c r="A2318" s="13" t="inlineStr">
        <is>
          <t>CE36_B3</t>
        </is>
      </c>
      <c r="B2318" s="13" t="inlineStr">
        <is>
          <t>CE36</t>
        </is>
      </c>
      <c r="C2318" s="13" t="inlineStr">
        <is>
          <t>B3</t>
        </is>
      </c>
      <c r="D2318" s="13" t="n">
        <v>0</v>
      </c>
      <c r="E2318" s="13" t="inlineStr">
        <is>
          <t>E</t>
        </is>
      </c>
      <c r="F2318" s="13" t="n">
        <v>2026</v>
      </c>
      <c r="G2318" s="14" t="n">
        <v>7998917.627868114</v>
      </c>
      <c r="H2318" s="14" t="n">
        <v>2315617.453301015</v>
      </c>
      <c r="I2318" s="14" t="n">
        <v>922341.130373158</v>
      </c>
      <c r="J2318" s="14" t="n">
        <v>0</v>
      </c>
      <c r="K2318" s="14" t="n">
        <v>147255.4685123519</v>
      </c>
      <c r="L2318" s="14" t="n">
        <v>4613703.575681588</v>
      </c>
      <c r="M2318" s="14" t="n">
        <v>0</v>
      </c>
      <c r="N2318" s="14" t="n">
        <v>2484819.18528215</v>
      </c>
      <c r="O2318" s="14" t="n">
        <v>3383460.19677516</v>
      </c>
      <c r="P2318" s="14" t="n">
        <v>414087.7240438125</v>
      </c>
      <c r="Q2318" s="14" t="n">
        <v>29727693.04256741</v>
      </c>
      <c r="R2318" s="15">
        <f>IF(D2318=1,"Section 1","Control")</f>
        <v/>
      </c>
      <c r="S2318" s="16">
        <f>N2318/10000</f>
        <v/>
      </c>
      <c r="T2318" s="16">
        <f>P2318/10000</f>
        <v/>
      </c>
      <c r="U2318" s="15">
        <f>IF(N2318&gt;=Summary!$D$3,1,0)</f>
        <v/>
      </c>
      <c r="V2318" s="17">
        <f>IF(N2318&gt;0,P2318/N2318,"")</f>
        <v/>
      </c>
      <c r="W2318" s="17">
        <f>IF(O2318&gt;0,H2318/O2318,"")</f>
        <v/>
      </c>
    </row>
    <row r="2319">
      <c r="A2319" s="13" t="inlineStr">
        <is>
          <t>CE36_F</t>
        </is>
      </c>
      <c r="B2319" s="13" t="inlineStr">
        <is>
          <t>CE36</t>
        </is>
      </c>
      <c r="C2319" s="13" t="inlineStr">
        <is>
          <t>F</t>
        </is>
      </c>
      <c r="D2319" s="13" t="n">
        <v>0</v>
      </c>
      <c r="E2319" s="13" t="inlineStr">
        <is>
          <t>E</t>
        </is>
      </c>
      <c r="F2319" s="13" t="n">
        <v>2020</v>
      </c>
      <c r="G2319" s="14" t="n">
        <v>69194.84233685661</v>
      </c>
      <c r="H2319" s="14" t="n">
        <v>37975.87351128073</v>
      </c>
      <c r="I2319" s="14" t="n">
        <v>30527.83005451876</v>
      </c>
      <c r="J2319" s="14" t="n">
        <v>0</v>
      </c>
      <c r="K2319" s="14" t="n">
        <v>691.1387710571289</v>
      </c>
      <c r="L2319" s="14" t="n">
        <v>0</v>
      </c>
      <c r="M2319" s="14" t="n">
        <v>0</v>
      </c>
      <c r="N2319" s="14" t="n">
        <v>37975.87351128073</v>
      </c>
      <c r="O2319" s="14" t="n">
        <v>69194.84233685661</v>
      </c>
      <c r="P2319" s="14" t="n">
        <v>0</v>
      </c>
      <c r="Q2319" s="14" t="n">
        <v>403480.4631590599</v>
      </c>
      <c r="R2319" s="15">
        <f>IF(D2319=1,"Section 1","Control")</f>
        <v/>
      </c>
      <c r="S2319" s="16">
        <f>N2319/10000</f>
        <v/>
      </c>
      <c r="T2319" s="16">
        <f>P2319/10000</f>
        <v/>
      </c>
      <c r="U2319" s="15">
        <f>IF(N2319&gt;=Summary!$D$3,1,0)</f>
        <v/>
      </c>
      <c r="V2319" s="17">
        <f>IF(N2319&gt;0,P2319/N2319,"")</f>
        <v/>
      </c>
      <c r="W2319" s="17">
        <f>IF(O2319&gt;0,H2319/O2319,"")</f>
        <v/>
      </c>
    </row>
    <row r="2320">
      <c r="A2320" s="13" t="inlineStr">
        <is>
          <t>CE36_F</t>
        </is>
      </c>
      <c r="B2320" s="13" t="inlineStr">
        <is>
          <t>CE36</t>
        </is>
      </c>
      <c r="C2320" s="13" t="inlineStr">
        <is>
          <t>F</t>
        </is>
      </c>
      <c r="D2320" s="13" t="n">
        <v>0</v>
      </c>
      <c r="E2320" s="13" t="inlineStr">
        <is>
          <t>E</t>
        </is>
      </c>
      <c r="F2320" s="13" t="n">
        <v>2021</v>
      </c>
      <c r="G2320" s="14" t="n">
        <v>69194.84233685661</v>
      </c>
      <c r="H2320" s="14" t="n">
        <v>36775.19549309226</v>
      </c>
      <c r="I2320" s="14" t="n">
        <v>26297.36067241594</v>
      </c>
      <c r="J2320" s="14" t="n">
        <v>0</v>
      </c>
      <c r="K2320" s="14" t="n">
        <v>6122.286171348422</v>
      </c>
      <c r="L2320" s="14" t="n">
        <v>0</v>
      </c>
      <c r="M2320" s="14" t="n">
        <v>0</v>
      </c>
      <c r="N2320" s="14" t="n">
        <v>37975.87351128073</v>
      </c>
      <c r="O2320" s="14" t="n">
        <v>69194.84233685661</v>
      </c>
      <c r="P2320" s="14" t="n">
        <v>7611.043713827694</v>
      </c>
      <c r="Q2320" s="14" t="n">
        <v>403480.4631590599</v>
      </c>
      <c r="R2320" s="15">
        <f>IF(D2320=1,"Section 1","Control")</f>
        <v/>
      </c>
      <c r="S2320" s="16">
        <f>N2320/10000</f>
        <v/>
      </c>
      <c r="T2320" s="16">
        <f>P2320/10000</f>
        <v/>
      </c>
      <c r="U2320" s="15">
        <f>IF(N2320&gt;=Summary!$D$3,1,0)</f>
        <v/>
      </c>
      <c r="V2320" s="17">
        <f>IF(N2320&gt;0,P2320/N2320,"")</f>
        <v/>
      </c>
      <c r="W2320" s="17">
        <f>IF(O2320&gt;0,H2320/O2320,"")</f>
        <v/>
      </c>
    </row>
    <row r="2321">
      <c r="A2321" s="13" t="inlineStr">
        <is>
          <t>CE36_F</t>
        </is>
      </c>
      <c r="B2321" s="13" t="inlineStr">
        <is>
          <t>CE36</t>
        </is>
      </c>
      <c r="C2321" s="13" t="inlineStr">
        <is>
          <t>F</t>
        </is>
      </c>
      <c r="D2321" s="13" t="n">
        <v>0</v>
      </c>
      <c r="E2321" s="13" t="inlineStr">
        <is>
          <t>E</t>
        </is>
      </c>
      <c r="F2321" s="13" t="n">
        <v>2022</v>
      </c>
      <c r="G2321" s="14" t="n">
        <v>69194.84233685661</v>
      </c>
      <c r="H2321" s="14" t="n">
        <v>19312.80934047325</v>
      </c>
      <c r="I2321" s="14" t="n">
        <v>48152.83035715141</v>
      </c>
      <c r="J2321" s="14" t="n">
        <v>0</v>
      </c>
      <c r="K2321" s="14" t="n">
        <v>1729.202639231962</v>
      </c>
      <c r="L2321" s="14" t="n">
        <v>0</v>
      </c>
      <c r="M2321" s="14" t="n">
        <v>0</v>
      </c>
      <c r="N2321" s="14" t="n">
        <v>37975.87351128073</v>
      </c>
      <c r="O2321" s="14" t="n">
        <v>69194.84233685661</v>
      </c>
      <c r="P2321" s="14" t="n">
        <v>20623.80975102444</v>
      </c>
      <c r="Q2321" s="14" t="n">
        <v>403480.4631590599</v>
      </c>
      <c r="R2321" s="15">
        <f>IF(D2321=1,"Section 1","Control")</f>
        <v/>
      </c>
      <c r="S2321" s="16">
        <f>N2321/10000</f>
        <v/>
      </c>
      <c r="T2321" s="16">
        <f>P2321/10000</f>
        <v/>
      </c>
      <c r="U2321" s="15">
        <f>IF(N2321&gt;=Summary!$D$3,1,0)</f>
        <v/>
      </c>
      <c r="V2321" s="17">
        <f>IF(N2321&gt;0,P2321/N2321,"")</f>
        <v/>
      </c>
      <c r="W2321" s="17">
        <f>IF(O2321&gt;0,H2321/O2321,"")</f>
        <v/>
      </c>
    </row>
    <row r="2322">
      <c r="A2322" s="13" t="inlineStr">
        <is>
          <t>CE36_F</t>
        </is>
      </c>
      <c r="B2322" s="13" t="inlineStr">
        <is>
          <t>CE36</t>
        </is>
      </c>
      <c r="C2322" s="13" t="inlineStr">
        <is>
          <t>F</t>
        </is>
      </c>
      <c r="D2322" s="13" t="n">
        <v>0</v>
      </c>
      <c r="E2322" s="13" t="inlineStr">
        <is>
          <t>E</t>
        </is>
      </c>
      <c r="F2322" s="13" t="n">
        <v>2023</v>
      </c>
      <c r="G2322" s="14" t="n">
        <v>69194.84233685661</v>
      </c>
      <c r="H2322" s="14" t="n">
        <v>14356.73710713106</v>
      </c>
      <c r="I2322" s="14" t="n">
        <v>53413.23538169113</v>
      </c>
      <c r="J2322" s="14" t="n">
        <v>0</v>
      </c>
      <c r="K2322" s="14" t="n">
        <v>1424.869848034429</v>
      </c>
      <c r="L2322" s="14" t="n">
        <v>0</v>
      </c>
      <c r="M2322" s="14" t="n">
        <v>0</v>
      </c>
      <c r="N2322" s="14" t="n">
        <v>37975.87351128073</v>
      </c>
      <c r="O2322" s="14" t="n">
        <v>69194.84233685661</v>
      </c>
      <c r="P2322" s="14" t="n">
        <v>24633.96961882349</v>
      </c>
      <c r="Q2322" s="14" t="n">
        <v>403480.4631590599</v>
      </c>
      <c r="R2322" s="15">
        <f>IF(D2322=1,"Section 1","Control")</f>
        <v/>
      </c>
      <c r="S2322" s="16">
        <f>N2322/10000</f>
        <v/>
      </c>
      <c r="T2322" s="16">
        <f>P2322/10000</f>
        <v/>
      </c>
      <c r="U2322" s="15">
        <f>IF(N2322&gt;=Summary!$D$3,1,0)</f>
        <v/>
      </c>
      <c r="V2322" s="17">
        <f>IF(N2322&gt;0,P2322/N2322,"")</f>
        <v/>
      </c>
      <c r="W2322" s="17">
        <f>IF(O2322&gt;0,H2322/O2322,"")</f>
        <v/>
      </c>
    </row>
    <row r="2323">
      <c r="A2323" s="13" t="inlineStr">
        <is>
          <t>CE36_F</t>
        </is>
      </c>
      <c r="B2323" s="13" t="inlineStr">
        <is>
          <t>CE36</t>
        </is>
      </c>
      <c r="C2323" s="13" t="inlineStr">
        <is>
          <t>F</t>
        </is>
      </c>
      <c r="D2323" s="13" t="n">
        <v>0</v>
      </c>
      <c r="E2323" s="13" t="inlineStr">
        <is>
          <t>E</t>
        </is>
      </c>
      <c r="F2323" s="13" t="n">
        <v>2024</v>
      </c>
      <c r="G2323" s="14" t="n">
        <v>69194.84233685661</v>
      </c>
      <c r="H2323" s="14" t="n">
        <v>21409.83478923124</v>
      </c>
      <c r="I2323" s="14" t="n">
        <v>45816.13277097216</v>
      </c>
      <c r="J2323" s="14" t="n">
        <v>0</v>
      </c>
      <c r="K2323" s="14" t="n">
        <v>1968.874776653215</v>
      </c>
      <c r="L2323" s="14" t="n">
        <v>0</v>
      </c>
      <c r="M2323" s="14" t="n">
        <v>0</v>
      </c>
      <c r="N2323" s="14" t="n">
        <v>37975.87351128073</v>
      </c>
      <c r="O2323" s="14" t="n">
        <v>69194.84233685661</v>
      </c>
      <c r="P2323" s="14" t="n">
        <v>17248.27194887049</v>
      </c>
      <c r="Q2323" s="14" t="n">
        <v>403480.4631590599</v>
      </c>
      <c r="R2323" s="15">
        <f>IF(D2323=1,"Section 1","Control")</f>
        <v/>
      </c>
      <c r="S2323" s="16">
        <f>N2323/10000</f>
        <v/>
      </c>
      <c r="T2323" s="16">
        <f>P2323/10000</f>
        <v/>
      </c>
      <c r="U2323" s="15">
        <f>IF(N2323&gt;=Summary!$D$3,1,0)</f>
        <v/>
      </c>
      <c r="V2323" s="17">
        <f>IF(N2323&gt;0,P2323/N2323,"")</f>
        <v/>
      </c>
      <c r="W2323" s="17">
        <f>IF(O2323&gt;0,H2323/O2323,"")</f>
        <v/>
      </c>
    </row>
    <row r="2324">
      <c r="A2324" s="13" t="inlineStr">
        <is>
          <t>CE36_F</t>
        </is>
      </c>
      <c r="B2324" s="13" t="inlineStr">
        <is>
          <t>CE36</t>
        </is>
      </c>
      <c r="C2324" s="13" t="inlineStr">
        <is>
          <t>F</t>
        </is>
      </c>
      <c r="D2324" s="13" t="n">
        <v>0</v>
      </c>
      <c r="E2324" s="13" t="inlineStr">
        <is>
          <t>E</t>
        </is>
      </c>
      <c r="F2324" s="13" t="n">
        <v>2025</v>
      </c>
      <c r="G2324" s="14" t="n">
        <v>69194.84233685661</v>
      </c>
      <c r="H2324" s="14" t="n">
        <v>30968.8398808498</v>
      </c>
      <c r="I2324" s="14" t="n">
        <v>34707.96882252413</v>
      </c>
      <c r="J2324" s="14" t="n">
        <v>0</v>
      </c>
      <c r="K2324" s="14" t="n">
        <v>3518.03363348269</v>
      </c>
      <c r="L2324" s="14" t="n">
        <v>0</v>
      </c>
      <c r="M2324" s="14" t="n">
        <v>0</v>
      </c>
      <c r="N2324" s="14" t="n">
        <v>37975.87351128073</v>
      </c>
      <c r="O2324" s="14" t="n">
        <v>69194.84233685661</v>
      </c>
      <c r="P2324" s="14" t="n">
        <v>11145.73296239516</v>
      </c>
      <c r="Q2324" s="14" t="n">
        <v>403480.4631590599</v>
      </c>
      <c r="R2324" s="15">
        <f>IF(D2324=1,"Section 1","Control")</f>
        <v/>
      </c>
      <c r="S2324" s="16">
        <f>N2324/10000</f>
        <v/>
      </c>
      <c r="T2324" s="16">
        <f>P2324/10000</f>
        <v/>
      </c>
      <c r="U2324" s="15">
        <f>IF(N2324&gt;=Summary!$D$3,1,0)</f>
        <v/>
      </c>
      <c r="V2324" s="17">
        <f>IF(N2324&gt;0,P2324/N2324,"")</f>
        <v/>
      </c>
      <c r="W2324" s="17">
        <f>IF(O2324&gt;0,H2324/O2324,"")</f>
        <v/>
      </c>
    </row>
    <row r="2325">
      <c r="A2325" s="13" t="inlineStr">
        <is>
          <t>CE36_F</t>
        </is>
      </c>
      <c r="B2325" s="13" t="inlineStr">
        <is>
          <t>CE36</t>
        </is>
      </c>
      <c r="C2325" s="13" t="inlineStr">
        <is>
          <t>F</t>
        </is>
      </c>
      <c r="D2325" s="13" t="n">
        <v>0</v>
      </c>
      <c r="E2325" s="13" t="inlineStr">
        <is>
          <t>E</t>
        </is>
      </c>
      <c r="F2325" s="13" t="n">
        <v>2026</v>
      </c>
      <c r="G2325" s="14" t="n">
        <v>69194.84233685661</v>
      </c>
      <c r="H2325" s="14" t="n">
        <v>38701.09769442688</v>
      </c>
      <c r="I2325" s="14" t="n">
        <v>26545.54183376537</v>
      </c>
      <c r="J2325" s="14" t="n">
        <v>0</v>
      </c>
      <c r="K2325" s="14" t="n">
        <v>3948.20280866436</v>
      </c>
      <c r="L2325" s="14" t="n">
        <v>0</v>
      </c>
      <c r="M2325" s="14" t="n">
        <v>0</v>
      </c>
      <c r="N2325" s="14" t="n">
        <v>37975.87351128073</v>
      </c>
      <c r="O2325" s="14" t="n">
        <v>69194.84233685661</v>
      </c>
      <c r="P2325" s="14" t="n">
        <v>11454.31759000292</v>
      </c>
      <c r="Q2325" s="14" t="n">
        <v>403480.4631590599</v>
      </c>
      <c r="R2325" s="15">
        <f>IF(D2325=1,"Section 1","Control")</f>
        <v/>
      </c>
      <c r="S2325" s="16">
        <f>N2325/10000</f>
        <v/>
      </c>
      <c r="T2325" s="16">
        <f>P2325/10000</f>
        <v/>
      </c>
      <c r="U2325" s="15">
        <f>IF(N2325&gt;=Summary!$D$3,1,0)</f>
        <v/>
      </c>
      <c r="V2325" s="17">
        <f>IF(N2325&gt;0,P2325/N2325,"")</f>
        <v/>
      </c>
      <c r="W2325" s="17">
        <f>IF(O2325&gt;0,H2325/O2325,"")</f>
        <v/>
      </c>
    </row>
    <row r="2326">
      <c r="A2326" s="13" t="inlineStr">
        <is>
          <t>CE37_B1</t>
        </is>
      </c>
      <c r="B2326" s="13" t="inlineStr">
        <is>
          <t>CE37</t>
        </is>
      </c>
      <c r="C2326" s="13" t="inlineStr">
        <is>
          <t>B1</t>
        </is>
      </c>
      <c r="D2326" s="13" t="n">
        <v>0</v>
      </c>
      <c r="E2326" s="13" t="inlineStr">
        <is>
          <t>E</t>
        </is>
      </c>
      <c r="F2326" s="13" t="n">
        <v>2020</v>
      </c>
      <c r="G2326" s="14" t="n">
        <v>1025884.95660173</v>
      </c>
      <c r="H2326" s="14" t="n">
        <v>445028.6237765743</v>
      </c>
      <c r="I2326" s="14" t="n">
        <v>221253.7595326143</v>
      </c>
      <c r="J2326" s="14" t="n">
        <v>0</v>
      </c>
      <c r="K2326" s="14" t="n">
        <v>81954.93197281781</v>
      </c>
      <c r="L2326" s="14" t="n">
        <v>277647.6413197237</v>
      </c>
      <c r="M2326" s="14" t="n">
        <v>0</v>
      </c>
      <c r="N2326" s="14" t="n">
        <v>445028.6237765743</v>
      </c>
      <c r="O2326" s="14" t="n">
        <v>748237.3152820065</v>
      </c>
      <c r="P2326" s="14" t="n">
        <v>0</v>
      </c>
      <c r="Q2326" s="14" t="n">
        <v>3748750.895185466</v>
      </c>
      <c r="R2326" s="15">
        <f>IF(D2326=1,"Section 1","Control")</f>
        <v/>
      </c>
      <c r="S2326" s="16">
        <f>N2326/10000</f>
        <v/>
      </c>
      <c r="T2326" s="16">
        <f>P2326/10000</f>
        <v/>
      </c>
      <c r="U2326" s="15">
        <f>IF(N2326&gt;=Summary!$D$3,1,0)</f>
        <v/>
      </c>
      <c r="V2326" s="17">
        <f>IF(N2326&gt;0,P2326/N2326,"")</f>
        <v/>
      </c>
      <c r="W2326" s="17">
        <f>IF(O2326&gt;0,H2326/O2326,"")</f>
        <v/>
      </c>
    </row>
    <row r="2327">
      <c r="A2327" s="13" t="inlineStr">
        <is>
          <t>CE37_B1</t>
        </is>
      </c>
      <c r="B2327" s="13" t="inlineStr">
        <is>
          <t>CE37</t>
        </is>
      </c>
      <c r="C2327" s="13" t="inlineStr">
        <is>
          <t>B1</t>
        </is>
      </c>
      <c r="D2327" s="13" t="n">
        <v>0</v>
      </c>
      <c r="E2327" s="13" t="inlineStr">
        <is>
          <t>E</t>
        </is>
      </c>
      <c r="F2327" s="13" t="n">
        <v>2021</v>
      </c>
      <c r="G2327" s="14" t="n">
        <v>1025884.95660173</v>
      </c>
      <c r="H2327" s="14" t="n">
        <v>450372.2952624453</v>
      </c>
      <c r="I2327" s="14" t="n">
        <v>242686.6657251396</v>
      </c>
      <c r="J2327" s="14" t="n">
        <v>0</v>
      </c>
      <c r="K2327" s="14" t="n">
        <v>77200.5625780891</v>
      </c>
      <c r="L2327" s="14" t="n">
        <v>255625.4330360562</v>
      </c>
      <c r="M2327" s="14" t="n">
        <v>0</v>
      </c>
      <c r="N2327" s="14" t="n">
        <v>445028.6237765743</v>
      </c>
      <c r="O2327" s="14" t="n">
        <v>748237.3152820064</v>
      </c>
      <c r="P2327" s="14" t="n">
        <v>7275.770536086138</v>
      </c>
      <c r="Q2327" s="14" t="n">
        <v>3748750.895185465</v>
      </c>
      <c r="R2327" s="15">
        <f>IF(D2327=1,"Section 1","Control")</f>
        <v/>
      </c>
      <c r="S2327" s="16">
        <f>N2327/10000</f>
        <v/>
      </c>
      <c r="T2327" s="16">
        <f>P2327/10000</f>
        <v/>
      </c>
      <c r="U2327" s="15">
        <f>IF(N2327&gt;=Summary!$D$3,1,0)</f>
        <v/>
      </c>
      <c r="V2327" s="17">
        <f>IF(N2327&gt;0,P2327/N2327,"")</f>
        <v/>
      </c>
      <c r="W2327" s="17">
        <f>IF(O2327&gt;0,H2327/O2327,"")</f>
        <v/>
      </c>
    </row>
    <row r="2328">
      <c r="A2328" s="13" t="inlineStr">
        <is>
          <t>CE37_B1</t>
        </is>
      </c>
      <c r="B2328" s="13" t="inlineStr">
        <is>
          <t>CE37</t>
        </is>
      </c>
      <c r="C2328" s="13" t="inlineStr">
        <is>
          <t>B1</t>
        </is>
      </c>
      <c r="D2328" s="13" t="n">
        <v>0</v>
      </c>
      <c r="E2328" s="13" t="inlineStr">
        <is>
          <t>E</t>
        </is>
      </c>
      <c r="F2328" s="13" t="n">
        <v>2022</v>
      </c>
      <c r="G2328" s="14" t="n">
        <v>1025884.95660173</v>
      </c>
      <c r="H2328" s="14" t="n">
        <v>433060.0981093764</v>
      </c>
      <c r="I2328" s="14" t="n">
        <v>245661.7474978579</v>
      </c>
      <c r="J2328" s="14" t="n">
        <v>0</v>
      </c>
      <c r="K2328" s="14" t="n">
        <v>98598.4300383923</v>
      </c>
      <c r="L2328" s="14" t="n">
        <v>248564.6809561037</v>
      </c>
      <c r="M2328" s="14" t="n">
        <v>0</v>
      </c>
      <c r="N2328" s="14" t="n">
        <v>445028.6237765743</v>
      </c>
      <c r="O2328" s="14" t="n">
        <v>748237.3152820065</v>
      </c>
      <c r="P2328" s="14" t="n">
        <v>21432.33050713633</v>
      </c>
      <c r="Q2328" s="14" t="n">
        <v>3748750.895185466</v>
      </c>
      <c r="R2328" s="15">
        <f>IF(D2328=1,"Section 1","Control")</f>
        <v/>
      </c>
      <c r="S2328" s="16">
        <f>N2328/10000</f>
        <v/>
      </c>
      <c r="T2328" s="16">
        <f>P2328/10000</f>
        <v/>
      </c>
      <c r="U2328" s="15">
        <f>IF(N2328&gt;=Summary!$D$3,1,0)</f>
        <v/>
      </c>
      <c r="V2328" s="17">
        <f>IF(N2328&gt;0,P2328/N2328,"")</f>
        <v/>
      </c>
      <c r="W2328" s="17">
        <f>IF(O2328&gt;0,H2328/O2328,"")</f>
        <v/>
      </c>
    </row>
    <row r="2329">
      <c r="A2329" s="13" t="inlineStr">
        <is>
          <t>CE37_B1</t>
        </is>
      </c>
      <c r="B2329" s="13" t="inlineStr">
        <is>
          <t>CE37</t>
        </is>
      </c>
      <c r="C2329" s="13" t="inlineStr">
        <is>
          <t>B1</t>
        </is>
      </c>
      <c r="D2329" s="13" t="n">
        <v>0</v>
      </c>
      <c r="E2329" s="13" t="inlineStr">
        <is>
          <t>E</t>
        </is>
      </c>
      <c r="F2329" s="13" t="n">
        <v>2023</v>
      </c>
      <c r="G2329" s="14" t="n">
        <v>1025884.95660173</v>
      </c>
      <c r="H2329" s="14" t="n">
        <v>434618.9140587902</v>
      </c>
      <c r="I2329" s="14" t="n">
        <v>241313.2520706177</v>
      </c>
      <c r="J2329" s="14" t="n">
        <v>0</v>
      </c>
      <c r="K2329" s="14" t="n">
        <v>87147.22395058426</v>
      </c>
      <c r="L2329" s="14" t="n">
        <v>262805.5665217381</v>
      </c>
      <c r="M2329" s="14" t="n">
        <v>0</v>
      </c>
      <c r="N2329" s="14" t="n">
        <v>445028.6237765744</v>
      </c>
      <c r="O2329" s="14" t="n">
        <v>748237.3152820064</v>
      </c>
      <c r="P2329" s="14" t="n">
        <v>22306.64675643024</v>
      </c>
      <c r="Q2329" s="14" t="n">
        <v>3748750.895185465</v>
      </c>
      <c r="R2329" s="15">
        <f>IF(D2329=1,"Section 1","Control")</f>
        <v/>
      </c>
      <c r="S2329" s="16">
        <f>N2329/10000</f>
        <v/>
      </c>
      <c r="T2329" s="16">
        <f>P2329/10000</f>
        <v/>
      </c>
      <c r="U2329" s="15">
        <f>IF(N2329&gt;=Summary!$D$3,1,0)</f>
        <v/>
      </c>
      <c r="V2329" s="17">
        <f>IF(N2329&gt;0,P2329/N2329,"")</f>
        <v/>
      </c>
      <c r="W2329" s="17">
        <f>IF(O2329&gt;0,H2329/O2329,"")</f>
        <v/>
      </c>
    </row>
    <row r="2330">
      <c r="A2330" s="13" t="inlineStr">
        <is>
          <t>CE37_B1</t>
        </is>
      </c>
      <c r="B2330" s="13" t="inlineStr">
        <is>
          <t>CE37</t>
        </is>
      </c>
      <c r="C2330" s="13" t="inlineStr">
        <is>
          <t>B1</t>
        </is>
      </c>
      <c r="D2330" s="13" t="n">
        <v>0</v>
      </c>
      <c r="E2330" s="13" t="inlineStr">
        <is>
          <t>E</t>
        </is>
      </c>
      <c r="F2330" s="13" t="n">
        <v>2024</v>
      </c>
      <c r="G2330" s="14" t="n">
        <v>1025884.95660173</v>
      </c>
      <c r="H2330" s="14" t="n">
        <v>412714.9738579545</v>
      </c>
      <c r="I2330" s="14" t="n">
        <v>282981.6033820657</v>
      </c>
      <c r="J2330" s="14" t="n">
        <v>0</v>
      </c>
      <c r="K2330" s="14" t="n">
        <v>107639.8175443462</v>
      </c>
      <c r="L2330" s="14" t="n">
        <v>222548.5618173637</v>
      </c>
      <c r="M2330" s="14" t="n">
        <v>0</v>
      </c>
      <c r="N2330" s="14" t="n">
        <v>445028.6237765743</v>
      </c>
      <c r="O2330" s="14" t="n">
        <v>748237.3152820065</v>
      </c>
      <c r="P2330" s="14" t="n">
        <v>40571.33952618767</v>
      </c>
      <c r="Q2330" s="14" t="n">
        <v>3748750.895185466</v>
      </c>
      <c r="R2330" s="15">
        <f>IF(D2330=1,"Section 1","Control")</f>
        <v/>
      </c>
      <c r="S2330" s="16">
        <f>N2330/10000</f>
        <v/>
      </c>
      <c r="T2330" s="16">
        <f>P2330/10000</f>
        <v/>
      </c>
      <c r="U2330" s="15">
        <f>IF(N2330&gt;=Summary!$D$3,1,0)</f>
        <v/>
      </c>
      <c r="V2330" s="17">
        <f>IF(N2330&gt;0,P2330/N2330,"")</f>
        <v/>
      </c>
      <c r="W2330" s="17">
        <f>IF(O2330&gt;0,H2330/O2330,"")</f>
        <v/>
      </c>
    </row>
    <row r="2331">
      <c r="A2331" s="13" t="inlineStr">
        <is>
          <t>CE37_B1</t>
        </is>
      </c>
      <c r="B2331" s="13" t="inlineStr">
        <is>
          <t>CE37</t>
        </is>
      </c>
      <c r="C2331" s="13" t="inlineStr">
        <is>
          <t>B1</t>
        </is>
      </c>
      <c r="D2331" s="13" t="n">
        <v>0</v>
      </c>
      <c r="E2331" s="13" t="inlineStr">
        <is>
          <t>E</t>
        </is>
      </c>
      <c r="F2331" s="13" t="n">
        <v>2025</v>
      </c>
      <c r="G2331" s="14" t="n">
        <v>1025884.95660173</v>
      </c>
      <c r="H2331" s="14" t="n">
        <v>422305.7728504855</v>
      </c>
      <c r="I2331" s="14" t="n">
        <v>255670.3903090533</v>
      </c>
      <c r="J2331" s="14" t="n">
        <v>0</v>
      </c>
      <c r="K2331" s="14" t="n">
        <v>76737.11937055399</v>
      </c>
      <c r="L2331" s="14" t="n">
        <v>271171.6740716373</v>
      </c>
      <c r="M2331" s="14" t="n">
        <v>0</v>
      </c>
      <c r="N2331" s="14" t="n">
        <v>445028.6237765743</v>
      </c>
      <c r="O2331" s="14" t="n">
        <v>748237.3152820065</v>
      </c>
      <c r="P2331" s="14" t="n">
        <v>33820.23970274084</v>
      </c>
      <c r="Q2331" s="14" t="n">
        <v>3748750.895185466</v>
      </c>
      <c r="R2331" s="15">
        <f>IF(D2331=1,"Section 1","Control")</f>
        <v/>
      </c>
      <c r="S2331" s="16">
        <f>N2331/10000</f>
        <v/>
      </c>
      <c r="T2331" s="16">
        <f>P2331/10000</f>
        <v/>
      </c>
      <c r="U2331" s="15">
        <f>IF(N2331&gt;=Summary!$D$3,1,0)</f>
        <v/>
      </c>
      <c r="V2331" s="17">
        <f>IF(N2331&gt;0,P2331/N2331,"")</f>
        <v/>
      </c>
      <c r="W2331" s="17">
        <f>IF(O2331&gt;0,H2331/O2331,"")</f>
        <v/>
      </c>
    </row>
    <row r="2332">
      <c r="A2332" s="13" t="inlineStr">
        <is>
          <t>CE37_B1</t>
        </is>
      </c>
      <c r="B2332" s="13" t="inlineStr">
        <is>
          <t>CE37</t>
        </is>
      </c>
      <c r="C2332" s="13" t="inlineStr">
        <is>
          <t>B1</t>
        </is>
      </c>
      <c r="D2332" s="13" t="n">
        <v>0</v>
      </c>
      <c r="E2332" s="13" t="inlineStr">
        <is>
          <t>E</t>
        </is>
      </c>
      <c r="F2332" s="13" t="n">
        <v>2026</v>
      </c>
      <c r="G2332" s="14" t="n">
        <v>1025884.95660173</v>
      </c>
      <c r="H2332" s="14" t="n">
        <v>456074.5466993445</v>
      </c>
      <c r="I2332" s="14" t="n">
        <v>220697.8327521829</v>
      </c>
      <c r="J2332" s="14" t="n">
        <v>0</v>
      </c>
      <c r="K2332" s="14" t="n">
        <v>90932.0141033696</v>
      </c>
      <c r="L2332" s="14" t="n">
        <v>258180.5630468332</v>
      </c>
      <c r="M2332" s="14" t="n">
        <v>0</v>
      </c>
      <c r="N2332" s="14" t="n">
        <v>445028.6237765743</v>
      </c>
      <c r="O2332" s="14" t="n">
        <v>748237.3152820065</v>
      </c>
      <c r="P2332" s="14" t="n">
        <v>18318.15292292576</v>
      </c>
      <c r="Q2332" s="14" t="n">
        <v>3748750.895185466</v>
      </c>
      <c r="R2332" s="15">
        <f>IF(D2332=1,"Section 1","Control")</f>
        <v/>
      </c>
      <c r="S2332" s="16">
        <f>N2332/10000</f>
        <v/>
      </c>
      <c r="T2332" s="16">
        <f>P2332/10000</f>
        <v/>
      </c>
      <c r="U2332" s="15">
        <f>IF(N2332&gt;=Summary!$D$3,1,0)</f>
        <v/>
      </c>
      <c r="V2332" s="17">
        <f>IF(N2332&gt;0,P2332/N2332,"")</f>
        <v/>
      </c>
      <c r="W2332" s="17">
        <f>IF(O2332&gt;0,H2332/O2332,"")</f>
        <v/>
      </c>
    </row>
    <row r="2333">
      <c r="A2333" s="13" t="inlineStr">
        <is>
          <t>CE37_B2</t>
        </is>
      </c>
      <c r="B2333" s="13" t="inlineStr">
        <is>
          <t>CE37</t>
        </is>
      </c>
      <c r="C2333" s="13" t="inlineStr">
        <is>
          <t>B2</t>
        </is>
      </c>
      <c r="D2333" s="13" t="n">
        <v>0</v>
      </c>
      <c r="E2333" s="13" t="inlineStr">
        <is>
          <t>E</t>
        </is>
      </c>
      <c r="F2333" s="13" t="n">
        <v>2020</v>
      </c>
      <c r="G2333" s="14" t="n">
        <v>1025302.258789571</v>
      </c>
      <c r="H2333" s="14" t="n">
        <v>486790.8640078078</v>
      </c>
      <c r="I2333" s="14" t="n">
        <v>10518.3960084803</v>
      </c>
      <c r="J2333" s="14" t="n">
        <v>0</v>
      </c>
      <c r="K2333" s="14" t="n">
        <v>17198.1687953575</v>
      </c>
      <c r="L2333" s="14" t="n">
        <v>510794.8299779255</v>
      </c>
      <c r="M2333" s="14" t="n">
        <v>0</v>
      </c>
      <c r="N2333" s="14" t="n">
        <v>486790.8640078078</v>
      </c>
      <c r="O2333" s="14" t="n">
        <v>514507.4288116455</v>
      </c>
      <c r="P2333" s="14" t="n">
        <v>0</v>
      </c>
      <c r="Q2333" s="14" t="n">
        <v>4665609.577429229</v>
      </c>
      <c r="R2333" s="15">
        <f>IF(D2333=1,"Section 1","Control")</f>
        <v/>
      </c>
      <c r="S2333" s="16">
        <f>N2333/10000</f>
        <v/>
      </c>
      <c r="T2333" s="16">
        <f>P2333/10000</f>
        <v/>
      </c>
      <c r="U2333" s="15">
        <f>IF(N2333&gt;=Summary!$D$3,1,0)</f>
        <v/>
      </c>
      <c r="V2333" s="17">
        <f>IF(N2333&gt;0,P2333/N2333,"")</f>
        <v/>
      </c>
      <c r="W2333" s="17">
        <f>IF(O2333&gt;0,H2333/O2333,"")</f>
        <v/>
      </c>
    </row>
    <row r="2334">
      <c r="A2334" s="13" t="inlineStr">
        <is>
          <t>CE37_B2</t>
        </is>
      </c>
      <c r="B2334" s="13" t="inlineStr">
        <is>
          <t>CE37</t>
        </is>
      </c>
      <c r="C2334" s="13" t="inlineStr">
        <is>
          <t>B2</t>
        </is>
      </c>
      <c r="D2334" s="13" t="n">
        <v>0</v>
      </c>
      <c r="E2334" s="13" t="inlineStr">
        <is>
          <t>E</t>
        </is>
      </c>
      <c r="F2334" s="13" t="n">
        <v>2021</v>
      </c>
      <c r="G2334" s="14" t="n">
        <v>1025302.258789571</v>
      </c>
      <c r="H2334" s="14" t="n">
        <v>481755.453542732</v>
      </c>
      <c r="I2334" s="14" t="n">
        <v>14973.02296483657</v>
      </c>
      <c r="J2334" s="14" t="n">
        <v>0</v>
      </c>
      <c r="K2334" s="14" t="n">
        <v>25091.03344089284</v>
      </c>
      <c r="L2334" s="14" t="n">
        <v>503482.7488411098</v>
      </c>
      <c r="M2334" s="14" t="n">
        <v>0</v>
      </c>
      <c r="N2334" s="14" t="n">
        <v>486790.8640078078</v>
      </c>
      <c r="O2334" s="14" t="n">
        <v>514507.4288116456</v>
      </c>
      <c r="P2334" s="14" t="n">
        <v>9921.356509369496</v>
      </c>
      <c r="Q2334" s="14" t="n">
        <v>4665609.577429229</v>
      </c>
      <c r="R2334" s="15">
        <f>IF(D2334=1,"Section 1","Control")</f>
        <v/>
      </c>
      <c r="S2334" s="16">
        <f>N2334/10000</f>
        <v/>
      </c>
      <c r="T2334" s="16">
        <f>P2334/10000</f>
        <v/>
      </c>
      <c r="U2334" s="15">
        <f>IF(N2334&gt;=Summary!$D$3,1,0)</f>
        <v/>
      </c>
      <c r="V2334" s="17">
        <f>IF(N2334&gt;0,P2334/N2334,"")</f>
        <v/>
      </c>
      <c r="W2334" s="17">
        <f>IF(O2334&gt;0,H2334/O2334,"")</f>
        <v/>
      </c>
    </row>
    <row r="2335">
      <c r="A2335" s="13" t="inlineStr">
        <is>
          <t>CE37_B2</t>
        </is>
      </c>
      <c r="B2335" s="13" t="inlineStr">
        <is>
          <t>CE37</t>
        </is>
      </c>
      <c r="C2335" s="13" t="inlineStr">
        <is>
          <t>B2</t>
        </is>
      </c>
      <c r="D2335" s="13" t="n">
        <v>0</v>
      </c>
      <c r="E2335" s="13" t="inlineStr">
        <is>
          <t>E</t>
        </is>
      </c>
      <c r="F2335" s="13" t="n">
        <v>2022</v>
      </c>
      <c r="G2335" s="14" t="n">
        <v>1025302.258789571</v>
      </c>
      <c r="H2335" s="14" t="n">
        <v>433783.4407858158</v>
      </c>
      <c r="I2335" s="14" t="n">
        <v>61700.99817899816</v>
      </c>
      <c r="J2335" s="14" t="n">
        <v>0</v>
      </c>
      <c r="K2335" s="14" t="n">
        <v>30383.14447760488</v>
      </c>
      <c r="L2335" s="14" t="n">
        <v>499434.6753471523</v>
      </c>
      <c r="M2335" s="14" t="n">
        <v>0</v>
      </c>
      <c r="N2335" s="14" t="n">
        <v>486790.8640078078</v>
      </c>
      <c r="O2335" s="14" t="n">
        <v>514507.4288116456</v>
      </c>
      <c r="P2335" s="14" t="n">
        <v>54086.90500401516</v>
      </c>
      <c r="Q2335" s="14" t="n">
        <v>4665609.577429229</v>
      </c>
      <c r="R2335" s="15">
        <f>IF(D2335=1,"Section 1","Control")</f>
        <v/>
      </c>
      <c r="S2335" s="16">
        <f>N2335/10000</f>
        <v/>
      </c>
      <c r="T2335" s="16">
        <f>P2335/10000</f>
        <v/>
      </c>
      <c r="U2335" s="15">
        <f>IF(N2335&gt;=Summary!$D$3,1,0)</f>
        <v/>
      </c>
      <c r="V2335" s="17">
        <f>IF(N2335&gt;0,P2335/N2335,"")</f>
        <v/>
      </c>
      <c r="W2335" s="17">
        <f>IF(O2335&gt;0,H2335/O2335,"")</f>
        <v/>
      </c>
    </row>
    <row r="2336">
      <c r="A2336" s="13" t="inlineStr">
        <is>
          <t>CE37_B2</t>
        </is>
      </c>
      <c r="B2336" s="13" t="inlineStr">
        <is>
          <t>CE37</t>
        </is>
      </c>
      <c r="C2336" s="13" t="inlineStr">
        <is>
          <t>B2</t>
        </is>
      </c>
      <c r="D2336" s="13" t="n">
        <v>0</v>
      </c>
      <c r="E2336" s="13" t="inlineStr">
        <is>
          <t>E</t>
        </is>
      </c>
      <c r="F2336" s="13" t="n">
        <v>2023</v>
      </c>
      <c r="G2336" s="14" t="n">
        <v>1025302.258789571</v>
      </c>
      <c r="H2336" s="14" t="n">
        <v>447431.0714928722</v>
      </c>
      <c r="I2336" s="14" t="n">
        <v>47532.98275415757</v>
      </c>
      <c r="J2336" s="14" t="n">
        <v>0</v>
      </c>
      <c r="K2336" s="14" t="n">
        <v>20530.70860239664</v>
      </c>
      <c r="L2336" s="14" t="n">
        <v>509807.4959401448</v>
      </c>
      <c r="M2336" s="14" t="n">
        <v>0</v>
      </c>
      <c r="N2336" s="14" t="n">
        <v>486790.8640078078</v>
      </c>
      <c r="O2336" s="14" t="n">
        <v>514507.4288116456</v>
      </c>
      <c r="P2336" s="14" t="n">
        <v>41327.87454720292</v>
      </c>
      <c r="Q2336" s="14" t="n">
        <v>4665609.577429229</v>
      </c>
      <c r="R2336" s="15">
        <f>IF(D2336=1,"Section 1","Control")</f>
        <v/>
      </c>
      <c r="S2336" s="16">
        <f>N2336/10000</f>
        <v/>
      </c>
      <c r="T2336" s="16">
        <f>P2336/10000</f>
        <v/>
      </c>
      <c r="U2336" s="15">
        <f>IF(N2336&gt;=Summary!$D$3,1,0)</f>
        <v/>
      </c>
      <c r="V2336" s="17">
        <f>IF(N2336&gt;0,P2336/N2336,"")</f>
        <v/>
      </c>
      <c r="W2336" s="17">
        <f>IF(O2336&gt;0,H2336/O2336,"")</f>
        <v/>
      </c>
    </row>
    <row r="2337">
      <c r="A2337" s="13" t="inlineStr">
        <is>
          <t>CE37_B2</t>
        </is>
      </c>
      <c r="B2337" s="13" t="inlineStr">
        <is>
          <t>CE37</t>
        </is>
      </c>
      <c r="C2337" s="13" t="inlineStr">
        <is>
          <t>B2</t>
        </is>
      </c>
      <c r="D2337" s="13" t="n">
        <v>0</v>
      </c>
      <c r="E2337" s="13" t="inlineStr">
        <is>
          <t>E</t>
        </is>
      </c>
      <c r="F2337" s="13" t="n">
        <v>2024</v>
      </c>
      <c r="G2337" s="14" t="n">
        <v>1025302.258789571</v>
      </c>
      <c r="H2337" s="14" t="n">
        <v>476477.2820310706</v>
      </c>
      <c r="I2337" s="14" t="n">
        <v>18159.21013189578</v>
      </c>
      <c r="J2337" s="14" t="n">
        <v>0</v>
      </c>
      <c r="K2337" s="14" t="n">
        <v>30737.42398208917</v>
      </c>
      <c r="L2337" s="14" t="n">
        <v>499928.3426445156</v>
      </c>
      <c r="M2337" s="14" t="n">
        <v>0</v>
      </c>
      <c r="N2337" s="14" t="n">
        <v>486790.8640078078</v>
      </c>
      <c r="O2337" s="14" t="n">
        <v>514507.4288116455</v>
      </c>
      <c r="P2337" s="14" t="n">
        <v>15576.64778499229</v>
      </c>
      <c r="Q2337" s="14" t="n">
        <v>4665609.577429229</v>
      </c>
      <c r="R2337" s="15">
        <f>IF(D2337=1,"Section 1","Control")</f>
        <v/>
      </c>
      <c r="S2337" s="16">
        <f>N2337/10000</f>
        <v/>
      </c>
      <c r="T2337" s="16">
        <f>P2337/10000</f>
        <v/>
      </c>
      <c r="U2337" s="15">
        <f>IF(N2337&gt;=Summary!$D$3,1,0)</f>
        <v/>
      </c>
      <c r="V2337" s="17">
        <f>IF(N2337&gt;0,P2337/N2337,"")</f>
        <v/>
      </c>
      <c r="W2337" s="17">
        <f>IF(O2337&gt;0,H2337/O2337,"")</f>
        <v/>
      </c>
    </row>
    <row r="2338">
      <c r="A2338" s="13" t="inlineStr">
        <is>
          <t>CE37_B2</t>
        </is>
      </c>
      <c r="B2338" s="13" t="inlineStr">
        <is>
          <t>CE37</t>
        </is>
      </c>
      <c r="C2338" s="13" t="inlineStr">
        <is>
          <t>B2</t>
        </is>
      </c>
      <c r="D2338" s="13" t="n">
        <v>0</v>
      </c>
      <c r="E2338" s="13" t="inlineStr">
        <is>
          <t>E</t>
        </is>
      </c>
      <c r="F2338" s="13" t="n">
        <v>2025</v>
      </c>
      <c r="G2338" s="14" t="n">
        <v>1025302.258789571</v>
      </c>
      <c r="H2338" s="14" t="n">
        <v>414573.4613929001</v>
      </c>
      <c r="I2338" s="14" t="n">
        <v>76481.13628988828</v>
      </c>
      <c r="J2338" s="14" t="n">
        <v>0</v>
      </c>
      <c r="K2338" s="14" t="n">
        <v>26513.56671693091</v>
      </c>
      <c r="L2338" s="14" t="n">
        <v>507734.0943898518</v>
      </c>
      <c r="M2338" s="14" t="n">
        <v>0</v>
      </c>
      <c r="N2338" s="14" t="n">
        <v>486790.8640078078</v>
      </c>
      <c r="O2338" s="14" t="n">
        <v>514507.4288116456</v>
      </c>
      <c r="P2338" s="14" t="n">
        <v>73033.59924663469</v>
      </c>
      <c r="Q2338" s="14" t="n">
        <v>4665609.577429229</v>
      </c>
      <c r="R2338" s="15">
        <f>IF(D2338=1,"Section 1","Control")</f>
        <v/>
      </c>
      <c r="S2338" s="16">
        <f>N2338/10000</f>
        <v/>
      </c>
      <c r="T2338" s="16">
        <f>P2338/10000</f>
        <v/>
      </c>
      <c r="U2338" s="15">
        <f>IF(N2338&gt;=Summary!$D$3,1,0)</f>
        <v/>
      </c>
      <c r="V2338" s="17">
        <f>IF(N2338&gt;0,P2338/N2338,"")</f>
        <v/>
      </c>
      <c r="W2338" s="17">
        <f>IF(O2338&gt;0,H2338/O2338,"")</f>
        <v/>
      </c>
    </row>
    <row r="2339">
      <c r="A2339" s="13" t="inlineStr">
        <is>
          <t>CE37_B2</t>
        </is>
      </c>
      <c r="B2339" s="13" t="inlineStr">
        <is>
          <t>CE37</t>
        </is>
      </c>
      <c r="C2339" s="13" t="inlineStr">
        <is>
          <t>B2</t>
        </is>
      </c>
      <c r="D2339" s="13" t="n">
        <v>0</v>
      </c>
      <c r="E2339" s="13" t="inlineStr">
        <is>
          <t>E</t>
        </is>
      </c>
      <c r="F2339" s="13" t="n">
        <v>2026</v>
      </c>
      <c r="G2339" s="14" t="n">
        <v>1025302.258789571</v>
      </c>
      <c r="H2339" s="14" t="n">
        <v>413931.0405984318</v>
      </c>
      <c r="I2339" s="14" t="n">
        <v>76002.26405660593</v>
      </c>
      <c r="J2339" s="14" t="n">
        <v>0</v>
      </c>
      <c r="K2339" s="14" t="n">
        <v>28674.07915867824</v>
      </c>
      <c r="L2339" s="14" t="n">
        <v>506694.8749758551</v>
      </c>
      <c r="M2339" s="14" t="n">
        <v>0</v>
      </c>
      <c r="N2339" s="14" t="n">
        <v>486790.8640078078</v>
      </c>
      <c r="O2339" s="14" t="n">
        <v>514507.4288116455</v>
      </c>
      <c r="P2339" s="14" t="n">
        <v>74415.16454808851</v>
      </c>
      <c r="Q2339" s="14" t="n">
        <v>4665609.577429229</v>
      </c>
      <c r="R2339" s="15">
        <f>IF(D2339=1,"Section 1","Control")</f>
        <v/>
      </c>
      <c r="S2339" s="16">
        <f>N2339/10000</f>
        <v/>
      </c>
      <c r="T2339" s="16">
        <f>P2339/10000</f>
        <v/>
      </c>
      <c r="U2339" s="15">
        <f>IF(N2339&gt;=Summary!$D$3,1,0)</f>
        <v/>
      </c>
      <c r="V2339" s="17">
        <f>IF(N2339&gt;0,P2339/N2339,"")</f>
        <v/>
      </c>
      <c r="W2339" s="17">
        <f>IF(O2339&gt;0,H2339/O2339,"")</f>
        <v/>
      </c>
    </row>
    <row r="2340">
      <c r="A2340" s="13" t="inlineStr">
        <is>
          <t>CE37_B3</t>
        </is>
      </c>
      <c r="B2340" s="13" t="inlineStr">
        <is>
          <t>CE37</t>
        </is>
      </c>
      <c r="C2340" s="13" t="inlineStr">
        <is>
          <t>B3</t>
        </is>
      </c>
      <c r="D2340" s="13" t="n">
        <v>0</v>
      </c>
      <c r="E2340" s="13" t="inlineStr">
        <is>
          <t>E</t>
        </is>
      </c>
      <c r="F2340" s="13" t="n">
        <v>2020</v>
      </c>
      <c r="G2340" s="14" t="n">
        <v>8204590.853386554</v>
      </c>
      <c r="H2340" s="14" t="n">
        <v>3197803.01181114</v>
      </c>
      <c r="I2340" s="14" t="n">
        <v>735027.9985671699</v>
      </c>
      <c r="J2340" s="14" t="n">
        <v>0</v>
      </c>
      <c r="K2340" s="14" t="n">
        <v>9701.656407045852</v>
      </c>
      <c r="L2340" s="14" t="n">
        <v>4262058.186601197</v>
      </c>
      <c r="M2340" s="14" t="n">
        <v>0</v>
      </c>
      <c r="N2340" s="14" t="n">
        <v>3197803.01181114</v>
      </c>
      <c r="O2340" s="14" t="n">
        <v>3942532.666785357</v>
      </c>
      <c r="P2340" s="14" t="n">
        <v>0</v>
      </c>
      <c r="Q2340" s="14" t="n">
        <v>35467035.55047936</v>
      </c>
      <c r="R2340" s="15">
        <f>IF(D2340=1,"Section 1","Control")</f>
        <v/>
      </c>
      <c r="S2340" s="16">
        <f>N2340/10000</f>
        <v/>
      </c>
      <c r="T2340" s="16">
        <f>P2340/10000</f>
        <v/>
      </c>
      <c r="U2340" s="15">
        <f>IF(N2340&gt;=Summary!$D$3,1,0)</f>
        <v/>
      </c>
      <c r="V2340" s="17">
        <f>IF(N2340&gt;0,P2340/N2340,"")</f>
        <v/>
      </c>
      <c r="W2340" s="17">
        <f>IF(O2340&gt;0,H2340/O2340,"")</f>
        <v/>
      </c>
    </row>
    <row r="2341">
      <c r="A2341" s="13" t="inlineStr">
        <is>
          <t>CE37_B3</t>
        </is>
      </c>
      <c r="B2341" s="13" t="inlineStr">
        <is>
          <t>CE37</t>
        </is>
      </c>
      <c r="C2341" s="13" t="inlineStr">
        <is>
          <t>B3</t>
        </is>
      </c>
      <c r="D2341" s="13" t="n">
        <v>0</v>
      </c>
      <c r="E2341" s="13" t="inlineStr">
        <is>
          <t>E</t>
        </is>
      </c>
      <c r="F2341" s="13" t="n">
        <v>2021</v>
      </c>
      <c r="G2341" s="14" t="n">
        <v>8204590.853386554</v>
      </c>
      <c r="H2341" s="14" t="n">
        <v>3056581.792751477</v>
      </c>
      <c r="I2341" s="14" t="n">
        <v>787363.4889166738</v>
      </c>
      <c r="J2341" s="14" t="n">
        <v>0</v>
      </c>
      <c r="K2341" s="14" t="n">
        <v>196289.6636287615</v>
      </c>
      <c r="L2341" s="14" t="n">
        <v>4164355.908089641</v>
      </c>
      <c r="M2341" s="14" t="n">
        <v>0</v>
      </c>
      <c r="N2341" s="14" t="n">
        <v>3197803.01181114</v>
      </c>
      <c r="O2341" s="14" t="n">
        <v>3942532.666785357</v>
      </c>
      <c r="P2341" s="14" t="n">
        <v>238912.4397212907</v>
      </c>
      <c r="Q2341" s="14" t="n">
        <v>35467035.55047936</v>
      </c>
      <c r="R2341" s="15">
        <f>IF(D2341=1,"Section 1","Control")</f>
        <v/>
      </c>
      <c r="S2341" s="16">
        <f>N2341/10000</f>
        <v/>
      </c>
      <c r="T2341" s="16">
        <f>P2341/10000</f>
        <v/>
      </c>
      <c r="U2341" s="15">
        <f>IF(N2341&gt;=Summary!$D$3,1,0)</f>
        <v/>
      </c>
      <c r="V2341" s="17">
        <f>IF(N2341&gt;0,P2341/N2341,"")</f>
        <v/>
      </c>
      <c r="W2341" s="17">
        <f>IF(O2341&gt;0,H2341/O2341,"")</f>
        <v/>
      </c>
    </row>
    <row r="2342">
      <c r="A2342" s="13" t="inlineStr">
        <is>
          <t>CE37_B3</t>
        </is>
      </c>
      <c r="B2342" s="13" t="inlineStr">
        <is>
          <t>CE37</t>
        </is>
      </c>
      <c r="C2342" s="13" t="inlineStr">
        <is>
          <t>B3</t>
        </is>
      </c>
      <c r="D2342" s="13" t="n">
        <v>0</v>
      </c>
      <c r="E2342" s="13" t="inlineStr">
        <is>
          <t>E</t>
        </is>
      </c>
      <c r="F2342" s="13" t="n">
        <v>2022</v>
      </c>
      <c r="G2342" s="14" t="n">
        <v>8204590.853386554</v>
      </c>
      <c r="H2342" s="14" t="n">
        <v>2741377.282498139</v>
      </c>
      <c r="I2342" s="14" t="n">
        <v>1089961.076590295</v>
      </c>
      <c r="J2342" s="14" t="n">
        <v>0</v>
      </c>
      <c r="K2342" s="14" t="n">
        <v>127415.397024207</v>
      </c>
      <c r="L2342" s="14" t="n">
        <v>4245837.097273912</v>
      </c>
      <c r="M2342" s="14" t="n">
        <v>0</v>
      </c>
      <c r="N2342" s="14" t="n">
        <v>3197803.01181114</v>
      </c>
      <c r="O2342" s="14" t="n">
        <v>3942532.666785356</v>
      </c>
      <c r="P2342" s="14" t="n">
        <v>480336.0045377844</v>
      </c>
      <c r="Q2342" s="14" t="n">
        <v>35467035.55047936</v>
      </c>
      <c r="R2342" s="15">
        <f>IF(D2342=1,"Section 1","Control")</f>
        <v/>
      </c>
      <c r="S2342" s="16">
        <f>N2342/10000</f>
        <v/>
      </c>
      <c r="T2342" s="16">
        <f>P2342/10000</f>
        <v/>
      </c>
      <c r="U2342" s="15">
        <f>IF(N2342&gt;=Summary!$D$3,1,0)</f>
        <v/>
      </c>
      <c r="V2342" s="17">
        <f>IF(N2342&gt;0,P2342/N2342,"")</f>
        <v/>
      </c>
      <c r="W2342" s="17">
        <f>IF(O2342&gt;0,H2342/O2342,"")</f>
        <v/>
      </c>
    </row>
    <row r="2343">
      <c r="A2343" s="13" t="inlineStr">
        <is>
          <t>CE37_B3</t>
        </is>
      </c>
      <c r="B2343" s="13" t="inlineStr">
        <is>
          <t>CE37</t>
        </is>
      </c>
      <c r="C2343" s="13" t="inlineStr">
        <is>
          <t>B3</t>
        </is>
      </c>
      <c r="D2343" s="13" t="n">
        <v>0</v>
      </c>
      <c r="E2343" s="13" t="inlineStr">
        <is>
          <t>E</t>
        </is>
      </c>
      <c r="F2343" s="13" t="n">
        <v>2023</v>
      </c>
      <c r="G2343" s="14" t="n">
        <v>8204590.853386554</v>
      </c>
      <c r="H2343" s="14" t="n">
        <v>2702120.271264828</v>
      </c>
      <c r="I2343" s="14" t="n">
        <v>1146668.233424318</v>
      </c>
      <c r="J2343" s="14" t="n">
        <v>0</v>
      </c>
      <c r="K2343" s="14" t="n">
        <v>109531.59831163</v>
      </c>
      <c r="L2343" s="14" t="n">
        <v>4246270.750385778</v>
      </c>
      <c r="M2343" s="14" t="n">
        <v>0</v>
      </c>
      <c r="N2343" s="14" t="n">
        <v>3197803.01181114</v>
      </c>
      <c r="O2343" s="14" t="n">
        <v>3942532.666785357</v>
      </c>
      <c r="P2343" s="14" t="n">
        <v>521666.0014072493</v>
      </c>
      <c r="Q2343" s="14" t="n">
        <v>35467035.55047936</v>
      </c>
      <c r="R2343" s="15">
        <f>IF(D2343=1,"Section 1","Control")</f>
        <v/>
      </c>
      <c r="S2343" s="16">
        <f>N2343/10000</f>
        <v/>
      </c>
      <c r="T2343" s="16">
        <f>P2343/10000</f>
        <v/>
      </c>
      <c r="U2343" s="15">
        <f>IF(N2343&gt;=Summary!$D$3,1,0)</f>
        <v/>
      </c>
      <c r="V2343" s="17">
        <f>IF(N2343&gt;0,P2343/N2343,"")</f>
        <v/>
      </c>
      <c r="W2343" s="17">
        <f>IF(O2343&gt;0,H2343/O2343,"")</f>
        <v/>
      </c>
    </row>
    <row r="2344">
      <c r="A2344" s="13" t="inlineStr">
        <is>
          <t>CE37_B3</t>
        </is>
      </c>
      <c r="B2344" s="13" t="inlineStr">
        <is>
          <t>CE37</t>
        </is>
      </c>
      <c r="C2344" s="13" t="inlineStr">
        <is>
          <t>B3</t>
        </is>
      </c>
      <c r="D2344" s="13" t="n">
        <v>0</v>
      </c>
      <c r="E2344" s="13" t="inlineStr">
        <is>
          <t>E</t>
        </is>
      </c>
      <c r="F2344" s="13" t="n">
        <v>2024</v>
      </c>
      <c r="G2344" s="14" t="n">
        <v>8204590.853386555</v>
      </c>
      <c r="H2344" s="14" t="n">
        <v>3025586.37476316</v>
      </c>
      <c r="I2344" s="14" t="n">
        <v>848420.9325518741</v>
      </c>
      <c r="J2344" s="14" t="n">
        <v>0</v>
      </c>
      <c r="K2344" s="14" t="n">
        <v>86340.77953299729</v>
      </c>
      <c r="L2344" s="14" t="n">
        <v>4244242.766538523</v>
      </c>
      <c r="M2344" s="14" t="n">
        <v>0</v>
      </c>
      <c r="N2344" s="14" t="n">
        <v>3197803.01181114</v>
      </c>
      <c r="O2344" s="14" t="n">
        <v>3942532.666785356</v>
      </c>
      <c r="P2344" s="14" t="n">
        <v>301872.9132118375</v>
      </c>
      <c r="Q2344" s="14" t="n">
        <v>35467035.55047936</v>
      </c>
      <c r="R2344" s="15">
        <f>IF(D2344=1,"Section 1","Control")</f>
        <v/>
      </c>
      <c r="S2344" s="16">
        <f>N2344/10000</f>
        <v/>
      </c>
      <c r="T2344" s="16">
        <f>P2344/10000</f>
        <v/>
      </c>
      <c r="U2344" s="15">
        <f>IF(N2344&gt;=Summary!$D$3,1,0)</f>
        <v/>
      </c>
      <c r="V2344" s="17">
        <f>IF(N2344&gt;0,P2344/N2344,"")</f>
        <v/>
      </c>
      <c r="W2344" s="17">
        <f>IF(O2344&gt;0,H2344/O2344,"")</f>
        <v/>
      </c>
    </row>
    <row r="2345">
      <c r="A2345" s="13" t="inlineStr">
        <is>
          <t>CE37_B3</t>
        </is>
      </c>
      <c r="B2345" s="13" t="inlineStr">
        <is>
          <t>CE37</t>
        </is>
      </c>
      <c r="C2345" s="13" t="inlineStr">
        <is>
          <t>B3</t>
        </is>
      </c>
      <c r="D2345" s="13" t="n">
        <v>0</v>
      </c>
      <c r="E2345" s="13" t="inlineStr">
        <is>
          <t>E</t>
        </is>
      </c>
      <c r="F2345" s="13" t="n">
        <v>2025</v>
      </c>
      <c r="G2345" s="14" t="n">
        <v>8204590.853386554</v>
      </c>
      <c r="H2345" s="14" t="n">
        <v>3147037.838758133</v>
      </c>
      <c r="I2345" s="14" t="n">
        <v>724323.6041225658</v>
      </c>
      <c r="J2345" s="14" t="n">
        <v>0</v>
      </c>
      <c r="K2345" s="14" t="n">
        <v>74838.84709424786</v>
      </c>
      <c r="L2345" s="14" t="n">
        <v>4258390.563411608</v>
      </c>
      <c r="M2345" s="14" t="n">
        <v>0</v>
      </c>
      <c r="N2345" s="14" t="n">
        <v>3197803.01181114</v>
      </c>
      <c r="O2345" s="14" t="n">
        <v>3942532.666785357</v>
      </c>
      <c r="P2345" s="14" t="n">
        <v>303417.2810425702</v>
      </c>
      <c r="Q2345" s="14" t="n">
        <v>35467035.55047936</v>
      </c>
      <c r="R2345" s="15">
        <f>IF(D2345=1,"Section 1","Control")</f>
        <v/>
      </c>
      <c r="S2345" s="16">
        <f>N2345/10000</f>
        <v/>
      </c>
      <c r="T2345" s="16">
        <f>P2345/10000</f>
        <v/>
      </c>
      <c r="U2345" s="15">
        <f>IF(N2345&gt;=Summary!$D$3,1,0)</f>
        <v/>
      </c>
      <c r="V2345" s="17">
        <f>IF(N2345&gt;0,P2345/N2345,"")</f>
        <v/>
      </c>
      <c r="W2345" s="17">
        <f>IF(O2345&gt;0,H2345/O2345,"")</f>
        <v/>
      </c>
    </row>
    <row r="2346">
      <c r="A2346" s="13" t="inlineStr">
        <is>
          <t>CE37_B3</t>
        </is>
      </c>
      <c r="B2346" s="13" t="inlineStr">
        <is>
          <t>CE37</t>
        </is>
      </c>
      <c r="C2346" s="13" t="inlineStr">
        <is>
          <t>B3</t>
        </is>
      </c>
      <c r="D2346" s="13" t="n">
        <v>0</v>
      </c>
      <c r="E2346" s="13" t="inlineStr">
        <is>
          <t>E</t>
        </is>
      </c>
      <c r="F2346" s="13" t="n">
        <v>2026</v>
      </c>
      <c r="G2346" s="14" t="n">
        <v>8204590.853386554</v>
      </c>
      <c r="H2346" s="14" t="n">
        <v>3167124.883257249</v>
      </c>
      <c r="I2346" s="14" t="n">
        <v>705926.920278422</v>
      </c>
      <c r="J2346" s="14" t="n">
        <v>0</v>
      </c>
      <c r="K2346" s="14" t="n">
        <v>65562.36238334505</v>
      </c>
      <c r="L2346" s="14" t="n">
        <v>4265976.687467538</v>
      </c>
      <c r="M2346" s="14" t="n">
        <v>0</v>
      </c>
      <c r="N2346" s="14" t="n">
        <v>3197803.01181114</v>
      </c>
      <c r="O2346" s="14" t="n">
        <v>3942532.666785356</v>
      </c>
      <c r="P2346" s="14" t="n">
        <v>343771.1365467745</v>
      </c>
      <c r="Q2346" s="14" t="n">
        <v>35467035.55047936</v>
      </c>
      <c r="R2346" s="15">
        <f>IF(D2346=1,"Section 1","Control")</f>
        <v/>
      </c>
      <c r="S2346" s="16">
        <f>N2346/10000</f>
        <v/>
      </c>
      <c r="T2346" s="16">
        <f>P2346/10000</f>
        <v/>
      </c>
      <c r="U2346" s="15">
        <f>IF(N2346&gt;=Summary!$D$3,1,0)</f>
        <v/>
      </c>
      <c r="V2346" s="17">
        <f>IF(N2346&gt;0,P2346/N2346,"")</f>
        <v/>
      </c>
      <c r="W2346" s="17">
        <f>IF(O2346&gt;0,H2346/O2346,"")</f>
        <v/>
      </c>
    </row>
    <row r="2347">
      <c r="A2347" s="13" t="inlineStr">
        <is>
          <t>CE37_F</t>
        </is>
      </c>
      <c r="B2347" s="13" t="inlineStr">
        <is>
          <t>CE37</t>
        </is>
      </c>
      <c r="C2347" s="13" t="inlineStr">
        <is>
          <t>F</t>
        </is>
      </c>
      <c r="D2347" s="13" t="n">
        <v>0</v>
      </c>
      <c r="E2347" s="13" t="inlineStr">
        <is>
          <t>E</t>
        </is>
      </c>
      <c r="F2347" s="13" t="n">
        <v>2020</v>
      </c>
      <c r="G2347" s="14" t="n">
        <v>71010.31183645212</v>
      </c>
      <c r="H2347" s="14" t="n">
        <v>42049.72984526392</v>
      </c>
      <c r="I2347" s="14" t="n">
        <v>9351.527738653444</v>
      </c>
      <c r="J2347" s="14" t="n">
        <v>0</v>
      </c>
      <c r="K2347" s="14" t="n">
        <v>3641.94985184015</v>
      </c>
      <c r="L2347" s="14" t="n">
        <v>15967.1044006946</v>
      </c>
      <c r="M2347" s="14" t="n">
        <v>0</v>
      </c>
      <c r="N2347" s="14" t="n">
        <v>42049.72984526392</v>
      </c>
      <c r="O2347" s="14" t="n">
        <v>55043.2074357575</v>
      </c>
      <c r="P2347" s="14" t="n">
        <v>0</v>
      </c>
      <c r="Q2347" s="14" t="n">
        <v>233990.3237345377</v>
      </c>
      <c r="R2347" s="15">
        <f>IF(D2347=1,"Section 1","Control")</f>
        <v/>
      </c>
      <c r="S2347" s="16">
        <f>N2347/10000</f>
        <v/>
      </c>
      <c r="T2347" s="16">
        <f>P2347/10000</f>
        <v/>
      </c>
      <c r="U2347" s="15">
        <f>IF(N2347&gt;=Summary!$D$3,1,0)</f>
        <v/>
      </c>
      <c r="V2347" s="17">
        <f>IF(N2347&gt;0,P2347/N2347,"")</f>
        <v/>
      </c>
      <c r="W2347" s="17">
        <f>IF(O2347&gt;0,H2347/O2347,"")</f>
        <v/>
      </c>
    </row>
    <row r="2348">
      <c r="A2348" s="13" t="inlineStr">
        <is>
          <t>CE37_F</t>
        </is>
      </c>
      <c r="B2348" s="13" t="inlineStr">
        <is>
          <t>CE37</t>
        </is>
      </c>
      <c r="C2348" s="13" t="inlineStr">
        <is>
          <t>F</t>
        </is>
      </c>
      <c r="D2348" s="13" t="n">
        <v>0</v>
      </c>
      <c r="E2348" s="13" t="inlineStr">
        <is>
          <t>E</t>
        </is>
      </c>
      <c r="F2348" s="13" t="n">
        <v>2021</v>
      </c>
      <c r="G2348" s="14" t="n">
        <v>71010.31183645212</v>
      </c>
      <c r="H2348" s="14" t="n">
        <v>44119.66908632167</v>
      </c>
      <c r="I2348" s="14" t="n">
        <v>6850.250589737238</v>
      </c>
      <c r="J2348" s="14" t="n">
        <v>0</v>
      </c>
      <c r="K2348" s="14" t="n">
        <v>6344.181703485227</v>
      </c>
      <c r="L2348" s="14" t="n">
        <v>13696.21045690798</v>
      </c>
      <c r="M2348" s="14" t="n">
        <v>0</v>
      </c>
      <c r="N2348" s="14" t="n">
        <v>42049.72984526392</v>
      </c>
      <c r="O2348" s="14" t="n">
        <v>55043.2074357575</v>
      </c>
      <c r="P2348" s="14" t="n">
        <v>3981.52602224911</v>
      </c>
      <c r="Q2348" s="14" t="n">
        <v>233990.3237345377</v>
      </c>
      <c r="R2348" s="15">
        <f>IF(D2348=1,"Section 1","Control")</f>
        <v/>
      </c>
      <c r="S2348" s="16">
        <f>N2348/10000</f>
        <v/>
      </c>
      <c r="T2348" s="16">
        <f>P2348/10000</f>
        <v/>
      </c>
      <c r="U2348" s="15">
        <f>IF(N2348&gt;=Summary!$D$3,1,0)</f>
        <v/>
      </c>
      <c r="V2348" s="17">
        <f>IF(N2348&gt;0,P2348/N2348,"")</f>
        <v/>
      </c>
      <c r="W2348" s="17">
        <f>IF(O2348&gt;0,H2348/O2348,"")</f>
        <v/>
      </c>
    </row>
    <row r="2349">
      <c r="A2349" s="13" t="inlineStr">
        <is>
          <t>CE37_F</t>
        </is>
      </c>
      <c r="B2349" s="13" t="inlineStr">
        <is>
          <t>CE37</t>
        </is>
      </c>
      <c r="C2349" s="13" t="inlineStr">
        <is>
          <t>F</t>
        </is>
      </c>
      <c r="D2349" s="13" t="n">
        <v>0</v>
      </c>
      <c r="E2349" s="13" t="inlineStr">
        <is>
          <t>E</t>
        </is>
      </c>
      <c r="F2349" s="13" t="n">
        <v>2022</v>
      </c>
      <c r="G2349" s="14" t="n">
        <v>71010.31183645212</v>
      </c>
      <c r="H2349" s="14" t="n">
        <v>40244.238476383</v>
      </c>
      <c r="I2349" s="14" t="n">
        <v>7259.902160913804</v>
      </c>
      <c r="J2349" s="14" t="n">
        <v>0</v>
      </c>
      <c r="K2349" s="14" t="n">
        <v>11683.20532801011</v>
      </c>
      <c r="L2349" s="14" t="n">
        <v>11822.96587114521</v>
      </c>
      <c r="M2349" s="14" t="n">
        <v>0</v>
      </c>
      <c r="N2349" s="14" t="n">
        <v>42049.72984526392</v>
      </c>
      <c r="O2349" s="14" t="n">
        <v>55043.2074357575</v>
      </c>
      <c r="P2349" s="14" t="n">
        <v>6100.642075841568</v>
      </c>
      <c r="Q2349" s="14" t="n">
        <v>233990.3237345377</v>
      </c>
      <c r="R2349" s="15">
        <f>IF(D2349=1,"Section 1","Control")</f>
        <v/>
      </c>
      <c r="S2349" s="16">
        <f>N2349/10000</f>
        <v/>
      </c>
      <c r="T2349" s="16">
        <f>P2349/10000</f>
        <v/>
      </c>
      <c r="U2349" s="15">
        <f>IF(N2349&gt;=Summary!$D$3,1,0)</f>
        <v/>
      </c>
      <c r="V2349" s="17">
        <f>IF(N2349&gt;0,P2349/N2349,"")</f>
        <v/>
      </c>
      <c r="W2349" s="17">
        <f>IF(O2349&gt;0,H2349/O2349,"")</f>
        <v/>
      </c>
    </row>
    <row r="2350">
      <c r="A2350" s="13" t="inlineStr">
        <is>
          <t>CE37_F</t>
        </is>
      </c>
      <c r="B2350" s="13" t="inlineStr">
        <is>
          <t>CE37</t>
        </is>
      </c>
      <c r="C2350" s="13" t="inlineStr">
        <is>
          <t>F</t>
        </is>
      </c>
      <c r="D2350" s="13" t="n">
        <v>0</v>
      </c>
      <c r="E2350" s="13" t="inlineStr">
        <is>
          <t>E</t>
        </is>
      </c>
      <c r="F2350" s="13" t="n">
        <v>2023</v>
      </c>
      <c r="G2350" s="14" t="n">
        <v>71010.31183645212</v>
      </c>
      <c r="H2350" s="14" t="n">
        <v>38323.74975705615</v>
      </c>
      <c r="I2350" s="14" t="n">
        <v>9272.15623842127</v>
      </c>
      <c r="J2350" s="14" t="n">
        <v>0</v>
      </c>
      <c r="K2350" s="14" t="n">
        <v>7695.493413468903</v>
      </c>
      <c r="L2350" s="14" t="n">
        <v>15718.91242750579</v>
      </c>
      <c r="M2350" s="14" t="n">
        <v>0</v>
      </c>
      <c r="N2350" s="14" t="n">
        <v>42049.72984526392</v>
      </c>
      <c r="O2350" s="14" t="n">
        <v>55043.2074357575</v>
      </c>
      <c r="P2350" s="14" t="n">
        <v>7977.764954869885</v>
      </c>
      <c r="Q2350" s="14" t="n">
        <v>233990.3237345377</v>
      </c>
      <c r="R2350" s="15">
        <f>IF(D2350=1,"Section 1","Control")</f>
        <v/>
      </c>
      <c r="S2350" s="16">
        <f>N2350/10000</f>
        <v/>
      </c>
      <c r="T2350" s="16">
        <f>P2350/10000</f>
        <v/>
      </c>
      <c r="U2350" s="15">
        <f>IF(N2350&gt;=Summary!$D$3,1,0)</f>
        <v/>
      </c>
      <c r="V2350" s="17">
        <f>IF(N2350&gt;0,P2350/N2350,"")</f>
        <v/>
      </c>
      <c r="W2350" s="17">
        <f>IF(O2350&gt;0,H2350/O2350,"")</f>
        <v/>
      </c>
    </row>
    <row r="2351">
      <c r="A2351" s="13" t="inlineStr">
        <is>
          <t>CE37_F</t>
        </is>
      </c>
      <c r="B2351" s="13" t="inlineStr">
        <is>
          <t>CE37</t>
        </is>
      </c>
      <c r="C2351" s="13" t="inlineStr">
        <is>
          <t>F</t>
        </is>
      </c>
      <c r="D2351" s="13" t="n">
        <v>0</v>
      </c>
      <c r="E2351" s="13" t="inlineStr">
        <is>
          <t>E</t>
        </is>
      </c>
      <c r="F2351" s="13" t="n">
        <v>2024</v>
      </c>
      <c r="G2351" s="14" t="n">
        <v>71010.31183645212</v>
      </c>
      <c r="H2351" s="14" t="n">
        <v>27769.20372102028</v>
      </c>
      <c r="I2351" s="14" t="n">
        <v>21873.02426964255</v>
      </c>
      <c r="J2351" s="14" t="n">
        <v>0</v>
      </c>
      <c r="K2351" s="14" t="n">
        <v>10197.53996994916</v>
      </c>
      <c r="L2351" s="14" t="n">
        <v>11170.54387584013</v>
      </c>
      <c r="M2351" s="14" t="n">
        <v>0</v>
      </c>
      <c r="N2351" s="14" t="n">
        <v>42049.72984526392</v>
      </c>
      <c r="O2351" s="14" t="n">
        <v>55043.2074357575</v>
      </c>
      <c r="P2351" s="14" t="n">
        <v>15874.99256777296</v>
      </c>
      <c r="Q2351" s="14" t="n">
        <v>233990.3237345377</v>
      </c>
      <c r="R2351" s="15">
        <f>IF(D2351=1,"Section 1","Control")</f>
        <v/>
      </c>
      <c r="S2351" s="16">
        <f>N2351/10000</f>
        <v/>
      </c>
      <c r="T2351" s="16">
        <f>P2351/10000</f>
        <v/>
      </c>
      <c r="U2351" s="15">
        <f>IF(N2351&gt;=Summary!$D$3,1,0)</f>
        <v/>
      </c>
      <c r="V2351" s="17">
        <f>IF(N2351&gt;0,P2351/N2351,"")</f>
        <v/>
      </c>
      <c r="W2351" s="17">
        <f>IF(O2351&gt;0,H2351/O2351,"")</f>
        <v/>
      </c>
    </row>
    <row r="2352">
      <c r="A2352" s="13" t="inlineStr">
        <is>
          <t>CE37_F</t>
        </is>
      </c>
      <c r="B2352" s="13" t="inlineStr">
        <is>
          <t>CE37</t>
        </is>
      </c>
      <c r="C2352" s="13" t="inlineStr">
        <is>
          <t>F</t>
        </is>
      </c>
      <c r="D2352" s="13" t="n">
        <v>0</v>
      </c>
      <c r="E2352" s="13" t="inlineStr">
        <is>
          <t>E</t>
        </is>
      </c>
      <c r="F2352" s="13" t="n">
        <v>2025</v>
      </c>
      <c r="G2352" s="14" t="n">
        <v>71010.31183645212</v>
      </c>
      <c r="H2352" s="14" t="n">
        <v>31085.52793594062</v>
      </c>
      <c r="I2352" s="14" t="n">
        <v>17055.16064303529</v>
      </c>
      <c r="J2352" s="14" t="n">
        <v>0</v>
      </c>
      <c r="K2352" s="14" t="n">
        <v>9449.095449260636</v>
      </c>
      <c r="L2352" s="14" t="n">
        <v>13420.52780821557</v>
      </c>
      <c r="M2352" s="14" t="n">
        <v>0</v>
      </c>
      <c r="N2352" s="14" t="n">
        <v>42049.72984526392</v>
      </c>
      <c r="O2352" s="14" t="n">
        <v>55043.2074357575</v>
      </c>
      <c r="P2352" s="14" t="n">
        <v>13249.42339025759</v>
      </c>
      <c r="Q2352" s="14" t="n">
        <v>233990.3237345377</v>
      </c>
      <c r="R2352" s="15">
        <f>IF(D2352=1,"Section 1","Control")</f>
        <v/>
      </c>
      <c r="S2352" s="16">
        <f>N2352/10000</f>
        <v/>
      </c>
      <c r="T2352" s="16">
        <f>P2352/10000</f>
        <v/>
      </c>
      <c r="U2352" s="15">
        <f>IF(N2352&gt;=Summary!$D$3,1,0)</f>
        <v/>
      </c>
      <c r="V2352" s="17">
        <f>IF(N2352&gt;0,P2352/N2352,"")</f>
        <v/>
      </c>
      <c r="W2352" s="17">
        <f>IF(O2352&gt;0,H2352/O2352,"")</f>
        <v/>
      </c>
    </row>
    <row r="2353">
      <c r="A2353" s="13" t="inlineStr">
        <is>
          <t>CE37_F</t>
        </is>
      </c>
      <c r="B2353" s="13" t="inlineStr">
        <is>
          <t>CE37</t>
        </is>
      </c>
      <c r="C2353" s="13" t="inlineStr">
        <is>
          <t>F</t>
        </is>
      </c>
      <c r="D2353" s="13" t="n">
        <v>0</v>
      </c>
      <c r="E2353" s="13" t="inlineStr">
        <is>
          <t>E</t>
        </is>
      </c>
      <c r="F2353" s="13" t="n">
        <v>2026</v>
      </c>
      <c r="G2353" s="14" t="n">
        <v>71010.31183645212</v>
      </c>
      <c r="H2353" s="14" t="n">
        <v>46398.69910140692</v>
      </c>
      <c r="I2353" s="14" t="n">
        <v>2059.102076631434</v>
      </c>
      <c r="J2353" s="14" t="n">
        <v>0</v>
      </c>
      <c r="K2353" s="14" t="n">
        <v>7846.885260189281</v>
      </c>
      <c r="L2353" s="14" t="n">
        <v>14705.62539822447</v>
      </c>
      <c r="M2353" s="14" t="n">
        <v>0</v>
      </c>
      <c r="N2353" s="14" t="n">
        <v>42049.72984526392</v>
      </c>
      <c r="O2353" s="14" t="n">
        <v>55043.2074357575</v>
      </c>
      <c r="P2353" s="14" t="n">
        <v>4354.007529045554</v>
      </c>
      <c r="Q2353" s="14" t="n">
        <v>233990.3237345377</v>
      </c>
      <c r="R2353" s="15">
        <f>IF(D2353=1,"Section 1","Control")</f>
        <v/>
      </c>
      <c r="S2353" s="16">
        <f>N2353/10000</f>
        <v/>
      </c>
      <c r="T2353" s="16">
        <f>P2353/10000</f>
        <v/>
      </c>
      <c r="U2353" s="15">
        <f>IF(N2353&gt;=Summary!$D$3,1,0)</f>
        <v/>
      </c>
      <c r="V2353" s="17">
        <f>IF(N2353&gt;0,P2353/N2353,"")</f>
        <v/>
      </c>
      <c r="W2353" s="17">
        <f>IF(O2353&gt;0,H2353/O2353,"")</f>
        <v/>
      </c>
    </row>
    <row r="2354">
      <c r="A2354" s="13" t="inlineStr">
        <is>
          <t>CE38_B1</t>
        </is>
      </c>
      <c r="B2354" s="13" t="inlineStr">
        <is>
          <t>CE38</t>
        </is>
      </c>
      <c r="C2354" s="13" t="inlineStr">
        <is>
          <t>B1</t>
        </is>
      </c>
      <c r="D2354" s="13" t="n">
        <v>0</v>
      </c>
      <c r="E2354" s="13" t="inlineStr">
        <is>
          <t>E</t>
        </is>
      </c>
      <c r="F2354" s="13" t="n">
        <v>2020</v>
      </c>
      <c r="G2354" s="14" t="n">
        <v>975178.0441356885</v>
      </c>
      <c r="H2354" s="14" t="n">
        <v>419505.9553343828</v>
      </c>
      <c r="I2354" s="14" t="n">
        <v>267282.7633199954</v>
      </c>
      <c r="J2354" s="14" t="n">
        <v>0</v>
      </c>
      <c r="K2354" s="14" t="n">
        <v>58498.04316373339</v>
      </c>
      <c r="L2354" s="14" t="n">
        <v>229891.2823175767</v>
      </c>
      <c r="M2354" s="14" t="n">
        <v>0</v>
      </c>
      <c r="N2354" s="14" t="n">
        <v>419505.9553343828</v>
      </c>
      <c r="O2354" s="14" t="n">
        <v>745286.7618181118</v>
      </c>
      <c r="P2354" s="14" t="n">
        <v>0</v>
      </c>
      <c r="Q2354" s="14" t="n">
        <v>3128694.15578619</v>
      </c>
      <c r="R2354" s="15">
        <f>IF(D2354=1,"Section 1","Control")</f>
        <v/>
      </c>
      <c r="S2354" s="16">
        <f>N2354/10000</f>
        <v/>
      </c>
      <c r="T2354" s="16">
        <f>P2354/10000</f>
        <v/>
      </c>
      <c r="U2354" s="15">
        <f>IF(N2354&gt;=Summary!$D$3,1,0)</f>
        <v/>
      </c>
      <c r="V2354" s="17">
        <f>IF(N2354&gt;0,P2354/N2354,"")</f>
        <v/>
      </c>
      <c r="W2354" s="17">
        <f>IF(O2354&gt;0,H2354/O2354,"")</f>
        <v/>
      </c>
    </row>
    <row r="2355">
      <c r="A2355" s="13" t="inlineStr">
        <is>
          <t>CE38_B1</t>
        </is>
      </c>
      <c r="B2355" s="13" t="inlineStr">
        <is>
          <t>CE38</t>
        </is>
      </c>
      <c r="C2355" s="13" t="inlineStr">
        <is>
          <t>B1</t>
        </is>
      </c>
      <c r="D2355" s="13" t="n">
        <v>0</v>
      </c>
      <c r="E2355" s="13" t="inlineStr">
        <is>
          <t>E</t>
        </is>
      </c>
      <c r="F2355" s="13" t="n">
        <v>2021</v>
      </c>
      <c r="G2355" s="14" t="n">
        <v>975178.0441356885</v>
      </c>
      <c r="H2355" s="14" t="n">
        <v>363209.7625951131</v>
      </c>
      <c r="I2355" s="14" t="n">
        <v>331646.0945081525</v>
      </c>
      <c r="J2355" s="14" t="n">
        <v>0</v>
      </c>
      <c r="K2355" s="14" t="n">
        <v>89887.96884864359</v>
      </c>
      <c r="L2355" s="14" t="n">
        <v>190434.2181837792</v>
      </c>
      <c r="M2355" s="14" t="n">
        <v>0</v>
      </c>
      <c r="N2355" s="14" t="n">
        <v>419505.9553343828</v>
      </c>
      <c r="O2355" s="14" t="n">
        <v>745286.7618181118</v>
      </c>
      <c r="P2355" s="14" t="n">
        <v>69177.7996059642</v>
      </c>
      <c r="Q2355" s="14" t="n">
        <v>3128694.15578619</v>
      </c>
      <c r="R2355" s="15">
        <f>IF(D2355=1,"Section 1","Control")</f>
        <v/>
      </c>
      <c r="S2355" s="16">
        <f>N2355/10000</f>
        <v/>
      </c>
      <c r="T2355" s="16">
        <f>P2355/10000</f>
        <v/>
      </c>
      <c r="U2355" s="15">
        <f>IF(N2355&gt;=Summary!$D$3,1,0)</f>
        <v/>
      </c>
      <c r="V2355" s="17">
        <f>IF(N2355&gt;0,P2355/N2355,"")</f>
        <v/>
      </c>
      <c r="W2355" s="17">
        <f>IF(O2355&gt;0,H2355/O2355,"")</f>
        <v/>
      </c>
    </row>
    <row r="2356">
      <c r="A2356" s="13" t="inlineStr">
        <is>
          <t>CE38_B1</t>
        </is>
      </c>
      <c r="B2356" s="13" t="inlineStr">
        <is>
          <t>CE38</t>
        </is>
      </c>
      <c r="C2356" s="13" t="inlineStr">
        <is>
          <t>B1</t>
        </is>
      </c>
      <c r="D2356" s="13" t="n">
        <v>0</v>
      </c>
      <c r="E2356" s="13" t="inlineStr">
        <is>
          <t>E</t>
        </is>
      </c>
      <c r="F2356" s="13" t="n">
        <v>2022</v>
      </c>
      <c r="G2356" s="14" t="n">
        <v>975178.0441356885</v>
      </c>
      <c r="H2356" s="14" t="n">
        <v>356736.2505556593</v>
      </c>
      <c r="I2356" s="14" t="n">
        <v>310324.1838749007</v>
      </c>
      <c r="J2356" s="14" t="n">
        <v>0</v>
      </c>
      <c r="K2356" s="14" t="n">
        <v>94266.02394762226</v>
      </c>
      <c r="L2356" s="14" t="n">
        <v>213851.5857575061</v>
      </c>
      <c r="M2356" s="14" t="n">
        <v>0</v>
      </c>
      <c r="N2356" s="14" t="n">
        <v>419505.9553343828</v>
      </c>
      <c r="O2356" s="14" t="n">
        <v>745286.7618181118</v>
      </c>
      <c r="P2356" s="14" t="n">
        <v>72945.1942461201</v>
      </c>
      <c r="Q2356" s="14" t="n">
        <v>3128694.15578619</v>
      </c>
      <c r="R2356" s="15">
        <f>IF(D2356=1,"Section 1","Control")</f>
        <v/>
      </c>
      <c r="S2356" s="16">
        <f>N2356/10000</f>
        <v/>
      </c>
      <c r="T2356" s="16">
        <f>P2356/10000</f>
        <v/>
      </c>
      <c r="U2356" s="15">
        <f>IF(N2356&gt;=Summary!$D$3,1,0)</f>
        <v/>
      </c>
      <c r="V2356" s="17">
        <f>IF(N2356&gt;0,P2356/N2356,"")</f>
        <v/>
      </c>
      <c r="W2356" s="17">
        <f>IF(O2356&gt;0,H2356/O2356,"")</f>
        <v/>
      </c>
    </row>
    <row r="2357">
      <c r="A2357" s="13" t="inlineStr">
        <is>
          <t>CE38_B1</t>
        </is>
      </c>
      <c r="B2357" s="13" t="inlineStr">
        <is>
          <t>CE38</t>
        </is>
      </c>
      <c r="C2357" s="13" t="inlineStr">
        <is>
          <t>B1</t>
        </is>
      </c>
      <c r="D2357" s="13" t="n">
        <v>0</v>
      </c>
      <c r="E2357" s="13" t="inlineStr">
        <is>
          <t>E</t>
        </is>
      </c>
      <c r="F2357" s="13" t="n">
        <v>2023</v>
      </c>
      <c r="G2357" s="14" t="n">
        <v>975178.0441356885</v>
      </c>
      <c r="H2357" s="14" t="n">
        <v>363359.632707334</v>
      </c>
      <c r="I2357" s="14" t="n">
        <v>314858.3104600495</v>
      </c>
      <c r="J2357" s="14" t="n">
        <v>0</v>
      </c>
      <c r="K2357" s="14" t="n">
        <v>92652.94268137612</v>
      </c>
      <c r="L2357" s="14" t="n">
        <v>204307.1582869286</v>
      </c>
      <c r="M2357" s="14" t="n">
        <v>0</v>
      </c>
      <c r="N2357" s="14" t="n">
        <v>419505.9553343828</v>
      </c>
      <c r="O2357" s="14" t="n">
        <v>745286.7618181118</v>
      </c>
      <c r="P2357" s="14" t="n">
        <v>68781.68763610242</v>
      </c>
      <c r="Q2357" s="14" t="n">
        <v>3128694.15578619</v>
      </c>
      <c r="R2357" s="15">
        <f>IF(D2357=1,"Section 1","Control")</f>
        <v/>
      </c>
      <c r="S2357" s="16">
        <f>N2357/10000</f>
        <v/>
      </c>
      <c r="T2357" s="16">
        <f>P2357/10000</f>
        <v/>
      </c>
      <c r="U2357" s="15">
        <f>IF(N2357&gt;=Summary!$D$3,1,0)</f>
        <v/>
      </c>
      <c r="V2357" s="17">
        <f>IF(N2357&gt;0,P2357/N2357,"")</f>
        <v/>
      </c>
      <c r="W2357" s="17">
        <f>IF(O2357&gt;0,H2357/O2357,"")</f>
        <v/>
      </c>
    </row>
    <row r="2358">
      <c r="A2358" s="13" t="inlineStr">
        <is>
          <t>CE38_B1</t>
        </is>
      </c>
      <c r="B2358" s="13" t="inlineStr">
        <is>
          <t>CE38</t>
        </is>
      </c>
      <c r="C2358" s="13" t="inlineStr">
        <is>
          <t>B1</t>
        </is>
      </c>
      <c r="D2358" s="13" t="n">
        <v>0</v>
      </c>
      <c r="E2358" s="13" t="inlineStr">
        <is>
          <t>E</t>
        </is>
      </c>
      <c r="F2358" s="13" t="n">
        <v>2024</v>
      </c>
      <c r="G2358" s="14" t="n">
        <v>975178.0441356885</v>
      </c>
      <c r="H2358" s="14" t="n">
        <v>357203.6116549921</v>
      </c>
      <c r="I2358" s="14" t="n">
        <v>356905.6887991813</v>
      </c>
      <c r="J2358" s="14" t="n">
        <v>0</v>
      </c>
      <c r="K2358" s="14" t="n">
        <v>96407.61367157582</v>
      </c>
      <c r="L2358" s="14" t="n">
        <v>164661.1300099391</v>
      </c>
      <c r="M2358" s="14" t="n">
        <v>0</v>
      </c>
      <c r="N2358" s="14" t="n">
        <v>419505.9553343828</v>
      </c>
      <c r="O2358" s="14" t="n">
        <v>745286.7618181118</v>
      </c>
      <c r="P2358" s="14" t="n">
        <v>73184.86625429042</v>
      </c>
      <c r="Q2358" s="14" t="n">
        <v>3128694.15578619</v>
      </c>
      <c r="R2358" s="15">
        <f>IF(D2358=1,"Section 1","Control")</f>
        <v/>
      </c>
      <c r="S2358" s="16">
        <f>N2358/10000</f>
        <v/>
      </c>
      <c r="T2358" s="16">
        <f>P2358/10000</f>
        <v/>
      </c>
      <c r="U2358" s="15">
        <f>IF(N2358&gt;=Summary!$D$3,1,0)</f>
        <v/>
      </c>
      <c r="V2358" s="17">
        <f>IF(N2358&gt;0,P2358/N2358,"")</f>
        <v/>
      </c>
      <c r="W2358" s="17">
        <f>IF(O2358&gt;0,H2358/O2358,"")</f>
        <v/>
      </c>
    </row>
    <row r="2359">
      <c r="A2359" s="13" t="inlineStr">
        <is>
          <t>CE38_B1</t>
        </is>
      </c>
      <c r="B2359" s="13" t="inlineStr">
        <is>
          <t>CE38</t>
        </is>
      </c>
      <c r="C2359" s="13" t="inlineStr">
        <is>
          <t>B1</t>
        </is>
      </c>
      <c r="D2359" s="13" t="n">
        <v>0</v>
      </c>
      <c r="E2359" s="13" t="inlineStr">
        <is>
          <t>E</t>
        </is>
      </c>
      <c r="F2359" s="13" t="n">
        <v>2025</v>
      </c>
      <c r="G2359" s="14" t="n">
        <v>975178.0441356885</v>
      </c>
      <c r="H2359" s="14" t="n">
        <v>370672.5321005129</v>
      </c>
      <c r="I2359" s="14" t="n">
        <v>334201.5852372113</v>
      </c>
      <c r="J2359" s="14" t="n">
        <v>0</v>
      </c>
      <c r="K2359" s="14" t="n">
        <v>76234.29763246424</v>
      </c>
      <c r="L2359" s="14" t="n">
        <v>194069.6291654998</v>
      </c>
      <c r="M2359" s="14" t="n">
        <v>0</v>
      </c>
      <c r="N2359" s="14" t="n">
        <v>419505.9553343828</v>
      </c>
      <c r="O2359" s="14" t="n">
        <v>745286.7618181118</v>
      </c>
      <c r="P2359" s="14" t="n">
        <v>64812.99103516224</v>
      </c>
      <c r="Q2359" s="14" t="n">
        <v>3128694.15578619</v>
      </c>
      <c r="R2359" s="15">
        <f>IF(D2359=1,"Section 1","Control")</f>
        <v/>
      </c>
      <c r="S2359" s="16">
        <f>N2359/10000</f>
        <v/>
      </c>
      <c r="T2359" s="16">
        <f>P2359/10000</f>
        <v/>
      </c>
      <c r="U2359" s="15">
        <f>IF(N2359&gt;=Summary!$D$3,1,0)</f>
        <v/>
      </c>
      <c r="V2359" s="17">
        <f>IF(N2359&gt;0,P2359/N2359,"")</f>
        <v/>
      </c>
      <c r="W2359" s="17">
        <f>IF(O2359&gt;0,H2359/O2359,"")</f>
        <v/>
      </c>
    </row>
    <row r="2360">
      <c r="A2360" s="13" t="inlineStr">
        <is>
          <t>CE38_B1</t>
        </is>
      </c>
      <c r="B2360" s="13" t="inlineStr">
        <is>
          <t>CE38</t>
        </is>
      </c>
      <c r="C2360" s="13" t="inlineStr">
        <is>
          <t>B1</t>
        </is>
      </c>
      <c r="D2360" s="13" t="n">
        <v>0</v>
      </c>
      <c r="E2360" s="13" t="inlineStr">
        <is>
          <t>E</t>
        </is>
      </c>
      <c r="F2360" s="13" t="n">
        <v>2026</v>
      </c>
      <c r="G2360" s="14" t="n">
        <v>975178.0441356885</v>
      </c>
      <c r="H2360" s="14" t="n">
        <v>413296.9613145716</v>
      </c>
      <c r="I2360" s="14" t="n">
        <v>295031.78578572</v>
      </c>
      <c r="J2360" s="14" t="n">
        <v>0</v>
      </c>
      <c r="K2360" s="14" t="n">
        <v>78660.06302627864</v>
      </c>
      <c r="L2360" s="14" t="n">
        <v>188189.2340091182</v>
      </c>
      <c r="M2360" s="14" t="n">
        <v>0</v>
      </c>
      <c r="N2360" s="14" t="n">
        <v>419505.9553343828</v>
      </c>
      <c r="O2360" s="14" t="n">
        <v>745286.7618181118</v>
      </c>
      <c r="P2360" s="14" t="n">
        <v>46345.31336610083</v>
      </c>
      <c r="Q2360" s="14" t="n">
        <v>3128694.15578619</v>
      </c>
      <c r="R2360" s="15">
        <f>IF(D2360=1,"Section 1","Control")</f>
        <v/>
      </c>
      <c r="S2360" s="16">
        <f>N2360/10000</f>
        <v/>
      </c>
      <c r="T2360" s="16">
        <f>P2360/10000</f>
        <v/>
      </c>
      <c r="U2360" s="15">
        <f>IF(N2360&gt;=Summary!$D$3,1,0)</f>
        <v/>
      </c>
      <c r="V2360" s="17">
        <f>IF(N2360&gt;0,P2360/N2360,"")</f>
        <v/>
      </c>
      <c r="W2360" s="17">
        <f>IF(O2360&gt;0,H2360/O2360,"")</f>
        <v/>
      </c>
    </row>
    <row r="2361">
      <c r="A2361" s="13" t="inlineStr">
        <is>
          <t>CE38_B2</t>
        </is>
      </c>
      <c r="B2361" s="13" t="inlineStr">
        <is>
          <t>CE38</t>
        </is>
      </c>
      <c r="C2361" s="13" t="inlineStr">
        <is>
          <t>B2</t>
        </is>
      </c>
      <c r="D2361" s="13" t="n">
        <v>0</v>
      </c>
      <c r="E2361" s="13" t="inlineStr">
        <is>
          <t>E</t>
        </is>
      </c>
      <c r="F2361" s="13" t="n">
        <v>2020</v>
      </c>
      <c r="G2361" s="14" t="n">
        <v>975257.8068809658</v>
      </c>
      <c r="H2361" s="14" t="n">
        <v>376674.0282470404</v>
      </c>
      <c r="I2361" s="14" t="n">
        <v>110233.054775642</v>
      </c>
      <c r="J2361" s="14" t="n">
        <v>0</v>
      </c>
      <c r="K2361" s="14" t="n">
        <v>493.6692733764648</v>
      </c>
      <c r="L2361" s="14" t="n">
        <v>487857.054584907</v>
      </c>
      <c r="M2361" s="14" t="n">
        <v>0</v>
      </c>
      <c r="N2361" s="14" t="n">
        <v>376674.0282470404</v>
      </c>
      <c r="O2361" s="14" t="n">
        <v>487400.7522960588</v>
      </c>
      <c r="P2361" s="14" t="n">
        <v>0</v>
      </c>
      <c r="Q2361" s="14" t="n">
        <v>3003636.469664929</v>
      </c>
      <c r="R2361" s="15">
        <f>IF(D2361=1,"Section 1","Control")</f>
        <v/>
      </c>
      <c r="S2361" s="16">
        <f>N2361/10000</f>
        <v/>
      </c>
      <c r="T2361" s="16">
        <f>P2361/10000</f>
        <v/>
      </c>
      <c r="U2361" s="15">
        <f>IF(N2361&gt;=Summary!$D$3,1,0)</f>
        <v/>
      </c>
      <c r="V2361" s="17">
        <f>IF(N2361&gt;0,P2361/N2361,"")</f>
        <v/>
      </c>
      <c r="W2361" s="17">
        <f>IF(O2361&gt;0,H2361/O2361,"")</f>
        <v/>
      </c>
    </row>
    <row r="2362">
      <c r="A2362" s="13" t="inlineStr">
        <is>
          <t>CE38_B2</t>
        </is>
      </c>
      <c r="B2362" s="13" t="inlineStr">
        <is>
          <t>CE38</t>
        </is>
      </c>
      <c r="C2362" s="13" t="inlineStr">
        <is>
          <t>B2</t>
        </is>
      </c>
      <c r="D2362" s="13" t="n">
        <v>0</v>
      </c>
      <c r="E2362" s="13" t="inlineStr">
        <is>
          <t>E</t>
        </is>
      </c>
      <c r="F2362" s="13" t="n">
        <v>2021</v>
      </c>
      <c r="G2362" s="14" t="n">
        <v>975257.8068809658</v>
      </c>
      <c r="H2362" s="14" t="n">
        <v>298195.1947317385</v>
      </c>
      <c r="I2362" s="14" t="n">
        <v>176733.3172646018</v>
      </c>
      <c r="J2362" s="14" t="n">
        <v>0</v>
      </c>
      <c r="K2362" s="14" t="n">
        <v>12472.24029971852</v>
      </c>
      <c r="L2362" s="14" t="n">
        <v>487857.054584907</v>
      </c>
      <c r="M2362" s="14" t="n">
        <v>0</v>
      </c>
      <c r="N2362" s="14" t="n">
        <v>376674.0282470404</v>
      </c>
      <c r="O2362" s="14" t="n">
        <v>487400.7522960588</v>
      </c>
      <c r="P2362" s="14" t="n">
        <v>111190.2921973434</v>
      </c>
      <c r="Q2362" s="14" t="n">
        <v>3003636.469664929</v>
      </c>
      <c r="R2362" s="15">
        <f>IF(D2362=1,"Section 1","Control")</f>
        <v/>
      </c>
      <c r="S2362" s="16">
        <f>N2362/10000</f>
        <v/>
      </c>
      <c r="T2362" s="16">
        <f>P2362/10000</f>
        <v/>
      </c>
      <c r="U2362" s="15">
        <f>IF(N2362&gt;=Summary!$D$3,1,0)</f>
        <v/>
      </c>
      <c r="V2362" s="17">
        <f>IF(N2362&gt;0,P2362/N2362,"")</f>
        <v/>
      </c>
      <c r="W2362" s="17">
        <f>IF(O2362&gt;0,H2362/O2362,"")</f>
        <v/>
      </c>
    </row>
    <row r="2363">
      <c r="A2363" s="13" t="inlineStr">
        <is>
          <t>CE38_B2</t>
        </is>
      </c>
      <c r="B2363" s="13" t="inlineStr">
        <is>
          <t>CE38</t>
        </is>
      </c>
      <c r="C2363" s="13" t="inlineStr">
        <is>
          <t>B2</t>
        </is>
      </c>
      <c r="D2363" s="13" t="n">
        <v>0</v>
      </c>
      <c r="E2363" s="13" t="inlineStr">
        <is>
          <t>E</t>
        </is>
      </c>
      <c r="F2363" s="13" t="n">
        <v>2022</v>
      </c>
      <c r="G2363" s="14" t="n">
        <v>975257.8068809658</v>
      </c>
      <c r="H2363" s="14" t="n">
        <v>152686.8546062694</v>
      </c>
      <c r="I2363" s="14" t="n">
        <v>328897.1162944718</v>
      </c>
      <c r="J2363" s="14" t="n">
        <v>0</v>
      </c>
      <c r="K2363" s="14" t="n">
        <v>5816.781395317525</v>
      </c>
      <c r="L2363" s="14" t="n">
        <v>487857.054584907</v>
      </c>
      <c r="M2363" s="14" t="n">
        <v>0</v>
      </c>
      <c r="N2363" s="14" t="n">
        <v>376674.0282470404</v>
      </c>
      <c r="O2363" s="14" t="n">
        <v>487400.7522960588</v>
      </c>
      <c r="P2363" s="14" t="n">
        <v>227052.5665478576</v>
      </c>
      <c r="Q2363" s="14" t="n">
        <v>3003636.469664929</v>
      </c>
      <c r="R2363" s="15">
        <f>IF(D2363=1,"Section 1","Control")</f>
        <v/>
      </c>
      <c r="S2363" s="16">
        <f>N2363/10000</f>
        <v/>
      </c>
      <c r="T2363" s="16">
        <f>P2363/10000</f>
        <v/>
      </c>
      <c r="U2363" s="15">
        <f>IF(N2363&gt;=Summary!$D$3,1,0)</f>
        <v/>
      </c>
      <c r="V2363" s="17">
        <f>IF(N2363&gt;0,P2363/N2363,"")</f>
        <v/>
      </c>
      <c r="W2363" s="17">
        <f>IF(O2363&gt;0,H2363/O2363,"")</f>
        <v/>
      </c>
    </row>
    <row r="2364">
      <c r="A2364" s="13" t="inlineStr">
        <is>
          <t>CE38_B2</t>
        </is>
      </c>
      <c r="B2364" s="13" t="inlineStr">
        <is>
          <t>CE38</t>
        </is>
      </c>
      <c r="C2364" s="13" t="inlineStr">
        <is>
          <t>B2</t>
        </is>
      </c>
      <c r="D2364" s="13" t="n">
        <v>0</v>
      </c>
      <c r="E2364" s="13" t="inlineStr">
        <is>
          <t>E</t>
        </is>
      </c>
      <c r="F2364" s="13" t="n">
        <v>2023</v>
      </c>
      <c r="G2364" s="14" t="n">
        <v>975257.8068809658</v>
      </c>
      <c r="H2364" s="14" t="n">
        <v>166961.7780901441</v>
      </c>
      <c r="I2364" s="14" t="n">
        <v>311906.4308090808</v>
      </c>
      <c r="J2364" s="14" t="n">
        <v>0</v>
      </c>
      <c r="K2364" s="14" t="n">
        <v>8532.543396833831</v>
      </c>
      <c r="L2364" s="14" t="n">
        <v>487857.054584907</v>
      </c>
      <c r="M2364" s="14" t="n">
        <v>0</v>
      </c>
      <c r="N2364" s="14" t="n">
        <v>376674.0282470404</v>
      </c>
      <c r="O2364" s="14" t="n">
        <v>487400.7522960588</v>
      </c>
      <c r="P2364" s="14" t="n">
        <v>213548.9303367166</v>
      </c>
      <c r="Q2364" s="14" t="n">
        <v>3003636.469664929</v>
      </c>
      <c r="R2364" s="15">
        <f>IF(D2364=1,"Section 1","Control")</f>
        <v/>
      </c>
      <c r="S2364" s="16">
        <f>N2364/10000</f>
        <v/>
      </c>
      <c r="T2364" s="16">
        <f>P2364/10000</f>
        <v/>
      </c>
      <c r="U2364" s="15">
        <f>IF(N2364&gt;=Summary!$D$3,1,0)</f>
        <v/>
      </c>
      <c r="V2364" s="17">
        <f>IF(N2364&gt;0,P2364/N2364,"")</f>
        <v/>
      </c>
      <c r="W2364" s="17">
        <f>IF(O2364&gt;0,H2364/O2364,"")</f>
        <v/>
      </c>
    </row>
    <row r="2365">
      <c r="A2365" s="13" t="inlineStr">
        <is>
          <t>CE38_B2</t>
        </is>
      </c>
      <c r="B2365" s="13" t="inlineStr">
        <is>
          <t>CE38</t>
        </is>
      </c>
      <c r="C2365" s="13" t="inlineStr">
        <is>
          <t>B2</t>
        </is>
      </c>
      <c r="D2365" s="13" t="n">
        <v>0</v>
      </c>
      <c r="E2365" s="13" t="inlineStr">
        <is>
          <t>E</t>
        </is>
      </c>
      <c r="F2365" s="13" t="n">
        <v>2024</v>
      </c>
      <c r="G2365" s="14" t="n">
        <v>975257.8068809658</v>
      </c>
      <c r="H2365" s="14" t="n">
        <v>328428.0355974683</v>
      </c>
      <c r="I2365" s="14" t="n">
        <v>151420.5443794101</v>
      </c>
      <c r="J2365" s="14" t="n">
        <v>0</v>
      </c>
      <c r="K2365" s="14" t="n">
        <v>7552.172319180358</v>
      </c>
      <c r="L2365" s="14" t="n">
        <v>487857.054584907</v>
      </c>
      <c r="M2365" s="14" t="n">
        <v>0</v>
      </c>
      <c r="N2365" s="14" t="n">
        <v>376674.0282470404</v>
      </c>
      <c r="O2365" s="14" t="n">
        <v>487400.7522960588</v>
      </c>
      <c r="P2365" s="14" t="n">
        <v>93472.27730288038</v>
      </c>
      <c r="Q2365" s="14" t="n">
        <v>3003636.469664929</v>
      </c>
      <c r="R2365" s="15">
        <f>IF(D2365=1,"Section 1","Control")</f>
        <v/>
      </c>
      <c r="S2365" s="16">
        <f>N2365/10000</f>
        <v/>
      </c>
      <c r="T2365" s="16">
        <f>P2365/10000</f>
        <v/>
      </c>
      <c r="U2365" s="15">
        <f>IF(N2365&gt;=Summary!$D$3,1,0)</f>
        <v/>
      </c>
      <c r="V2365" s="17">
        <f>IF(N2365&gt;0,P2365/N2365,"")</f>
        <v/>
      </c>
      <c r="W2365" s="17">
        <f>IF(O2365&gt;0,H2365/O2365,"")</f>
        <v/>
      </c>
    </row>
    <row r="2366">
      <c r="A2366" s="13" t="inlineStr">
        <is>
          <t>CE38_B2</t>
        </is>
      </c>
      <c r="B2366" s="13" t="inlineStr">
        <is>
          <t>CE38</t>
        </is>
      </c>
      <c r="C2366" s="13" t="inlineStr">
        <is>
          <t>B2</t>
        </is>
      </c>
      <c r="D2366" s="13" t="n">
        <v>0</v>
      </c>
      <c r="E2366" s="13" t="inlineStr">
        <is>
          <t>E</t>
        </is>
      </c>
      <c r="F2366" s="13" t="n">
        <v>2025</v>
      </c>
      <c r="G2366" s="14" t="n">
        <v>975257.8068809658</v>
      </c>
      <c r="H2366" s="14" t="n">
        <v>255720.9015131931</v>
      </c>
      <c r="I2366" s="14" t="n">
        <v>224547.4171174293</v>
      </c>
      <c r="J2366" s="14" t="n">
        <v>0</v>
      </c>
      <c r="K2366" s="14" t="n">
        <v>7132.43366543639</v>
      </c>
      <c r="L2366" s="14" t="n">
        <v>487857.054584907</v>
      </c>
      <c r="M2366" s="14" t="n">
        <v>0</v>
      </c>
      <c r="N2366" s="14" t="n">
        <v>376674.0282470404</v>
      </c>
      <c r="O2366" s="14" t="n">
        <v>487400.7522960588</v>
      </c>
      <c r="P2366" s="14" t="n">
        <v>154482.7412848977</v>
      </c>
      <c r="Q2366" s="14" t="n">
        <v>3003636.469664929</v>
      </c>
      <c r="R2366" s="15">
        <f>IF(D2366=1,"Section 1","Control")</f>
        <v/>
      </c>
      <c r="S2366" s="16">
        <f>N2366/10000</f>
        <v/>
      </c>
      <c r="T2366" s="16">
        <f>P2366/10000</f>
        <v/>
      </c>
      <c r="U2366" s="15">
        <f>IF(N2366&gt;=Summary!$D$3,1,0)</f>
        <v/>
      </c>
      <c r="V2366" s="17">
        <f>IF(N2366&gt;0,P2366/N2366,"")</f>
        <v/>
      </c>
      <c r="W2366" s="17">
        <f>IF(O2366&gt;0,H2366/O2366,"")</f>
        <v/>
      </c>
    </row>
    <row r="2367">
      <c r="A2367" s="13" t="inlineStr">
        <is>
          <t>CE38_B2</t>
        </is>
      </c>
      <c r="B2367" s="13" t="inlineStr">
        <is>
          <t>CE38</t>
        </is>
      </c>
      <c r="C2367" s="13" t="inlineStr">
        <is>
          <t>B2</t>
        </is>
      </c>
      <c r="D2367" s="13" t="n">
        <v>0</v>
      </c>
      <c r="E2367" s="13" t="inlineStr">
        <is>
          <t>E</t>
        </is>
      </c>
      <c r="F2367" s="13" t="n">
        <v>2026</v>
      </c>
      <c r="G2367" s="14" t="n">
        <v>975257.8068809658</v>
      </c>
      <c r="H2367" s="14" t="n">
        <v>245294.6695237702</v>
      </c>
      <c r="I2367" s="14" t="n">
        <v>234397.1153035781</v>
      </c>
      <c r="J2367" s="14" t="n">
        <v>0</v>
      </c>
      <c r="K2367" s="14" t="n">
        <v>7708.967468710507</v>
      </c>
      <c r="L2367" s="14" t="n">
        <v>487857.054584907</v>
      </c>
      <c r="M2367" s="14" t="n">
        <v>0</v>
      </c>
      <c r="N2367" s="14" t="n">
        <v>376674.0282470404</v>
      </c>
      <c r="O2367" s="14" t="n">
        <v>487400.7522960588</v>
      </c>
      <c r="P2367" s="14" t="n">
        <v>166903.0256303974</v>
      </c>
      <c r="Q2367" s="14" t="n">
        <v>3003636.469664929</v>
      </c>
      <c r="R2367" s="15">
        <f>IF(D2367=1,"Section 1","Control")</f>
        <v/>
      </c>
      <c r="S2367" s="16">
        <f>N2367/10000</f>
        <v/>
      </c>
      <c r="T2367" s="16">
        <f>P2367/10000</f>
        <v/>
      </c>
      <c r="U2367" s="15">
        <f>IF(N2367&gt;=Summary!$D$3,1,0)</f>
        <v/>
      </c>
      <c r="V2367" s="17">
        <f>IF(N2367&gt;0,P2367/N2367,"")</f>
        <v/>
      </c>
      <c r="W2367" s="17">
        <f>IF(O2367&gt;0,H2367/O2367,"")</f>
        <v/>
      </c>
    </row>
    <row r="2368">
      <c r="A2368" s="13" t="inlineStr">
        <is>
          <t>CE38_B3</t>
        </is>
      </c>
      <c r="B2368" s="13" t="inlineStr">
        <is>
          <t>CE38</t>
        </is>
      </c>
      <c r="C2368" s="13" t="inlineStr">
        <is>
          <t>B3</t>
        </is>
      </c>
      <c r="D2368" s="13" t="n">
        <v>0</v>
      </c>
      <c r="E2368" s="13" t="inlineStr">
        <is>
          <t>E</t>
        </is>
      </c>
      <c r="F2368" s="13" t="n">
        <v>2020</v>
      </c>
      <c r="G2368" s="14" t="n">
        <v>7801322.033051854</v>
      </c>
      <c r="H2368" s="14" t="n">
        <v>2662135.639005923</v>
      </c>
      <c r="I2368" s="14" t="n">
        <v>690149.0072895723</v>
      </c>
      <c r="J2368" s="14" t="n">
        <v>0</v>
      </c>
      <c r="K2368" s="14" t="n">
        <v>15717.85417004754</v>
      </c>
      <c r="L2368" s="14" t="n">
        <v>4433319.532586311</v>
      </c>
      <c r="M2368" s="14" t="n">
        <v>0</v>
      </c>
      <c r="N2368" s="14" t="n">
        <v>2662135.639005923</v>
      </c>
      <c r="O2368" s="14" t="n">
        <v>3368002.500465543</v>
      </c>
      <c r="P2368" s="14" t="n">
        <v>0</v>
      </c>
      <c r="Q2368" s="14" t="n">
        <v>29438363.89473954</v>
      </c>
      <c r="R2368" s="15">
        <f>IF(D2368=1,"Section 1","Control")</f>
        <v/>
      </c>
      <c r="S2368" s="16">
        <f>N2368/10000</f>
        <v/>
      </c>
      <c r="T2368" s="16">
        <f>P2368/10000</f>
        <v/>
      </c>
      <c r="U2368" s="15">
        <f>IF(N2368&gt;=Summary!$D$3,1,0)</f>
        <v/>
      </c>
      <c r="V2368" s="17">
        <f>IF(N2368&gt;0,P2368/N2368,"")</f>
        <v/>
      </c>
      <c r="W2368" s="17">
        <f>IF(O2368&gt;0,H2368/O2368,"")</f>
        <v/>
      </c>
    </row>
    <row r="2369">
      <c r="A2369" s="13" t="inlineStr">
        <is>
          <t>CE38_B3</t>
        </is>
      </c>
      <c r="B2369" s="13" t="inlineStr">
        <is>
          <t>CE38</t>
        </is>
      </c>
      <c r="C2369" s="13" t="inlineStr">
        <is>
          <t>B3</t>
        </is>
      </c>
      <c r="D2369" s="13" t="n">
        <v>0</v>
      </c>
      <c r="E2369" s="13" t="inlineStr">
        <is>
          <t>E</t>
        </is>
      </c>
      <c r="F2369" s="13" t="n">
        <v>2021</v>
      </c>
      <c r="G2369" s="14" t="n">
        <v>7801322.033051852</v>
      </c>
      <c r="H2369" s="14" t="n">
        <v>2283435.610870182</v>
      </c>
      <c r="I2369" s="14" t="n">
        <v>812910.9381225586</v>
      </c>
      <c r="J2369" s="14" t="n">
        <v>0</v>
      </c>
      <c r="K2369" s="14" t="n">
        <v>301660.2533551982</v>
      </c>
      <c r="L2369" s="14" t="n">
        <v>4403315.230703915</v>
      </c>
      <c r="M2369" s="14" t="n">
        <v>0</v>
      </c>
      <c r="N2369" s="14" t="n">
        <v>2662135.639005923</v>
      </c>
      <c r="O2369" s="14" t="n">
        <v>3368002.500465543</v>
      </c>
      <c r="P2369" s="14" t="n">
        <v>412777.7470353669</v>
      </c>
      <c r="Q2369" s="14" t="n">
        <v>29438363.89473954</v>
      </c>
      <c r="R2369" s="15">
        <f>IF(D2369=1,"Section 1","Control")</f>
        <v/>
      </c>
      <c r="S2369" s="16">
        <f>N2369/10000</f>
        <v/>
      </c>
      <c r="T2369" s="16">
        <f>P2369/10000</f>
        <v/>
      </c>
      <c r="U2369" s="15">
        <f>IF(N2369&gt;=Summary!$D$3,1,0)</f>
        <v/>
      </c>
      <c r="V2369" s="17">
        <f>IF(N2369&gt;0,P2369/N2369,"")</f>
        <v/>
      </c>
      <c r="W2369" s="17">
        <f>IF(O2369&gt;0,H2369/O2369,"")</f>
        <v/>
      </c>
    </row>
    <row r="2370">
      <c r="A2370" s="13" t="inlineStr">
        <is>
          <t>CE38_B3</t>
        </is>
      </c>
      <c r="B2370" s="13" t="inlineStr">
        <is>
          <t>CE38</t>
        </is>
      </c>
      <c r="C2370" s="13" t="inlineStr">
        <is>
          <t>B3</t>
        </is>
      </c>
      <c r="D2370" s="13" t="n">
        <v>0</v>
      </c>
      <c r="E2370" s="13" t="inlineStr">
        <is>
          <t>E</t>
        </is>
      </c>
      <c r="F2370" s="13" t="n">
        <v>2022</v>
      </c>
      <c r="G2370" s="14" t="n">
        <v>7801322.033051853</v>
      </c>
      <c r="H2370" s="14" t="n">
        <v>2000752.630993892</v>
      </c>
      <c r="I2370" s="14" t="n">
        <v>1173787.272653976</v>
      </c>
      <c r="J2370" s="14" t="n">
        <v>0</v>
      </c>
      <c r="K2370" s="14" t="n">
        <v>197594.0567511465</v>
      </c>
      <c r="L2370" s="14" t="n">
        <v>4429188.072652839</v>
      </c>
      <c r="M2370" s="14" t="n">
        <v>0</v>
      </c>
      <c r="N2370" s="14" t="n">
        <v>2662135.639005923</v>
      </c>
      <c r="O2370" s="14" t="n">
        <v>3368002.500465543</v>
      </c>
      <c r="P2370" s="14" t="n">
        <v>667362.5550779755</v>
      </c>
      <c r="Q2370" s="14" t="n">
        <v>29438363.89473955</v>
      </c>
      <c r="R2370" s="15">
        <f>IF(D2370=1,"Section 1","Control")</f>
        <v/>
      </c>
      <c r="S2370" s="16">
        <f>N2370/10000</f>
        <v/>
      </c>
      <c r="T2370" s="16">
        <f>P2370/10000</f>
        <v/>
      </c>
      <c r="U2370" s="15">
        <f>IF(N2370&gt;=Summary!$D$3,1,0)</f>
        <v/>
      </c>
      <c r="V2370" s="17">
        <f>IF(N2370&gt;0,P2370/N2370,"")</f>
        <v/>
      </c>
      <c r="W2370" s="17">
        <f>IF(O2370&gt;0,H2370/O2370,"")</f>
        <v/>
      </c>
    </row>
    <row r="2371">
      <c r="A2371" s="13" t="inlineStr">
        <is>
          <t>CE38_B3</t>
        </is>
      </c>
      <c r="B2371" s="13" t="inlineStr">
        <is>
          <t>CE38</t>
        </is>
      </c>
      <c r="C2371" s="13" t="inlineStr">
        <is>
          <t>B3</t>
        </is>
      </c>
      <c r="D2371" s="13" t="n">
        <v>0</v>
      </c>
      <c r="E2371" s="13" t="inlineStr">
        <is>
          <t>E</t>
        </is>
      </c>
      <c r="F2371" s="13" t="n">
        <v>2023</v>
      </c>
      <c r="G2371" s="14" t="n">
        <v>7801322.033051852</v>
      </c>
      <c r="H2371" s="14" t="n">
        <v>2029977.300356756</v>
      </c>
      <c r="I2371" s="14" t="n">
        <v>1142952.615190363</v>
      </c>
      <c r="J2371" s="14" t="n">
        <v>0</v>
      </c>
      <c r="K2371" s="14" t="n">
        <v>188147.7032451256</v>
      </c>
      <c r="L2371" s="14" t="n">
        <v>4440244.414259608</v>
      </c>
      <c r="M2371" s="14" t="n">
        <v>0</v>
      </c>
      <c r="N2371" s="14" t="n">
        <v>2662135.639005923</v>
      </c>
      <c r="O2371" s="14" t="n">
        <v>3368002.500465543</v>
      </c>
      <c r="P2371" s="14" t="n">
        <v>641580.2407761517</v>
      </c>
      <c r="Q2371" s="14" t="n">
        <v>29438363.89473954</v>
      </c>
      <c r="R2371" s="15">
        <f>IF(D2371=1,"Section 1","Control")</f>
        <v/>
      </c>
      <c r="S2371" s="16">
        <f>N2371/10000</f>
        <v/>
      </c>
      <c r="T2371" s="16">
        <f>P2371/10000</f>
        <v/>
      </c>
      <c r="U2371" s="15">
        <f>IF(N2371&gt;=Summary!$D$3,1,0)</f>
        <v/>
      </c>
      <c r="V2371" s="17">
        <f>IF(N2371&gt;0,P2371/N2371,"")</f>
        <v/>
      </c>
      <c r="W2371" s="17">
        <f>IF(O2371&gt;0,H2371/O2371,"")</f>
        <v/>
      </c>
    </row>
    <row r="2372">
      <c r="A2372" s="13" t="inlineStr">
        <is>
          <t>CE38_B3</t>
        </is>
      </c>
      <c r="B2372" s="13" t="inlineStr">
        <is>
          <t>CE38</t>
        </is>
      </c>
      <c r="C2372" s="13" t="inlineStr">
        <is>
          <t>B3</t>
        </is>
      </c>
      <c r="D2372" s="13" t="n">
        <v>0</v>
      </c>
      <c r="E2372" s="13" t="inlineStr">
        <is>
          <t>E</t>
        </is>
      </c>
      <c r="F2372" s="13" t="n">
        <v>2024</v>
      </c>
      <c r="G2372" s="14" t="n">
        <v>7801322.033051853</v>
      </c>
      <c r="H2372" s="14" t="n">
        <v>2310365.639954451</v>
      </c>
      <c r="I2372" s="14" t="n">
        <v>936118.4034828336</v>
      </c>
      <c r="J2372" s="14" t="n">
        <v>0</v>
      </c>
      <c r="K2372" s="14" t="n">
        <v>124903.8533814374</v>
      </c>
      <c r="L2372" s="14" t="n">
        <v>4429934.136233131</v>
      </c>
      <c r="M2372" s="14" t="n">
        <v>0</v>
      </c>
      <c r="N2372" s="14" t="n">
        <v>2662135.639005923</v>
      </c>
      <c r="O2372" s="14" t="n">
        <v>3368002.500465543</v>
      </c>
      <c r="P2372" s="14" t="n">
        <v>422266.9745939068</v>
      </c>
      <c r="Q2372" s="14" t="n">
        <v>29438363.89473954</v>
      </c>
      <c r="R2372" s="15">
        <f>IF(D2372=1,"Section 1","Control")</f>
        <v/>
      </c>
      <c r="S2372" s="16">
        <f>N2372/10000</f>
        <v/>
      </c>
      <c r="T2372" s="16">
        <f>P2372/10000</f>
        <v/>
      </c>
      <c r="U2372" s="15">
        <f>IF(N2372&gt;=Summary!$D$3,1,0)</f>
        <v/>
      </c>
      <c r="V2372" s="17">
        <f>IF(N2372&gt;0,P2372/N2372,"")</f>
        <v/>
      </c>
      <c r="W2372" s="17">
        <f>IF(O2372&gt;0,H2372/O2372,"")</f>
        <v/>
      </c>
    </row>
    <row r="2373">
      <c r="A2373" s="13" t="inlineStr">
        <is>
          <t>CE38_B3</t>
        </is>
      </c>
      <c r="B2373" s="13" t="inlineStr">
        <is>
          <t>CE38</t>
        </is>
      </c>
      <c r="C2373" s="13" t="inlineStr">
        <is>
          <t>B3</t>
        </is>
      </c>
      <c r="D2373" s="13" t="n">
        <v>0</v>
      </c>
      <c r="E2373" s="13" t="inlineStr">
        <is>
          <t>E</t>
        </is>
      </c>
      <c r="F2373" s="13" t="n">
        <v>2025</v>
      </c>
      <c r="G2373" s="14" t="n">
        <v>7801322.033051854</v>
      </c>
      <c r="H2373" s="14" t="n">
        <v>2373932.289159229</v>
      </c>
      <c r="I2373" s="14" t="n">
        <v>867361.3965648278</v>
      </c>
      <c r="J2373" s="14" t="n">
        <v>0</v>
      </c>
      <c r="K2373" s="14" t="n">
        <v>121772.4235671698</v>
      </c>
      <c r="L2373" s="14" t="n">
        <v>4438255.923760627</v>
      </c>
      <c r="M2373" s="14" t="n">
        <v>0</v>
      </c>
      <c r="N2373" s="14" t="n">
        <v>2662135.639005923</v>
      </c>
      <c r="O2373" s="14" t="n">
        <v>3368002.500465543</v>
      </c>
      <c r="P2373" s="14" t="n">
        <v>415662.0227056766</v>
      </c>
      <c r="Q2373" s="14" t="n">
        <v>29438363.89473954</v>
      </c>
      <c r="R2373" s="15">
        <f>IF(D2373=1,"Section 1","Control")</f>
        <v/>
      </c>
      <c r="S2373" s="16">
        <f>N2373/10000</f>
        <v/>
      </c>
      <c r="T2373" s="16">
        <f>P2373/10000</f>
        <v/>
      </c>
      <c r="U2373" s="15">
        <f>IF(N2373&gt;=Summary!$D$3,1,0)</f>
        <v/>
      </c>
      <c r="V2373" s="17">
        <f>IF(N2373&gt;0,P2373/N2373,"")</f>
        <v/>
      </c>
      <c r="W2373" s="17">
        <f>IF(O2373&gt;0,H2373/O2373,"")</f>
        <v/>
      </c>
    </row>
    <row r="2374">
      <c r="A2374" s="13" t="inlineStr">
        <is>
          <t>CE38_B3</t>
        </is>
      </c>
      <c r="B2374" s="13" t="inlineStr">
        <is>
          <t>CE38</t>
        </is>
      </c>
      <c r="C2374" s="13" t="inlineStr">
        <is>
          <t>B3</t>
        </is>
      </c>
      <c r="D2374" s="13" t="n">
        <v>0</v>
      </c>
      <c r="E2374" s="13" t="inlineStr">
        <is>
          <t>E</t>
        </is>
      </c>
      <c r="F2374" s="13" t="n">
        <v>2026</v>
      </c>
      <c r="G2374" s="14" t="n">
        <v>7801322.033051852</v>
      </c>
      <c r="H2374" s="14" t="n">
        <v>2404547.268681246</v>
      </c>
      <c r="I2374" s="14" t="n">
        <v>847093.1595362944</v>
      </c>
      <c r="J2374" s="14" t="n">
        <v>0</v>
      </c>
      <c r="K2374" s="14" t="n">
        <v>106958.1475437538</v>
      </c>
      <c r="L2374" s="14" t="n">
        <v>4442723.45729056</v>
      </c>
      <c r="M2374" s="14" t="n">
        <v>0</v>
      </c>
      <c r="N2374" s="14" t="n">
        <v>2662135.639005923</v>
      </c>
      <c r="O2374" s="14" t="n">
        <v>3368002.500465543</v>
      </c>
      <c r="P2374" s="14" t="n">
        <v>448530.2159910913</v>
      </c>
      <c r="Q2374" s="14" t="n">
        <v>29438363.89473954</v>
      </c>
      <c r="R2374" s="15">
        <f>IF(D2374=1,"Section 1","Control")</f>
        <v/>
      </c>
      <c r="S2374" s="16">
        <f>N2374/10000</f>
        <v/>
      </c>
      <c r="T2374" s="16">
        <f>P2374/10000</f>
        <v/>
      </c>
      <c r="U2374" s="15">
        <f>IF(N2374&gt;=Summary!$D$3,1,0)</f>
        <v/>
      </c>
      <c r="V2374" s="17">
        <f>IF(N2374&gt;0,P2374/N2374,"")</f>
        <v/>
      </c>
      <c r="W2374" s="17">
        <f>IF(O2374&gt;0,H2374/O2374,"")</f>
        <v/>
      </c>
    </row>
    <row r="2375">
      <c r="A2375" s="13" t="inlineStr">
        <is>
          <t>CE38_F</t>
        </is>
      </c>
      <c r="B2375" s="13" t="inlineStr">
        <is>
          <t>CE38</t>
        </is>
      </c>
      <c r="C2375" s="13" t="inlineStr">
        <is>
          <t>F</t>
        </is>
      </c>
      <c r="D2375" s="13" t="n">
        <v>0</v>
      </c>
      <c r="E2375" s="13" t="inlineStr">
        <is>
          <t>E</t>
        </is>
      </c>
      <c r="F2375" s="13" t="n">
        <v>2020</v>
      </c>
      <c r="G2375" s="14" t="n">
        <v>67538.2745625814</v>
      </c>
      <c r="H2375" s="14" t="n">
        <v>24923.43418034572</v>
      </c>
      <c r="I2375" s="14" t="n">
        <v>34298.63028851678</v>
      </c>
      <c r="J2375" s="14" t="n">
        <v>0</v>
      </c>
      <c r="K2375" s="14" t="n">
        <v>8316.210093718884</v>
      </c>
      <c r="L2375" s="14" t="n">
        <v>0</v>
      </c>
      <c r="M2375" s="14" t="n">
        <v>0</v>
      </c>
      <c r="N2375" s="14" t="n">
        <v>24923.43418034572</v>
      </c>
      <c r="O2375" s="14" t="n">
        <v>67538.2745625814</v>
      </c>
      <c r="P2375" s="14" t="n">
        <v>0</v>
      </c>
      <c r="Q2375" s="14" t="n">
        <v>79436.33110926008</v>
      </c>
      <c r="R2375" s="15">
        <f>IF(D2375=1,"Section 1","Control")</f>
        <v/>
      </c>
      <c r="S2375" s="16">
        <f>N2375/10000</f>
        <v/>
      </c>
      <c r="T2375" s="16">
        <f>P2375/10000</f>
        <v/>
      </c>
      <c r="U2375" s="15">
        <f>IF(N2375&gt;=Summary!$D$3,1,0)</f>
        <v/>
      </c>
      <c r="V2375" s="17">
        <f>IF(N2375&gt;0,P2375/N2375,"")</f>
        <v/>
      </c>
      <c r="W2375" s="17">
        <f>IF(O2375&gt;0,H2375/O2375,"")</f>
        <v/>
      </c>
    </row>
    <row r="2376">
      <c r="A2376" s="13" t="inlineStr">
        <is>
          <t>CE38_F</t>
        </is>
      </c>
      <c r="B2376" s="13" t="inlineStr">
        <is>
          <t>CE38</t>
        </is>
      </c>
      <c r="C2376" s="13" t="inlineStr">
        <is>
          <t>F</t>
        </is>
      </c>
      <c r="D2376" s="13" t="n">
        <v>0</v>
      </c>
      <c r="E2376" s="13" t="inlineStr">
        <is>
          <t>E</t>
        </is>
      </c>
      <c r="F2376" s="13" t="n">
        <v>2021</v>
      </c>
      <c r="G2376" s="14" t="n">
        <v>67538.2745625814</v>
      </c>
      <c r="H2376" s="14" t="n">
        <v>21756.94111283246</v>
      </c>
      <c r="I2376" s="14" t="n">
        <v>28803.53401028502</v>
      </c>
      <c r="J2376" s="14" t="n">
        <v>0</v>
      </c>
      <c r="K2376" s="14" t="n">
        <v>16977.7994394639</v>
      </c>
      <c r="L2376" s="14" t="n">
        <v>0</v>
      </c>
      <c r="M2376" s="14" t="n">
        <v>0</v>
      </c>
      <c r="N2376" s="14" t="n">
        <v>24923.43418034572</v>
      </c>
      <c r="O2376" s="14" t="n">
        <v>67538.2745625814</v>
      </c>
      <c r="P2376" s="14" t="n">
        <v>6596.662228034525</v>
      </c>
      <c r="Q2376" s="14" t="n">
        <v>79436.33110926008</v>
      </c>
      <c r="R2376" s="15">
        <f>IF(D2376=1,"Section 1","Control")</f>
        <v/>
      </c>
      <c r="S2376" s="16">
        <f>N2376/10000</f>
        <v/>
      </c>
      <c r="T2376" s="16">
        <f>P2376/10000</f>
        <v/>
      </c>
      <c r="U2376" s="15">
        <f>IF(N2376&gt;=Summary!$D$3,1,0)</f>
        <v/>
      </c>
      <c r="V2376" s="17">
        <f>IF(N2376&gt;0,P2376/N2376,"")</f>
        <v/>
      </c>
      <c r="W2376" s="17">
        <f>IF(O2376&gt;0,H2376/O2376,"")</f>
        <v/>
      </c>
    </row>
    <row r="2377">
      <c r="A2377" s="13" t="inlineStr">
        <is>
          <t>CE38_F</t>
        </is>
      </c>
      <c r="B2377" s="13" t="inlineStr">
        <is>
          <t>CE38</t>
        </is>
      </c>
      <c r="C2377" s="13" t="inlineStr">
        <is>
          <t>F</t>
        </is>
      </c>
      <c r="D2377" s="13" t="n">
        <v>0</v>
      </c>
      <c r="E2377" s="13" t="inlineStr">
        <is>
          <t>E</t>
        </is>
      </c>
      <c r="F2377" s="13" t="n">
        <v>2022</v>
      </c>
      <c r="G2377" s="14" t="n">
        <v>67538.2745625814</v>
      </c>
      <c r="H2377" s="14" t="n">
        <v>15437.51098561006</v>
      </c>
      <c r="I2377" s="14" t="n">
        <v>31109.28517034194</v>
      </c>
      <c r="J2377" s="14" t="n">
        <v>0</v>
      </c>
      <c r="K2377" s="14" t="n">
        <v>20991.47840662938</v>
      </c>
      <c r="L2377" s="14" t="n">
        <v>0</v>
      </c>
      <c r="M2377" s="14" t="n">
        <v>0</v>
      </c>
      <c r="N2377" s="14" t="n">
        <v>24923.43418034572</v>
      </c>
      <c r="O2377" s="14" t="n">
        <v>67538.2745625814</v>
      </c>
      <c r="P2377" s="14" t="n">
        <v>10803.93799097398</v>
      </c>
      <c r="Q2377" s="14" t="n">
        <v>79436.33110926008</v>
      </c>
      <c r="R2377" s="15">
        <f>IF(D2377=1,"Section 1","Control")</f>
        <v/>
      </c>
      <c r="S2377" s="16">
        <f>N2377/10000</f>
        <v/>
      </c>
      <c r="T2377" s="16">
        <f>P2377/10000</f>
        <v/>
      </c>
      <c r="U2377" s="15">
        <f>IF(N2377&gt;=Summary!$D$3,1,0)</f>
        <v/>
      </c>
      <c r="V2377" s="17">
        <f>IF(N2377&gt;0,P2377/N2377,"")</f>
        <v/>
      </c>
      <c r="W2377" s="17">
        <f>IF(O2377&gt;0,H2377/O2377,"")</f>
        <v/>
      </c>
    </row>
    <row r="2378">
      <c r="A2378" s="13" t="inlineStr">
        <is>
          <t>CE38_F</t>
        </is>
      </c>
      <c r="B2378" s="13" t="inlineStr">
        <is>
          <t>CE38</t>
        </is>
      </c>
      <c r="C2378" s="13" t="inlineStr">
        <is>
          <t>F</t>
        </is>
      </c>
      <c r="D2378" s="13" t="n">
        <v>0</v>
      </c>
      <c r="E2378" s="13" t="inlineStr">
        <is>
          <t>E</t>
        </is>
      </c>
      <c r="F2378" s="13" t="n">
        <v>2023</v>
      </c>
      <c r="G2378" s="14" t="n">
        <v>67538.2745625814</v>
      </c>
      <c r="H2378" s="14" t="n">
        <v>11824.19559305228</v>
      </c>
      <c r="I2378" s="14" t="n">
        <v>39251.26071738449</v>
      </c>
      <c r="J2378" s="14" t="n">
        <v>0</v>
      </c>
      <c r="K2378" s="14" t="n">
        <v>16462.81825214461</v>
      </c>
      <c r="L2378" s="14" t="n">
        <v>0</v>
      </c>
      <c r="M2378" s="14" t="n">
        <v>0</v>
      </c>
      <c r="N2378" s="14" t="n">
        <v>24923.43418034572</v>
      </c>
      <c r="O2378" s="14" t="n">
        <v>67538.2745625814</v>
      </c>
      <c r="P2378" s="14" t="n">
        <v>14608.52750354842</v>
      </c>
      <c r="Q2378" s="14" t="n">
        <v>79436.33110926008</v>
      </c>
      <c r="R2378" s="15">
        <f>IF(D2378=1,"Section 1","Control")</f>
        <v/>
      </c>
      <c r="S2378" s="16">
        <f>N2378/10000</f>
        <v/>
      </c>
      <c r="T2378" s="16">
        <f>P2378/10000</f>
        <v/>
      </c>
      <c r="U2378" s="15">
        <f>IF(N2378&gt;=Summary!$D$3,1,0)</f>
        <v/>
      </c>
      <c r="V2378" s="17">
        <f>IF(N2378&gt;0,P2378/N2378,"")</f>
        <v/>
      </c>
      <c r="W2378" s="17">
        <f>IF(O2378&gt;0,H2378/O2378,"")</f>
        <v/>
      </c>
    </row>
    <row r="2379">
      <c r="A2379" s="13" t="inlineStr">
        <is>
          <t>CE38_F</t>
        </is>
      </c>
      <c r="B2379" s="13" t="inlineStr">
        <is>
          <t>CE38</t>
        </is>
      </c>
      <c r="C2379" s="13" t="inlineStr">
        <is>
          <t>F</t>
        </is>
      </c>
      <c r="D2379" s="13" t="n">
        <v>0</v>
      </c>
      <c r="E2379" s="13" t="inlineStr">
        <is>
          <t>E</t>
        </is>
      </c>
      <c r="F2379" s="13" t="n">
        <v>2024</v>
      </c>
      <c r="G2379" s="14" t="n">
        <v>67538.2745625814</v>
      </c>
      <c r="H2379" s="14" t="n">
        <v>12261.3482258217</v>
      </c>
      <c r="I2379" s="14" t="n">
        <v>33414.26217989453</v>
      </c>
      <c r="J2379" s="14" t="n">
        <v>0</v>
      </c>
      <c r="K2379" s="14" t="n">
        <v>21862.66415686514</v>
      </c>
      <c r="L2379" s="14" t="n">
        <v>0</v>
      </c>
      <c r="M2379" s="14" t="n">
        <v>0</v>
      </c>
      <c r="N2379" s="14" t="n">
        <v>24923.43418034572</v>
      </c>
      <c r="O2379" s="14" t="n">
        <v>67538.2745625814</v>
      </c>
      <c r="P2379" s="14" t="n">
        <v>14401.75932270125</v>
      </c>
      <c r="Q2379" s="14" t="n">
        <v>79436.33110926008</v>
      </c>
      <c r="R2379" s="15">
        <f>IF(D2379=1,"Section 1","Control")</f>
        <v/>
      </c>
      <c r="S2379" s="16">
        <f>N2379/10000</f>
        <v/>
      </c>
      <c r="T2379" s="16">
        <f>P2379/10000</f>
        <v/>
      </c>
      <c r="U2379" s="15">
        <f>IF(N2379&gt;=Summary!$D$3,1,0)</f>
        <v/>
      </c>
      <c r="V2379" s="17">
        <f>IF(N2379&gt;0,P2379/N2379,"")</f>
        <v/>
      </c>
      <c r="W2379" s="17">
        <f>IF(O2379&gt;0,H2379/O2379,"")</f>
        <v/>
      </c>
    </row>
    <row r="2380">
      <c r="A2380" s="13" t="inlineStr">
        <is>
          <t>CE38_F</t>
        </is>
      </c>
      <c r="B2380" s="13" t="inlineStr">
        <is>
          <t>CE38</t>
        </is>
      </c>
      <c r="C2380" s="13" t="inlineStr">
        <is>
          <t>F</t>
        </is>
      </c>
      <c r="D2380" s="13" t="n">
        <v>0</v>
      </c>
      <c r="E2380" s="13" t="inlineStr">
        <is>
          <t>E</t>
        </is>
      </c>
      <c r="F2380" s="13" t="n">
        <v>2025</v>
      </c>
      <c r="G2380" s="14" t="n">
        <v>67538.2745625814</v>
      </c>
      <c r="H2380" s="14" t="n">
        <v>13017.93438954073</v>
      </c>
      <c r="I2380" s="14" t="n">
        <v>39658.18897459741</v>
      </c>
      <c r="J2380" s="14" t="n">
        <v>0</v>
      </c>
      <c r="K2380" s="14" t="n">
        <v>14862.15119844324</v>
      </c>
      <c r="L2380" s="14" t="n">
        <v>0</v>
      </c>
      <c r="M2380" s="14" t="n">
        <v>0</v>
      </c>
      <c r="N2380" s="14" t="n">
        <v>24923.43418034572</v>
      </c>
      <c r="O2380" s="14" t="n">
        <v>67538.2745625814</v>
      </c>
      <c r="P2380" s="14" t="n">
        <v>14573.28593618355</v>
      </c>
      <c r="Q2380" s="14" t="n">
        <v>79436.33110926008</v>
      </c>
      <c r="R2380" s="15">
        <f>IF(D2380=1,"Section 1","Control")</f>
        <v/>
      </c>
      <c r="S2380" s="16">
        <f>N2380/10000</f>
        <v/>
      </c>
      <c r="T2380" s="16">
        <f>P2380/10000</f>
        <v/>
      </c>
      <c r="U2380" s="15">
        <f>IF(N2380&gt;=Summary!$D$3,1,0)</f>
        <v/>
      </c>
      <c r="V2380" s="17">
        <f>IF(N2380&gt;0,P2380/N2380,"")</f>
        <v/>
      </c>
      <c r="W2380" s="17">
        <f>IF(O2380&gt;0,H2380/O2380,"")</f>
        <v/>
      </c>
    </row>
    <row r="2381">
      <c r="A2381" s="13" t="inlineStr">
        <is>
          <t>CE38_F</t>
        </is>
      </c>
      <c r="B2381" s="13" t="inlineStr">
        <is>
          <t>CE38</t>
        </is>
      </c>
      <c r="C2381" s="13" t="inlineStr">
        <is>
          <t>F</t>
        </is>
      </c>
      <c r="D2381" s="13" t="n">
        <v>0</v>
      </c>
      <c r="E2381" s="13" t="inlineStr">
        <is>
          <t>E</t>
        </is>
      </c>
      <c r="F2381" s="13" t="n">
        <v>2026</v>
      </c>
      <c r="G2381" s="14" t="n">
        <v>67538.2745625814</v>
      </c>
      <c r="H2381" s="14" t="n">
        <v>20430.78836047602</v>
      </c>
      <c r="I2381" s="14" t="n">
        <v>36048.37989376292</v>
      </c>
      <c r="J2381" s="14" t="n">
        <v>0</v>
      </c>
      <c r="K2381" s="14" t="n">
        <v>11059.10630834243</v>
      </c>
      <c r="L2381" s="14" t="n">
        <v>0</v>
      </c>
      <c r="M2381" s="14" t="n">
        <v>0</v>
      </c>
      <c r="N2381" s="14" t="n">
        <v>24923.43418034572</v>
      </c>
      <c r="O2381" s="14" t="n">
        <v>67538.2745625814</v>
      </c>
      <c r="P2381" s="14" t="n">
        <v>10834.14225164675</v>
      </c>
      <c r="Q2381" s="14" t="n">
        <v>79436.33110926008</v>
      </c>
      <c r="R2381" s="15">
        <f>IF(D2381=1,"Section 1","Control")</f>
        <v/>
      </c>
      <c r="S2381" s="16">
        <f>N2381/10000</f>
        <v/>
      </c>
      <c r="T2381" s="16">
        <f>P2381/10000</f>
        <v/>
      </c>
      <c r="U2381" s="15">
        <f>IF(N2381&gt;=Summary!$D$3,1,0)</f>
        <v/>
      </c>
      <c r="V2381" s="17">
        <f>IF(N2381&gt;0,P2381/N2381,"")</f>
        <v/>
      </c>
      <c r="W2381" s="17">
        <f>IF(O2381&gt;0,H2381/O2381,"")</f>
        <v/>
      </c>
    </row>
    <row r="2382">
      <c r="A2382" s="13" t="inlineStr">
        <is>
          <t>CE39_B1</t>
        </is>
      </c>
      <c r="B2382" s="13" t="inlineStr">
        <is>
          <t>CE39</t>
        </is>
      </c>
      <c r="C2382" s="13" t="inlineStr">
        <is>
          <t>B1</t>
        </is>
      </c>
      <c r="D2382" s="13" t="n">
        <v>0</v>
      </c>
      <c r="E2382" s="13" t="inlineStr">
        <is>
          <t>E</t>
        </is>
      </c>
      <c r="F2382" s="13" t="n">
        <v>2020</v>
      </c>
      <c r="G2382" s="14" t="n">
        <v>1025436.443952732</v>
      </c>
      <c r="H2382" s="14" t="n">
        <v>492808.911119678</v>
      </c>
      <c r="I2382" s="14" t="n">
        <v>276154.676429928</v>
      </c>
      <c r="J2382" s="14" t="n">
        <v>0</v>
      </c>
      <c r="K2382" s="14" t="n">
        <v>16192.25005618824</v>
      </c>
      <c r="L2382" s="14" t="n">
        <v>240280.6063469381</v>
      </c>
      <c r="M2382" s="14" t="n">
        <v>0</v>
      </c>
      <c r="N2382" s="14" t="n">
        <v>492808.911119678</v>
      </c>
      <c r="O2382" s="14" t="n">
        <v>785155.8376057942</v>
      </c>
      <c r="P2382" s="14" t="n">
        <v>0</v>
      </c>
      <c r="Q2382" s="14" t="n">
        <v>3153654.625798364</v>
      </c>
      <c r="R2382" s="15">
        <f>IF(D2382=1,"Section 1","Control")</f>
        <v/>
      </c>
      <c r="S2382" s="16">
        <f>N2382/10000</f>
        <v/>
      </c>
      <c r="T2382" s="16">
        <f>P2382/10000</f>
        <v/>
      </c>
      <c r="U2382" s="15">
        <f>IF(N2382&gt;=Summary!$D$3,1,0)</f>
        <v/>
      </c>
      <c r="V2382" s="17">
        <f>IF(N2382&gt;0,P2382/N2382,"")</f>
        <v/>
      </c>
      <c r="W2382" s="17">
        <f>IF(O2382&gt;0,H2382/O2382,"")</f>
        <v/>
      </c>
    </row>
    <row r="2383">
      <c r="A2383" s="13" t="inlineStr">
        <is>
          <t>CE39_B1</t>
        </is>
      </c>
      <c r="B2383" s="13" t="inlineStr">
        <is>
          <t>CE39</t>
        </is>
      </c>
      <c r="C2383" s="13" t="inlineStr">
        <is>
          <t>B1</t>
        </is>
      </c>
      <c r="D2383" s="13" t="n">
        <v>0</v>
      </c>
      <c r="E2383" s="13" t="inlineStr">
        <is>
          <t>E</t>
        </is>
      </c>
      <c r="F2383" s="13" t="n">
        <v>2021</v>
      </c>
      <c r="G2383" s="14" t="n">
        <v>1025436.443952732</v>
      </c>
      <c r="H2383" s="14" t="n">
        <v>413582.1230280558</v>
      </c>
      <c r="I2383" s="14" t="n">
        <v>358742.1382076188</v>
      </c>
      <c r="J2383" s="14" t="n">
        <v>0</v>
      </c>
      <c r="K2383" s="14" t="n">
        <v>34693.71286235136</v>
      </c>
      <c r="L2383" s="14" t="n">
        <v>218418.4698547064</v>
      </c>
      <c r="M2383" s="14" t="n">
        <v>0</v>
      </c>
      <c r="N2383" s="14" t="n">
        <v>492808.911119678</v>
      </c>
      <c r="O2383" s="14" t="n">
        <v>785155.8376057942</v>
      </c>
      <c r="P2383" s="14" t="n">
        <v>89413.19044410856</v>
      </c>
      <c r="Q2383" s="14" t="n">
        <v>3153654.625798364</v>
      </c>
      <c r="R2383" s="15">
        <f>IF(D2383=1,"Section 1","Control")</f>
        <v/>
      </c>
      <c r="S2383" s="16">
        <f>N2383/10000</f>
        <v/>
      </c>
      <c r="T2383" s="16">
        <f>P2383/10000</f>
        <v/>
      </c>
      <c r="U2383" s="15">
        <f>IF(N2383&gt;=Summary!$D$3,1,0)</f>
        <v/>
      </c>
      <c r="V2383" s="17">
        <f>IF(N2383&gt;0,P2383/N2383,"")</f>
        <v/>
      </c>
      <c r="W2383" s="17">
        <f>IF(O2383&gt;0,H2383/O2383,"")</f>
        <v/>
      </c>
    </row>
    <row r="2384">
      <c r="A2384" s="13" t="inlineStr">
        <is>
          <t>CE39_B1</t>
        </is>
      </c>
      <c r="B2384" s="13" t="inlineStr">
        <is>
          <t>CE39</t>
        </is>
      </c>
      <c r="C2384" s="13" t="inlineStr">
        <is>
          <t>B1</t>
        </is>
      </c>
      <c r="D2384" s="13" t="n">
        <v>0</v>
      </c>
      <c r="E2384" s="13" t="inlineStr">
        <is>
          <t>E</t>
        </is>
      </c>
      <c r="F2384" s="13" t="n">
        <v>2022</v>
      </c>
      <c r="G2384" s="14" t="n">
        <v>1025436.443952732</v>
      </c>
      <c r="H2384" s="14" t="n">
        <v>442297.4725092869</v>
      </c>
      <c r="I2384" s="14" t="n">
        <v>333061.566605482</v>
      </c>
      <c r="J2384" s="14" t="n">
        <v>0</v>
      </c>
      <c r="K2384" s="14" t="n">
        <v>24755.49957254448</v>
      </c>
      <c r="L2384" s="14" t="n">
        <v>225321.9052654192</v>
      </c>
      <c r="M2384" s="14" t="n">
        <v>0</v>
      </c>
      <c r="N2384" s="14" t="n">
        <v>492808.911119678</v>
      </c>
      <c r="O2384" s="14" t="n">
        <v>785155.8376057942</v>
      </c>
      <c r="P2384" s="14" t="n">
        <v>62457.26814078536</v>
      </c>
      <c r="Q2384" s="14" t="n">
        <v>3153654.625798364</v>
      </c>
      <c r="R2384" s="15">
        <f>IF(D2384=1,"Section 1","Control")</f>
        <v/>
      </c>
      <c r="S2384" s="16">
        <f>N2384/10000</f>
        <v/>
      </c>
      <c r="T2384" s="16">
        <f>P2384/10000</f>
        <v/>
      </c>
      <c r="U2384" s="15">
        <f>IF(N2384&gt;=Summary!$D$3,1,0)</f>
        <v/>
      </c>
      <c r="V2384" s="17">
        <f>IF(N2384&gt;0,P2384/N2384,"")</f>
        <v/>
      </c>
      <c r="W2384" s="17">
        <f>IF(O2384&gt;0,H2384/O2384,"")</f>
        <v/>
      </c>
    </row>
    <row r="2385">
      <c r="A2385" s="13" t="inlineStr">
        <is>
          <t>CE39_B1</t>
        </is>
      </c>
      <c r="B2385" s="13" t="inlineStr">
        <is>
          <t>CE39</t>
        </is>
      </c>
      <c r="C2385" s="13" t="inlineStr">
        <is>
          <t>B1</t>
        </is>
      </c>
      <c r="D2385" s="13" t="n">
        <v>0</v>
      </c>
      <c r="E2385" s="13" t="inlineStr">
        <is>
          <t>E</t>
        </is>
      </c>
      <c r="F2385" s="13" t="n">
        <v>2023</v>
      </c>
      <c r="G2385" s="14" t="n">
        <v>1025436.443952732</v>
      </c>
      <c r="H2385" s="14" t="n">
        <v>419810.2097333721</v>
      </c>
      <c r="I2385" s="14" t="n">
        <v>362983.0582974005</v>
      </c>
      <c r="J2385" s="14" t="n">
        <v>0</v>
      </c>
      <c r="K2385" s="14" t="n">
        <v>22585.64820963542</v>
      </c>
      <c r="L2385" s="14" t="n">
        <v>220057.5277123245</v>
      </c>
      <c r="M2385" s="14" t="n">
        <v>0</v>
      </c>
      <c r="N2385" s="14" t="n">
        <v>492808.911119678</v>
      </c>
      <c r="O2385" s="14" t="n">
        <v>785155.8376057942</v>
      </c>
      <c r="P2385" s="14" t="n">
        <v>84246.02586511351</v>
      </c>
      <c r="Q2385" s="14" t="n">
        <v>3153654.625798364</v>
      </c>
      <c r="R2385" s="15">
        <f>IF(D2385=1,"Section 1","Control")</f>
        <v/>
      </c>
      <c r="S2385" s="16">
        <f>N2385/10000</f>
        <v/>
      </c>
      <c r="T2385" s="16">
        <f>P2385/10000</f>
        <v/>
      </c>
      <c r="U2385" s="15">
        <f>IF(N2385&gt;=Summary!$D$3,1,0)</f>
        <v/>
      </c>
      <c r="V2385" s="17">
        <f>IF(N2385&gt;0,P2385/N2385,"")</f>
        <v/>
      </c>
      <c r="W2385" s="17">
        <f>IF(O2385&gt;0,H2385/O2385,"")</f>
        <v/>
      </c>
    </row>
    <row r="2386">
      <c r="A2386" s="13" t="inlineStr">
        <is>
          <t>CE39_B1</t>
        </is>
      </c>
      <c r="B2386" s="13" t="inlineStr">
        <is>
          <t>CE39</t>
        </is>
      </c>
      <c r="C2386" s="13" t="inlineStr">
        <is>
          <t>B1</t>
        </is>
      </c>
      <c r="D2386" s="13" t="n">
        <v>0</v>
      </c>
      <c r="E2386" s="13" t="inlineStr">
        <is>
          <t>E</t>
        </is>
      </c>
      <c r="F2386" s="13" t="n">
        <v>2024</v>
      </c>
      <c r="G2386" s="14" t="n">
        <v>1025436.443952732</v>
      </c>
      <c r="H2386" s="14" t="n">
        <v>447515.7460245769</v>
      </c>
      <c r="I2386" s="14" t="n">
        <v>340117.1921175789</v>
      </c>
      <c r="J2386" s="14" t="n">
        <v>0</v>
      </c>
      <c r="K2386" s="14" t="n">
        <v>34136.94212667428</v>
      </c>
      <c r="L2386" s="14" t="n">
        <v>203666.5636839025</v>
      </c>
      <c r="M2386" s="14" t="n">
        <v>0</v>
      </c>
      <c r="N2386" s="14" t="n">
        <v>492808.911119678</v>
      </c>
      <c r="O2386" s="14" t="n">
        <v>785155.8376057942</v>
      </c>
      <c r="P2386" s="14" t="n">
        <v>66493.41706791299</v>
      </c>
      <c r="Q2386" s="14" t="n">
        <v>3153654.625798364</v>
      </c>
      <c r="R2386" s="15">
        <f>IF(D2386=1,"Section 1","Control")</f>
        <v/>
      </c>
      <c r="S2386" s="16">
        <f>N2386/10000</f>
        <v/>
      </c>
      <c r="T2386" s="16">
        <f>P2386/10000</f>
        <v/>
      </c>
      <c r="U2386" s="15">
        <f>IF(N2386&gt;=Summary!$D$3,1,0)</f>
        <v/>
      </c>
      <c r="V2386" s="17">
        <f>IF(N2386&gt;0,P2386/N2386,"")</f>
        <v/>
      </c>
      <c r="W2386" s="17">
        <f>IF(O2386&gt;0,H2386/O2386,"")</f>
        <v/>
      </c>
    </row>
    <row r="2387">
      <c r="A2387" s="13" t="inlineStr">
        <is>
          <t>CE39_B1</t>
        </is>
      </c>
      <c r="B2387" s="13" t="inlineStr">
        <is>
          <t>CE39</t>
        </is>
      </c>
      <c r="C2387" s="13" t="inlineStr">
        <is>
          <t>B1</t>
        </is>
      </c>
      <c r="D2387" s="13" t="n">
        <v>0</v>
      </c>
      <c r="E2387" s="13" t="inlineStr">
        <is>
          <t>E</t>
        </is>
      </c>
      <c r="F2387" s="13" t="n">
        <v>2025</v>
      </c>
      <c r="G2387" s="14" t="n">
        <v>1025436.443952732</v>
      </c>
      <c r="H2387" s="14" t="n">
        <v>419879.4816867305</v>
      </c>
      <c r="I2387" s="14" t="n">
        <v>367051.0523391125</v>
      </c>
      <c r="J2387" s="14" t="n">
        <v>0</v>
      </c>
      <c r="K2387" s="14" t="n">
        <v>27142.18904436897</v>
      </c>
      <c r="L2387" s="14" t="n">
        <v>211363.7208825205</v>
      </c>
      <c r="M2387" s="14" t="n">
        <v>0</v>
      </c>
      <c r="N2387" s="14" t="n">
        <v>492808.911119678</v>
      </c>
      <c r="O2387" s="14" t="n">
        <v>785155.8376057942</v>
      </c>
      <c r="P2387" s="14" t="n">
        <v>87726.58209808948</v>
      </c>
      <c r="Q2387" s="14" t="n">
        <v>3153654.625798364</v>
      </c>
      <c r="R2387" s="15">
        <f>IF(D2387=1,"Section 1","Control")</f>
        <v/>
      </c>
      <c r="S2387" s="16">
        <f>N2387/10000</f>
        <v/>
      </c>
      <c r="T2387" s="16">
        <f>P2387/10000</f>
        <v/>
      </c>
      <c r="U2387" s="15">
        <f>IF(N2387&gt;=Summary!$D$3,1,0)</f>
        <v/>
      </c>
      <c r="V2387" s="17">
        <f>IF(N2387&gt;0,P2387/N2387,"")</f>
        <v/>
      </c>
      <c r="W2387" s="17">
        <f>IF(O2387&gt;0,H2387/O2387,"")</f>
        <v/>
      </c>
    </row>
    <row r="2388">
      <c r="A2388" s="13" t="inlineStr">
        <is>
          <t>CE39_B1</t>
        </is>
      </c>
      <c r="B2388" s="13" t="inlineStr">
        <is>
          <t>CE39</t>
        </is>
      </c>
      <c r="C2388" s="13" t="inlineStr">
        <is>
          <t>B1</t>
        </is>
      </c>
      <c r="D2388" s="13" t="n">
        <v>0</v>
      </c>
      <c r="E2388" s="13" t="inlineStr">
        <is>
          <t>E</t>
        </is>
      </c>
      <c r="F2388" s="13" t="n">
        <v>2026</v>
      </c>
      <c r="G2388" s="14" t="n">
        <v>1025436.443952732</v>
      </c>
      <c r="H2388" s="14" t="n">
        <v>436450.4231690052</v>
      </c>
      <c r="I2388" s="14" t="n">
        <v>353264.5006513109</v>
      </c>
      <c r="J2388" s="14" t="n">
        <v>0</v>
      </c>
      <c r="K2388" s="14" t="n">
        <v>36684.32105527392</v>
      </c>
      <c r="L2388" s="14" t="n">
        <v>199037.1990771425</v>
      </c>
      <c r="M2388" s="14" t="n">
        <v>0</v>
      </c>
      <c r="N2388" s="14" t="n">
        <v>492808.911119678</v>
      </c>
      <c r="O2388" s="14" t="n">
        <v>785155.8376057942</v>
      </c>
      <c r="P2388" s="14" t="n">
        <v>77398.83355446611</v>
      </c>
      <c r="Q2388" s="14" t="n">
        <v>3153654.625798364</v>
      </c>
      <c r="R2388" s="15">
        <f>IF(D2388=1,"Section 1","Control")</f>
        <v/>
      </c>
      <c r="S2388" s="16">
        <f>N2388/10000</f>
        <v/>
      </c>
      <c r="T2388" s="16">
        <f>P2388/10000</f>
        <v/>
      </c>
      <c r="U2388" s="15">
        <f>IF(N2388&gt;=Summary!$D$3,1,0)</f>
        <v/>
      </c>
      <c r="V2388" s="17">
        <f>IF(N2388&gt;0,P2388/N2388,"")</f>
        <v/>
      </c>
      <c r="W2388" s="17">
        <f>IF(O2388&gt;0,H2388/O2388,"")</f>
        <v/>
      </c>
    </row>
    <row r="2389">
      <c r="A2389" s="13" t="inlineStr">
        <is>
          <t>CE39_B2</t>
        </is>
      </c>
      <c r="B2389" s="13" t="inlineStr">
        <is>
          <t>CE39</t>
        </is>
      </c>
      <c r="C2389" s="13" t="inlineStr">
        <is>
          <t>B2</t>
        </is>
      </c>
      <c r="D2389" s="13" t="n">
        <v>0</v>
      </c>
      <c r="E2389" s="13" t="inlineStr">
        <is>
          <t>E</t>
        </is>
      </c>
      <c r="F2389" s="13" t="n">
        <v>2020</v>
      </c>
      <c r="G2389" s="14" t="n">
        <v>1025492.585838408</v>
      </c>
      <c r="H2389" s="14" t="n">
        <v>321973.8965494792</v>
      </c>
      <c r="I2389" s="14" t="n">
        <v>189808.4490245745</v>
      </c>
      <c r="J2389" s="14" t="n">
        <v>0</v>
      </c>
      <c r="K2389" s="14" t="n">
        <v>789.8750228881836</v>
      </c>
      <c r="L2389" s="14" t="n">
        <v>512920.3652414659</v>
      </c>
      <c r="M2389" s="14" t="n">
        <v>0</v>
      </c>
      <c r="N2389" s="14" t="n">
        <v>321973.8965494792</v>
      </c>
      <c r="O2389" s="14" t="n">
        <v>512572.2205969419</v>
      </c>
      <c r="P2389" s="14" t="n">
        <v>0</v>
      </c>
      <c r="Q2389" s="14" t="n">
        <v>3009322.891921817</v>
      </c>
      <c r="R2389" s="15">
        <f>IF(D2389=1,"Section 1","Control")</f>
        <v/>
      </c>
      <c r="S2389" s="16">
        <f>N2389/10000</f>
        <v/>
      </c>
      <c r="T2389" s="16">
        <f>P2389/10000</f>
        <v/>
      </c>
      <c r="U2389" s="15">
        <f>IF(N2389&gt;=Summary!$D$3,1,0)</f>
        <v/>
      </c>
      <c r="V2389" s="17">
        <f>IF(N2389&gt;0,P2389/N2389,"")</f>
        <v/>
      </c>
      <c r="W2389" s="17">
        <f>IF(O2389&gt;0,H2389/O2389,"")</f>
        <v/>
      </c>
    </row>
    <row r="2390">
      <c r="A2390" s="13" t="inlineStr">
        <is>
          <t>CE39_B2</t>
        </is>
      </c>
      <c r="B2390" s="13" t="inlineStr">
        <is>
          <t>CE39</t>
        </is>
      </c>
      <c r="C2390" s="13" t="inlineStr">
        <is>
          <t>B2</t>
        </is>
      </c>
      <c r="D2390" s="13" t="n">
        <v>0</v>
      </c>
      <c r="E2390" s="13" t="inlineStr">
        <is>
          <t>E</t>
        </is>
      </c>
      <c r="F2390" s="13" t="n">
        <v>2021</v>
      </c>
      <c r="G2390" s="14" t="n">
        <v>1025492.585838408</v>
      </c>
      <c r="H2390" s="14" t="n">
        <v>333555.2808380427</v>
      </c>
      <c r="I2390" s="14" t="n">
        <v>168511.2222761267</v>
      </c>
      <c r="J2390" s="14" t="n">
        <v>0</v>
      </c>
      <c r="K2390" s="14" t="n">
        <v>10505.71748277253</v>
      </c>
      <c r="L2390" s="14" t="n">
        <v>512920.3652414659</v>
      </c>
      <c r="M2390" s="14" t="n">
        <v>0</v>
      </c>
      <c r="N2390" s="14" t="n">
        <v>321973.8965494792</v>
      </c>
      <c r="O2390" s="14" t="n">
        <v>512572.2205969419</v>
      </c>
      <c r="P2390" s="14" t="n">
        <v>43062.39330952962</v>
      </c>
      <c r="Q2390" s="14" t="n">
        <v>3009322.891921817</v>
      </c>
      <c r="R2390" s="15">
        <f>IF(D2390=1,"Section 1","Control")</f>
        <v/>
      </c>
      <c r="S2390" s="16">
        <f>N2390/10000</f>
        <v/>
      </c>
      <c r="T2390" s="16">
        <f>P2390/10000</f>
        <v/>
      </c>
      <c r="U2390" s="15">
        <f>IF(N2390&gt;=Summary!$D$3,1,0)</f>
        <v/>
      </c>
      <c r="V2390" s="17">
        <f>IF(N2390&gt;0,P2390/N2390,"")</f>
        <v/>
      </c>
      <c r="W2390" s="17">
        <f>IF(O2390&gt;0,H2390/O2390,"")</f>
        <v/>
      </c>
    </row>
    <row r="2391">
      <c r="A2391" s="13" t="inlineStr">
        <is>
          <t>CE39_B2</t>
        </is>
      </c>
      <c r="B2391" s="13" t="inlineStr">
        <is>
          <t>CE39</t>
        </is>
      </c>
      <c r="C2391" s="13" t="inlineStr">
        <is>
          <t>B2</t>
        </is>
      </c>
      <c r="D2391" s="13" t="n">
        <v>0</v>
      </c>
      <c r="E2391" s="13" t="inlineStr">
        <is>
          <t>E</t>
        </is>
      </c>
      <c r="F2391" s="13" t="n">
        <v>2022</v>
      </c>
      <c r="G2391" s="14" t="n">
        <v>1025492.585838408</v>
      </c>
      <c r="H2391" s="14" t="n">
        <v>197200.6035062005</v>
      </c>
      <c r="I2391" s="14" t="n">
        <v>294968.0853048884</v>
      </c>
      <c r="J2391" s="14" t="n">
        <v>0</v>
      </c>
      <c r="K2391" s="14" t="n">
        <v>20403.53178585277</v>
      </c>
      <c r="L2391" s="14" t="n">
        <v>512920.3652414659</v>
      </c>
      <c r="M2391" s="14" t="n">
        <v>0</v>
      </c>
      <c r="N2391" s="14" t="n">
        <v>321973.8965494792</v>
      </c>
      <c r="O2391" s="14" t="n">
        <v>512572.2205969419</v>
      </c>
      <c r="P2391" s="14" t="n">
        <v>127929.2995012171</v>
      </c>
      <c r="Q2391" s="14" t="n">
        <v>3009322.891921817</v>
      </c>
      <c r="R2391" s="15">
        <f>IF(D2391=1,"Section 1","Control")</f>
        <v/>
      </c>
      <c r="S2391" s="16">
        <f>N2391/10000</f>
        <v/>
      </c>
      <c r="T2391" s="16">
        <f>P2391/10000</f>
        <v/>
      </c>
      <c r="U2391" s="15">
        <f>IF(N2391&gt;=Summary!$D$3,1,0)</f>
        <v/>
      </c>
      <c r="V2391" s="17">
        <f>IF(N2391&gt;0,P2391/N2391,"")</f>
        <v/>
      </c>
      <c r="W2391" s="17">
        <f>IF(O2391&gt;0,H2391/O2391,"")</f>
        <v/>
      </c>
    </row>
    <row r="2392">
      <c r="A2392" s="13" t="inlineStr">
        <is>
          <t>CE39_B2</t>
        </is>
      </c>
      <c r="B2392" s="13" t="inlineStr">
        <is>
          <t>CE39</t>
        </is>
      </c>
      <c r="C2392" s="13" t="inlineStr">
        <is>
          <t>B2</t>
        </is>
      </c>
      <c r="D2392" s="13" t="n">
        <v>0</v>
      </c>
      <c r="E2392" s="13" t="inlineStr">
        <is>
          <t>E</t>
        </is>
      </c>
      <c r="F2392" s="13" t="n">
        <v>2023</v>
      </c>
      <c r="G2392" s="14" t="n">
        <v>1025492.585838408</v>
      </c>
      <c r="H2392" s="14" t="n">
        <v>182927.4802372053</v>
      </c>
      <c r="I2392" s="14" t="n">
        <v>315777.0204494999</v>
      </c>
      <c r="J2392" s="14" t="n">
        <v>0</v>
      </c>
      <c r="K2392" s="14" t="n">
        <v>13867.71991023643</v>
      </c>
      <c r="L2392" s="14" t="n">
        <v>512920.3652414659</v>
      </c>
      <c r="M2392" s="14" t="n">
        <v>0</v>
      </c>
      <c r="N2392" s="14" t="n">
        <v>321973.8965494792</v>
      </c>
      <c r="O2392" s="14" t="n">
        <v>512572.2205969418</v>
      </c>
      <c r="P2392" s="14" t="n">
        <v>141471.403652984</v>
      </c>
      <c r="Q2392" s="14" t="n">
        <v>3009322.891921817</v>
      </c>
      <c r="R2392" s="15">
        <f>IF(D2392=1,"Section 1","Control")</f>
        <v/>
      </c>
      <c r="S2392" s="16">
        <f>N2392/10000</f>
        <v/>
      </c>
      <c r="T2392" s="16">
        <f>P2392/10000</f>
        <v/>
      </c>
      <c r="U2392" s="15">
        <f>IF(N2392&gt;=Summary!$D$3,1,0)</f>
        <v/>
      </c>
      <c r="V2392" s="17">
        <f>IF(N2392&gt;0,P2392/N2392,"")</f>
        <v/>
      </c>
      <c r="W2392" s="17">
        <f>IF(O2392&gt;0,H2392/O2392,"")</f>
        <v/>
      </c>
    </row>
    <row r="2393">
      <c r="A2393" s="13" t="inlineStr">
        <is>
          <t>CE39_B2</t>
        </is>
      </c>
      <c r="B2393" s="13" t="inlineStr">
        <is>
          <t>CE39</t>
        </is>
      </c>
      <c r="C2393" s="13" t="inlineStr">
        <is>
          <t>B2</t>
        </is>
      </c>
      <c r="D2393" s="13" t="n">
        <v>0</v>
      </c>
      <c r="E2393" s="13" t="inlineStr">
        <is>
          <t>E</t>
        </is>
      </c>
      <c r="F2393" s="13" t="n">
        <v>2024</v>
      </c>
      <c r="G2393" s="14" t="n">
        <v>1025492.585838408</v>
      </c>
      <c r="H2393" s="14" t="n">
        <v>338388.8887760238</v>
      </c>
      <c r="I2393" s="14" t="n">
        <v>159655.0660609526</v>
      </c>
      <c r="J2393" s="14" t="n">
        <v>0</v>
      </c>
      <c r="K2393" s="14" t="n">
        <v>14528.26575996548</v>
      </c>
      <c r="L2393" s="14" t="n">
        <v>512920.3652414659</v>
      </c>
      <c r="M2393" s="14" t="n">
        <v>0</v>
      </c>
      <c r="N2393" s="14" t="n">
        <v>321973.8965494792</v>
      </c>
      <c r="O2393" s="14" t="n">
        <v>512572.2205969418</v>
      </c>
      <c r="P2393" s="14" t="n">
        <v>42006.9614416085</v>
      </c>
      <c r="Q2393" s="14" t="n">
        <v>3009322.891921817</v>
      </c>
      <c r="R2393" s="15">
        <f>IF(D2393=1,"Section 1","Control")</f>
        <v/>
      </c>
      <c r="S2393" s="16">
        <f>N2393/10000</f>
        <v/>
      </c>
      <c r="T2393" s="16">
        <f>P2393/10000</f>
        <v/>
      </c>
      <c r="U2393" s="15">
        <f>IF(N2393&gt;=Summary!$D$3,1,0)</f>
        <v/>
      </c>
      <c r="V2393" s="17">
        <f>IF(N2393&gt;0,P2393/N2393,"")</f>
        <v/>
      </c>
      <c r="W2393" s="17">
        <f>IF(O2393&gt;0,H2393/O2393,"")</f>
        <v/>
      </c>
    </row>
    <row r="2394">
      <c r="A2394" s="13" t="inlineStr">
        <is>
          <t>CE39_B2</t>
        </is>
      </c>
      <c r="B2394" s="13" t="inlineStr">
        <is>
          <t>CE39</t>
        </is>
      </c>
      <c r="C2394" s="13" t="inlineStr">
        <is>
          <t>B2</t>
        </is>
      </c>
      <c r="D2394" s="13" t="n">
        <v>0</v>
      </c>
      <c r="E2394" s="13" t="inlineStr">
        <is>
          <t>E</t>
        </is>
      </c>
      <c r="F2394" s="13" t="n">
        <v>2025</v>
      </c>
      <c r="G2394" s="14" t="n">
        <v>1025492.585838408</v>
      </c>
      <c r="H2394" s="14" t="n">
        <v>268906.4365501853</v>
      </c>
      <c r="I2394" s="14" t="n">
        <v>237110.2133944941</v>
      </c>
      <c r="J2394" s="14" t="n">
        <v>0</v>
      </c>
      <c r="K2394" s="14" t="n">
        <v>6555.57065226237</v>
      </c>
      <c r="L2394" s="14" t="n">
        <v>512920.3652414659</v>
      </c>
      <c r="M2394" s="14" t="n">
        <v>0</v>
      </c>
      <c r="N2394" s="14" t="n">
        <v>321973.8965494792</v>
      </c>
      <c r="O2394" s="14" t="n">
        <v>512572.2205969418</v>
      </c>
      <c r="P2394" s="14" t="n">
        <v>78530.41906672457</v>
      </c>
      <c r="Q2394" s="14" t="n">
        <v>3009322.891921817</v>
      </c>
      <c r="R2394" s="15">
        <f>IF(D2394=1,"Section 1","Control")</f>
        <v/>
      </c>
      <c r="S2394" s="16">
        <f>N2394/10000</f>
        <v/>
      </c>
      <c r="T2394" s="16">
        <f>P2394/10000</f>
        <v/>
      </c>
      <c r="U2394" s="15">
        <f>IF(N2394&gt;=Summary!$D$3,1,0)</f>
        <v/>
      </c>
      <c r="V2394" s="17">
        <f>IF(N2394&gt;0,P2394/N2394,"")</f>
        <v/>
      </c>
      <c r="W2394" s="17">
        <f>IF(O2394&gt;0,H2394/O2394,"")</f>
        <v/>
      </c>
    </row>
    <row r="2395">
      <c r="A2395" s="13" t="inlineStr">
        <is>
          <t>CE39_B2</t>
        </is>
      </c>
      <c r="B2395" s="13" t="inlineStr">
        <is>
          <t>CE39</t>
        </is>
      </c>
      <c r="C2395" s="13" t="inlineStr">
        <is>
          <t>B2</t>
        </is>
      </c>
      <c r="D2395" s="13" t="n">
        <v>0</v>
      </c>
      <c r="E2395" s="13" t="inlineStr">
        <is>
          <t>E</t>
        </is>
      </c>
      <c r="F2395" s="13" t="n">
        <v>2026</v>
      </c>
      <c r="G2395" s="14" t="n">
        <v>1025492.585838408</v>
      </c>
      <c r="H2395" s="14" t="n">
        <v>281906.0262706083</v>
      </c>
      <c r="I2395" s="14" t="n">
        <v>211092.8003030515</v>
      </c>
      <c r="J2395" s="14" t="n">
        <v>0</v>
      </c>
      <c r="K2395" s="14" t="n">
        <v>19573.39402328192</v>
      </c>
      <c r="L2395" s="14" t="n">
        <v>512920.3652414659</v>
      </c>
      <c r="M2395" s="14" t="n">
        <v>0</v>
      </c>
      <c r="N2395" s="14" t="n">
        <v>321973.8965494792</v>
      </c>
      <c r="O2395" s="14" t="n">
        <v>512572.2205969419</v>
      </c>
      <c r="P2395" s="14" t="n">
        <v>68164.51466671811</v>
      </c>
      <c r="Q2395" s="14" t="n">
        <v>3009322.891921817</v>
      </c>
      <c r="R2395" s="15">
        <f>IF(D2395=1,"Section 1","Control")</f>
        <v/>
      </c>
      <c r="S2395" s="16">
        <f>N2395/10000</f>
        <v/>
      </c>
      <c r="T2395" s="16">
        <f>P2395/10000</f>
        <v/>
      </c>
      <c r="U2395" s="15">
        <f>IF(N2395&gt;=Summary!$D$3,1,0)</f>
        <v/>
      </c>
      <c r="V2395" s="17">
        <f>IF(N2395&gt;0,P2395/N2395,"")</f>
        <v/>
      </c>
      <c r="W2395" s="17">
        <f>IF(O2395&gt;0,H2395/O2395,"")</f>
        <v/>
      </c>
    </row>
    <row r="2396">
      <c r="A2396" s="13" t="inlineStr">
        <is>
          <t>CE39_B3</t>
        </is>
      </c>
      <c r="B2396" s="13" t="inlineStr">
        <is>
          <t>CE39</t>
        </is>
      </c>
      <c r="C2396" s="13" t="inlineStr">
        <is>
          <t>B3</t>
        </is>
      </c>
      <c r="D2396" s="13" t="n">
        <v>0</v>
      </c>
      <c r="E2396" s="13" t="inlineStr">
        <is>
          <t>E</t>
        </is>
      </c>
      <c r="F2396" s="13" t="n">
        <v>2020</v>
      </c>
      <c r="G2396" s="14" t="n">
        <v>8203267.958747772</v>
      </c>
      <c r="H2396" s="14" t="n">
        <v>2521162.291585316</v>
      </c>
      <c r="I2396" s="14" t="n">
        <v>1078741.645658037</v>
      </c>
      <c r="J2396" s="14" t="n">
        <v>0</v>
      </c>
      <c r="K2396" s="14" t="n">
        <v>30278.22451031254</v>
      </c>
      <c r="L2396" s="14" t="n">
        <v>4573085.796994108</v>
      </c>
      <c r="M2396" s="14" t="n">
        <v>0</v>
      </c>
      <c r="N2396" s="14" t="n">
        <v>2521162.291585316</v>
      </c>
      <c r="O2396" s="14" t="n">
        <v>3630182.161753666</v>
      </c>
      <c r="P2396" s="14" t="n">
        <v>0</v>
      </c>
      <c r="Q2396" s="14" t="n">
        <v>30468480.02090044</v>
      </c>
      <c r="R2396" s="15">
        <f>IF(D2396=1,"Section 1","Control")</f>
        <v/>
      </c>
      <c r="S2396" s="16">
        <f>N2396/10000</f>
        <v/>
      </c>
      <c r="T2396" s="16">
        <f>P2396/10000</f>
        <v/>
      </c>
      <c r="U2396" s="15">
        <f>IF(N2396&gt;=Summary!$D$3,1,0)</f>
        <v/>
      </c>
      <c r="V2396" s="17">
        <f>IF(N2396&gt;0,P2396/N2396,"")</f>
        <v/>
      </c>
      <c r="W2396" s="17">
        <f>IF(O2396&gt;0,H2396/O2396,"")</f>
        <v/>
      </c>
    </row>
    <row r="2397">
      <c r="A2397" s="13" t="inlineStr">
        <is>
          <t>CE39_B3</t>
        </is>
      </c>
      <c r="B2397" s="13" t="inlineStr">
        <is>
          <t>CE39</t>
        </is>
      </c>
      <c r="C2397" s="13" t="inlineStr">
        <is>
          <t>B3</t>
        </is>
      </c>
      <c r="D2397" s="13" t="n">
        <v>0</v>
      </c>
      <c r="E2397" s="13" t="inlineStr">
        <is>
          <t>E</t>
        </is>
      </c>
      <c r="F2397" s="13" t="n">
        <v>2021</v>
      </c>
      <c r="G2397" s="14" t="n">
        <v>8203267.958747772</v>
      </c>
      <c r="H2397" s="14" t="n">
        <v>2033199.673106803</v>
      </c>
      <c r="I2397" s="14" t="n">
        <v>1364715.265445006</v>
      </c>
      <c r="J2397" s="14" t="n">
        <v>0</v>
      </c>
      <c r="K2397" s="14" t="n">
        <v>270236.3523726519</v>
      </c>
      <c r="L2397" s="14" t="n">
        <v>4535116.667823313</v>
      </c>
      <c r="M2397" s="14" t="n">
        <v>0</v>
      </c>
      <c r="N2397" s="14" t="n">
        <v>2521162.291585316</v>
      </c>
      <c r="O2397" s="14" t="n">
        <v>3630182.161753666</v>
      </c>
      <c r="P2397" s="14" t="n">
        <v>568880.9656004963</v>
      </c>
      <c r="Q2397" s="14" t="n">
        <v>30468480.02090044</v>
      </c>
      <c r="R2397" s="15">
        <f>IF(D2397=1,"Section 1","Control")</f>
        <v/>
      </c>
      <c r="S2397" s="16">
        <f>N2397/10000</f>
        <v/>
      </c>
      <c r="T2397" s="16">
        <f>P2397/10000</f>
        <v/>
      </c>
      <c r="U2397" s="15">
        <f>IF(N2397&gt;=Summary!$D$3,1,0)</f>
        <v/>
      </c>
      <c r="V2397" s="17">
        <f>IF(N2397&gt;0,P2397/N2397,"")</f>
        <v/>
      </c>
      <c r="W2397" s="17">
        <f>IF(O2397&gt;0,H2397/O2397,"")</f>
        <v/>
      </c>
    </row>
    <row r="2398">
      <c r="A2398" s="13" t="inlineStr">
        <is>
          <t>CE39_B3</t>
        </is>
      </c>
      <c r="B2398" s="13" t="inlineStr">
        <is>
          <t>CE39</t>
        </is>
      </c>
      <c r="C2398" s="13" t="inlineStr">
        <is>
          <t>B3</t>
        </is>
      </c>
      <c r="D2398" s="13" t="n">
        <v>0</v>
      </c>
      <c r="E2398" s="13" t="inlineStr">
        <is>
          <t>E</t>
        </is>
      </c>
      <c r="F2398" s="13" t="n">
        <v>2022</v>
      </c>
      <c r="G2398" s="14" t="n">
        <v>8203267.958747772</v>
      </c>
      <c r="H2398" s="14" t="n">
        <v>1516427.028946102</v>
      </c>
      <c r="I2398" s="14" t="n">
        <v>1930105.63408987</v>
      </c>
      <c r="J2398" s="14" t="n">
        <v>0</v>
      </c>
      <c r="K2398" s="14" t="n">
        <v>185821.5178140678</v>
      </c>
      <c r="L2398" s="14" t="n">
        <v>4570913.777897733</v>
      </c>
      <c r="M2398" s="14" t="n">
        <v>0</v>
      </c>
      <c r="N2398" s="14" t="n">
        <v>2521162.291585316</v>
      </c>
      <c r="O2398" s="14" t="n">
        <v>3630182.161753666</v>
      </c>
      <c r="P2398" s="14" t="n">
        <v>1014512.51250736</v>
      </c>
      <c r="Q2398" s="14" t="n">
        <v>30468480.02090044</v>
      </c>
      <c r="R2398" s="15">
        <f>IF(D2398=1,"Section 1","Control")</f>
        <v/>
      </c>
      <c r="S2398" s="16">
        <f>N2398/10000</f>
        <v/>
      </c>
      <c r="T2398" s="16">
        <f>P2398/10000</f>
        <v/>
      </c>
      <c r="U2398" s="15">
        <f>IF(N2398&gt;=Summary!$D$3,1,0)</f>
        <v/>
      </c>
      <c r="V2398" s="17">
        <f>IF(N2398&gt;0,P2398/N2398,"")</f>
        <v/>
      </c>
      <c r="W2398" s="17">
        <f>IF(O2398&gt;0,H2398/O2398,"")</f>
        <v/>
      </c>
    </row>
    <row r="2399">
      <c r="A2399" s="13" t="inlineStr">
        <is>
          <t>CE39_B3</t>
        </is>
      </c>
      <c r="B2399" s="13" t="inlineStr">
        <is>
          <t>CE39</t>
        </is>
      </c>
      <c r="C2399" s="13" t="inlineStr">
        <is>
          <t>B3</t>
        </is>
      </c>
      <c r="D2399" s="13" t="n">
        <v>0</v>
      </c>
      <c r="E2399" s="13" t="inlineStr">
        <is>
          <t>E</t>
        </is>
      </c>
      <c r="F2399" s="13" t="n">
        <v>2023</v>
      </c>
      <c r="G2399" s="14" t="n">
        <v>8203267.958747772</v>
      </c>
      <c r="H2399" s="14" t="n">
        <v>1625997.396675828</v>
      </c>
      <c r="I2399" s="14" t="n">
        <v>1818164.827976512</v>
      </c>
      <c r="J2399" s="14" t="n">
        <v>0</v>
      </c>
      <c r="K2399" s="14" t="n">
        <v>178055.8700233908</v>
      </c>
      <c r="L2399" s="14" t="n">
        <v>4581049.864072043</v>
      </c>
      <c r="M2399" s="14" t="n">
        <v>0</v>
      </c>
      <c r="N2399" s="14" t="n">
        <v>2521162.291585316</v>
      </c>
      <c r="O2399" s="14" t="n">
        <v>3630182.161753666</v>
      </c>
      <c r="P2399" s="14" t="n">
        <v>905742.7393023024</v>
      </c>
      <c r="Q2399" s="14" t="n">
        <v>30468480.02090045</v>
      </c>
      <c r="R2399" s="15">
        <f>IF(D2399=1,"Section 1","Control")</f>
        <v/>
      </c>
      <c r="S2399" s="16">
        <f>N2399/10000</f>
        <v/>
      </c>
      <c r="T2399" s="16">
        <f>P2399/10000</f>
        <v/>
      </c>
      <c r="U2399" s="15">
        <f>IF(N2399&gt;=Summary!$D$3,1,0)</f>
        <v/>
      </c>
      <c r="V2399" s="17">
        <f>IF(N2399&gt;0,P2399/N2399,"")</f>
        <v/>
      </c>
      <c r="W2399" s="17">
        <f>IF(O2399&gt;0,H2399/O2399,"")</f>
        <v/>
      </c>
    </row>
    <row r="2400">
      <c r="A2400" s="13" t="inlineStr">
        <is>
          <t>CE39_B3</t>
        </is>
      </c>
      <c r="B2400" s="13" t="inlineStr">
        <is>
          <t>CE39</t>
        </is>
      </c>
      <c r="C2400" s="13" t="inlineStr">
        <is>
          <t>B3</t>
        </is>
      </c>
      <c r="D2400" s="13" t="n">
        <v>0</v>
      </c>
      <c r="E2400" s="13" t="inlineStr">
        <is>
          <t>E</t>
        </is>
      </c>
      <c r="F2400" s="13" t="n">
        <v>2024</v>
      </c>
      <c r="G2400" s="14" t="n">
        <v>8203267.958747772</v>
      </c>
      <c r="H2400" s="14" t="n">
        <v>2198586.34737845</v>
      </c>
      <c r="I2400" s="14" t="n">
        <v>1323280.2000517</v>
      </c>
      <c r="J2400" s="14" t="n">
        <v>0</v>
      </c>
      <c r="K2400" s="14" t="n">
        <v>127440.2067627551</v>
      </c>
      <c r="L2400" s="14" t="n">
        <v>4553961.204554868</v>
      </c>
      <c r="M2400" s="14" t="n">
        <v>0</v>
      </c>
      <c r="N2400" s="14" t="n">
        <v>2521162.291585316</v>
      </c>
      <c r="O2400" s="14" t="n">
        <v>3630182.161753666</v>
      </c>
      <c r="P2400" s="14" t="n">
        <v>466543.1572414024</v>
      </c>
      <c r="Q2400" s="14" t="n">
        <v>30468480.02090044</v>
      </c>
      <c r="R2400" s="15">
        <f>IF(D2400=1,"Section 1","Control")</f>
        <v/>
      </c>
      <c r="S2400" s="16">
        <f>N2400/10000</f>
        <v/>
      </c>
      <c r="T2400" s="16">
        <f>P2400/10000</f>
        <v/>
      </c>
      <c r="U2400" s="15">
        <f>IF(N2400&gt;=Summary!$D$3,1,0)</f>
        <v/>
      </c>
      <c r="V2400" s="17">
        <f>IF(N2400&gt;0,P2400/N2400,"")</f>
        <v/>
      </c>
      <c r="W2400" s="17">
        <f>IF(O2400&gt;0,H2400/O2400,"")</f>
        <v/>
      </c>
    </row>
    <row r="2401">
      <c r="A2401" s="13" t="inlineStr">
        <is>
          <t>CE39_B3</t>
        </is>
      </c>
      <c r="B2401" s="13" t="inlineStr">
        <is>
          <t>CE39</t>
        </is>
      </c>
      <c r="C2401" s="13" t="inlineStr">
        <is>
          <t>B3</t>
        </is>
      </c>
      <c r="D2401" s="13" t="n">
        <v>0</v>
      </c>
      <c r="E2401" s="13" t="inlineStr">
        <is>
          <t>E</t>
        </is>
      </c>
      <c r="F2401" s="13" t="n">
        <v>2025</v>
      </c>
      <c r="G2401" s="14" t="n">
        <v>8203267.958747772</v>
      </c>
      <c r="H2401" s="14" t="n">
        <v>2213967.89681202</v>
      </c>
      <c r="I2401" s="14" t="n">
        <v>1292396.604469389</v>
      </c>
      <c r="J2401" s="14" t="n">
        <v>0</v>
      </c>
      <c r="K2401" s="14" t="n">
        <v>116711.1711163091</v>
      </c>
      <c r="L2401" s="14" t="n">
        <v>4580192.286350055</v>
      </c>
      <c r="M2401" s="14" t="n">
        <v>0</v>
      </c>
      <c r="N2401" s="14" t="n">
        <v>2521162.291585316</v>
      </c>
      <c r="O2401" s="14" t="n">
        <v>3630182.161753666</v>
      </c>
      <c r="P2401" s="14" t="n">
        <v>459621.1520279829</v>
      </c>
      <c r="Q2401" s="14" t="n">
        <v>30468480.02090044</v>
      </c>
      <c r="R2401" s="15">
        <f>IF(D2401=1,"Section 1","Control")</f>
        <v/>
      </c>
      <c r="S2401" s="16">
        <f>N2401/10000</f>
        <v/>
      </c>
      <c r="T2401" s="16">
        <f>P2401/10000</f>
        <v/>
      </c>
      <c r="U2401" s="15">
        <f>IF(N2401&gt;=Summary!$D$3,1,0)</f>
        <v/>
      </c>
      <c r="V2401" s="17">
        <f>IF(N2401&gt;0,P2401/N2401,"")</f>
        <v/>
      </c>
      <c r="W2401" s="17">
        <f>IF(O2401&gt;0,H2401/O2401,"")</f>
        <v/>
      </c>
    </row>
    <row r="2402">
      <c r="A2402" s="13" t="inlineStr">
        <is>
          <t>CE39_B3</t>
        </is>
      </c>
      <c r="B2402" s="13" t="inlineStr">
        <is>
          <t>CE39</t>
        </is>
      </c>
      <c r="C2402" s="13" t="inlineStr">
        <is>
          <t>B3</t>
        </is>
      </c>
      <c r="D2402" s="13" t="n">
        <v>0</v>
      </c>
      <c r="E2402" s="13" t="inlineStr">
        <is>
          <t>E</t>
        </is>
      </c>
      <c r="F2402" s="13" t="n">
        <v>2026</v>
      </c>
      <c r="G2402" s="14" t="n">
        <v>8203267.958747772</v>
      </c>
      <c r="H2402" s="14" t="n">
        <v>1968805.235619399</v>
      </c>
      <c r="I2402" s="14" t="n">
        <v>1567360.296853099</v>
      </c>
      <c r="J2402" s="14" t="n">
        <v>0</v>
      </c>
      <c r="K2402" s="14" t="n">
        <v>82015.93697539685</v>
      </c>
      <c r="L2402" s="14" t="n">
        <v>4585086.489299879</v>
      </c>
      <c r="M2402" s="14" t="n">
        <v>0</v>
      </c>
      <c r="N2402" s="14" t="n">
        <v>2521162.291585316</v>
      </c>
      <c r="O2402" s="14" t="n">
        <v>3630182.161753665</v>
      </c>
      <c r="P2402" s="14" t="n">
        <v>656234.8541501213</v>
      </c>
      <c r="Q2402" s="14" t="n">
        <v>30468480.02090044</v>
      </c>
      <c r="R2402" s="15">
        <f>IF(D2402=1,"Section 1","Control")</f>
        <v/>
      </c>
      <c r="S2402" s="16">
        <f>N2402/10000</f>
        <v/>
      </c>
      <c r="T2402" s="16">
        <f>P2402/10000</f>
        <v/>
      </c>
      <c r="U2402" s="15">
        <f>IF(N2402&gt;=Summary!$D$3,1,0)</f>
        <v/>
      </c>
      <c r="V2402" s="17">
        <f>IF(N2402&gt;0,P2402/N2402,"")</f>
        <v/>
      </c>
      <c r="W2402" s="17">
        <f>IF(O2402&gt;0,H2402/O2402,"")</f>
        <v/>
      </c>
    </row>
    <row r="2403">
      <c r="A2403" s="13" t="inlineStr">
        <is>
          <t>CE39_F</t>
        </is>
      </c>
      <c r="B2403" s="13" t="inlineStr">
        <is>
          <t>CE39</t>
        </is>
      </c>
      <c r="C2403" s="13" t="inlineStr">
        <is>
          <t>F</t>
        </is>
      </c>
      <c r="D2403" s="13" t="n">
        <v>0</v>
      </c>
      <c r="E2403" s="13" t="inlineStr">
        <is>
          <t>E</t>
        </is>
      </c>
      <c r="F2403" s="13" t="n">
        <v>2020</v>
      </c>
      <c r="G2403" s="14" t="n">
        <v>71018.35143468522</v>
      </c>
      <c r="H2403" s="14" t="n">
        <v>33818.25006106508</v>
      </c>
      <c r="I2403" s="14" t="n">
        <v>36139.95300819546</v>
      </c>
      <c r="J2403" s="14" t="n">
        <v>0</v>
      </c>
      <c r="K2403" s="14" t="n">
        <v>1060.148365424661</v>
      </c>
      <c r="L2403" s="14" t="n">
        <v>0</v>
      </c>
      <c r="M2403" s="14" t="n">
        <v>0</v>
      </c>
      <c r="N2403" s="14" t="n">
        <v>33818.25006106508</v>
      </c>
      <c r="O2403" s="14" t="n">
        <v>71018.35143468522</v>
      </c>
      <c r="P2403" s="14" t="n">
        <v>0</v>
      </c>
      <c r="Q2403" s="14" t="n">
        <v>35595.54797782149</v>
      </c>
      <c r="R2403" s="15">
        <f>IF(D2403=1,"Section 1","Control")</f>
        <v/>
      </c>
      <c r="S2403" s="16">
        <f>N2403/10000</f>
        <v/>
      </c>
      <c r="T2403" s="16">
        <f>P2403/10000</f>
        <v/>
      </c>
      <c r="U2403" s="15">
        <f>IF(N2403&gt;=Summary!$D$3,1,0)</f>
        <v/>
      </c>
      <c r="V2403" s="17">
        <f>IF(N2403&gt;0,P2403/N2403,"")</f>
        <v/>
      </c>
      <c r="W2403" s="17">
        <f>IF(O2403&gt;0,H2403/O2403,"")</f>
        <v/>
      </c>
    </row>
    <row r="2404">
      <c r="A2404" s="13" t="inlineStr">
        <is>
          <t>CE39_F</t>
        </is>
      </c>
      <c r="B2404" s="13" t="inlineStr">
        <is>
          <t>CE39</t>
        </is>
      </c>
      <c r="C2404" s="13" t="inlineStr">
        <is>
          <t>F</t>
        </is>
      </c>
      <c r="D2404" s="13" t="n">
        <v>0</v>
      </c>
      <c r="E2404" s="13" t="inlineStr">
        <is>
          <t>E</t>
        </is>
      </c>
      <c r="F2404" s="13" t="n">
        <v>2021</v>
      </c>
      <c r="G2404" s="14" t="n">
        <v>71018.35143468522</v>
      </c>
      <c r="H2404" s="14" t="n">
        <v>6079.389035094017</v>
      </c>
      <c r="I2404" s="14" t="n">
        <v>56448.10509550806</v>
      </c>
      <c r="J2404" s="14" t="n">
        <v>0</v>
      </c>
      <c r="K2404" s="14" t="n">
        <v>8490.857304083132</v>
      </c>
      <c r="L2404" s="14" t="n">
        <v>0</v>
      </c>
      <c r="M2404" s="14" t="n">
        <v>0</v>
      </c>
      <c r="N2404" s="14" t="n">
        <v>33818.25006106509</v>
      </c>
      <c r="O2404" s="14" t="n">
        <v>71018.35143468522</v>
      </c>
      <c r="P2404" s="14" t="n">
        <v>28026.93688291663</v>
      </c>
      <c r="Q2404" s="14" t="n">
        <v>35595.54797782149</v>
      </c>
      <c r="R2404" s="15">
        <f>IF(D2404=1,"Section 1","Control")</f>
        <v/>
      </c>
      <c r="S2404" s="16">
        <f>N2404/10000</f>
        <v/>
      </c>
      <c r="T2404" s="16">
        <f>P2404/10000</f>
        <v/>
      </c>
      <c r="U2404" s="15">
        <f>IF(N2404&gt;=Summary!$D$3,1,0)</f>
        <v/>
      </c>
      <c r="V2404" s="17">
        <f>IF(N2404&gt;0,P2404/N2404,"")</f>
        <v/>
      </c>
      <c r="W2404" s="17">
        <f>IF(O2404&gt;0,H2404/O2404,"")</f>
        <v/>
      </c>
    </row>
    <row r="2405">
      <c r="A2405" s="13" t="inlineStr">
        <is>
          <t>CE39_F</t>
        </is>
      </c>
      <c r="B2405" s="13" t="inlineStr">
        <is>
          <t>CE39</t>
        </is>
      </c>
      <c r="C2405" s="13" t="inlineStr">
        <is>
          <t>F</t>
        </is>
      </c>
      <c r="D2405" s="13" t="n">
        <v>0</v>
      </c>
      <c r="E2405" s="13" t="inlineStr">
        <is>
          <t>E</t>
        </is>
      </c>
      <c r="F2405" s="13" t="n">
        <v>2022</v>
      </c>
      <c r="G2405" s="14" t="n">
        <v>71018.35143468522</v>
      </c>
      <c r="H2405" s="14" t="n">
        <v>17236.50010594387</v>
      </c>
      <c r="I2405" s="14" t="n">
        <v>50442.65948160209</v>
      </c>
      <c r="J2405" s="14" t="n">
        <v>0</v>
      </c>
      <c r="K2405" s="14" t="n">
        <v>3339.191847139246</v>
      </c>
      <c r="L2405" s="14" t="n">
        <v>0</v>
      </c>
      <c r="M2405" s="14" t="n">
        <v>0</v>
      </c>
      <c r="N2405" s="14" t="n">
        <v>33818.25006106508</v>
      </c>
      <c r="O2405" s="14" t="n">
        <v>71018.35143468522</v>
      </c>
      <c r="P2405" s="14" t="n">
        <v>17222.95011022231</v>
      </c>
      <c r="Q2405" s="14" t="n">
        <v>35595.54797782149</v>
      </c>
      <c r="R2405" s="15">
        <f>IF(D2405=1,"Section 1","Control")</f>
        <v/>
      </c>
      <c r="S2405" s="16">
        <f>N2405/10000</f>
        <v/>
      </c>
      <c r="T2405" s="16">
        <f>P2405/10000</f>
        <v/>
      </c>
      <c r="U2405" s="15">
        <f>IF(N2405&gt;=Summary!$D$3,1,0)</f>
        <v/>
      </c>
      <c r="V2405" s="17">
        <f>IF(N2405&gt;0,P2405/N2405,"")</f>
        <v/>
      </c>
      <c r="W2405" s="17">
        <f>IF(O2405&gt;0,H2405/O2405,"")</f>
        <v/>
      </c>
    </row>
    <row r="2406">
      <c r="A2406" s="13" t="inlineStr">
        <is>
          <t>CE39_F</t>
        </is>
      </c>
      <c r="B2406" s="13" t="inlineStr">
        <is>
          <t>CE39</t>
        </is>
      </c>
      <c r="C2406" s="13" t="inlineStr">
        <is>
          <t>F</t>
        </is>
      </c>
      <c r="D2406" s="13" t="n">
        <v>0</v>
      </c>
      <c r="E2406" s="13" t="inlineStr">
        <is>
          <t>E</t>
        </is>
      </c>
      <c r="F2406" s="13" t="n">
        <v>2023</v>
      </c>
      <c r="G2406" s="14" t="n">
        <v>71018.35143468522</v>
      </c>
      <c r="H2406" s="14" t="n">
        <v>10849.27967074525</v>
      </c>
      <c r="I2406" s="14" t="n">
        <v>56771.41193997253</v>
      </c>
      <c r="J2406" s="14" t="n">
        <v>0</v>
      </c>
      <c r="K2406" s="14" t="n">
        <v>3397.659823967429</v>
      </c>
      <c r="L2406" s="14" t="n">
        <v>0</v>
      </c>
      <c r="M2406" s="14" t="n">
        <v>0</v>
      </c>
      <c r="N2406" s="14" t="n">
        <v>33818.25006106508</v>
      </c>
      <c r="O2406" s="14" t="n">
        <v>71018.35143468522</v>
      </c>
      <c r="P2406" s="14" t="n">
        <v>23354.61976255529</v>
      </c>
      <c r="Q2406" s="14" t="n">
        <v>35595.54797782149</v>
      </c>
      <c r="R2406" s="15">
        <f>IF(D2406=1,"Section 1","Control")</f>
        <v/>
      </c>
      <c r="S2406" s="16">
        <f>N2406/10000</f>
        <v/>
      </c>
      <c r="T2406" s="16">
        <f>P2406/10000</f>
        <v/>
      </c>
      <c r="U2406" s="15">
        <f>IF(N2406&gt;=Summary!$D$3,1,0)</f>
        <v/>
      </c>
      <c r="V2406" s="17">
        <f>IF(N2406&gt;0,P2406/N2406,"")</f>
        <v/>
      </c>
      <c r="W2406" s="17">
        <f>IF(O2406&gt;0,H2406/O2406,"")</f>
        <v/>
      </c>
    </row>
    <row r="2407">
      <c r="A2407" s="13" t="inlineStr">
        <is>
          <t>CE39_F</t>
        </is>
      </c>
      <c r="B2407" s="13" t="inlineStr">
        <is>
          <t>CE39</t>
        </is>
      </c>
      <c r="C2407" s="13" t="inlineStr">
        <is>
          <t>F</t>
        </is>
      </c>
      <c r="D2407" s="13" t="n">
        <v>0</v>
      </c>
      <c r="E2407" s="13" t="inlineStr">
        <is>
          <t>E</t>
        </is>
      </c>
      <c r="F2407" s="13" t="n">
        <v>2024</v>
      </c>
      <c r="G2407" s="14" t="n">
        <v>71018.35143468522</v>
      </c>
      <c r="H2407" s="14" t="n">
        <v>26856.43450009215</v>
      </c>
      <c r="I2407" s="14" t="n">
        <v>39417.58415491441</v>
      </c>
      <c r="J2407" s="14" t="n">
        <v>0</v>
      </c>
      <c r="K2407" s="14" t="n">
        <v>4744.332779678643</v>
      </c>
      <c r="L2407" s="14" t="n">
        <v>0</v>
      </c>
      <c r="M2407" s="14" t="n">
        <v>0</v>
      </c>
      <c r="N2407" s="14" t="n">
        <v>33818.25006106508</v>
      </c>
      <c r="O2407" s="14" t="n">
        <v>71018.35143468522</v>
      </c>
      <c r="P2407" s="14" t="n">
        <v>10239.45010154574</v>
      </c>
      <c r="Q2407" s="14" t="n">
        <v>35595.54797782149</v>
      </c>
      <c r="R2407" s="15">
        <f>IF(D2407=1,"Section 1","Control")</f>
        <v/>
      </c>
      <c r="S2407" s="16">
        <f>N2407/10000</f>
        <v/>
      </c>
      <c r="T2407" s="16">
        <f>P2407/10000</f>
        <v/>
      </c>
      <c r="U2407" s="15">
        <f>IF(N2407&gt;=Summary!$D$3,1,0)</f>
        <v/>
      </c>
      <c r="V2407" s="17">
        <f>IF(N2407&gt;0,P2407/N2407,"")</f>
        <v/>
      </c>
      <c r="W2407" s="17">
        <f>IF(O2407&gt;0,H2407/O2407,"")</f>
        <v/>
      </c>
    </row>
    <row r="2408">
      <c r="A2408" s="13" t="inlineStr">
        <is>
          <t>CE39_F</t>
        </is>
      </c>
      <c r="B2408" s="13" t="inlineStr">
        <is>
          <t>CE39</t>
        </is>
      </c>
      <c r="C2408" s="13" t="inlineStr">
        <is>
          <t>F</t>
        </is>
      </c>
      <c r="D2408" s="13" t="n">
        <v>0</v>
      </c>
      <c r="E2408" s="13" t="inlineStr">
        <is>
          <t>E</t>
        </is>
      </c>
      <c r="F2408" s="13" t="n">
        <v>2025</v>
      </c>
      <c r="G2408" s="14" t="n">
        <v>71018.35143468522</v>
      </c>
      <c r="H2408" s="14" t="n">
        <v>24215.73890641156</v>
      </c>
      <c r="I2408" s="14" t="n">
        <v>43035.18013188979</v>
      </c>
      <c r="J2408" s="14" t="n">
        <v>0</v>
      </c>
      <c r="K2408" s="14" t="n">
        <v>3767.432396383847</v>
      </c>
      <c r="L2408" s="14" t="n">
        <v>0</v>
      </c>
      <c r="M2408" s="14" t="n">
        <v>0</v>
      </c>
      <c r="N2408" s="14" t="n">
        <v>33818.25006106508</v>
      </c>
      <c r="O2408" s="14" t="n">
        <v>71018.35143468522</v>
      </c>
      <c r="P2408" s="14" t="n">
        <v>12792.2499287624</v>
      </c>
      <c r="Q2408" s="14" t="n">
        <v>35595.54797782149</v>
      </c>
      <c r="R2408" s="15">
        <f>IF(D2408=1,"Section 1","Control")</f>
        <v/>
      </c>
      <c r="S2408" s="16">
        <f>N2408/10000</f>
        <v/>
      </c>
      <c r="T2408" s="16">
        <f>P2408/10000</f>
        <v/>
      </c>
      <c r="U2408" s="15">
        <f>IF(N2408&gt;=Summary!$D$3,1,0)</f>
        <v/>
      </c>
      <c r="V2408" s="17">
        <f>IF(N2408&gt;0,P2408/N2408,"")</f>
        <v/>
      </c>
      <c r="W2408" s="17">
        <f>IF(O2408&gt;0,H2408/O2408,"")</f>
        <v/>
      </c>
    </row>
    <row r="2409">
      <c r="A2409" s="13" t="inlineStr">
        <is>
          <t>CE39_F</t>
        </is>
      </c>
      <c r="B2409" s="13" t="inlineStr">
        <is>
          <t>CE39</t>
        </is>
      </c>
      <c r="C2409" s="13" t="inlineStr">
        <is>
          <t>F</t>
        </is>
      </c>
      <c r="D2409" s="13" t="n">
        <v>0</v>
      </c>
      <c r="E2409" s="13" t="inlineStr">
        <is>
          <t>E</t>
        </is>
      </c>
      <c r="F2409" s="13" t="n">
        <v>2026</v>
      </c>
      <c r="G2409" s="14" t="n">
        <v>71018.35143468522</v>
      </c>
      <c r="H2409" s="14" t="n">
        <v>16840.78143633675</v>
      </c>
      <c r="I2409" s="14" t="n">
        <v>51070.69538786646</v>
      </c>
      <c r="J2409" s="14" t="n">
        <v>0</v>
      </c>
      <c r="K2409" s="14" t="n">
        <v>3106.87461048201</v>
      </c>
      <c r="L2409" s="14" t="n">
        <v>0</v>
      </c>
      <c r="M2409" s="14" t="n">
        <v>0</v>
      </c>
      <c r="N2409" s="14" t="n">
        <v>33818.25006106508</v>
      </c>
      <c r="O2409" s="14" t="n">
        <v>71018.35143468522</v>
      </c>
      <c r="P2409" s="14" t="n">
        <v>19208.1190919764</v>
      </c>
      <c r="Q2409" s="14" t="n">
        <v>35595.54797782149</v>
      </c>
      <c r="R2409" s="15">
        <f>IF(D2409=1,"Section 1","Control")</f>
        <v/>
      </c>
      <c r="S2409" s="16">
        <f>N2409/10000</f>
        <v/>
      </c>
      <c r="T2409" s="16">
        <f>P2409/10000</f>
        <v/>
      </c>
      <c r="U2409" s="15">
        <f>IF(N2409&gt;=Summary!$D$3,1,0)</f>
        <v/>
      </c>
      <c r="V2409" s="17">
        <f>IF(N2409&gt;0,P2409/N2409,"")</f>
        <v/>
      </c>
      <c r="W2409" s="17">
        <f>IF(O2409&gt;0,H2409/O2409,"")</f>
        <v/>
      </c>
    </row>
    <row r="2410">
      <c r="A2410" s="13" t="inlineStr">
        <is>
          <t>CE40_B1</t>
        </is>
      </c>
      <c r="B2410" s="13" t="inlineStr">
        <is>
          <t>CE40</t>
        </is>
      </c>
      <c r="C2410" s="13" t="inlineStr">
        <is>
          <t>B1</t>
        </is>
      </c>
      <c r="D2410" s="13" t="n">
        <v>0</v>
      </c>
      <c r="E2410" s="13" t="inlineStr">
        <is>
          <t>E</t>
        </is>
      </c>
      <c r="F2410" s="13" t="n">
        <v>2020</v>
      </c>
      <c r="G2410" s="14" t="n">
        <v>974265.936080514</v>
      </c>
      <c r="H2410" s="14" t="n">
        <v>417617.4200281181</v>
      </c>
      <c r="I2410" s="14" t="n">
        <v>302713.4462172266</v>
      </c>
      <c r="J2410" s="14" t="n">
        <v>0</v>
      </c>
      <c r="K2410" s="14" t="n">
        <v>32409.05552383124</v>
      </c>
      <c r="L2410" s="14" t="n">
        <v>221526.014311338</v>
      </c>
      <c r="M2410" s="14" t="n">
        <v>0</v>
      </c>
      <c r="N2410" s="14" t="n">
        <v>417617.4200281181</v>
      </c>
      <c r="O2410" s="14" t="n">
        <v>752739.9217691759</v>
      </c>
      <c r="P2410" s="14" t="n">
        <v>0</v>
      </c>
      <c r="Q2410" s="14" t="n">
        <v>3066977.203066058</v>
      </c>
      <c r="R2410" s="15">
        <f>IF(D2410=1,"Section 1","Control")</f>
        <v/>
      </c>
      <c r="S2410" s="16">
        <f>N2410/10000</f>
        <v/>
      </c>
      <c r="T2410" s="16">
        <f>P2410/10000</f>
        <v/>
      </c>
      <c r="U2410" s="15">
        <f>IF(N2410&gt;=Summary!$D$3,1,0)</f>
        <v/>
      </c>
      <c r="V2410" s="17">
        <f>IF(N2410&gt;0,P2410/N2410,"")</f>
        <v/>
      </c>
      <c r="W2410" s="17">
        <f>IF(O2410&gt;0,H2410/O2410,"")</f>
        <v/>
      </c>
    </row>
    <row r="2411">
      <c r="A2411" s="13" t="inlineStr">
        <is>
          <t>CE40_B1</t>
        </is>
      </c>
      <c r="B2411" s="13" t="inlineStr">
        <is>
          <t>CE40</t>
        </is>
      </c>
      <c r="C2411" s="13" t="inlineStr">
        <is>
          <t>B1</t>
        </is>
      </c>
      <c r="D2411" s="13" t="n">
        <v>0</v>
      </c>
      <c r="E2411" s="13" t="inlineStr">
        <is>
          <t>E</t>
        </is>
      </c>
      <c r="F2411" s="13" t="n">
        <v>2021</v>
      </c>
      <c r="G2411" s="14" t="n">
        <v>974265.936080514</v>
      </c>
      <c r="H2411" s="14" t="n">
        <v>366843.6404132319</v>
      </c>
      <c r="I2411" s="14" t="n">
        <v>367418.4194268021</v>
      </c>
      <c r="J2411" s="14" t="n">
        <v>0</v>
      </c>
      <c r="K2411" s="14" t="n">
        <v>46033.08406521667</v>
      </c>
      <c r="L2411" s="14" t="n">
        <v>193970.7921752631</v>
      </c>
      <c r="M2411" s="14" t="n">
        <v>0</v>
      </c>
      <c r="N2411" s="14" t="n">
        <v>417617.4200281181</v>
      </c>
      <c r="O2411" s="14" t="n">
        <v>752739.9217691759</v>
      </c>
      <c r="P2411" s="14" t="n">
        <v>64839.93004455566</v>
      </c>
      <c r="Q2411" s="14" t="n">
        <v>3066977.203066058</v>
      </c>
      <c r="R2411" s="15">
        <f>IF(D2411=1,"Section 1","Control")</f>
        <v/>
      </c>
      <c r="S2411" s="16">
        <f>N2411/10000</f>
        <v/>
      </c>
      <c r="T2411" s="16">
        <f>P2411/10000</f>
        <v/>
      </c>
      <c r="U2411" s="15">
        <f>IF(N2411&gt;=Summary!$D$3,1,0)</f>
        <v/>
      </c>
      <c r="V2411" s="17">
        <f>IF(N2411&gt;0,P2411/N2411,"")</f>
        <v/>
      </c>
      <c r="W2411" s="17">
        <f>IF(O2411&gt;0,H2411/O2411,"")</f>
        <v/>
      </c>
    </row>
    <row r="2412">
      <c r="A2412" s="13" t="inlineStr">
        <is>
          <t>CE40_B1</t>
        </is>
      </c>
      <c r="B2412" s="13" t="inlineStr">
        <is>
          <t>CE40</t>
        </is>
      </c>
      <c r="C2412" s="13" t="inlineStr">
        <is>
          <t>B1</t>
        </is>
      </c>
      <c r="D2412" s="13" t="n">
        <v>0</v>
      </c>
      <c r="E2412" s="13" t="inlineStr">
        <is>
          <t>E</t>
        </is>
      </c>
      <c r="F2412" s="13" t="n">
        <v>2022</v>
      </c>
      <c r="G2412" s="14" t="n">
        <v>974265.936080514</v>
      </c>
      <c r="H2412" s="14" t="n">
        <v>439947.598324944</v>
      </c>
      <c r="I2412" s="14" t="n">
        <v>284367.217844705</v>
      </c>
      <c r="J2412" s="14" t="n">
        <v>0</v>
      </c>
      <c r="K2412" s="14" t="n">
        <v>36997.36979869768</v>
      </c>
      <c r="L2412" s="14" t="n">
        <v>212953.750112167</v>
      </c>
      <c r="M2412" s="14" t="n">
        <v>0</v>
      </c>
      <c r="N2412" s="14" t="n">
        <v>417617.4200281181</v>
      </c>
      <c r="O2412" s="14" t="n">
        <v>752739.9217691759</v>
      </c>
      <c r="P2412" s="14" t="n">
        <v>22398.27872790168</v>
      </c>
      <c r="Q2412" s="14" t="n">
        <v>3066977.203066058</v>
      </c>
      <c r="R2412" s="15">
        <f>IF(D2412=1,"Section 1","Control")</f>
        <v/>
      </c>
      <c r="S2412" s="16">
        <f>N2412/10000</f>
        <v/>
      </c>
      <c r="T2412" s="16">
        <f>P2412/10000</f>
        <v/>
      </c>
      <c r="U2412" s="15">
        <f>IF(N2412&gt;=Summary!$D$3,1,0)</f>
        <v/>
      </c>
      <c r="V2412" s="17">
        <f>IF(N2412&gt;0,P2412/N2412,"")</f>
        <v/>
      </c>
      <c r="W2412" s="17">
        <f>IF(O2412&gt;0,H2412/O2412,"")</f>
        <v/>
      </c>
    </row>
    <row r="2413">
      <c r="A2413" s="13" t="inlineStr">
        <is>
          <t>CE40_B1</t>
        </is>
      </c>
      <c r="B2413" s="13" t="inlineStr">
        <is>
          <t>CE40</t>
        </is>
      </c>
      <c r="C2413" s="13" t="inlineStr">
        <is>
          <t>B1</t>
        </is>
      </c>
      <c r="D2413" s="13" t="n">
        <v>0</v>
      </c>
      <c r="E2413" s="13" t="inlineStr">
        <is>
          <t>E</t>
        </is>
      </c>
      <c r="F2413" s="13" t="n">
        <v>2023</v>
      </c>
      <c r="G2413" s="14" t="n">
        <v>974265.936080514</v>
      </c>
      <c r="H2413" s="14" t="n">
        <v>357243.0896870033</v>
      </c>
      <c r="I2413" s="14" t="n">
        <v>377844.5082173367</v>
      </c>
      <c r="J2413" s="14" t="n">
        <v>0</v>
      </c>
      <c r="K2413" s="14" t="n">
        <v>45696.2173517863</v>
      </c>
      <c r="L2413" s="14" t="n">
        <v>193482.1208243875</v>
      </c>
      <c r="M2413" s="14" t="n">
        <v>0</v>
      </c>
      <c r="N2413" s="14" t="n">
        <v>417617.4200281181</v>
      </c>
      <c r="O2413" s="14" t="n">
        <v>752739.9217691759</v>
      </c>
      <c r="P2413" s="14" t="n">
        <v>75453.40697769463</v>
      </c>
      <c r="Q2413" s="14" t="n">
        <v>3066977.203066058</v>
      </c>
      <c r="R2413" s="15">
        <f>IF(D2413=1,"Section 1","Control")</f>
        <v/>
      </c>
      <c r="S2413" s="16">
        <f>N2413/10000</f>
        <v/>
      </c>
      <c r="T2413" s="16">
        <f>P2413/10000</f>
        <v/>
      </c>
      <c r="U2413" s="15">
        <f>IF(N2413&gt;=Summary!$D$3,1,0)</f>
        <v/>
      </c>
      <c r="V2413" s="17">
        <f>IF(N2413&gt;0,P2413/N2413,"")</f>
        <v/>
      </c>
      <c r="W2413" s="17">
        <f>IF(O2413&gt;0,H2413/O2413,"")</f>
        <v/>
      </c>
    </row>
    <row r="2414">
      <c r="A2414" s="13" t="inlineStr">
        <is>
          <t>CE40_B1</t>
        </is>
      </c>
      <c r="B2414" s="13" t="inlineStr">
        <is>
          <t>CE40</t>
        </is>
      </c>
      <c r="C2414" s="13" t="inlineStr">
        <is>
          <t>B1</t>
        </is>
      </c>
      <c r="D2414" s="13" t="n">
        <v>0</v>
      </c>
      <c r="E2414" s="13" t="inlineStr">
        <is>
          <t>E</t>
        </is>
      </c>
      <c r="F2414" s="13" t="n">
        <v>2024</v>
      </c>
      <c r="G2414" s="14" t="n">
        <v>974265.936080514</v>
      </c>
      <c r="H2414" s="14" t="n">
        <v>410657.1531668271</v>
      </c>
      <c r="I2414" s="14" t="n">
        <v>317722.6787779565</v>
      </c>
      <c r="J2414" s="14" t="n">
        <v>0</v>
      </c>
      <c r="K2414" s="14" t="n">
        <v>71131.38317176967</v>
      </c>
      <c r="L2414" s="14" t="n">
        <v>174754.7209639605</v>
      </c>
      <c r="M2414" s="14" t="n">
        <v>0</v>
      </c>
      <c r="N2414" s="14" t="n">
        <v>417617.4200281181</v>
      </c>
      <c r="O2414" s="14" t="n">
        <v>752739.9217691759</v>
      </c>
      <c r="P2414" s="14" t="n">
        <v>40082.81256369797</v>
      </c>
      <c r="Q2414" s="14" t="n">
        <v>3066977.203066058</v>
      </c>
      <c r="R2414" s="15">
        <f>IF(D2414=1,"Section 1","Control")</f>
        <v/>
      </c>
      <c r="S2414" s="16">
        <f>N2414/10000</f>
        <v/>
      </c>
      <c r="T2414" s="16">
        <f>P2414/10000</f>
        <v/>
      </c>
      <c r="U2414" s="15">
        <f>IF(N2414&gt;=Summary!$D$3,1,0)</f>
        <v/>
      </c>
      <c r="V2414" s="17">
        <f>IF(N2414&gt;0,P2414/N2414,"")</f>
        <v/>
      </c>
      <c r="W2414" s="17">
        <f>IF(O2414&gt;0,H2414/O2414,"")</f>
        <v/>
      </c>
    </row>
    <row r="2415">
      <c r="A2415" s="13" t="inlineStr">
        <is>
          <t>CE40_B1</t>
        </is>
      </c>
      <c r="B2415" s="13" t="inlineStr">
        <is>
          <t>CE40</t>
        </is>
      </c>
      <c r="C2415" s="13" t="inlineStr">
        <is>
          <t>B1</t>
        </is>
      </c>
      <c r="D2415" s="13" t="n">
        <v>0</v>
      </c>
      <c r="E2415" s="13" t="inlineStr">
        <is>
          <t>E</t>
        </is>
      </c>
      <c r="F2415" s="13" t="n">
        <v>2025</v>
      </c>
      <c r="G2415" s="14" t="n">
        <v>974265.936080514</v>
      </c>
      <c r="H2415" s="14" t="n">
        <v>375571.1345103245</v>
      </c>
      <c r="I2415" s="14" t="n">
        <v>363900.7493458468</v>
      </c>
      <c r="J2415" s="14" t="n">
        <v>0</v>
      </c>
      <c r="K2415" s="14" t="n">
        <v>38734.34754961799</v>
      </c>
      <c r="L2415" s="14" t="n">
        <v>196059.7046747245</v>
      </c>
      <c r="M2415" s="14" t="n">
        <v>0</v>
      </c>
      <c r="N2415" s="14" t="n">
        <v>417617.4200281181</v>
      </c>
      <c r="O2415" s="14" t="n">
        <v>752739.9217691759</v>
      </c>
      <c r="P2415" s="14" t="n">
        <v>61166.18231431549</v>
      </c>
      <c r="Q2415" s="14" t="n">
        <v>3066977.203066058</v>
      </c>
      <c r="R2415" s="15">
        <f>IF(D2415=1,"Section 1","Control")</f>
        <v/>
      </c>
      <c r="S2415" s="16">
        <f>N2415/10000</f>
        <v/>
      </c>
      <c r="T2415" s="16">
        <f>P2415/10000</f>
        <v/>
      </c>
      <c r="U2415" s="15">
        <f>IF(N2415&gt;=Summary!$D$3,1,0)</f>
        <v/>
      </c>
      <c r="V2415" s="17">
        <f>IF(N2415&gt;0,P2415/N2415,"")</f>
        <v/>
      </c>
      <c r="W2415" s="17">
        <f>IF(O2415&gt;0,H2415/O2415,"")</f>
        <v/>
      </c>
    </row>
    <row r="2416">
      <c r="A2416" s="13" t="inlineStr">
        <is>
          <t>CE40_B1</t>
        </is>
      </c>
      <c r="B2416" s="13" t="inlineStr">
        <is>
          <t>CE40</t>
        </is>
      </c>
      <c r="C2416" s="13" t="inlineStr">
        <is>
          <t>B1</t>
        </is>
      </c>
      <c r="D2416" s="13" t="n">
        <v>0</v>
      </c>
      <c r="E2416" s="13" t="inlineStr">
        <is>
          <t>E</t>
        </is>
      </c>
      <c r="F2416" s="13" t="n">
        <v>2026</v>
      </c>
      <c r="G2416" s="14" t="n">
        <v>974265.936080514</v>
      </c>
      <c r="H2416" s="14" t="n">
        <v>444311.7420078352</v>
      </c>
      <c r="I2416" s="14" t="n">
        <v>290094.418174235</v>
      </c>
      <c r="J2416" s="14" t="n">
        <v>0</v>
      </c>
      <c r="K2416" s="14" t="n">
        <v>43899.57378943949</v>
      </c>
      <c r="L2416" s="14" t="n">
        <v>195960.202109004</v>
      </c>
      <c r="M2416" s="14" t="n">
        <v>0</v>
      </c>
      <c r="N2416" s="14" t="n">
        <v>417617.4200281181</v>
      </c>
      <c r="O2416" s="14" t="n">
        <v>752739.9217691759</v>
      </c>
      <c r="P2416" s="14" t="n">
        <v>23542.47185686897</v>
      </c>
      <c r="Q2416" s="14" t="n">
        <v>3066977.203066058</v>
      </c>
      <c r="R2416" s="15">
        <f>IF(D2416=1,"Section 1","Control")</f>
        <v/>
      </c>
      <c r="S2416" s="16">
        <f>N2416/10000</f>
        <v/>
      </c>
      <c r="T2416" s="16">
        <f>P2416/10000</f>
        <v/>
      </c>
      <c r="U2416" s="15">
        <f>IF(N2416&gt;=Summary!$D$3,1,0)</f>
        <v/>
      </c>
      <c r="V2416" s="17">
        <f>IF(N2416&gt;0,P2416/N2416,"")</f>
        <v/>
      </c>
      <c r="W2416" s="17">
        <f>IF(O2416&gt;0,H2416/O2416,"")</f>
        <v/>
      </c>
    </row>
    <row r="2417">
      <c r="A2417" s="13" t="inlineStr">
        <is>
          <t>CE40_B2</t>
        </is>
      </c>
      <c r="B2417" s="13" t="inlineStr">
        <is>
          <t>CE40</t>
        </is>
      </c>
      <c r="C2417" s="13" t="inlineStr">
        <is>
          <t>B2</t>
        </is>
      </c>
      <c r="D2417" s="13" t="n">
        <v>0</v>
      </c>
      <c r="E2417" s="13" t="inlineStr">
        <is>
          <t>E</t>
        </is>
      </c>
      <c r="F2417" s="13" t="n">
        <v>2020</v>
      </c>
      <c r="G2417" s="14" t="n">
        <v>974764.2655692904</v>
      </c>
      <c r="H2417" s="14" t="n">
        <v>425207.025183674</v>
      </c>
      <c r="I2417" s="14" t="n">
        <v>60609.39458399753</v>
      </c>
      <c r="J2417" s="14" t="n">
        <v>0</v>
      </c>
      <c r="K2417" s="14" t="n">
        <v>1338.922177662569</v>
      </c>
      <c r="L2417" s="14" t="n">
        <v>487608.9236239564</v>
      </c>
      <c r="M2417" s="14" t="n">
        <v>0</v>
      </c>
      <c r="N2417" s="14" t="n">
        <v>425207.025183674</v>
      </c>
      <c r="O2417" s="14" t="n">
        <v>487155.341945334</v>
      </c>
      <c r="P2417" s="14" t="n">
        <v>0</v>
      </c>
      <c r="Q2417" s="14" t="n">
        <v>3236889.839641137</v>
      </c>
      <c r="R2417" s="15">
        <f>IF(D2417=1,"Section 1","Control")</f>
        <v/>
      </c>
      <c r="S2417" s="16">
        <f>N2417/10000</f>
        <v/>
      </c>
      <c r="T2417" s="16">
        <f>P2417/10000</f>
        <v/>
      </c>
      <c r="U2417" s="15">
        <f>IF(N2417&gt;=Summary!$D$3,1,0)</f>
        <v/>
      </c>
      <c r="V2417" s="17">
        <f>IF(N2417&gt;0,P2417/N2417,"")</f>
        <v/>
      </c>
      <c r="W2417" s="17">
        <f>IF(O2417&gt;0,H2417/O2417,"")</f>
        <v/>
      </c>
    </row>
    <row r="2418">
      <c r="A2418" s="13" t="inlineStr">
        <is>
          <t>CE40_B2</t>
        </is>
      </c>
      <c r="B2418" s="13" t="inlineStr">
        <is>
          <t>CE40</t>
        </is>
      </c>
      <c r="C2418" s="13" t="inlineStr">
        <is>
          <t>B2</t>
        </is>
      </c>
      <c r="D2418" s="13" t="n">
        <v>0</v>
      </c>
      <c r="E2418" s="13" t="inlineStr">
        <is>
          <t>E</t>
        </is>
      </c>
      <c r="F2418" s="13" t="n">
        <v>2021</v>
      </c>
      <c r="G2418" s="14" t="n">
        <v>974764.2655692904</v>
      </c>
      <c r="H2418" s="14" t="n">
        <v>410792.1032657399</v>
      </c>
      <c r="I2418" s="14" t="n">
        <v>56404.90165812174</v>
      </c>
      <c r="J2418" s="14" t="n">
        <v>0</v>
      </c>
      <c r="K2418" s="14" t="n">
        <v>19958.33702147241</v>
      </c>
      <c r="L2418" s="14" t="n">
        <v>487608.9236239564</v>
      </c>
      <c r="M2418" s="14" t="n">
        <v>0</v>
      </c>
      <c r="N2418" s="14" t="n">
        <v>425207.025183674</v>
      </c>
      <c r="O2418" s="14" t="n">
        <v>487155.341945334</v>
      </c>
      <c r="P2418" s="14" t="n">
        <v>29563.50292343439</v>
      </c>
      <c r="Q2418" s="14" t="n">
        <v>3236889.839641137</v>
      </c>
      <c r="R2418" s="15">
        <f>IF(D2418=1,"Section 1","Control")</f>
        <v/>
      </c>
      <c r="S2418" s="16">
        <f>N2418/10000</f>
        <v/>
      </c>
      <c r="T2418" s="16">
        <f>P2418/10000</f>
        <v/>
      </c>
      <c r="U2418" s="15">
        <f>IF(N2418&gt;=Summary!$D$3,1,0)</f>
        <v/>
      </c>
      <c r="V2418" s="17">
        <f>IF(N2418&gt;0,P2418/N2418,"")</f>
        <v/>
      </c>
      <c r="W2418" s="17">
        <f>IF(O2418&gt;0,H2418/O2418,"")</f>
        <v/>
      </c>
    </row>
    <row r="2419">
      <c r="A2419" s="13" t="inlineStr">
        <is>
          <t>CE40_B2</t>
        </is>
      </c>
      <c r="B2419" s="13" t="inlineStr">
        <is>
          <t>CE40</t>
        </is>
      </c>
      <c r="C2419" s="13" t="inlineStr">
        <is>
          <t>B2</t>
        </is>
      </c>
      <c r="D2419" s="13" t="n">
        <v>0</v>
      </c>
      <c r="E2419" s="13" t="inlineStr">
        <is>
          <t>E</t>
        </is>
      </c>
      <c r="F2419" s="13" t="n">
        <v>2022</v>
      </c>
      <c r="G2419" s="14" t="n">
        <v>974764.2655692904</v>
      </c>
      <c r="H2419" s="14" t="n">
        <v>364699.3516383154</v>
      </c>
      <c r="I2419" s="14" t="n">
        <v>104810.7571306416</v>
      </c>
      <c r="J2419" s="14" t="n">
        <v>0</v>
      </c>
      <c r="K2419" s="14" t="n">
        <v>17645.23317637724</v>
      </c>
      <c r="L2419" s="14" t="n">
        <v>487608.9236239564</v>
      </c>
      <c r="M2419" s="14" t="n">
        <v>0</v>
      </c>
      <c r="N2419" s="14" t="n">
        <v>425207.025183674</v>
      </c>
      <c r="O2419" s="14" t="n">
        <v>487155.341945334</v>
      </c>
      <c r="P2419" s="14" t="n">
        <v>63559.9248054654</v>
      </c>
      <c r="Q2419" s="14" t="n">
        <v>3236889.839641137</v>
      </c>
      <c r="R2419" s="15">
        <f>IF(D2419=1,"Section 1","Control")</f>
        <v/>
      </c>
      <c r="S2419" s="16">
        <f>N2419/10000</f>
        <v/>
      </c>
      <c r="T2419" s="16">
        <f>P2419/10000</f>
        <v/>
      </c>
      <c r="U2419" s="15">
        <f>IF(N2419&gt;=Summary!$D$3,1,0)</f>
        <v/>
      </c>
      <c r="V2419" s="17">
        <f>IF(N2419&gt;0,P2419/N2419,"")</f>
        <v/>
      </c>
      <c r="W2419" s="17">
        <f>IF(O2419&gt;0,H2419/O2419,"")</f>
        <v/>
      </c>
    </row>
    <row r="2420">
      <c r="A2420" s="13" t="inlineStr">
        <is>
          <t>CE40_B2</t>
        </is>
      </c>
      <c r="B2420" s="13" t="inlineStr">
        <is>
          <t>CE40</t>
        </is>
      </c>
      <c r="C2420" s="13" t="inlineStr">
        <is>
          <t>B2</t>
        </is>
      </c>
      <c r="D2420" s="13" t="n">
        <v>0</v>
      </c>
      <c r="E2420" s="13" t="inlineStr">
        <is>
          <t>E</t>
        </is>
      </c>
      <c r="F2420" s="13" t="n">
        <v>2023</v>
      </c>
      <c r="G2420" s="14" t="n">
        <v>974764.2655692904</v>
      </c>
      <c r="H2420" s="14" t="n">
        <v>368755.5915077958</v>
      </c>
      <c r="I2420" s="14" t="n">
        <v>99363.31076513555</v>
      </c>
      <c r="J2420" s="14" t="n">
        <v>0</v>
      </c>
      <c r="K2420" s="14" t="n">
        <v>19036.43967240277</v>
      </c>
      <c r="L2420" s="14" t="n">
        <v>487608.9236239564</v>
      </c>
      <c r="M2420" s="14" t="n">
        <v>0</v>
      </c>
      <c r="N2420" s="14" t="n">
        <v>425207.025183674</v>
      </c>
      <c r="O2420" s="14" t="n">
        <v>487155.341945334</v>
      </c>
      <c r="P2420" s="14" t="n">
        <v>61266.97064953973</v>
      </c>
      <c r="Q2420" s="14" t="n">
        <v>3236889.839641137</v>
      </c>
      <c r="R2420" s="15">
        <f>IF(D2420=1,"Section 1","Control")</f>
        <v/>
      </c>
      <c r="S2420" s="16">
        <f>N2420/10000</f>
        <v/>
      </c>
      <c r="T2420" s="16">
        <f>P2420/10000</f>
        <v/>
      </c>
      <c r="U2420" s="15">
        <f>IF(N2420&gt;=Summary!$D$3,1,0)</f>
        <v/>
      </c>
      <c r="V2420" s="17">
        <f>IF(N2420&gt;0,P2420/N2420,"")</f>
        <v/>
      </c>
      <c r="W2420" s="17">
        <f>IF(O2420&gt;0,H2420/O2420,"")</f>
        <v/>
      </c>
    </row>
    <row r="2421">
      <c r="A2421" s="13" t="inlineStr">
        <is>
          <t>CE40_B2</t>
        </is>
      </c>
      <c r="B2421" s="13" t="inlineStr">
        <is>
          <t>CE40</t>
        </is>
      </c>
      <c r="C2421" s="13" t="inlineStr">
        <is>
          <t>B2</t>
        </is>
      </c>
      <c r="D2421" s="13" t="n">
        <v>0</v>
      </c>
      <c r="E2421" s="13" t="inlineStr">
        <is>
          <t>E</t>
        </is>
      </c>
      <c r="F2421" s="13" t="n">
        <v>2024</v>
      </c>
      <c r="G2421" s="14" t="n">
        <v>974764.2655692904</v>
      </c>
      <c r="H2421" s="14" t="n">
        <v>434277.7641612334</v>
      </c>
      <c r="I2421" s="14" t="n">
        <v>36156.18078119615</v>
      </c>
      <c r="J2421" s="14" t="n">
        <v>0</v>
      </c>
      <c r="K2421" s="14" t="n">
        <v>16721.39700290456</v>
      </c>
      <c r="L2421" s="14" t="n">
        <v>487608.9236239564</v>
      </c>
      <c r="M2421" s="14" t="n">
        <v>0</v>
      </c>
      <c r="N2421" s="14" t="n">
        <v>425207.025183674</v>
      </c>
      <c r="O2421" s="14" t="n">
        <v>487155.341945334</v>
      </c>
      <c r="P2421" s="14" t="n">
        <v>18269.40370764639</v>
      </c>
      <c r="Q2421" s="14" t="n">
        <v>3236889.839641137</v>
      </c>
      <c r="R2421" s="15">
        <f>IF(D2421=1,"Section 1","Control")</f>
        <v/>
      </c>
      <c r="S2421" s="16">
        <f>N2421/10000</f>
        <v/>
      </c>
      <c r="T2421" s="16">
        <f>P2421/10000</f>
        <v/>
      </c>
      <c r="U2421" s="15">
        <f>IF(N2421&gt;=Summary!$D$3,1,0)</f>
        <v/>
      </c>
      <c r="V2421" s="17">
        <f>IF(N2421&gt;0,P2421/N2421,"")</f>
        <v/>
      </c>
      <c r="W2421" s="17">
        <f>IF(O2421&gt;0,H2421/O2421,"")</f>
        <v/>
      </c>
    </row>
    <row r="2422">
      <c r="A2422" s="13" t="inlineStr">
        <is>
          <t>CE40_B2</t>
        </is>
      </c>
      <c r="B2422" s="13" t="inlineStr">
        <is>
          <t>CE40</t>
        </is>
      </c>
      <c r="C2422" s="13" t="inlineStr">
        <is>
          <t>B2</t>
        </is>
      </c>
      <c r="D2422" s="13" t="n">
        <v>0</v>
      </c>
      <c r="E2422" s="13" t="inlineStr">
        <is>
          <t>E</t>
        </is>
      </c>
      <c r="F2422" s="13" t="n">
        <v>2025</v>
      </c>
      <c r="G2422" s="14" t="n">
        <v>974764.2655692904</v>
      </c>
      <c r="H2422" s="14" t="n">
        <v>417748.4697970522</v>
      </c>
      <c r="I2422" s="14" t="n">
        <v>54418.94749534457</v>
      </c>
      <c r="J2422" s="14" t="n">
        <v>0</v>
      </c>
      <c r="K2422" s="14" t="n">
        <v>14987.92465293735</v>
      </c>
      <c r="L2422" s="14" t="n">
        <v>487608.9236239564</v>
      </c>
      <c r="M2422" s="14" t="n">
        <v>0</v>
      </c>
      <c r="N2422" s="14" t="n">
        <v>425207.025183674</v>
      </c>
      <c r="O2422" s="14" t="n">
        <v>487155.341945334</v>
      </c>
      <c r="P2422" s="14" t="n">
        <v>25979.59642298081</v>
      </c>
      <c r="Q2422" s="14" t="n">
        <v>3236889.839641137</v>
      </c>
      <c r="R2422" s="15">
        <f>IF(D2422=1,"Section 1","Control")</f>
        <v/>
      </c>
      <c r="S2422" s="16">
        <f>N2422/10000</f>
        <v/>
      </c>
      <c r="T2422" s="16">
        <f>P2422/10000</f>
        <v/>
      </c>
      <c r="U2422" s="15">
        <f>IF(N2422&gt;=Summary!$D$3,1,0)</f>
        <v/>
      </c>
      <c r="V2422" s="17">
        <f>IF(N2422&gt;0,P2422/N2422,"")</f>
        <v/>
      </c>
      <c r="W2422" s="17">
        <f>IF(O2422&gt;0,H2422/O2422,"")</f>
        <v/>
      </c>
    </row>
    <row r="2423">
      <c r="A2423" s="13" t="inlineStr">
        <is>
          <t>CE40_B2</t>
        </is>
      </c>
      <c r="B2423" s="13" t="inlineStr">
        <is>
          <t>CE40</t>
        </is>
      </c>
      <c r="C2423" s="13" t="inlineStr">
        <is>
          <t>B2</t>
        </is>
      </c>
      <c r="D2423" s="13" t="n">
        <v>0</v>
      </c>
      <c r="E2423" s="13" t="inlineStr">
        <is>
          <t>E</t>
        </is>
      </c>
      <c r="F2423" s="13" t="n">
        <v>2026</v>
      </c>
      <c r="G2423" s="14" t="n">
        <v>974764.2655692904</v>
      </c>
      <c r="H2423" s="14" t="n">
        <v>395487.145907174</v>
      </c>
      <c r="I2423" s="14" t="n">
        <v>69150.11773965873</v>
      </c>
      <c r="J2423" s="14" t="n">
        <v>0</v>
      </c>
      <c r="K2423" s="14" t="n">
        <v>22518.07829850141</v>
      </c>
      <c r="L2423" s="14" t="n">
        <v>487608.9236239564</v>
      </c>
      <c r="M2423" s="14" t="n">
        <v>0</v>
      </c>
      <c r="N2423" s="14" t="n">
        <v>425207.025183674</v>
      </c>
      <c r="O2423" s="14" t="n">
        <v>487155.341945334</v>
      </c>
      <c r="P2423" s="14" t="n">
        <v>37851.35988467348</v>
      </c>
      <c r="Q2423" s="14" t="n">
        <v>3236889.839641137</v>
      </c>
      <c r="R2423" s="15">
        <f>IF(D2423=1,"Section 1","Control")</f>
        <v/>
      </c>
      <c r="S2423" s="16">
        <f>N2423/10000</f>
        <v/>
      </c>
      <c r="T2423" s="16">
        <f>P2423/10000</f>
        <v/>
      </c>
      <c r="U2423" s="15">
        <f>IF(N2423&gt;=Summary!$D$3,1,0)</f>
        <v/>
      </c>
      <c r="V2423" s="17">
        <f>IF(N2423&gt;0,P2423/N2423,"")</f>
        <v/>
      </c>
      <c r="W2423" s="17">
        <f>IF(O2423&gt;0,H2423/O2423,"")</f>
        <v/>
      </c>
    </row>
    <row r="2424">
      <c r="A2424" s="13" t="inlineStr">
        <is>
          <t>CE40_B3</t>
        </is>
      </c>
      <c r="B2424" s="13" t="inlineStr">
        <is>
          <t>CE40</t>
        </is>
      </c>
      <c r="C2424" s="13" t="inlineStr">
        <is>
          <t>B3</t>
        </is>
      </c>
      <c r="D2424" s="13" t="n">
        <v>0</v>
      </c>
      <c r="E2424" s="13" t="inlineStr">
        <is>
          <t>E</t>
        </is>
      </c>
      <c r="F2424" s="13" t="n">
        <v>2020</v>
      </c>
      <c r="G2424" s="14" t="n">
        <v>7796705.347793218</v>
      </c>
      <c r="H2424" s="14" t="n">
        <v>2597657.630519912</v>
      </c>
      <c r="I2424" s="14" t="n">
        <v>1205001.478102082</v>
      </c>
      <c r="J2424" s="14" t="n">
        <v>0</v>
      </c>
      <c r="K2424" s="14" t="n">
        <v>10488.80375031116</v>
      </c>
      <c r="L2424" s="14" t="n">
        <v>3983557.435420915</v>
      </c>
      <c r="M2424" s="14" t="n">
        <v>0</v>
      </c>
      <c r="N2424" s="14" t="n">
        <v>2597657.630519912</v>
      </c>
      <c r="O2424" s="14" t="n">
        <v>3813147.912372306</v>
      </c>
      <c r="P2424" s="14" t="n">
        <v>0</v>
      </c>
      <c r="Q2424" s="14" t="n">
        <v>32408962.55100756</v>
      </c>
      <c r="R2424" s="15">
        <f>IF(D2424=1,"Section 1","Control")</f>
        <v/>
      </c>
      <c r="S2424" s="16">
        <f>N2424/10000</f>
        <v/>
      </c>
      <c r="T2424" s="16">
        <f>P2424/10000</f>
        <v/>
      </c>
      <c r="U2424" s="15">
        <f>IF(N2424&gt;=Summary!$D$3,1,0)</f>
        <v/>
      </c>
      <c r="V2424" s="17">
        <f>IF(N2424&gt;0,P2424/N2424,"")</f>
        <v/>
      </c>
      <c r="W2424" s="17">
        <f>IF(O2424&gt;0,H2424/O2424,"")</f>
        <v/>
      </c>
    </row>
    <row r="2425">
      <c r="A2425" s="13" t="inlineStr">
        <is>
          <t>CE40_B3</t>
        </is>
      </c>
      <c r="B2425" s="13" t="inlineStr">
        <is>
          <t>CE40</t>
        </is>
      </c>
      <c r="C2425" s="13" t="inlineStr">
        <is>
          <t>B3</t>
        </is>
      </c>
      <c r="D2425" s="13" t="n">
        <v>0</v>
      </c>
      <c r="E2425" s="13" t="inlineStr">
        <is>
          <t>E</t>
        </is>
      </c>
      <c r="F2425" s="13" t="n">
        <v>2021</v>
      </c>
      <c r="G2425" s="14" t="n">
        <v>7796705.34779322</v>
      </c>
      <c r="H2425" s="14" t="n">
        <v>2138672.732979269</v>
      </c>
      <c r="I2425" s="14" t="n">
        <v>1387098.223663809</v>
      </c>
      <c r="J2425" s="14" t="n">
        <v>0</v>
      </c>
      <c r="K2425" s="14" t="n">
        <v>294131.8848665424</v>
      </c>
      <c r="L2425" s="14" t="n">
        <v>3976802.506283599</v>
      </c>
      <c r="M2425" s="14" t="n">
        <v>0</v>
      </c>
      <c r="N2425" s="14" t="n">
        <v>2597657.630519912</v>
      </c>
      <c r="O2425" s="14" t="n">
        <v>3813147.912372305</v>
      </c>
      <c r="P2425" s="14" t="n">
        <v>569337.6850508149</v>
      </c>
      <c r="Q2425" s="14" t="n">
        <v>32408962.55100756</v>
      </c>
      <c r="R2425" s="15">
        <f>IF(D2425=1,"Section 1","Control")</f>
        <v/>
      </c>
      <c r="S2425" s="16">
        <f>N2425/10000</f>
        <v/>
      </c>
      <c r="T2425" s="16">
        <f>P2425/10000</f>
        <v/>
      </c>
      <c r="U2425" s="15">
        <f>IF(N2425&gt;=Summary!$D$3,1,0)</f>
        <v/>
      </c>
      <c r="V2425" s="17">
        <f>IF(N2425&gt;0,P2425/N2425,"")</f>
        <v/>
      </c>
      <c r="W2425" s="17">
        <f>IF(O2425&gt;0,H2425/O2425,"")</f>
        <v/>
      </c>
    </row>
    <row r="2426">
      <c r="A2426" s="13" t="inlineStr">
        <is>
          <t>CE40_B3</t>
        </is>
      </c>
      <c r="B2426" s="13" t="inlineStr">
        <is>
          <t>CE40</t>
        </is>
      </c>
      <c r="C2426" s="13" t="inlineStr">
        <is>
          <t>B3</t>
        </is>
      </c>
      <c r="D2426" s="13" t="n">
        <v>0</v>
      </c>
      <c r="E2426" s="13" t="inlineStr">
        <is>
          <t>E</t>
        </is>
      </c>
      <c r="F2426" s="13" t="n">
        <v>2022</v>
      </c>
      <c r="G2426" s="14" t="n">
        <v>7796705.347793219</v>
      </c>
      <c r="H2426" s="14" t="n">
        <v>1816811.690771275</v>
      </c>
      <c r="I2426" s="14" t="n">
        <v>1682807.202693685</v>
      </c>
      <c r="J2426" s="14" t="n">
        <v>0</v>
      </c>
      <c r="K2426" s="14" t="n">
        <v>324233.0700539383</v>
      </c>
      <c r="L2426" s="14" t="n">
        <v>3972853.384274322</v>
      </c>
      <c r="M2426" s="14" t="n">
        <v>0</v>
      </c>
      <c r="N2426" s="14" t="n">
        <v>2597657.630519912</v>
      </c>
      <c r="O2426" s="14" t="n">
        <v>3813147.912372306</v>
      </c>
      <c r="P2426" s="14" t="n">
        <v>804726.0548635445</v>
      </c>
      <c r="Q2426" s="14" t="n">
        <v>32408962.55100755</v>
      </c>
      <c r="R2426" s="15">
        <f>IF(D2426=1,"Section 1","Control")</f>
        <v/>
      </c>
      <c r="S2426" s="16">
        <f>N2426/10000</f>
        <v/>
      </c>
      <c r="T2426" s="16">
        <f>P2426/10000</f>
        <v/>
      </c>
      <c r="U2426" s="15">
        <f>IF(N2426&gt;=Summary!$D$3,1,0)</f>
        <v/>
      </c>
      <c r="V2426" s="17">
        <f>IF(N2426&gt;0,P2426/N2426,"")</f>
        <v/>
      </c>
      <c r="W2426" s="17">
        <f>IF(O2426&gt;0,H2426/O2426,"")</f>
        <v/>
      </c>
    </row>
    <row r="2427">
      <c r="A2427" s="13" t="inlineStr">
        <is>
          <t>CE40_B3</t>
        </is>
      </c>
      <c r="B2427" s="13" t="inlineStr">
        <is>
          <t>CE40</t>
        </is>
      </c>
      <c r="C2427" s="13" t="inlineStr">
        <is>
          <t>B3</t>
        </is>
      </c>
      <c r="D2427" s="13" t="n">
        <v>0</v>
      </c>
      <c r="E2427" s="13" t="inlineStr">
        <is>
          <t>E</t>
        </is>
      </c>
      <c r="F2427" s="13" t="n">
        <v>2023</v>
      </c>
      <c r="G2427" s="14" t="n">
        <v>7796705.347793219</v>
      </c>
      <c r="H2427" s="14" t="n">
        <v>1845081.206355077</v>
      </c>
      <c r="I2427" s="14" t="n">
        <v>1833216.485382499</v>
      </c>
      <c r="J2427" s="14" t="n">
        <v>0</v>
      </c>
      <c r="K2427" s="14" t="n">
        <v>130416.3677624572</v>
      </c>
      <c r="L2427" s="14" t="n">
        <v>3987991.288293187</v>
      </c>
      <c r="M2427" s="14" t="n">
        <v>0</v>
      </c>
      <c r="N2427" s="14" t="n">
        <v>2597657.630519912</v>
      </c>
      <c r="O2427" s="14" t="n">
        <v>3813147.912372305</v>
      </c>
      <c r="P2427" s="14" t="n">
        <v>795592.2244444605</v>
      </c>
      <c r="Q2427" s="14" t="n">
        <v>32408962.55100756</v>
      </c>
      <c r="R2427" s="15">
        <f>IF(D2427=1,"Section 1","Control")</f>
        <v/>
      </c>
      <c r="S2427" s="16">
        <f>N2427/10000</f>
        <v/>
      </c>
      <c r="T2427" s="16">
        <f>P2427/10000</f>
        <v/>
      </c>
      <c r="U2427" s="15">
        <f>IF(N2427&gt;=Summary!$D$3,1,0)</f>
        <v/>
      </c>
      <c r="V2427" s="17">
        <f>IF(N2427&gt;0,P2427/N2427,"")</f>
        <v/>
      </c>
      <c r="W2427" s="17">
        <f>IF(O2427&gt;0,H2427/O2427,"")</f>
        <v/>
      </c>
    </row>
    <row r="2428">
      <c r="A2428" s="13" t="inlineStr">
        <is>
          <t>CE40_B3</t>
        </is>
      </c>
      <c r="B2428" s="13" t="inlineStr">
        <is>
          <t>CE40</t>
        </is>
      </c>
      <c r="C2428" s="13" t="inlineStr">
        <is>
          <t>B3</t>
        </is>
      </c>
      <c r="D2428" s="13" t="n">
        <v>0</v>
      </c>
      <c r="E2428" s="13" t="inlineStr">
        <is>
          <t>E</t>
        </is>
      </c>
      <c r="F2428" s="13" t="n">
        <v>2024</v>
      </c>
      <c r="G2428" s="14" t="n">
        <v>7796705.347793219</v>
      </c>
      <c r="H2428" s="14" t="n">
        <v>2448925.338850762</v>
      </c>
      <c r="I2428" s="14" t="n">
        <v>1252474.227989346</v>
      </c>
      <c r="J2428" s="14" t="n">
        <v>0</v>
      </c>
      <c r="K2428" s="14" t="n">
        <v>112242.7611497767</v>
      </c>
      <c r="L2428" s="14" t="n">
        <v>3983063.019803335</v>
      </c>
      <c r="M2428" s="14" t="n">
        <v>0</v>
      </c>
      <c r="N2428" s="14" t="n">
        <v>2597657.630519912</v>
      </c>
      <c r="O2428" s="14" t="n">
        <v>3813147.912372305</v>
      </c>
      <c r="P2428" s="14" t="n">
        <v>388332.0107536765</v>
      </c>
      <c r="Q2428" s="14" t="n">
        <v>32408962.55100756</v>
      </c>
      <c r="R2428" s="15">
        <f>IF(D2428=1,"Section 1","Control")</f>
        <v/>
      </c>
      <c r="S2428" s="16">
        <f>N2428/10000</f>
        <v/>
      </c>
      <c r="T2428" s="16">
        <f>P2428/10000</f>
        <v/>
      </c>
      <c r="U2428" s="15">
        <f>IF(N2428&gt;=Summary!$D$3,1,0)</f>
        <v/>
      </c>
      <c r="V2428" s="17">
        <f>IF(N2428&gt;0,P2428/N2428,"")</f>
        <v/>
      </c>
      <c r="W2428" s="17">
        <f>IF(O2428&gt;0,H2428/O2428,"")</f>
        <v/>
      </c>
    </row>
    <row r="2429">
      <c r="A2429" s="13" t="inlineStr">
        <is>
          <t>CE40_B3</t>
        </is>
      </c>
      <c r="B2429" s="13" t="inlineStr">
        <is>
          <t>CE40</t>
        </is>
      </c>
      <c r="C2429" s="13" t="inlineStr">
        <is>
          <t>B3</t>
        </is>
      </c>
      <c r="D2429" s="13" t="n">
        <v>0</v>
      </c>
      <c r="E2429" s="13" t="inlineStr">
        <is>
          <t>E</t>
        </is>
      </c>
      <c r="F2429" s="13" t="n">
        <v>2025</v>
      </c>
      <c r="G2429" s="14" t="n">
        <v>7796705.347793219</v>
      </c>
      <c r="H2429" s="14" t="n">
        <v>2530337.689874357</v>
      </c>
      <c r="I2429" s="14" t="n">
        <v>1184459.818834552</v>
      </c>
      <c r="J2429" s="14" t="n">
        <v>0</v>
      </c>
      <c r="K2429" s="14" t="n">
        <v>94932.09397777484</v>
      </c>
      <c r="L2429" s="14" t="n">
        <v>3986975.745106536</v>
      </c>
      <c r="M2429" s="14" t="n">
        <v>0</v>
      </c>
      <c r="N2429" s="14" t="n">
        <v>2597657.630519912</v>
      </c>
      <c r="O2429" s="14" t="n">
        <v>3813147.912372306</v>
      </c>
      <c r="P2429" s="14" t="n">
        <v>396014.892908792</v>
      </c>
      <c r="Q2429" s="14" t="n">
        <v>32408962.55100756</v>
      </c>
      <c r="R2429" s="15">
        <f>IF(D2429=1,"Section 1","Control")</f>
        <v/>
      </c>
      <c r="S2429" s="16">
        <f>N2429/10000</f>
        <v/>
      </c>
      <c r="T2429" s="16">
        <f>P2429/10000</f>
        <v/>
      </c>
      <c r="U2429" s="15">
        <f>IF(N2429&gt;=Summary!$D$3,1,0)</f>
        <v/>
      </c>
      <c r="V2429" s="17">
        <f>IF(N2429&gt;0,P2429/N2429,"")</f>
        <v/>
      </c>
      <c r="W2429" s="17">
        <f>IF(O2429&gt;0,H2429/O2429,"")</f>
        <v/>
      </c>
    </row>
    <row r="2430">
      <c r="A2430" s="13" t="inlineStr">
        <is>
          <t>CE40_B3</t>
        </is>
      </c>
      <c r="B2430" s="13" t="inlineStr">
        <is>
          <t>CE40</t>
        </is>
      </c>
      <c r="C2430" s="13" t="inlineStr">
        <is>
          <t>B3</t>
        </is>
      </c>
      <c r="D2430" s="13" t="n">
        <v>0</v>
      </c>
      <c r="E2430" s="13" t="inlineStr">
        <is>
          <t>E</t>
        </is>
      </c>
      <c r="F2430" s="13" t="n">
        <v>2026</v>
      </c>
      <c r="G2430" s="14" t="n">
        <v>7796705.347793219</v>
      </c>
      <c r="H2430" s="14" t="n">
        <v>2101828.300873521</v>
      </c>
      <c r="I2430" s="14" t="n">
        <v>1619647.528570916</v>
      </c>
      <c r="J2430" s="14" t="n">
        <v>0</v>
      </c>
      <c r="K2430" s="14" t="n">
        <v>85869.58785711549</v>
      </c>
      <c r="L2430" s="14" t="n">
        <v>3989359.930491667</v>
      </c>
      <c r="M2430" s="14" t="n">
        <v>0</v>
      </c>
      <c r="N2430" s="14" t="n">
        <v>2597657.630519912</v>
      </c>
      <c r="O2430" s="14" t="n">
        <v>3813147.912372306</v>
      </c>
      <c r="P2430" s="14" t="n">
        <v>668214.9898665185</v>
      </c>
      <c r="Q2430" s="14" t="n">
        <v>32408962.55100756</v>
      </c>
      <c r="R2430" s="15">
        <f>IF(D2430=1,"Section 1","Control")</f>
        <v/>
      </c>
      <c r="S2430" s="16">
        <f>N2430/10000</f>
        <v/>
      </c>
      <c r="T2430" s="16">
        <f>P2430/10000</f>
        <v/>
      </c>
      <c r="U2430" s="15">
        <f>IF(N2430&gt;=Summary!$D$3,1,0)</f>
        <v/>
      </c>
      <c r="V2430" s="17">
        <f>IF(N2430&gt;0,P2430/N2430,"")</f>
        <v/>
      </c>
      <c r="W2430" s="17">
        <f>IF(O2430&gt;0,H2430/O2430,"")</f>
        <v/>
      </c>
    </row>
    <row r="2431">
      <c r="A2431" s="13" t="inlineStr">
        <is>
          <t>CE40_F</t>
        </is>
      </c>
      <c r="B2431" s="13" t="inlineStr">
        <is>
          <t>CE40</t>
        </is>
      </c>
      <c r="C2431" s="13" t="inlineStr">
        <is>
          <t>F</t>
        </is>
      </c>
      <c r="D2431" s="13" t="n">
        <v>0</v>
      </c>
      <c r="E2431" s="13" t="inlineStr">
        <is>
          <t>E</t>
        </is>
      </c>
      <c r="F2431" s="13" t="n">
        <v>2020</v>
      </c>
      <c r="G2431" s="14" t="n">
        <v>67465.35917633655</v>
      </c>
      <c r="H2431" s="14" t="n">
        <v>28926.19091401942</v>
      </c>
      <c r="I2431" s="14" t="n">
        <v>35092.69541808483</v>
      </c>
      <c r="J2431" s="14" t="n">
        <v>0</v>
      </c>
      <c r="K2431" s="14" t="n">
        <v>1288.989102681478</v>
      </c>
      <c r="L2431" s="14" t="n">
        <v>2157.48374155082</v>
      </c>
      <c r="M2431" s="14" t="n">
        <v>0</v>
      </c>
      <c r="N2431" s="14" t="n">
        <v>28926.19091401942</v>
      </c>
      <c r="O2431" s="14" t="n">
        <v>65307.87543478573</v>
      </c>
      <c r="P2431" s="14" t="n">
        <v>0</v>
      </c>
      <c r="Q2431" s="14" t="n">
        <v>115254.3183860629</v>
      </c>
      <c r="R2431" s="15">
        <f>IF(D2431=1,"Section 1","Control")</f>
        <v/>
      </c>
      <c r="S2431" s="16">
        <f>N2431/10000</f>
        <v/>
      </c>
      <c r="T2431" s="16">
        <f>P2431/10000</f>
        <v/>
      </c>
      <c r="U2431" s="15">
        <f>IF(N2431&gt;=Summary!$D$3,1,0)</f>
        <v/>
      </c>
      <c r="V2431" s="17">
        <f>IF(N2431&gt;0,P2431/N2431,"")</f>
        <v/>
      </c>
      <c r="W2431" s="17">
        <f>IF(O2431&gt;0,H2431/O2431,"")</f>
        <v/>
      </c>
    </row>
    <row r="2432">
      <c r="A2432" s="13" t="inlineStr">
        <is>
          <t>CE40_F</t>
        </is>
      </c>
      <c r="B2432" s="13" t="inlineStr">
        <is>
          <t>CE40</t>
        </is>
      </c>
      <c r="C2432" s="13" t="inlineStr">
        <is>
          <t>F</t>
        </is>
      </c>
      <c r="D2432" s="13" t="n">
        <v>0</v>
      </c>
      <c r="E2432" s="13" t="inlineStr">
        <is>
          <t>E</t>
        </is>
      </c>
      <c r="F2432" s="13" t="n">
        <v>2021</v>
      </c>
      <c r="G2432" s="14" t="n">
        <v>67465.35917633655</v>
      </c>
      <c r="H2432" s="14" t="n">
        <v>22724.40893785065</v>
      </c>
      <c r="I2432" s="14" t="n">
        <v>38309.55247572357</v>
      </c>
      <c r="J2432" s="14" t="n">
        <v>0</v>
      </c>
      <c r="K2432" s="14" t="n">
        <v>5256.630000365014</v>
      </c>
      <c r="L2432" s="14" t="n">
        <v>1174.767762397317</v>
      </c>
      <c r="M2432" s="14" t="n">
        <v>0</v>
      </c>
      <c r="N2432" s="14" t="n">
        <v>28926.19091401942</v>
      </c>
      <c r="O2432" s="14" t="n">
        <v>65307.87543478573</v>
      </c>
      <c r="P2432" s="14" t="n">
        <v>6935.139436968635</v>
      </c>
      <c r="Q2432" s="14" t="n">
        <v>115254.3183860629</v>
      </c>
      <c r="R2432" s="15">
        <f>IF(D2432=1,"Section 1","Control")</f>
        <v/>
      </c>
      <c r="S2432" s="16">
        <f>N2432/10000</f>
        <v/>
      </c>
      <c r="T2432" s="16">
        <f>P2432/10000</f>
        <v/>
      </c>
      <c r="U2432" s="15">
        <f>IF(N2432&gt;=Summary!$D$3,1,0)</f>
        <v/>
      </c>
      <c r="V2432" s="17">
        <f>IF(N2432&gt;0,P2432/N2432,"")</f>
        <v/>
      </c>
      <c r="W2432" s="17">
        <f>IF(O2432&gt;0,H2432/O2432,"")</f>
        <v/>
      </c>
    </row>
    <row r="2433">
      <c r="A2433" s="13" t="inlineStr">
        <is>
          <t>CE40_F</t>
        </is>
      </c>
      <c r="B2433" s="13" t="inlineStr">
        <is>
          <t>CE40</t>
        </is>
      </c>
      <c r="C2433" s="13" t="inlineStr">
        <is>
          <t>F</t>
        </is>
      </c>
      <c r="D2433" s="13" t="n">
        <v>0</v>
      </c>
      <c r="E2433" s="13" t="inlineStr">
        <is>
          <t>E</t>
        </is>
      </c>
      <c r="F2433" s="13" t="n">
        <v>2022</v>
      </c>
      <c r="G2433" s="14" t="n">
        <v>67465.35917633655</v>
      </c>
      <c r="H2433" s="14" t="n">
        <v>31065.47789204916</v>
      </c>
      <c r="I2433" s="14" t="n">
        <v>31102.59067640116</v>
      </c>
      <c r="J2433" s="14" t="n">
        <v>0</v>
      </c>
      <c r="K2433" s="14" t="n">
        <v>2847.082888135724</v>
      </c>
      <c r="L2433" s="14" t="n">
        <v>2450.207719750498</v>
      </c>
      <c r="M2433" s="14" t="n">
        <v>0</v>
      </c>
      <c r="N2433" s="14" t="n">
        <v>28926.19091401942</v>
      </c>
      <c r="O2433" s="14" t="n">
        <v>65307.87543478573</v>
      </c>
      <c r="P2433" s="14" t="n">
        <v>3731.444056851256</v>
      </c>
      <c r="Q2433" s="14" t="n">
        <v>115254.3183860629</v>
      </c>
      <c r="R2433" s="15">
        <f>IF(D2433=1,"Section 1","Control")</f>
        <v/>
      </c>
      <c r="S2433" s="16">
        <f>N2433/10000</f>
        <v/>
      </c>
      <c r="T2433" s="16">
        <f>P2433/10000</f>
        <v/>
      </c>
      <c r="U2433" s="15">
        <f>IF(N2433&gt;=Summary!$D$3,1,0)</f>
        <v/>
      </c>
      <c r="V2433" s="17">
        <f>IF(N2433&gt;0,P2433/N2433,"")</f>
        <v/>
      </c>
      <c r="W2433" s="17">
        <f>IF(O2433&gt;0,H2433/O2433,"")</f>
        <v/>
      </c>
    </row>
    <row r="2434">
      <c r="A2434" s="13" t="inlineStr">
        <is>
          <t>CE40_F</t>
        </is>
      </c>
      <c r="B2434" s="13" t="inlineStr">
        <is>
          <t>CE40</t>
        </is>
      </c>
      <c r="C2434" s="13" t="inlineStr">
        <is>
          <t>F</t>
        </is>
      </c>
      <c r="D2434" s="13" t="n">
        <v>0</v>
      </c>
      <c r="E2434" s="13" t="inlineStr">
        <is>
          <t>E</t>
        </is>
      </c>
      <c r="F2434" s="13" t="n">
        <v>2023</v>
      </c>
      <c r="G2434" s="14" t="n">
        <v>67465.35917633655</v>
      </c>
      <c r="H2434" s="14" t="n">
        <v>22664.39598104439</v>
      </c>
      <c r="I2434" s="14" t="n">
        <v>39144.35015124153</v>
      </c>
      <c r="J2434" s="14" t="n">
        <v>0</v>
      </c>
      <c r="K2434" s="14" t="n">
        <v>3728.352167226753</v>
      </c>
      <c r="L2434" s="14" t="n">
        <v>1928.260876823874</v>
      </c>
      <c r="M2434" s="14" t="n">
        <v>0</v>
      </c>
      <c r="N2434" s="14" t="n">
        <v>28926.19091401942</v>
      </c>
      <c r="O2434" s="14" t="n">
        <v>65307.87543478573</v>
      </c>
      <c r="P2434" s="14" t="n">
        <v>7898.491098022461</v>
      </c>
      <c r="Q2434" s="14" t="n">
        <v>115254.3183860629</v>
      </c>
      <c r="R2434" s="15">
        <f>IF(D2434=1,"Section 1","Control")</f>
        <v/>
      </c>
      <c r="S2434" s="16">
        <f>N2434/10000</f>
        <v/>
      </c>
      <c r="T2434" s="16">
        <f>P2434/10000</f>
        <v/>
      </c>
      <c r="U2434" s="15">
        <f>IF(N2434&gt;=Summary!$D$3,1,0)</f>
        <v/>
      </c>
      <c r="V2434" s="17">
        <f>IF(N2434&gt;0,P2434/N2434,"")</f>
        <v/>
      </c>
      <c r="W2434" s="17">
        <f>IF(O2434&gt;0,H2434/O2434,"")</f>
        <v/>
      </c>
    </row>
    <row r="2435">
      <c r="A2435" s="13" t="inlineStr">
        <is>
          <t>CE40_F</t>
        </is>
      </c>
      <c r="B2435" s="13" t="inlineStr">
        <is>
          <t>CE40</t>
        </is>
      </c>
      <c r="C2435" s="13" t="inlineStr">
        <is>
          <t>F</t>
        </is>
      </c>
      <c r="D2435" s="13" t="n">
        <v>0</v>
      </c>
      <c r="E2435" s="13" t="inlineStr">
        <is>
          <t>E</t>
        </is>
      </c>
      <c r="F2435" s="13" t="n">
        <v>2024</v>
      </c>
      <c r="G2435" s="14" t="n">
        <v>67465.35917633655</v>
      </c>
      <c r="H2435" s="14" t="n">
        <v>31859.62070106058</v>
      </c>
      <c r="I2435" s="14" t="n">
        <v>29813.60550468293</v>
      </c>
      <c r="J2435" s="14" t="n">
        <v>0</v>
      </c>
      <c r="K2435" s="14" t="n">
        <v>5465.722612897087</v>
      </c>
      <c r="L2435" s="14" t="n">
        <v>326.4103576959348</v>
      </c>
      <c r="M2435" s="14" t="n">
        <v>0</v>
      </c>
      <c r="N2435" s="14" t="n">
        <v>28926.19091401942</v>
      </c>
      <c r="O2435" s="14" t="n">
        <v>65307.87543478573</v>
      </c>
      <c r="P2435" s="14" t="n">
        <v>4032.686651312136</v>
      </c>
      <c r="Q2435" s="14" t="n">
        <v>115254.3183860629</v>
      </c>
      <c r="R2435" s="15">
        <f>IF(D2435=1,"Section 1","Control")</f>
        <v/>
      </c>
      <c r="S2435" s="16">
        <f>N2435/10000</f>
        <v/>
      </c>
      <c r="T2435" s="16">
        <f>P2435/10000</f>
        <v/>
      </c>
      <c r="U2435" s="15">
        <f>IF(N2435&gt;=Summary!$D$3,1,0)</f>
        <v/>
      </c>
      <c r="V2435" s="17">
        <f>IF(N2435&gt;0,P2435/N2435,"")</f>
        <v/>
      </c>
      <c r="W2435" s="17">
        <f>IF(O2435&gt;0,H2435/O2435,"")</f>
        <v/>
      </c>
    </row>
    <row r="2436">
      <c r="A2436" s="13" t="inlineStr">
        <is>
          <t>CE40_F</t>
        </is>
      </c>
      <c r="B2436" s="13" t="inlineStr">
        <is>
          <t>CE40</t>
        </is>
      </c>
      <c r="C2436" s="13" t="inlineStr">
        <is>
          <t>F</t>
        </is>
      </c>
      <c r="D2436" s="13" t="n">
        <v>0</v>
      </c>
      <c r="E2436" s="13" t="inlineStr">
        <is>
          <t>E</t>
        </is>
      </c>
      <c r="F2436" s="13" t="n">
        <v>2025</v>
      </c>
      <c r="G2436" s="14" t="n">
        <v>67465.35917633655</v>
      </c>
      <c r="H2436" s="14" t="n">
        <v>25258.63561571907</v>
      </c>
      <c r="I2436" s="14" t="n">
        <v>37884.78930026785</v>
      </c>
      <c r="J2436" s="14" t="n">
        <v>0</v>
      </c>
      <c r="K2436" s="14" t="n">
        <v>1998.728315166399</v>
      </c>
      <c r="L2436" s="14" t="n">
        <v>2323.205945183249</v>
      </c>
      <c r="M2436" s="14" t="n">
        <v>0</v>
      </c>
      <c r="N2436" s="14" t="n">
        <v>28926.19091401942</v>
      </c>
      <c r="O2436" s="14" t="n">
        <v>65307.87543478573</v>
      </c>
      <c r="P2436" s="14" t="n">
        <v>7233.670199734557</v>
      </c>
      <c r="Q2436" s="14" t="n">
        <v>115254.3183860629</v>
      </c>
      <c r="R2436" s="15">
        <f>IF(D2436=1,"Section 1","Control")</f>
        <v/>
      </c>
      <c r="S2436" s="16">
        <f>N2436/10000</f>
        <v/>
      </c>
      <c r="T2436" s="16">
        <f>P2436/10000</f>
        <v/>
      </c>
      <c r="U2436" s="15">
        <f>IF(N2436&gt;=Summary!$D$3,1,0)</f>
        <v/>
      </c>
      <c r="V2436" s="17">
        <f>IF(N2436&gt;0,P2436/N2436,"")</f>
        <v/>
      </c>
      <c r="W2436" s="17">
        <f>IF(O2436&gt;0,H2436/O2436,"")</f>
        <v/>
      </c>
    </row>
    <row r="2437">
      <c r="A2437" s="13" t="inlineStr">
        <is>
          <t>CE40_F</t>
        </is>
      </c>
      <c r="B2437" s="13" t="inlineStr">
        <is>
          <t>CE40</t>
        </is>
      </c>
      <c r="C2437" s="13" t="inlineStr">
        <is>
          <t>F</t>
        </is>
      </c>
      <c r="D2437" s="13" t="n">
        <v>0</v>
      </c>
      <c r="E2437" s="13" t="inlineStr">
        <is>
          <t>E</t>
        </is>
      </c>
      <c r="F2437" s="13" t="n">
        <v>2026</v>
      </c>
      <c r="G2437" s="14" t="n">
        <v>67465.35917633655</v>
      </c>
      <c r="H2437" s="14" t="n">
        <v>37414.00349671607</v>
      </c>
      <c r="I2437" s="14" t="n">
        <v>25363.51735666312</v>
      </c>
      <c r="J2437" s="14" t="n">
        <v>0</v>
      </c>
      <c r="K2437" s="14" t="n">
        <v>2040.158114803538</v>
      </c>
      <c r="L2437" s="14" t="n">
        <v>2647.680208153819</v>
      </c>
      <c r="M2437" s="14" t="n">
        <v>0</v>
      </c>
      <c r="N2437" s="14" t="n">
        <v>28926.19091401942</v>
      </c>
      <c r="O2437" s="14" t="n">
        <v>65307.87543478573</v>
      </c>
      <c r="P2437" s="14" t="n">
        <v>3498.351324911679</v>
      </c>
      <c r="Q2437" s="14" t="n">
        <v>115254.3183860629</v>
      </c>
      <c r="R2437" s="15">
        <f>IF(D2437=1,"Section 1","Control")</f>
        <v/>
      </c>
      <c r="S2437" s="16">
        <f>N2437/10000</f>
        <v/>
      </c>
      <c r="T2437" s="16">
        <f>P2437/10000</f>
        <v/>
      </c>
      <c r="U2437" s="15">
        <f>IF(N2437&gt;=Summary!$D$3,1,0)</f>
        <v/>
      </c>
      <c r="V2437" s="17">
        <f>IF(N2437&gt;0,P2437/N2437,"")</f>
        <v/>
      </c>
      <c r="W2437" s="17">
        <f>IF(O2437&gt;0,H2437/O2437,"")</f>
        <v/>
      </c>
    </row>
    <row r="2438">
      <c r="A2438" s="13" t="inlineStr">
        <is>
          <t>CE41_B1</t>
        </is>
      </c>
      <c r="B2438" s="13" t="inlineStr">
        <is>
          <t>CE41</t>
        </is>
      </c>
      <c r="C2438" s="13" t="inlineStr">
        <is>
          <t>B1</t>
        </is>
      </c>
      <c r="D2438" s="13" t="n">
        <v>0</v>
      </c>
      <c r="E2438" s="13" t="inlineStr">
        <is>
          <t>E</t>
        </is>
      </c>
      <c r="F2438" s="13" t="n">
        <v>2020</v>
      </c>
      <c r="G2438" s="14" t="n">
        <v>1000328.418619433</v>
      </c>
      <c r="H2438" s="14" t="n">
        <v>513248.1555970435</v>
      </c>
      <c r="I2438" s="14" t="n">
        <v>223700.8777256685</v>
      </c>
      <c r="J2438" s="14" t="n">
        <v>0</v>
      </c>
      <c r="K2438" s="14" t="n">
        <v>21115.64300785439</v>
      </c>
      <c r="L2438" s="14" t="n">
        <v>242263.7422888662</v>
      </c>
      <c r="M2438" s="14" t="n">
        <v>0</v>
      </c>
      <c r="N2438" s="14" t="n">
        <v>513248.1555970435</v>
      </c>
      <c r="O2438" s="14" t="n">
        <v>758064.6763305663</v>
      </c>
      <c r="P2438" s="14" t="n">
        <v>0</v>
      </c>
      <c r="Q2438" s="14" t="n">
        <v>2909316.547236723</v>
      </c>
      <c r="R2438" s="15">
        <f>IF(D2438=1,"Section 1","Control")</f>
        <v/>
      </c>
      <c r="S2438" s="16">
        <f>N2438/10000</f>
        <v/>
      </c>
      <c r="T2438" s="16">
        <f>P2438/10000</f>
        <v/>
      </c>
      <c r="U2438" s="15">
        <f>IF(N2438&gt;=Summary!$D$3,1,0)</f>
        <v/>
      </c>
      <c r="V2438" s="17">
        <f>IF(N2438&gt;0,P2438/N2438,"")</f>
        <v/>
      </c>
      <c r="W2438" s="17">
        <f>IF(O2438&gt;0,H2438/O2438,"")</f>
        <v/>
      </c>
    </row>
    <row r="2439">
      <c r="A2439" s="13" t="inlineStr">
        <is>
          <t>CE41_B1</t>
        </is>
      </c>
      <c r="B2439" s="13" t="inlineStr">
        <is>
          <t>CE41</t>
        </is>
      </c>
      <c r="C2439" s="13" t="inlineStr">
        <is>
          <t>B1</t>
        </is>
      </c>
      <c r="D2439" s="13" t="n">
        <v>0</v>
      </c>
      <c r="E2439" s="13" t="inlineStr">
        <is>
          <t>E</t>
        </is>
      </c>
      <c r="F2439" s="13" t="n">
        <v>2021</v>
      </c>
      <c r="G2439" s="14" t="n">
        <v>1000328.418619433</v>
      </c>
      <c r="H2439" s="14" t="n">
        <v>479382.721283707</v>
      </c>
      <c r="I2439" s="14" t="n">
        <v>276756.1896503823</v>
      </c>
      <c r="J2439" s="14" t="n">
        <v>0</v>
      </c>
      <c r="K2439" s="14" t="n">
        <v>36291.61398270551</v>
      </c>
      <c r="L2439" s="14" t="n">
        <v>207897.8937026379</v>
      </c>
      <c r="M2439" s="14" t="n">
        <v>0</v>
      </c>
      <c r="N2439" s="14" t="n">
        <v>513248.1555970435</v>
      </c>
      <c r="O2439" s="14" t="n">
        <v>758064.6763305663</v>
      </c>
      <c r="P2439" s="14" t="n">
        <v>39392.73778492049</v>
      </c>
      <c r="Q2439" s="14" t="n">
        <v>2909316.547236723</v>
      </c>
      <c r="R2439" s="15">
        <f>IF(D2439=1,"Section 1","Control")</f>
        <v/>
      </c>
      <c r="S2439" s="16">
        <f>N2439/10000</f>
        <v/>
      </c>
      <c r="T2439" s="16">
        <f>P2439/10000</f>
        <v/>
      </c>
      <c r="U2439" s="15">
        <f>IF(N2439&gt;=Summary!$D$3,1,0)</f>
        <v/>
      </c>
      <c r="V2439" s="17">
        <f>IF(N2439&gt;0,P2439/N2439,"")</f>
        <v/>
      </c>
      <c r="W2439" s="17">
        <f>IF(O2439&gt;0,H2439/O2439,"")</f>
        <v/>
      </c>
    </row>
    <row r="2440">
      <c r="A2440" s="13" t="inlineStr">
        <is>
          <t>CE41_B1</t>
        </is>
      </c>
      <c r="B2440" s="13" t="inlineStr">
        <is>
          <t>CE41</t>
        </is>
      </c>
      <c r="C2440" s="13" t="inlineStr">
        <is>
          <t>B1</t>
        </is>
      </c>
      <c r="D2440" s="13" t="n">
        <v>0</v>
      </c>
      <c r="E2440" s="13" t="inlineStr">
        <is>
          <t>E</t>
        </is>
      </c>
      <c r="F2440" s="13" t="n">
        <v>2022</v>
      </c>
      <c r="G2440" s="14" t="n">
        <v>1000328.418619433</v>
      </c>
      <c r="H2440" s="14" t="n">
        <v>516005.0518021527</v>
      </c>
      <c r="I2440" s="14" t="n">
        <v>226912.7948952469</v>
      </c>
      <c r="J2440" s="14" t="n">
        <v>0</v>
      </c>
      <c r="K2440" s="14" t="n">
        <v>34522.51785610423</v>
      </c>
      <c r="L2440" s="14" t="n">
        <v>222888.0540659287</v>
      </c>
      <c r="M2440" s="14" t="n">
        <v>0</v>
      </c>
      <c r="N2440" s="14" t="n">
        <v>513248.1555970435</v>
      </c>
      <c r="O2440" s="14" t="n">
        <v>758064.6763305663</v>
      </c>
      <c r="P2440" s="14" t="n">
        <v>12609.59123077392</v>
      </c>
      <c r="Q2440" s="14" t="n">
        <v>2909316.547236723</v>
      </c>
      <c r="R2440" s="15">
        <f>IF(D2440=1,"Section 1","Control")</f>
        <v/>
      </c>
      <c r="S2440" s="16">
        <f>N2440/10000</f>
        <v/>
      </c>
      <c r="T2440" s="16">
        <f>P2440/10000</f>
        <v/>
      </c>
      <c r="U2440" s="15">
        <f>IF(N2440&gt;=Summary!$D$3,1,0)</f>
        <v/>
      </c>
      <c r="V2440" s="17">
        <f>IF(N2440&gt;0,P2440/N2440,"")</f>
        <v/>
      </c>
      <c r="W2440" s="17">
        <f>IF(O2440&gt;0,H2440/O2440,"")</f>
        <v/>
      </c>
    </row>
    <row r="2441">
      <c r="A2441" s="13" t="inlineStr">
        <is>
          <t>CE41_B1</t>
        </is>
      </c>
      <c r="B2441" s="13" t="inlineStr">
        <is>
          <t>CE41</t>
        </is>
      </c>
      <c r="C2441" s="13" t="inlineStr">
        <is>
          <t>B1</t>
        </is>
      </c>
      <c r="D2441" s="13" t="n">
        <v>0</v>
      </c>
      <c r="E2441" s="13" t="inlineStr">
        <is>
          <t>E</t>
        </is>
      </c>
      <c r="F2441" s="13" t="n">
        <v>2023</v>
      </c>
      <c r="G2441" s="14" t="n">
        <v>1000328.418619433</v>
      </c>
      <c r="H2441" s="14" t="n">
        <v>458167.5314403759</v>
      </c>
      <c r="I2441" s="14" t="n">
        <v>277804.0399539424</v>
      </c>
      <c r="J2441" s="14" t="n">
        <v>0</v>
      </c>
      <c r="K2441" s="14" t="n">
        <v>71161.08974145626</v>
      </c>
      <c r="L2441" s="14" t="n">
        <v>193195.7574836581</v>
      </c>
      <c r="M2441" s="14" t="n">
        <v>0</v>
      </c>
      <c r="N2441" s="14" t="n">
        <v>513248.1555970435</v>
      </c>
      <c r="O2441" s="14" t="n">
        <v>758064.6763305663</v>
      </c>
      <c r="P2441" s="14" t="n">
        <v>59746.01763078279</v>
      </c>
      <c r="Q2441" s="14" t="n">
        <v>2909316.547236723</v>
      </c>
      <c r="R2441" s="15">
        <f>IF(D2441=1,"Section 1","Control")</f>
        <v/>
      </c>
      <c r="S2441" s="16">
        <f>N2441/10000</f>
        <v/>
      </c>
      <c r="T2441" s="16">
        <f>P2441/10000</f>
        <v/>
      </c>
      <c r="U2441" s="15">
        <f>IF(N2441&gt;=Summary!$D$3,1,0)</f>
        <v/>
      </c>
      <c r="V2441" s="17">
        <f>IF(N2441&gt;0,P2441/N2441,"")</f>
        <v/>
      </c>
      <c r="W2441" s="17">
        <f>IF(O2441&gt;0,H2441/O2441,"")</f>
        <v/>
      </c>
    </row>
    <row r="2442">
      <c r="A2442" s="13" t="inlineStr">
        <is>
          <t>CE41_B1</t>
        </is>
      </c>
      <c r="B2442" s="13" t="inlineStr">
        <is>
          <t>CE41</t>
        </is>
      </c>
      <c r="C2442" s="13" t="inlineStr">
        <is>
          <t>B1</t>
        </is>
      </c>
      <c r="D2442" s="13" t="n">
        <v>0</v>
      </c>
      <c r="E2442" s="13" t="inlineStr">
        <is>
          <t>E</t>
        </is>
      </c>
      <c r="F2442" s="13" t="n">
        <v>2024</v>
      </c>
      <c r="G2442" s="14" t="n">
        <v>1000328.418619433</v>
      </c>
      <c r="H2442" s="14" t="n">
        <v>494588.1251384361</v>
      </c>
      <c r="I2442" s="14" t="n">
        <v>252819.1599253037</v>
      </c>
      <c r="J2442" s="14" t="n">
        <v>0</v>
      </c>
      <c r="K2442" s="14" t="n">
        <v>81705.42094765457</v>
      </c>
      <c r="L2442" s="14" t="n">
        <v>171215.7126080382</v>
      </c>
      <c r="M2442" s="14" t="n">
        <v>0</v>
      </c>
      <c r="N2442" s="14" t="n">
        <v>513248.1555970435</v>
      </c>
      <c r="O2442" s="14" t="n">
        <v>758064.6763305663</v>
      </c>
      <c r="P2442" s="14" t="n">
        <v>33460.81548090916</v>
      </c>
      <c r="Q2442" s="14" t="n">
        <v>2909316.547236723</v>
      </c>
      <c r="R2442" s="15">
        <f>IF(D2442=1,"Section 1","Control")</f>
        <v/>
      </c>
      <c r="S2442" s="16">
        <f>N2442/10000</f>
        <v/>
      </c>
      <c r="T2442" s="16">
        <f>P2442/10000</f>
        <v/>
      </c>
      <c r="U2442" s="15">
        <f>IF(N2442&gt;=Summary!$D$3,1,0)</f>
        <v/>
      </c>
      <c r="V2442" s="17">
        <f>IF(N2442&gt;0,P2442/N2442,"")</f>
        <v/>
      </c>
      <c r="W2442" s="17">
        <f>IF(O2442&gt;0,H2442/O2442,"")</f>
        <v/>
      </c>
    </row>
    <row r="2443">
      <c r="A2443" s="13" t="inlineStr">
        <is>
          <t>CE41_B1</t>
        </is>
      </c>
      <c r="B2443" s="13" t="inlineStr">
        <is>
          <t>CE41</t>
        </is>
      </c>
      <c r="C2443" s="13" t="inlineStr">
        <is>
          <t>B1</t>
        </is>
      </c>
      <c r="D2443" s="13" t="n">
        <v>0</v>
      </c>
      <c r="E2443" s="13" t="inlineStr">
        <is>
          <t>E</t>
        </is>
      </c>
      <c r="F2443" s="13" t="n">
        <v>2025</v>
      </c>
      <c r="G2443" s="14" t="n">
        <v>1000328.418619433</v>
      </c>
      <c r="H2443" s="14" t="n">
        <v>451035.6578784419</v>
      </c>
      <c r="I2443" s="14" t="n">
        <v>287856.4843922933</v>
      </c>
      <c r="J2443" s="14" t="n">
        <v>0</v>
      </c>
      <c r="K2443" s="14" t="n">
        <v>49504.93203944786</v>
      </c>
      <c r="L2443" s="14" t="n">
        <v>211931.3443092496</v>
      </c>
      <c r="M2443" s="14" t="n">
        <v>0</v>
      </c>
      <c r="N2443" s="14" t="n">
        <v>513248.1555970435</v>
      </c>
      <c r="O2443" s="14" t="n">
        <v>758064.6763305663</v>
      </c>
      <c r="P2443" s="14" t="n">
        <v>67046.31833792294</v>
      </c>
      <c r="Q2443" s="14" t="n">
        <v>2909316.547236723</v>
      </c>
      <c r="R2443" s="15">
        <f>IF(D2443=1,"Section 1","Control")</f>
        <v/>
      </c>
      <c r="S2443" s="16">
        <f>N2443/10000</f>
        <v/>
      </c>
      <c r="T2443" s="16">
        <f>P2443/10000</f>
        <v/>
      </c>
      <c r="U2443" s="15">
        <f>IF(N2443&gt;=Summary!$D$3,1,0)</f>
        <v/>
      </c>
      <c r="V2443" s="17">
        <f>IF(N2443&gt;0,P2443/N2443,"")</f>
        <v/>
      </c>
      <c r="W2443" s="17">
        <f>IF(O2443&gt;0,H2443/O2443,"")</f>
        <v/>
      </c>
    </row>
    <row r="2444">
      <c r="A2444" s="13" t="inlineStr">
        <is>
          <t>CE41_B1</t>
        </is>
      </c>
      <c r="B2444" s="13" t="inlineStr">
        <is>
          <t>CE41</t>
        </is>
      </c>
      <c r="C2444" s="13" t="inlineStr">
        <is>
          <t>B1</t>
        </is>
      </c>
      <c r="D2444" s="13" t="n">
        <v>0</v>
      </c>
      <c r="E2444" s="13" t="inlineStr">
        <is>
          <t>E</t>
        </is>
      </c>
      <c r="F2444" s="13" t="n">
        <v>2026</v>
      </c>
      <c r="G2444" s="14" t="n">
        <v>1000328.418619433</v>
      </c>
      <c r="H2444" s="14" t="n">
        <v>508885.1766736199</v>
      </c>
      <c r="I2444" s="14" t="n">
        <v>251118.525051102</v>
      </c>
      <c r="J2444" s="14" t="n">
        <v>0</v>
      </c>
      <c r="K2444" s="14" t="n">
        <v>48613.98624548819</v>
      </c>
      <c r="L2444" s="14" t="n">
        <v>191710.7306492226</v>
      </c>
      <c r="M2444" s="14" t="n">
        <v>0</v>
      </c>
      <c r="N2444" s="14" t="n">
        <v>513248.1555970435</v>
      </c>
      <c r="O2444" s="14" t="n">
        <v>758064.6763305663</v>
      </c>
      <c r="P2444" s="14" t="n">
        <v>26675.49456697352</v>
      </c>
      <c r="Q2444" s="14" t="n">
        <v>2909316.547236723</v>
      </c>
      <c r="R2444" s="15">
        <f>IF(D2444=1,"Section 1","Control")</f>
        <v/>
      </c>
      <c r="S2444" s="16">
        <f>N2444/10000</f>
        <v/>
      </c>
      <c r="T2444" s="16">
        <f>P2444/10000</f>
        <v/>
      </c>
      <c r="U2444" s="15">
        <f>IF(N2444&gt;=Summary!$D$3,1,0)</f>
        <v/>
      </c>
      <c r="V2444" s="17">
        <f>IF(N2444&gt;0,P2444/N2444,"")</f>
        <v/>
      </c>
      <c r="W2444" s="17">
        <f>IF(O2444&gt;0,H2444/O2444,"")</f>
        <v/>
      </c>
    </row>
    <row r="2445">
      <c r="A2445" s="13" t="inlineStr">
        <is>
          <t>CE41_B2</t>
        </is>
      </c>
      <c r="B2445" s="13" t="inlineStr">
        <is>
          <t>CE41</t>
        </is>
      </c>
      <c r="C2445" s="13" t="inlineStr">
        <is>
          <t>B2</t>
        </is>
      </c>
      <c r="D2445" s="13" t="n">
        <v>0</v>
      </c>
      <c r="E2445" s="13" t="inlineStr">
        <is>
          <t>E</t>
        </is>
      </c>
      <c r="F2445" s="13" t="n">
        <v>2020</v>
      </c>
      <c r="G2445" s="14" t="n">
        <v>1000592.446399255</v>
      </c>
      <c r="H2445" s="14" t="n">
        <v>497624.3811450434</v>
      </c>
      <c r="I2445" s="14" t="n">
        <v>21400.02550988291</v>
      </c>
      <c r="J2445" s="14" t="n">
        <v>0</v>
      </c>
      <c r="K2445" s="14" t="n">
        <v>751.1638760735007</v>
      </c>
      <c r="L2445" s="14" t="n">
        <v>480816.8758682549</v>
      </c>
      <c r="M2445" s="14" t="n">
        <v>0</v>
      </c>
      <c r="N2445" s="14" t="n">
        <v>497624.3811450434</v>
      </c>
      <c r="O2445" s="14" t="n">
        <v>519775.5705309997</v>
      </c>
      <c r="P2445" s="14" t="n">
        <v>0</v>
      </c>
      <c r="Q2445" s="14" t="n">
        <v>3864000.540766337</v>
      </c>
      <c r="R2445" s="15">
        <f>IF(D2445=1,"Section 1","Control")</f>
        <v/>
      </c>
      <c r="S2445" s="16">
        <f>N2445/10000</f>
        <v/>
      </c>
      <c r="T2445" s="16">
        <f>P2445/10000</f>
        <v/>
      </c>
      <c r="U2445" s="15">
        <f>IF(N2445&gt;=Summary!$D$3,1,0)</f>
        <v/>
      </c>
      <c r="V2445" s="17">
        <f>IF(N2445&gt;0,P2445/N2445,"")</f>
        <v/>
      </c>
      <c r="W2445" s="17">
        <f>IF(O2445&gt;0,H2445/O2445,"")</f>
        <v/>
      </c>
    </row>
    <row r="2446">
      <c r="A2446" s="13" t="inlineStr">
        <is>
          <t>CE41_B2</t>
        </is>
      </c>
      <c r="B2446" s="13" t="inlineStr">
        <is>
          <t>CE41</t>
        </is>
      </c>
      <c r="C2446" s="13" t="inlineStr">
        <is>
          <t>B2</t>
        </is>
      </c>
      <c r="D2446" s="13" t="n">
        <v>0</v>
      </c>
      <c r="E2446" s="13" t="inlineStr">
        <is>
          <t>E</t>
        </is>
      </c>
      <c r="F2446" s="13" t="n">
        <v>2021</v>
      </c>
      <c r="G2446" s="14" t="n">
        <v>1000592.446399255</v>
      </c>
      <c r="H2446" s="14" t="n">
        <v>502251.0176363476</v>
      </c>
      <c r="I2446" s="14" t="n">
        <v>14460.6553990682</v>
      </c>
      <c r="J2446" s="14" t="n">
        <v>0</v>
      </c>
      <c r="K2446" s="14" t="n">
        <v>3063.897495583927</v>
      </c>
      <c r="L2446" s="14" t="n">
        <v>480816.8758682549</v>
      </c>
      <c r="M2446" s="14" t="n">
        <v>0</v>
      </c>
      <c r="N2446" s="14" t="n">
        <v>497624.3811450434</v>
      </c>
      <c r="O2446" s="14" t="n">
        <v>519775.5705309997</v>
      </c>
      <c r="P2446" s="14" t="n">
        <v>6768.981113329121</v>
      </c>
      <c r="Q2446" s="14" t="n">
        <v>3864000.540766337</v>
      </c>
      <c r="R2446" s="15">
        <f>IF(D2446=1,"Section 1","Control")</f>
        <v/>
      </c>
      <c r="S2446" s="16">
        <f>N2446/10000</f>
        <v/>
      </c>
      <c r="T2446" s="16">
        <f>P2446/10000</f>
        <v/>
      </c>
      <c r="U2446" s="15">
        <f>IF(N2446&gt;=Summary!$D$3,1,0)</f>
        <v/>
      </c>
      <c r="V2446" s="17">
        <f>IF(N2446&gt;0,P2446/N2446,"")</f>
        <v/>
      </c>
      <c r="W2446" s="17">
        <f>IF(O2446&gt;0,H2446/O2446,"")</f>
        <v/>
      </c>
    </row>
    <row r="2447">
      <c r="A2447" s="13" t="inlineStr">
        <is>
          <t>CE41_B2</t>
        </is>
      </c>
      <c r="B2447" s="13" t="inlineStr">
        <is>
          <t>CE41</t>
        </is>
      </c>
      <c r="C2447" s="13" t="inlineStr">
        <is>
          <t>B2</t>
        </is>
      </c>
      <c r="D2447" s="13" t="n">
        <v>0</v>
      </c>
      <c r="E2447" s="13" t="inlineStr">
        <is>
          <t>E</t>
        </is>
      </c>
      <c r="F2447" s="13" t="n">
        <v>2022</v>
      </c>
      <c r="G2447" s="14" t="n">
        <v>1000592.446399255</v>
      </c>
      <c r="H2447" s="14" t="n">
        <v>478837.1784749647</v>
      </c>
      <c r="I2447" s="14" t="n">
        <v>36784.53398317824</v>
      </c>
      <c r="J2447" s="14" t="n">
        <v>0</v>
      </c>
      <c r="K2447" s="14" t="n">
        <v>4153.858072856829</v>
      </c>
      <c r="L2447" s="14" t="n">
        <v>480816.8758682549</v>
      </c>
      <c r="M2447" s="14" t="n">
        <v>0</v>
      </c>
      <c r="N2447" s="14" t="n">
        <v>497624.3811450434</v>
      </c>
      <c r="O2447" s="14" t="n">
        <v>519775.5705309997</v>
      </c>
      <c r="P2447" s="14" t="n">
        <v>20759.20249128155</v>
      </c>
      <c r="Q2447" s="14" t="n">
        <v>3864000.540766337</v>
      </c>
      <c r="R2447" s="15">
        <f>IF(D2447=1,"Section 1","Control")</f>
        <v/>
      </c>
      <c r="S2447" s="16">
        <f>N2447/10000</f>
        <v/>
      </c>
      <c r="T2447" s="16">
        <f>P2447/10000</f>
        <v/>
      </c>
      <c r="U2447" s="15">
        <f>IF(N2447&gt;=Summary!$D$3,1,0)</f>
        <v/>
      </c>
      <c r="V2447" s="17">
        <f>IF(N2447&gt;0,P2447/N2447,"")</f>
        <v/>
      </c>
      <c r="W2447" s="17">
        <f>IF(O2447&gt;0,H2447/O2447,"")</f>
        <v/>
      </c>
    </row>
    <row r="2448">
      <c r="A2448" s="13" t="inlineStr">
        <is>
          <t>CE41_B2</t>
        </is>
      </c>
      <c r="B2448" s="13" t="inlineStr">
        <is>
          <t>CE41</t>
        </is>
      </c>
      <c r="C2448" s="13" t="inlineStr">
        <is>
          <t>B2</t>
        </is>
      </c>
      <c r="D2448" s="13" t="n">
        <v>0</v>
      </c>
      <c r="E2448" s="13" t="inlineStr">
        <is>
          <t>E</t>
        </is>
      </c>
      <c r="F2448" s="13" t="n">
        <v>2023</v>
      </c>
      <c r="G2448" s="14" t="n">
        <v>1000592.446399255</v>
      </c>
      <c r="H2448" s="14" t="n">
        <v>459902.8319964538</v>
      </c>
      <c r="I2448" s="14" t="n">
        <v>50336.05101093966</v>
      </c>
      <c r="J2448" s="14" t="n">
        <v>0</v>
      </c>
      <c r="K2448" s="14" t="n">
        <v>9536.687523606244</v>
      </c>
      <c r="L2448" s="14" t="n">
        <v>480816.8758682549</v>
      </c>
      <c r="M2448" s="14" t="n">
        <v>0</v>
      </c>
      <c r="N2448" s="14" t="n">
        <v>497624.3811450434</v>
      </c>
      <c r="O2448" s="14" t="n">
        <v>519775.5705309997</v>
      </c>
      <c r="P2448" s="14" t="n">
        <v>38313.96162417544</v>
      </c>
      <c r="Q2448" s="14" t="n">
        <v>3864000.540766337</v>
      </c>
      <c r="R2448" s="15">
        <f>IF(D2448=1,"Section 1","Control")</f>
        <v/>
      </c>
      <c r="S2448" s="16">
        <f>N2448/10000</f>
        <v/>
      </c>
      <c r="T2448" s="16">
        <f>P2448/10000</f>
        <v/>
      </c>
      <c r="U2448" s="15">
        <f>IF(N2448&gt;=Summary!$D$3,1,0)</f>
        <v/>
      </c>
      <c r="V2448" s="17">
        <f>IF(N2448&gt;0,P2448/N2448,"")</f>
        <v/>
      </c>
      <c r="W2448" s="17">
        <f>IF(O2448&gt;0,H2448/O2448,"")</f>
        <v/>
      </c>
    </row>
    <row r="2449">
      <c r="A2449" s="13" t="inlineStr">
        <is>
          <t>CE41_B2</t>
        </is>
      </c>
      <c r="B2449" s="13" t="inlineStr">
        <is>
          <t>CE41</t>
        </is>
      </c>
      <c r="C2449" s="13" t="inlineStr">
        <is>
          <t>B2</t>
        </is>
      </c>
      <c r="D2449" s="13" t="n">
        <v>0</v>
      </c>
      <c r="E2449" s="13" t="inlineStr">
        <is>
          <t>E</t>
        </is>
      </c>
      <c r="F2449" s="13" t="n">
        <v>2024</v>
      </c>
      <c r="G2449" s="14" t="n">
        <v>1000592.446399255</v>
      </c>
      <c r="H2449" s="14" t="n">
        <v>499448.4673973531</v>
      </c>
      <c r="I2449" s="14" t="n">
        <v>11254.28077180152</v>
      </c>
      <c r="J2449" s="14" t="n">
        <v>0</v>
      </c>
      <c r="K2449" s="14" t="n">
        <v>9072.822361845128</v>
      </c>
      <c r="L2449" s="14" t="n">
        <v>480816.8758682549</v>
      </c>
      <c r="M2449" s="14" t="n">
        <v>0</v>
      </c>
      <c r="N2449" s="14" t="n">
        <v>497624.3811450434</v>
      </c>
      <c r="O2449" s="14" t="n">
        <v>519775.5705309997</v>
      </c>
      <c r="P2449" s="14" t="n">
        <v>11883.48312437768</v>
      </c>
      <c r="Q2449" s="14" t="n">
        <v>3864000.540766337</v>
      </c>
      <c r="R2449" s="15">
        <f>IF(D2449=1,"Section 1","Control")</f>
        <v/>
      </c>
      <c r="S2449" s="16">
        <f>N2449/10000</f>
        <v/>
      </c>
      <c r="T2449" s="16">
        <f>P2449/10000</f>
        <v/>
      </c>
      <c r="U2449" s="15">
        <f>IF(N2449&gt;=Summary!$D$3,1,0)</f>
        <v/>
      </c>
      <c r="V2449" s="17">
        <f>IF(N2449&gt;0,P2449/N2449,"")</f>
        <v/>
      </c>
      <c r="W2449" s="17">
        <f>IF(O2449&gt;0,H2449/O2449,"")</f>
        <v/>
      </c>
    </row>
    <row r="2450">
      <c r="A2450" s="13" t="inlineStr">
        <is>
          <t>CE41_B2</t>
        </is>
      </c>
      <c r="B2450" s="13" t="inlineStr">
        <is>
          <t>CE41</t>
        </is>
      </c>
      <c r="C2450" s="13" t="inlineStr">
        <is>
          <t>B2</t>
        </is>
      </c>
      <c r="D2450" s="13" t="n">
        <v>0</v>
      </c>
      <c r="E2450" s="13" t="inlineStr">
        <is>
          <t>E</t>
        </is>
      </c>
      <c r="F2450" s="13" t="n">
        <v>2025</v>
      </c>
      <c r="G2450" s="14" t="n">
        <v>1000592.446399255</v>
      </c>
      <c r="H2450" s="14" t="n">
        <v>467839.2034378051</v>
      </c>
      <c r="I2450" s="14" t="n">
        <v>44765.07489480412</v>
      </c>
      <c r="J2450" s="14" t="n">
        <v>0</v>
      </c>
      <c r="K2450" s="14" t="n">
        <v>7010.99239208745</v>
      </c>
      <c r="L2450" s="14" t="n">
        <v>480977.1756745581</v>
      </c>
      <c r="M2450" s="14" t="n">
        <v>0</v>
      </c>
      <c r="N2450" s="14" t="n">
        <v>497624.3811450434</v>
      </c>
      <c r="O2450" s="14" t="n">
        <v>519775.5705309997</v>
      </c>
      <c r="P2450" s="14" t="n">
        <v>31577.90176002652</v>
      </c>
      <c r="Q2450" s="14" t="n">
        <v>3864000.540766337</v>
      </c>
      <c r="R2450" s="15">
        <f>IF(D2450=1,"Section 1","Control")</f>
        <v/>
      </c>
      <c r="S2450" s="16">
        <f>N2450/10000</f>
        <v/>
      </c>
      <c r="T2450" s="16">
        <f>P2450/10000</f>
        <v/>
      </c>
      <c r="U2450" s="15">
        <f>IF(N2450&gt;=Summary!$D$3,1,0)</f>
        <v/>
      </c>
      <c r="V2450" s="17">
        <f>IF(N2450&gt;0,P2450/N2450,"")</f>
        <v/>
      </c>
      <c r="W2450" s="17">
        <f>IF(O2450&gt;0,H2450/O2450,"")</f>
        <v/>
      </c>
    </row>
    <row r="2451">
      <c r="A2451" s="13" t="inlineStr">
        <is>
          <t>CE41_B2</t>
        </is>
      </c>
      <c r="B2451" s="13" t="inlineStr">
        <is>
          <t>CE41</t>
        </is>
      </c>
      <c r="C2451" s="13" t="inlineStr">
        <is>
          <t>B2</t>
        </is>
      </c>
      <c r="D2451" s="13" t="n">
        <v>0</v>
      </c>
      <c r="E2451" s="13" t="inlineStr">
        <is>
          <t>E</t>
        </is>
      </c>
      <c r="F2451" s="13" t="n">
        <v>2026</v>
      </c>
      <c r="G2451" s="14" t="n">
        <v>1000592.446399255</v>
      </c>
      <c r="H2451" s="14" t="n">
        <v>475029.8653964771</v>
      </c>
      <c r="I2451" s="14" t="n">
        <v>33233.92910177193</v>
      </c>
      <c r="J2451" s="14" t="n">
        <v>0</v>
      </c>
      <c r="K2451" s="14" t="n">
        <v>11709.63826694862</v>
      </c>
      <c r="L2451" s="14" t="n">
        <v>480619.013634057</v>
      </c>
      <c r="M2451" s="14" t="n">
        <v>0</v>
      </c>
      <c r="N2451" s="14" t="n">
        <v>497624.3811450434</v>
      </c>
      <c r="O2451" s="14" t="n">
        <v>519775.5705309997</v>
      </c>
      <c r="P2451" s="14" t="n">
        <v>28007.92520401898</v>
      </c>
      <c r="Q2451" s="14" t="n">
        <v>3864000.540766337</v>
      </c>
      <c r="R2451" s="15">
        <f>IF(D2451=1,"Section 1","Control")</f>
        <v/>
      </c>
      <c r="S2451" s="16">
        <f>N2451/10000</f>
        <v/>
      </c>
      <c r="T2451" s="16">
        <f>P2451/10000</f>
        <v/>
      </c>
      <c r="U2451" s="15">
        <f>IF(N2451&gt;=Summary!$D$3,1,0)</f>
        <v/>
      </c>
      <c r="V2451" s="17">
        <f>IF(N2451&gt;0,P2451/N2451,"")</f>
        <v/>
      </c>
      <c r="W2451" s="17">
        <f>IF(O2451&gt;0,H2451/O2451,"")</f>
        <v/>
      </c>
    </row>
    <row r="2452">
      <c r="A2452" s="13" t="inlineStr">
        <is>
          <t>CE41_B3</t>
        </is>
      </c>
      <c r="B2452" s="13" t="inlineStr">
        <is>
          <t>CE41</t>
        </is>
      </c>
      <c r="C2452" s="13" t="inlineStr">
        <is>
          <t>B3</t>
        </is>
      </c>
      <c r="D2452" s="13" t="n">
        <v>0</v>
      </c>
      <c r="E2452" s="13" t="inlineStr">
        <is>
          <t>E</t>
        </is>
      </c>
      <c r="F2452" s="13" t="n">
        <v>2020</v>
      </c>
      <c r="G2452" s="14" t="n">
        <v>8208492.936690716</v>
      </c>
      <c r="H2452" s="14" t="n">
        <v>3370163.945573395</v>
      </c>
      <c r="I2452" s="14" t="n">
        <v>1237136.638795052</v>
      </c>
      <c r="J2452" s="14" t="n">
        <v>0</v>
      </c>
      <c r="K2452" s="14" t="n">
        <v>888.5694580078125</v>
      </c>
      <c r="L2452" s="14" t="n">
        <v>3600303.78286426</v>
      </c>
      <c r="M2452" s="14" t="n">
        <v>0</v>
      </c>
      <c r="N2452" s="14" t="n">
        <v>3370163.945573395</v>
      </c>
      <c r="O2452" s="14" t="n">
        <v>4608189.153826457</v>
      </c>
      <c r="P2452" s="14" t="n">
        <v>0</v>
      </c>
      <c r="Q2452" s="14" t="n">
        <v>41565986.71677096</v>
      </c>
      <c r="R2452" s="15">
        <f>IF(D2452=1,"Section 1","Control")</f>
        <v/>
      </c>
      <c r="S2452" s="16">
        <f>N2452/10000</f>
        <v/>
      </c>
      <c r="T2452" s="16">
        <f>P2452/10000</f>
        <v/>
      </c>
      <c r="U2452" s="15">
        <f>IF(N2452&gt;=Summary!$D$3,1,0)</f>
        <v/>
      </c>
      <c r="V2452" s="17">
        <f>IF(N2452&gt;0,P2452/N2452,"")</f>
        <v/>
      </c>
      <c r="W2452" s="17">
        <f>IF(O2452&gt;0,H2452/O2452,"")</f>
        <v/>
      </c>
    </row>
    <row r="2453">
      <c r="A2453" s="13" t="inlineStr">
        <is>
          <t>CE41_B3</t>
        </is>
      </c>
      <c r="B2453" s="13" t="inlineStr">
        <is>
          <t>CE41</t>
        </is>
      </c>
      <c r="C2453" s="13" t="inlineStr">
        <is>
          <t>B3</t>
        </is>
      </c>
      <c r="D2453" s="13" t="n">
        <v>0</v>
      </c>
      <c r="E2453" s="13" t="inlineStr">
        <is>
          <t>E</t>
        </is>
      </c>
      <c r="F2453" s="13" t="n">
        <v>2021</v>
      </c>
      <c r="G2453" s="14" t="n">
        <v>8208492.936690716</v>
      </c>
      <c r="H2453" s="14" t="n">
        <v>2675372.732612281</v>
      </c>
      <c r="I2453" s="14" t="n">
        <v>1327271.061042158</v>
      </c>
      <c r="J2453" s="14" t="n">
        <v>0</v>
      </c>
      <c r="K2453" s="14" t="n">
        <v>605545.3601720174</v>
      </c>
      <c r="L2453" s="14" t="n">
        <v>3600303.78286426</v>
      </c>
      <c r="M2453" s="14" t="n">
        <v>0</v>
      </c>
      <c r="N2453" s="14" t="n">
        <v>3370163.945573396</v>
      </c>
      <c r="O2453" s="14" t="n">
        <v>4608189.153826456</v>
      </c>
      <c r="P2453" s="14" t="n">
        <v>743224.9197042129</v>
      </c>
      <c r="Q2453" s="14" t="n">
        <v>41565986.71677096</v>
      </c>
      <c r="R2453" s="15">
        <f>IF(D2453=1,"Section 1","Control")</f>
        <v/>
      </c>
      <c r="S2453" s="16">
        <f>N2453/10000</f>
        <v/>
      </c>
      <c r="T2453" s="16">
        <f>P2453/10000</f>
        <v/>
      </c>
      <c r="U2453" s="15">
        <f>IF(N2453&gt;=Summary!$D$3,1,0)</f>
        <v/>
      </c>
      <c r="V2453" s="17">
        <f>IF(N2453&gt;0,P2453/N2453,"")</f>
        <v/>
      </c>
      <c r="W2453" s="17">
        <f>IF(O2453&gt;0,H2453/O2453,"")</f>
        <v/>
      </c>
    </row>
    <row r="2454">
      <c r="A2454" s="13" t="inlineStr">
        <is>
          <t>CE41_B3</t>
        </is>
      </c>
      <c r="B2454" s="13" t="inlineStr">
        <is>
          <t>CE41</t>
        </is>
      </c>
      <c r="C2454" s="13" t="inlineStr">
        <is>
          <t>B3</t>
        </is>
      </c>
      <c r="D2454" s="13" t="n">
        <v>0</v>
      </c>
      <c r="E2454" s="13" t="inlineStr">
        <is>
          <t>E</t>
        </is>
      </c>
      <c r="F2454" s="13" t="n">
        <v>2022</v>
      </c>
      <c r="G2454" s="14" t="n">
        <v>8208492.936690715</v>
      </c>
      <c r="H2454" s="14" t="n">
        <v>2503117.381213378</v>
      </c>
      <c r="I2454" s="14" t="n">
        <v>1748274.864427155</v>
      </c>
      <c r="J2454" s="14" t="n">
        <v>0</v>
      </c>
      <c r="K2454" s="14" t="n">
        <v>356796.9081859214</v>
      </c>
      <c r="L2454" s="14" t="n">
        <v>3600303.78286426</v>
      </c>
      <c r="M2454" s="14" t="n">
        <v>0</v>
      </c>
      <c r="N2454" s="14" t="n">
        <v>3370163.945573395</v>
      </c>
      <c r="O2454" s="14" t="n">
        <v>4608189.153826456</v>
      </c>
      <c r="P2454" s="14" t="n">
        <v>899259.1379130045</v>
      </c>
      <c r="Q2454" s="14" t="n">
        <v>41565986.71677096</v>
      </c>
      <c r="R2454" s="15">
        <f>IF(D2454=1,"Section 1","Control")</f>
        <v/>
      </c>
      <c r="S2454" s="16">
        <f>N2454/10000</f>
        <v/>
      </c>
      <c r="T2454" s="16">
        <f>P2454/10000</f>
        <v/>
      </c>
      <c r="U2454" s="15">
        <f>IF(N2454&gt;=Summary!$D$3,1,0)</f>
        <v/>
      </c>
      <c r="V2454" s="17">
        <f>IF(N2454&gt;0,P2454/N2454,"")</f>
        <v/>
      </c>
      <c r="W2454" s="17">
        <f>IF(O2454&gt;0,H2454/O2454,"")</f>
        <v/>
      </c>
    </row>
    <row r="2455">
      <c r="A2455" s="13" t="inlineStr">
        <is>
          <t>CE41_B3</t>
        </is>
      </c>
      <c r="B2455" s="13" t="inlineStr">
        <is>
          <t>CE41</t>
        </is>
      </c>
      <c r="C2455" s="13" t="inlineStr">
        <is>
          <t>B3</t>
        </is>
      </c>
      <c r="D2455" s="13" t="n">
        <v>0</v>
      </c>
      <c r="E2455" s="13" t="inlineStr">
        <is>
          <t>E</t>
        </is>
      </c>
      <c r="F2455" s="13" t="n">
        <v>2023</v>
      </c>
      <c r="G2455" s="14" t="n">
        <v>8208492.936690716</v>
      </c>
      <c r="H2455" s="14" t="n">
        <v>2574085.426800567</v>
      </c>
      <c r="I2455" s="14" t="n">
        <v>1784138.145596852</v>
      </c>
      <c r="J2455" s="14" t="n">
        <v>0</v>
      </c>
      <c r="K2455" s="14" t="n">
        <v>249965.5814290364</v>
      </c>
      <c r="L2455" s="14" t="n">
        <v>3600303.78286426</v>
      </c>
      <c r="M2455" s="14" t="n">
        <v>0</v>
      </c>
      <c r="N2455" s="14" t="n">
        <v>3370163.945573396</v>
      </c>
      <c r="O2455" s="14" t="n">
        <v>4608189.153826457</v>
      </c>
      <c r="P2455" s="14" t="n">
        <v>858570.8384836533</v>
      </c>
      <c r="Q2455" s="14" t="n">
        <v>41565986.71677096</v>
      </c>
      <c r="R2455" s="15">
        <f>IF(D2455=1,"Section 1","Control")</f>
        <v/>
      </c>
      <c r="S2455" s="16">
        <f>N2455/10000</f>
        <v/>
      </c>
      <c r="T2455" s="16">
        <f>P2455/10000</f>
        <v/>
      </c>
      <c r="U2455" s="15">
        <f>IF(N2455&gt;=Summary!$D$3,1,0)</f>
        <v/>
      </c>
      <c r="V2455" s="17">
        <f>IF(N2455&gt;0,P2455/N2455,"")</f>
        <v/>
      </c>
      <c r="W2455" s="17">
        <f>IF(O2455&gt;0,H2455/O2455,"")</f>
        <v/>
      </c>
    </row>
    <row r="2456">
      <c r="A2456" s="13" t="inlineStr">
        <is>
          <t>CE41_B3</t>
        </is>
      </c>
      <c r="B2456" s="13" t="inlineStr">
        <is>
          <t>CE41</t>
        </is>
      </c>
      <c r="C2456" s="13" t="inlineStr">
        <is>
          <t>B3</t>
        </is>
      </c>
      <c r="D2456" s="13" t="n">
        <v>0</v>
      </c>
      <c r="E2456" s="13" t="inlineStr">
        <is>
          <t>E</t>
        </is>
      </c>
      <c r="F2456" s="13" t="n">
        <v>2024</v>
      </c>
      <c r="G2456" s="14" t="n">
        <v>8208492.936690716</v>
      </c>
      <c r="H2456" s="14" t="n">
        <v>3227686.984886947</v>
      </c>
      <c r="I2456" s="14" t="n">
        <v>1145974.109310913</v>
      </c>
      <c r="J2456" s="14" t="n">
        <v>0</v>
      </c>
      <c r="K2456" s="14" t="n">
        <v>234528.0596285951</v>
      </c>
      <c r="L2456" s="14" t="n">
        <v>3600303.78286426</v>
      </c>
      <c r="M2456" s="14" t="n">
        <v>0</v>
      </c>
      <c r="N2456" s="14" t="n">
        <v>3370163.945573396</v>
      </c>
      <c r="O2456" s="14" t="n">
        <v>4608189.153826456</v>
      </c>
      <c r="P2456" s="14" t="n">
        <v>477900.0611686258</v>
      </c>
      <c r="Q2456" s="14" t="n">
        <v>41565986.71677096</v>
      </c>
      <c r="R2456" s="15">
        <f>IF(D2456=1,"Section 1","Control")</f>
        <v/>
      </c>
      <c r="S2456" s="16">
        <f>N2456/10000</f>
        <v/>
      </c>
      <c r="T2456" s="16">
        <f>P2456/10000</f>
        <v/>
      </c>
      <c r="U2456" s="15">
        <f>IF(N2456&gt;=Summary!$D$3,1,0)</f>
        <v/>
      </c>
      <c r="V2456" s="17">
        <f>IF(N2456&gt;0,P2456/N2456,"")</f>
        <v/>
      </c>
      <c r="W2456" s="17">
        <f>IF(O2456&gt;0,H2456/O2456,"")</f>
        <v/>
      </c>
    </row>
    <row r="2457">
      <c r="A2457" s="13" t="inlineStr">
        <is>
          <t>CE41_B3</t>
        </is>
      </c>
      <c r="B2457" s="13" t="inlineStr">
        <is>
          <t>CE41</t>
        </is>
      </c>
      <c r="C2457" s="13" t="inlineStr">
        <is>
          <t>B3</t>
        </is>
      </c>
      <c r="D2457" s="13" t="n">
        <v>0</v>
      </c>
      <c r="E2457" s="13" t="inlineStr">
        <is>
          <t>E</t>
        </is>
      </c>
      <c r="F2457" s="13" t="n">
        <v>2025</v>
      </c>
      <c r="G2457" s="14" t="n">
        <v>8208492.936690716</v>
      </c>
      <c r="H2457" s="14" t="n">
        <v>3218704.828253114</v>
      </c>
      <c r="I2457" s="14" t="n">
        <v>1180244.742857809</v>
      </c>
      <c r="J2457" s="14" t="n">
        <v>0</v>
      </c>
      <c r="K2457" s="14" t="n">
        <v>209239.5827155319</v>
      </c>
      <c r="L2457" s="14" t="n">
        <v>3600303.78286426</v>
      </c>
      <c r="M2457" s="14" t="n">
        <v>0</v>
      </c>
      <c r="N2457" s="14" t="n">
        <v>3370163.945573395</v>
      </c>
      <c r="O2457" s="14" t="n">
        <v>4608189.153826456</v>
      </c>
      <c r="P2457" s="14" t="n">
        <v>540322.3110987645</v>
      </c>
      <c r="Q2457" s="14" t="n">
        <v>41565986.71677096</v>
      </c>
      <c r="R2457" s="15">
        <f>IF(D2457=1,"Section 1","Control")</f>
        <v/>
      </c>
      <c r="S2457" s="16">
        <f>N2457/10000</f>
        <v/>
      </c>
      <c r="T2457" s="16">
        <f>P2457/10000</f>
        <v/>
      </c>
      <c r="U2457" s="15">
        <f>IF(N2457&gt;=Summary!$D$3,1,0)</f>
        <v/>
      </c>
      <c r="V2457" s="17">
        <f>IF(N2457&gt;0,P2457/N2457,"")</f>
        <v/>
      </c>
      <c r="W2457" s="17">
        <f>IF(O2457&gt;0,H2457/O2457,"")</f>
        <v/>
      </c>
    </row>
    <row r="2458">
      <c r="A2458" s="13" t="inlineStr">
        <is>
          <t>CE41_B3</t>
        </is>
      </c>
      <c r="B2458" s="13" t="inlineStr">
        <is>
          <t>CE41</t>
        </is>
      </c>
      <c r="C2458" s="13" t="inlineStr">
        <is>
          <t>B3</t>
        </is>
      </c>
      <c r="D2458" s="13" t="n">
        <v>0</v>
      </c>
      <c r="E2458" s="13" t="inlineStr">
        <is>
          <t>E</t>
        </is>
      </c>
      <c r="F2458" s="13" t="n">
        <v>2026</v>
      </c>
      <c r="G2458" s="14" t="n">
        <v>8208492.936690715</v>
      </c>
      <c r="H2458" s="14" t="n">
        <v>2948166.664960075</v>
      </c>
      <c r="I2458" s="14" t="n">
        <v>1477409.788312485</v>
      </c>
      <c r="J2458" s="14" t="n">
        <v>0</v>
      </c>
      <c r="K2458" s="14" t="n">
        <v>182612.700553894</v>
      </c>
      <c r="L2458" s="14" t="n">
        <v>3600303.78286426</v>
      </c>
      <c r="M2458" s="14" t="n">
        <v>0</v>
      </c>
      <c r="N2458" s="14" t="n">
        <v>3370163.945573395</v>
      </c>
      <c r="O2458" s="14" t="n">
        <v>4608189.153826456</v>
      </c>
      <c r="P2458" s="14" t="n">
        <v>638229.9964740828</v>
      </c>
      <c r="Q2458" s="14" t="n">
        <v>41565986.71677096</v>
      </c>
      <c r="R2458" s="15">
        <f>IF(D2458=1,"Section 1","Control")</f>
        <v/>
      </c>
      <c r="S2458" s="16">
        <f>N2458/10000</f>
        <v/>
      </c>
      <c r="T2458" s="16">
        <f>P2458/10000</f>
        <v/>
      </c>
      <c r="U2458" s="15">
        <f>IF(N2458&gt;=Summary!$D$3,1,0)</f>
        <v/>
      </c>
      <c r="V2458" s="17">
        <f>IF(N2458&gt;0,P2458/N2458,"")</f>
        <v/>
      </c>
      <c r="W2458" s="17">
        <f>IF(O2458&gt;0,H2458/O2458,"")</f>
        <v/>
      </c>
    </row>
    <row r="2459">
      <c r="A2459" s="13" t="inlineStr">
        <is>
          <t>CE41_F</t>
        </is>
      </c>
      <c r="B2459" s="13" t="inlineStr">
        <is>
          <t>CE41</t>
        </is>
      </c>
      <c r="C2459" s="13" t="inlineStr">
        <is>
          <t>F</t>
        </is>
      </c>
      <c r="D2459" s="13" t="n">
        <v>0</v>
      </c>
      <c r="E2459" s="13" t="inlineStr">
        <is>
          <t>E</t>
        </is>
      </c>
      <c r="F2459" s="13" t="n">
        <v>2020</v>
      </c>
      <c r="G2459" s="14" t="n">
        <v>69439.63674863927</v>
      </c>
      <c r="H2459" s="14" t="n">
        <v>54594.34192130892</v>
      </c>
      <c r="I2459" s="14" t="n">
        <v>789.8911590576172</v>
      </c>
      <c r="J2459" s="14" t="n">
        <v>0</v>
      </c>
      <c r="K2459" s="14" t="n">
        <v>784.4701909981521</v>
      </c>
      <c r="L2459" s="14" t="n">
        <v>13270.93347727458</v>
      </c>
      <c r="M2459" s="14" t="n">
        <v>0</v>
      </c>
      <c r="N2459" s="14" t="n">
        <v>54594.34192130892</v>
      </c>
      <c r="O2459" s="14" t="n">
        <v>56168.70327136469</v>
      </c>
      <c r="P2459" s="14" t="n">
        <v>0</v>
      </c>
      <c r="Q2459" s="14" t="n">
        <v>199423.918722953</v>
      </c>
      <c r="R2459" s="15">
        <f>IF(D2459=1,"Section 1","Control")</f>
        <v/>
      </c>
      <c r="S2459" s="16">
        <f>N2459/10000</f>
        <v/>
      </c>
      <c r="T2459" s="16">
        <f>P2459/10000</f>
        <v/>
      </c>
      <c r="U2459" s="15">
        <f>IF(N2459&gt;=Summary!$D$3,1,0)</f>
        <v/>
      </c>
      <c r="V2459" s="17">
        <f>IF(N2459&gt;0,P2459/N2459,"")</f>
        <v/>
      </c>
      <c r="W2459" s="17">
        <f>IF(O2459&gt;0,H2459/O2459,"")</f>
        <v/>
      </c>
    </row>
    <row r="2460">
      <c r="A2460" s="13" t="inlineStr">
        <is>
          <t>CE41_F</t>
        </is>
      </c>
      <c r="B2460" s="13" t="inlineStr">
        <is>
          <t>CE41</t>
        </is>
      </c>
      <c r="C2460" s="13" t="inlineStr">
        <is>
          <t>F</t>
        </is>
      </c>
      <c r="D2460" s="13" t="n">
        <v>0</v>
      </c>
      <c r="E2460" s="13" t="inlineStr">
        <is>
          <t>E</t>
        </is>
      </c>
      <c r="F2460" s="13" t="n">
        <v>2021</v>
      </c>
      <c r="G2460" s="14" t="n">
        <v>69439.63674863926</v>
      </c>
      <c r="H2460" s="14" t="n">
        <v>51970.27129914525</v>
      </c>
      <c r="I2460" s="14" t="n">
        <v>3250.949692460602</v>
      </c>
      <c r="J2460" s="14" t="n">
        <v>0</v>
      </c>
      <c r="K2460" s="14" t="n">
        <v>5159.845323988972</v>
      </c>
      <c r="L2460" s="14" t="n">
        <v>9058.570433044431</v>
      </c>
      <c r="M2460" s="14" t="n">
        <v>0</v>
      </c>
      <c r="N2460" s="14" t="n">
        <v>54594.34192130892</v>
      </c>
      <c r="O2460" s="14" t="n">
        <v>56168.70327136469</v>
      </c>
      <c r="P2460" s="14" t="n">
        <v>3016.305556802189</v>
      </c>
      <c r="Q2460" s="14" t="n">
        <v>199423.918722953</v>
      </c>
      <c r="R2460" s="15">
        <f>IF(D2460=1,"Section 1","Control")</f>
        <v/>
      </c>
      <c r="S2460" s="16">
        <f>N2460/10000</f>
        <v/>
      </c>
      <c r="T2460" s="16">
        <f>P2460/10000</f>
        <v/>
      </c>
      <c r="U2460" s="15">
        <f>IF(N2460&gt;=Summary!$D$3,1,0)</f>
        <v/>
      </c>
      <c r="V2460" s="17">
        <f>IF(N2460&gt;0,P2460/N2460,"")</f>
        <v/>
      </c>
      <c r="W2460" s="17">
        <f>IF(O2460&gt;0,H2460/O2460,"")</f>
        <v/>
      </c>
    </row>
    <row r="2461">
      <c r="A2461" s="13" t="inlineStr">
        <is>
          <t>CE41_F</t>
        </is>
      </c>
      <c r="B2461" s="13" t="inlineStr">
        <is>
          <t>CE41</t>
        </is>
      </c>
      <c r="C2461" s="13" t="inlineStr">
        <is>
          <t>F</t>
        </is>
      </c>
      <c r="D2461" s="13" t="n">
        <v>0</v>
      </c>
      <c r="E2461" s="13" t="inlineStr">
        <is>
          <t>E</t>
        </is>
      </c>
      <c r="F2461" s="13" t="n">
        <v>2022</v>
      </c>
      <c r="G2461" s="14" t="n">
        <v>69439.63674863926</v>
      </c>
      <c r="H2461" s="14" t="n">
        <v>54551.749439793</v>
      </c>
      <c r="I2461" s="14" t="n">
        <v>888.6278228759766</v>
      </c>
      <c r="J2461" s="14" t="n">
        <v>0</v>
      </c>
      <c r="K2461" s="14" t="n">
        <v>995.8822213864794</v>
      </c>
      <c r="L2461" s="14" t="n">
        <v>13003.37726458381</v>
      </c>
      <c r="M2461" s="14" t="n">
        <v>0</v>
      </c>
      <c r="N2461" s="14" t="n">
        <v>54594.34192130892</v>
      </c>
      <c r="O2461" s="14" t="n">
        <v>56168.70327136469</v>
      </c>
      <c r="P2461" s="14" t="n">
        <v>437.5379237156288</v>
      </c>
      <c r="Q2461" s="14" t="n">
        <v>199423.918722953</v>
      </c>
      <c r="R2461" s="15">
        <f>IF(D2461=1,"Section 1","Control")</f>
        <v/>
      </c>
      <c r="S2461" s="16">
        <f>N2461/10000</f>
        <v/>
      </c>
      <c r="T2461" s="16">
        <f>P2461/10000</f>
        <v/>
      </c>
      <c r="U2461" s="15">
        <f>IF(N2461&gt;=Summary!$D$3,1,0)</f>
        <v/>
      </c>
      <c r="V2461" s="17">
        <f>IF(N2461&gt;0,P2461/N2461,"")</f>
        <v/>
      </c>
      <c r="W2461" s="17">
        <f>IF(O2461&gt;0,H2461/O2461,"")</f>
        <v/>
      </c>
    </row>
    <row r="2462">
      <c r="A2462" s="13" t="inlineStr">
        <is>
          <t>CE41_F</t>
        </is>
      </c>
      <c r="B2462" s="13" t="inlineStr">
        <is>
          <t>CE41</t>
        </is>
      </c>
      <c r="C2462" s="13" t="inlineStr">
        <is>
          <t>F</t>
        </is>
      </c>
      <c r="D2462" s="13" t="n">
        <v>0</v>
      </c>
      <c r="E2462" s="13" t="inlineStr">
        <is>
          <t>E</t>
        </is>
      </c>
      <c r="F2462" s="13" t="n">
        <v>2023</v>
      </c>
      <c r="G2462" s="14" t="n">
        <v>69439.63674863926</v>
      </c>
      <c r="H2462" s="14" t="n">
        <v>51638.0518328199</v>
      </c>
      <c r="I2462" s="14" t="n">
        <v>2812.250687363568</v>
      </c>
      <c r="J2462" s="14" t="n">
        <v>0</v>
      </c>
      <c r="K2462" s="14" t="n">
        <v>3115.423139145795</v>
      </c>
      <c r="L2462" s="14" t="n">
        <v>11873.91108930999</v>
      </c>
      <c r="M2462" s="14" t="n">
        <v>0</v>
      </c>
      <c r="N2462" s="14" t="n">
        <v>54594.34192130892</v>
      </c>
      <c r="O2462" s="14" t="n">
        <v>56168.70327136469</v>
      </c>
      <c r="P2462" s="14" t="n">
        <v>3249.788687373143</v>
      </c>
      <c r="Q2462" s="14" t="n">
        <v>199423.918722953</v>
      </c>
      <c r="R2462" s="15">
        <f>IF(D2462=1,"Section 1","Control")</f>
        <v/>
      </c>
      <c r="S2462" s="16">
        <f>N2462/10000</f>
        <v/>
      </c>
      <c r="T2462" s="16">
        <f>P2462/10000</f>
        <v/>
      </c>
      <c r="U2462" s="15">
        <f>IF(N2462&gt;=Summary!$D$3,1,0)</f>
        <v/>
      </c>
      <c r="V2462" s="17">
        <f>IF(N2462&gt;0,P2462/N2462,"")</f>
        <v/>
      </c>
      <c r="W2462" s="17">
        <f>IF(O2462&gt;0,H2462/O2462,"")</f>
        <v/>
      </c>
    </row>
    <row r="2463">
      <c r="A2463" s="13" t="inlineStr">
        <is>
          <t>CE41_F</t>
        </is>
      </c>
      <c r="B2463" s="13" t="inlineStr">
        <is>
          <t>CE41</t>
        </is>
      </c>
      <c r="C2463" s="13" t="inlineStr">
        <is>
          <t>F</t>
        </is>
      </c>
      <c r="D2463" s="13" t="n">
        <v>0</v>
      </c>
      <c r="E2463" s="13" t="inlineStr">
        <is>
          <t>E</t>
        </is>
      </c>
      <c r="F2463" s="13" t="n">
        <v>2024</v>
      </c>
      <c r="G2463" s="14" t="n">
        <v>69439.63674863926</v>
      </c>
      <c r="H2463" s="14" t="n">
        <v>50924.82807979208</v>
      </c>
      <c r="I2463" s="14" t="n">
        <v>4246.443293373258</v>
      </c>
      <c r="J2463" s="14" t="n">
        <v>0</v>
      </c>
      <c r="K2463" s="14" t="n">
        <v>3422.473985140932</v>
      </c>
      <c r="L2463" s="14" t="n">
        <v>10845.89139033299</v>
      </c>
      <c r="M2463" s="14" t="n">
        <v>0</v>
      </c>
      <c r="N2463" s="14" t="n">
        <v>54594.34192130892</v>
      </c>
      <c r="O2463" s="14" t="n">
        <v>56168.70327136469</v>
      </c>
      <c r="P2463" s="14" t="n">
        <v>4061.748814302332</v>
      </c>
      <c r="Q2463" s="14" t="n">
        <v>199423.918722953</v>
      </c>
      <c r="R2463" s="15">
        <f>IF(D2463=1,"Section 1","Control")</f>
        <v/>
      </c>
      <c r="S2463" s="16">
        <f>N2463/10000</f>
        <v/>
      </c>
      <c r="T2463" s="16">
        <f>P2463/10000</f>
        <v/>
      </c>
      <c r="U2463" s="15">
        <f>IF(N2463&gt;=Summary!$D$3,1,0)</f>
        <v/>
      </c>
      <c r="V2463" s="17">
        <f>IF(N2463&gt;0,P2463/N2463,"")</f>
        <v/>
      </c>
      <c r="W2463" s="17">
        <f>IF(O2463&gt;0,H2463/O2463,"")</f>
        <v/>
      </c>
    </row>
    <row r="2464">
      <c r="A2464" s="13" t="inlineStr">
        <is>
          <t>CE41_F</t>
        </is>
      </c>
      <c r="B2464" s="13" t="inlineStr">
        <is>
          <t>CE41</t>
        </is>
      </c>
      <c r="C2464" s="13" t="inlineStr">
        <is>
          <t>F</t>
        </is>
      </c>
      <c r="D2464" s="13" t="n">
        <v>0</v>
      </c>
      <c r="E2464" s="13" t="inlineStr">
        <is>
          <t>E</t>
        </is>
      </c>
      <c r="F2464" s="13" t="n">
        <v>2025</v>
      </c>
      <c r="G2464" s="14" t="n">
        <v>69439.63674863926</v>
      </c>
      <c r="H2464" s="14" t="n">
        <v>45170.61899560666</v>
      </c>
      <c r="I2464" s="14" t="n">
        <v>8261.343336367141</v>
      </c>
      <c r="J2464" s="14" t="n">
        <v>0</v>
      </c>
      <c r="K2464" s="14" t="n">
        <v>3145.625435294357</v>
      </c>
      <c r="L2464" s="14" t="n">
        <v>12862.04898137111</v>
      </c>
      <c r="M2464" s="14" t="n">
        <v>0</v>
      </c>
      <c r="N2464" s="14" t="n">
        <v>54594.34192130892</v>
      </c>
      <c r="O2464" s="14" t="n">
        <v>56168.70327136469</v>
      </c>
      <c r="P2464" s="14" t="n">
        <v>9621.195627728634</v>
      </c>
      <c r="Q2464" s="14" t="n">
        <v>199423.918722953</v>
      </c>
      <c r="R2464" s="15">
        <f>IF(D2464=1,"Section 1","Control")</f>
        <v/>
      </c>
      <c r="S2464" s="16">
        <f>N2464/10000</f>
        <v/>
      </c>
      <c r="T2464" s="16">
        <f>P2464/10000</f>
        <v/>
      </c>
      <c r="U2464" s="15">
        <f>IF(N2464&gt;=Summary!$D$3,1,0)</f>
        <v/>
      </c>
      <c r="V2464" s="17">
        <f>IF(N2464&gt;0,P2464/N2464,"")</f>
        <v/>
      </c>
      <c r="W2464" s="17">
        <f>IF(O2464&gt;0,H2464/O2464,"")</f>
        <v/>
      </c>
    </row>
    <row r="2465">
      <c r="A2465" s="13" t="inlineStr">
        <is>
          <t>CE41_F</t>
        </is>
      </c>
      <c r="B2465" s="13" t="inlineStr">
        <is>
          <t>CE41</t>
        </is>
      </c>
      <c r="C2465" s="13" t="inlineStr">
        <is>
          <t>F</t>
        </is>
      </c>
      <c r="D2465" s="13" t="n">
        <v>0</v>
      </c>
      <c r="E2465" s="13" t="inlineStr">
        <is>
          <t>E</t>
        </is>
      </c>
      <c r="F2465" s="13" t="n">
        <v>2026</v>
      </c>
      <c r="G2465" s="14" t="n">
        <v>69439.63674863926</v>
      </c>
      <c r="H2465" s="14" t="n">
        <v>51200.90525033987</v>
      </c>
      <c r="I2465" s="14" t="n">
        <v>2820.765008215811</v>
      </c>
      <c r="J2465" s="14" t="n">
        <v>0</v>
      </c>
      <c r="K2465" s="14" t="n">
        <v>2016.93301633947</v>
      </c>
      <c r="L2465" s="14" t="n">
        <v>13401.03347374411</v>
      </c>
      <c r="M2465" s="14" t="n">
        <v>0</v>
      </c>
      <c r="N2465" s="14" t="n">
        <v>54594.34192130892</v>
      </c>
      <c r="O2465" s="14" t="n">
        <v>56168.70327136469</v>
      </c>
      <c r="P2465" s="14" t="n">
        <v>3794.190072721593</v>
      </c>
      <c r="Q2465" s="14" t="n">
        <v>199423.918722953</v>
      </c>
      <c r="R2465" s="15">
        <f>IF(D2465=1,"Section 1","Control")</f>
        <v/>
      </c>
      <c r="S2465" s="16">
        <f>N2465/10000</f>
        <v/>
      </c>
      <c r="T2465" s="16">
        <f>P2465/10000</f>
        <v/>
      </c>
      <c r="U2465" s="15">
        <f>IF(N2465&gt;=Summary!$D$3,1,0)</f>
        <v/>
      </c>
      <c r="V2465" s="17">
        <f>IF(N2465&gt;0,P2465/N2465,"")</f>
        <v/>
      </c>
      <c r="W2465" s="17">
        <f>IF(O2465&gt;0,H2465/O2465,"")</f>
        <v/>
      </c>
    </row>
    <row r="2466">
      <c r="A2466" s="13" t="inlineStr">
        <is>
          <t>CE42_B1</t>
        </is>
      </c>
      <c r="B2466" s="13" t="inlineStr">
        <is>
          <t>CE42</t>
        </is>
      </c>
      <c r="C2466" s="13" t="inlineStr">
        <is>
          <t>B1</t>
        </is>
      </c>
      <c r="D2466" s="13" t="n">
        <v>0</v>
      </c>
      <c r="E2466" s="13" t="inlineStr">
        <is>
          <t>E</t>
        </is>
      </c>
      <c r="F2466" s="13" t="n">
        <v>2020</v>
      </c>
      <c r="G2466" s="14" t="n">
        <v>999507.4713691862</v>
      </c>
      <c r="H2466" s="14" t="n">
        <v>521196.8611083983</v>
      </c>
      <c r="I2466" s="14" t="n">
        <v>296793.5278784359</v>
      </c>
      <c r="J2466" s="14" t="n">
        <v>0</v>
      </c>
      <c r="K2466" s="14" t="n">
        <v>10071.21178436279</v>
      </c>
      <c r="L2466" s="14" t="n">
        <v>171445.870597989</v>
      </c>
      <c r="M2466" s="14" t="n">
        <v>0</v>
      </c>
      <c r="N2466" s="14" t="n">
        <v>521196.8611083983</v>
      </c>
      <c r="O2466" s="14" t="n">
        <v>828061.6007711971</v>
      </c>
      <c r="P2466" s="14" t="n">
        <v>0</v>
      </c>
      <c r="Q2466" s="14" t="n">
        <v>3417445.974166092</v>
      </c>
      <c r="R2466" s="15">
        <f>IF(D2466=1,"Section 1","Control")</f>
        <v/>
      </c>
      <c r="S2466" s="16">
        <f>N2466/10000</f>
        <v/>
      </c>
      <c r="T2466" s="16">
        <f>P2466/10000</f>
        <v/>
      </c>
      <c r="U2466" s="15">
        <f>IF(N2466&gt;=Summary!$D$3,1,0)</f>
        <v/>
      </c>
      <c r="V2466" s="17">
        <f>IF(N2466&gt;0,P2466/N2466,"")</f>
        <v/>
      </c>
      <c r="W2466" s="17">
        <f>IF(O2466&gt;0,H2466/O2466,"")</f>
        <v/>
      </c>
    </row>
    <row r="2467">
      <c r="A2467" s="13" t="inlineStr">
        <is>
          <t>CE42_B1</t>
        </is>
      </c>
      <c r="B2467" s="13" t="inlineStr">
        <is>
          <t>CE42</t>
        </is>
      </c>
      <c r="C2467" s="13" t="inlineStr">
        <is>
          <t>B1</t>
        </is>
      </c>
      <c r="D2467" s="13" t="n">
        <v>0</v>
      </c>
      <c r="E2467" s="13" t="inlineStr">
        <is>
          <t>E</t>
        </is>
      </c>
      <c r="F2467" s="13" t="n">
        <v>2021</v>
      </c>
      <c r="G2467" s="14" t="n">
        <v>999507.4713691864</v>
      </c>
      <c r="H2467" s="14" t="n">
        <v>482685.7139190972</v>
      </c>
      <c r="I2467" s="14" t="n">
        <v>333144.1048033471</v>
      </c>
      <c r="J2467" s="14" t="n">
        <v>0</v>
      </c>
      <c r="K2467" s="14" t="n">
        <v>18957.55529022217</v>
      </c>
      <c r="L2467" s="14" t="n">
        <v>164720.0973565196</v>
      </c>
      <c r="M2467" s="14" t="n">
        <v>0</v>
      </c>
      <c r="N2467" s="14" t="n">
        <v>521196.8611083983</v>
      </c>
      <c r="O2467" s="14" t="n">
        <v>828061.6007711971</v>
      </c>
      <c r="P2467" s="14" t="n">
        <v>55474.48840963326</v>
      </c>
      <c r="Q2467" s="14" t="n">
        <v>3417445.974166092</v>
      </c>
      <c r="R2467" s="15">
        <f>IF(D2467=1,"Section 1","Control")</f>
        <v/>
      </c>
      <c r="S2467" s="16">
        <f>N2467/10000</f>
        <v/>
      </c>
      <c r="T2467" s="16">
        <f>P2467/10000</f>
        <v/>
      </c>
      <c r="U2467" s="15">
        <f>IF(N2467&gt;=Summary!$D$3,1,0)</f>
        <v/>
      </c>
      <c r="V2467" s="17">
        <f>IF(N2467&gt;0,P2467/N2467,"")</f>
        <v/>
      </c>
      <c r="W2467" s="17">
        <f>IF(O2467&gt;0,H2467/O2467,"")</f>
        <v/>
      </c>
    </row>
    <row r="2468">
      <c r="A2468" s="13" t="inlineStr">
        <is>
          <t>CE42_B1</t>
        </is>
      </c>
      <c r="B2468" s="13" t="inlineStr">
        <is>
          <t>CE42</t>
        </is>
      </c>
      <c r="C2468" s="13" t="inlineStr">
        <is>
          <t>B1</t>
        </is>
      </c>
      <c r="D2468" s="13" t="n">
        <v>0</v>
      </c>
      <c r="E2468" s="13" t="inlineStr">
        <is>
          <t>E</t>
        </is>
      </c>
      <c r="F2468" s="13" t="n">
        <v>2022</v>
      </c>
      <c r="G2468" s="14" t="n">
        <v>999507.4713691864</v>
      </c>
      <c r="H2468" s="14" t="n">
        <v>474736.1752944348</v>
      </c>
      <c r="I2468" s="14" t="n">
        <v>337250.6606002508</v>
      </c>
      <c r="J2468" s="14" t="n">
        <v>0</v>
      </c>
      <c r="K2468" s="14" t="n">
        <v>25377.77551748238</v>
      </c>
      <c r="L2468" s="14" t="n">
        <v>162142.8599570181</v>
      </c>
      <c r="M2468" s="14" t="n">
        <v>0</v>
      </c>
      <c r="N2468" s="14" t="n">
        <v>521196.8611083983</v>
      </c>
      <c r="O2468" s="14" t="n">
        <v>828061.6007711972</v>
      </c>
      <c r="P2468" s="14" t="n">
        <v>58192.17128242045</v>
      </c>
      <c r="Q2468" s="14" t="n">
        <v>3417445.974166092</v>
      </c>
      <c r="R2468" s="15">
        <f>IF(D2468=1,"Section 1","Control")</f>
        <v/>
      </c>
      <c r="S2468" s="16">
        <f>N2468/10000</f>
        <v/>
      </c>
      <c r="T2468" s="16">
        <f>P2468/10000</f>
        <v/>
      </c>
      <c r="U2468" s="15">
        <f>IF(N2468&gt;=Summary!$D$3,1,0)</f>
        <v/>
      </c>
      <c r="V2468" s="17">
        <f>IF(N2468&gt;0,P2468/N2468,"")</f>
        <v/>
      </c>
      <c r="W2468" s="17">
        <f>IF(O2468&gt;0,H2468/O2468,"")</f>
        <v/>
      </c>
    </row>
    <row r="2469">
      <c r="A2469" s="13" t="inlineStr">
        <is>
          <t>CE42_B1</t>
        </is>
      </c>
      <c r="B2469" s="13" t="inlineStr">
        <is>
          <t>CE42</t>
        </is>
      </c>
      <c r="C2469" s="13" t="inlineStr">
        <is>
          <t>B1</t>
        </is>
      </c>
      <c r="D2469" s="13" t="n">
        <v>0</v>
      </c>
      <c r="E2469" s="13" t="inlineStr">
        <is>
          <t>E</t>
        </is>
      </c>
      <c r="F2469" s="13" t="n">
        <v>2023</v>
      </c>
      <c r="G2469" s="14" t="n">
        <v>999507.4713691864</v>
      </c>
      <c r="H2469" s="14" t="n">
        <v>384915.1055067173</v>
      </c>
      <c r="I2469" s="14" t="n">
        <v>424082.3034325094</v>
      </c>
      <c r="J2469" s="14" t="n">
        <v>0</v>
      </c>
      <c r="K2469" s="14" t="n">
        <v>45400.79123493269</v>
      </c>
      <c r="L2469" s="14" t="n">
        <v>145109.2711950265</v>
      </c>
      <c r="M2469" s="14" t="n">
        <v>0</v>
      </c>
      <c r="N2469" s="14" t="n">
        <v>521196.8611083983</v>
      </c>
      <c r="O2469" s="14" t="n">
        <v>828061.6007711972</v>
      </c>
      <c r="P2469" s="14" t="n">
        <v>138964.2963449516</v>
      </c>
      <c r="Q2469" s="14" t="n">
        <v>3417445.974166092</v>
      </c>
      <c r="R2469" s="15">
        <f>IF(D2469=1,"Section 1","Control")</f>
        <v/>
      </c>
      <c r="S2469" s="16">
        <f>N2469/10000</f>
        <v/>
      </c>
      <c r="T2469" s="16">
        <f>P2469/10000</f>
        <v/>
      </c>
      <c r="U2469" s="15">
        <f>IF(N2469&gt;=Summary!$D$3,1,0)</f>
        <v/>
      </c>
      <c r="V2469" s="17">
        <f>IF(N2469&gt;0,P2469/N2469,"")</f>
        <v/>
      </c>
      <c r="W2469" s="17">
        <f>IF(O2469&gt;0,H2469/O2469,"")</f>
        <v/>
      </c>
    </row>
    <row r="2470">
      <c r="A2470" s="13" t="inlineStr">
        <is>
          <t>CE42_B1</t>
        </is>
      </c>
      <c r="B2470" s="13" t="inlineStr">
        <is>
          <t>CE42</t>
        </is>
      </c>
      <c r="C2470" s="13" t="inlineStr">
        <is>
          <t>B1</t>
        </is>
      </c>
      <c r="D2470" s="13" t="n">
        <v>0</v>
      </c>
      <c r="E2470" s="13" t="inlineStr">
        <is>
          <t>E</t>
        </is>
      </c>
      <c r="F2470" s="13" t="n">
        <v>2024</v>
      </c>
      <c r="G2470" s="14" t="n">
        <v>999507.4713691864</v>
      </c>
      <c r="H2470" s="14" t="n">
        <v>487973.2678147558</v>
      </c>
      <c r="I2470" s="14" t="n">
        <v>340113.6597840552</v>
      </c>
      <c r="J2470" s="14" t="n">
        <v>0</v>
      </c>
      <c r="K2470" s="14" t="n">
        <v>39992.05259279738</v>
      </c>
      <c r="L2470" s="14" t="n">
        <v>131428.4911775776</v>
      </c>
      <c r="M2470" s="14" t="n">
        <v>0</v>
      </c>
      <c r="N2470" s="14" t="n">
        <v>521196.8611083983</v>
      </c>
      <c r="O2470" s="14" t="n">
        <v>828061.6007711971</v>
      </c>
      <c r="P2470" s="14" t="n">
        <v>51564.58942027372</v>
      </c>
      <c r="Q2470" s="14" t="n">
        <v>3417445.974166092</v>
      </c>
      <c r="R2470" s="15">
        <f>IF(D2470=1,"Section 1","Control")</f>
        <v/>
      </c>
      <c r="S2470" s="16">
        <f>N2470/10000</f>
        <v/>
      </c>
      <c r="T2470" s="16">
        <f>P2470/10000</f>
        <v/>
      </c>
      <c r="U2470" s="15">
        <f>IF(N2470&gt;=Summary!$D$3,1,0)</f>
        <v/>
      </c>
      <c r="V2470" s="17">
        <f>IF(N2470&gt;0,P2470/N2470,"")</f>
        <v/>
      </c>
      <c r="W2470" s="17">
        <f>IF(O2470&gt;0,H2470/O2470,"")</f>
        <v/>
      </c>
    </row>
    <row r="2471">
      <c r="A2471" s="13" t="inlineStr">
        <is>
          <t>CE42_B1</t>
        </is>
      </c>
      <c r="B2471" s="13" t="inlineStr">
        <is>
          <t>CE42</t>
        </is>
      </c>
      <c r="C2471" s="13" t="inlineStr">
        <is>
          <t>B1</t>
        </is>
      </c>
      <c r="D2471" s="13" t="n">
        <v>0</v>
      </c>
      <c r="E2471" s="13" t="inlineStr">
        <is>
          <t>E</t>
        </is>
      </c>
      <c r="F2471" s="13" t="n">
        <v>2025</v>
      </c>
      <c r="G2471" s="14" t="n">
        <v>999507.4713691864</v>
      </c>
      <c r="H2471" s="14" t="n">
        <v>438780.367162308</v>
      </c>
      <c r="I2471" s="14" t="n">
        <v>386637.862882068</v>
      </c>
      <c r="J2471" s="14" t="n">
        <v>0</v>
      </c>
      <c r="K2471" s="14" t="n">
        <v>27228.26233364928</v>
      </c>
      <c r="L2471" s="14" t="n">
        <v>146860.9789911607</v>
      </c>
      <c r="M2471" s="14" t="n">
        <v>0</v>
      </c>
      <c r="N2471" s="14" t="n">
        <v>521196.8611083983</v>
      </c>
      <c r="O2471" s="14" t="n">
        <v>828061.6007711972</v>
      </c>
      <c r="P2471" s="14" t="n">
        <v>93777.41172706752</v>
      </c>
      <c r="Q2471" s="14" t="n">
        <v>3417445.974166092</v>
      </c>
      <c r="R2471" s="15">
        <f>IF(D2471=1,"Section 1","Control")</f>
        <v/>
      </c>
      <c r="S2471" s="16">
        <f>N2471/10000</f>
        <v/>
      </c>
      <c r="T2471" s="16">
        <f>P2471/10000</f>
        <v/>
      </c>
      <c r="U2471" s="15">
        <f>IF(N2471&gt;=Summary!$D$3,1,0)</f>
        <v/>
      </c>
      <c r="V2471" s="17">
        <f>IF(N2471&gt;0,P2471/N2471,"")</f>
        <v/>
      </c>
      <c r="W2471" s="17">
        <f>IF(O2471&gt;0,H2471/O2471,"")</f>
        <v/>
      </c>
    </row>
    <row r="2472">
      <c r="A2472" s="13" t="inlineStr">
        <is>
          <t>CE42_B1</t>
        </is>
      </c>
      <c r="B2472" s="13" t="inlineStr">
        <is>
          <t>CE42</t>
        </is>
      </c>
      <c r="C2472" s="13" t="inlineStr">
        <is>
          <t>B1</t>
        </is>
      </c>
      <c r="D2472" s="13" t="n">
        <v>0</v>
      </c>
      <c r="E2472" s="13" t="inlineStr">
        <is>
          <t>E</t>
        </is>
      </c>
      <c r="F2472" s="13" t="n">
        <v>2026</v>
      </c>
      <c r="G2472" s="14" t="n">
        <v>999507.4713691864</v>
      </c>
      <c r="H2472" s="14" t="n">
        <v>501184.2923367369</v>
      </c>
      <c r="I2472" s="14" t="n">
        <v>350327.8281417846</v>
      </c>
      <c r="J2472" s="14" t="n">
        <v>0</v>
      </c>
      <c r="K2472" s="14" t="n">
        <v>31166.51580173268</v>
      </c>
      <c r="L2472" s="14" t="n">
        <v>116828.8350889318</v>
      </c>
      <c r="M2472" s="14" t="n">
        <v>0</v>
      </c>
      <c r="N2472" s="14" t="n">
        <v>521196.8611083983</v>
      </c>
      <c r="O2472" s="14" t="n">
        <v>828061.6007711971</v>
      </c>
      <c r="P2472" s="14" t="n">
        <v>43120.43963733748</v>
      </c>
      <c r="Q2472" s="14" t="n">
        <v>3417445.974166092</v>
      </c>
      <c r="R2472" s="15">
        <f>IF(D2472=1,"Section 1","Control")</f>
        <v/>
      </c>
      <c r="S2472" s="16">
        <f>N2472/10000</f>
        <v/>
      </c>
      <c r="T2472" s="16">
        <f>P2472/10000</f>
        <v/>
      </c>
      <c r="U2472" s="15">
        <f>IF(N2472&gt;=Summary!$D$3,1,0)</f>
        <v/>
      </c>
      <c r="V2472" s="17">
        <f>IF(N2472&gt;0,P2472/N2472,"")</f>
        <v/>
      </c>
      <c r="W2472" s="17">
        <f>IF(O2472&gt;0,H2472/O2472,"")</f>
        <v/>
      </c>
    </row>
    <row r="2473">
      <c r="A2473" s="13" t="inlineStr">
        <is>
          <t>CE42_B2</t>
        </is>
      </c>
      <c r="B2473" s="13" t="inlineStr">
        <is>
          <t>CE42</t>
        </is>
      </c>
      <c r="C2473" s="13" t="inlineStr">
        <is>
          <t>B2</t>
        </is>
      </c>
      <c r="D2473" s="13" t="n">
        <v>0</v>
      </c>
      <c r="E2473" s="13" t="inlineStr">
        <is>
          <t>E</t>
        </is>
      </c>
      <c r="F2473" s="13" t="n">
        <v>2020</v>
      </c>
      <c r="G2473" s="14" t="n">
        <v>999919.061305925</v>
      </c>
      <c r="H2473" s="14" t="n">
        <v>299676.0236063938</v>
      </c>
      <c r="I2473" s="14" t="n">
        <v>198171.77566651</v>
      </c>
      <c r="J2473" s="14" t="n">
        <v>0</v>
      </c>
      <c r="K2473" s="14" t="n">
        <v>2180.708287616805</v>
      </c>
      <c r="L2473" s="14" t="n">
        <v>499890.5537454045</v>
      </c>
      <c r="M2473" s="14" t="n">
        <v>0</v>
      </c>
      <c r="N2473" s="14" t="n">
        <v>299676.0236063938</v>
      </c>
      <c r="O2473" s="14" t="n">
        <v>500028.5075605205</v>
      </c>
      <c r="P2473" s="14" t="n">
        <v>0</v>
      </c>
      <c r="Q2473" s="14" t="n">
        <v>3350782.27552592</v>
      </c>
      <c r="R2473" s="15">
        <f>IF(D2473=1,"Section 1","Control")</f>
        <v/>
      </c>
      <c r="S2473" s="16">
        <f>N2473/10000</f>
        <v/>
      </c>
      <c r="T2473" s="16">
        <f>P2473/10000</f>
        <v/>
      </c>
      <c r="U2473" s="15">
        <f>IF(N2473&gt;=Summary!$D$3,1,0)</f>
        <v/>
      </c>
      <c r="V2473" s="17">
        <f>IF(N2473&gt;0,P2473/N2473,"")</f>
        <v/>
      </c>
      <c r="W2473" s="17">
        <f>IF(O2473&gt;0,H2473/O2473,"")</f>
        <v/>
      </c>
    </row>
    <row r="2474">
      <c r="A2474" s="13" t="inlineStr">
        <is>
          <t>CE42_B2</t>
        </is>
      </c>
      <c r="B2474" s="13" t="inlineStr">
        <is>
          <t>CE42</t>
        </is>
      </c>
      <c r="C2474" s="13" t="inlineStr">
        <is>
          <t>B2</t>
        </is>
      </c>
      <c r="D2474" s="13" t="n">
        <v>0</v>
      </c>
      <c r="E2474" s="13" t="inlineStr">
        <is>
          <t>E</t>
        </is>
      </c>
      <c r="F2474" s="13" t="n">
        <v>2021</v>
      </c>
      <c r="G2474" s="14" t="n">
        <v>999919.061305925</v>
      </c>
      <c r="H2474" s="14" t="n">
        <v>353208.8889200846</v>
      </c>
      <c r="I2474" s="14" t="n">
        <v>139846.5402087642</v>
      </c>
      <c r="J2474" s="14" t="n">
        <v>0</v>
      </c>
      <c r="K2474" s="14" t="n">
        <v>6973.078431671741</v>
      </c>
      <c r="L2474" s="14" t="n">
        <v>499890.5537454045</v>
      </c>
      <c r="M2474" s="14" t="n">
        <v>0</v>
      </c>
      <c r="N2474" s="14" t="n">
        <v>299676.0236063938</v>
      </c>
      <c r="O2474" s="14" t="n">
        <v>500028.5075605205</v>
      </c>
      <c r="P2474" s="14" t="n">
        <v>18339.70573206883</v>
      </c>
      <c r="Q2474" s="14" t="n">
        <v>3350782.27552592</v>
      </c>
      <c r="R2474" s="15">
        <f>IF(D2474=1,"Section 1","Control")</f>
        <v/>
      </c>
      <c r="S2474" s="16">
        <f>N2474/10000</f>
        <v/>
      </c>
      <c r="T2474" s="16">
        <f>P2474/10000</f>
        <v/>
      </c>
      <c r="U2474" s="15">
        <f>IF(N2474&gt;=Summary!$D$3,1,0)</f>
        <v/>
      </c>
      <c r="V2474" s="17">
        <f>IF(N2474&gt;0,P2474/N2474,"")</f>
        <v/>
      </c>
      <c r="W2474" s="17">
        <f>IF(O2474&gt;0,H2474/O2474,"")</f>
        <v/>
      </c>
    </row>
    <row r="2475">
      <c r="A2475" s="13" t="inlineStr">
        <is>
          <t>CE42_B2</t>
        </is>
      </c>
      <c r="B2475" s="13" t="inlineStr">
        <is>
          <t>CE42</t>
        </is>
      </c>
      <c r="C2475" s="13" t="inlineStr">
        <is>
          <t>B2</t>
        </is>
      </c>
      <c r="D2475" s="13" t="n">
        <v>0</v>
      </c>
      <c r="E2475" s="13" t="inlineStr">
        <is>
          <t>E</t>
        </is>
      </c>
      <c r="F2475" s="13" t="n">
        <v>2022</v>
      </c>
      <c r="G2475" s="14" t="n">
        <v>999919.061305925</v>
      </c>
      <c r="H2475" s="14" t="n">
        <v>303004.3930015115</v>
      </c>
      <c r="I2475" s="14" t="n">
        <v>190745.6768351836</v>
      </c>
      <c r="J2475" s="14" t="n">
        <v>0</v>
      </c>
      <c r="K2475" s="14" t="n">
        <v>6278.437723825492</v>
      </c>
      <c r="L2475" s="14" t="n">
        <v>499890.5537454045</v>
      </c>
      <c r="M2475" s="14" t="n">
        <v>0</v>
      </c>
      <c r="N2475" s="14" t="n">
        <v>299676.0236063938</v>
      </c>
      <c r="O2475" s="14" t="n">
        <v>500028.5075605205</v>
      </c>
      <c r="P2475" s="14" t="n">
        <v>22181.46241577747</v>
      </c>
      <c r="Q2475" s="14" t="n">
        <v>3350782.27552592</v>
      </c>
      <c r="R2475" s="15">
        <f>IF(D2475=1,"Section 1","Control")</f>
        <v/>
      </c>
      <c r="S2475" s="16">
        <f>N2475/10000</f>
        <v/>
      </c>
      <c r="T2475" s="16">
        <f>P2475/10000</f>
        <v/>
      </c>
      <c r="U2475" s="15">
        <f>IF(N2475&gt;=Summary!$D$3,1,0)</f>
        <v/>
      </c>
      <c r="V2475" s="17">
        <f>IF(N2475&gt;0,P2475/N2475,"")</f>
        <v/>
      </c>
      <c r="W2475" s="17">
        <f>IF(O2475&gt;0,H2475/O2475,"")</f>
        <v/>
      </c>
    </row>
    <row r="2476">
      <c r="A2476" s="13" t="inlineStr">
        <is>
          <t>CE42_B2</t>
        </is>
      </c>
      <c r="B2476" s="13" t="inlineStr">
        <is>
          <t>CE42</t>
        </is>
      </c>
      <c r="C2476" s="13" t="inlineStr">
        <is>
          <t>B2</t>
        </is>
      </c>
      <c r="D2476" s="13" t="n">
        <v>0</v>
      </c>
      <c r="E2476" s="13" t="inlineStr">
        <is>
          <t>E</t>
        </is>
      </c>
      <c r="F2476" s="13" t="n">
        <v>2023</v>
      </c>
      <c r="G2476" s="14" t="n">
        <v>999919.061305925</v>
      </c>
      <c r="H2476" s="14" t="n">
        <v>226262.2716196397</v>
      </c>
      <c r="I2476" s="14" t="n">
        <v>234484.0516082166</v>
      </c>
      <c r="J2476" s="14" t="n">
        <v>0</v>
      </c>
      <c r="K2476" s="14" t="n">
        <v>39282.18433266434</v>
      </c>
      <c r="L2476" s="14" t="n">
        <v>499890.5537454045</v>
      </c>
      <c r="M2476" s="14" t="n">
        <v>0</v>
      </c>
      <c r="N2476" s="14" t="n">
        <v>299676.0236063938</v>
      </c>
      <c r="O2476" s="14" t="n">
        <v>500028.5075605205</v>
      </c>
      <c r="P2476" s="14" t="n">
        <v>78726.11398818073</v>
      </c>
      <c r="Q2476" s="14" t="n">
        <v>3350782.27552592</v>
      </c>
      <c r="R2476" s="15">
        <f>IF(D2476=1,"Section 1","Control")</f>
        <v/>
      </c>
      <c r="S2476" s="16">
        <f>N2476/10000</f>
        <v/>
      </c>
      <c r="T2476" s="16">
        <f>P2476/10000</f>
        <v/>
      </c>
      <c r="U2476" s="15">
        <f>IF(N2476&gt;=Summary!$D$3,1,0)</f>
        <v/>
      </c>
      <c r="V2476" s="17">
        <f>IF(N2476&gt;0,P2476/N2476,"")</f>
        <v/>
      </c>
      <c r="W2476" s="17">
        <f>IF(O2476&gt;0,H2476/O2476,"")</f>
        <v/>
      </c>
    </row>
    <row r="2477">
      <c r="A2477" s="13" t="inlineStr">
        <is>
          <t>CE42_B2</t>
        </is>
      </c>
      <c r="B2477" s="13" t="inlineStr">
        <is>
          <t>CE42</t>
        </is>
      </c>
      <c r="C2477" s="13" t="inlineStr">
        <is>
          <t>B2</t>
        </is>
      </c>
      <c r="D2477" s="13" t="n">
        <v>0</v>
      </c>
      <c r="E2477" s="13" t="inlineStr">
        <is>
          <t>E</t>
        </is>
      </c>
      <c r="F2477" s="13" t="n">
        <v>2024</v>
      </c>
      <c r="G2477" s="14" t="n">
        <v>999919.0613059248</v>
      </c>
      <c r="H2477" s="14" t="n">
        <v>389785.2228093465</v>
      </c>
      <c r="I2477" s="14" t="n">
        <v>77694.51388935764</v>
      </c>
      <c r="J2477" s="14" t="n">
        <v>0</v>
      </c>
      <c r="K2477" s="14" t="n">
        <v>32548.77086181641</v>
      </c>
      <c r="L2477" s="14" t="n">
        <v>499890.5537454044</v>
      </c>
      <c r="M2477" s="14" t="n">
        <v>0</v>
      </c>
      <c r="N2477" s="14" t="n">
        <v>299676.0236063938</v>
      </c>
      <c r="O2477" s="14" t="n">
        <v>500028.5075605205</v>
      </c>
      <c r="P2477" s="14" t="n">
        <v>18932.12748015161</v>
      </c>
      <c r="Q2477" s="14" t="n">
        <v>3350782.27552592</v>
      </c>
      <c r="R2477" s="15">
        <f>IF(D2477=1,"Section 1","Control")</f>
        <v/>
      </c>
      <c r="S2477" s="16">
        <f>N2477/10000</f>
        <v/>
      </c>
      <c r="T2477" s="16">
        <f>P2477/10000</f>
        <v/>
      </c>
      <c r="U2477" s="15">
        <f>IF(N2477&gt;=Summary!$D$3,1,0)</f>
        <v/>
      </c>
      <c r="V2477" s="17">
        <f>IF(N2477&gt;0,P2477/N2477,"")</f>
        <v/>
      </c>
      <c r="W2477" s="17">
        <f>IF(O2477&gt;0,H2477/O2477,"")</f>
        <v/>
      </c>
    </row>
    <row r="2478">
      <c r="A2478" s="13" t="inlineStr">
        <is>
          <t>CE42_B2</t>
        </is>
      </c>
      <c r="B2478" s="13" t="inlineStr">
        <is>
          <t>CE42</t>
        </is>
      </c>
      <c r="C2478" s="13" t="inlineStr">
        <is>
          <t>B2</t>
        </is>
      </c>
      <c r="D2478" s="13" t="n">
        <v>0</v>
      </c>
      <c r="E2478" s="13" t="inlineStr">
        <is>
          <t>E</t>
        </is>
      </c>
      <c r="F2478" s="13" t="n">
        <v>2025</v>
      </c>
      <c r="G2478" s="14" t="n">
        <v>999919.061305925</v>
      </c>
      <c r="H2478" s="14" t="n">
        <v>245066.9552650302</v>
      </c>
      <c r="I2478" s="14" t="n">
        <v>237743.9451963537</v>
      </c>
      <c r="J2478" s="14" t="n">
        <v>0</v>
      </c>
      <c r="K2478" s="14" t="n">
        <v>17217.60709913665</v>
      </c>
      <c r="L2478" s="14" t="n">
        <v>499890.5537454045</v>
      </c>
      <c r="M2478" s="14" t="n">
        <v>0</v>
      </c>
      <c r="N2478" s="14" t="n">
        <v>299676.0236063938</v>
      </c>
      <c r="O2478" s="14" t="n">
        <v>500028.5075605205</v>
      </c>
      <c r="P2478" s="14" t="n">
        <v>67576.33982014375</v>
      </c>
      <c r="Q2478" s="14" t="n">
        <v>3350782.27552592</v>
      </c>
      <c r="R2478" s="15">
        <f>IF(D2478=1,"Section 1","Control")</f>
        <v/>
      </c>
      <c r="S2478" s="16">
        <f>N2478/10000</f>
        <v/>
      </c>
      <c r="T2478" s="16">
        <f>P2478/10000</f>
        <v/>
      </c>
      <c r="U2478" s="15">
        <f>IF(N2478&gt;=Summary!$D$3,1,0)</f>
        <v/>
      </c>
      <c r="V2478" s="17">
        <f>IF(N2478&gt;0,P2478/N2478,"")</f>
        <v/>
      </c>
      <c r="W2478" s="17">
        <f>IF(O2478&gt;0,H2478/O2478,"")</f>
        <v/>
      </c>
    </row>
    <row r="2479">
      <c r="A2479" s="13" t="inlineStr">
        <is>
          <t>CE42_B2</t>
        </is>
      </c>
      <c r="B2479" s="13" t="inlineStr">
        <is>
          <t>CE42</t>
        </is>
      </c>
      <c r="C2479" s="13" t="inlineStr">
        <is>
          <t>B2</t>
        </is>
      </c>
      <c r="D2479" s="13" t="n">
        <v>0</v>
      </c>
      <c r="E2479" s="13" t="inlineStr">
        <is>
          <t>E</t>
        </is>
      </c>
      <c r="F2479" s="13" t="n">
        <v>2026</v>
      </c>
      <c r="G2479" s="14" t="n">
        <v>999919.061305925</v>
      </c>
      <c r="H2479" s="14" t="n">
        <v>297018.2376328113</v>
      </c>
      <c r="I2479" s="14" t="n">
        <v>170512.6179188149</v>
      </c>
      <c r="J2479" s="14" t="n">
        <v>0</v>
      </c>
      <c r="K2479" s="14" t="n">
        <v>32497.65200889438</v>
      </c>
      <c r="L2479" s="14" t="n">
        <v>499890.5537454045</v>
      </c>
      <c r="M2479" s="14" t="n">
        <v>0</v>
      </c>
      <c r="N2479" s="14" t="n">
        <v>299676.0236063938</v>
      </c>
      <c r="O2479" s="14" t="n">
        <v>500028.5075605205</v>
      </c>
      <c r="P2479" s="14" t="n">
        <v>40624.16379146202</v>
      </c>
      <c r="Q2479" s="14" t="n">
        <v>3350782.27552592</v>
      </c>
      <c r="R2479" s="15">
        <f>IF(D2479=1,"Section 1","Control")</f>
        <v/>
      </c>
      <c r="S2479" s="16">
        <f>N2479/10000</f>
        <v/>
      </c>
      <c r="T2479" s="16">
        <f>P2479/10000</f>
        <v/>
      </c>
      <c r="U2479" s="15">
        <f>IF(N2479&gt;=Summary!$D$3,1,0)</f>
        <v/>
      </c>
      <c r="V2479" s="17">
        <f>IF(N2479&gt;0,P2479/N2479,"")</f>
        <v/>
      </c>
      <c r="W2479" s="17">
        <f>IF(O2479&gt;0,H2479/O2479,"")</f>
        <v/>
      </c>
    </row>
    <row r="2480">
      <c r="A2480" s="13" t="inlineStr">
        <is>
          <t>CE42_B3</t>
        </is>
      </c>
      <c r="B2480" s="13" t="inlineStr">
        <is>
          <t>CE42</t>
        </is>
      </c>
      <c r="C2480" s="13" t="inlineStr">
        <is>
          <t>B3</t>
        </is>
      </c>
      <c r="D2480" s="13" t="n">
        <v>0</v>
      </c>
      <c r="E2480" s="13" t="inlineStr">
        <is>
          <t>E</t>
        </is>
      </c>
      <c r="F2480" s="13" t="n">
        <v>2020</v>
      </c>
      <c r="G2480" s="14" t="n">
        <v>7795062.05993066</v>
      </c>
      <c r="H2480" s="14" t="n">
        <v>3339697.226198353</v>
      </c>
      <c r="I2480" s="14" t="n">
        <v>653841.7766468122</v>
      </c>
      <c r="J2480" s="14" t="n">
        <v>0</v>
      </c>
      <c r="K2480" s="14" t="n">
        <v>6219.99560546875</v>
      </c>
      <c r="L2480" s="14" t="n">
        <v>3795303.061480024</v>
      </c>
      <c r="M2480" s="14" t="n">
        <v>0</v>
      </c>
      <c r="N2480" s="14" t="n">
        <v>3339697.226198353</v>
      </c>
      <c r="O2480" s="14" t="n">
        <v>3999758.998450635</v>
      </c>
      <c r="P2480" s="14" t="n">
        <v>0</v>
      </c>
      <c r="Q2480" s="14" t="n">
        <v>41579278.02669258</v>
      </c>
      <c r="R2480" s="15">
        <f>IF(D2480=1,"Section 1","Control")</f>
        <v/>
      </c>
      <c r="S2480" s="16">
        <f>N2480/10000</f>
        <v/>
      </c>
      <c r="T2480" s="16">
        <f>P2480/10000</f>
        <v/>
      </c>
      <c r="U2480" s="15">
        <f>IF(N2480&gt;=Summary!$D$3,1,0)</f>
        <v/>
      </c>
      <c r="V2480" s="17">
        <f>IF(N2480&gt;0,P2480/N2480,"")</f>
        <v/>
      </c>
      <c r="W2480" s="17">
        <f>IF(O2480&gt;0,H2480/O2480,"")</f>
        <v/>
      </c>
    </row>
    <row r="2481">
      <c r="A2481" s="13" t="inlineStr">
        <is>
          <t>CE42_B3</t>
        </is>
      </c>
      <c r="B2481" s="13" t="inlineStr">
        <is>
          <t>CE42</t>
        </is>
      </c>
      <c r="C2481" s="13" t="inlineStr">
        <is>
          <t>B3</t>
        </is>
      </c>
      <c r="D2481" s="13" t="n">
        <v>0</v>
      </c>
      <c r="E2481" s="13" t="inlineStr">
        <is>
          <t>E</t>
        </is>
      </c>
      <c r="F2481" s="13" t="n">
        <v>2021</v>
      </c>
      <c r="G2481" s="14" t="n">
        <v>7795062.059930659</v>
      </c>
      <c r="H2481" s="14" t="n">
        <v>2969950.742675872</v>
      </c>
      <c r="I2481" s="14" t="n">
        <v>756808.4274468814</v>
      </c>
      <c r="J2481" s="14" t="n">
        <v>0</v>
      </c>
      <c r="K2481" s="14" t="n">
        <v>272999.828327882</v>
      </c>
      <c r="L2481" s="14" t="n">
        <v>3795303.061480024</v>
      </c>
      <c r="M2481" s="14" t="n">
        <v>0</v>
      </c>
      <c r="N2481" s="14" t="n">
        <v>3339697.226198353</v>
      </c>
      <c r="O2481" s="14" t="n">
        <v>3999758.998450635</v>
      </c>
      <c r="P2481" s="14" t="n">
        <v>409889.3677953084</v>
      </c>
      <c r="Q2481" s="14" t="n">
        <v>41579278.02669258</v>
      </c>
      <c r="R2481" s="15">
        <f>IF(D2481=1,"Section 1","Control")</f>
        <v/>
      </c>
      <c r="S2481" s="16">
        <f>N2481/10000</f>
        <v/>
      </c>
      <c r="T2481" s="16">
        <f>P2481/10000</f>
        <v/>
      </c>
      <c r="U2481" s="15">
        <f>IF(N2481&gt;=Summary!$D$3,1,0)</f>
        <v/>
      </c>
      <c r="V2481" s="17">
        <f>IF(N2481&gt;0,P2481/N2481,"")</f>
        <v/>
      </c>
      <c r="W2481" s="17">
        <f>IF(O2481&gt;0,H2481/O2481,"")</f>
        <v/>
      </c>
    </row>
    <row r="2482">
      <c r="A2482" s="13" t="inlineStr">
        <is>
          <t>CE42_B3</t>
        </is>
      </c>
      <c r="B2482" s="13" t="inlineStr">
        <is>
          <t>CE42</t>
        </is>
      </c>
      <c r="C2482" s="13" t="inlineStr">
        <is>
          <t>B3</t>
        </is>
      </c>
      <c r="D2482" s="13" t="n">
        <v>0</v>
      </c>
      <c r="E2482" s="13" t="inlineStr">
        <is>
          <t>E</t>
        </is>
      </c>
      <c r="F2482" s="13" t="n">
        <v>2022</v>
      </c>
      <c r="G2482" s="14" t="n">
        <v>7795062.059930659</v>
      </c>
      <c r="H2482" s="14" t="n">
        <v>2819060.439808206</v>
      </c>
      <c r="I2482" s="14" t="n">
        <v>961305.05623525</v>
      </c>
      <c r="J2482" s="14" t="n">
        <v>0</v>
      </c>
      <c r="K2482" s="14" t="n">
        <v>219393.5024071787</v>
      </c>
      <c r="L2482" s="14" t="n">
        <v>3795303.061480024</v>
      </c>
      <c r="M2482" s="14" t="n">
        <v>0</v>
      </c>
      <c r="N2482" s="14" t="n">
        <v>3339697.226198353</v>
      </c>
      <c r="O2482" s="14" t="n">
        <v>3999758.998450634</v>
      </c>
      <c r="P2482" s="14" t="n">
        <v>533693.9200360167</v>
      </c>
      <c r="Q2482" s="14" t="n">
        <v>41579278.02669258</v>
      </c>
      <c r="R2482" s="15">
        <f>IF(D2482=1,"Section 1","Control")</f>
        <v/>
      </c>
      <c r="S2482" s="16">
        <f>N2482/10000</f>
        <v/>
      </c>
      <c r="T2482" s="16">
        <f>P2482/10000</f>
        <v/>
      </c>
      <c r="U2482" s="15">
        <f>IF(N2482&gt;=Summary!$D$3,1,0)</f>
        <v/>
      </c>
      <c r="V2482" s="17">
        <f>IF(N2482&gt;0,P2482/N2482,"")</f>
        <v/>
      </c>
      <c r="W2482" s="17">
        <f>IF(O2482&gt;0,H2482/O2482,"")</f>
        <v/>
      </c>
    </row>
    <row r="2483">
      <c r="A2483" s="13" t="inlineStr">
        <is>
          <t>CE42_B3</t>
        </is>
      </c>
      <c r="B2483" s="13" t="inlineStr">
        <is>
          <t>CE42</t>
        </is>
      </c>
      <c r="C2483" s="13" t="inlineStr">
        <is>
          <t>B3</t>
        </is>
      </c>
      <c r="D2483" s="13" t="n">
        <v>0</v>
      </c>
      <c r="E2483" s="13" t="inlineStr">
        <is>
          <t>E</t>
        </is>
      </c>
      <c r="F2483" s="13" t="n">
        <v>2023</v>
      </c>
      <c r="G2483" s="14" t="n">
        <v>7795062.059930658</v>
      </c>
      <c r="H2483" s="14" t="n">
        <v>2856402.172254615</v>
      </c>
      <c r="I2483" s="14" t="n">
        <v>993592.0672254376</v>
      </c>
      <c r="J2483" s="14" t="n">
        <v>0</v>
      </c>
      <c r="K2483" s="14" t="n">
        <v>149764.7589705823</v>
      </c>
      <c r="L2483" s="14" t="n">
        <v>3795303.061480024</v>
      </c>
      <c r="M2483" s="14" t="n">
        <v>0</v>
      </c>
      <c r="N2483" s="14" t="n">
        <v>3339697.226198353</v>
      </c>
      <c r="O2483" s="14" t="n">
        <v>3999758.998450635</v>
      </c>
      <c r="P2483" s="14" t="n">
        <v>506105.5163156847</v>
      </c>
      <c r="Q2483" s="14" t="n">
        <v>41579278.02669258</v>
      </c>
      <c r="R2483" s="15">
        <f>IF(D2483=1,"Section 1","Control")</f>
        <v/>
      </c>
      <c r="S2483" s="16">
        <f>N2483/10000</f>
        <v/>
      </c>
      <c r="T2483" s="16">
        <f>P2483/10000</f>
        <v/>
      </c>
      <c r="U2483" s="15">
        <f>IF(N2483&gt;=Summary!$D$3,1,0)</f>
        <v/>
      </c>
      <c r="V2483" s="17">
        <f>IF(N2483&gt;0,P2483/N2483,"")</f>
        <v/>
      </c>
      <c r="W2483" s="17">
        <f>IF(O2483&gt;0,H2483/O2483,"")</f>
        <v/>
      </c>
    </row>
    <row r="2484">
      <c r="A2484" s="13" t="inlineStr">
        <is>
          <t>CE42_B3</t>
        </is>
      </c>
      <c r="B2484" s="13" t="inlineStr">
        <is>
          <t>CE42</t>
        </is>
      </c>
      <c r="C2484" s="13" t="inlineStr">
        <is>
          <t>B3</t>
        </is>
      </c>
      <c r="D2484" s="13" t="n">
        <v>0</v>
      </c>
      <c r="E2484" s="13" t="inlineStr">
        <is>
          <t>E</t>
        </is>
      </c>
      <c r="F2484" s="13" t="n">
        <v>2024</v>
      </c>
      <c r="G2484" s="14" t="n">
        <v>7795062.05993066</v>
      </c>
      <c r="H2484" s="14" t="n">
        <v>3204800.580690721</v>
      </c>
      <c r="I2484" s="14" t="n">
        <v>664392.0478994033</v>
      </c>
      <c r="J2484" s="14" t="n">
        <v>0</v>
      </c>
      <c r="K2484" s="14" t="n">
        <v>130566.3698605107</v>
      </c>
      <c r="L2484" s="14" t="n">
        <v>3795303.061480024</v>
      </c>
      <c r="M2484" s="14" t="n">
        <v>0</v>
      </c>
      <c r="N2484" s="14" t="n">
        <v>3339697.226198353</v>
      </c>
      <c r="O2484" s="14" t="n">
        <v>3999758.998450635</v>
      </c>
      <c r="P2484" s="14" t="n">
        <v>290689.0136617623</v>
      </c>
      <c r="Q2484" s="14" t="n">
        <v>41579278.02669258</v>
      </c>
      <c r="R2484" s="15">
        <f>IF(D2484=1,"Section 1","Control")</f>
        <v/>
      </c>
      <c r="S2484" s="16">
        <f>N2484/10000</f>
        <v/>
      </c>
      <c r="T2484" s="16">
        <f>P2484/10000</f>
        <v/>
      </c>
      <c r="U2484" s="15">
        <f>IF(N2484&gt;=Summary!$D$3,1,0)</f>
        <v/>
      </c>
      <c r="V2484" s="17">
        <f>IF(N2484&gt;0,P2484/N2484,"")</f>
        <v/>
      </c>
      <c r="W2484" s="17">
        <f>IF(O2484&gt;0,H2484/O2484,"")</f>
        <v/>
      </c>
    </row>
    <row r="2485">
      <c r="A2485" s="13" t="inlineStr">
        <is>
          <t>CE42_B3</t>
        </is>
      </c>
      <c r="B2485" s="13" t="inlineStr">
        <is>
          <t>CE42</t>
        </is>
      </c>
      <c r="C2485" s="13" t="inlineStr">
        <is>
          <t>B3</t>
        </is>
      </c>
      <c r="D2485" s="13" t="n">
        <v>0</v>
      </c>
      <c r="E2485" s="13" t="inlineStr">
        <is>
          <t>E</t>
        </is>
      </c>
      <c r="F2485" s="13" t="n">
        <v>2025</v>
      </c>
      <c r="G2485" s="14" t="n">
        <v>7795062.059930659</v>
      </c>
      <c r="H2485" s="14" t="n">
        <v>3008594.058169047</v>
      </c>
      <c r="I2485" s="14" t="n">
        <v>865525.7434956869</v>
      </c>
      <c r="J2485" s="14" t="n">
        <v>0</v>
      </c>
      <c r="K2485" s="14" t="n">
        <v>125639.1967859006</v>
      </c>
      <c r="L2485" s="14" t="n">
        <v>3795303.061480024</v>
      </c>
      <c r="M2485" s="14" t="n">
        <v>0</v>
      </c>
      <c r="N2485" s="14" t="n">
        <v>3339697.226198353</v>
      </c>
      <c r="O2485" s="14" t="n">
        <v>3999758.998450635</v>
      </c>
      <c r="P2485" s="14" t="n">
        <v>431028.7393890979</v>
      </c>
      <c r="Q2485" s="14" t="n">
        <v>41579278.02669258</v>
      </c>
      <c r="R2485" s="15">
        <f>IF(D2485=1,"Section 1","Control")</f>
        <v/>
      </c>
      <c r="S2485" s="16">
        <f>N2485/10000</f>
        <v/>
      </c>
      <c r="T2485" s="16">
        <f>P2485/10000</f>
        <v/>
      </c>
      <c r="U2485" s="15">
        <f>IF(N2485&gt;=Summary!$D$3,1,0)</f>
        <v/>
      </c>
      <c r="V2485" s="17">
        <f>IF(N2485&gt;0,P2485/N2485,"")</f>
        <v/>
      </c>
      <c r="W2485" s="17">
        <f>IF(O2485&gt;0,H2485/O2485,"")</f>
        <v/>
      </c>
    </row>
    <row r="2486">
      <c r="A2486" s="13" t="inlineStr">
        <is>
          <t>CE42_B3</t>
        </is>
      </c>
      <c r="B2486" s="13" t="inlineStr">
        <is>
          <t>CE42</t>
        </is>
      </c>
      <c r="C2486" s="13" t="inlineStr">
        <is>
          <t>B3</t>
        </is>
      </c>
      <c r="D2486" s="13" t="n">
        <v>0</v>
      </c>
      <c r="E2486" s="13" t="inlineStr">
        <is>
          <t>E</t>
        </is>
      </c>
      <c r="F2486" s="13" t="n">
        <v>2026</v>
      </c>
      <c r="G2486" s="14" t="n">
        <v>7795062.05993066</v>
      </c>
      <c r="H2486" s="14" t="n">
        <v>3024778.201092111</v>
      </c>
      <c r="I2486" s="14" t="n">
        <v>795867.7354864981</v>
      </c>
      <c r="J2486" s="14" t="n">
        <v>0</v>
      </c>
      <c r="K2486" s="14" t="n">
        <v>179113.0618720261</v>
      </c>
      <c r="L2486" s="14" t="n">
        <v>3795303.061480024</v>
      </c>
      <c r="M2486" s="14" t="n">
        <v>0</v>
      </c>
      <c r="N2486" s="14" t="n">
        <v>3339697.226198353</v>
      </c>
      <c r="O2486" s="14" t="n">
        <v>3999758.998450635</v>
      </c>
      <c r="P2486" s="14" t="n">
        <v>386031.3237275366</v>
      </c>
      <c r="Q2486" s="14" t="n">
        <v>41579278.02669258</v>
      </c>
      <c r="R2486" s="15">
        <f>IF(D2486=1,"Section 1","Control")</f>
        <v/>
      </c>
      <c r="S2486" s="16">
        <f>N2486/10000</f>
        <v/>
      </c>
      <c r="T2486" s="16">
        <f>P2486/10000</f>
        <v/>
      </c>
      <c r="U2486" s="15">
        <f>IF(N2486&gt;=Summary!$D$3,1,0)</f>
        <v/>
      </c>
      <c r="V2486" s="17">
        <f>IF(N2486&gt;0,P2486/N2486,"")</f>
        <v/>
      </c>
      <c r="W2486" s="17">
        <f>IF(O2486&gt;0,H2486/O2486,"")</f>
        <v/>
      </c>
    </row>
    <row r="2487">
      <c r="A2487" s="13" t="inlineStr">
        <is>
          <t>CE42_F</t>
        </is>
      </c>
      <c r="B2487" s="13" t="inlineStr">
        <is>
          <t>CE42</t>
        </is>
      </c>
      <c r="C2487" s="13" t="inlineStr">
        <is>
          <t>F</t>
        </is>
      </c>
      <c r="D2487" s="13" t="n">
        <v>0</v>
      </c>
      <c r="E2487" s="13" t="inlineStr">
        <is>
          <t>E</t>
        </is>
      </c>
      <c r="F2487" s="13" t="n">
        <v>2020</v>
      </c>
      <c r="G2487" s="14" t="n">
        <v>69366.4332076428</v>
      </c>
      <c r="H2487" s="14" t="n">
        <v>65909.47937669941</v>
      </c>
      <c r="I2487" s="14" t="n">
        <v>3456.953830943388</v>
      </c>
      <c r="J2487" s="14" t="n">
        <v>0</v>
      </c>
      <c r="K2487" s="14" t="n">
        <v>0</v>
      </c>
      <c r="L2487" s="14" t="n">
        <v>0</v>
      </c>
      <c r="M2487" s="14" t="n">
        <v>0</v>
      </c>
      <c r="N2487" s="14" t="n">
        <v>65909.47937669941</v>
      </c>
      <c r="O2487" s="14" t="n">
        <v>69366.4332076428</v>
      </c>
      <c r="P2487" s="14" t="n">
        <v>0</v>
      </c>
      <c r="Q2487" s="14" t="n">
        <v>337464.1566326665</v>
      </c>
      <c r="R2487" s="15">
        <f>IF(D2487=1,"Section 1","Control")</f>
        <v/>
      </c>
      <c r="S2487" s="16">
        <f>N2487/10000</f>
        <v/>
      </c>
      <c r="T2487" s="16">
        <f>P2487/10000</f>
        <v/>
      </c>
      <c r="U2487" s="15">
        <f>IF(N2487&gt;=Summary!$D$3,1,0)</f>
        <v/>
      </c>
      <c r="V2487" s="17">
        <f>IF(N2487&gt;0,P2487/N2487,"")</f>
        <v/>
      </c>
      <c r="W2487" s="17">
        <f>IF(O2487&gt;0,H2487/O2487,"")</f>
        <v/>
      </c>
    </row>
    <row r="2488">
      <c r="A2488" s="13" t="inlineStr">
        <is>
          <t>CE42_F</t>
        </is>
      </c>
      <c r="B2488" s="13" t="inlineStr">
        <is>
          <t>CE42</t>
        </is>
      </c>
      <c r="C2488" s="13" t="inlineStr">
        <is>
          <t>F</t>
        </is>
      </c>
      <c r="D2488" s="13" t="n">
        <v>0</v>
      </c>
      <c r="E2488" s="13" t="inlineStr">
        <is>
          <t>E</t>
        </is>
      </c>
      <c r="F2488" s="13" t="n">
        <v>2021</v>
      </c>
      <c r="G2488" s="14" t="n">
        <v>69366.4332076428</v>
      </c>
      <c r="H2488" s="14" t="n">
        <v>58776.02981926413</v>
      </c>
      <c r="I2488" s="14" t="n">
        <v>10590.40338837866</v>
      </c>
      <c r="J2488" s="14" t="n">
        <v>0</v>
      </c>
      <c r="K2488" s="14" t="n">
        <v>0</v>
      </c>
      <c r="L2488" s="14" t="n">
        <v>0</v>
      </c>
      <c r="M2488" s="14" t="n">
        <v>0</v>
      </c>
      <c r="N2488" s="14" t="n">
        <v>65909.47937669941</v>
      </c>
      <c r="O2488" s="14" t="n">
        <v>69366.4332076428</v>
      </c>
      <c r="P2488" s="14" t="n">
        <v>7648.430392964681</v>
      </c>
      <c r="Q2488" s="14" t="n">
        <v>337464.1566326665</v>
      </c>
      <c r="R2488" s="15">
        <f>IF(D2488=1,"Section 1","Control")</f>
        <v/>
      </c>
      <c r="S2488" s="16">
        <f>N2488/10000</f>
        <v/>
      </c>
      <c r="T2488" s="16">
        <f>P2488/10000</f>
        <v/>
      </c>
      <c r="U2488" s="15">
        <f>IF(N2488&gt;=Summary!$D$3,1,0)</f>
        <v/>
      </c>
      <c r="V2488" s="17">
        <f>IF(N2488&gt;0,P2488/N2488,"")</f>
        <v/>
      </c>
      <c r="W2488" s="17">
        <f>IF(O2488&gt;0,H2488/O2488,"")</f>
        <v/>
      </c>
    </row>
    <row r="2489">
      <c r="A2489" s="13" t="inlineStr">
        <is>
          <t>CE42_F</t>
        </is>
      </c>
      <c r="B2489" s="13" t="inlineStr">
        <is>
          <t>CE42</t>
        </is>
      </c>
      <c r="C2489" s="13" t="inlineStr">
        <is>
          <t>F</t>
        </is>
      </c>
      <c r="D2489" s="13" t="n">
        <v>0</v>
      </c>
      <c r="E2489" s="13" t="inlineStr">
        <is>
          <t>E</t>
        </is>
      </c>
      <c r="F2489" s="13" t="n">
        <v>2022</v>
      </c>
      <c r="G2489" s="14" t="n">
        <v>69366.4332076428</v>
      </c>
      <c r="H2489" s="14" t="n">
        <v>68084.40200533399</v>
      </c>
      <c r="I2489" s="14" t="n">
        <v>1282.031202308804</v>
      </c>
      <c r="J2489" s="14" t="n">
        <v>0</v>
      </c>
      <c r="K2489" s="14" t="n">
        <v>0</v>
      </c>
      <c r="L2489" s="14" t="n">
        <v>0</v>
      </c>
      <c r="M2489" s="14" t="n">
        <v>0</v>
      </c>
      <c r="N2489" s="14" t="n">
        <v>65909.47937669941</v>
      </c>
      <c r="O2489" s="14" t="n">
        <v>69366.4332076428</v>
      </c>
      <c r="P2489" s="14" t="n">
        <v>639.6605789782955</v>
      </c>
      <c r="Q2489" s="14" t="n">
        <v>337464.1566326665</v>
      </c>
      <c r="R2489" s="15">
        <f>IF(D2489=1,"Section 1","Control")</f>
        <v/>
      </c>
      <c r="S2489" s="16">
        <f>N2489/10000</f>
        <v/>
      </c>
      <c r="T2489" s="16">
        <f>P2489/10000</f>
        <v/>
      </c>
      <c r="U2489" s="15">
        <f>IF(N2489&gt;=Summary!$D$3,1,0)</f>
        <v/>
      </c>
      <c r="V2489" s="17">
        <f>IF(N2489&gt;0,P2489/N2489,"")</f>
        <v/>
      </c>
      <c r="W2489" s="17">
        <f>IF(O2489&gt;0,H2489/O2489,"")</f>
        <v/>
      </c>
    </row>
    <row r="2490">
      <c r="A2490" s="13" t="inlineStr">
        <is>
          <t>CE42_F</t>
        </is>
      </c>
      <c r="B2490" s="13" t="inlineStr">
        <is>
          <t>CE42</t>
        </is>
      </c>
      <c r="C2490" s="13" t="inlineStr">
        <is>
          <t>F</t>
        </is>
      </c>
      <c r="D2490" s="13" t="n">
        <v>0</v>
      </c>
      <c r="E2490" s="13" t="inlineStr">
        <is>
          <t>E</t>
        </is>
      </c>
      <c r="F2490" s="13" t="n">
        <v>2023</v>
      </c>
      <c r="G2490" s="14" t="n">
        <v>69366.4332076428</v>
      </c>
      <c r="H2490" s="14" t="n">
        <v>47413.9148367489</v>
      </c>
      <c r="I2490" s="14" t="n">
        <v>21952.51837089389</v>
      </c>
      <c r="J2490" s="14" t="n">
        <v>0</v>
      </c>
      <c r="K2490" s="14" t="n">
        <v>0</v>
      </c>
      <c r="L2490" s="14" t="n">
        <v>0</v>
      </c>
      <c r="M2490" s="14" t="n">
        <v>0</v>
      </c>
      <c r="N2490" s="14" t="n">
        <v>65909.47937669941</v>
      </c>
      <c r="O2490" s="14" t="n">
        <v>69366.4332076428</v>
      </c>
      <c r="P2490" s="14" t="n">
        <v>18554.41942204494</v>
      </c>
      <c r="Q2490" s="14" t="n">
        <v>337464.1566326665</v>
      </c>
      <c r="R2490" s="15">
        <f>IF(D2490=1,"Section 1","Control")</f>
        <v/>
      </c>
      <c r="S2490" s="16">
        <f>N2490/10000</f>
        <v/>
      </c>
      <c r="T2490" s="16">
        <f>P2490/10000</f>
        <v/>
      </c>
      <c r="U2490" s="15">
        <f>IF(N2490&gt;=Summary!$D$3,1,0)</f>
        <v/>
      </c>
      <c r="V2490" s="17">
        <f>IF(N2490&gt;0,P2490/N2490,"")</f>
        <v/>
      </c>
      <c r="W2490" s="17">
        <f>IF(O2490&gt;0,H2490/O2490,"")</f>
        <v/>
      </c>
    </row>
    <row r="2491">
      <c r="A2491" s="13" t="inlineStr">
        <is>
          <t>CE42_F</t>
        </is>
      </c>
      <c r="B2491" s="13" t="inlineStr">
        <is>
          <t>CE42</t>
        </is>
      </c>
      <c r="C2491" s="13" t="inlineStr">
        <is>
          <t>F</t>
        </is>
      </c>
      <c r="D2491" s="13" t="n">
        <v>0</v>
      </c>
      <c r="E2491" s="13" t="inlineStr">
        <is>
          <t>E</t>
        </is>
      </c>
      <c r="F2491" s="13" t="n">
        <v>2024</v>
      </c>
      <c r="G2491" s="14" t="n">
        <v>69366.4332076428</v>
      </c>
      <c r="H2491" s="14" t="n">
        <v>61875.97887525371</v>
      </c>
      <c r="I2491" s="14" t="n">
        <v>7169.84980286243</v>
      </c>
      <c r="J2491" s="14" t="n">
        <v>0</v>
      </c>
      <c r="K2491" s="14" t="n">
        <v>320.6045295266544</v>
      </c>
      <c r="L2491" s="14" t="n">
        <v>0</v>
      </c>
      <c r="M2491" s="14" t="n">
        <v>0</v>
      </c>
      <c r="N2491" s="14" t="n">
        <v>65909.47937669941</v>
      </c>
      <c r="O2491" s="14" t="n">
        <v>69366.4332076428</v>
      </c>
      <c r="P2491" s="14" t="n">
        <v>4857.856834082509</v>
      </c>
      <c r="Q2491" s="14" t="n">
        <v>337464.1566326665</v>
      </c>
      <c r="R2491" s="15">
        <f>IF(D2491=1,"Section 1","Control")</f>
        <v/>
      </c>
      <c r="S2491" s="16">
        <f>N2491/10000</f>
        <v/>
      </c>
      <c r="T2491" s="16">
        <f>P2491/10000</f>
        <v/>
      </c>
      <c r="U2491" s="15">
        <f>IF(N2491&gt;=Summary!$D$3,1,0)</f>
        <v/>
      </c>
      <c r="V2491" s="17">
        <f>IF(N2491&gt;0,P2491/N2491,"")</f>
        <v/>
      </c>
      <c r="W2491" s="17">
        <f>IF(O2491&gt;0,H2491/O2491,"")</f>
        <v/>
      </c>
    </row>
    <row r="2492">
      <c r="A2492" s="13" t="inlineStr">
        <is>
          <t>CE42_F</t>
        </is>
      </c>
      <c r="B2492" s="13" t="inlineStr">
        <is>
          <t>CE42</t>
        </is>
      </c>
      <c r="C2492" s="13" t="inlineStr">
        <is>
          <t>F</t>
        </is>
      </c>
      <c r="D2492" s="13" t="n">
        <v>0</v>
      </c>
      <c r="E2492" s="13" t="inlineStr">
        <is>
          <t>E</t>
        </is>
      </c>
      <c r="F2492" s="13" t="n">
        <v>2025</v>
      </c>
      <c r="G2492" s="14" t="n">
        <v>69366.4332076428</v>
      </c>
      <c r="H2492" s="14" t="n">
        <v>47291.56359474331</v>
      </c>
      <c r="I2492" s="14" t="n">
        <v>22074.86961289947</v>
      </c>
      <c r="J2492" s="14" t="n">
        <v>0</v>
      </c>
      <c r="K2492" s="14" t="n">
        <v>0</v>
      </c>
      <c r="L2492" s="14" t="n">
        <v>0</v>
      </c>
      <c r="M2492" s="14" t="n">
        <v>0</v>
      </c>
      <c r="N2492" s="14" t="n">
        <v>65909.47937669941</v>
      </c>
      <c r="O2492" s="14" t="n">
        <v>69366.4332076428</v>
      </c>
      <c r="P2492" s="14" t="n">
        <v>18712.78062498803</v>
      </c>
      <c r="Q2492" s="14" t="n">
        <v>337464.1566326665</v>
      </c>
      <c r="R2492" s="15">
        <f>IF(D2492=1,"Section 1","Control")</f>
        <v/>
      </c>
      <c r="S2492" s="16">
        <f>N2492/10000</f>
        <v/>
      </c>
      <c r="T2492" s="16">
        <f>P2492/10000</f>
        <v/>
      </c>
      <c r="U2492" s="15">
        <f>IF(N2492&gt;=Summary!$D$3,1,0)</f>
        <v/>
      </c>
      <c r="V2492" s="17">
        <f>IF(N2492&gt;0,P2492/N2492,"")</f>
        <v/>
      </c>
      <c r="W2492" s="17">
        <f>IF(O2492&gt;0,H2492/O2492,"")</f>
        <v/>
      </c>
    </row>
    <row r="2493">
      <c r="A2493" s="13" t="inlineStr">
        <is>
          <t>CE42_F</t>
        </is>
      </c>
      <c r="B2493" s="13" t="inlineStr">
        <is>
          <t>CE42</t>
        </is>
      </c>
      <c r="C2493" s="13" t="inlineStr">
        <is>
          <t>F</t>
        </is>
      </c>
      <c r="D2493" s="13" t="n">
        <v>0</v>
      </c>
      <c r="E2493" s="13" t="inlineStr">
        <is>
          <t>E</t>
        </is>
      </c>
      <c r="F2493" s="13" t="n">
        <v>2026</v>
      </c>
      <c r="G2493" s="14" t="n">
        <v>69366.4332076428</v>
      </c>
      <c r="H2493" s="14" t="n">
        <v>65228.77228022557</v>
      </c>
      <c r="I2493" s="14" t="n">
        <v>4137.660927417232</v>
      </c>
      <c r="J2493" s="14" t="n">
        <v>0</v>
      </c>
      <c r="K2493" s="14" t="n">
        <v>0</v>
      </c>
      <c r="L2493" s="14" t="n">
        <v>0</v>
      </c>
      <c r="M2493" s="14" t="n">
        <v>0</v>
      </c>
      <c r="N2493" s="14" t="n">
        <v>65909.47937669941</v>
      </c>
      <c r="O2493" s="14" t="n">
        <v>69366.4332076428</v>
      </c>
      <c r="P2493" s="14" t="n">
        <v>3235.863127854291</v>
      </c>
      <c r="Q2493" s="14" t="n">
        <v>337464.1566326665</v>
      </c>
      <c r="R2493" s="15">
        <f>IF(D2493=1,"Section 1","Control")</f>
        <v/>
      </c>
      <c r="S2493" s="16">
        <f>N2493/10000</f>
        <v/>
      </c>
      <c r="T2493" s="16">
        <f>P2493/10000</f>
        <v/>
      </c>
      <c r="U2493" s="15">
        <f>IF(N2493&gt;=Summary!$D$3,1,0)</f>
        <v/>
      </c>
      <c r="V2493" s="17">
        <f>IF(N2493&gt;0,P2493/N2493,"")</f>
        <v/>
      </c>
      <c r="W2493" s="17">
        <f>IF(O2493&gt;0,H2493/O2493,"")</f>
        <v/>
      </c>
    </row>
    <row r="2494">
      <c r="A2494" s="13" t="inlineStr">
        <is>
          <t>CE43_B1</t>
        </is>
      </c>
      <c r="B2494" s="13" t="inlineStr">
        <is>
          <t>CE43</t>
        </is>
      </c>
      <c r="C2494" s="13" t="inlineStr">
        <is>
          <t>B1</t>
        </is>
      </c>
      <c r="D2494" s="13" t="n">
        <v>0</v>
      </c>
      <c r="E2494" s="13" t="inlineStr">
        <is>
          <t>E</t>
        </is>
      </c>
      <c r="F2494" s="13" t="n">
        <v>2020</v>
      </c>
      <c r="G2494" s="14" t="n">
        <v>1000133.415064464</v>
      </c>
      <c r="H2494" s="14" t="n">
        <v>556905.3282057517</v>
      </c>
      <c r="I2494" s="14" t="n">
        <v>252737.9865262798</v>
      </c>
      <c r="J2494" s="14" t="n">
        <v>0</v>
      </c>
      <c r="K2494" s="14" t="n">
        <v>13178.9826416614</v>
      </c>
      <c r="L2494" s="14" t="n">
        <v>177311.1176907707</v>
      </c>
      <c r="M2494" s="14" t="n">
        <v>0</v>
      </c>
      <c r="N2494" s="14" t="n">
        <v>556905.3282057517</v>
      </c>
      <c r="O2494" s="14" t="n">
        <v>822822.297373693</v>
      </c>
      <c r="P2494" s="14" t="n">
        <v>0</v>
      </c>
      <c r="Q2494" s="14" t="n">
        <v>3634367.761935125</v>
      </c>
      <c r="R2494" s="15">
        <f>IF(D2494=1,"Section 1","Control")</f>
        <v/>
      </c>
      <c r="S2494" s="16">
        <f>N2494/10000</f>
        <v/>
      </c>
      <c r="T2494" s="16">
        <f>P2494/10000</f>
        <v/>
      </c>
      <c r="U2494" s="15">
        <f>IF(N2494&gt;=Summary!$D$3,1,0)</f>
        <v/>
      </c>
      <c r="V2494" s="17">
        <f>IF(N2494&gt;0,P2494/N2494,"")</f>
        <v/>
      </c>
      <c r="W2494" s="17">
        <f>IF(O2494&gt;0,H2494/O2494,"")</f>
        <v/>
      </c>
    </row>
    <row r="2495">
      <c r="A2495" s="13" t="inlineStr">
        <is>
          <t>CE43_B1</t>
        </is>
      </c>
      <c r="B2495" s="13" t="inlineStr">
        <is>
          <t>CE43</t>
        </is>
      </c>
      <c r="C2495" s="13" t="inlineStr">
        <is>
          <t>B1</t>
        </is>
      </c>
      <c r="D2495" s="13" t="n">
        <v>0</v>
      </c>
      <c r="E2495" s="13" t="inlineStr">
        <is>
          <t>E</t>
        </is>
      </c>
      <c r="F2495" s="13" t="n">
        <v>2021</v>
      </c>
      <c r="G2495" s="14" t="n">
        <v>1000133.415064464</v>
      </c>
      <c r="H2495" s="14" t="n">
        <v>533533.6063739851</v>
      </c>
      <c r="I2495" s="14" t="n">
        <v>293517.5546039955</v>
      </c>
      <c r="J2495" s="14" t="n">
        <v>0</v>
      </c>
      <c r="K2495" s="14" t="n">
        <v>20595.84611310772</v>
      </c>
      <c r="L2495" s="14" t="n">
        <v>152486.4079733755</v>
      </c>
      <c r="M2495" s="14" t="n">
        <v>0</v>
      </c>
      <c r="N2495" s="14" t="n">
        <v>556905.3282057518</v>
      </c>
      <c r="O2495" s="14" t="n">
        <v>822822.297373693</v>
      </c>
      <c r="P2495" s="14" t="n">
        <v>33733.34389085957</v>
      </c>
      <c r="Q2495" s="14" t="n">
        <v>3634367.761935125</v>
      </c>
      <c r="R2495" s="15">
        <f>IF(D2495=1,"Section 1","Control")</f>
        <v/>
      </c>
      <c r="S2495" s="16">
        <f>N2495/10000</f>
        <v/>
      </c>
      <c r="T2495" s="16">
        <f>P2495/10000</f>
        <v/>
      </c>
      <c r="U2495" s="15">
        <f>IF(N2495&gt;=Summary!$D$3,1,0)</f>
        <v/>
      </c>
      <c r="V2495" s="17">
        <f>IF(N2495&gt;0,P2495/N2495,"")</f>
        <v/>
      </c>
      <c r="W2495" s="17">
        <f>IF(O2495&gt;0,H2495/O2495,"")</f>
        <v/>
      </c>
    </row>
    <row r="2496">
      <c r="A2496" s="13" t="inlineStr">
        <is>
          <t>CE43_B1</t>
        </is>
      </c>
      <c r="B2496" s="13" t="inlineStr">
        <is>
          <t>CE43</t>
        </is>
      </c>
      <c r="C2496" s="13" t="inlineStr">
        <is>
          <t>B1</t>
        </is>
      </c>
      <c r="D2496" s="13" t="n">
        <v>0</v>
      </c>
      <c r="E2496" s="13" t="inlineStr">
        <is>
          <t>E</t>
        </is>
      </c>
      <c r="F2496" s="13" t="n">
        <v>2022</v>
      </c>
      <c r="G2496" s="14" t="n">
        <v>1000133.415064464</v>
      </c>
      <c r="H2496" s="14" t="n">
        <v>566959.9514051549</v>
      </c>
      <c r="I2496" s="14" t="n">
        <v>259170.7395462634</v>
      </c>
      <c r="J2496" s="14" t="n">
        <v>0</v>
      </c>
      <c r="K2496" s="14" t="n">
        <v>17063.03967003916</v>
      </c>
      <c r="L2496" s="14" t="n">
        <v>156939.6844430063</v>
      </c>
      <c r="M2496" s="14" t="n">
        <v>0</v>
      </c>
      <c r="N2496" s="14" t="n">
        <v>556905.3282057517</v>
      </c>
      <c r="O2496" s="14" t="n">
        <v>822822.297373693</v>
      </c>
      <c r="P2496" s="14" t="n">
        <v>13534.34828697653</v>
      </c>
      <c r="Q2496" s="14" t="n">
        <v>3634367.761935125</v>
      </c>
      <c r="R2496" s="15">
        <f>IF(D2496=1,"Section 1","Control")</f>
        <v/>
      </c>
      <c r="S2496" s="16">
        <f>N2496/10000</f>
        <v/>
      </c>
      <c r="T2496" s="16">
        <f>P2496/10000</f>
        <v/>
      </c>
      <c r="U2496" s="15">
        <f>IF(N2496&gt;=Summary!$D$3,1,0)</f>
        <v/>
      </c>
      <c r="V2496" s="17">
        <f>IF(N2496&gt;0,P2496/N2496,"")</f>
        <v/>
      </c>
      <c r="W2496" s="17">
        <f>IF(O2496&gt;0,H2496/O2496,"")</f>
        <v/>
      </c>
    </row>
    <row r="2497">
      <c r="A2497" s="13" t="inlineStr">
        <is>
          <t>CE43_B1</t>
        </is>
      </c>
      <c r="B2497" s="13" t="inlineStr">
        <is>
          <t>CE43</t>
        </is>
      </c>
      <c r="C2497" s="13" t="inlineStr">
        <is>
          <t>B1</t>
        </is>
      </c>
      <c r="D2497" s="13" t="n">
        <v>0</v>
      </c>
      <c r="E2497" s="13" t="inlineStr">
        <is>
          <t>E</t>
        </is>
      </c>
      <c r="F2497" s="13" t="n">
        <v>2023</v>
      </c>
      <c r="G2497" s="14" t="n">
        <v>1000133.415064464</v>
      </c>
      <c r="H2497" s="14" t="n">
        <v>519610.9849510341</v>
      </c>
      <c r="I2497" s="14" t="n">
        <v>298151.8607943965</v>
      </c>
      <c r="J2497" s="14" t="n">
        <v>0</v>
      </c>
      <c r="K2497" s="14" t="n">
        <v>28501.83175581389</v>
      </c>
      <c r="L2497" s="14" t="n">
        <v>153868.7375632192</v>
      </c>
      <c r="M2497" s="14" t="n">
        <v>0</v>
      </c>
      <c r="N2497" s="14" t="n">
        <v>556905.3282057517</v>
      </c>
      <c r="O2497" s="14" t="n">
        <v>822822.297373693</v>
      </c>
      <c r="P2497" s="14" t="n">
        <v>45282.80093913359</v>
      </c>
      <c r="Q2497" s="14" t="n">
        <v>3634367.761935125</v>
      </c>
      <c r="R2497" s="15">
        <f>IF(D2497=1,"Section 1","Control")</f>
        <v/>
      </c>
      <c r="S2497" s="16">
        <f>N2497/10000</f>
        <v/>
      </c>
      <c r="T2497" s="16">
        <f>P2497/10000</f>
        <v/>
      </c>
      <c r="U2497" s="15">
        <f>IF(N2497&gt;=Summary!$D$3,1,0)</f>
        <v/>
      </c>
      <c r="V2497" s="17">
        <f>IF(N2497&gt;0,P2497/N2497,"")</f>
        <v/>
      </c>
      <c r="W2497" s="17">
        <f>IF(O2497&gt;0,H2497/O2497,"")</f>
        <v/>
      </c>
    </row>
    <row r="2498">
      <c r="A2498" s="13" t="inlineStr">
        <is>
          <t>CE43_B1</t>
        </is>
      </c>
      <c r="B2498" s="13" t="inlineStr">
        <is>
          <t>CE43</t>
        </is>
      </c>
      <c r="C2498" s="13" t="inlineStr">
        <is>
          <t>B1</t>
        </is>
      </c>
      <c r="D2498" s="13" t="n">
        <v>0</v>
      </c>
      <c r="E2498" s="13" t="inlineStr">
        <is>
          <t>E</t>
        </is>
      </c>
      <c r="F2498" s="13" t="n">
        <v>2024</v>
      </c>
      <c r="G2498" s="14" t="n">
        <v>1000133.415064464</v>
      </c>
      <c r="H2498" s="14" t="n">
        <v>578991.1041586482</v>
      </c>
      <c r="I2498" s="14" t="n">
        <v>254082.7118790272</v>
      </c>
      <c r="J2498" s="14" t="n">
        <v>0</v>
      </c>
      <c r="K2498" s="14" t="n">
        <v>30902.94725057565</v>
      </c>
      <c r="L2498" s="14" t="n">
        <v>136156.6517762128</v>
      </c>
      <c r="M2498" s="14" t="n">
        <v>0</v>
      </c>
      <c r="N2498" s="14" t="n">
        <v>556905.3282057518</v>
      </c>
      <c r="O2498" s="14" t="n">
        <v>822822.297373693</v>
      </c>
      <c r="P2498" s="14" t="n">
        <v>12636.06753632788</v>
      </c>
      <c r="Q2498" s="14" t="n">
        <v>3634367.761935125</v>
      </c>
      <c r="R2498" s="15">
        <f>IF(D2498=1,"Section 1","Control")</f>
        <v/>
      </c>
      <c r="S2498" s="16">
        <f>N2498/10000</f>
        <v/>
      </c>
      <c r="T2498" s="16">
        <f>P2498/10000</f>
        <v/>
      </c>
      <c r="U2498" s="15">
        <f>IF(N2498&gt;=Summary!$D$3,1,0)</f>
        <v/>
      </c>
      <c r="V2498" s="17">
        <f>IF(N2498&gt;0,P2498/N2498,"")</f>
        <v/>
      </c>
      <c r="W2498" s="17">
        <f>IF(O2498&gt;0,H2498/O2498,"")</f>
        <v/>
      </c>
    </row>
    <row r="2499">
      <c r="A2499" s="13" t="inlineStr">
        <is>
          <t>CE43_B1</t>
        </is>
      </c>
      <c r="B2499" s="13" t="inlineStr">
        <is>
          <t>CE43</t>
        </is>
      </c>
      <c r="C2499" s="13" t="inlineStr">
        <is>
          <t>B1</t>
        </is>
      </c>
      <c r="D2499" s="13" t="n">
        <v>0</v>
      </c>
      <c r="E2499" s="13" t="inlineStr">
        <is>
          <t>E</t>
        </is>
      </c>
      <c r="F2499" s="13" t="n">
        <v>2025</v>
      </c>
      <c r="G2499" s="14" t="n">
        <v>1000133.415064464</v>
      </c>
      <c r="H2499" s="14" t="n">
        <v>536888.2921236224</v>
      </c>
      <c r="I2499" s="14" t="n">
        <v>306331.0867819393</v>
      </c>
      <c r="J2499" s="14" t="n">
        <v>0</v>
      </c>
      <c r="K2499" s="14" t="n">
        <v>19720.81716960832</v>
      </c>
      <c r="L2499" s="14" t="n">
        <v>137193.2189892937</v>
      </c>
      <c r="M2499" s="14" t="n">
        <v>0</v>
      </c>
      <c r="N2499" s="14" t="n">
        <v>556905.3282057517</v>
      </c>
      <c r="O2499" s="14" t="n">
        <v>822822.297373693</v>
      </c>
      <c r="P2499" s="14" t="n">
        <v>42716.96482277664</v>
      </c>
      <c r="Q2499" s="14" t="n">
        <v>3634367.761935125</v>
      </c>
      <c r="R2499" s="15">
        <f>IF(D2499=1,"Section 1","Control")</f>
        <v/>
      </c>
      <c r="S2499" s="16">
        <f>N2499/10000</f>
        <v/>
      </c>
      <c r="T2499" s="16">
        <f>P2499/10000</f>
        <v/>
      </c>
      <c r="U2499" s="15">
        <f>IF(N2499&gt;=Summary!$D$3,1,0)</f>
        <v/>
      </c>
      <c r="V2499" s="17">
        <f>IF(N2499&gt;0,P2499/N2499,"")</f>
        <v/>
      </c>
      <c r="W2499" s="17">
        <f>IF(O2499&gt;0,H2499/O2499,"")</f>
        <v/>
      </c>
    </row>
    <row r="2500">
      <c r="A2500" s="13" t="inlineStr">
        <is>
          <t>CE43_B1</t>
        </is>
      </c>
      <c r="B2500" s="13" t="inlineStr">
        <is>
          <t>CE43</t>
        </is>
      </c>
      <c r="C2500" s="13" t="inlineStr">
        <is>
          <t>B1</t>
        </is>
      </c>
      <c r="D2500" s="13" t="n">
        <v>0</v>
      </c>
      <c r="E2500" s="13" t="inlineStr">
        <is>
          <t>E</t>
        </is>
      </c>
      <c r="F2500" s="13" t="n">
        <v>2026</v>
      </c>
      <c r="G2500" s="14" t="n">
        <v>1000133.415064464</v>
      </c>
      <c r="H2500" s="14" t="n">
        <v>578509.8884447583</v>
      </c>
      <c r="I2500" s="14" t="n">
        <v>288932.6123794556</v>
      </c>
      <c r="J2500" s="14" t="n">
        <v>0</v>
      </c>
      <c r="K2500" s="14" t="n">
        <v>34814.12932449042</v>
      </c>
      <c r="L2500" s="14" t="n">
        <v>97876.7849157595</v>
      </c>
      <c r="M2500" s="14" t="n">
        <v>0</v>
      </c>
      <c r="N2500" s="14" t="n">
        <v>556905.3282057517</v>
      </c>
      <c r="O2500" s="14" t="n">
        <v>822822.297373693</v>
      </c>
      <c r="P2500" s="14" t="n">
        <v>13051.12667236328</v>
      </c>
      <c r="Q2500" s="14" t="n">
        <v>3634367.761935125</v>
      </c>
      <c r="R2500" s="15">
        <f>IF(D2500=1,"Section 1","Control")</f>
        <v/>
      </c>
      <c r="S2500" s="16">
        <f>N2500/10000</f>
        <v/>
      </c>
      <c r="T2500" s="16">
        <f>P2500/10000</f>
        <v/>
      </c>
      <c r="U2500" s="15">
        <f>IF(N2500&gt;=Summary!$D$3,1,0)</f>
        <v/>
      </c>
      <c r="V2500" s="17">
        <f>IF(N2500&gt;0,P2500/N2500,"")</f>
        <v/>
      </c>
      <c r="W2500" s="17">
        <f>IF(O2500&gt;0,H2500/O2500,"")</f>
        <v/>
      </c>
    </row>
    <row r="2501">
      <c r="A2501" s="13" t="inlineStr">
        <is>
          <t>CE43_B2</t>
        </is>
      </c>
      <c r="B2501" s="13" t="inlineStr">
        <is>
          <t>CE43</t>
        </is>
      </c>
      <c r="C2501" s="13" t="inlineStr">
        <is>
          <t>B2</t>
        </is>
      </c>
      <c r="D2501" s="13" t="n">
        <v>0</v>
      </c>
      <c r="E2501" s="13" t="inlineStr">
        <is>
          <t>E</t>
        </is>
      </c>
      <c r="F2501" s="13" t="n">
        <v>2020</v>
      </c>
      <c r="G2501" s="14" t="n">
        <v>1000402.125851201</v>
      </c>
      <c r="H2501" s="14" t="n">
        <v>410272.0624510222</v>
      </c>
      <c r="I2501" s="14" t="n">
        <v>88771.51805054906</v>
      </c>
      <c r="J2501" s="14" t="n">
        <v>0</v>
      </c>
      <c r="K2501" s="14" t="n">
        <v>1220.843830003925</v>
      </c>
      <c r="L2501" s="14" t="n">
        <v>500137.7015196258</v>
      </c>
      <c r="M2501" s="14" t="n">
        <v>0</v>
      </c>
      <c r="N2501" s="14" t="n">
        <v>410272.0624510222</v>
      </c>
      <c r="O2501" s="14" t="n">
        <v>500264.4243315752</v>
      </c>
      <c r="P2501" s="14" t="n">
        <v>0</v>
      </c>
      <c r="Q2501" s="14" t="n">
        <v>3490487.609837701</v>
      </c>
      <c r="R2501" s="15">
        <f>IF(D2501=1,"Section 1","Control")</f>
        <v/>
      </c>
      <c r="S2501" s="16">
        <f>N2501/10000</f>
        <v/>
      </c>
      <c r="T2501" s="16">
        <f>P2501/10000</f>
        <v/>
      </c>
      <c r="U2501" s="15">
        <f>IF(N2501&gt;=Summary!$D$3,1,0)</f>
        <v/>
      </c>
      <c r="V2501" s="17">
        <f>IF(N2501&gt;0,P2501/N2501,"")</f>
        <v/>
      </c>
      <c r="W2501" s="17">
        <f>IF(O2501&gt;0,H2501/O2501,"")</f>
        <v/>
      </c>
    </row>
    <row r="2502">
      <c r="A2502" s="13" t="inlineStr">
        <is>
          <t>CE43_B2</t>
        </is>
      </c>
      <c r="B2502" s="13" t="inlineStr">
        <is>
          <t>CE43</t>
        </is>
      </c>
      <c r="C2502" s="13" t="inlineStr">
        <is>
          <t>B2</t>
        </is>
      </c>
      <c r="D2502" s="13" t="n">
        <v>0</v>
      </c>
      <c r="E2502" s="13" t="inlineStr">
        <is>
          <t>E</t>
        </is>
      </c>
      <c r="F2502" s="13" t="n">
        <v>2021</v>
      </c>
      <c r="G2502" s="14" t="n">
        <v>1000402.125851201</v>
      </c>
      <c r="H2502" s="14" t="n">
        <v>375419.7212078019</v>
      </c>
      <c r="I2502" s="14" t="n">
        <v>119270.9400981529</v>
      </c>
      <c r="J2502" s="14" t="n">
        <v>0</v>
      </c>
      <c r="K2502" s="14" t="n">
        <v>5573.763025620405</v>
      </c>
      <c r="L2502" s="14" t="n">
        <v>500137.7015196258</v>
      </c>
      <c r="M2502" s="14" t="n">
        <v>0</v>
      </c>
      <c r="N2502" s="14" t="n">
        <v>410272.0624510222</v>
      </c>
      <c r="O2502" s="14" t="n">
        <v>500264.4243315752</v>
      </c>
      <c r="P2502" s="14" t="n">
        <v>44300.02548116048</v>
      </c>
      <c r="Q2502" s="14" t="n">
        <v>3490487.609837701</v>
      </c>
      <c r="R2502" s="15">
        <f>IF(D2502=1,"Section 1","Control")</f>
        <v/>
      </c>
      <c r="S2502" s="16">
        <f>N2502/10000</f>
        <v/>
      </c>
      <c r="T2502" s="16">
        <f>P2502/10000</f>
        <v/>
      </c>
      <c r="U2502" s="15">
        <f>IF(N2502&gt;=Summary!$D$3,1,0)</f>
        <v/>
      </c>
      <c r="V2502" s="17">
        <f>IF(N2502&gt;0,P2502/N2502,"")</f>
        <v/>
      </c>
      <c r="W2502" s="17">
        <f>IF(O2502&gt;0,H2502/O2502,"")</f>
        <v/>
      </c>
    </row>
    <row r="2503">
      <c r="A2503" s="13" t="inlineStr">
        <is>
          <t>CE43_B2</t>
        </is>
      </c>
      <c r="B2503" s="13" t="inlineStr">
        <is>
          <t>CE43</t>
        </is>
      </c>
      <c r="C2503" s="13" t="inlineStr">
        <is>
          <t>B2</t>
        </is>
      </c>
      <c r="D2503" s="13" t="n">
        <v>0</v>
      </c>
      <c r="E2503" s="13" t="inlineStr">
        <is>
          <t>E</t>
        </is>
      </c>
      <c r="F2503" s="13" t="n">
        <v>2022</v>
      </c>
      <c r="G2503" s="14" t="n">
        <v>1000402.125851201</v>
      </c>
      <c r="H2503" s="14" t="n">
        <v>380081.6596467261</v>
      </c>
      <c r="I2503" s="14" t="n">
        <v>116898.1327403349</v>
      </c>
      <c r="J2503" s="14" t="n">
        <v>0</v>
      </c>
      <c r="K2503" s="14" t="n">
        <v>3284.631944514256</v>
      </c>
      <c r="L2503" s="14" t="n">
        <v>500137.7015196258</v>
      </c>
      <c r="M2503" s="14" t="n">
        <v>0</v>
      </c>
      <c r="N2503" s="14" t="n">
        <v>410272.0624510222</v>
      </c>
      <c r="O2503" s="14" t="n">
        <v>500264.4243315752</v>
      </c>
      <c r="P2503" s="14" t="n">
        <v>39338.01878799737</v>
      </c>
      <c r="Q2503" s="14" t="n">
        <v>3490487.609837701</v>
      </c>
      <c r="R2503" s="15">
        <f>IF(D2503=1,"Section 1","Control")</f>
        <v/>
      </c>
      <c r="S2503" s="16">
        <f>N2503/10000</f>
        <v/>
      </c>
      <c r="T2503" s="16">
        <f>P2503/10000</f>
        <v/>
      </c>
      <c r="U2503" s="15">
        <f>IF(N2503&gt;=Summary!$D$3,1,0)</f>
        <v/>
      </c>
      <c r="V2503" s="17">
        <f>IF(N2503&gt;0,P2503/N2503,"")</f>
        <v/>
      </c>
      <c r="W2503" s="17">
        <f>IF(O2503&gt;0,H2503/O2503,"")</f>
        <v/>
      </c>
    </row>
    <row r="2504">
      <c r="A2504" s="13" t="inlineStr">
        <is>
          <t>CE43_B2</t>
        </is>
      </c>
      <c r="B2504" s="13" t="inlineStr">
        <is>
          <t>CE43</t>
        </is>
      </c>
      <c r="C2504" s="13" t="inlineStr">
        <is>
          <t>B2</t>
        </is>
      </c>
      <c r="D2504" s="13" t="n">
        <v>0</v>
      </c>
      <c r="E2504" s="13" t="inlineStr">
        <is>
          <t>E</t>
        </is>
      </c>
      <c r="F2504" s="13" t="n">
        <v>2023</v>
      </c>
      <c r="G2504" s="14" t="n">
        <v>1000402.125851201</v>
      </c>
      <c r="H2504" s="14" t="n">
        <v>311799.9454668232</v>
      </c>
      <c r="I2504" s="14" t="n">
        <v>160632.0843668919</v>
      </c>
      <c r="J2504" s="14" t="n">
        <v>0</v>
      </c>
      <c r="K2504" s="14" t="n">
        <v>27832.39449786018</v>
      </c>
      <c r="L2504" s="14" t="n">
        <v>500137.7015196258</v>
      </c>
      <c r="M2504" s="14" t="n">
        <v>0</v>
      </c>
      <c r="N2504" s="14" t="n">
        <v>410272.0624510222</v>
      </c>
      <c r="O2504" s="14" t="n">
        <v>500264.4243315752</v>
      </c>
      <c r="P2504" s="14" t="n">
        <v>99064.53246576648</v>
      </c>
      <c r="Q2504" s="14" t="n">
        <v>3490487.609837701</v>
      </c>
      <c r="R2504" s="15">
        <f>IF(D2504=1,"Section 1","Control")</f>
        <v/>
      </c>
      <c r="S2504" s="16">
        <f>N2504/10000</f>
        <v/>
      </c>
      <c r="T2504" s="16">
        <f>P2504/10000</f>
        <v/>
      </c>
      <c r="U2504" s="15">
        <f>IF(N2504&gt;=Summary!$D$3,1,0)</f>
        <v/>
      </c>
      <c r="V2504" s="17">
        <f>IF(N2504&gt;0,P2504/N2504,"")</f>
        <v/>
      </c>
      <c r="W2504" s="17">
        <f>IF(O2504&gt;0,H2504/O2504,"")</f>
        <v/>
      </c>
    </row>
    <row r="2505">
      <c r="A2505" s="13" t="inlineStr">
        <is>
          <t>CE43_B2</t>
        </is>
      </c>
      <c r="B2505" s="13" t="inlineStr">
        <is>
          <t>CE43</t>
        </is>
      </c>
      <c r="C2505" s="13" t="inlineStr">
        <is>
          <t>B2</t>
        </is>
      </c>
      <c r="D2505" s="13" t="n">
        <v>0</v>
      </c>
      <c r="E2505" s="13" t="inlineStr">
        <is>
          <t>E</t>
        </is>
      </c>
      <c r="F2505" s="13" t="n">
        <v>2024</v>
      </c>
      <c r="G2505" s="14" t="n">
        <v>1000402.125851201</v>
      </c>
      <c r="H2505" s="14" t="n">
        <v>418520.9389906341</v>
      </c>
      <c r="I2505" s="14" t="n">
        <v>63503.61601400936</v>
      </c>
      <c r="J2505" s="14" t="n">
        <v>0</v>
      </c>
      <c r="K2505" s="14" t="n">
        <v>18239.86932693182</v>
      </c>
      <c r="L2505" s="14" t="n">
        <v>500137.7015196258</v>
      </c>
      <c r="M2505" s="14" t="n">
        <v>0</v>
      </c>
      <c r="N2505" s="14" t="n">
        <v>410272.0624510222</v>
      </c>
      <c r="O2505" s="14" t="n">
        <v>500264.4243315752</v>
      </c>
      <c r="P2505" s="14" t="n">
        <v>24107.8873238657</v>
      </c>
      <c r="Q2505" s="14" t="n">
        <v>3490487.609837701</v>
      </c>
      <c r="R2505" s="15">
        <f>IF(D2505=1,"Section 1","Control")</f>
        <v/>
      </c>
      <c r="S2505" s="16">
        <f>N2505/10000</f>
        <v/>
      </c>
      <c r="T2505" s="16">
        <f>P2505/10000</f>
        <v/>
      </c>
      <c r="U2505" s="15">
        <f>IF(N2505&gt;=Summary!$D$3,1,0)</f>
        <v/>
      </c>
      <c r="V2505" s="17">
        <f>IF(N2505&gt;0,P2505/N2505,"")</f>
        <v/>
      </c>
      <c r="W2505" s="17">
        <f>IF(O2505&gt;0,H2505/O2505,"")</f>
        <v/>
      </c>
    </row>
    <row r="2506">
      <c r="A2506" s="13" t="inlineStr">
        <is>
          <t>CE43_B2</t>
        </is>
      </c>
      <c r="B2506" s="13" t="inlineStr">
        <is>
          <t>CE43</t>
        </is>
      </c>
      <c r="C2506" s="13" t="inlineStr">
        <is>
          <t>B2</t>
        </is>
      </c>
      <c r="D2506" s="13" t="n">
        <v>0</v>
      </c>
      <c r="E2506" s="13" t="inlineStr">
        <is>
          <t>E</t>
        </is>
      </c>
      <c r="F2506" s="13" t="n">
        <v>2025</v>
      </c>
      <c r="G2506" s="14" t="n">
        <v>1000402.125851201</v>
      </c>
      <c r="H2506" s="14" t="n">
        <v>357234.0875301286</v>
      </c>
      <c r="I2506" s="14" t="n">
        <v>130858.6745969286</v>
      </c>
      <c r="J2506" s="14" t="n">
        <v>0</v>
      </c>
      <c r="K2506" s="14" t="n">
        <v>12171.66220451804</v>
      </c>
      <c r="L2506" s="14" t="n">
        <v>500137.7015196258</v>
      </c>
      <c r="M2506" s="14" t="n">
        <v>0</v>
      </c>
      <c r="N2506" s="14" t="n">
        <v>410272.0624510222</v>
      </c>
      <c r="O2506" s="14" t="n">
        <v>500264.4243315752</v>
      </c>
      <c r="P2506" s="14" t="n">
        <v>58752.6631155575</v>
      </c>
      <c r="Q2506" s="14" t="n">
        <v>3490487.609837701</v>
      </c>
      <c r="R2506" s="15">
        <f>IF(D2506=1,"Section 1","Control")</f>
        <v/>
      </c>
      <c r="S2506" s="16">
        <f>N2506/10000</f>
        <v/>
      </c>
      <c r="T2506" s="16">
        <f>P2506/10000</f>
        <v/>
      </c>
      <c r="U2506" s="15">
        <f>IF(N2506&gt;=Summary!$D$3,1,0)</f>
        <v/>
      </c>
      <c r="V2506" s="17">
        <f>IF(N2506&gt;0,P2506/N2506,"")</f>
        <v/>
      </c>
      <c r="W2506" s="17">
        <f>IF(O2506&gt;0,H2506/O2506,"")</f>
        <v/>
      </c>
    </row>
    <row r="2507">
      <c r="A2507" s="13" t="inlineStr">
        <is>
          <t>CE43_B2</t>
        </is>
      </c>
      <c r="B2507" s="13" t="inlineStr">
        <is>
          <t>CE43</t>
        </is>
      </c>
      <c r="C2507" s="13" t="inlineStr">
        <is>
          <t>B2</t>
        </is>
      </c>
      <c r="D2507" s="13" t="n">
        <v>0</v>
      </c>
      <c r="E2507" s="13" t="inlineStr">
        <is>
          <t>E</t>
        </is>
      </c>
      <c r="F2507" s="13" t="n">
        <v>2026</v>
      </c>
      <c r="G2507" s="14" t="n">
        <v>1000402.125851201</v>
      </c>
      <c r="H2507" s="14" t="n">
        <v>351312.2632845709</v>
      </c>
      <c r="I2507" s="14" t="n">
        <v>135485.3034629971</v>
      </c>
      <c r="J2507" s="14" t="n">
        <v>0</v>
      </c>
      <c r="K2507" s="14" t="n">
        <v>13466.85758400711</v>
      </c>
      <c r="L2507" s="14" t="n">
        <v>500137.7015196258</v>
      </c>
      <c r="M2507" s="14" t="n">
        <v>0</v>
      </c>
      <c r="N2507" s="14" t="n">
        <v>410272.0624510222</v>
      </c>
      <c r="O2507" s="14" t="n">
        <v>500264.4243315752</v>
      </c>
      <c r="P2507" s="14" t="n">
        <v>66651.14684962852</v>
      </c>
      <c r="Q2507" s="14" t="n">
        <v>3490487.609837701</v>
      </c>
      <c r="R2507" s="15">
        <f>IF(D2507=1,"Section 1","Control")</f>
        <v/>
      </c>
      <c r="S2507" s="16">
        <f>N2507/10000</f>
        <v/>
      </c>
      <c r="T2507" s="16">
        <f>P2507/10000</f>
        <v/>
      </c>
      <c r="U2507" s="15">
        <f>IF(N2507&gt;=Summary!$D$3,1,0)</f>
        <v/>
      </c>
      <c r="V2507" s="17">
        <f>IF(N2507&gt;0,P2507/N2507,"")</f>
        <v/>
      </c>
      <c r="W2507" s="17">
        <f>IF(O2507&gt;0,H2507/O2507,"")</f>
        <v/>
      </c>
    </row>
    <row r="2508">
      <c r="A2508" s="13" t="inlineStr">
        <is>
          <t>CE43_B3</t>
        </is>
      </c>
      <c r="B2508" s="13" t="inlineStr">
        <is>
          <t>CE43</t>
        </is>
      </c>
      <c r="C2508" s="13" t="inlineStr">
        <is>
          <t>B3</t>
        </is>
      </c>
      <c r="D2508" s="13" t="n">
        <v>0</v>
      </c>
      <c r="E2508" s="13" t="inlineStr">
        <is>
          <t>E</t>
        </is>
      </c>
      <c r="F2508" s="13" t="n">
        <v>2020</v>
      </c>
      <c r="G2508" s="14" t="n">
        <v>7999670.523732564</v>
      </c>
      <c r="H2508" s="14" t="n">
        <v>3277984.101346753</v>
      </c>
      <c r="I2508" s="14" t="n">
        <v>720157.8582019283</v>
      </c>
      <c r="J2508" s="14" t="n">
        <v>0</v>
      </c>
      <c r="K2508" s="14" t="n">
        <v>1795.360007671281</v>
      </c>
      <c r="L2508" s="14" t="n">
        <v>3999733.204176209</v>
      </c>
      <c r="M2508" s="14" t="n">
        <v>0</v>
      </c>
      <c r="N2508" s="14" t="n">
        <v>3277984.101346753</v>
      </c>
      <c r="O2508" s="14" t="n">
        <v>3999937.319556352</v>
      </c>
      <c r="P2508" s="14" t="n">
        <v>0</v>
      </c>
      <c r="Q2508" s="14" t="n">
        <v>45382379.46264983</v>
      </c>
      <c r="R2508" s="15">
        <f>IF(D2508=1,"Section 1","Control")</f>
        <v/>
      </c>
      <c r="S2508" s="16">
        <f>N2508/10000</f>
        <v/>
      </c>
      <c r="T2508" s="16">
        <f>P2508/10000</f>
        <v/>
      </c>
      <c r="U2508" s="15">
        <f>IF(N2508&gt;=Summary!$D$3,1,0)</f>
        <v/>
      </c>
      <c r="V2508" s="17">
        <f>IF(N2508&gt;0,P2508/N2508,"")</f>
        <v/>
      </c>
      <c r="W2508" s="17">
        <f>IF(O2508&gt;0,H2508/O2508,"")</f>
        <v/>
      </c>
    </row>
    <row r="2509">
      <c r="A2509" s="13" t="inlineStr">
        <is>
          <t>CE43_B3</t>
        </is>
      </c>
      <c r="B2509" s="13" t="inlineStr">
        <is>
          <t>CE43</t>
        </is>
      </c>
      <c r="C2509" s="13" t="inlineStr">
        <is>
          <t>B3</t>
        </is>
      </c>
      <c r="D2509" s="13" t="n">
        <v>0</v>
      </c>
      <c r="E2509" s="13" t="inlineStr">
        <is>
          <t>E</t>
        </is>
      </c>
      <c r="F2509" s="13" t="n">
        <v>2021</v>
      </c>
      <c r="G2509" s="14" t="n">
        <v>7999670.523732565</v>
      </c>
      <c r="H2509" s="14" t="n">
        <v>3034212.935553039</v>
      </c>
      <c r="I2509" s="14" t="n">
        <v>709535.8920285093</v>
      </c>
      <c r="J2509" s="14" t="n">
        <v>0</v>
      </c>
      <c r="K2509" s="14" t="n">
        <v>256188.4919748045</v>
      </c>
      <c r="L2509" s="14" t="n">
        <v>3999733.204176209</v>
      </c>
      <c r="M2509" s="14" t="n">
        <v>0</v>
      </c>
      <c r="N2509" s="14" t="n">
        <v>3277984.101346753</v>
      </c>
      <c r="O2509" s="14" t="n">
        <v>3999937.319556351</v>
      </c>
      <c r="P2509" s="14" t="n">
        <v>258400.4239329918</v>
      </c>
      <c r="Q2509" s="14" t="n">
        <v>45382379.46264984</v>
      </c>
      <c r="R2509" s="15">
        <f>IF(D2509=1,"Section 1","Control")</f>
        <v/>
      </c>
      <c r="S2509" s="16">
        <f>N2509/10000</f>
        <v/>
      </c>
      <c r="T2509" s="16">
        <f>P2509/10000</f>
        <v/>
      </c>
      <c r="U2509" s="15">
        <f>IF(N2509&gt;=Summary!$D$3,1,0)</f>
        <v/>
      </c>
      <c r="V2509" s="17">
        <f>IF(N2509&gt;0,P2509/N2509,"")</f>
        <v/>
      </c>
      <c r="W2509" s="17">
        <f>IF(O2509&gt;0,H2509/O2509,"")</f>
        <v/>
      </c>
    </row>
    <row r="2510">
      <c r="A2510" s="13" t="inlineStr">
        <is>
          <t>CE43_B3</t>
        </is>
      </c>
      <c r="B2510" s="13" t="inlineStr">
        <is>
          <t>CE43</t>
        </is>
      </c>
      <c r="C2510" s="13" t="inlineStr">
        <is>
          <t>B3</t>
        </is>
      </c>
      <c r="D2510" s="13" t="n">
        <v>0</v>
      </c>
      <c r="E2510" s="13" t="inlineStr">
        <is>
          <t>E</t>
        </is>
      </c>
      <c r="F2510" s="13" t="n">
        <v>2022</v>
      </c>
      <c r="G2510" s="14" t="n">
        <v>7999670.523732563</v>
      </c>
      <c r="H2510" s="14" t="n">
        <v>2936289.104116193</v>
      </c>
      <c r="I2510" s="14" t="n">
        <v>841888.452319605</v>
      </c>
      <c r="J2510" s="14" t="n">
        <v>0</v>
      </c>
      <c r="K2510" s="14" t="n">
        <v>221759.763120554</v>
      </c>
      <c r="L2510" s="14" t="n">
        <v>3999733.204176209</v>
      </c>
      <c r="M2510" s="14" t="n">
        <v>0</v>
      </c>
      <c r="N2510" s="14" t="n">
        <v>3277984.101346753</v>
      </c>
      <c r="O2510" s="14" t="n">
        <v>3999937.319556352</v>
      </c>
      <c r="P2510" s="14" t="n">
        <v>351451.0721066644</v>
      </c>
      <c r="Q2510" s="14" t="n">
        <v>45382379.46264983</v>
      </c>
      <c r="R2510" s="15">
        <f>IF(D2510=1,"Section 1","Control")</f>
        <v/>
      </c>
      <c r="S2510" s="16">
        <f>N2510/10000</f>
        <v/>
      </c>
      <c r="T2510" s="16">
        <f>P2510/10000</f>
        <v/>
      </c>
      <c r="U2510" s="15">
        <f>IF(N2510&gt;=Summary!$D$3,1,0)</f>
        <v/>
      </c>
      <c r="V2510" s="17">
        <f>IF(N2510&gt;0,P2510/N2510,"")</f>
        <v/>
      </c>
      <c r="W2510" s="17">
        <f>IF(O2510&gt;0,H2510/O2510,"")</f>
        <v/>
      </c>
    </row>
    <row r="2511">
      <c r="A2511" s="13" t="inlineStr">
        <is>
          <t>CE43_B3</t>
        </is>
      </c>
      <c r="B2511" s="13" t="inlineStr">
        <is>
          <t>CE43</t>
        </is>
      </c>
      <c r="C2511" s="13" t="inlineStr">
        <is>
          <t>B3</t>
        </is>
      </c>
      <c r="D2511" s="13" t="n">
        <v>0</v>
      </c>
      <c r="E2511" s="13" t="inlineStr">
        <is>
          <t>E</t>
        </is>
      </c>
      <c r="F2511" s="13" t="n">
        <v>2023</v>
      </c>
      <c r="G2511" s="14" t="n">
        <v>7999670.523732565</v>
      </c>
      <c r="H2511" s="14" t="n">
        <v>2960377.103738942</v>
      </c>
      <c r="I2511" s="14" t="n">
        <v>881587.2226371616</v>
      </c>
      <c r="J2511" s="14" t="n">
        <v>0</v>
      </c>
      <c r="K2511" s="14" t="n">
        <v>157972.9931802488</v>
      </c>
      <c r="L2511" s="14" t="n">
        <v>3999733.204176209</v>
      </c>
      <c r="M2511" s="14" t="n">
        <v>0</v>
      </c>
      <c r="N2511" s="14" t="n">
        <v>3277984.101346753</v>
      </c>
      <c r="O2511" s="14" t="n">
        <v>3999937.319556352</v>
      </c>
      <c r="P2511" s="14" t="n">
        <v>342193.6311164707</v>
      </c>
      <c r="Q2511" s="14" t="n">
        <v>45382379.46264983</v>
      </c>
      <c r="R2511" s="15">
        <f>IF(D2511=1,"Section 1","Control")</f>
        <v/>
      </c>
      <c r="S2511" s="16">
        <f>N2511/10000</f>
        <v/>
      </c>
      <c r="T2511" s="16">
        <f>P2511/10000</f>
        <v/>
      </c>
      <c r="U2511" s="15">
        <f>IF(N2511&gt;=Summary!$D$3,1,0)</f>
        <v/>
      </c>
      <c r="V2511" s="17">
        <f>IF(N2511&gt;0,P2511/N2511,"")</f>
        <v/>
      </c>
      <c r="W2511" s="17">
        <f>IF(O2511&gt;0,H2511/O2511,"")</f>
        <v/>
      </c>
    </row>
    <row r="2512">
      <c r="A2512" s="13" t="inlineStr">
        <is>
          <t>CE43_B3</t>
        </is>
      </c>
      <c r="B2512" s="13" t="inlineStr">
        <is>
          <t>CE43</t>
        </is>
      </c>
      <c r="C2512" s="13" t="inlineStr">
        <is>
          <t>B3</t>
        </is>
      </c>
      <c r="D2512" s="13" t="n">
        <v>0</v>
      </c>
      <c r="E2512" s="13" t="inlineStr">
        <is>
          <t>E</t>
        </is>
      </c>
      <c r="F2512" s="13" t="n">
        <v>2024</v>
      </c>
      <c r="G2512" s="14" t="n">
        <v>7999670.523732565</v>
      </c>
      <c r="H2512" s="14" t="n">
        <v>3147424.74068427</v>
      </c>
      <c r="I2512" s="14" t="n">
        <v>751233.8009353639</v>
      </c>
      <c r="J2512" s="14" t="n">
        <v>0</v>
      </c>
      <c r="K2512" s="14" t="n">
        <v>101278.7779367185</v>
      </c>
      <c r="L2512" s="14" t="n">
        <v>3999733.204176211</v>
      </c>
      <c r="M2512" s="14" t="n">
        <v>0</v>
      </c>
      <c r="N2512" s="14" t="n">
        <v>3277984.101346753</v>
      </c>
      <c r="O2512" s="14" t="n">
        <v>3999937.319556351</v>
      </c>
      <c r="P2512" s="14" t="n">
        <v>220526.5599189608</v>
      </c>
      <c r="Q2512" s="14" t="n">
        <v>45382379.46264983</v>
      </c>
      <c r="R2512" s="15">
        <f>IF(D2512=1,"Section 1","Control")</f>
        <v/>
      </c>
      <c r="S2512" s="16">
        <f>N2512/10000</f>
        <v/>
      </c>
      <c r="T2512" s="16">
        <f>P2512/10000</f>
        <v/>
      </c>
      <c r="U2512" s="15">
        <f>IF(N2512&gt;=Summary!$D$3,1,0)</f>
        <v/>
      </c>
      <c r="V2512" s="17">
        <f>IF(N2512&gt;0,P2512/N2512,"")</f>
        <v/>
      </c>
      <c r="W2512" s="17">
        <f>IF(O2512&gt;0,H2512/O2512,"")</f>
        <v/>
      </c>
    </row>
    <row r="2513">
      <c r="A2513" s="13" t="inlineStr">
        <is>
          <t>CE43_B3</t>
        </is>
      </c>
      <c r="B2513" s="13" t="inlineStr">
        <is>
          <t>CE43</t>
        </is>
      </c>
      <c r="C2513" s="13" t="inlineStr">
        <is>
          <t>B3</t>
        </is>
      </c>
      <c r="D2513" s="13" t="n">
        <v>0</v>
      </c>
      <c r="E2513" s="13" t="inlineStr">
        <is>
          <t>E</t>
        </is>
      </c>
      <c r="F2513" s="13" t="n">
        <v>2025</v>
      </c>
      <c r="G2513" s="14" t="n">
        <v>7999670.523732565</v>
      </c>
      <c r="H2513" s="14" t="n">
        <v>3009575.685340104</v>
      </c>
      <c r="I2513" s="14" t="n">
        <v>904128.6254624909</v>
      </c>
      <c r="J2513" s="14" t="n">
        <v>0</v>
      </c>
      <c r="K2513" s="14" t="n">
        <v>86233.00875375784</v>
      </c>
      <c r="L2513" s="14" t="n">
        <v>3999733.204176209</v>
      </c>
      <c r="M2513" s="14" t="n">
        <v>0</v>
      </c>
      <c r="N2513" s="14" t="n">
        <v>3277984.101346753</v>
      </c>
      <c r="O2513" s="14" t="n">
        <v>3999937.319556352</v>
      </c>
      <c r="P2513" s="14" t="n">
        <v>342579.1797055412</v>
      </c>
      <c r="Q2513" s="14" t="n">
        <v>45382379.46264983</v>
      </c>
      <c r="R2513" s="15">
        <f>IF(D2513=1,"Section 1","Control")</f>
        <v/>
      </c>
      <c r="S2513" s="16">
        <f>N2513/10000</f>
        <v/>
      </c>
      <c r="T2513" s="16">
        <f>P2513/10000</f>
        <v/>
      </c>
      <c r="U2513" s="15">
        <f>IF(N2513&gt;=Summary!$D$3,1,0)</f>
        <v/>
      </c>
      <c r="V2513" s="17">
        <f>IF(N2513&gt;0,P2513/N2513,"")</f>
        <v/>
      </c>
      <c r="W2513" s="17">
        <f>IF(O2513&gt;0,H2513/O2513,"")</f>
        <v/>
      </c>
    </row>
    <row r="2514">
      <c r="A2514" s="13" t="inlineStr">
        <is>
          <t>CE43_B3</t>
        </is>
      </c>
      <c r="B2514" s="13" t="inlineStr">
        <is>
          <t>CE43</t>
        </is>
      </c>
      <c r="C2514" s="13" t="inlineStr">
        <is>
          <t>B3</t>
        </is>
      </c>
      <c r="D2514" s="13" t="n">
        <v>0</v>
      </c>
      <c r="E2514" s="13" t="inlineStr">
        <is>
          <t>E</t>
        </is>
      </c>
      <c r="F2514" s="13" t="n">
        <v>2026</v>
      </c>
      <c r="G2514" s="14" t="n">
        <v>7999670.523732565</v>
      </c>
      <c r="H2514" s="14" t="n">
        <v>3081716.988020025</v>
      </c>
      <c r="I2514" s="14" t="n">
        <v>732215.7582892026</v>
      </c>
      <c r="J2514" s="14" t="n">
        <v>0</v>
      </c>
      <c r="K2514" s="14" t="n">
        <v>186004.5732471241</v>
      </c>
      <c r="L2514" s="14" t="n">
        <v>3999733.204176211</v>
      </c>
      <c r="M2514" s="14" t="n">
        <v>0</v>
      </c>
      <c r="N2514" s="14" t="n">
        <v>3277984.101346753</v>
      </c>
      <c r="O2514" s="14" t="n">
        <v>3999937.319556352</v>
      </c>
      <c r="P2514" s="14" t="n">
        <v>292857.2908475689</v>
      </c>
      <c r="Q2514" s="14" t="n">
        <v>45382379.46264983</v>
      </c>
      <c r="R2514" s="15">
        <f>IF(D2514=1,"Section 1","Control")</f>
        <v/>
      </c>
      <c r="S2514" s="16">
        <f>N2514/10000</f>
        <v/>
      </c>
      <c r="T2514" s="16">
        <f>P2514/10000</f>
        <v/>
      </c>
      <c r="U2514" s="15">
        <f>IF(N2514&gt;=Summary!$D$3,1,0)</f>
        <v/>
      </c>
      <c r="V2514" s="17">
        <f>IF(N2514&gt;0,P2514/N2514,"")</f>
        <v/>
      </c>
      <c r="W2514" s="17">
        <f>IF(O2514&gt;0,H2514/O2514,"")</f>
        <v/>
      </c>
    </row>
    <row r="2515">
      <c r="A2515" s="13" t="inlineStr">
        <is>
          <t>CE43_F</t>
        </is>
      </c>
      <c r="B2515" s="13" t="inlineStr">
        <is>
          <t>CE43</t>
        </is>
      </c>
      <c r="C2515" s="13" t="inlineStr">
        <is>
          <t>F</t>
        </is>
      </c>
      <c r="D2515" s="13" t="n">
        <v>0</v>
      </c>
      <c r="E2515" s="13" t="inlineStr">
        <is>
          <t>E</t>
        </is>
      </c>
      <c r="F2515" s="13" t="n">
        <v>2020</v>
      </c>
      <c r="G2515" s="14" t="n">
        <v>69287.83475272982</v>
      </c>
      <c r="H2515" s="14" t="n">
        <v>69287.83475272982</v>
      </c>
      <c r="I2515" s="14" t="n">
        <v>0</v>
      </c>
      <c r="J2515" s="14" t="n">
        <v>0</v>
      </c>
      <c r="K2515" s="14" t="n">
        <v>0</v>
      </c>
      <c r="L2515" s="14" t="n">
        <v>0</v>
      </c>
      <c r="M2515" s="14" t="n">
        <v>0</v>
      </c>
      <c r="N2515" s="14" t="n">
        <v>69287.83475272982</v>
      </c>
      <c r="O2515" s="14" t="n">
        <v>69287.83475272982</v>
      </c>
      <c r="P2515" s="14" t="n">
        <v>0</v>
      </c>
      <c r="Q2515" s="14" t="n">
        <v>275696.965407308</v>
      </c>
      <c r="R2515" s="15">
        <f>IF(D2515=1,"Section 1","Control")</f>
        <v/>
      </c>
      <c r="S2515" s="16">
        <f>N2515/10000</f>
        <v/>
      </c>
      <c r="T2515" s="16">
        <f>P2515/10000</f>
        <v/>
      </c>
      <c r="U2515" s="15">
        <f>IF(N2515&gt;=Summary!$D$3,1,0)</f>
        <v/>
      </c>
      <c r="V2515" s="17">
        <f>IF(N2515&gt;0,P2515/N2515,"")</f>
        <v/>
      </c>
      <c r="W2515" s="17">
        <f>IF(O2515&gt;0,H2515/O2515,"")</f>
        <v/>
      </c>
    </row>
    <row r="2516">
      <c r="A2516" s="13" t="inlineStr">
        <is>
          <t>CE43_F</t>
        </is>
      </c>
      <c r="B2516" s="13" t="inlineStr">
        <is>
          <t>CE43</t>
        </is>
      </c>
      <c r="C2516" s="13" t="inlineStr">
        <is>
          <t>F</t>
        </is>
      </c>
      <c r="D2516" s="13" t="n">
        <v>0</v>
      </c>
      <c r="E2516" s="13" t="inlineStr">
        <is>
          <t>E</t>
        </is>
      </c>
      <c r="F2516" s="13" t="n">
        <v>2021</v>
      </c>
      <c r="G2516" s="14" t="n">
        <v>69287.83475272982</v>
      </c>
      <c r="H2516" s="14" t="n">
        <v>68991.62251823275</v>
      </c>
      <c r="I2516" s="14" t="n">
        <v>296.2122344970703</v>
      </c>
      <c r="J2516" s="14" t="n">
        <v>0</v>
      </c>
      <c r="K2516" s="14" t="n">
        <v>0</v>
      </c>
      <c r="L2516" s="14" t="n">
        <v>0</v>
      </c>
      <c r="M2516" s="14" t="n">
        <v>0</v>
      </c>
      <c r="N2516" s="14" t="n">
        <v>69287.83475272982</v>
      </c>
      <c r="O2516" s="14" t="n">
        <v>69287.83475272982</v>
      </c>
      <c r="P2516" s="14" t="n">
        <v>296.2122344970703</v>
      </c>
      <c r="Q2516" s="14" t="n">
        <v>275696.965407308</v>
      </c>
      <c r="R2516" s="15">
        <f>IF(D2516=1,"Section 1","Control")</f>
        <v/>
      </c>
      <c r="S2516" s="16">
        <f>N2516/10000</f>
        <v/>
      </c>
      <c r="T2516" s="16">
        <f>P2516/10000</f>
        <v/>
      </c>
      <c r="U2516" s="15">
        <f>IF(N2516&gt;=Summary!$D$3,1,0)</f>
        <v/>
      </c>
      <c r="V2516" s="17">
        <f>IF(N2516&gt;0,P2516/N2516,"")</f>
        <v/>
      </c>
      <c r="W2516" s="17">
        <f>IF(O2516&gt;0,H2516/O2516,"")</f>
        <v/>
      </c>
    </row>
    <row r="2517">
      <c r="A2517" s="13" t="inlineStr">
        <is>
          <t>CE43_F</t>
        </is>
      </c>
      <c r="B2517" s="13" t="inlineStr">
        <is>
          <t>CE43</t>
        </is>
      </c>
      <c r="C2517" s="13" t="inlineStr">
        <is>
          <t>F</t>
        </is>
      </c>
      <c r="D2517" s="13" t="n">
        <v>0</v>
      </c>
      <c r="E2517" s="13" t="inlineStr">
        <is>
          <t>E</t>
        </is>
      </c>
      <c r="F2517" s="13" t="n">
        <v>2022</v>
      </c>
      <c r="G2517" s="14" t="n">
        <v>69287.83475272982</v>
      </c>
      <c r="H2517" s="14" t="n">
        <v>69287.83475272982</v>
      </c>
      <c r="I2517" s="14" t="n">
        <v>0</v>
      </c>
      <c r="J2517" s="14" t="n">
        <v>0</v>
      </c>
      <c r="K2517" s="14" t="n">
        <v>0</v>
      </c>
      <c r="L2517" s="14" t="n">
        <v>0</v>
      </c>
      <c r="M2517" s="14" t="n">
        <v>0</v>
      </c>
      <c r="N2517" s="14" t="n">
        <v>69287.83475272982</v>
      </c>
      <c r="O2517" s="14" t="n">
        <v>69287.83475272982</v>
      </c>
      <c r="P2517" s="14" t="n">
        <v>0</v>
      </c>
      <c r="Q2517" s="14" t="n">
        <v>275696.965407308</v>
      </c>
      <c r="R2517" s="15">
        <f>IF(D2517=1,"Section 1","Control")</f>
        <v/>
      </c>
      <c r="S2517" s="16">
        <f>N2517/10000</f>
        <v/>
      </c>
      <c r="T2517" s="16">
        <f>P2517/10000</f>
        <v/>
      </c>
      <c r="U2517" s="15">
        <f>IF(N2517&gt;=Summary!$D$3,1,0)</f>
        <v/>
      </c>
      <c r="V2517" s="17">
        <f>IF(N2517&gt;0,P2517/N2517,"")</f>
        <v/>
      </c>
      <c r="W2517" s="17">
        <f>IF(O2517&gt;0,H2517/O2517,"")</f>
        <v/>
      </c>
    </row>
    <row r="2518">
      <c r="A2518" s="13" t="inlineStr">
        <is>
          <t>CE43_F</t>
        </is>
      </c>
      <c r="B2518" s="13" t="inlineStr">
        <is>
          <t>CE43</t>
        </is>
      </c>
      <c r="C2518" s="13" t="inlineStr">
        <is>
          <t>F</t>
        </is>
      </c>
      <c r="D2518" s="13" t="n">
        <v>0</v>
      </c>
      <c r="E2518" s="13" t="inlineStr">
        <is>
          <t>E</t>
        </is>
      </c>
      <c r="F2518" s="13" t="n">
        <v>2023</v>
      </c>
      <c r="G2518" s="14" t="n">
        <v>69287.83475272982</v>
      </c>
      <c r="H2518" s="14" t="n">
        <v>68497.93568199009</v>
      </c>
      <c r="I2518" s="14" t="n">
        <v>789.8990707397461</v>
      </c>
      <c r="J2518" s="14" t="n">
        <v>0</v>
      </c>
      <c r="K2518" s="14" t="n">
        <v>0</v>
      </c>
      <c r="L2518" s="14" t="n">
        <v>0</v>
      </c>
      <c r="M2518" s="14" t="n">
        <v>0</v>
      </c>
      <c r="N2518" s="14" t="n">
        <v>69287.83475272982</v>
      </c>
      <c r="O2518" s="14" t="n">
        <v>69287.83475272982</v>
      </c>
      <c r="P2518" s="14" t="n">
        <v>789.8990707397461</v>
      </c>
      <c r="Q2518" s="14" t="n">
        <v>275696.965407308</v>
      </c>
      <c r="R2518" s="15">
        <f>IF(D2518=1,"Section 1","Control")</f>
        <v/>
      </c>
      <c r="S2518" s="16">
        <f>N2518/10000</f>
        <v/>
      </c>
      <c r="T2518" s="16">
        <f>P2518/10000</f>
        <v/>
      </c>
      <c r="U2518" s="15">
        <f>IF(N2518&gt;=Summary!$D$3,1,0)</f>
        <v/>
      </c>
      <c r="V2518" s="17">
        <f>IF(N2518&gt;0,P2518/N2518,"")</f>
        <v/>
      </c>
      <c r="W2518" s="17">
        <f>IF(O2518&gt;0,H2518/O2518,"")</f>
        <v/>
      </c>
    </row>
    <row r="2519">
      <c r="A2519" s="13" t="inlineStr">
        <is>
          <t>CE43_F</t>
        </is>
      </c>
      <c r="B2519" s="13" t="inlineStr">
        <is>
          <t>CE43</t>
        </is>
      </c>
      <c r="C2519" s="13" t="inlineStr">
        <is>
          <t>F</t>
        </is>
      </c>
      <c r="D2519" s="13" t="n">
        <v>0</v>
      </c>
      <c r="E2519" s="13" t="inlineStr">
        <is>
          <t>E</t>
        </is>
      </c>
      <c r="F2519" s="13" t="n">
        <v>2024</v>
      </c>
      <c r="G2519" s="14" t="n">
        <v>69287.83475272982</v>
      </c>
      <c r="H2519" s="14" t="n">
        <v>69287.83475272982</v>
      </c>
      <c r="I2519" s="14" t="n">
        <v>0</v>
      </c>
      <c r="J2519" s="14" t="n">
        <v>0</v>
      </c>
      <c r="K2519" s="14" t="n">
        <v>0</v>
      </c>
      <c r="L2519" s="14" t="n">
        <v>0</v>
      </c>
      <c r="M2519" s="14" t="n">
        <v>0</v>
      </c>
      <c r="N2519" s="14" t="n">
        <v>69287.83475272982</v>
      </c>
      <c r="O2519" s="14" t="n">
        <v>69287.83475272982</v>
      </c>
      <c r="P2519" s="14" t="n">
        <v>0</v>
      </c>
      <c r="Q2519" s="14" t="n">
        <v>275696.965407308</v>
      </c>
      <c r="R2519" s="15">
        <f>IF(D2519=1,"Section 1","Control")</f>
        <v/>
      </c>
      <c r="S2519" s="16">
        <f>N2519/10000</f>
        <v/>
      </c>
      <c r="T2519" s="16">
        <f>P2519/10000</f>
        <v/>
      </c>
      <c r="U2519" s="15">
        <f>IF(N2519&gt;=Summary!$D$3,1,0)</f>
        <v/>
      </c>
      <c r="V2519" s="17">
        <f>IF(N2519&gt;0,P2519/N2519,"")</f>
        <v/>
      </c>
      <c r="W2519" s="17">
        <f>IF(O2519&gt;0,H2519/O2519,"")</f>
        <v/>
      </c>
    </row>
    <row r="2520">
      <c r="A2520" s="13" t="inlineStr">
        <is>
          <t>CE43_F</t>
        </is>
      </c>
      <c r="B2520" s="13" t="inlineStr">
        <is>
          <t>CE43</t>
        </is>
      </c>
      <c r="C2520" s="13" t="inlineStr">
        <is>
          <t>F</t>
        </is>
      </c>
      <c r="D2520" s="13" t="n">
        <v>0</v>
      </c>
      <c r="E2520" s="13" t="inlineStr">
        <is>
          <t>E</t>
        </is>
      </c>
      <c r="F2520" s="13" t="n">
        <v>2025</v>
      </c>
      <c r="G2520" s="14" t="n">
        <v>69287.83475272982</v>
      </c>
      <c r="H2520" s="14" t="n">
        <v>65284.51611893597</v>
      </c>
      <c r="I2520" s="14" t="n">
        <v>4003.31863379385</v>
      </c>
      <c r="J2520" s="14" t="n">
        <v>0</v>
      </c>
      <c r="K2520" s="14" t="n">
        <v>0</v>
      </c>
      <c r="L2520" s="14" t="n">
        <v>0</v>
      </c>
      <c r="M2520" s="14" t="n">
        <v>0</v>
      </c>
      <c r="N2520" s="14" t="n">
        <v>69287.83475272982</v>
      </c>
      <c r="O2520" s="14" t="n">
        <v>69287.83475272982</v>
      </c>
      <c r="P2520" s="14" t="n">
        <v>4003.31863379385</v>
      </c>
      <c r="Q2520" s="14" t="n">
        <v>275696.965407308</v>
      </c>
      <c r="R2520" s="15">
        <f>IF(D2520=1,"Section 1","Control")</f>
        <v/>
      </c>
      <c r="S2520" s="16">
        <f>N2520/10000</f>
        <v/>
      </c>
      <c r="T2520" s="16">
        <f>P2520/10000</f>
        <v/>
      </c>
      <c r="U2520" s="15">
        <f>IF(N2520&gt;=Summary!$D$3,1,0)</f>
        <v/>
      </c>
      <c r="V2520" s="17">
        <f>IF(N2520&gt;0,P2520/N2520,"")</f>
        <v/>
      </c>
      <c r="W2520" s="17">
        <f>IF(O2520&gt;0,H2520/O2520,"")</f>
        <v/>
      </c>
    </row>
    <row r="2521">
      <c r="A2521" s="13" t="inlineStr">
        <is>
          <t>CE43_F</t>
        </is>
      </c>
      <c r="B2521" s="13" t="inlineStr">
        <is>
          <t>CE43</t>
        </is>
      </c>
      <c r="C2521" s="13" t="inlineStr">
        <is>
          <t>F</t>
        </is>
      </c>
      <c r="D2521" s="13" t="n">
        <v>0</v>
      </c>
      <c r="E2521" s="13" t="inlineStr">
        <is>
          <t>E</t>
        </is>
      </c>
      <c r="F2521" s="13" t="n">
        <v>2026</v>
      </c>
      <c r="G2521" s="14" t="n">
        <v>69287.83475272982</v>
      </c>
      <c r="H2521" s="14" t="n">
        <v>69287.83475272982</v>
      </c>
      <c r="I2521" s="14" t="n">
        <v>0</v>
      </c>
      <c r="J2521" s="14" t="n">
        <v>0</v>
      </c>
      <c r="K2521" s="14" t="n">
        <v>0</v>
      </c>
      <c r="L2521" s="14" t="n">
        <v>0</v>
      </c>
      <c r="M2521" s="14" t="n">
        <v>0</v>
      </c>
      <c r="N2521" s="14" t="n">
        <v>69287.83475272982</v>
      </c>
      <c r="O2521" s="14" t="n">
        <v>69287.83475272982</v>
      </c>
      <c r="P2521" s="14" t="n">
        <v>0</v>
      </c>
      <c r="Q2521" s="14" t="n">
        <v>275696.965407308</v>
      </c>
      <c r="R2521" s="15">
        <f>IF(D2521=1,"Section 1","Control")</f>
        <v/>
      </c>
      <c r="S2521" s="16">
        <f>N2521/10000</f>
        <v/>
      </c>
      <c r="T2521" s="16">
        <f>P2521/10000</f>
        <v/>
      </c>
      <c r="U2521" s="15">
        <f>IF(N2521&gt;=Summary!$D$3,1,0)</f>
        <v/>
      </c>
      <c r="V2521" s="17">
        <f>IF(N2521&gt;0,P2521/N2521,"")</f>
        <v/>
      </c>
      <c r="W2521" s="17">
        <f>IF(O2521&gt;0,H2521/O2521,"")</f>
        <v/>
      </c>
    </row>
    <row r="2522">
      <c r="A2522" s="13" t="inlineStr">
        <is>
          <t>CE44_B1</t>
        </is>
      </c>
      <c r="B2522" s="13" t="inlineStr">
        <is>
          <t>CE44</t>
        </is>
      </c>
      <c r="C2522" s="13" t="inlineStr">
        <is>
          <t>B1</t>
        </is>
      </c>
      <c r="D2522" s="13" t="n">
        <v>0</v>
      </c>
      <c r="E2522" s="13" t="inlineStr">
        <is>
          <t>E</t>
        </is>
      </c>
      <c r="F2522" s="13" t="n">
        <v>2020</v>
      </c>
      <c r="G2522" s="14" t="n">
        <v>1931642.770040504</v>
      </c>
      <c r="H2522" s="14" t="n">
        <v>1266658.694213329</v>
      </c>
      <c r="I2522" s="14" t="n">
        <v>364724.3341229608</v>
      </c>
      <c r="J2522" s="14" t="n">
        <v>0</v>
      </c>
      <c r="K2522" s="14" t="n">
        <v>23598.39253234864</v>
      </c>
      <c r="L2522" s="14" t="n">
        <v>276661.3491718666</v>
      </c>
      <c r="M2522" s="14" t="n">
        <v>0</v>
      </c>
      <c r="N2522" s="14" t="n">
        <v>1266658.694213329</v>
      </c>
      <c r="O2522" s="14" t="n">
        <v>1654981.420868638</v>
      </c>
      <c r="P2522" s="14" t="n">
        <v>0</v>
      </c>
      <c r="Q2522" s="14" t="n">
        <v>5583329.053861133</v>
      </c>
      <c r="R2522" s="15">
        <f>IF(D2522=1,"Section 1","Control")</f>
        <v/>
      </c>
      <c r="S2522" s="16">
        <f>N2522/10000</f>
        <v/>
      </c>
      <c r="T2522" s="16">
        <f>P2522/10000</f>
        <v/>
      </c>
      <c r="U2522" s="15">
        <f>IF(N2522&gt;=Summary!$D$3,1,0)</f>
        <v/>
      </c>
      <c r="V2522" s="17">
        <f>IF(N2522&gt;0,P2522/N2522,"")</f>
        <v/>
      </c>
      <c r="W2522" s="17">
        <f>IF(O2522&gt;0,H2522/O2522,"")</f>
        <v/>
      </c>
    </row>
    <row r="2523">
      <c r="A2523" s="13" t="inlineStr">
        <is>
          <t>CE44_B1</t>
        </is>
      </c>
      <c r="B2523" s="13" t="inlineStr">
        <is>
          <t>CE44</t>
        </is>
      </c>
      <c r="C2523" s="13" t="inlineStr">
        <is>
          <t>B1</t>
        </is>
      </c>
      <c r="D2523" s="13" t="n">
        <v>0</v>
      </c>
      <c r="E2523" s="13" t="inlineStr">
        <is>
          <t>E</t>
        </is>
      </c>
      <c r="F2523" s="13" t="n">
        <v>2021</v>
      </c>
      <c r="G2523" s="14" t="n">
        <v>1931642.770040504</v>
      </c>
      <c r="H2523" s="14" t="n">
        <v>1254572.590533417</v>
      </c>
      <c r="I2523" s="14" t="n">
        <v>418711.9238330617</v>
      </c>
      <c r="J2523" s="14" t="n">
        <v>0</v>
      </c>
      <c r="K2523" s="14" t="n">
        <v>34240.76765696207</v>
      </c>
      <c r="L2523" s="14" t="n">
        <v>224117.4880170635</v>
      </c>
      <c r="M2523" s="14" t="n">
        <v>0</v>
      </c>
      <c r="N2523" s="14" t="n">
        <v>1266658.694213329</v>
      </c>
      <c r="O2523" s="14" t="n">
        <v>1654981.420868638</v>
      </c>
      <c r="P2523" s="14" t="n">
        <v>30370.94122030221</v>
      </c>
      <c r="Q2523" s="14" t="n">
        <v>5583329.053861133</v>
      </c>
      <c r="R2523" s="15">
        <f>IF(D2523=1,"Section 1","Control")</f>
        <v/>
      </c>
      <c r="S2523" s="16">
        <f>N2523/10000</f>
        <v/>
      </c>
      <c r="T2523" s="16">
        <f>P2523/10000</f>
        <v/>
      </c>
      <c r="U2523" s="15">
        <f>IF(N2523&gt;=Summary!$D$3,1,0)</f>
        <v/>
      </c>
      <c r="V2523" s="17">
        <f>IF(N2523&gt;0,P2523/N2523,"")</f>
        <v/>
      </c>
      <c r="W2523" s="17">
        <f>IF(O2523&gt;0,H2523/O2523,"")</f>
        <v/>
      </c>
    </row>
    <row r="2524">
      <c r="A2524" s="13" t="inlineStr">
        <is>
          <t>CE44_B1</t>
        </is>
      </c>
      <c r="B2524" s="13" t="inlineStr">
        <is>
          <t>CE44</t>
        </is>
      </c>
      <c r="C2524" s="13" t="inlineStr">
        <is>
          <t>B1</t>
        </is>
      </c>
      <c r="D2524" s="13" t="n">
        <v>0</v>
      </c>
      <c r="E2524" s="13" t="inlineStr">
        <is>
          <t>E</t>
        </is>
      </c>
      <c r="F2524" s="13" t="n">
        <v>2022</v>
      </c>
      <c r="G2524" s="14" t="n">
        <v>1931642.770040504</v>
      </c>
      <c r="H2524" s="14" t="n">
        <v>1258162.413631095</v>
      </c>
      <c r="I2524" s="14" t="n">
        <v>388984.466237416</v>
      </c>
      <c r="J2524" s="14" t="n">
        <v>0</v>
      </c>
      <c r="K2524" s="14" t="n">
        <v>36943.53955691469</v>
      </c>
      <c r="L2524" s="14" t="n">
        <v>247552.3506150788</v>
      </c>
      <c r="M2524" s="14" t="n">
        <v>0</v>
      </c>
      <c r="N2524" s="14" t="n">
        <v>1266658.694213329</v>
      </c>
      <c r="O2524" s="14" t="n">
        <v>1654981.420868638</v>
      </c>
      <c r="P2524" s="14" t="n">
        <v>32606.70943884756</v>
      </c>
      <c r="Q2524" s="14" t="n">
        <v>5583329.053861133</v>
      </c>
      <c r="R2524" s="15">
        <f>IF(D2524=1,"Section 1","Control")</f>
        <v/>
      </c>
      <c r="S2524" s="16">
        <f>N2524/10000</f>
        <v/>
      </c>
      <c r="T2524" s="16">
        <f>P2524/10000</f>
        <v/>
      </c>
      <c r="U2524" s="15">
        <f>IF(N2524&gt;=Summary!$D$3,1,0)</f>
        <v/>
      </c>
      <c r="V2524" s="17">
        <f>IF(N2524&gt;0,P2524/N2524,"")</f>
        <v/>
      </c>
      <c r="W2524" s="17">
        <f>IF(O2524&gt;0,H2524/O2524,"")</f>
        <v/>
      </c>
    </row>
    <row r="2525">
      <c r="A2525" s="13" t="inlineStr">
        <is>
          <t>CE44_B1</t>
        </is>
      </c>
      <c r="B2525" s="13" t="inlineStr">
        <is>
          <t>CE44</t>
        </is>
      </c>
      <c r="C2525" s="13" t="inlineStr">
        <is>
          <t>B1</t>
        </is>
      </c>
      <c r="D2525" s="13" t="n">
        <v>0</v>
      </c>
      <c r="E2525" s="13" t="inlineStr">
        <is>
          <t>E</t>
        </is>
      </c>
      <c r="F2525" s="13" t="n">
        <v>2023</v>
      </c>
      <c r="G2525" s="14" t="n">
        <v>1931642.770040504</v>
      </c>
      <c r="H2525" s="14" t="n">
        <v>1209325.689213981</v>
      </c>
      <c r="I2525" s="14" t="n">
        <v>431417.6357526293</v>
      </c>
      <c r="J2525" s="14" t="n">
        <v>0</v>
      </c>
      <c r="K2525" s="14" t="n">
        <v>54651.75111526789</v>
      </c>
      <c r="L2525" s="14" t="n">
        <v>236247.6939586265</v>
      </c>
      <c r="M2525" s="14" t="n">
        <v>0</v>
      </c>
      <c r="N2525" s="14" t="n">
        <v>1266658.694213329</v>
      </c>
      <c r="O2525" s="14" t="n">
        <v>1654981.420868638</v>
      </c>
      <c r="P2525" s="14" t="n">
        <v>71066.18409522562</v>
      </c>
      <c r="Q2525" s="14" t="n">
        <v>5583329.053861133</v>
      </c>
      <c r="R2525" s="15">
        <f>IF(D2525=1,"Section 1","Control")</f>
        <v/>
      </c>
      <c r="S2525" s="16">
        <f>N2525/10000</f>
        <v/>
      </c>
      <c r="T2525" s="16">
        <f>P2525/10000</f>
        <v/>
      </c>
      <c r="U2525" s="15">
        <f>IF(N2525&gt;=Summary!$D$3,1,0)</f>
        <v/>
      </c>
      <c r="V2525" s="17">
        <f>IF(N2525&gt;0,P2525/N2525,"")</f>
        <v/>
      </c>
      <c r="W2525" s="17">
        <f>IF(O2525&gt;0,H2525/O2525,"")</f>
        <v/>
      </c>
    </row>
    <row r="2526">
      <c r="A2526" s="13" t="inlineStr">
        <is>
          <t>CE44_B1</t>
        </is>
      </c>
      <c r="B2526" s="13" t="inlineStr">
        <is>
          <t>CE44</t>
        </is>
      </c>
      <c r="C2526" s="13" t="inlineStr">
        <is>
          <t>B1</t>
        </is>
      </c>
      <c r="D2526" s="13" t="n">
        <v>0</v>
      </c>
      <c r="E2526" s="13" t="inlineStr">
        <is>
          <t>E</t>
        </is>
      </c>
      <c r="F2526" s="13" t="n">
        <v>2024</v>
      </c>
      <c r="G2526" s="14" t="n">
        <v>1931642.770040505</v>
      </c>
      <c r="H2526" s="14" t="n">
        <v>1208466.584576236</v>
      </c>
      <c r="I2526" s="14" t="n">
        <v>448380.8873266781</v>
      </c>
      <c r="J2526" s="14" t="n">
        <v>0</v>
      </c>
      <c r="K2526" s="14" t="n">
        <v>71084.63164771584</v>
      </c>
      <c r="L2526" s="14" t="n">
        <v>203710.6664898741</v>
      </c>
      <c r="M2526" s="14" t="n">
        <v>0</v>
      </c>
      <c r="N2526" s="14" t="n">
        <v>1266658.694213328</v>
      </c>
      <c r="O2526" s="14" t="n">
        <v>1654981.420868638</v>
      </c>
      <c r="P2526" s="14" t="n">
        <v>75872.10063458611</v>
      </c>
      <c r="Q2526" s="14" t="n">
        <v>5583329.053861133</v>
      </c>
      <c r="R2526" s="15">
        <f>IF(D2526=1,"Section 1","Control")</f>
        <v/>
      </c>
      <c r="S2526" s="16">
        <f>N2526/10000</f>
        <v/>
      </c>
      <c r="T2526" s="16">
        <f>P2526/10000</f>
        <v/>
      </c>
      <c r="U2526" s="15">
        <f>IF(N2526&gt;=Summary!$D$3,1,0)</f>
        <v/>
      </c>
      <c r="V2526" s="17">
        <f>IF(N2526&gt;0,P2526/N2526,"")</f>
        <v/>
      </c>
      <c r="W2526" s="17">
        <f>IF(O2526&gt;0,H2526/O2526,"")</f>
        <v/>
      </c>
    </row>
    <row r="2527">
      <c r="A2527" s="13" t="inlineStr">
        <is>
          <t>CE44_B1</t>
        </is>
      </c>
      <c r="B2527" s="13" t="inlineStr">
        <is>
          <t>CE44</t>
        </is>
      </c>
      <c r="C2527" s="13" t="inlineStr">
        <is>
          <t>B1</t>
        </is>
      </c>
      <c r="D2527" s="13" t="n">
        <v>0</v>
      </c>
      <c r="E2527" s="13" t="inlineStr">
        <is>
          <t>E</t>
        </is>
      </c>
      <c r="F2527" s="13" t="n">
        <v>2025</v>
      </c>
      <c r="G2527" s="14" t="n">
        <v>1931642.770040505</v>
      </c>
      <c r="H2527" s="14" t="n">
        <v>1174550.266915983</v>
      </c>
      <c r="I2527" s="14" t="n">
        <v>490421.7275695202</v>
      </c>
      <c r="J2527" s="14" t="n">
        <v>0</v>
      </c>
      <c r="K2527" s="14" t="n">
        <v>65656.29444319781</v>
      </c>
      <c r="L2527" s="14" t="n">
        <v>201014.4811118032</v>
      </c>
      <c r="M2527" s="14" t="n">
        <v>0</v>
      </c>
      <c r="N2527" s="14" t="n">
        <v>1266658.694213328</v>
      </c>
      <c r="O2527" s="14" t="n">
        <v>1654981.420868638</v>
      </c>
      <c r="P2527" s="14" t="n">
        <v>107619.2935782638</v>
      </c>
      <c r="Q2527" s="14" t="n">
        <v>5583329.053861133</v>
      </c>
      <c r="R2527" s="15">
        <f>IF(D2527=1,"Section 1","Control")</f>
        <v/>
      </c>
      <c r="S2527" s="16">
        <f>N2527/10000</f>
        <v/>
      </c>
      <c r="T2527" s="16">
        <f>P2527/10000</f>
        <v/>
      </c>
      <c r="U2527" s="15">
        <f>IF(N2527&gt;=Summary!$D$3,1,0)</f>
        <v/>
      </c>
      <c r="V2527" s="17">
        <f>IF(N2527&gt;0,P2527/N2527,"")</f>
        <v/>
      </c>
      <c r="W2527" s="17">
        <f>IF(O2527&gt;0,H2527/O2527,"")</f>
        <v/>
      </c>
    </row>
    <row r="2528">
      <c r="A2528" s="13" t="inlineStr">
        <is>
          <t>CE44_B1</t>
        </is>
      </c>
      <c r="B2528" s="13" t="inlineStr">
        <is>
          <t>CE44</t>
        </is>
      </c>
      <c r="C2528" s="13" t="inlineStr">
        <is>
          <t>B1</t>
        </is>
      </c>
      <c r="D2528" s="13" t="n">
        <v>0</v>
      </c>
      <c r="E2528" s="13" t="inlineStr">
        <is>
          <t>E</t>
        </is>
      </c>
      <c r="F2528" s="13" t="n">
        <v>2026</v>
      </c>
      <c r="G2528" s="14" t="n">
        <v>1931642.770040505</v>
      </c>
      <c r="H2528" s="14" t="n">
        <v>1253627.218015932</v>
      </c>
      <c r="I2528" s="14" t="n">
        <v>450702.9634030211</v>
      </c>
      <c r="J2528" s="14" t="n">
        <v>0</v>
      </c>
      <c r="K2528" s="14" t="n">
        <v>77976.93085707122</v>
      </c>
      <c r="L2528" s="14" t="n">
        <v>149335.6577644797</v>
      </c>
      <c r="M2528" s="14" t="n">
        <v>0</v>
      </c>
      <c r="N2528" s="14" t="n">
        <v>1266658.694213328</v>
      </c>
      <c r="O2528" s="14" t="n">
        <v>1654981.420868638</v>
      </c>
      <c r="P2528" s="14" t="n">
        <v>41267.18317595837</v>
      </c>
      <c r="Q2528" s="14" t="n">
        <v>5583329.053861133</v>
      </c>
      <c r="R2528" s="15">
        <f>IF(D2528=1,"Section 1","Control")</f>
        <v/>
      </c>
      <c r="S2528" s="16">
        <f>N2528/10000</f>
        <v/>
      </c>
      <c r="T2528" s="16">
        <f>P2528/10000</f>
        <v/>
      </c>
      <c r="U2528" s="15">
        <f>IF(N2528&gt;=Summary!$D$3,1,0)</f>
        <v/>
      </c>
      <c r="V2528" s="17">
        <f>IF(N2528&gt;0,P2528/N2528,"")</f>
        <v/>
      </c>
      <c r="W2528" s="17">
        <f>IF(O2528&gt;0,H2528/O2528,"")</f>
        <v/>
      </c>
    </row>
    <row r="2529">
      <c r="A2529" s="13" t="inlineStr">
        <is>
          <t>CE44_B2</t>
        </is>
      </c>
      <c r="B2529" s="13" t="inlineStr">
        <is>
          <t>CE44</t>
        </is>
      </c>
      <c r="C2529" s="13" t="inlineStr">
        <is>
          <t>B2</t>
        </is>
      </c>
      <c r="D2529" s="13" t="n">
        <v>0</v>
      </c>
      <c r="E2529" s="13" t="inlineStr">
        <is>
          <t>E</t>
        </is>
      </c>
      <c r="F2529" s="13" t="n">
        <v>2020</v>
      </c>
      <c r="G2529" s="14" t="n">
        <v>2716675.183624896</v>
      </c>
      <c r="H2529" s="14" t="n">
        <v>1278029.774920923</v>
      </c>
      <c r="I2529" s="14" t="n">
        <v>291216.4073265824</v>
      </c>
      <c r="J2529" s="14" t="n">
        <v>0</v>
      </c>
      <c r="K2529" s="14" t="n">
        <v>6768.091192776549</v>
      </c>
      <c r="L2529" s="14" t="n">
        <v>1140660.910184613</v>
      </c>
      <c r="M2529" s="14" t="n">
        <v>0</v>
      </c>
      <c r="N2529" s="14" t="n">
        <v>1278029.774920923</v>
      </c>
      <c r="O2529" s="14" t="n">
        <v>1576014.273440283</v>
      </c>
      <c r="P2529" s="14" t="n">
        <v>0</v>
      </c>
      <c r="Q2529" s="14" t="n">
        <v>7548230.918958417</v>
      </c>
      <c r="R2529" s="15">
        <f>IF(D2529=1,"Section 1","Control")</f>
        <v/>
      </c>
      <c r="S2529" s="16">
        <f>N2529/10000</f>
        <v/>
      </c>
      <c r="T2529" s="16">
        <f>P2529/10000</f>
        <v/>
      </c>
      <c r="U2529" s="15">
        <f>IF(N2529&gt;=Summary!$D$3,1,0)</f>
        <v/>
      </c>
      <c r="V2529" s="17">
        <f>IF(N2529&gt;0,P2529/N2529,"")</f>
        <v/>
      </c>
      <c r="W2529" s="17">
        <f>IF(O2529&gt;0,H2529/O2529,"")</f>
        <v/>
      </c>
    </row>
    <row r="2530">
      <c r="A2530" s="13" t="inlineStr">
        <is>
          <t>CE44_B2</t>
        </is>
      </c>
      <c r="B2530" s="13" t="inlineStr">
        <is>
          <t>CE44</t>
        </is>
      </c>
      <c r="C2530" s="13" t="inlineStr">
        <is>
          <t>B2</t>
        </is>
      </c>
      <c r="D2530" s="13" t="n">
        <v>0</v>
      </c>
      <c r="E2530" s="13" t="inlineStr">
        <is>
          <t>E</t>
        </is>
      </c>
      <c r="F2530" s="13" t="n">
        <v>2021</v>
      </c>
      <c r="G2530" s="14" t="n">
        <v>2716675.183624896</v>
      </c>
      <c r="H2530" s="14" t="n">
        <v>1119775.344062626</v>
      </c>
      <c r="I2530" s="14" t="n">
        <v>429372.3435466393</v>
      </c>
      <c r="J2530" s="14" t="n">
        <v>0</v>
      </c>
      <c r="K2530" s="14" t="n">
        <v>35446.4854396446</v>
      </c>
      <c r="L2530" s="14" t="n">
        <v>1132081.010575987</v>
      </c>
      <c r="M2530" s="14" t="n">
        <v>0</v>
      </c>
      <c r="N2530" s="14" t="n">
        <v>1278029.774920924</v>
      </c>
      <c r="O2530" s="14" t="n">
        <v>1576014.273440282</v>
      </c>
      <c r="P2530" s="14" t="n">
        <v>172988.3354736328</v>
      </c>
      <c r="Q2530" s="14" t="n">
        <v>7548230.918958417</v>
      </c>
      <c r="R2530" s="15">
        <f>IF(D2530=1,"Section 1","Control")</f>
        <v/>
      </c>
      <c r="S2530" s="16">
        <f>N2530/10000</f>
        <v/>
      </c>
      <c r="T2530" s="16">
        <f>P2530/10000</f>
        <v/>
      </c>
      <c r="U2530" s="15">
        <f>IF(N2530&gt;=Summary!$D$3,1,0)</f>
        <v/>
      </c>
      <c r="V2530" s="17">
        <f>IF(N2530&gt;0,P2530/N2530,"")</f>
        <v/>
      </c>
      <c r="W2530" s="17">
        <f>IF(O2530&gt;0,H2530/O2530,"")</f>
        <v/>
      </c>
    </row>
    <row r="2531">
      <c r="A2531" s="13" t="inlineStr">
        <is>
          <t>CE44_B2</t>
        </is>
      </c>
      <c r="B2531" s="13" t="inlineStr">
        <is>
          <t>CE44</t>
        </is>
      </c>
      <c r="C2531" s="13" t="inlineStr">
        <is>
          <t>B2</t>
        </is>
      </c>
      <c r="D2531" s="13" t="n">
        <v>0</v>
      </c>
      <c r="E2531" s="13" t="inlineStr">
        <is>
          <t>E</t>
        </is>
      </c>
      <c r="F2531" s="13" t="n">
        <v>2022</v>
      </c>
      <c r="G2531" s="14" t="n">
        <v>2716675.183624896</v>
      </c>
      <c r="H2531" s="14" t="n">
        <v>971231.8738512824</v>
      </c>
      <c r="I2531" s="14" t="n">
        <v>595287.3755559884</v>
      </c>
      <c r="J2531" s="14" t="n">
        <v>0</v>
      </c>
      <c r="K2531" s="14" t="n">
        <v>17516.56230082792</v>
      </c>
      <c r="L2531" s="14" t="n">
        <v>1132639.371916797</v>
      </c>
      <c r="M2531" s="14" t="n">
        <v>0</v>
      </c>
      <c r="N2531" s="14" t="n">
        <v>1278029.774920924</v>
      </c>
      <c r="O2531" s="14" t="n">
        <v>1576014.273440282</v>
      </c>
      <c r="P2531" s="14" t="n">
        <v>308957.3530289594</v>
      </c>
      <c r="Q2531" s="14" t="n">
        <v>7548230.918958417</v>
      </c>
      <c r="R2531" s="15">
        <f>IF(D2531=1,"Section 1","Control")</f>
        <v/>
      </c>
      <c r="S2531" s="16">
        <f>N2531/10000</f>
        <v/>
      </c>
      <c r="T2531" s="16">
        <f>P2531/10000</f>
        <v/>
      </c>
      <c r="U2531" s="15">
        <f>IF(N2531&gt;=Summary!$D$3,1,0)</f>
        <v/>
      </c>
      <c r="V2531" s="17">
        <f>IF(N2531&gt;0,P2531/N2531,"")</f>
        <v/>
      </c>
      <c r="W2531" s="17">
        <f>IF(O2531&gt;0,H2531/O2531,"")</f>
        <v/>
      </c>
    </row>
    <row r="2532">
      <c r="A2532" s="13" t="inlineStr">
        <is>
          <t>CE44_B2</t>
        </is>
      </c>
      <c r="B2532" s="13" t="inlineStr">
        <is>
          <t>CE44</t>
        </is>
      </c>
      <c r="C2532" s="13" t="inlineStr">
        <is>
          <t>B2</t>
        </is>
      </c>
      <c r="D2532" s="13" t="n">
        <v>0</v>
      </c>
      <c r="E2532" s="13" t="inlineStr">
        <is>
          <t>E</t>
        </is>
      </c>
      <c r="F2532" s="13" t="n">
        <v>2023</v>
      </c>
      <c r="G2532" s="14" t="n">
        <v>2716675.183624896</v>
      </c>
      <c r="H2532" s="14" t="n">
        <v>995455.0949762982</v>
      </c>
      <c r="I2532" s="14" t="n">
        <v>550082.2965453204</v>
      </c>
      <c r="J2532" s="14" t="n">
        <v>0</v>
      </c>
      <c r="K2532" s="14" t="n">
        <v>38746.23655248904</v>
      </c>
      <c r="L2532" s="14" t="n">
        <v>1132391.555550789</v>
      </c>
      <c r="M2532" s="14" t="n">
        <v>0</v>
      </c>
      <c r="N2532" s="14" t="n">
        <v>1278029.774920924</v>
      </c>
      <c r="O2532" s="14" t="n">
        <v>1576014.273440282</v>
      </c>
      <c r="P2532" s="14" t="n">
        <v>286326.7144981534</v>
      </c>
      <c r="Q2532" s="14" t="n">
        <v>7548230.918958417</v>
      </c>
      <c r="R2532" s="15">
        <f>IF(D2532=1,"Section 1","Control")</f>
        <v/>
      </c>
      <c r="S2532" s="16">
        <f>N2532/10000</f>
        <v/>
      </c>
      <c r="T2532" s="16">
        <f>P2532/10000</f>
        <v/>
      </c>
      <c r="U2532" s="15">
        <f>IF(N2532&gt;=Summary!$D$3,1,0)</f>
        <v/>
      </c>
      <c r="V2532" s="17">
        <f>IF(N2532&gt;0,P2532/N2532,"")</f>
        <v/>
      </c>
      <c r="W2532" s="17">
        <f>IF(O2532&gt;0,H2532/O2532,"")</f>
        <v/>
      </c>
    </row>
    <row r="2533">
      <c r="A2533" s="13" t="inlineStr">
        <is>
          <t>CE44_B2</t>
        </is>
      </c>
      <c r="B2533" s="13" t="inlineStr">
        <is>
          <t>CE44</t>
        </is>
      </c>
      <c r="C2533" s="13" t="inlineStr">
        <is>
          <t>B2</t>
        </is>
      </c>
      <c r="D2533" s="13" t="n">
        <v>0</v>
      </c>
      <c r="E2533" s="13" t="inlineStr">
        <is>
          <t>E</t>
        </is>
      </c>
      <c r="F2533" s="13" t="n">
        <v>2024</v>
      </c>
      <c r="G2533" s="14" t="n">
        <v>2716675.183624896</v>
      </c>
      <c r="H2533" s="14" t="n">
        <v>963548.9218858008</v>
      </c>
      <c r="I2533" s="14" t="n">
        <v>604262.9117858887</v>
      </c>
      <c r="J2533" s="14" t="n">
        <v>0</v>
      </c>
      <c r="K2533" s="14" t="n">
        <v>40329.25360301897</v>
      </c>
      <c r="L2533" s="14" t="n">
        <v>1108534.096350188</v>
      </c>
      <c r="M2533" s="14" t="n">
        <v>0</v>
      </c>
      <c r="N2533" s="14" t="n">
        <v>1278029.774920924</v>
      </c>
      <c r="O2533" s="14" t="n">
        <v>1576014.273440282</v>
      </c>
      <c r="P2533" s="14" t="n">
        <v>322577.3252641266</v>
      </c>
      <c r="Q2533" s="14" t="n">
        <v>7548230.918958418</v>
      </c>
      <c r="R2533" s="15">
        <f>IF(D2533=1,"Section 1","Control")</f>
        <v/>
      </c>
      <c r="S2533" s="16">
        <f>N2533/10000</f>
        <v/>
      </c>
      <c r="T2533" s="16">
        <f>P2533/10000</f>
        <v/>
      </c>
      <c r="U2533" s="15">
        <f>IF(N2533&gt;=Summary!$D$3,1,0)</f>
        <v/>
      </c>
      <c r="V2533" s="17">
        <f>IF(N2533&gt;0,P2533/N2533,"")</f>
        <v/>
      </c>
      <c r="W2533" s="17">
        <f>IF(O2533&gt;0,H2533/O2533,"")</f>
        <v/>
      </c>
    </row>
    <row r="2534">
      <c r="A2534" s="13" t="inlineStr">
        <is>
          <t>CE44_B2</t>
        </is>
      </c>
      <c r="B2534" s="13" t="inlineStr">
        <is>
          <t>CE44</t>
        </is>
      </c>
      <c r="C2534" s="13" t="inlineStr">
        <is>
          <t>B2</t>
        </is>
      </c>
      <c r="D2534" s="13" t="n">
        <v>0</v>
      </c>
      <c r="E2534" s="13" t="inlineStr">
        <is>
          <t>E</t>
        </is>
      </c>
      <c r="F2534" s="13" t="n">
        <v>2025</v>
      </c>
      <c r="G2534" s="14" t="n">
        <v>2716675.183624896</v>
      </c>
      <c r="H2534" s="14" t="n">
        <v>1173088.261573163</v>
      </c>
      <c r="I2534" s="14" t="n">
        <v>392827.2936690985</v>
      </c>
      <c r="J2534" s="14" t="n">
        <v>0</v>
      </c>
      <c r="K2534" s="14" t="n">
        <v>37359.01348709405</v>
      </c>
      <c r="L2534" s="14" t="n">
        <v>1113400.61489554</v>
      </c>
      <c r="M2534" s="14" t="n">
        <v>0</v>
      </c>
      <c r="N2534" s="14" t="n">
        <v>1278029.774920924</v>
      </c>
      <c r="O2534" s="14" t="n">
        <v>1576014.273440282</v>
      </c>
      <c r="P2534" s="14" t="n">
        <v>142946.8665603039</v>
      </c>
      <c r="Q2534" s="14" t="n">
        <v>7548230.918958417</v>
      </c>
      <c r="R2534" s="15">
        <f>IF(D2534=1,"Section 1","Control")</f>
        <v/>
      </c>
      <c r="S2534" s="16">
        <f>N2534/10000</f>
        <v/>
      </c>
      <c r="T2534" s="16">
        <f>P2534/10000</f>
        <v/>
      </c>
      <c r="U2534" s="15">
        <f>IF(N2534&gt;=Summary!$D$3,1,0)</f>
        <v/>
      </c>
      <c r="V2534" s="17">
        <f>IF(N2534&gt;0,P2534/N2534,"")</f>
        <v/>
      </c>
      <c r="W2534" s="17">
        <f>IF(O2534&gt;0,H2534/O2534,"")</f>
        <v/>
      </c>
    </row>
    <row r="2535">
      <c r="A2535" s="13" t="inlineStr">
        <is>
          <t>CE44_B2</t>
        </is>
      </c>
      <c r="B2535" s="13" t="inlineStr">
        <is>
          <t>CE44</t>
        </is>
      </c>
      <c r="C2535" s="13" t="inlineStr">
        <is>
          <t>B2</t>
        </is>
      </c>
      <c r="D2535" s="13" t="n">
        <v>0</v>
      </c>
      <c r="E2535" s="13" t="inlineStr">
        <is>
          <t>E</t>
        </is>
      </c>
      <c r="F2535" s="13" t="n">
        <v>2026</v>
      </c>
      <c r="G2535" s="14" t="n">
        <v>2716675.183624896</v>
      </c>
      <c r="H2535" s="14" t="n">
        <v>1126686.702160286</v>
      </c>
      <c r="I2535" s="14" t="n">
        <v>476534.1229659137</v>
      </c>
      <c r="J2535" s="14" t="n">
        <v>0</v>
      </c>
      <c r="K2535" s="14" t="n">
        <v>48118.74083362654</v>
      </c>
      <c r="L2535" s="14" t="n">
        <v>1065335.61766507</v>
      </c>
      <c r="M2535" s="14" t="n">
        <v>0</v>
      </c>
      <c r="N2535" s="14" t="n">
        <v>1278029.774920924</v>
      </c>
      <c r="O2535" s="14" t="n">
        <v>1576014.273440283</v>
      </c>
      <c r="P2535" s="14" t="n">
        <v>176138.9176238116</v>
      </c>
      <c r="Q2535" s="14" t="n">
        <v>7548230.918958418</v>
      </c>
      <c r="R2535" s="15">
        <f>IF(D2535=1,"Section 1","Control")</f>
        <v/>
      </c>
      <c r="S2535" s="16">
        <f>N2535/10000</f>
        <v/>
      </c>
      <c r="T2535" s="16">
        <f>P2535/10000</f>
        <v/>
      </c>
      <c r="U2535" s="15">
        <f>IF(N2535&gt;=Summary!$D$3,1,0)</f>
        <v/>
      </c>
      <c r="V2535" s="17">
        <f>IF(N2535&gt;0,P2535/N2535,"")</f>
        <v/>
      </c>
      <c r="W2535" s="17">
        <f>IF(O2535&gt;0,H2535/O2535,"")</f>
        <v/>
      </c>
    </row>
    <row r="2536">
      <c r="A2536" s="13" t="inlineStr">
        <is>
          <t>CE44_B3</t>
        </is>
      </c>
      <c r="B2536" s="13" t="inlineStr">
        <is>
          <t>CE44</t>
        </is>
      </c>
      <c r="C2536" s="13" t="inlineStr">
        <is>
          <t>B3</t>
        </is>
      </c>
      <c r="D2536" s="13" t="n">
        <v>0</v>
      </c>
      <c r="E2536" s="13" t="inlineStr">
        <is>
          <t>E</t>
        </is>
      </c>
      <c r="F2536" s="13" t="n">
        <v>2020</v>
      </c>
      <c r="G2536" s="14" t="n">
        <v>49965594.14292082</v>
      </c>
      <c r="H2536" s="14" t="n">
        <v>24161205.06848564</v>
      </c>
      <c r="I2536" s="14" t="n">
        <v>3001440.947795254</v>
      </c>
      <c r="J2536" s="14" t="n">
        <v>0</v>
      </c>
      <c r="K2536" s="14" t="n">
        <v>278221.064985178</v>
      </c>
      <c r="L2536" s="14" t="n">
        <v>22524727.06165475</v>
      </c>
      <c r="M2536" s="14" t="n">
        <v>0</v>
      </c>
      <c r="N2536" s="14" t="n">
        <v>24161205.06848564</v>
      </c>
      <c r="O2536" s="14" t="n">
        <v>27440867.08126607</v>
      </c>
      <c r="P2536" s="14" t="n">
        <v>0</v>
      </c>
      <c r="Q2536" s="14" t="n">
        <v>314540327.6711604</v>
      </c>
      <c r="R2536" s="15">
        <f>IF(D2536=1,"Section 1","Control")</f>
        <v/>
      </c>
      <c r="S2536" s="16">
        <f>N2536/10000</f>
        <v/>
      </c>
      <c r="T2536" s="16">
        <f>P2536/10000</f>
        <v/>
      </c>
      <c r="U2536" s="15">
        <f>IF(N2536&gt;=Summary!$D$3,1,0)</f>
        <v/>
      </c>
      <c r="V2536" s="17">
        <f>IF(N2536&gt;0,P2536/N2536,"")</f>
        <v/>
      </c>
      <c r="W2536" s="17">
        <f>IF(O2536&gt;0,H2536/O2536,"")</f>
        <v/>
      </c>
    </row>
    <row r="2537">
      <c r="A2537" s="13" t="inlineStr">
        <is>
          <t>CE44_B3</t>
        </is>
      </c>
      <c r="B2537" s="13" t="inlineStr">
        <is>
          <t>CE44</t>
        </is>
      </c>
      <c r="C2537" s="13" t="inlineStr">
        <is>
          <t>B3</t>
        </is>
      </c>
      <c r="D2537" s="13" t="n">
        <v>0</v>
      </c>
      <c r="E2537" s="13" t="inlineStr">
        <is>
          <t>E</t>
        </is>
      </c>
      <c r="F2537" s="13" t="n">
        <v>2021</v>
      </c>
      <c r="G2537" s="14" t="n">
        <v>49965594.14292083</v>
      </c>
      <c r="H2537" s="14" t="n">
        <v>23661520.60661606</v>
      </c>
      <c r="I2537" s="14" t="n">
        <v>3266839.146801787</v>
      </c>
      <c r="J2537" s="14" t="n">
        <v>0</v>
      </c>
      <c r="K2537" s="14" t="n">
        <v>579209.971392523</v>
      </c>
      <c r="L2537" s="14" t="n">
        <v>22458024.41811045</v>
      </c>
      <c r="M2537" s="14" t="n">
        <v>0</v>
      </c>
      <c r="N2537" s="14" t="n">
        <v>24161205.06848564</v>
      </c>
      <c r="O2537" s="14" t="n">
        <v>27440867.08126607</v>
      </c>
      <c r="P2537" s="14" t="n">
        <v>808985.3932425703</v>
      </c>
      <c r="Q2537" s="14" t="n">
        <v>314540327.6711605</v>
      </c>
      <c r="R2537" s="15">
        <f>IF(D2537=1,"Section 1","Control")</f>
        <v/>
      </c>
      <c r="S2537" s="16">
        <f>N2537/10000</f>
        <v/>
      </c>
      <c r="T2537" s="16">
        <f>P2537/10000</f>
        <v/>
      </c>
      <c r="U2537" s="15">
        <f>IF(N2537&gt;=Summary!$D$3,1,0)</f>
        <v/>
      </c>
      <c r="V2537" s="17">
        <f>IF(N2537&gt;0,P2537/N2537,"")</f>
        <v/>
      </c>
      <c r="W2537" s="17">
        <f>IF(O2537&gt;0,H2537/O2537,"")</f>
        <v/>
      </c>
    </row>
    <row r="2538">
      <c r="A2538" s="13" t="inlineStr">
        <is>
          <t>CE44_B3</t>
        </is>
      </c>
      <c r="B2538" s="13" t="inlineStr">
        <is>
          <t>CE44</t>
        </is>
      </c>
      <c r="C2538" s="13" t="inlineStr">
        <is>
          <t>B3</t>
        </is>
      </c>
      <c r="D2538" s="13" t="n">
        <v>0</v>
      </c>
      <c r="E2538" s="13" t="inlineStr">
        <is>
          <t>E</t>
        </is>
      </c>
      <c r="F2538" s="13" t="n">
        <v>2022</v>
      </c>
      <c r="G2538" s="14" t="n">
        <v>49965594.14292083</v>
      </c>
      <c r="H2538" s="14" t="n">
        <v>23038206.65649902</v>
      </c>
      <c r="I2538" s="14" t="n">
        <v>3900341.139290575</v>
      </c>
      <c r="J2538" s="14" t="n">
        <v>0</v>
      </c>
      <c r="K2538" s="14" t="n">
        <v>612764.3267105999</v>
      </c>
      <c r="L2538" s="14" t="n">
        <v>22414282.02042063</v>
      </c>
      <c r="M2538" s="14" t="n">
        <v>0</v>
      </c>
      <c r="N2538" s="14" t="n">
        <v>24161205.06848564</v>
      </c>
      <c r="O2538" s="14" t="n">
        <v>27440867.08126607</v>
      </c>
      <c r="P2538" s="14" t="n">
        <v>1310852.561336233</v>
      </c>
      <c r="Q2538" s="14" t="n">
        <v>314540327.6711604</v>
      </c>
      <c r="R2538" s="15">
        <f>IF(D2538=1,"Section 1","Control")</f>
        <v/>
      </c>
      <c r="S2538" s="16">
        <f>N2538/10000</f>
        <v/>
      </c>
      <c r="T2538" s="16">
        <f>P2538/10000</f>
        <v/>
      </c>
      <c r="U2538" s="15">
        <f>IF(N2538&gt;=Summary!$D$3,1,0)</f>
        <v/>
      </c>
      <c r="V2538" s="17">
        <f>IF(N2538&gt;0,P2538/N2538,"")</f>
        <v/>
      </c>
      <c r="W2538" s="17">
        <f>IF(O2538&gt;0,H2538/O2538,"")</f>
        <v/>
      </c>
    </row>
    <row r="2539">
      <c r="A2539" s="13" t="inlineStr">
        <is>
          <t>CE44_B3</t>
        </is>
      </c>
      <c r="B2539" s="13" t="inlineStr">
        <is>
          <t>CE44</t>
        </is>
      </c>
      <c r="C2539" s="13" t="inlineStr">
        <is>
          <t>B3</t>
        </is>
      </c>
      <c r="D2539" s="13" t="n">
        <v>0</v>
      </c>
      <c r="E2539" s="13" t="inlineStr">
        <is>
          <t>E</t>
        </is>
      </c>
      <c r="F2539" s="13" t="n">
        <v>2023</v>
      </c>
      <c r="G2539" s="14" t="n">
        <v>49965594.14292082</v>
      </c>
      <c r="H2539" s="14" t="n">
        <v>23258073.28702315</v>
      </c>
      <c r="I2539" s="14" t="n">
        <v>3670606.88793685</v>
      </c>
      <c r="J2539" s="14" t="n">
        <v>0</v>
      </c>
      <c r="K2539" s="14" t="n">
        <v>572879.5102914548</v>
      </c>
      <c r="L2539" s="14" t="n">
        <v>22464034.45766937</v>
      </c>
      <c r="M2539" s="14" t="n">
        <v>0</v>
      </c>
      <c r="N2539" s="14" t="n">
        <v>24161205.06848564</v>
      </c>
      <c r="O2539" s="14" t="n">
        <v>27440867.08126607</v>
      </c>
      <c r="P2539" s="14" t="n">
        <v>1194763.199632234</v>
      </c>
      <c r="Q2539" s="14" t="n">
        <v>314540327.6711605</v>
      </c>
      <c r="R2539" s="15">
        <f>IF(D2539=1,"Section 1","Control")</f>
        <v/>
      </c>
      <c r="S2539" s="16">
        <f>N2539/10000</f>
        <v/>
      </c>
      <c r="T2539" s="16">
        <f>P2539/10000</f>
        <v/>
      </c>
      <c r="U2539" s="15">
        <f>IF(N2539&gt;=Summary!$D$3,1,0)</f>
        <v/>
      </c>
      <c r="V2539" s="17">
        <f>IF(N2539&gt;0,P2539/N2539,"")</f>
        <v/>
      </c>
      <c r="W2539" s="17">
        <f>IF(O2539&gt;0,H2539/O2539,"")</f>
        <v/>
      </c>
    </row>
    <row r="2540">
      <c r="A2540" s="13" t="inlineStr">
        <is>
          <t>CE44_B3</t>
        </is>
      </c>
      <c r="B2540" s="13" t="inlineStr">
        <is>
          <t>CE44</t>
        </is>
      </c>
      <c r="C2540" s="13" t="inlineStr">
        <is>
          <t>B3</t>
        </is>
      </c>
      <c r="D2540" s="13" t="n">
        <v>0</v>
      </c>
      <c r="E2540" s="13" t="inlineStr">
        <is>
          <t>E</t>
        </is>
      </c>
      <c r="F2540" s="13" t="n">
        <v>2024</v>
      </c>
      <c r="G2540" s="14" t="n">
        <v>49965594.14292082</v>
      </c>
      <c r="H2540" s="14" t="n">
        <v>23061684.00737748</v>
      </c>
      <c r="I2540" s="14" t="n">
        <v>3913370.686786128</v>
      </c>
      <c r="J2540" s="14" t="n">
        <v>0</v>
      </c>
      <c r="K2540" s="14" t="n">
        <v>616563.4404556274</v>
      </c>
      <c r="L2540" s="14" t="n">
        <v>22373976.00830159</v>
      </c>
      <c r="M2540" s="14" t="n">
        <v>0</v>
      </c>
      <c r="N2540" s="14" t="n">
        <v>24161205.06848564</v>
      </c>
      <c r="O2540" s="14" t="n">
        <v>27440867.08126607</v>
      </c>
      <c r="P2540" s="14" t="n">
        <v>1386276.07520722</v>
      </c>
      <c r="Q2540" s="14" t="n">
        <v>314540327.6711605</v>
      </c>
      <c r="R2540" s="15">
        <f>IF(D2540=1,"Section 1","Control")</f>
        <v/>
      </c>
      <c r="S2540" s="16">
        <f>N2540/10000</f>
        <v/>
      </c>
      <c r="T2540" s="16">
        <f>P2540/10000</f>
        <v/>
      </c>
      <c r="U2540" s="15">
        <f>IF(N2540&gt;=Summary!$D$3,1,0)</f>
        <v/>
      </c>
      <c r="V2540" s="17">
        <f>IF(N2540&gt;0,P2540/N2540,"")</f>
        <v/>
      </c>
      <c r="W2540" s="17">
        <f>IF(O2540&gt;0,H2540/O2540,"")</f>
        <v/>
      </c>
    </row>
    <row r="2541">
      <c r="A2541" s="13" t="inlineStr">
        <is>
          <t>CE44_B3</t>
        </is>
      </c>
      <c r="B2541" s="13" t="inlineStr">
        <is>
          <t>CE44</t>
        </is>
      </c>
      <c r="C2541" s="13" t="inlineStr">
        <is>
          <t>B3</t>
        </is>
      </c>
      <c r="D2541" s="13" t="n">
        <v>0</v>
      </c>
      <c r="E2541" s="13" t="inlineStr">
        <is>
          <t>E</t>
        </is>
      </c>
      <c r="F2541" s="13" t="n">
        <v>2025</v>
      </c>
      <c r="G2541" s="14" t="n">
        <v>49965594.14292082</v>
      </c>
      <c r="H2541" s="14" t="n">
        <v>23616823.36271197</v>
      </c>
      <c r="I2541" s="14" t="n">
        <v>3337499.67895825</v>
      </c>
      <c r="J2541" s="14" t="n">
        <v>0</v>
      </c>
      <c r="K2541" s="14" t="n">
        <v>595951.5393218095</v>
      </c>
      <c r="L2541" s="14" t="n">
        <v>22415319.56192878</v>
      </c>
      <c r="M2541" s="14" t="n">
        <v>0</v>
      </c>
      <c r="N2541" s="14" t="n">
        <v>24161205.06848564</v>
      </c>
      <c r="O2541" s="14" t="n">
        <v>27440867.08126607</v>
      </c>
      <c r="P2541" s="14" t="n">
        <v>1024464.878066448</v>
      </c>
      <c r="Q2541" s="14" t="n">
        <v>314540327.6711605</v>
      </c>
      <c r="R2541" s="15">
        <f>IF(D2541=1,"Section 1","Control")</f>
        <v/>
      </c>
      <c r="S2541" s="16">
        <f>N2541/10000</f>
        <v/>
      </c>
      <c r="T2541" s="16">
        <f>P2541/10000</f>
        <v/>
      </c>
      <c r="U2541" s="15">
        <f>IF(N2541&gt;=Summary!$D$3,1,0)</f>
        <v/>
      </c>
      <c r="V2541" s="17">
        <f>IF(N2541&gt;0,P2541/N2541,"")</f>
        <v/>
      </c>
      <c r="W2541" s="17">
        <f>IF(O2541&gt;0,H2541/O2541,"")</f>
        <v/>
      </c>
    </row>
    <row r="2542">
      <c r="A2542" s="13" t="inlineStr">
        <is>
          <t>CE44_B3</t>
        </is>
      </c>
      <c r="B2542" s="13" t="inlineStr">
        <is>
          <t>CE44</t>
        </is>
      </c>
      <c r="C2542" s="13" t="inlineStr">
        <is>
          <t>B3</t>
        </is>
      </c>
      <c r="D2542" s="13" t="n">
        <v>0</v>
      </c>
      <c r="E2542" s="13" t="inlineStr">
        <is>
          <t>E</t>
        </is>
      </c>
      <c r="F2542" s="13" t="n">
        <v>2026</v>
      </c>
      <c r="G2542" s="14" t="n">
        <v>49965594.14292083</v>
      </c>
      <c r="H2542" s="14" t="n">
        <v>23605020.62225492</v>
      </c>
      <c r="I2542" s="14" t="n">
        <v>3381936.511783167</v>
      </c>
      <c r="J2542" s="14" t="n">
        <v>0</v>
      </c>
      <c r="K2542" s="14" t="n">
        <v>801986.6943787816</v>
      </c>
      <c r="L2542" s="14" t="n">
        <v>22176650.31450396</v>
      </c>
      <c r="M2542" s="14" t="n">
        <v>0</v>
      </c>
      <c r="N2542" s="14" t="n">
        <v>24161205.06848564</v>
      </c>
      <c r="O2542" s="14" t="n">
        <v>27440867.08126607</v>
      </c>
      <c r="P2542" s="14" t="n">
        <v>1053705.035532244</v>
      </c>
      <c r="Q2542" s="14" t="n">
        <v>314540327.6711604</v>
      </c>
      <c r="R2542" s="15">
        <f>IF(D2542=1,"Section 1","Control")</f>
        <v/>
      </c>
      <c r="S2542" s="16">
        <f>N2542/10000</f>
        <v/>
      </c>
      <c r="T2542" s="16">
        <f>P2542/10000</f>
        <v/>
      </c>
      <c r="U2542" s="15">
        <f>IF(N2542&gt;=Summary!$D$3,1,0)</f>
        <v/>
      </c>
      <c r="V2542" s="17">
        <f>IF(N2542&gt;0,P2542/N2542,"")</f>
        <v/>
      </c>
      <c r="W2542" s="17">
        <f>IF(O2542&gt;0,H2542/O2542,"")</f>
        <v/>
      </c>
    </row>
    <row r="2543">
      <c r="A2543" s="13" t="inlineStr">
        <is>
          <t>CE44_F</t>
        </is>
      </c>
      <c r="B2543" s="13" t="inlineStr">
        <is>
          <t>CE44</t>
        </is>
      </c>
      <c r="C2543" s="13" t="inlineStr">
        <is>
          <t>F</t>
        </is>
      </c>
      <c r="D2543" s="13" t="n">
        <v>0</v>
      </c>
      <c r="E2543" s="13" t="inlineStr">
        <is>
          <t>E</t>
        </is>
      </c>
      <c r="F2543" s="13" t="n">
        <v>2020</v>
      </c>
      <c r="G2543" s="14" t="n">
        <v>105146.1951305613</v>
      </c>
      <c r="H2543" s="14" t="n">
        <v>105146.1951305613</v>
      </c>
      <c r="I2543" s="14" t="n">
        <v>0</v>
      </c>
      <c r="J2543" s="14" t="n">
        <v>0</v>
      </c>
      <c r="K2543" s="14" t="n">
        <v>0</v>
      </c>
      <c r="L2543" s="14" t="n">
        <v>0</v>
      </c>
      <c r="M2543" s="14" t="n">
        <v>0</v>
      </c>
      <c r="N2543" s="14" t="n">
        <v>105146.1951305613</v>
      </c>
      <c r="O2543" s="14" t="n">
        <v>105146.1951305613</v>
      </c>
      <c r="P2543" s="14" t="n">
        <v>0</v>
      </c>
      <c r="Q2543" s="14" t="n">
        <v>373369.7082109638</v>
      </c>
      <c r="R2543" s="15">
        <f>IF(D2543=1,"Section 1","Control")</f>
        <v/>
      </c>
      <c r="S2543" s="16">
        <f>N2543/10000</f>
        <v/>
      </c>
      <c r="T2543" s="16">
        <f>P2543/10000</f>
        <v/>
      </c>
      <c r="U2543" s="15">
        <f>IF(N2543&gt;=Summary!$D$3,1,0)</f>
        <v/>
      </c>
      <c r="V2543" s="17">
        <f>IF(N2543&gt;0,P2543/N2543,"")</f>
        <v/>
      </c>
      <c r="W2543" s="17">
        <f>IF(O2543&gt;0,H2543/O2543,"")</f>
        <v/>
      </c>
    </row>
    <row r="2544">
      <c r="A2544" s="13" t="inlineStr">
        <is>
          <t>CE44_F</t>
        </is>
      </c>
      <c r="B2544" s="13" t="inlineStr">
        <is>
          <t>CE44</t>
        </is>
      </c>
      <c r="C2544" s="13" t="inlineStr">
        <is>
          <t>F</t>
        </is>
      </c>
      <c r="D2544" s="13" t="n">
        <v>0</v>
      </c>
      <c r="E2544" s="13" t="inlineStr">
        <is>
          <t>E</t>
        </is>
      </c>
      <c r="F2544" s="13" t="n">
        <v>2021</v>
      </c>
      <c r="G2544" s="14" t="n">
        <v>105146.1951305613</v>
      </c>
      <c r="H2544" s="14" t="n">
        <v>104356.2875683055</v>
      </c>
      <c r="I2544" s="14" t="n">
        <v>789.9075622558594</v>
      </c>
      <c r="J2544" s="14" t="n">
        <v>0</v>
      </c>
      <c r="K2544" s="14" t="n">
        <v>0</v>
      </c>
      <c r="L2544" s="14" t="n">
        <v>0</v>
      </c>
      <c r="M2544" s="14" t="n">
        <v>0</v>
      </c>
      <c r="N2544" s="14" t="n">
        <v>105146.1951305613</v>
      </c>
      <c r="O2544" s="14" t="n">
        <v>105146.1951305613</v>
      </c>
      <c r="P2544" s="14" t="n">
        <v>789.9075622558594</v>
      </c>
      <c r="Q2544" s="14" t="n">
        <v>373369.7082109638</v>
      </c>
      <c r="R2544" s="15">
        <f>IF(D2544=1,"Section 1","Control")</f>
        <v/>
      </c>
      <c r="S2544" s="16">
        <f>N2544/10000</f>
        <v/>
      </c>
      <c r="T2544" s="16">
        <f>P2544/10000</f>
        <v/>
      </c>
      <c r="U2544" s="15">
        <f>IF(N2544&gt;=Summary!$D$3,1,0)</f>
        <v/>
      </c>
      <c r="V2544" s="17">
        <f>IF(N2544&gt;0,P2544/N2544,"")</f>
        <v/>
      </c>
      <c r="W2544" s="17">
        <f>IF(O2544&gt;0,H2544/O2544,"")</f>
        <v/>
      </c>
    </row>
    <row r="2545">
      <c r="A2545" s="13" t="inlineStr">
        <is>
          <t>CE44_F</t>
        </is>
      </c>
      <c r="B2545" s="13" t="inlineStr">
        <is>
          <t>CE44</t>
        </is>
      </c>
      <c r="C2545" s="13" t="inlineStr">
        <is>
          <t>F</t>
        </is>
      </c>
      <c r="D2545" s="13" t="n">
        <v>0</v>
      </c>
      <c r="E2545" s="13" t="inlineStr">
        <is>
          <t>E</t>
        </is>
      </c>
      <c r="F2545" s="13" t="n">
        <v>2022</v>
      </c>
      <c r="G2545" s="14" t="n">
        <v>105146.1951305613</v>
      </c>
      <c r="H2545" s="14" t="n">
        <v>104751.2423717723</v>
      </c>
      <c r="I2545" s="14" t="n">
        <v>394.9527587890625</v>
      </c>
      <c r="J2545" s="14" t="n">
        <v>0</v>
      </c>
      <c r="K2545" s="14" t="n">
        <v>0</v>
      </c>
      <c r="L2545" s="14" t="n">
        <v>0</v>
      </c>
      <c r="M2545" s="14" t="n">
        <v>0</v>
      </c>
      <c r="N2545" s="14" t="n">
        <v>105146.1951305613</v>
      </c>
      <c r="O2545" s="14" t="n">
        <v>105146.1951305613</v>
      </c>
      <c r="P2545" s="14" t="n">
        <v>394.9527587890625</v>
      </c>
      <c r="Q2545" s="14" t="n">
        <v>373369.7082109638</v>
      </c>
      <c r="R2545" s="15">
        <f>IF(D2545=1,"Section 1","Control")</f>
        <v/>
      </c>
      <c r="S2545" s="16">
        <f>N2545/10000</f>
        <v/>
      </c>
      <c r="T2545" s="16">
        <f>P2545/10000</f>
        <v/>
      </c>
      <c r="U2545" s="15">
        <f>IF(N2545&gt;=Summary!$D$3,1,0)</f>
        <v/>
      </c>
      <c r="V2545" s="17">
        <f>IF(N2545&gt;0,P2545/N2545,"")</f>
        <v/>
      </c>
      <c r="W2545" s="17">
        <f>IF(O2545&gt;0,H2545/O2545,"")</f>
        <v/>
      </c>
    </row>
    <row r="2546">
      <c r="A2546" s="13" t="inlineStr">
        <is>
          <t>CE44_F</t>
        </is>
      </c>
      <c r="B2546" s="13" t="inlineStr">
        <is>
          <t>CE44</t>
        </is>
      </c>
      <c r="C2546" s="13" t="inlineStr">
        <is>
          <t>F</t>
        </is>
      </c>
      <c r="D2546" s="13" t="n">
        <v>0</v>
      </c>
      <c r="E2546" s="13" t="inlineStr">
        <is>
          <t>E</t>
        </is>
      </c>
      <c r="F2546" s="13" t="n">
        <v>2023</v>
      </c>
      <c r="G2546" s="14" t="n">
        <v>105146.1951305613</v>
      </c>
      <c r="H2546" s="14" t="n">
        <v>99968.81600392656</v>
      </c>
      <c r="I2546" s="14" t="n">
        <v>5177.379126634785</v>
      </c>
      <c r="J2546" s="14" t="n">
        <v>0</v>
      </c>
      <c r="K2546" s="14" t="n">
        <v>0</v>
      </c>
      <c r="L2546" s="14" t="n">
        <v>0</v>
      </c>
      <c r="M2546" s="14" t="n">
        <v>0</v>
      </c>
      <c r="N2546" s="14" t="n">
        <v>105146.1951305613</v>
      </c>
      <c r="O2546" s="14" t="n">
        <v>105146.1951305613</v>
      </c>
      <c r="P2546" s="14" t="n">
        <v>5177.379126634785</v>
      </c>
      <c r="Q2546" s="14" t="n">
        <v>373369.7082109638</v>
      </c>
      <c r="R2546" s="15">
        <f>IF(D2546=1,"Section 1","Control")</f>
        <v/>
      </c>
      <c r="S2546" s="16">
        <f>N2546/10000</f>
        <v/>
      </c>
      <c r="T2546" s="16">
        <f>P2546/10000</f>
        <v/>
      </c>
      <c r="U2546" s="15">
        <f>IF(N2546&gt;=Summary!$D$3,1,0)</f>
        <v/>
      </c>
      <c r="V2546" s="17">
        <f>IF(N2546&gt;0,P2546/N2546,"")</f>
        <v/>
      </c>
      <c r="W2546" s="17">
        <f>IF(O2546&gt;0,H2546/O2546,"")</f>
        <v/>
      </c>
    </row>
    <row r="2547">
      <c r="A2547" s="13" t="inlineStr">
        <is>
          <t>CE44_F</t>
        </is>
      </c>
      <c r="B2547" s="13" t="inlineStr">
        <is>
          <t>CE44</t>
        </is>
      </c>
      <c r="C2547" s="13" t="inlineStr">
        <is>
          <t>F</t>
        </is>
      </c>
      <c r="D2547" s="13" t="n">
        <v>0</v>
      </c>
      <c r="E2547" s="13" t="inlineStr">
        <is>
          <t>E</t>
        </is>
      </c>
      <c r="F2547" s="13" t="n">
        <v>2024</v>
      </c>
      <c r="G2547" s="14" t="n">
        <v>105146.1951305613</v>
      </c>
      <c r="H2547" s="14" t="n">
        <v>102621.5925017712</v>
      </c>
      <c r="I2547" s="14" t="n">
        <v>1930.23589441636</v>
      </c>
      <c r="J2547" s="14" t="n">
        <v>0</v>
      </c>
      <c r="K2547" s="14" t="n">
        <v>594.3667343738032</v>
      </c>
      <c r="L2547" s="14" t="n">
        <v>0</v>
      </c>
      <c r="M2547" s="14" t="n">
        <v>0</v>
      </c>
      <c r="N2547" s="14" t="n">
        <v>105146.1951305613</v>
      </c>
      <c r="O2547" s="14" t="n">
        <v>105146.1951305613</v>
      </c>
      <c r="P2547" s="14" t="n">
        <v>2524.602628790164</v>
      </c>
      <c r="Q2547" s="14" t="n">
        <v>373369.7082109638</v>
      </c>
      <c r="R2547" s="15">
        <f>IF(D2547=1,"Section 1","Control")</f>
        <v/>
      </c>
      <c r="S2547" s="16">
        <f>N2547/10000</f>
        <v/>
      </c>
      <c r="T2547" s="16">
        <f>P2547/10000</f>
        <v/>
      </c>
      <c r="U2547" s="15">
        <f>IF(N2547&gt;=Summary!$D$3,1,0)</f>
        <v/>
      </c>
      <c r="V2547" s="17">
        <f>IF(N2547&gt;0,P2547/N2547,"")</f>
        <v/>
      </c>
      <c r="W2547" s="17">
        <f>IF(O2547&gt;0,H2547/O2547,"")</f>
        <v/>
      </c>
    </row>
    <row r="2548">
      <c r="A2548" s="13" t="inlineStr">
        <is>
          <t>CE44_F</t>
        </is>
      </c>
      <c r="B2548" s="13" t="inlineStr">
        <is>
          <t>CE44</t>
        </is>
      </c>
      <c r="C2548" s="13" t="inlineStr">
        <is>
          <t>F</t>
        </is>
      </c>
      <c r="D2548" s="13" t="n">
        <v>0</v>
      </c>
      <c r="E2548" s="13" t="inlineStr">
        <is>
          <t>E</t>
        </is>
      </c>
      <c r="F2548" s="13" t="n">
        <v>2025</v>
      </c>
      <c r="G2548" s="14" t="n">
        <v>105146.1951305613</v>
      </c>
      <c r="H2548" s="14" t="n">
        <v>98066.06784973142</v>
      </c>
      <c r="I2548" s="14" t="n">
        <v>6586.435081122903</v>
      </c>
      <c r="J2548" s="14" t="n">
        <v>0</v>
      </c>
      <c r="K2548" s="14" t="n">
        <v>493.6921997070313</v>
      </c>
      <c r="L2548" s="14" t="n">
        <v>0</v>
      </c>
      <c r="M2548" s="14" t="n">
        <v>0</v>
      </c>
      <c r="N2548" s="14" t="n">
        <v>105146.1951305613</v>
      </c>
      <c r="O2548" s="14" t="n">
        <v>105146.1951305613</v>
      </c>
      <c r="P2548" s="14" t="n">
        <v>7080.127280829935</v>
      </c>
      <c r="Q2548" s="14" t="n">
        <v>373369.7082109638</v>
      </c>
      <c r="R2548" s="15">
        <f>IF(D2548=1,"Section 1","Control")</f>
        <v/>
      </c>
      <c r="S2548" s="16">
        <f>N2548/10000</f>
        <v/>
      </c>
      <c r="T2548" s="16">
        <f>P2548/10000</f>
        <v/>
      </c>
      <c r="U2548" s="15">
        <f>IF(N2548&gt;=Summary!$D$3,1,0)</f>
        <v/>
      </c>
      <c r="V2548" s="17">
        <f>IF(N2548&gt;0,P2548/N2548,"")</f>
        <v/>
      </c>
      <c r="W2548" s="17">
        <f>IF(O2548&gt;0,H2548/O2548,"")</f>
        <v/>
      </c>
    </row>
    <row r="2549">
      <c r="A2549" s="13" t="inlineStr">
        <is>
          <t>CE44_F</t>
        </is>
      </c>
      <c r="B2549" s="13" t="inlineStr">
        <is>
          <t>CE44</t>
        </is>
      </c>
      <c r="C2549" s="13" t="inlineStr">
        <is>
          <t>F</t>
        </is>
      </c>
      <c r="D2549" s="13" t="n">
        <v>0</v>
      </c>
      <c r="E2549" s="13" t="inlineStr">
        <is>
          <t>E</t>
        </is>
      </c>
      <c r="F2549" s="13" t="n">
        <v>2026</v>
      </c>
      <c r="G2549" s="14" t="n">
        <v>105146.1951305613</v>
      </c>
      <c r="H2549" s="14" t="n">
        <v>104652.5029308543</v>
      </c>
      <c r="I2549" s="14" t="n">
        <v>0</v>
      </c>
      <c r="J2549" s="14" t="n">
        <v>0</v>
      </c>
      <c r="K2549" s="14" t="n">
        <v>493.6921997070313</v>
      </c>
      <c r="L2549" s="14" t="n">
        <v>0</v>
      </c>
      <c r="M2549" s="14" t="n">
        <v>0</v>
      </c>
      <c r="N2549" s="14" t="n">
        <v>105146.1951305613</v>
      </c>
      <c r="O2549" s="14" t="n">
        <v>105146.1951305613</v>
      </c>
      <c r="P2549" s="14" t="n">
        <v>493.6921997070313</v>
      </c>
      <c r="Q2549" s="14" t="n">
        <v>373369.7082109638</v>
      </c>
      <c r="R2549" s="15">
        <f>IF(D2549=1,"Section 1","Control")</f>
        <v/>
      </c>
      <c r="S2549" s="16">
        <f>N2549/10000</f>
        <v/>
      </c>
      <c r="T2549" s="16">
        <f>P2549/10000</f>
        <v/>
      </c>
      <c r="U2549" s="15">
        <f>IF(N2549&gt;=Summary!$D$3,1,0)</f>
        <v/>
      </c>
      <c r="V2549" s="17">
        <f>IF(N2549&gt;0,P2549/N2549,"")</f>
        <v/>
      </c>
      <c r="W2549" s="17">
        <f>IF(O2549&gt;0,H2549/O2549,"")</f>
        <v/>
      </c>
    </row>
    <row r="2550">
      <c r="A2550" s="13" t="inlineStr">
        <is>
          <t>CW01_B1</t>
        </is>
      </c>
      <c r="B2550" s="13" t="inlineStr">
        <is>
          <t>CW01</t>
        </is>
      </c>
      <c r="C2550" s="13" t="inlineStr">
        <is>
          <t>B1</t>
        </is>
      </c>
      <c r="D2550" s="13" t="n">
        <v>0</v>
      </c>
      <c r="E2550" s="13" t="inlineStr">
        <is>
          <t>W</t>
        </is>
      </c>
      <c r="F2550" s="13" t="n">
        <v>2020</v>
      </c>
      <c r="G2550" s="14" t="n">
        <v>1012937.27016464</v>
      </c>
      <c r="H2550" s="14" t="n">
        <v>579209.1443348606</v>
      </c>
      <c r="I2550" s="14" t="n">
        <v>215658.9255891688</v>
      </c>
      <c r="J2550" s="14" t="n">
        <v>0</v>
      </c>
      <c r="K2550" s="14" t="n">
        <v>218069.2002406102</v>
      </c>
      <c r="L2550" s="14" t="n">
        <v>0</v>
      </c>
      <c r="M2550" s="14" t="n">
        <v>0</v>
      </c>
      <c r="N2550" s="14" t="n">
        <v>579209.1443348606</v>
      </c>
      <c r="O2550" s="14" t="n">
        <v>1012937.27016464</v>
      </c>
      <c r="P2550" s="14" t="n">
        <v>0</v>
      </c>
      <c r="Q2550" s="14" t="n">
        <v>6145520.465589575</v>
      </c>
      <c r="R2550" s="15">
        <f>IF(D2550=1,"Section 1","Control")</f>
        <v/>
      </c>
      <c r="S2550" s="16">
        <f>N2550/10000</f>
        <v/>
      </c>
      <c r="T2550" s="16">
        <f>P2550/10000</f>
        <v/>
      </c>
      <c r="U2550" s="15">
        <f>IF(N2550&gt;=Summary!$D$3,1,0)</f>
        <v/>
      </c>
      <c r="V2550" s="17">
        <f>IF(N2550&gt;0,P2550/N2550,"")</f>
        <v/>
      </c>
      <c r="W2550" s="17">
        <f>IF(O2550&gt;0,H2550/O2550,"")</f>
        <v/>
      </c>
    </row>
    <row r="2551">
      <c r="A2551" s="13" t="inlineStr">
        <is>
          <t>CW01_B1</t>
        </is>
      </c>
      <c r="B2551" s="13" t="inlineStr">
        <is>
          <t>CW01</t>
        </is>
      </c>
      <c r="C2551" s="13" t="inlineStr">
        <is>
          <t>B1</t>
        </is>
      </c>
      <c r="D2551" s="13" t="n">
        <v>0</v>
      </c>
      <c r="E2551" s="13" t="inlineStr">
        <is>
          <t>W</t>
        </is>
      </c>
      <c r="F2551" s="13" t="n">
        <v>2021</v>
      </c>
      <c r="G2551" s="14" t="n">
        <v>1012937.27016464</v>
      </c>
      <c r="H2551" s="14" t="n">
        <v>462064.9382382861</v>
      </c>
      <c r="I2551" s="14" t="n">
        <v>127180.7866518806</v>
      </c>
      <c r="J2551" s="14" t="n">
        <v>0</v>
      </c>
      <c r="K2551" s="14" t="n">
        <v>423691.5452744728</v>
      </c>
      <c r="L2551" s="14" t="n">
        <v>0</v>
      </c>
      <c r="M2551" s="14" t="n">
        <v>0</v>
      </c>
      <c r="N2551" s="14" t="n">
        <v>579209.1443348606</v>
      </c>
      <c r="O2551" s="14" t="n">
        <v>1012937.27016464</v>
      </c>
      <c r="P2551" s="14" t="n">
        <v>145027.5857681274</v>
      </c>
      <c r="Q2551" s="14" t="n">
        <v>6145520.465589575</v>
      </c>
      <c r="R2551" s="15">
        <f>IF(D2551=1,"Section 1","Control")</f>
        <v/>
      </c>
      <c r="S2551" s="16">
        <f>N2551/10000</f>
        <v/>
      </c>
      <c r="T2551" s="16">
        <f>P2551/10000</f>
        <v/>
      </c>
      <c r="U2551" s="15">
        <f>IF(N2551&gt;=Summary!$D$3,1,0)</f>
        <v/>
      </c>
      <c r="V2551" s="17">
        <f>IF(N2551&gt;0,P2551/N2551,"")</f>
        <v/>
      </c>
      <c r="W2551" s="17">
        <f>IF(O2551&gt;0,H2551/O2551,"")</f>
        <v/>
      </c>
    </row>
    <row r="2552">
      <c r="A2552" s="13" t="inlineStr">
        <is>
          <t>CW01_B1</t>
        </is>
      </c>
      <c r="B2552" s="13" t="inlineStr">
        <is>
          <t>CW01</t>
        </is>
      </c>
      <c r="C2552" s="13" t="inlineStr">
        <is>
          <t>B1</t>
        </is>
      </c>
      <c r="D2552" s="13" t="n">
        <v>0</v>
      </c>
      <c r="E2552" s="13" t="inlineStr">
        <is>
          <t>W</t>
        </is>
      </c>
      <c r="F2552" s="13" t="n">
        <v>2022</v>
      </c>
      <c r="G2552" s="14" t="n">
        <v>1012937.27016464</v>
      </c>
      <c r="H2552" s="14" t="n">
        <v>461324.9436153637</v>
      </c>
      <c r="I2552" s="14" t="n">
        <v>140063.5880199358</v>
      </c>
      <c r="J2552" s="14" t="n">
        <v>0</v>
      </c>
      <c r="K2552" s="14" t="n">
        <v>411548.7385293401</v>
      </c>
      <c r="L2552" s="14" t="n">
        <v>0</v>
      </c>
      <c r="M2552" s="14" t="n">
        <v>0</v>
      </c>
      <c r="N2552" s="14" t="n">
        <v>579209.1443348606</v>
      </c>
      <c r="O2552" s="14" t="n">
        <v>1012937.27016464</v>
      </c>
      <c r="P2552" s="14" t="n">
        <v>153628.7157626283</v>
      </c>
      <c r="Q2552" s="14" t="n">
        <v>6145520.465589576</v>
      </c>
      <c r="R2552" s="15">
        <f>IF(D2552=1,"Section 1","Control")</f>
        <v/>
      </c>
      <c r="S2552" s="16">
        <f>N2552/10000</f>
        <v/>
      </c>
      <c r="T2552" s="16">
        <f>P2552/10000</f>
        <v/>
      </c>
      <c r="U2552" s="15">
        <f>IF(N2552&gt;=Summary!$D$3,1,0)</f>
        <v/>
      </c>
      <c r="V2552" s="17">
        <f>IF(N2552&gt;0,P2552/N2552,"")</f>
        <v/>
      </c>
      <c r="W2552" s="17">
        <f>IF(O2552&gt;0,H2552/O2552,"")</f>
        <v/>
      </c>
    </row>
    <row r="2553">
      <c r="A2553" s="13" t="inlineStr">
        <is>
          <t>CW01_B1</t>
        </is>
      </c>
      <c r="B2553" s="13" t="inlineStr">
        <is>
          <t>CW01</t>
        </is>
      </c>
      <c r="C2553" s="13" t="inlineStr">
        <is>
          <t>B1</t>
        </is>
      </c>
      <c r="D2553" s="13" t="n">
        <v>0</v>
      </c>
      <c r="E2553" s="13" t="inlineStr">
        <is>
          <t>W</t>
        </is>
      </c>
      <c r="F2553" s="13" t="n">
        <v>2023</v>
      </c>
      <c r="G2553" s="14" t="n">
        <v>1012937.27016464</v>
      </c>
      <c r="H2553" s="14" t="n">
        <v>464500.4559878481</v>
      </c>
      <c r="I2553" s="14" t="n">
        <v>198085.6284710453</v>
      </c>
      <c r="J2553" s="14" t="n">
        <v>0</v>
      </c>
      <c r="K2553" s="14" t="n">
        <v>350351.1857057459</v>
      </c>
      <c r="L2553" s="14" t="n">
        <v>0</v>
      </c>
      <c r="M2553" s="14" t="n">
        <v>0</v>
      </c>
      <c r="N2553" s="14" t="n">
        <v>579209.1443348606</v>
      </c>
      <c r="O2553" s="14" t="n">
        <v>1012937.27016464</v>
      </c>
      <c r="P2553" s="14" t="n">
        <v>159244.7144556681</v>
      </c>
      <c r="Q2553" s="14" t="n">
        <v>6145520.465589575</v>
      </c>
      <c r="R2553" s="15">
        <f>IF(D2553=1,"Section 1","Control")</f>
        <v/>
      </c>
      <c r="S2553" s="16">
        <f>N2553/10000</f>
        <v/>
      </c>
      <c r="T2553" s="16">
        <f>P2553/10000</f>
        <v/>
      </c>
      <c r="U2553" s="15">
        <f>IF(N2553&gt;=Summary!$D$3,1,0)</f>
        <v/>
      </c>
      <c r="V2553" s="17">
        <f>IF(N2553&gt;0,P2553/N2553,"")</f>
        <v/>
      </c>
      <c r="W2553" s="17">
        <f>IF(O2553&gt;0,H2553/O2553,"")</f>
        <v/>
      </c>
    </row>
    <row r="2554">
      <c r="A2554" s="13" t="inlineStr">
        <is>
          <t>CW01_B1</t>
        </is>
      </c>
      <c r="B2554" s="13" t="inlineStr">
        <is>
          <t>CW01</t>
        </is>
      </c>
      <c r="C2554" s="13" t="inlineStr">
        <is>
          <t>B1</t>
        </is>
      </c>
      <c r="D2554" s="13" t="n">
        <v>0</v>
      </c>
      <c r="E2554" s="13" t="inlineStr">
        <is>
          <t>W</t>
        </is>
      </c>
      <c r="F2554" s="13" t="n">
        <v>2024</v>
      </c>
      <c r="G2554" s="14" t="n">
        <v>1012937.27016464</v>
      </c>
      <c r="H2554" s="14" t="n">
        <v>517769.9416467406</v>
      </c>
      <c r="I2554" s="14" t="n">
        <v>153069.9142533845</v>
      </c>
      <c r="J2554" s="14" t="n">
        <v>0</v>
      </c>
      <c r="K2554" s="14" t="n">
        <v>342097.4142645144</v>
      </c>
      <c r="L2554" s="14" t="n">
        <v>0</v>
      </c>
      <c r="M2554" s="14" t="n">
        <v>0</v>
      </c>
      <c r="N2554" s="14" t="n">
        <v>579209.1443348606</v>
      </c>
      <c r="O2554" s="14" t="n">
        <v>1012937.27016464</v>
      </c>
      <c r="P2554" s="14" t="n">
        <v>135773.6265426935</v>
      </c>
      <c r="Q2554" s="14" t="n">
        <v>6145520.465589575</v>
      </c>
      <c r="R2554" s="15">
        <f>IF(D2554=1,"Section 1","Control")</f>
        <v/>
      </c>
      <c r="S2554" s="16">
        <f>N2554/10000</f>
        <v/>
      </c>
      <c r="T2554" s="16">
        <f>P2554/10000</f>
        <v/>
      </c>
      <c r="U2554" s="15">
        <f>IF(N2554&gt;=Summary!$D$3,1,0)</f>
        <v/>
      </c>
      <c r="V2554" s="17">
        <f>IF(N2554&gt;0,P2554/N2554,"")</f>
        <v/>
      </c>
      <c r="W2554" s="17">
        <f>IF(O2554&gt;0,H2554/O2554,"")</f>
        <v/>
      </c>
    </row>
    <row r="2555">
      <c r="A2555" s="13" t="inlineStr">
        <is>
          <t>CW01_B1</t>
        </is>
      </c>
      <c r="B2555" s="13" t="inlineStr">
        <is>
          <t>CW01</t>
        </is>
      </c>
      <c r="C2555" s="13" t="inlineStr">
        <is>
          <t>B1</t>
        </is>
      </c>
      <c r="D2555" s="13" t="n">
        <v>0</v>
      </c>
      <c r="E2555" s="13" t="inlineStr">
        <is>
          <t>W</t>
        </is>
      </c>
      <c r="F2555" s="13" t="n">
        <v>2025</v>
      </c>
      <c r="G2555" s="14" t="n">
        <v>1012937.27016464</v>
      </c>
      <c r="H2555" s="14" t="n">
        <v>395564.6376533061</v>
      </c>
      <c r="I2555" s="14" t="n">
        <v>311486.0249629002</v>
      </c>
      <c r="J2555" s="14" t="n">
        <v>0</v>
      </c>
      <c r="K2555" s="14" t="n">
        <v>305886.6075484332</v>
      </c>
      <c r="L2555" s="14" t="n">
        <v>0</v>
      </c>
      <c r="M2555" s="14" t="n">
        <v>0</v>
      </c>
      <c r="N2555" s="14" t="n">
        <v>579209.1443348606</v>
      </c>
      <c r="O2555" s="14" t="n">
        <v>1012937.27016464</v>
      </c>
      <c r="P2555" s="14" t="n">
        <v>217302.5924652997</v>
      </c>
      <c r="Q2555" s="14" t="n">
        <v>6145520.465589575</v>
      </c>
      <c r="R2555" s="15">
        <f>IF(D2555=1,"Section 1","Control")</f>
        <v/>
      </c>
      <c r="S2555" s="16">
        <f>N2555/10000</f>
        <v/>
      </c>
      <c r="T2555" s="16">
        <f>P2555/10000</f>
        <v/>
      </c>
      <c r="U2555" s="15">
        <f>IF(N2555&gt;=Summary!$D$3,1,0)</f>
        <v/>
      </c>
      <c r="V2555" s="17">
        <f>IF(N2555&gt;0,P2555/N2555,"")</f>
        <v/>
      </c>
      <c r="W2555" s="17">
        <f>IF(O2555&gt;0,H2555/O2555,"")</f>
        <v/>
      </c>
    </row>
    <row r="2556">
      <c r="A2556" s="13" t="inlineStr">
        <is>
          <t>CW01_B1</t>
        </is>
      </c>
      <c r="B2556" s="13" t="inlineStr">
        <is>
          <t>CW01</t>
        </is>
      </c>
      <c r="C2556" s="13" t="inlineStr">
        <is>
          <t>B1</t>
        </is>
      </c>
      <c r="D2556" s="13" t="n">
        <v>0</v>
      </c>
      <c r="E2556" s="13" t="inlineStr">
        <is>
          <t>W</t>
        </is>
      </c>
      <c r="F2556" s="13" t="n">
        <v>2026</v>
      </c>
      <c r="G2556" s="14" t="n">
        <v>1012937.27016464</v>
      </c>
      <c r="H2556" s="14" t="n">
        <v>492024.3475635904</v>
      </c>
      <c r="I2556" s="14" t="n">
        <v>118512.6803661272</v>
      </c>
      <c r="J2556" s="14" t="n">
        <v>0</v>
      </c>
      <c r="K2556" s="14" t="n">
        <v>402400.242234922</v>
      </c>
      <c r="L2556" s="14" t="n">
        <v>0</v>
      </c>
      <c r="M2556" s="14" t="n">
        <v>0</v>
      </c>
      <c r="N2556" s="14" t="n">
        <v>579209.1443348606</v>
      </c>
      <c r="O2556" s="14" t="n">
        <v>1012937.27016464</v>
      </c>
      <c r="P2556" s="14" t="n">
        <v>160044.0580451516</v>
      </c>
      <c r="Q2556" s="14" t="n">
        <v>6145520.465589576</v>
      </c>
      <c r="R2556" s="15">
        <f>IF(D2556=1,"Section 1","Control")</f>
        <v/>
      </c>
      <c r="S2556" s="16">
        <f>N2556/10000</f>
        <v/>
      </c>
      <c r="T2556" s="16">
        <f>P2556/10000</f>
        <v/>
      </c>
      <c r="U2556" s="15">
        <f>IF(N2556&gt;=Summary!$D$3,1,0)</f>
        <v/>
      </c>
      <c r="V2556" s="17">
        <f>IF(N2556&gt;0,P2556/N2556,"")</f>
        <v/>
      </c>
      <c r="W2556" s="17">
        <f>IF(O2556&gt;0,H2556/O2556,"")</f>
        <v/>
      </c>
    </row>
    <row r="2557">
      <c r="A2557" s="13" t="inlineStr">
        <is>
          <t>CW01_B2</t>
        </is>
      </c>
      <c r="B2557" s="13" t="inlineStr">
        <is>
          <t>CW01</t>
        </is>
      </c>
      <c r="C2557" s="13" t="inlineStr">
        <is>
          <t>B2</t>
        </is>
      </c>
      <c r="D2557" s="13" t="n">
        <v>0</v>
      </c>
      <c r="E2557" s="13" t="inlineStr">
        <is>
          <t>W</t>
        </is>
      </c>
      <c r="F2557" s="13" t="n">
        <v>2020</v>
      </c>
      <c r="G2557" s="14" t="n">
        <v>1012824.33314936</v>
      </c>
      <c r="H2557" s="14" t="n">
        <v>730677.6370963305</v>
      </c>
      <c r="I2557" s="14" t="n">
        <v>70530.66464302212</v>
      </c>
      <c r="J2557" s="14" t="n">
        <v>0</v>
      </c>
      <c r="K2557" s="14" t="n">
        <v>211616.0314100079</v>
      </c>
      <c r="L2557" s="14" t="n">
        <v>0</v>
      </c>
      <c r="M2557" s="14" t="n">
        <v>0</v>
      </c>
      <c r="N2557" s="14" t="n">
        <v>730677.6370963305</v>
      </c>
      <c r="O2557" s="14" t="n">
        <v>1012824.33314936</v>
      </c>
      <c r="P2557" s="14" t="n">
        <v>0</v>
      </c>
      <c r="Q2557" s="14" t="n">
        <v>6411820.563147571</v>
      </c>
      <c r="R2557" s="15">
        <f>IF(D2557=1,"Section 1","Control")</f>
        <v/>
      </c>
      <c r="S2557" s="16">
        <f>N2557/10000</f>
        <v/>
      </c>
      <c r="T2557" s="16">
        <f>P2557/10000</f>
        <v/>
      </c>
      <c r="U2557" s="15">
        <f>IF(N2557&gt;=Summary!$D$3,1,0)</f>
        <v/>
      </c>
      <c r="V2557" s="17">
        <f>IF(N2557&gt;0,P2557/N2557,"")</f>
        <v/>
      </c>
      <c r="W2557" s="17">
        <f>IF(O2557&gt;0,H2557/O2557,"")</f>
        <v/>
      </c>
    </row>
    <row r="2558">
      <c r="A2558" s="13" t="inlineStr">
        <is>
          <t>CW01_B2</t>
        </is>
      </c>
      <c r="B2558" s="13" t="inlineStr">
        <is>
          <t>CW01</t>
        </is>
      </c>
      <c r="C2558" s="13" t="inlineStr">
        <is>
          <t>B2</t>
        </is>
      </c>
      <c r="D2558" s="13" t="n">
        <v>0</v>
      </c>
      <c r="E2558" s="13" t="inlineStr">
        <is>
          <t>W</t>
        </is>
      </c>
      <c r="F2558" s="13" t="n">
        <v>2021</v>
      </c>
      <c r="G2558" s="14" t="n">
        <v>1012824.33314936</v>
      </c>
      <c r="H2558" s="14" t="n">
        <v>701831.2640142705</v>
      </c>
      <c r="I2558" s="14" t="n">
        <v>37090.06468739229</v>
      </c>
      <c r="J2558" s="14" t="n">
        <v>0</v>
      </c>
      <c r="K2558" s="14" t="n">
        <v>273903.0044476977</v>
      </c>
      <c r="L2558" s="14" t="n">
        <v>0</v>
      </c>
      <c r="M2558" s="14" t="n">
        <v>0</v>
      </c>
      <c r="N2558" s="14" t="n">
        <v>730677.6370963305</v>
      </c>
      <c r="O2558" s="14" t="n">
        <v>1012824.33314936</v>
      </c>
      <c r="P2558" s="14" t="n">
        <v>40247.61004453174</v>
      </c>
      <c r="Q2558" s="14" t="n">
        <v>6411820.563147571</v>
      </c>
      <c r="R2558" s="15">
        <f>IF(D2558=1,"Section 1","Control")</f>
        <v/>
      </c>
      <c r="S2558" s="16">
        <f>N2558/10000</f>
        <v/>
      </c>
      <c r="T2558" s="16">
        <f>P2558/10000</f>
        <v/>
      </c>
      <c r="U2558" s="15">
        <f>IF(N2558&gt;=Summary!$D$3,1,0)</f>
        <v/>
      </c>
      <c r="V2558" s="17">
        <f>IF(N2558&gt;0,P2558/N2558,"")</f>
        <v/>
      </c>
      <c r="W2558" s="17">
        <f>IF(O2558&gt;0,H2558/O2558,"")</f>
        <v/>
      </c>
    </row>
    <row r="2559">
      <c r="A2559" s="13" t="inlineStr">
        <is>
          <t>CW01_B2</t>
        </is>
      </c>
      <c r="B2559" s="13" t="inlineStr">
        <is>
          <t>CW01</t>
        </is>
      </c>
      <c r="C2559" s="13" t="inlineStr">
        <is>
          <t>B2</t>
        </is>
      </c>
      <c r="D2559" s="13" t="n">
        <v>0</v>
      </c>
      <c r="E2559" s="13" t="inlineStr">
        <is>
          <t>W</t>
        </is>
      </c>
      <c r="F2559" s="13" t="n">
        <v>2022</v>
      </c>
      <c r="G2559" s="14" t="n">
        <v>1012824.33314936</v>
      </c>
      <c r="H2559" s="14" t="n">
        <v>675266.1795528939</v>
      </c>
      <c r="I2559" s="14" t="n">
        <v>40982.39774208816</v>
      </c>
      <c r="J2559" s="14" t="n">
        <v>0</v>
      </c>
      <c r="K2559" s="14" t="n">
        <v>296575.7558543785</v>
      </c>
      <c r="L2559" s="14" t="n">
        <v>0</v>
      </c>
      <c r="M2559" s="14" t="n">
        <v>0</v>
      </c>
      <c r="N2559" s="14" t="n">
        <v>730677.6370963305</v>
      </c>
      <c r="O2559" s="14" t="n">
        <v>1012824.33314936</v>
      </c>
      <c r="P2559" s="14" t="n">
        <v>60470.3283730002</v>
      </c>
      <c r="Q2559" s="14" t="n">
        <v>6411820.563147571</v>
      </c>
      <c r="R2559" s="15">
        <f>IF(D2559=1,"Section 1","Control")</f>
        <v/>
      </c>
      <c r="S2559" s="16">
        <f>N2559/10000</f>
        <v/>
      </c>
      <c r="T2559" s="16">
        <f>P2559/10000</f>
        <v/>
      </c>
      <c r="U2559" s="15">
        <f>IF(N2559&gt;=Summary!$D$3,1,0)</f>
        <v/>
      </c>
      <c r="V2559" s="17">
        <f>IF(N2559&gt;0,P2559/N2559,"")</f>
        <v/>
      </c>
      <c r="W2559" s="17">
        <f>IF(O2559&gt;0,H2559/O2559,"")</f>
        <v/>
      </c>
    </row>
    <row r="2560">
      <c r="A2560" s="13" t="inlineStr">
        <is>
          <t>CW01_B2</t>
        </is>
      </c>
      <c r="B2560" s="13" t="inlineStr">
        <is>
          <t>CW01</t>
        </is>
      </c>
      <c r="C2560" s="13" t="inlineStr">
        <is>
          <t>B2</t>
        </is>
      </c>
      <c r="D2560" s="13" t="n">
        <v>0</v>
      </c>
      <c r="E2560" s="13" t="inlineStr">
        <is>
          <t>W</t>
        </is>
      </c>
      <c r="F2560" s="13" t="n">
        <v>2023</v>
      </c>
      <c r="G2560" s="14" t="n">
        <v>1012824.33314936</v>
      </c>
      <c r="H2560" s="14" t="n">
        <v>671238.7425746545</v>
      </c>
      <c r="I2560" s="14" t="n">
        <v>77032.54779004863</v>
      </c>
      <c r="J2560" s="14" t="n">
        <v>0</v>
      </c>
      <c r="K2560" s="14" t="n">
        <v>264553.0427846572</v>
      </c>
      <c r="L2560" s="14" t="n">
        <v>0</v>
      </c>
      <c r="M2560" s="14" t="n">
        <v>0</v>
      </c>
      <c r="N2560" s="14" t="n">
        <v>730677.6370963305</v>
      </c>
      <c r="O2560" s="14" t="n">
        <v>1012824.33314936</v>
      </c>
      <c r="P2560" s="14" t="n">
        <v>65424.67167139988</v>
      </c>
      <c r="Q2560" s="14" t="n">
        <v>6411820.563147571</v>
      </c>
      <c r="R2560" s="15">
        <f>IF(D2560=1,"Section 1","Control")</f>
        <v/>
      </c>
      <c r="S2560" s="16">
        <f>N2560/10000</f>
        <v/>
      </c>
      <c r="T2560" s="16">
        <f>P2560/10000</f>
        <v/>
      </c>
      <c r="U2560" s="15">
        <f>IF(N2560&gt;=Summary!$D$3,1,0)</f>
        <v/>
      </c>
      <c r="V2560" s="17">
        <f>IF(N2560&gt;0,P2560/N2560,"")</f>
        <v/>
      </c>
      <c r="W2560" s="17">
        <f>IF(O2560&gt;0,H2560/O2560,"")</f>
        <v/>
      </c>
    </row>
    <row r="2561">
      <c r="A2561" s="13" t="inlineStr">
        <is>
          <t>CW01_B2</t>
        </is>
      </c>
      <c r="B2561" s="13" t="inlineStr">
        <is>
          <t>CW01</t>
        </is>
      </c>
      <c r="C2561" s="13" t="inlineStr">
        <is>
          <t>B2</t>
        </is>
      </c>
      <c r="D2561" s="13" t="n">
        <v>0</v>
      </c>
      <c r="E2561" s="13" t="inlineStr">
        <is>
          <t>W</t>
        </is>
      </c>
      <c r="F2561" s="13" t="n">
        <v>2024</v>
      </c>
      <c r="G2561" s="14" t="n">
        <v>1012824.33314936</v>
      </c>
      <c r="H2561" s="14" t="n">
        <v>680545.738913413</v>
      </c>
      <c r="I2561" s="14" t="n">
        <v>83556.89727349376</v>
      </c>
      <c r="J2561" s="14" t="n">
        <v>0</v>
      </c>
      <c r="K2561" s="14" t="n">
        <v>248721.6969624538</v>
      </c>
      <c r="L2561" s="14" t="n">
        <v>0</v>
      </c>
      <c r="M2561" s="14" t="n">
        <v>0</v>
      </c>
      <c r="N2561" s="14" t="n">
        <v>730677.6370963305</v>
      </c>
      <c r="O2561" s="14" t="n">
        <v>1012824.33314936</v>
      </c>
      <c r="P2561" s="14" t="n">
        <v>65487.38751098034</v>
      </c>
      <c r="Q2561" s="14" t="n">
        <v>6411820.563147571</v>
      </c>
      <c r="R2561" s="15">
        <f>IF(D2561=1,"Section 1","Control")</f>
        <v/>
      </c>
      <c r="S2561" s="16">
        <f>N2561/10000</f>
        <v/>
      </c>
      <c r="T2561" s="16">
        <f>P2561/10000</f>
        <v/>
      </c>
      <c r="U2561" s="15">
        <f>IF(N2561&gt;=Summary!$D$3,1,0)</f>
        <v/>
      </c>
      <c r="V2561" s="17">
        <f>IF(N2561&gt;0,P2561/N2561,"")</f>
        <v/>
      </c>
      <c r="W2561" s="17">
        <f>IF(O2561&gt;0,H2561/O2561,"")</f>
        <v/>
      </c>
    </row>
    <row r="2562">
      <c r="A2562" s="13" t="inlineStr">
        <is>
          <t>CW01_B2</t>
        </is>
      </c>
      <c r="B2562" s="13" t="inlineStr">
        <is>
          <t>CW01</t>
        </is>
      </c>
      <c r="C2562" s="13" t="inlineStr">
        <is>
          <t>B2</t>
        </is>
      </c>
      <c r="D2562" s="13" t="n">
        <v>0</v>
      </c>
      <c r="E2562" s="13" t="inlineStr">
        <is>
          <t>W</t>
        </is>
      </c>
      <c r="F2562" s="13" t="n">
        <v>2025</v>
      </c>
      <c r="G2562" s="14" t="n">
        <v>1012824.33314936</v>
      </c>
      <c r="H2562" s="14" t="n">
        <v>596704.7857574766</v>
      </c>
      <c r="I2562" s="14" t="n">
        <v>173786.6793771482</v>
      </c>
      <c r="J2562" s="14" t="n">
        <v>0</v>
      </c>
      <c r="K2562" s="14" t="n">
        <v>242332.8680147357</v>
      </c>
      <c r="L2562" s="14" t="n">
        <v>0</v>
      </c>
      <c r="M2562" s="14" t="n">
        <v>0</v>
      </c>
      <c r="N2562" s="14" t="n">
        <v>730677.6370963305</v>
      </c>
      <c r="O2562" s="14" t="n">
        <v>1012824.33314936</v>
      </c>
      <c r="P2562" s="14" t="n">
        <v>138118.7541503607</v>
      </c>
      <c r="Q2562" s="14" t="n">
        <v>6411820.563147571</v>
      </c>
      <c r="R2562" s="15">
        <f>IF(D2562=1,"Section 1","Control")</f>
        <v/>
      </c>
      <c r="S2562" s="16">
        <f>N2562/10000</f>
        <v/>
      </c>
      <c r="T2562" s="16">
        <f>P2562/10000</f>
        <v/>
      </c>
      <c r="U2562" s="15">
        <f>IF(N2562&gt;=Summary!$D$3,1,0)</f>
        <v/>
      </c>
      <c r="V2562" s="17">
        <f>IF(N2562&gt;0,P2562/N2562,"")</f>
        <v/>
      </c>
      <c r="W2562" s="17">
        <f>IF(O2562&gt;0,H2562/O2562,"")</f>
        <v/>
      </c>
    </row>
    <row r="2563">
      <c r="A2563" s="13" t="inlineStr">
        <is>
          <t>CW01_B2</t>
        </is>
      </c>
      <c r="B2563" s="13" t="inlineStr">
        <is>
          <t>CW01</t>
        </is>
      </c>
      <c r="C2563" s="13" t="inlineStr">
        <is>
          <t>B2</t>
        </is>
      </c>
      <c r="D2563" s="13" t="n">
        <v>0</v>
      </c>
      <c r="E2563" s="13" t="inlineStr">
        <is>
          <t>W</t>
        </is>
      </c>
      <c r="F2563" s="13" t="n">
        <v>2026</v>
      </c>
      <c r="G2563" s="14" t="n">
        <v>1012824.33314936</v>
      </c>
      <c r="H2563" s="14" t="n">
        <v>622742.9860897589</v>
      </c>
      <c r="I2563" s="14" t="n">
        <v>79843.14800971537</v>
      </c>
      <c r="J2563" s="14" t="n">
        <v>0</v>
      </c>
      <c r="K2563" s="14" t="n">
        <v>310238.1990498861</v>
      </c>
      <c r="L2563" s="14" t="n">
        <v>0</v>
      </c>
      <c r="M2563" s="14" t="n">
        <v>0</v>
      </c>
      <c r="N2563" s="14" t="n">
        <v>730677.6370963305</v>
      </c>
      <c r="O2563" s="14" t="n">
        <v>1012824.33314936</v>
      </c>
      <c r="P2563" s="14" t="n">
        <v>117156.0737629909</v>
      </c>
      <c r="Q2563" s="14" t="n">
        <v>6411820.563147571</v>
      </c>
      <c r="R2563" s="15">
        <f>IF(D2563=1,"Section 1","Control")</f>
        <v/>
      </c>
      <c r="S2563" s="16">
        <f>N2563/10000</f>
        <v/>
      </c>
      <c r="T2563" s="16">
        <f>P2563/10000</f>
        <v/>
      </c>
      <c r="U2563" s="15">
        <f>IF(N2563&gt;=Summary!$D$3,1,0)</f>
        <v/>
      </c>
      <c r="V2563" s="17">
        <f>IF(N2563&gt;0,P2563/N2563,"")</f>
        <v/>
      </c>
      <c r="W2563" s="17">
        <f>IF(O2563&gt;0,H2563/O2563,"")</f>
        <v/>
      </c>
    </row>
    <row r="2564">
      <c r="A2564" s="13" t="inlineStr">
        <is>
          <t>CW01_B3</t>
        </is>
      </c>
      <c r="B2564" s="13" t="inlineStr">
        <is>
          <t>CW01</t>
        </is>
      </c>
      <c r="C2564" s="13" t="inlineStr">
        <is>
          <t>B3</t>
        </is>
      </c>
      <c r="D2564" s="13" t="n">
        <v>0</v>
      </c>
      <c r="E2564" s="13" t="inlineStr">
        <is>
          <t>W</t>
        </is>
      </c>
      <c r="F2564" s="13" t="n">
        <v>2020</v>
      </c>
      <c r="G2564" s="14" t="n">
        <v>8100622.759938317</v>
      </c>
      <c r="H2564" s="14" t="n">
        <v>2621321.327395869</v>
      </c>
      <c r="I2564" s="14" t="n">
        <v>337567.2311541089</v>
      </c>
      <c r="J2564" s="14" t="n">
        <v>0</v>
      </c>
      <c r="K2564" s="14" t="n">
        <v>1030256.68243495</v>
      </c>
      <c r="L2564" s="14" t="n">
        <v>4111477.51895339</v>
      </c>
      <c r="M2564" s="14" t="n">
        <v>0</v>
      </c>
      <c r="N2564" s="14" t="n">
        <v>2621321.327395869</v>
      </c>
      <c r="O2564" s="14" t="n">
        <v>3989145.240984929</v>
      </c>
      <c r="P2564" s="14" t="n">
        <v>0</v>
      </c>
      <c r="Q2564" s="14" t="n">
        <v>21200445.19361856</v>
      </c>
      <c r="R2564" s="15">
        <f>IF(D2564=1,"Section 1","Control")</f>
        <v/>
      </c>
      <c r="S2564" s="16">
        <f>N2564/10000</f>
        <v/>
      </c>
      <c r="T2564" s="16">
        <f>P2564/10000</f>
        <v/>
      </c>
      <c r="U2564" s="15">
        <f>IF(N2564&gt;=Summary!$D$3,1,0)</f>
        <v/>
      </c>
      <c r="V2564" s="17">
        <f>IF(N2564&gt;0,P2564/N2564,"")</f>
        <v/>
      </c>
      <c r="W2564" s="17">
        <f>IF(O2564&gt;0,H2564/O2564,"")</f>
        <v/>
      </c>
    </row>
    <row r="2565">
      <c r="A2565" s="13" t="inlineStr">
        <is>
          <t>CW01_B3</t>
        </is>
      </c>
      <c r="B2565" s="13" t="inlineStr">
        <is>
          <t>CW01</t>
        </is>
      </c>
      <c r="C2565" s="13" t="inlineStr">
        <is>
          <t>B3</t>
        </is>
      </c>
      <c r="D2565" s="13" t="n">
        <v>0</v>
      </c>
      <c r="E2565" s="13" t="inlineStr">
        <is>
          <t>W</t>
        </is>
      </c>
      <c r="F2565" s="13" t="n">
        <v>2021</v>
      </c>
      <c r="G2565" s="14" t="n">
        <v>8100622.759938317</v>
      </c>
      <c r="H2565" s="14" t="n">
        <v>2523977.679559536</v>
      </c>
      <c r="I2565" s="14" t="n">
        <v>256728.3054917279</v>
      </c>
      <c r="J2565" s="14" t="n">
        <v>0</v>
      </c>
      <c r="K2565" s="14" t="n">
        <v>1231771.510361855</v>
      </c>
      <c r="L2565" s="14" t="n">
        <v>4088145.2645252</v>
      </c>
      <c r="M2565" s="14" t="n">
        <v>0</v>
      </c>
      <c r="N2565" s="14" t="n">
        <v>2621321.327395869</v>
      </c>
      <c r="O2565" s="14" t="n">
        <v>3989145.240984928</v>
      </c>
      <c r="P2565" s="14" t="n">
        <v>141107.81104859</v>
      </c>
      <c r="Q2565" s="14" t="n">
        <v>21200445.19361856</v>
      </c>
      <c r="R2565" s="15">
        <f>IF(D2565=1,"Section 1","Control")</f>
        <v/>
      </c>
      <c r="S2565" s="16">
        <f>N2565/10000</f>
        <v/>
      </c>
      <c r="T2565" s="16">
        <f>P2565/10000</f>
        <v/>
      </c>
      <c r="U2565" s="15">
        <f>IF(N2565&gt;=Summary!$D$3,1,0)</f>
        <v/>
      </c>
      <c r="V2565" s="17">
        <f>IF(N2565&gt;0,P2565/N2565,"")</f>
        <v/>
      </c>
      <c r="W2565" s="17">
        <f>IF(O2565&gt;0,H2565/O2565,"")</f>
        <v/>
      </c>
    </row>
    <row r="2566">
      <c r="A2566" s="13" t="inlineStr">
        <is>
          <t>CW01_B3</t>
        </is>
      </c>
      <c r="B2566" s="13" t="inlineStr">
        <is>
          <t>CW01</t>
        </is>
      </c>
      <c r="C2566" s="13" t="inlineStr">
        <is>
          <t>B3</t>
        </is>
      </c>
      <c r="D2566" s="13" t="n">
        <v>0</v>
      </c>
      <c r="E2566" s="13" t="inlineStr">
        <is>
          <t>W</t>
        </is>
      </c>
      <c r="F2566" s="13" t="n">
        <v>2022</v>
      </c>
      <c r="G2566" s="14" t="n">
        <v>8100622.759938317</v>
      </c>
      <c r="H2566" s="14" t="n">
        <v>2495782.784375718</v>
      </c>
      <c r="I2566" s="14" t="n">
        <v>237231.4307074154</v>
      </c>
      <c r="J2566" s="14" t="n">
        <v>0</v>
      </c>
      <c r="K2566" s="14" t="n">
        <v>1255960.655839479</v>
      </c>
      <c r="L2566" s="14" t="n">
        <v>4111647.889015706</v>
      </c>
      <c r="M2566" s="14" t="n">
        <v>0</v>
      </c>
      <c r="N2566" s="14" t="n">
        <v>2621321.32739587</v>
      </c>
      <c r="O2566" s="14" t="n">
        <v>3989145.240984929</v>
      </c>
      <c r="P2566" s="14" t="n">
        <v>178840.061965703</v>
      </c>
      <c r="Q2566" s="14" t="n">
        <v>21200445.19361856</v>
      </c>
      <c r="R2566" s="15">
        <f>IF(D2566=1,"Section 1","Control")</f>
        <v/>
      </c>
      <c r="S2566" s="16">
        <f>N2566/10000</f>
        <v/>
      </c>
      <c r="T2566" s="16">
        <f>P2566/10000</f>
        <v/>
      </c>
      <c r="U2566" s="15">
        <f>IF(N2566&gt;=Summary!$D$3,1,0)</f>
        <v/>
      </c>
      <c r="V2566" s="17">
        <f>IF(N2566&gt;0,P2566/N2566,"")</f>
        <v/>
      </c>
      <c r="W2566" s="17">
        <f>IF(O2566&gt;0,H2566/O2566,"")</f>
        <v/>
      </c>
    </row>
    <row r="2567">
      <c r="A2567" s="13" t="inlineStr">
        <is>
          <t>CW01_B3</t>
        </is>
      </c>
      <c r="B2567" s="13" t="inlineStr">
        <is>
          <t>CW01</t>
        </is>
      </c>
      <c r="C2567" s="13" t="inlineStr">
        <is>
          <t>B3</t>
        </is>
      </c>
      <c r="D2567" s="13" t="n">
        <v>0</v>
      </c>
      <c r="E2567" s="13" t="inlineStr">
        <is>
          <t>W</t>
        </is>
      </c>
      <c r="F2567" s="13" t="n">
        <v>2023</v>
      </c>
      <c r="G2567" s="14" t="n">
        <v>8100622.759938318</v>
      </c>
      <c r="H2567" s="14" t="n">
        <v>2484907.391780001</v>
      </c>
      <c r="I2567" s="14" t="n">
        <v>221088.2761637669</v>
      </c>
      <c r="J2567" s="14" t="n">
        <v>0</v>
      </c>
      <c r="K2567" s="14" t="n">
        <v>1217238.820587607</v>
      </c>
      <c r="L2567" s="14" t="n">
        <v>4177388.271406944</v>
      </c>
      <c r="M2567" s="14" t="n">
        <v>0</v>
      </c>
      <c r="N2567" s="14" t="n">
        <v>2621321.32739587</v>
      </c>
      <c r="O2567" s="14" t="n">
        <v>3989145.240984928</v>
      </c>
      <c r="P2567" s="14" t="n">
        <v>197501.6367596196</v>
      </c>
      <c r="Q2567" s="14" t="n">
        <v>21200445.19361856</v>
      </c>
      <c r="R2567" s="15">
        <f>IF(D2567=1,"Section 1","Control")</f>
        <v/>
      </c>
      <c r="S2567" s="16">
        <f>N2567/10000</f>
        <v/>
      </c>
      <c r="T2567" s="16">
        <f>P2567/10000</f>
        <v/>
      </c>
      <c r="U2567" s="15">
        <f>IF(N2567&gt;=Summary!$D$3,1,0)</f>
        <v/>
      </c>
      <c r="V2567" s="17">
        <f>IF(N2567&gt;0,P2567/N2567,"")</f>
        <v/>
      </c>
      <c r="W2567" s="17">
        <f>IF(O2567&gt;0,H2567/O2567,"")</f>
        <v/>
      </c>
    </row>
    <row r="2568">
      <c r="A2568" s="13" t="inlineStr">
        <is>
          <t>CW01_B3</t>
        </is>
      </c>
      <c r="B2568" s="13" t="inlineStr">
        <is>
          <t>CW01</t>
        </is>
      </c>
      <c r="C2568" s="13" t="inlineStr">
        <is>
          <t>B3</t>
        </is>
      </c>
      <c r="D2568" s="13" t="n">
        <v>0</v>
      </c>
      <c r="E2568" s="13" t="inlineStr">
        <is>
          <t>W</t>
        </is>
      </c>
      <c r="F2568" s="13" t="n">
        <v>2024</v>
      </c>
      <c r="G2568" s="14" t="n">
        <v>8100622.759938317</v>
      </c>
      <c r="H2568" s="14" t="n">
        <v>2521244.325697297</v>
      </c>
      <c r="I2568" s="14" t="n">
        <v>253229.6402389825</v>
      </c>
      <c r="J2568" s="14" t="n">
        <v>0</v>
      </c>
      <c r="K2568" s="14" t="n">
        <v>1190712.54980373</v>
      </c>
      <c r="L2568" s="14" t="n">
        <v>4135436.244198309</v>
      </c>
      <c r="M2568" s="14" t="n">
        <v>0</v>
      </c>
      <c r="N2568" s="14" t="n">
        <v>2621321.327395869</v>
      </c>
      <c r="O2568" s="14" t="n">
        <v>3989145.240984928</v>
      </c>
      <c r="P2568" s="14" t="n">
        <v>193728.1879241644</v>
      </c>
      <c r="Q2568" s="14" t="n">
        <v>21200445.19361856</v>
      </c>
      <c r="R2568" s="15">
        <f>IF(D2568=1,"Section 1","Control")</f>
        <v/>
      </c>
      <c r="S2568" s="16">
        <f>N2568/10000</f>
        <v/>
      </c>
      <c r="T2568" s="16">
        <f>P2568/10000</f>
        <v/>
      </c>
      <c r="U2568" s="15">
        <f>IF(N2568&gt;=Summary!$D$3,1,0)</f>
        <v/>
      </c>
      <c r="V2568" s="17">
        <f>IF(N2568&gt;0,P2568/N2568,"")</f>
        <v/>
      </c>
      <c r="W2568" s="17">
        <f>IF(O2568&gt;0,H2568/O2568,"")</f>
        <v/>
      </c>
    </row>
    <row r="2569">
      <c r="A2569" s="13" t="inlineStr">
        <is>
          <t>CW01_B3</t>
        </is>
      </c>
      <c r="B2569" s="13" t="inlineStr">
        <is>
          <t>CW01</t>
        </is>
      </c>
      <c r="C2569" s="13" t="inlineStr">
        <is>
          <t>B3</t>
        </is>
      </c>
      <c r="D2569" s="13" t="n">
        <v>0</v>
      </c>
      <c r="E2569" s="13" t="inlineStr">
        <is>
          <t>W</t>
        </is>
      </c>
      <c r="F2569" s="13" t="n">
        <v>2025</v>
      </c>
      <c r="G2569" s="14" t="n">
        <v>8100622.759938317</v>
      </c>
      <c r="H2569" s="14" t="n">
        <v>2427452.349534368</v>
      </c>
      <c r="I2569" s="14" t="n">
        <v>351812.6700198604</v>
      </c>
      <c r="J2569" s="14" t="n">
        <v>0</v>
      </c>
      <c r="K2569" s="14" t="n">
        <v>1170049.942366746</v>
      </c>
      <c r="L2569" s="14" t="n">
        <v>4151307.798017345</v>
      </c>
      <c r="M2569" s="14" t="n">
        <v>0</v>
      </c>
      <c r="N2569" s="14" t="n">
        <v>2621321.327395869</v>
      </c>
      <c r="O2569" s="14" t="n">
        <v>3989145.240984928</v>
      </c>
      <c r="P2569" s="14" t="n">
        <v>255575.9562817442</v>
      </c>
      <c r="Q2569" s="14" t="n">
        <v>21200445.19361856</v>
      </c>
      <c r="R2569" s="15">
        <f>IF(D2569=1,"Section 1","Control")</f>
        <v/>
      </c>
      <c r="S2569" s="16">
        <f>N2569/10000</f>
        <v/>
      </c>
      <c r="T2569" s="16">
        <f>P2569/10000</f>
        <v/>
      </c>
      <c r="U2569" s="15">
        <f>IF(N2569&gt;=Summary!$D$3,1,0)</f>
        <v/>
      </c>
      <c r="V2569" s="17">
        <f>IF(N2569&gt;0,P2569/N2569,"")</f>
        <v/>
      </c>
      <c r="W2569" s="17">
        <f>IF(O2569&gt;0,H2569/O2569,"")</f>
        <v/>
      </c>
    </row>
    <row r="2570">
      <c r="A2570" s="13" t="inlineStr">
        <is>
          <t>CW01_B3</t>
        </is>
      </c>
      <c r="B2570" s="13" t="inlineStr">
        <is>
          <t>CW01</t>
        </is>
      </c>
      <c r="C2570" s="13" t="inlineStr">
        <is>
          <t>B3</t>
        </is>
      </c>
      <c r="D2570" s="13" t="n">
        <v>0</v>
      </c>
      <c r="E2570" s="13" t="inlineStr">
        <is>
          <t>W</t>
        </is>
      </c>
      <c r="F2570" s="13" t="n">
        <v>2026</v>
      </c>
      <c r="G2570" s="14" t="n">
        <v>8100622.759938317</v>
      </c>
      <c r="H2570" s="14" t="n">
        <v>2509267.308861617</v>
      </c>
      <c r="I2570" s="14" t="n">
        <v>194034.7355673996</v>
      </c>
      <c r="J2570" s="14" t="n">
        <v>0</v>
      </c>
      <c r="K2570" s="14" t="n">
        <v>1225898.971180396</v>
      </c>
      <c r="L2570" s="14" t="n">
        <v>4171421.744328906</v>
      </c>
      <c r="M2570" s="14" t="n">
        <v>0</v>
      </c>
      <c r="N2570" s="14" t="n">
        <v>2621321.327395869</v>
      </c>
      <c r="O2570" s="14" t="n">
        <v>3989145.240984929</v>
      </c>
      <c r="P2570" s="14" t="n">
        <v>218588.7034376855</v>
      </c>
      <c r="Q2570" s="14" t="n">
        <v>21200445.19361856</v>
      </c>
      <c r="R2570" s="15">
        <f>IF(D2570=1,"Section 1","Control")</f>
        <v/>
      </c>
      <c r="S2570" s="16">
        <f>N2570/10000</f>
        <v/>
      </c>
      <c r="T2570" s="16">
        <f>P2570/10000</f>
        <v/>
      </c>
      <c r="U2570" s="15">
        <f>IF(N2570&gt;=Summary!$D$3,1,0)</f>
        <v/>
      </c>
      <c r="V2570" s="17">
        <f>IF(N2570&gt;0,P2570/N2570,"")</f>
        <v/>
      </c>
      <c r="W2570" s="17">
        <f>IF(O2570&gt;0,H2570/O2570,"")</f>
        <v/>
      </c>
    </row>
    <row r="2571">
      <c r="A2571" s="13" t="inlineStr">
        <is>
          <t>CW01_F</t>
        </is>
      </c>
      <c r="B2571" s="13" t="inlineStr">
        <is>
          <t>CW01</t>
        </is>
      </c>
      <c r="C2571" s="13" t="inlineStr">
        <is>
          <t>F</t>
        </is>
      </c>
      <c r="D2571" s="13" t="n">
        <v>0</v>
      </c>
      <c r="E2571" s="13" t="inlineStr">
        <is>
          <t>W</t>
        </is>
      </c>
      <c r="F2571" s="13" t="n">
        <v>2020</v>
      </c>
      <c r="G2571" s="14" t="n">
        <v>70329.64180647908</v>
      </c>
      <c r="H2571" s="14" t="n">
        <v>39468.44590774237</v>
      </c>
      <c r="I2571" s="14" t="n">
        <v>23827.80793573716</v>
      </c>
      <c r="J2571" s="14" t="n">
        <v>0</v>
      </c>
      <c r="K2571" s="14" t="n">
        <v>7033.387962999532</v>
      </c>
      <c r="L2571" s="14" t="n">
        <v>0</v>
      </c>
      <c r="M2571" s="14" t="n">
        <v>0</v>
      </c>
      <c r="N2571" s="14" t="n">
        <v>39468.44590774237</v>
      </c>
      <c r="O2571" s="14" t="n">
        <v>70329.64180647908</v>
      </c>
      <c r="P2571" s="14" t="n">
        <v>0</v>
      </c>
      <c r="Q2571" s="14" t="n">
        <v>397174.8045680326</v>
      </c>
      <c r="R2571" s="15">
        <f>IF(D2571=1,"Section 1","Control")</f>
        <v/>
      </c>
      <c r="S2571" s="16">
        <f>N2571/10000</f>
        <v/>
      </c>
      <c r="T2571" s="16">
        <f>P2571/10000</f>
        <v/>
      </c>
      <c r="U2571" s="15">
        <f>IF(N2571&gt;=Summary!$D$3,1,0)</f>
        <v/>
      </c>
      <c r="V2571" s="17">
        <f>IF(N2571&gt;0,P2571/N2571,"")</f>
        <v/>
      </c>
      <c r="W2571" s="17">
        <f>IF(O2571&gt;0,H2571/O2571,"")</f>
        <v/>
      </c>
    </row>
    <row r="2572">
      <c r="A2572" s="13" t="inlineStr">
        <is>
          <t>CW01_F</t>
        </is>
      </c>
      <c r="B2572" s="13" t="inlineStr">
        <is>
          <t>CW01</t>
        </is>
      </c>
      <c r="C2572" s="13" t="inlineStr">
        <is>
          <t>F</t>
        </is>
      </c>
      <c r="D2572" s="13" t="n">
        <v>0</v>
      </c>
      <c r="E2572" s="13" t="inlineStr">
        <is>
          <t>W</t>
        </is>
      </c>
      <c r="F2572" s="13" t="n">
        <v>2021</v>
      </c>
      <c r="G2572" s="14" t="n">
        <v>70329.64180647908</v>
      </c>
      <c r="H2572" s="14" t="n">
        <v>30805.05433152143</v>
      </c>
      <c r="I2572" s="14" t="n">
        <v>17805.32766945035</v>
      </c>
      <c r="J2572" s="14" t="n">
        <v>0</v>
      </c>
      <c r="K2572" s="14" t="n">
        <v>21719.25980550728</v>
      </c>
      <c r="L2572" s="14" t="n">
        <v>0</v>
      </c>
      <c r="M2572" s="14" t="n">
        <v>0</v>
      </c>
      <c r="N2572" s="14" t="n">
        <v>39468.44590774237</v>
      </c>
      <c r="O2572" s="14" t="n">
        <v>70329.64180647908</v>
      </c>
      <c r="P2572" s="14" t="n">
        <v>9946.870648791744</v>
      </c>
      <c r="Q2572" s="14" t="n">
        <v>397174.8045680326</v>
      </c>
      <c r="R2572" s="15">
        <f>IF(D2572=1,"Section 1","Control")</f>
        <v/>
      </c>
      <c r="S2572" s="16">
        <f>N2572/10000</f>
        <v/>
      </c>
      <c r="T2572" s="16">
        <f>P2572/10000</f>
        <v/>
      </c>
      <c r="U2572" s="15">
        <f>IF(N2572&gt;=Summary!$D$3,1,0)</f>
        <v/>
      </c>
      <c r="V2572" s="17">
        <f>IF(N2572&gt;0,P2572/N2572,"")</f>
        <v/>
      </c>
      <c r="W2572" s="17">
        <f>IF(O2572&gt;0,H2572/O2572,"")</f>
        <v/>
      </c>
    </row>
    <row r="2573">
      <c r="A2573" s="13" t="inlineStr">
        <is>
          <t>CW01_F</t>
        </is>
      </c>
      <c r="B2573" s="13" t="inlineStr">
        <is>
          <t>CW01</t>
        </is>
      </c>
      <c r="C2573" s="13" t="inlineStr">
        <is>
          <t>F</t>
        </is>
      </c>
      <c r="D2573" s="13" t="n">
        <v>0</v>
      </c>
      <c r="E2573" s="13" t="inlineStr">
        <is>
          <t>W</t>
        </is>
      </c>
      <c r="F2573" s="13" t="n">
        <v>2022</v>
      </c>
      <c r="G2573" s="14" t="n">
        <v>70329.64180647908</v>
      </c>
      <c r="H2573" s="14" t="n">
        <v>32263.92476654053</v>
      </c>
      <c r="I2573" s="14" t="n">
        <v>22641.1205193613</v>
      </c>
      <c r="J2573" s="14" t="n">
        <v>0</v>
      </c>
      <c r="K2573" s="14" t="n">
        <v>15424.59652057723</v>
      </c>
      <c r="L2573" s="14" t="n">
        <v>0</v>
      </c>
      <c r="M2573" s="14" t="n">
        <v>0</v>
      </c>
      <c r="N2573" s="14" t="n">
        <v>39468.44590774237</v>
      </c>
      <c r="O2573" s="14" t="n">
        <v>70329.64180647908</v>
      </c>
      <c r="P2573" s="14" t="n">
        <v>10347.98146987616</v>
      </c>
      <c r="Q2573" s="14" t="n">
        <v>397174.8045680326</v>
      </c>
      <c r="R2573" s="15">
        <f>IF(D2573=1,"Section 1","Control")</f>
        <v/>
      </c>
      <c r="S2573" s="16">
        <f>N2573/10000</f>
        <v/>
      </c>
      <c r="T2573" s="16">
        <f>P2573/10000</f>
        <v/>
      </c>
      <c r="U2573" s="15">
        <f>IF(N2573&gt;=Summary!$D$3,1,0)</f>
        <v/>
      </c>
      <c r="V2573" s="17">
        <f>IF(N2573&gt;0,P2573/N2573,"")</f>
        <v/>
      </c>
      <c r="W2573" s="17">
        <f>IF(O2573&gt;0,H2573/O2573,"")</f>
        <v/>
      </c>
    </row>
    <row r="2574">
      <c r="A2574" s="13" t="inlineStr">
        <is>
          <t>CW01_F</t>
        </is>
      </c>
      <c r="B2574" s="13" t="inlineStr">
        <is>
          <t>CW01</t>
        </is>
      </c>
      <c r="C2574" s="13" t="inlineStr">
        <is>
          <t>F</t>
        </is>
      </c>
      <c r="D2574" s="13" t="n">
        <v>0</v>
      </c>
      <c r="E2574" s="13" t="inlineStr">
        <is>
          <t>W</t>
        </is>
      </c>
      <c r="F2574" s="13" t="n">
        <v>2023</v>
      </c>
      <c r="G2574" s="14" t="n">
        <v>70329.64180647908</v>
      </c>
      <c r="H2574" s="14" t="n">
        <v>24011.70998612946</v>
      </c>
      <c r="I2574" s="14" t="n">
        <v>30415.94948135077</v>
      </c>
      <c r="J2574" s="14" t="n">
        <v>0</v>
      </c>
      <c r="K2574" s="14" t="n">
        <v>15901.98233899883</v>
      </c>
      <c r="L2574" s="14" t="n">
        <v>0</v>
      </c>
      <c r="M2574" s="14" t="n">
        <v>0</v>
      </c>
      <c r="N2574" s="14" t="n">
        <v>39468.44590774237</v>
      </c>
      <c r="O2574" s="14" t="n">
        <v>70329.64180647908</v>
      </c>
      <c r="P2574" s="14" t="n">
        <v>16953.54754007377</v>
      </c>
      <c r="Q2574" s="14" t="n">
        <v>397174.8045680326</v>
      </c>
      <c r="R2574" s="15">
        <f>IF(D2574=1,"Section 1","Control")</f>
        <v/>
      </c>
      <c r="S2574" s="16">
        <f>N2574/10000</f>
        <v/>
      </c>
      <c r="T2574" s="16">
        <f>P2574/10000</f>
        <v/>
      </c>
      <c r="U2574" s="15">
        <f>IF(N2574&gt;=Summary!$D$3,1,0)</f>
        <v/>
      </c>
      <c r="V2574" s="17">
        <f>IF(N2574&gt;0,P2574/N2574,"")</f>
        <v/>
      </c>
      <c r="W2574" s="17">
        <f>IF(O2574&gt;0,H2574/O2574,"")</f>
        <v/>
      </c>
    </row>
    <row r="2575">
      <c r="A2575" s="13" t="inlineStr">
        <is>
          <t>CW01_F</t>
        </is>
      </c>
      <c r="B2575" s="13" t="inlineStr">
        <is>
          <t>CW01</t>
        </is>
      </c>
      <c r="C2575" s="13" t="inlineStr">
        <is>
          <t>F</t>
        </is>
      </c>
      <c r="D2575" s="13" t="n">
        <v>0</v>
      </c>
      <c r="E2575" s="13" t="inlineStr">
        <is>
          <t>W</t>
        </is>
      </c>
      <c r="F2575" s="13" t="n">
        <v>2024</v>
      </c>
      <c r="G2575" s="14" t="n">
        <v>70329.64180647908</v>
      </c>
      <c r="H2575" s="14" t="n">
        <v>39862.97328111238</v>
      </c>
      <c r="I2575" s="14" t="n">
        <v>16888.11515093037</v>
      </c>
      <c r="J2575" s="14" t="n">
        <v>0</v>
      </c>
      <c r="K2575" s="14" t="n">
        <v>13578.55337443632</v>
      </c>
      <c r="L2575" s="14" t="n">
        <v>0</v>
      </c>
      <c r="M2575" s="14" t="n">
        <v>0</v>
      </c>
      <c r="N2575" s="14" t="n">
        <v>39468.44590774237</v>
      </c>
      <c r="O2575" s="14" t="n">
        <v>70329.64180647908</v>
      </c>
      <c r="P2575" s="14" t="n">
        <v>8812.065516124052</v>
      </c>
      <c r="Q2575" s="14" t="n">
        <v>397174.8045680326</v>
      </c>
      <c r="R2575" s="15">
        <f>IF(D2575=1,"Section 1","Control")</f>
        <v/>
      </c>
      <c r="S2575" s="16">
        <f>N2575/10000</f>
        <v/>
      </c>
      <c r="T2575" s="16">
        <f>P2575/10000</f>
        <v/>
      </c>
      <c r="U2575" s="15">
        <f>IF(N2575&gt;=Summary!$D$3,1,0)</f>
        <v/>
      </c>
      <c r="V2575" s="17">
        <f>IF(N2575&gt;0,P2575/N2575,"")</f>
        <v/>
      </c>
      <c r="W2575" s="17">
        <f>IF(O2575&gt;0,H2575/O2575,"")</f>
        <v/>
      </c>
    </row>
    <row r="2576">
      <c r="A2576" s="13" t="inlineStr">
        <is>
          <t>CW01_F</t>
        </is>
      </c>
      <c r="B2576" s="13" t="inlineStr">
        <is>
          <t>CW01</t>
        </is>
      </c>
      <c r="C2576" s="13" t="inlineStr">
        <is>
          <t>F</t>
        </is>
      </c>
      <c r="D2576" s="13" t="n">
        <v>0</v>
      </c>
      <c r="E2576" s="13" t="inlineStr">
        <is>
          <t>W</t>
        </is>
      </c>
      <c r="F2576" s="13" t="n">
        <v>2025</v>
      </c>
      <c r="G2576" s="14" t="n">
        <v>70329.64180647908</v>
      </c>
      <c r="H2576" s="14" t="n">
        <v>13462.78576313094</v>
      </c>
      <c r="I2576" s="14" t="n">
        <v>44939.98301648907</v>
      </c>
      <c r="J2576" s="14" t="n">
        <v>0</v>
      </c>
      <c r="K2576" s="14" t="n">
        <v>11926.87302685906</v>
      </c>
      <c r="L2576" s="14" t="n">
        <v>0</v>
      </c>
      <c r="M2576" s="14" t="n">
        <v>0</v>
      </c>
      <c r="N2576" s="14" t="n">
        <v>39468.44590774237</v>
      </c>
      <c r="O2576" s="14" t="n">
        <v>70329.64180647908</v>
      </c>
      <c r="P2576" s="14" t="n">
        <v>26347.14709266214</v>
      </c>
      <c r="Q2576" s="14" t="n">
        <v>397174.8045680326</v>
      </c>
      <c r="R2576" s="15">
        <f>IF(D2576=1,"Section 1","Control")</f>
        <v/>
      </c>
      <c r="S2576" s="16">
        <f>N2576/10000</f>
        <v/>
      </c>
      <c r="T2576" s="16">
        <f>P2576/10000</f>
        <v/>
      </c>
      <c r="U2576" s="15">
        <f>IF(N2576&gt;=Summary!$D$3,1,0)</f>
        <v/>
      </c>
      <c r="V2576" s="17">
        <f>IF(N2576&gt;0,P2576/N2576,"")</f>
        <v/>
      </c>
      <c r="W2576" s="17">
        <f>IF(O2576&gt;0,H2576/O2576,"")</f>
        <v/>
      </c>
    </row>
    <row r="2577">
      <c r="A2577" s="13" t="inlineStr">
        <is>
          <t>CW01_F</t>
        </is>
      </c>
      <c r="B2577" s="13" t="inlineStr">
        <is>
          <t>CW01</t>
        </is>
      </c>
      <c r="C2577" s="13" t="inlineStr">
        <is>
          <t>F</t>
        </is>
      </c>
      <c r="D2577" s="13" t="n">
        <v>0</v>
      </c>
      <c r="E2577" s="13" t="inlineStr">
        <is>
          <t>W</t>
        </is>
      </c>
      <c r="F2577" s="13" t="n">
        <v>2026</v>
      </c>
      <c r="G2577" s="14" t="n">
        <v>70329.64180647908</v>
      </c>
      <c r="H2577" s="14" t="n">
        <v>33517.97867901372</v>
      </c>
      <c r="I2577" s="14" t="n">
        <v>14474.86109158385</v>
      </c>
      <c r="J2577" s="14" t="n">
        <v>0</v>
      </c>
      <c r="K2577" s="14" t="n">
        <v>22336.80203588149</v>
      </c>
      <c r="L2577" s="14" t="n">
        <v>0</v>
      </c>
      <c r="M2577" s="14" t="n">
        <v>0</v>
      </c>
      <c r="N2577" s="14" t="n">
        <v>39468.44590774237</v>
      </c>
      <c r="O2577" s="14" t="n">
        <v>70329.64180647908</v>
      </c>
      <c r="P2577" s="14" t="n">
        <v>11458.78174043543</v>
      </c>
      <c r="Q2577" s="14" t="n">
        <v>397174.8045680326</v>
      </c>
      <c r="R2577" s="15">
        <f>IF(D2577=1,"Section 1","Control")</f>
        <v/>
      </c>
      <c r="S2577" s="16">
        <f>N2577/10000</f>
        <v/>
      </c>
      <c r="T2577" s="16">
        <f>P2577/10000</f>
        <v/>
      </c>
      <c r="U2577" s="15">
        <f>IF(N2577&gt;=Summary!$D$3,1,0)</f>
        <v/>
      </c>
      <c r="V2577" s="17">
        <f>IF(N2577&gt;0,P2577/N2577,"")</f>
        <v/>
      </c>
      <c r="W2577" s="17">
        <f>IF(O2577&gt;0,H2577/O2577,"")</f>
        <v/>
      </c>
    </row>
    <row r="2578">
      <c r="A2578" s="13" t="inlineStr">
        <is>
          <t>CW02_B1</t>
        </is>
      </c>
      <c r="B2578" s="13" t="inlineStr">
        <is>
          <t>CW02</t>
        </is>
      </c>
      <c r="C2578" s="13" t="inlineStr">
        <is>
          <t>B1</t>
        </is>
      </c>
      <c r="D2578" s="13" t="n">
        <v>0</v>
      </c>
      <c r="E2578" s="13" t="inlineStr">
        <is>
          <t>W</t>
        </is>
      </c>
      <c r="F2578" s="13" t="n">
        <v>2020</v>
      </c>
      <c r="G2578" s="14" t="n">
        <v>1001201.718788895</v>
      </c>
      <c r="H2578" s="14" t="n">
        <v>603807.2838369033</v>
      </c>
      <c r="I2578" s="14" t="n">
        <v>225255.4823897717</v>
      </c>
      <c r="J2578" s="14" t="n">
        <v>0</v>
      </c>
      <c r="K2578" s="14" t="n">
        <v>172138.95256222</v>
      </c>
      <c r="L2578" s="14" t="n">
        <v>0</v>
      </c>
      <c r="M2578" s="14" t="n">
        <v>0</v>
      </c>
      <c r="N2578" s="14" t="n">
        <v>603807.2838369033</v>
      </c>
      <c r="O2578" s="14" t="n">
        <v>1001201.718788895</v>
      </c>
      <c r="P2578" s="14" t="n">
        <v>0</v>
      </c>
      <c r="Q2578" s="14" t="n">
        <v>6226185.488313264</v>
      </c>
      <c r="R2578" s="15">
        <f>IF(D2578=1,"Section 1","Control")</f>
        <v/>
      </c>
      <c r="S2578" s="16">
        <f>N2578/10000</f>
        <v/>
      </c>
      <c r="T2578" s="16">
        <f>P2578/10000</f>
        <v/>
      </c>
      <c r="U2578" s="15">
        <f>IF(N2578&gt;=Summary!$D$3,1,0)</f>
        <v/>
      </c>
      <c r="V2578" s="17">
        <f>IF(N2578&gt;0,P2578/N2578,"")</f>
        <v/>
      </c>
      <c r="W2578" s="17">
        <f>IF(O2578&gt;0,H2578/O2578,"")</f>
        <v/>
      </c>
    </row>
    <row r="2579">
      <c r="A2579" s="13" t="inlineStr">
        <is>
          <t>CW02_B1</t>
        </is>
      </c>
      <c r="B2579" s="13" t="inlineStr">
        <is>
          <t>CW02</t>
        </is>
      </c>
      <c r="C2579" s="13" t="inlineStr">
        <is>
          <t>B1</t>
        </is>
      </c>
      <c r="D2579" s="13" t="n">
        <v>0</v>
      </c>
      <c r="E2579" s="13" t="inlineStr">
        <is>
          <t>W</t>
        </is>
      </c>
      <c r="F2579" s="13" t="n">
        <v>2021</v>
      </c>
      <c r="G2579" s="14" t="n">
        <v>1001201.718788895</v>
      </c>
      <c r="H2579" s="14" t="n">
        <v>524814.0294788136</v>
      </c>
      <c r="I2579" s="14" t="n">
        <v>167458.4719610775</v>
      </c>
      <c r="J2579" s="14" t="n">
        <v>0</v>
      </c>
      <c r="K2579" s="14" t="n">
        <v>308929.2173490038</v>
      </c>
      <c r="L2579" s="14" t="n">
        <v>0</v>
      </c>
      <c r="M2579" s="14" t="n">
        <v>0</v>
      </c>
      <c r="N2579" s="14" t="n">
        <v>603807.2838369033</v>
      </c>
      <c r="O2579" s="14" t="n">
        <v>1001201.718788895</v>
      </c>
      <c r="P2579" s="14" t="n">
        <v>101853.0982498468</v>
      </c>
      <c r="Q2579" s="14" t="n">
        <v>6226185.488313264</v>
      </c>
      <c r="R2579" s="15">
        <f>IF(D2579=1,"Section 1","Control")</f>
        <v/>
      </c>
      <c r="S2579" s="16">
        <f>N2579/10000</f>
        <v/>
      </c>
      <c r="T2579" s="16">
        <f>P2579/10000</f>
        <v/>
      </c>
      <c r="U2579" s="15">
        <f>IF(N2579&gt;=Summary!$D$3,1,0)</f>
        <v/>
      </c>
      <c r="V2579" s="17">
        <f>IF(N2579&gt;0,P2579/N2579,"")</f>
        <v/>
      </c>
      <c r="W2579" s="17">
        <f>IF(O2579&gt;0,H2579/O2579,"")</f>
        <v/>
      </c>
    </row>
    <row r="2580">
      <c r="A2580" s="13" t="inlineStr">
        <is>
          <t>CW02_B1</t>
        </is>
      </c>
      <c r="B2580" s="13" t="inlineStr">
        <is>
          <t>CW02</t>
        </is>
      </c>
      <c r="C2580" s="13" t="inlineStr">
        <is>
          <t>B1</t>
        </is>
      </c>
      <c r="D2580" s="13" t="n">
        <v>0</v>
      </c>
      <c r="E2580" s="13" t="inlineStr">
        <is>
          <t>W</t>
        </is>
      </c>
      <c r="F2580" s="13" t="n">
        <v>2022</v>
      </c>
      <c r="G2580" s="14" t="n">
        <v>1001201.718788895</v>
      </c>
      <c r="H2580" s="14" t="n">
        <v>494540.1436287675</v>
      </c>
      <c r="I2580" s="14" t="n">
        <v>186322.292205631</v>
      </c>
      <c r="J2580" s="14" t="n">
        <v>0</v>
      </c>
      <c r="K2580" s="14" t="n">
        <v>320339.2829544965</v>
      </c>
      <c r="L2580" s="14" t="n">
        <v>0</v>
      </c>
      <c r="M2580" s="14" t="n">
        <v>0</v>
      </c>
      <c r="N2580" s="14" t="n">
        <v>603807.2838369033</v>
      </c>
      <c r="O2580" s="14" t="n">
        <v>1001201.718788895</v>
      </c>
      <c r="P2580" s="14" t="n">
        <v>131878.4143441294</v>
      </c>
      <c r="Q2580" s="14" t="n">
        <v>6226185.488313264</v>
      </c>
      <c r="R2580" s="15">
        <f>IF(D2580=1,"Section 1","Control")</f>
        <v/>
      </c>
      <c r="S2580" s="16">
        <f>N2580/10000</f>
        <v/>
      </c>
      <c r="T2580" s="16">
        <f>P2580/10000</f>
        <v/>
      </c>
      <c r="U2580" s="15">
        <f>IF(N2580&gt;=Summary!$D$3,1,0)</f>
        <v/>
      </c>
      <c r="V2580" s="17">
        <f>IF(N2580&gt;0,P2580/N2580,"")</f>
        <v/>
      </c>
      <c r="W2580" s="17">
        <f>IF(O2580&gt;0,H2580/O2580,"")</f>
        <v/>
      </c>
    </row>
    <row r="2581">
      <c r="A2581" s="13" t="inlineStr">
        <is>
          <t>CW02_B1</t>
        </is>
      </c>
      <c r="B2581" s="13" t="inlineStr">
        <is>
          <t>CW02</t>
        </is>
      </c>
      <c r="C2581" s="13" t="inlineStr">
        <is>
          <t>B1</t>
        </is>
      </c>
      <c r="D2581" s="13" t="n">
        <v>0</v>
      </c>
      <c r="E2581" s="13" t="inlineStr">
        <is>
          <t>W</t>
        </is>
      </c>
      <c r="F2581" s="13" t="n">
        <v>2023</v>
      </c>
      <c r="G2581" s="14" t="n">
        <v>1001201.718788895</v>
      </c>
      <c r="H2581" s="14" t="n">
        <v>508898.8372391645</v>
      </c>
      <c r="I2581" s="14" t="n">
        <v>208131.0822209377</v>
      </c>
      <c r="J2581" s="14" t="n">
        <v>0</v>
      </c>
      <c r="K2581" s="14" t="n">
        <v>284171.7993287928</v>
      </c>
      <c r="L2581" s="14" t="n">
        <v>0</v>
      </c>
      <c r="M2581" s="14" t="n">
        <v>0</v>
      </c>
      <c r="N2581" s="14" t="n">
        <v>603807.2838369033</v>
      </c>
      <c r="O2581" s="14" t="n">
        <v>1001201.718788895</v>
      </c>
      <c r="P2581" s="14" t="n">
        <v>132862.9981246948</v>
      </c>
      <c r="Q2581" s="14" t="n">
        <v>6226185.488313264</v>
      </c>
      <c r="R2581" s="15">
        <f>IF(D2581=1,"Section 1","Control")</f>
        <v/>
      </c>
      <c r="S2581" s="16">
        <f>N2581/10000</f>
        <v/>
      </c>
      <c r="T2581" s="16">
        <f>P2581/10000</f>
        <v/>
      </c>
      <c r="U2581" s="15">
        <f>IF(N2581&gt;=Summary!$D$3,1,0)</f>
        <v/>
      </c>
      <c r="V2581" s="17">
        <f>IF(N2581&gt;0,P2581/N2581,"")</f>
        <v/>
      </c>
      <c r="W2581" s="17">
        <f>IF(O2581&gt;0,H2581/O2581,"")</f>
        <v/>
      </c>
    </row>
    <row r="2582">
      <c r="A2582" s="13" t="inlineStr">
        <is>
          <t>CW02_B1</t>
        </is>
      </c>
      <c r="B2582" s="13" t="inlineStr">
        <is>
          <t>CW02</t>
        </is>
      </c>
      <c r="C2582" s="13" t="inlineStr">
        <is>
          <t>B1</t>
        </is>
      </c>
      <c r="D2582" s="13" t="n">
        <v>0</v>
      </c>
      <c r="E2582" s="13" t="inlineStr">
        <is>
          <t>W</t>
        </is>
      </c>
      <c r="F2582" s="13" t="n">
        <v>2024</v>
      </c>
      <c r="G2582" s="14" t="n">
        <v>1001201.718788895</v>
      </c>
      <c r="H2582" s="14" t="n">
        <v>580893.0811730179</v>
      </c>
      <c r="I2582" s="14" t="n">
        <v>158954.9499323826</v>
      </c>
      <c r="J2582" s="14" t="n">
        <v>0</v>
      </c>
      <c r="K2582" s="14" t="n">
        <v>261353.6876834944</v>
      </c>
      <c r="L2582" s="14" t="n">
        <v>0</v>
      </c>
      <c r="M2582" s="14" t="n">
        <v>0</v>
      </c>
      <c r="N2582" s="14" t="n">
        <v>603807.2838369033</v>
      </c>
      <c r="O2582" s="14" t="n">
        <v>1001201.718788895</v>
      </c>
      <c r="P2582" s="14" t="n">
        <v>104331.5589808445</v>
      </c>
      <c r="Q2582" s="14" t="n">
        <v>6226185.488313264</v>
      </c>
      <c r="R2582" s="15">
        <f>IF(D2582=1,"Section 1","Control")</f>
        <v/>
      </c>
      <c r="S2582" s="16">
        <f>N2582/10000</f>
        <v/>
      </c>
      <c r="T2582" s="16">
        <f>P2582/10000</f>
        <v/>
      </c>
      <c r="U2582" s="15">
        <f>IF(N2582&gt;=Summary!$D$3,1,0)</f>
        <v/>
      </c>
      <c r="V2582" s="17">
        <f>IF(N2582&gt;0,P2582/N2582,"")</f>
        <v/>
      </c>
      <c r="W2582" s="17">
        <f>IF(O2582&gt;0,H2582/O2582,"")</f>
        <v/>
      </c>
    </row>
    <row r="2583">
      <c r="A2583" s="13" t="inlineStr">
        <is>
          <t>CW02_B1</t>
        </is>
      </c>
      <c r="B2583" s="13" t="inlineStr">
        <is>
          <t>CW02</t>
        </is>
      </c>
      <c r="C2583" s="13" t="inlineStr">
        <is>
          <t>B1</t>
        </is>
      </c>
      <c r="D2583" s="13" t="n">
        <v>0</v>
      </c>
      <c r="E2583" s="13" t="inlineStr">
        <is>
          <t>W</t>
        </is>
      </c>
      <c r="F2583" s="13" t="n">
        <v>2025</v>
      </c>
      <c r="G2583" s="14" t="n">
        <v>1001201.718788895</v>
      </c>
      <c r="H2583" s="14" t="n">
        <v>429015.1358932495</v>
      </c>
      <c r="I2583" s="14" t="n">
        <v>337588.1992283241</v>
      </c>
      <c r="J2583" s="14" t="n">
        <v>0</v>
      </c>
      <c r="K2583" s="14" t="n">
        <v>234598.3836673213</v>
      </c>
      <c r="L2583" s="14" t="n">
        <v>0</v>
      </c>
      <c r="M2583" s="14" t="n">
        <v>0</v>
      </c>
      <c r="N2583" s="14" t="n">
        <v>603807.2838369033</v>
      </c>
      <c r="O2583" s="14" t="n">
        <v>1001201.718788895</v>
      </c>
      <c r="P2583" s="14" t="n">
        <v>195128.4250765034</v>
      </c>
      <c r="Q2583" s="14" t="n">
        <v>6226185.488313264</v>
      </c>
      <c r="R2583" s="15">
        <f>IF(D2583=1,"Section 1","Control")</f>
        <v/>
      </c>
      <c r="S2583" s="16">
        <f>N2583/10000</f>
        <v/>
      </c>
      <c r="T2583" s="16">
        <f>P2583/10000</f>
        <v/>
      </c>
      <c r="U2583" s="15">
        <f>IF(N2583&gt;=Summary!$D$3,1,0)</f>
        <v/>
      </c>
      <c r="V2583" s="17">
        <f>IF(N2583&gt;0,P2583/N2583,"")</f>
        <v/>
      </c>
      <c r="W2583" s="17">
        <f>IF(O2583&gt;0,H2583/O2583,"")</f>
        <v/>
      </c>
    </row>
    <row r="2584">
      <c r="A2584" s="13" t="inlineStr">
        <is>
          <t>CW02_B1</t>
        </is>
      </c>
      <c r="B2584" s="13" t="inlineStr">
        <is>
          <t>CW02</t>
        </is>
      </c>
      <c r="C2584" s="13" t="inlineStr">
        <is>
          <t>B1</t>
        </is>
      </c>
      <c r="D2584" s="13" t="n">
        <v>0</v>
      </c>
      <c r="E2584" s="13" t="inlineStr">
        <is>
          <t>W</t>
        </is>
      </c>
      <c r="F2584" s="13" t="n">
        <v>2026</v>
      </c>
      <c r="G2584" s="14" t="n">
        <v>1001201.718788895</v>
      </c>
      <c r="H2584" s="14" t="n">
        <v>510132.6441988478</v>
      </c>
      <c r="I2584" s="14" t="n">
        <v>143663.1930392995</v>
      </c>
      <c r="J2584" s="14" t="n">
        <v>0</v>
      </c>
      <c r="K2584" s="14" t="n">
        <v>347405.8815507477</v>
      </c>
      <c r="L2584" s="14" t="n">
        <v>0</v>
      </c>
      <c r="M2584" s="14" t="n">
        <v>0</v>
      </c>
      <c r="N2584" s="14" t="n">
        <v>603807.2838369033</v>
      </c>
      <c r="O2584" s="14" t="n">
        <v>1001201.718788895</v>
      </c>
      <c r="P2584" s="14" t="n">
        <v>143487.8724142337</v>
      </c>
      <c r="Q2584" s="14" t="n">
        <v>6226185.488313264</v>
      </c>
      <c r="R2584" s="15">
        <f>IF(D2584=1,"Section 1","Control")</f>
        <v/>
      </c>
      <c r="S2584" s="16">
        <f>N2584/10000</f>
        <v/>
      </c>
      <c r="T2584" s="16">
        <f>P2584/10000</f>
        <v/>
      </c>
      <c r="U2584" s="15">
        <f>IF(N2584&gt;=Summary!$D$3,1,0)</f>
        <v/>
      </c>
      <c r="V2584" s="17">
        <f>IF(N2584&gt;0,P2584/N2584,"")</f>
        <v/>
      </c>
      <c r="W2584" s="17">
        <f>IF(O2584&gt;0,H2584/O2584,"")</f>
        <v/>
      </c>
    </row>
    <row r="2585">
      <c r="A2585" s="13" t="inlineStr">
        <is>
          <t>CW02_B2</t>
        </is>
      </c>
      <c r="B2585" s="13" t="inlineStr">
        <is>
          <t>CW02</t>
        </is>
      </c>
      <c r="C2585" s="13" t="inlineStr">
        <is>
          <t>B2</t>
        </is>
      </c>
      <c r="D2585" s="13" t="n">
        <v>0</v>
      </c>
      <c r="E2585" s="13" t="inlineStr">
        <is>
          <t>W</t>
        </is>
      </c>
      <c r="F2585" s="13" t="n">
        <v>2020</v>
      </c>
      <c r="G2585" s="14" t="n">
        <v>1001153.306595058</v>
      </c>
      <c r="H2585" s="14" t="n">
        <v>767227.6462534884</v>
      </c>
      <c r="I2585" s="14" t="n">
        <v>96143.08065682209</v>
      </c>
      <c r="J2585" s="14" t="n">
        <v>0</v>
      </c>
      <c r="K2585" s="14" t="n">
        <v>137782.5796847474</v>
      </c>
      <c r="L2585" s="14" t="n">
        <v>0</v>
      </c>
      <c r="M2585" s="14" t="n">
        <v>0</v>
      </c>
      <c r="N2585" s="14" t="n">
        <v>767227.6462534884</v>
      </c>
      <c r="O2585" s="14" t="n">
        <v>1001153.306595058</v>
      </c>
      <c r="P2585" s="14" t="n">
        <v>0</v>
      </c>
      <c r="Q2585" s="14" t="n">
        <v>6495161.987416587</v>
      </c>
      <c r="R2585" s="15">
        <f>IF(D2585=1,"Section 1","Control")</f>
        <v/>
      </c>
      <c r="S2585" s="16">
        <f>N2585/10000</f>
        <v/>
      </c>
      <c r="T2585" s="16">
        <f>P2585/10000</f>
        <v/>
      </c>
      <c r="U2585" s="15">
        <f>IF(N2585&gt;=Summary!$D$3,1,0)</f>
        <v/>
      </c>
      <c r="V2585" s="17">
        <f>IF(N2585&gt;0,P2585/N2585,"")</f>
        <v/>
      </c>
      <c r="W2585" s="17">
        <f>IF(O2585&gt;0,H2585/O2585,"")</f>
        <v/>
      </c>
    </row>
    <row r="2586">
      <c r="A2586" s="13" t="inlineStr">
        <is>
          <t>CW02_B2</t>
        </is>
      </c>
      <c r="B2586" s="13" t="inlineStr">
        <is>
          <t>CW02</t>
        </is>
      </c>
      <c r="C2586" s="13" t="inlineStr">
        <is>
          <t>B2</t>
        </is>
      </c>
      <c r="D2586" s="13" t="n">
        <v>0</v>
      </c>
      <c r="E2586" s="13" t="inlineStr">
        <is>
          <t>W</t>
        </is>
      </c>
      <c r="F2586" s="13" t="n">
        <v>2021</v>
      </c>
      <c r="G2586" s="14" t="n">
        <v>1001153.306595058</v>
      </c>
      <c r="H2586" s="14" t="n">
        <v>735024.51118556</v>
      </c>
      <c r="I2586" s="14" t="n">
        <v>56518.9555278105</v>
      </c>
      <c r="J2586" s="14" t="n">
        <v>0</v>
      </c>
      <c r="K2586" s="14" t="n">
        <v>209609.8398816875</v>
      </c>
      <c r="L2586" s="14" t="n">
        <v>0</v>
      </c>
      <c r="M2586" s="14" t="n">
        <v>0</v>
      </c>
      <c r="N2586" s="14" t="n">
        <v>767227.6462534884</v>
      </c>
      <c r="O2586" s="14" t="n">
        <v>1001153.306595058</v>
      </c>
      <c r="P2586" s="14" t="n">
        <v>45211.91901032691</v>
      </c>
      <c r="Q2586" s="14" t="n">
        <v>6495161.987416586</v>
      </c>
      <c r="R2586" s="15">
        <f>IF(D2586=1,"Section 1","Control")</f>
        <v/>
      </c>
      <c r="S2586" s="16">
        <f>N2586/10000</f>
        <v/>
      </c>
      <c r="T2586" s="16">
        <f>P2586/10000</f>
        <v/>
      </c>
      <c r="U2586" s="15">
        <f>IF(N2586&gt;=Summary!$D$3,1,0)</f>
        <v/>
      </c>
      <c r="V2586" s="17">
        <f>IF(N2586&gt;0,P2586/N2586,"")</f>
        <v/>
      </c>
      <c r="W2586" s="17">
        <f>IF(O2586&gt;0,H2586/O2586,"")</f>
        <v/>
      </c>
    </row>
    <row r="2587">
      <c r="A2587" s="13" t="inlineStr">
        <is>
          <t>CW02_B2</t>
        </is>
      </c>
      <c r="B2587" s="13" t="inlineStr">
        <is>
          <t>CW02</t>
        </is>
      </c>
      <c r="C2587" s="13" t="inlineStr">
        <is>
          <t>B2</t>
        </is>
      </c>
      <c r="D2587" s="13" t="n">
        <v>0</v>
      </c>
      <c r="E2587" s="13" t="inlineStr">
        <is>
          <t>W</t>
        </is>
      </c>
      <c r="F2587" s="13" t="n">
        <v>2022</v>
      </c>
      <c r="G2587" s="14" t="n">
        <v>1001153.306595058</v>
      </c>
      <c r="H2587" s="14" t="n">
        <v>731135.6901156855</v>
      </c>
      <c r="I2587" s="14" t="n">
        <v>61462.4501758351</v>
      </c>
      <c r="J2587" s="14" t="n">
        <v>0</v>
      </c>
      <c r="K2587" s="14" t="n">
        <v>208555.1663035373</v>
      </c>
      <c r="L2587" s="14" t="n">
        <v>0</v>
      </c>
      <c r="M2587" s="14" t="n">
        <v>0</v>
      </c>
      <c r="N2587" s="14" t="n">
        <v>767227.6462534884</v>
      </c>
      <c r="O2587" s="14" t="n">
        <v>1001153.306595058</v>
      </c>
      <c r="P2587" s="14" t="n">
        <v>51797.03920500512</v>
      </c>
      <c r="Q2587" s="14" t="n">
        <v>6495161.987416587</v>
      </c>
      <c r="R2587" s="15">
        <f>IF(D2587=1,"Section 1","Control")</f>
        <v/>
      </c>
      <c r="S2587" s="16">
        <f>N2587/10000</f>
        <v/>
      </c>
      <c r="T2587" s="16">
        <f>P2587/10000</f>
        <v/>
      </c>
      <c r="U2587" s="15">
        <f>IF(N2587&gt;=Summary!$D$3,1,0)</f>
        <v/>
      </c>
      <c r="V2587" s="17">
        <f>IF(N2587&gt;0,P2587/N2587,"")</f>
        <v/>
      </c>
      <c r="W2587" s="17">
        <f>IF(O2587&gt;0,H2587/O2587,"")</f>
        <v/>
      </c>
    </row>
    <row r="2588">
      <c r="A2588" s="13" t="inlineStr">
        <is>
          <t>CW02_B2</t>
        </is>
      </c>
      <c r="B2588" s="13" t="inlineStr">
        <is>
          <t>CW02</t>
        </is>
      </c>
      <c r="C2588" s="13" t="inlineStr">
        <is>
          <t>B2</t>
        </is>
      </c>
      <c r="D2588" s="13" t="n">
        <v>0</v>
      </c>
      <c r="E2588" s="13" t="inlineStr">
        <is>
          <t>W</t>
        </is>
      </c>
      <c r="F2588" s="13" t="n">
        <v>2023</v>
      </c>
      <c r="G2588" s="14" t="n">
        <v>1001153.306595058</v>
      </c>
      <c r="H2588" s="14" t="n">
        <v>719593.9162894753</v>
      </c>
      <c r="I2588" s="14" t="n">
        <v>84141.36347746009</v>
      </c>
      <c r="J2588" s="14" t="n">
        <v>0</v>
      </c>
      <c r="K2588" s="14" t="n">
        <v>197418.0268281226</v>
      </c>
      <c r="L2588" s="14" t="n">
        <v>0</v>
      </c>
      <c r="M2588" s="14" t="n">
        <v>0</v>
      </c>
      <c r="N2588" s="14" t="n">
        <v>767227.6462534884</v>
      </c>
      <c r="O2588" s="14" t="n">
        <v>1001153.306595058</v>
      </c>
      <c r="P2588" s="14" t="n">
        <v>62646.92217835071</v>
      </c>
      <c r="Q2588" s="14" t="n">
        <v>6495161.987416587</v>
      </c>
      <c r="R2588" s="15">
        <f>IF(D2588=1,"Section 1","Control")</f>
        <v/>
      </c>
      <c r="S2588" s="16">
        <f>N2588/10000</f>
        <v/>
      </c>
      <c r="T2588" s="16">
        <f>P2588/10000</f>
        <v/>
      </c>
      <c r="U2588" s="15">
        <f>IF(N2588&gt;=Summary!$D$3,1,0)</f>
        <v/>
      </c>
      <c r="V2588" s="17">
        <f>IF(N2588&gt;0,P2588/N2588,"")</f>
        <v/>
      </c>
      <c r="W2588" s="17">
        <f>IF(O2588&gt;0,H2588/O2588,"")</f>
        <v/>
      </c>
    </row>
    <row r="2589">
      <c r="A2589" s="13" t="inlineStr">
        <is>
          <t>CW02_B2</t>
        </is>
      </c>
      <c r="B2589" s="13" t="inlineStr">
        <is>
          <t>CW02</t>
        </is>
      </c>
      <c r="C2589" s="13" t="inlineStr">
        <is>
          <t>B2</t>
        </is>
      </c>
      <c r="D2589" s="13" t="n">
        <v>0</v>
      </c>
      <c r="E2589" s="13" t="inlineStr">
        <is>
          <t>W</t>
        </is>
      </c>
      <c r="F2589" s="13" t="n">
        <v>2024</v>
      </c>
      <c r="G2589" s="14" t="n">
        <v>1001153.306595058</v>
      </c>
      <c r="H2589" s="14" t="n">
        <v>741359.4940070955</v>
      </c>
      <c r="I2589" s="14" t="n">
        <v>72436.98697330251</v>
      </c>
      <c r="J2589" s="14" t="n">
        <v>0</v>
      </c>
      <c r="K2589" s="14" t="n">
        <v>187356.8256146599</v>
      </c>
      <c r="L2589" s="14" t="n">
        <v>0</v>
      </c>
      <c r="M2589" s="14" t="n">
        <v>0</v>
      </c>
      <c r="N2589" s="14" t="n">
        <v>767227.6462534884</v>
      </c>
      <c r="O2589" s="14" t="n">
        <v>1001153.306595058</v>
      </c>
      <c r="P2589" s="14" t="n">
        <v>57532.68954626345</v>
      </c>
      <c r="Q2589" s="14" t="n">
        <v>6495161.987416586</v>
      </c>
      <c r="R2589" s="15">
        <f>IF(D2589=1,"Section 1","Control")</f>
        <v/>
      </c>
      <c r="S2589" s="16">
        <f>N2589/10000</f>
        <v/>
      </c>
      <c r="T2589" s="16">
        <f>P2589/10000</f>
        <v/>
      </c>
      <c r="U2589" s="15">
        <f>IF(N2589&gt;=Summary!$D$3,1,0)</f>
        <v/>
      </c>
      <c r="V2589" s="17">
        <f>IF(N2589&gt;0,P2589/N2589,"")</f>
        <v/>
      </c>
      <c r="W2589" s="17">
        <f>IF(O2589&gt;0,H2589/O2589,"")</f>
        <v/>
      </c>
    </row>
    <row r="2590">
      <c r="A2590" s="13" t="inlineStr">
        <is>
          <t>CW02_B2</t>
        </is>
      </c>
      <c r="B2590" s="13" t="inlineStr">
        <is>
          <t>CW02</t>
        </is>
      </c>
      <c r="C2590" s="13" t="inlineStr">
        <is>
          <t>B2</t>
        </is>
      </c>
      <c r="D2590" s="13" t="n">
        <v>0</v>
      </c>
      <c r="E2590" s="13" t="inlineStr">
        <is>
          <t>W</t>
        </is>
      </c>
      <c r="F2590" s="13" t="n">
        <v>2025</v>
      </c>
      <c r="G2590" s="14" t="n">
        <v>1001153.306595058</v>
      </c>
      <c r="H2590" s="14" t="n">
        <v>677993.2089246261</v>
      </c>
      <c r="I2590" s="14" t="n">
        <v>172048.9175954183</v>
      </c>
      <c r="J2590" s="14" t="n">
        <v>0</v>
      </c>
      <c r="K2590" s="14" t="n">
        <v>151111.1800750134</v>
      </c>
      <c r="L2590" s="14" t="n">
        <v>0</v>
      </c>
      <c r="M2590" s="14" t="n">
        <v>0</v>
      </c>
      <c r="N2590" s="14" t="n">
        <v>767227.6462534884</v>
      </c>
      <c r="O2590" s="14" t="n">
        <v>1001153.306595058</v>
      </c>
      <c r="P2590" s="14" t="n">
        <v>96177.69302840886</v>
      </c>
      <c r="Q2590" s="14" t="n">
        <v>6495161.987416587</v>
      </c>
      <c r="R2590" s="15">
        <f>IF(D2590=1,"Section 1","Control")</f>
        <v/>
      </c>
      <c r="S2590" s="16">
        <f>N2590/10000</f>
        <v/>
      </c>
      <c r="T2590" s="16">
        <f>P2590/10000</f>
        <v/>
      </c>
      <c r="U2590" s="15">
        <f>IF(N2590&gt;=Summary!$D$3,1,0)</f>
        <v/>
      </c>
      <c r="V2590" s="17">
        <f>IF(N2590&gt;0,P2590/N2590,"")</f>
        <v/>
      </c>
      <c r="W2590" s="17">
        <f>IF(O2590&gt;0,H2590/O2590,"")</f>
        <v/>
      </c>
    </row>
    <row r="2591">
      <c r="A2591" s="13" t="inlineStr">
        <is>
          <t>CW02_B2</t>
        </is>
      </c>
      <c r="B2591" s="13" t="inlineStr">
        <is>
          <t>CW02</t>
        </is>
      </c>
      <c r="C2591" s="13" t="inlineStr">
        <is>
          <t>B2</t>
        </is>
      </c>
      <c r="D2591" s="13" t="n">
        <v>0</v>
      </c>
      <c r="E2591" s="13" t="inlineStr">
        <is>
          <t>W</t>
        </is>
      </c>
      <c r="F2591" s="13" t="n">
        <v>2026</v>
      </c>
      <c r="G2591" s="14" t="n">
        <v>1001153.306595058</v>
      </c>
      <c r="H2591" s="14" t="n">
        <v>701872.4081074133</v>
      </c>
      <c r="I2591" s="14" t="n">
        <v>85846.11007869945</v>
      </c>
      <c r="J2591" s="14" t="n">
        <v>0</v>
      </c>
      <c r="K2591" s="14" t="n">
        <v>213434.7884089451</v>
      </c>
      <c r="L2591" s="14" t="n">
        <v>0</v>
      </c>
      <c r="M2591" s="14" t="n">
        <v>0</v>
      </c>
      <c r="N2591" s="14" t="n">
        <v>767227.6462534884</v>
      </c>
      <c r="O2591" s="14" t="n">
        <v>1001153.306595058</v>
      </c>
      <c r="P2591" s="14" t="n">
        <v>82846.37187793208</v>
      </c>
      <c r="Q2591" s="14" t="n">
        <v>6495161.987416587</v>
      </c>
      <c r="R2591" s="15">
        <f>IF(D2591=1,"Section 1","Control")</f>
        <v/>
      </c>
      <c r="S2591" s="16">
        <f>N2591/10000</f>
        <v/>
      </c>
      <c r="T2591" s="16">
        <f>P2591/10000</f>
        <v/>
      </c>
      <c r="U2591" s="15">
        <f>IF(N2591&gt;=Summary!$D$3,1,0)</f>
        <v/>
      </c>
      <c r="V2591" s="17">
        <f>IF(N2591&gt;0,P2591/N2591,"")</f>
        <v/>
      </c>
      <c r="W2591" s="17">
        <f>IF(O2591&gt;0,H2591/O2591,"")</f>
        <v/>
      </c>
    </row>
    <row r="2592">
      <c r="A2592" s="13" t="inlineStr">
        <is>
          <t>CW02_B3</t>
        </is>
      </c>
      <c r="B2592" s="13" t="inlineStr">
        <is>
          <t>CW02</t>
        </is>
      </c>
      <c r="C2592" s="13" t="inlineStr">
        <is>
          <t>B3</t>
        </is>
      </c>
      <c r="D2592" s="13" t="n">
        <v>0</v>
      </c>
      <c r="E2592" s="13" t="inlineStr">
        <is>
          <t>W</t>
        </is>
      </c>
      <c r="F2592" s="13" t="n">
        <v>2020</v>
      </c>
      <c r="G2592" s="14" t="n">
        <v>8009543.74643809</v>
      </c>
      <c r="H2592" s="14" t="n">
        <v>3413133.319556023</v>
      </c>
      <c r="I2592" s="14" t="n">
        <v>515167.6440808465</v>
      </c>
      <c r="J2592" s="14" t="n">
        <v>0</v>
      </c>
      <c r="K2592" s="14" t="n">
        <v>1024725.275357206</v>
      </c>
      <c r="L2592" s="14" t="n">
        <v>3056517.507444015</v>
      </c>
      <c r="M2592" s="14" t="n">
        <v>0</v>
      </c>
      <c r="N2592" s="14" t="n">
        <v>3413133.319556023</v>
      </c>
      <c r="O2592" s="14" t="n">
        <v>4953026.238994074</v>
      </c>
      <c r="P2592" s="14" t="n">
        <v>0</v>
      </c>
      <c r="Q2592" s="14" t="n">
        <v>30149722.28021228</v>
      </c>
      <c r="R2592" s="15">
        <f>IF(D2592=1,"Section 1","Control")</f>
        <v/>
      </c>
      <c r="S2592" s="16">
        <f>N2592/10000</f>
        <v/>
      </c>
      <c r="T2592" s="16">
        <f>P2592/10000</f>
        <v/>
      </c>
      <c r="U2592" s="15">
        <f>IF(N2592&gt;=Summary!$D$3,1,0)</f>
        <v/>
      </c>
      <c r="V2592" s="17">
        <f>IF(N2592&gt;0,P2592/N2592,"")</f>
        <v/>
      </c>
      <c r="W2592" s="17">
        <f>IF(O2592&gt;0,H2592/O2592,"")</f>
        <v/>
      </c>
    </row>
    <row r="2593">
      <c r="A2593" s="13" t="inlineStr">
        <is>
          <t>CW02_B3</t>
        </is>
      </c>
      <c r="B2593" s="13" t="inlineStr">
        <is>
          <t>CW02</t>
        </is>
      </c>
      <c r="C2593" s="13" t="inlineStr">
        <is>
          <t>B3</t>
        </is>
      </c>
      <c r="D2593" s="13" t="n">
        <v>0</v>
      </c>
      <c r="E2593" s="13" t="inlineStr">
        <is>
          <t>W</t>
        </is>
      </c>
      <c r="F2593" s="13" t="n">
        <v>2021</v>
      </c>
      <c r="G2593" s="14" t="n">
        <v>8009543.74643809</v>
      </c>
      <c r="H2593" s="14" t="n">
        <v>3028399.353178167</v>
      </c>
      <c r="I2593" s="14" t="n">
        <v>265877.9286187863</v>
      </c>
      <c r="J2593" s="14" t="n">
        <v>0</v>
      </c>
      <c r="K2593" s="14" t="n">
        <v>1666786.541332858</v>
      </c>
      <c r="L2593" s="14" t="n">
        <v>3048479.92330828</v>
      </c>
      <c r="M2593" s="14" t="n">
        <v>0</v>
      </c>
      <c r="N2593" s="14" t="n">
        <v>3413133.319556023</v>
      </c>
      <c r="O2593" s="14" t="n">
        <v>4953026.238994075</v>
      </c>
      <c r="P2593" s="14" t="n">
        <v>445542.7658201329</v>
      </c>
      <c r="Q2593" s="14" t="n">
        <v>30149722.28021228</v>
      </c>
      <c r="R2593" s="15">
        <f>IF(D2593=1,"Section 1","Control")</f>
        <v/>
      </c>
      <c r="S2593" s="16">
        <f>N2593/10000</f>
        <v/>
      </c>
      <c r="T2593" s="16">
        <f>P2593/10000</f>
        <v/>
      </c>
      <c r="U2593" s="15">
        <f>IF(N2593&gt;=Summary!$D$3,1,0)</f>
        <v/>
      </c>
      <c r="V2593" s="17">
        <f>IF(N2593&gt;0,P2593/N2593,"")</f>
        <v/>
      </c>
      <c r="W2593" s="17">
        <f>IF(O2593&gt;0,H2593/O2593,"")</f>
        <v/>
      </c>
    </row>
    <row r="2594">
      <c r="A2594" s="13" t="inlineStr">
        <is>
          <t>CW02_B3</t>
        </is>
      </c>
      <c r="B2594" s="13" t="inlineStr">
        <is>
          <t>CW02</t>
        </is>
      </c>
      <c r="C2594" s="13" t="inlineStr">
        <is>
          <t>B3</t>
        </is>
      </c>
      <c r="D2594" s="13" t="n">
        <v>0</v>
      </c>
      <c r="E2594" s="13" t="inlineStr">
        <is>
          <t>W</t>
        </is>
      </c>
      <c r="F2594" s="13" t="n">
        <v>2022</v>
      </c>
      <c r="G2594" s="14" t="n">
        <v>8009543.746438091</v>
      </c>
      <c r="H2594" s="14" t="n">
        <v>2913037.753308645</v>
      </c>
      <c r="I2594" s="14" t="n">
        <v>359114.2410868925</v>
      </c>
      <c r="J2594" s="14" t="n">
        <v>0</v>
      </c>
      <c r="K2594" s="14" t="n">
        <v>1683394.819550996</v>
      </c>
      <c r="L2594" s="14" t="n">
        <v>3053996.932491557</v>
      </c>
      <c r="M2594" s="14" t="n">
        <v>0</v>
      </c>
      <c r="N2594" s="14" t="n">
        <v>3413133.319556023</v>
      </c>
      <c r="O2594" s="14" t="n">
        <v>4953026.238994075</v>
      </c>
      <c r="P2594" s="14" t="n">
        <v>556293.0413601745</v>
      </c>
      <c r="Q2594" s="14" t="n">
        <v>30149722.28021228</v>
      </c>
      <c r="R2594" s="15">
        <f>IF(D2594=1,"Section 1","Control")</f>
        <v/>
      </c>
      <c r="S2594" s="16">
        <f>N2594/10000</f>
        <v/>
      </c>
      <c r="T2594" s="16">
        <f>P2594/10000</f>
        <v/>
      </c>
      <c r="U2594" s="15">
        <f>IF(N2594&gt;=Summary!$D$3,1,0)</f>
        <v/>
      </c>
      <c r="V2594" s="17">
        <f>IF(N2594&gt;0,P2594/N2594,"")</f>
        <v/>
      </c>
      <c r="W2594" s="17">
        <f>IF(O2594&gt;0,H2594/O2594,"")</f>
        <v/>
      </c>
    </row>
    <row r="2595">
      <c r="A2595" s="13" t="inlineStr">
        <is>
          <t>CW02_B3</t>
        </is>
      </c>
      <c r="B2595" s="13" t="inlineStr">
        <is>
          <t>CW02</t>
        </is>
      </c>
      <c r="C2595" s="13" t="inlineStr">
        <is>
          <t>B3</t>
        </is>
      </c>
      <c r="D2595" s="13" t="n">
        <v>0</v>
      </c>
      <c r="E2595" s="13" t="inlineStr">
        <is>
          <t>W</t>
        </is>
      </c>
      <c r="F2595" s="13" t="n">
        <v>2023</v>
      </c>
      <c r="G2595" s="14" t="n">
        <v>8009543.746438091</v>
      </c>
      <c r="H2595" s="14" t="n">
        <v>2916347.934448541</v>
      </c>
      <c r="I2595" s="14" t="n">
        <v>362028.6202791701</v>
      </c>
      <c r="J2595" s="14" t="n">
        <v>0</v>
      </c>
      <c r="K2595" s="14" t="n">
        <v>1637003.61832036</v>
      </c>
      <c r="L2595" s="14" t="n">
        <v>3094163.573390018</v>
      </c>
      <c r="M2595" s="14" t="n">
        <v>0</v>
      </c>
      <c r="N2595" s="14" t="n">
        <v>3413133.319556023</v>
      </c>
      <c r="O2595" s="14" t="n">
        <v>4953026.238994075</v>
      </c>
      <c r="P2595" s="14" t="n">
        <v>584443.3621778301</v>
      </c>
      <c r="Q2595" s="14" t="n">
        <v>30149722.28021228</v>
      </c>
      <c r="R2595" s="15">
        <f>IF(D2595=1,"Section 1","Control")</f>
        <v/>
      </c>
      <c r="S2595" s="16">
        <f>N2595/10000</f>
        <v/>
      </c>
      <c r="T2595" s="16">
        <f>P2595/10000</f>
        <v/>
      </c>
      <c r="U2595" s="15">
        <f>IF(N2595&gt;=Summary!$D$3,1,0)</f>
        <v/>
      </c>
      <c r="V2595" s="17">
        <f>IF(N2595&gt;0,P2595/N2595,"")</f>
        <v/>
      </c>
      <c r="W2595" s="17">
        <f>IF(O2595&gt;0,H2595/O2595,"")</f>
        <v/>
      </c>
    </row>
    <row r="2596">
      <c r="A2596" s="13" t="inlineStr">
        <is>
          <t>CW02_B3</t>
        </is>
      </c>
      <c r="B2596" s="13" t="inlineStr">
        <is>
          <t>CW02</t>
        </is>
      </c>
      <c r="C2596" s="13" t="inlineStr">
        <is>
          <t>B3</t>
        </is>
      </c>
      <c r="D2596" s="13" t="n">
        <v>0</v>
      </c>
      <c r="E2596" s="13" t="inlineStr">
        <is>
          <t>W</t>
        </is>
      </c>
      <c r="F2596" s="13" t="n">
        <v>2024</v>
      </c>
      <c r="G2596" s="14" t="n">
        <v>8009543.746438091</v>
      </c>
      <c r="H2596" s="14" t="n">
        <v>2850577.29036976</v>
      </c>
      <c r="I2596" s="14" t="n">
        <v>508264.6459706923</v>
      </c>
      <c r="J2596" s="14" t="n">
        <v>0</v>
      </c>
      <c r="K2596" s="14" t="n">
        <v>1582794.452789127</v>
      </c>
      <c r="L2596" s="14" t="n">
        <v>3067907.357308511</v>
      </c>
      <c r="M2596" s="14" t="n">
        <v>0</v>
      </c>
      <c r="N2596" s="14" t="n">
        <v>3413133.319556023</v>
      </c>
      <c r="O2596" s="14" t="n">
        <v>4953026.238994075</v>
      </c>
      <c r="P2596" s="14" t="n">
        <v>662165.6819725484</v>
      </c>
      <c r="Q2596" s="14" t="n">
        <v>30149722.28021228</v>
      </c>
      <c r="R2596" s="15">
        <f>IF(D2596=1,"Section 1","Control")</f>
        <v/>
      </c>
      <c r="S2596" s="16">
        <f>N2596/10000</f>
        <v/>
      </c>
      <c r="T2596" s="16">
        <f>P2596/10000</f>
        <v/>
      </c>
      <c r="U2596" s="15">
        <f>IF(N2596&gt;=Summary!$D$3,1,0)</f>
        <v/>
      </c>
      <c r="V2596" s="17">
        <f>IF(N2596&gt;0,P2596/N2596,"")</f>
        <v/>
      </c>
      <c r="W2596" s="17">
        <f>IF(O2596&gt;0,H2596/O2596,"")</f>
        <v/>
      </c>
    </row>
    <row r="2597">
      <c r="A2597" s="13" t="inlineStr">
        <is>
          <t>CW02_B3</t>
        </is>
      </c>
      <c r="B2597" s="13" t="inlineStr">
        <is>
          <t>CW02</t>
        </is>
      </c>
      <c r="C2597" s="13" t="inlineStr">
        <is>
          <t>B3</t>
        </is>
      </c>
      <c r="D2597" s="13" t="n">
        <v>0</v>
      </c>
      <c r="E2597" s="13" t="inlineStr">
        <is>
          <t>W</t>
        </is>
      </c>
      <c r="F2597" s="13" t="n">
        <v>2025</v>
      </c>
      <c r="G2597" s="14" t="n">
        <v>8009543.74643809</v>
      </c>
      <c r="H2597" s="14" t="n">
        <v>2644699.052329449</v>
      </c>
      <c r="I2597" s="14" t="n">
        <v>783144.5992011575</v>
      </c>
      <c r="J2597" s="14" t="n">
        <v>0</v>
      </c>
      <c r="K2597" s="14" t="n">
        <v>1500245.112673023</v>
      </c>
      <c r="L2597" s="14" t="n">
        <v>3081454.982234461</v>
      </c>
      <c r="M2597" s="14" t="n">
        <v>0</v>
      </c>
      <c r="N2597" s="14" t="n">
        <v>3413133.319556023</v>
      </c>
      <c r="O2597" s="14" t="n">
        <v>4953026.238994074</v>
      </c>
      <c r="P2597" s="14" t="n">
        <v>845634.7601275576</v>
      </c>
      <c r="Q2597" s="14" t="n">
        <v>30149722.28021228</v>
      </c>
      <c r="R2597" s="15">
        <f>IF(D2597=1,"Section 1","Control")</f>
        <v/>
      </c>
      <c r="S2597" s="16">
        <f>N2597/10000</f>
        <v/>
      </c>
      <c r="T2597" s="16">
        <f>P2597/10000</f>
        <v/>
      </c>
      <c r="U2597" s="15">
        <f>IF(N2597&gt;=Summary!$D$3,1,0)</f>
        <v/>
      </c>
      <c r="V2597" s="17">
        <f>IF(N2597&gt;0,P2597/N2597,"")</f>
        <v/>
      </c>
      <c r="W2597" s="17">
        <f>IF(O2597&gt;0,H2597/O2597,"")</f>
        <v/>
      </c>
    </row>
    <row r="2598">
      <c r="A2598" s="13" t="inlineStr">
        <is>
          <t>CW02_B3</t>
        </is>
      </c>
      <c r="B2598" s="13" t="inlineStr">
        <is>
          <t>CW02</t>
        </is>
      </c>
      <c r="C2598" s="13" t="inlineStr">
        <is>
          <t>B3</t>
        </is>
      </c>
      <c r="D2598" s="13" t="n">
        <v>0</v>
      </c>
      <c r="E2598" s="13" t="inlineStr">
        <is>
          <t>W</t>
        </is>
      </c>
      <c r="F2598" s="13" t="n">
        <v>2026</v>
      </c>
      <c r="G2598" s="14" t="n">
        <v>8009543.746438091</v>
      </c>
      <c r="H2598" s="14" t="n">
        <v>2967942.459270402</v>
      </c>
      <c r="I2598" s="14" t="n">
        <v>280402.8094910866</v>
      </c>
      <c r="J2598" s="14" t="n">
        <v>0</v>
      </c>
      <c r="K2598" s="14" t="n">
        <v>1662408.041584778</v>
      </c>
      <c r="L2598" s="14" t="n">
        <v>3098790.436091824</v>
      </c>
      <c r="M2598" s="14" t="n">
        <v>0</v>
      </c>
      <c r="N2598" s="14" t="n">
        <v>3413133.319556023</v>
      </c>
      <c r="O2598" s="14" t="n">
        <v>4953026.238994075</v>
      </c>
      <c r="P2598" s="14" t="n">
        <v>631069.9471194397</v>
      </c>
      <c r="Q2598" s="14" t="n">
        <v>30149722.28021228</v>
      </c>
      <c r="R2598" s="15">
        <f>IF(D2598=1,"Section 1","Control")</f>
        <v/>
      </c>
      <c r="S2598" s="16">
        <f>N2598/10000</f>
        <v/>
      </c>
      <c r="T2598" s="16">
        <f>P2598/10000</f>
        <v/>
      </c>
      <c r="U2598" s="15">
        <f>IF(N2598&gt;=Summary!$D$3,1,0)</f>
        <v/>
      </c>
      <c r="V2598" s="17">
        <f>IF(N2598&gt;0,P2598/N2598,"")</f>
        <v/>
      </c>
      <c r="W2598" s="17">
        <f>IF(O2598&gt;0,H2598/O2598,"")</f>
        <v/>
      </c>
    </row>
    <row r="2599">
      <c r="A2599" s="13" t="inlineStr">
        <is>
          <t>CW02_F</t>
        </is>
      </c>
      <c r="B2599" s="13" t="inlineStr">
        <is>
          <t>CW02</t>
        </is>
      </c>
      <c r="C2599" s="13" t="inlineStr">
        <is>
          <t>F</t>
        </is>
      </c>
      <c r="D2599" s="13" t="n">
        <v>0</v>
      </c>
      <c r="E2599" s="13" t="inlineStr">
        <is>
          <t>W</t>
        </is>
      </c>
      <c r="F2599" s="13" t="n">
        <v>2020</v>
      </c>
      <c r="G2599" s="14" t="n">
        <v>69379.01281588688</v>
      </c>
      <c r="H2599" s="14" t="n">
        <v>52819.63833588245</v>
      </c>
      <c r="I2599" s="14" t="n">
        <v>13632.34767617618</v>
      </c>
      <c r="J2599" s="14" t="n">
        <v>0</v>
      </c>
      <c r="K2599" s="14" t="n">
        <v>2927.026803828221</v>
      </c>
      <c r="L2599" s="14" t="n">
        <v>0</v>
      </c>
      <c r="M2599" s="14" t="n">
        <v>0</v>
      </c>
      <c r="N2599" s="14" t="n">
        <v>52819.63833588245</v>
      </c>
      <c r="O2599" s="14" t="n">
        <v>69379.01281588688</v>
      </c>
      <c r="P2599" s="14" t="n">
        <v>0</v>
      </c>
      <c r="Q2599" s="14" t="n">
        <v>391670.4088941987</v>
      </c>
      <c r="R2599" s="15">
        <f>IF(D2599=1,"Section 1","Control")</f>
        <v/>
      </c>
      <c r="S2599" s="16">
        <f>N2599/10000</f>
        <v/>
      </c>
      <c r="T2599" s="16">
        <f>P2599/10000</f>
        <v/>
      </c>
      <c r="U2599" s="15">
        <f>IF(N2599&gt;=Summary!$D$3,1,0)</f>
        <v/>
      </c>
      <c r="V2599" s="17">
        <f>IF(N2599&gt;0,P2599/N2599,"")</f>
        <v/>
      </c>
      <c r="W2599" s="17">
        <f>IF(O2599&gt;0,H2599/O2599,"")</f>
        <v/>
      </c>
    </row>
    <row r="2600">
      <c r="A2600" s="13" t="inlineStr">
        <is>
          <t>CW02_F</t>
        </is>
      </c>
      <c r="B2600" s="13" t="inlineStr">
        <is>
          <t>CW02</t>
        </is>
      </c>
      <c r="C2600" s="13" t="inlineStr">
        <is>
          <t>F</t>
        </is>
      </c>
      <c r="D2600" s="13" t="n">
        <v>0</v>
      </c>
      <c r="E2600" s="13" t="inlineStr">
        <is>
          <t>W</t>
        </is>
      </c>
      <c r="F2600" s="13" t="n">
        <v>2021</v>
      </c>
      <c r="G2600" s="14" t="n">
        <v>69379.01281588688</v>
      </c>
      <c r="H2600" s="14" t="n">
        <v>45168.7191942402</v>
      </c>
      <c r="I2600" s="14" t="n">
        <v>14524.39428986194</v>
      </c>
      <c r="J2600" s="14" t="n">
        <v>0</v>
      </c>
      <c r="K2600" s="14" t="n">
        <v>9685.899331784716</v>
      </c>
      <c r="L2600" s="14" t="n">
        <v>0</v>
      </c>
      <c r="M2600" s="14" t="n">
        <v>0</v>
      </c>
      <c r="N2600" s="14" t="n">
        <v>52819.63833588245</v>
      </c>
      <c r="O2600" s="14" t="n">
        <v>69379.01281588688</v>
      </c>
      <c r="P2600" s="14" t="n">
        <v>8988.986975516525</v>
      </c>
      <c r="Q2600" s="14" t="n">
        <v>391670.4088941987</v>
      </c>
      <c r="R2600" s="15">
        <f>IF(D2600=1,"Section 1","Control")</f>
        <v/>
      </c>
      <c r="S2600" s="16">
        <f>N2600/10000</f>
        <v/>
      </c>
      <c r="T2600" s="16">
        <f>P2600/10000</f>
        <v/>
      </c>
      <c r="U2600" s="15">
        <f>IF(N2600&gt;=Summary!$D$3,1,0)</f>
        <v/>
      </c>
      <c r="V2600" s="17">
        <f>IF(N2600&gt;0,P2600/N2600,"")</f>
        <v/>
      </c>
      <c r="W2600" s="17">
        <f>IF(O2600&gt;0,H2600/O2600,"")</f>
        <v/>
      </c>
    </row>
    <row r="2601">
      <c r="A2601" s="13" t="inlineStr">
        <is>
          <t>CW02_F</t>
        </is>
      </c>
      <c r="B2601" s="13" t="inlineStr">
        <is>
          <t>CW02</t>
        </is>
      </c>
      <c r="C2601" s="13" t="inlineStr">
        <is>
          <t>F</t>
        </is>
      </c>
      <c r="D2601" s="13" t="n">
        <v>0</v>
      </c>
      <c r="E2601" s="13" t="inlineStr">
        <is>
          <t>W</t>
        </is>
      </c>
      <c r="F2601" s="13" t="n">
        <v>2022</v>
      </c>
      <c r="G2601" s="14" t="n">
        <v>69379.01281588688</v>
      </c>
      <c r="H2601" s="14" t="n">
        <v>45033.98275939342</v>
      </c>
      <c r="I2601" s="14" t="n">
        <v>11819.21944556143</v>
      </c>
      <c r="J2601" s="14" t="n">
        <v>0</v>
      </c>
      <c r="K2601" s="14" t="n">
        <v>12525.81061093199</v>
      </c>
      <c r="L2601" s="14" t="n">
        <v>0</v>
      </c>
      <c r="M2601" s="14" t="n">
        <v>0</v>
      </c>
      <c r="N2601" s="14" t="n">
        <v>52819.63833588245</v>
      </c>
      <c r="O2601" s="14" t="n">
        <v>69379.01281588688</v>
      </c>
      <c r="P2601" s="14" t="n">
        <v>9744.748159191657</v>
      </c>
      <c r="Q2601" s="14" t="n">
        <v>391670.4088941987</v>
      </c>
      <c r="R2601" s="15">
        <f>IF(D2601=1,"Section 1","Control")</f>
        <v/>
      </c>
      <c r="S2601" s="16">
        <f>N2601/10000</f>
        <v/>
      </c>
      <c r="T2601" s="16">
        <f>P2601/10000</f>
        <v/>
      </c>
      <c r="U2601" s="15">
        <f>IF(N2601&gt;=Summary!$D$3,1,0)</f>
        <v/>
      </c>
      <c r="V2601" s="17">
        <f>IF(N2601&gt;0,P2601/N2601,"")</f>
        <v/>
      </c>
      <c r="W2601" s="17">
        <f>IF(O2601&gt;0,H2601/O2601,"")</f>
        <v/>
      </c>
    </row>
    <row r="2602">
      <c r="A2602" s="13" t="inlineStr">
        <is>
          <t>CW02_F</t>
        </is>
      </c>
      <c r="B2602" s="13" t="inlineStr">
        <is>
          <t>CW02</t>
        </is>
      </c>
      <c r="C2602" s="13" t="inlineStr">
        <is>
          <t>F</t>
        </is>
      </c>
      <c r="D2602" s="13" t="n">
        <v>0</v>
      </c>
      <c r="E2602" s="13" t="inlineStr">
        <is>
          <t>W</t>
        </is>
      </c>
      <c r="F2602" s="13" t="n">
        <v>2023</v>
      </c>
      <c r="G2602" s="14" t="n">
        <v>69379.01281588688</v>
      </c>
      <c r="H2602" s="14" t="n">
        <v>43306.03271358715</v>
      </c>
      <c r="I2602" s="14" t="n">
        <v>17451.41861225203</v>
      </c>
      <c r="J2602" s="14" t="n">
        <v>0</v>
      </c>
      <c r="K2602" s="14" t="n">
        <v>8621.561490047679</v>
      </c>
      <c r="L2602" s="14" t="n">
        <v>0</v>
      </c>
      <c r="M2602" s="14" t="n">
        <v>0</v>
      </c>
      <c r="N2602" s="14" t="n">
        <v>52819.63833588245</v>
      </c>
      <c r="O2602" s="14" t="n">
        <v>69379.01281588688</v>
      </c>
      <c r="P2602" s="14" t="n">
        <v>11193.54726263308</v>
      </c>
      <c r="Q2602" s="14" t="n">
        <v>391670.4088941987</v>
      </c>
      <c r="R2602" s="15">
        <f>IF(D2602=1,"Section 1","Control")</f>
        <v/>
      </c>
      <c r="S2602" s="16">
        <f>N2602/10000</f>
        <v/>
      </c>
      <c r="T2602" s="16">
        <f>P2602/10000</f>
        <v/>
      </c>
      <c r="U2602" s="15">
        <f>IF(N2602&gt;=Summary!$D$3,1,0)</f>
        <v/>
      </c>
      <c r="V2602" s="17">
        <f>IF(N2602&gt;0,P2602/N2602,"")</f>
        <v/>
      </c>
      <c r="W2602" s="17">
        <f>IF(O2602&gt;0,H2602/O2602,"")</f>
        <v/>
      </c>
    </row>
    <row r="2603">
      <c r="A2603" s="13" t="inlineStr">
        <is>
          <t>CW02_F</t>
        </is>
      </c>
      <c r="B2603" s="13" t="inlineStr">
        <is>
          <t>CW02</t>
        </is>
      </c>
      <c r="C2603" s="13" t="inlineStr">
        <is>
          <t>F</t>
        </is>
      </c>
      <c r="D2603" s="13" t="n">
        <v>0</v>
      </c>
      <c r="E2603" s="13" t="inlineStr">
        <is>
          <t>W</t>
        </is>
      </c>
      <c r="F2603" s="13" t="n">
        <v>2024</v>
      </c>
      <c r="G2603" s="14" t="n">
        <v>69379.01281588688</v>
      </c>
      <c r="H2603" s="14" t="n">
        <v>51773.10900154861</v>
      </c>
      <c r="I2603" s="14" t="n">
        <v>7511.149971786199</v>
      </c>
      <c r="J2603" s="14" t="n">
        <v>0</v>
      </c>
      <c r="K2603" s="14" t="n">
        <v>10094.75384255203</v>
      </c>
      <c r="L2603" s="14" t="n">
        <v>0</v>
      </c>
      <c r="M2603" s="14" t="n">
        <v>0</v>
      </c>
      <c r="N2603" s="14" t="n">
        <v>52819.63833588245</v>
      </c>
      <c r="O2603" s="14" t="n">
        <v>69379.01281588688</v>
      </c>
      <c r="P2603" s="14" t="n">
        <v>6320.98070307713</v>
      </c>
      <c r="Q2603" s="14" t="n">
        <v>391670.4088941987</v>
      </c>
      <c r="R2603" s="15">
        <f>IF(D2603=1,"Section 1","Control")</f>
        <v/>
      </c>
      <c r="S2603" s="16">
        <f>N2603/10000</f>
        <v/>
      </c>
      <c r="T2603" s="16">
        <f>P2603/10000</f>
        <v/>
      </c>
      <c r="U2603" s="15">
        <f>IF(N2603&gt;=Summary!$D$3,1,0)</f>
        <v/>
      </c>
      <c r="V2603" s="17">
        <f>IF(N2603&gt;0,P2603/N2603,"")</f>
        <v/>
      </c>
      <c r="W2603" s="17">
        <f>IF(O2603&gt;0,H2603/O2603,"")</f>
        <v/>
      </c>
    </row>
    <row r="2604">
      <c r="A2604" s="13" t="inlineStr">
        <is>
          <t>CW02_F</t>
        </is>
      </c>
      <c r="B2604" s="13" t="inlineStr">
        <is>
          <t>CW02</t>
        </is>
      </c>
      <c r="C2604" s="13" t="inlineStr">
        <is>
          <t>F</t>
        </is>
      </c>
      <c r="D2604" s="13" t="n">
        <v>0</v>
      </c>
      <c r="E2604" s="13" t="inlineStr">
        <is>
          <t>W</t>
        </is>
      </c>
      <c r="F2604" s="13" t="n">
        <v>2025</v>
      </c>
      <c r="G2604" s="14" t="n">
        <v>69379.01281588688</v>
      </c>
      <c r="H2604" s="14" t="n">
        <v>35818.50304682115</v>
      </c>
      <c r="I2604" s="14" t="n">
        <v>22947.33011336981</v>
      </c>
      <c r="J2604" s="14" t="n">
        <v>0</v>
      </c>
      <c r="K2604" s="14" t="n">
        <v>10613.17965569589</v>
      </c>
      <c r="L2604" s="14" t="n">
        <v>0</v>
      </c>
      <c r="M2604" s="14" t="n">
        <v>0</v>
      </c>
      <c r="N2604" s="14" t="n">
        <v>52819.63833588245</v>
      </c>
      <c r="O2604" s="14" t="n">
        <v>69379.01281588688</v>
      </c>
      <c r="P2604" s="14" t="n">
        <v>17622.5471555822</v>
      </c>
      <c r="Q2604" s="14" t="n">
        <v>391670.4088941987</v>
      </c>
      <c r="R2604" s="15">
        <f>IF(D2604=1,"Section 1","Control")</f>
        <v/>
      </c>
      <c r="S2604" s="16">
        <f>N2604/10000</f>
        <v/>
      </c>
      <c r="T2604" s="16">
        <f>P2604/10000</f>
        <v/>
      </c>
      <c r="U2604" s="15">
        <f>IF(N2604&gt;=Summary!$D$3,1,0)</f>
        <v/>
      </c>
      <c r="V2604" s="17">
        <f>IF(N2604&gt;0,P2604/N2604,"")</f>
        <v/>
      </c>
      <c r="W2604" s="17">
        <f>IF(O2604&gt;0,H2604/O2604,"")</f>
        <v/>
      </c>
    </row>
    <row r="2605">
      <c r="A2605" s="13" t="inlineStr">
        <is>
          <t>CW02_F</t>
        </is>
      </c>
      <c r="B2605" s="13" t="inlineStr">
        <is>
          <t>CW02</t>
        </is>
      </c>
      <c r="C2605" s="13" t="inlineStr">
        <is>
          <t>F</t>
        </is>
      </c>
      <c r="D2605" s="13" t="n">
        <v>0</v>
      </c>
      <c r="E2605" s="13" t="inlineStr">
        <is>
          <t>W</t>
        </is>
      </c>
      <c r="F2605" s="13" t="n">
        <v>2026</v>
      </c>
      <c r="G2605" s="14" t="n">
        <v>69379.01281588688</v>
      </c>
      <c r="H2605" s="14" t="n">
        <v>38700.61755828857</v>
      </c>
      <c r="I2605" s="14" t="n">
        <v>7770.942362976073</v>
      </c>
      <c r="J2605" s="14" t="n">
        <v>0</v>
      </c>
      <c r="K2605" s="14" t="n">
        <v>22907.45289462221</v>
      </c>
      <c r="L2605" s="14" t="n">
        <v>0</v>
      </c>
      <c r="M2605" s="14" t="n">
        <v>0</v>
      </c>
      <c r="N2605" s="14" t="n">
        <v>52819.63833588245</v>
      </c>
      <c r="O2605" s="14" t="n">
        <v>69379.01281588688</v>
      </c>
      <c r="P2605" s="14" t="n">
        <v>16522.58856123382</v>
      </c>
      <c r="Q2605" s="14" t="n">
        <v>391670.4088941987</v>
      </c>
      <c r="R2605" s="15">
        <f>IF(D2605=1,"Section 1","Control")</f>
        <v/>
      </c>
      <c r="S2605" s="16">
        <f>N2605/10000</f>
        <v/>
      </c>
      <c r="T2605" s="16">
        <f>P2605/10000</f>
        <v/>
      </c>
      <c r="U2605" s="15">
        <f>IF(N2605&gt;=Summary!$D$3,1,0)</f>
        <v/>
      </c>
      <c r="V2605" s="17">
        <f>IF(N2605&gt;0,P2605/N2605,"")</f>
        <v/>
      </c>
      <c r="W2605" s="17">
        <f>IF(O2605&gt;0,H2605/O2605,"")</f>
        <v/>
      </c>
    </row>
    <row r="2606">
      <c r="A2606" s="13" t="inlineStr">
        <is>
          <t>CW03_B1</t>
        </is>
      </c>
      <c r="B2606" s="13" t="inlineStr">
        <is>
          <t>CW03</t>
        </is>
      </c>
      <c r="C2606" s="13" t="inlineStr">
        <is>
          <t>B1</t>
        </is>
      </c>
      <c r="D2606" s="13" t="n">
        <v>0</v>
      </c>
      <c r="E2606" s="13" t="inlineStr">
        <is>
          <t>W</t>
        </is>
      </c>
      <c r="F2606" s="13" t="n">
        <v>2020</v>
      </c>
      <c r="G2606" s="14" t="n">
        <v>975100.006809818</v>
      </c>
      <c r="H2606" s="14" t="n">
        <v>573532.1697574392</v>
      </c>
      <c r="I2606" s="14" t="n">
        <v>256796.125794594</v>
      </c>
      <c r="J2606" s="14" t="n">
        <v>0</v>
      </c>
      <c r="K2606" s="14" t="n">
        <v>144771.711257785</v>
      </c>
      <c r="L2606" s="14" t="n">
        <v>0</v>
      </c>
      <c r="M2606" s="14" t="n">
        <v>0</v>
      </c>
      <c r="N2606" s="14" t="n">
        <v>573532.1697574392</v>
      </c>
      <c r="O2606" s="14" t="n">
        <v>975100.006809818</v>
      </c>
      <c r="P2606" s="14" t="n">
        <v>0</v>
      </c>
      <c r="Q2606" s="14" t="n">
        <v>6052263.622882949</v>
      </c>
      <c r="R2606" s="15">
        <f>IF(D2606=1,"Section 1","Control")</f>
        <v/>
      </c>
      <c r="S2606" s="16">
        <f>N2606/10000</f>
        <v/>
      </c>
      <c r="T2606" s="16">
        <f>P2606/10000</f>
        <v/>
      </c>
      <c r="U2606" s="15">
        <f>IF(N2606&gt;=Summary!$D$3,1,0)</f>
        <v/>
      </c>
      <c r="V2606" s="17">
        <f>IF(N2606&gt;0,P2606/N2606,"")</f>
        <v/>
      </c>
      <c r="W2606" s="17">
        <f>IF(O2606&gt;0,H2606/O2606,"")</f>
        <v/>
      </c>
    </row>
    <row r="2607">
      <c r="A2607" s="13" t="inlineStr">
        <is>
          <t>CW03_B1</t>
        </is>
      </c>
      <c r="B2607" s="13" t="inlineStr">
        <is>
          <t>CW03</t>
        </is>
      </c>
      <c r="C2607" s="13" t="inlineStr">
        <is>
          <t>B1</t>
        </is>
      </c>
      <c r="D2607" s="13" t="n">
        <v>0</v>
      </c>
      <c r="E2607" s="13" t="inlineStr">
        <is>
          <t>W</t>
        </is>
      </c>
      <c r="F2607" s="13" t="n">
        <v>2021</v>
      </c>
      <c r="G2607" s="14" t="n">
        <v>975100.006809818</v>
      </c>
      <c r="H2607" s="14" t="n">
        <v>537169.2374970978</v>
      </c>
      <c r="I2607" s="14" t="n">
        <v>184743.9350150613</v>
      </c>
      <c r="J2607" s="14" t="n">
        <v>0</v>
      </c>
      <c r="K2607" s="14" t="n">
        <v>253186.8342976589</v>
      </c>
      <c r="L2607" s="14" t="n">
        <v>0</v>
      </c>
      <c r="M2607" s="14" t="n">
        <v>0</v>
      </c>
      <c r="N2607" s="14" t="n">
        <v>573532.1697574392</v>
      </c>
      <c r="O2607" s="14" t="n">
        <v>975100.006809818</v>
      </c>
      <c r="P2607" s="14" t="n">
        <v>67759.88023394416</v>
      </c>
      <c r="Q2607" s="14" t="n">
        <v>6052263.622882949</v>
      </c>
      <c r="R2607" s="15">
        <f>IF(D2607=1,"Section 1","Control")</f>
        <v/>
      </c>
      <c r="S2607" s="16">
        <f>N2607/10000</f>
        <v/>
      </c>
      <c r="T2607" s="16">
        <f>P2607/10000</f>
        <v/>
      </c>
      <c r="U2607" s="15">
        <f>IF(N2607&gt;=Summary!$D$3,1,0)</f>
        <v/>
      </c>
      <c r="V2607" s="17">
        <f>IF(N2607&gt;0,P2607/N2607,"")</f>
        <v/>
      </c>
      <c r="W2607" s="17">
        <f>IF(O2607&gt;0,H2607/O2607,"")</f>
        <v/>
      </c>
    </row>
    <row r="2608">
      <c r="A2608" s="13" t="inlineStr">
        <is>
          <t>CW03_B1</t>
        </is>
      </c>
      <c r="B2608" s="13" t="inlineStr">
        <is>
          <t>CW03</t>
        </is>
      </c>
      <c r="C2608" s="13" t="inlineStr">
        <is>
          <t>B1</t>
        </is>
      </c>
      <c r="D2608" s="13" t="n">
        <v>0</v>
      </c>
      <c r="E2608" s="13" t="inlineStr">
        <is>
          <t>W</t>
        </is>
      </c>
      <c r="F2608" s="13" t="n">
        <v>2022</v>
      </c>
      <c r="G2608" s="14" t="n">
        <v>975100.006809818</v>
      </c>
      <c r="H2608" s="14" t="n">
        <v>555068.5444380217</v>
      </c>
      <c r="I2608" s="14" t="n">
        <v>183963.9005806119</v>
      </c>
      <c r="J2608" s="14" t="n">
        <v>0</v>
      </c>
      <c r="K2608" s="14" t="n">
        <v>236067.5617911844</v>
      </c>
      <c r="L2608" s="14" t="n">
        <v>0</v>
      </c>
      <c r="M2608" s="14" t="n">
        <v>0</v>
      </c>
      <c r="N2608" s="14" t="n">
        <v>573532.1697574392</v>
      </c>
      <c r="O2608" s="14" t="n">
        <v>975100.006809818</v>
      </c>
      <c r="P2608" s="14" t="n">
        <v>69884.72962751202</v>
      </c>
      <c r="Q2608" s="14" t="n">
        <v>6052263.622882949</v>
      </c>
      <c r="R2608" s="15">
        <f>IF(D2608=1,"Section 1","Control")</f>
        <v/>
      </c>
      <c r="S2608" s="16">
        <f>N2608/10000</f>
        <v/>
      </c>
      <c r="T2608" s="16">
        <f>P2608/10000</f>
        <v/>
      </c>
      <c r="U2608" s="15">
        <f>IF(N2608&gt;=Summary!$D$3,1,0)</f>
        <v/>
      </c>
      <c r="V2608" s="17">
        <f>IF(N2608&gt;0,P2608/N2608,"")</f>
        <v/>
      </c>
      <c r="W2608" s="17">
        <f>IF(O2608&gt;0,H2608/O2608,"")</f>
        <v/>
      </c>
    </row>
    <row r="2609">
      <c r="A2609" s="13" t="inlineStr">
        <is>
          <t>CW03_B1</t>
        </is>
      </c>
      <c r="B2609" s="13" t="inlineStr">
        <is>
          <t>CW03</t>
        </is>
      </c>
      <c r="C2609" s="13" t="inlineStr">
        <is>
          <t>B1</t>
        </is>
      </c>
      <c r="D2609" s="13" t="n">
        <v>0</v>
      </c>
      <c r="E2609" s="13" t="inlineStr">
        <is>
          <t>W</t>
        </is>
      </c>
      <c r="F2609" s="13" t="n">
        <v>2023</v>
      </c>
      <c r="G2609" s="14" t="n">
        <v>975100.006809818</v>
      </c>
      <c r="H2609" s="14" t="n">
        <v>549011.9704284967</v>
      </c>
      <c r="I2609" s="14" t="n">
        <v>217176.075919746</v>
      </c>
      <c r="J2609" s="14" t="n">
        <v>0</v>
      </c>
      <c r="K2609" s="14" t="n">
        <v>208911.9604615754</v>
      </c>
      <c r="L2609" s="14" t="n">
        <v>0</v>
      </c>
      <c r="M2609" s="14" t="n">
        <v>0</v>
      </c>
      <c r="N2609" s="14" t="n">
        <v>573532.1697574392</v>
      </c>
      <c r="O2609" s="14" t="n">
        <v>975100.006809818</v>
      </c>
      <c r="P2609" s="14" t="n">
        <v>79084.34216302609</v>
      </c>
      <c r="Q2609" s="14" t="n">
        <v>6052263.622882949</v>
      </c>
      <c r="R2609" s="15">
        <f>IF(D2609=1,"Section 1","Control")</f>
        <v/>
      </c>
      <c r="S2609" s="16">
        <f>N2609/10000</f>
        <v/>
      </c>
      <c r="T2609" s="16">
        <f>P2609/10000</f>
        <v/>
      </c>
      <c r="U2609" s="15">
        <f>IF(N2609&gt;=Summary!$D$3,1,0)</f>
        <v/>
      </c>
      <c r="V2609" s="17">
        <f>IF(N2609&gt;0,P2609/N2609,"")</f>
        <v/>
      </c>
      <c r="W2609" s="17">
        <f>IF(O2609&gt;0,H2609/O2609,"")</f>
        <v/>
      </c>
    </row>
    <row r="2610">
      <c r="A2610" s="13" t="inlineStr">
        <is>
          <t>CW03_B1</t>
        </is>
      </c>
      <c r="B2610" s="13" t="inlineStr">
        <is>
          <t>CW03</t>
        </is>
      </c>
      <c r="C2610" s="13" t="inlineStr">
        <is>
          <t>B1</t>
        </is>
      </c>
      <c r="D2610" s="13" t="n">
        <v>0</v>
      </c>
      <c r="E2610" s="13" t="inlineStr">
        <is>
          <t>W</t>
        </is>
      </c>
      <c r="F2610" s="13" t="n">
        <v>2024</v>
      </c>
      <c r="G2610" s="14" t="n">
        <v>975100.006809818</v>
      </c>
      <c r="H2610" s="14" t="n">
        <v>568374.3984348072</v>
      </c>
      <c r="I2610" s="14" t="n">
        <v>196695.4541931452</v>
      </c>
      <c r="J2610" s="14" t="n">
        <v>0</v>
      </c>
      <c r="K2610" s="14" t="n">
        <v>210030.1541818656</v>
      </c>
      <c r="L2610" s="14" t="n">
        <v>0</v>
      </c>
      <c r="M2610" s="14" t="n">
        <v>0</v>
      </c>
      <c r="N2610" s="14" t="n">
        <v>573532.1697574392</v>
      </c>
      <c r="O2610" s="14" t="n">
        <v>975100.006809818</v>
      </c>
      <c r="P2610" s="14" t="n">
        <v>75055.10388587503</v>
      </c>
      <c r="Q2610" s="14" t="n">
        <v>6052263.622882949</v>
      </c>
      <c r="R2610" s="15">
        <f>IF(D2610=1,"Section 1","Control")</f>
        <v/>
      </c>
      <c r="S2610" s="16">
        <f>N2610/10000</f>
        <v/>
      </c>
      <c r="T2610" s="16">
        <f>P2610/10000</f>
        <v/>
      </c>
      <c r="U2610" s="15">
        <f>IF(N2610&gt;=Summary!$D$3,1,0)</f>
        <v/>
      </c>
      <c r="V2610" s="17">
        <f>IF(N2610&gt;0,P2610/N2610,"")</f>
        <v/>
      </c>
      <c r="W2610" s="17">
        <f>IF(O2610&gt;0,H2610/O2610,"")</f>
        <v/>
      </c>
    </row>
    <row r="2611">
      <c r="A2611" s="13" t="inlineStr">
        <is>
          <t>CW03_B1</t>
        </is>
      </c>
      <c r="B2611" s="13" t="inlineStr">
        <is>
          <t>CW03</t>
        </is>
      </c>
      <c r="C2611" s="13" t="inlineStr">
        <is>
          <t>B1</t>
        </is>
      </c>
      <c r="D2611" s="13" t="n">
        <v>0</v>
      </c>
      <c r="E2611" s="13" t="inlineStr">
        <is>
          <t>W</t>
        </is>
      </c>
      <c r="F2611" s="13" t="n">
        <v>2025</v>
      </c>
      <c r="G2611" s="14" t="n">
        <v>975100.006809818</v>
      </c>
      <c r="H2611" s="14" t="n">
        <v>472015.8575554343</v>
      </c>
      <c r="I2611" s="14" t="n">
        <v>318583.8135121962</v>
      </c>
      <c r="J2611" s="14" t="n">
        <v>0</v>
      </c>
      <c r="K2611" s="14" t="n">
        <v>184500.3357421875</v>
      </c>
      <c r="L2611" s="14" t="n">
        <v>0</v>
      </c>
      <c r="M2611" s="14" t="n">
        <v>0</v>
      </c>
      <c r="N2611" s="14" t="n">
        <v>573532.1697574392</v>
      </c>
      <c r="O2611" s="14" t="n">
        <v>975100.006809818</v>
      </c>
      <c r="P2611" s="14" t="n">
        <v>128804.2153305353</v>
      </c>
      <c r="Q2611" s="14" t="n">
        <v>6052263.622882949</v>
      </c>
      <c r="R2611" s="15">
        <f>IF(D2611=1,"Section 1","Control")</f>
        <v/>
      </c>
      <c r="S2611" s="16">
        <f>N2611/10000</f>
        <v/>
      </c>
      <c r="T2611" s="16">
        <f>P2611/10000</f>
        <v/>
      </c>
      <c r="U2611" s="15">
        <f>IF(N2611&gt;=Summary!$D$3,1,0)</f>
        <v/>
      </c>
      <c r="V2611" s="17">
        <f>IF(N2611&gt;0,P2611/N2611,"")</f>
        <v/>
      </c>
      <c r="W2611" s="17">
        <f>IF(O2611&gt;0,H2611/O2611,"")</f>
        <v/>
      </c>
    </row>
    <row r="2612">
      <c r="A2612" s="13" t="inlineStr">
        <is>
          <t>CW03_B1</t>
        </is>
      </c>
      <c r="B2612" s="13" t="inlineStr">
        <is>
          <t>CW03</t>
        </is>
      </c>
      <c r="C2612" s="13" t="inlineStr">
        <is>
          <t>B1</t>
        </is>
      </c>
      <c r="D2612" s="13" t="n">
        <v>0</v>
      </c>
      <c r="E2612" s="13" t="inlineStr">
        <is>
          <t>W</t>
        </is>
      </c>
      <c r="F2612" s="13" t="n">
        <v>2026</v>
      </c>
      <c r="G2612" s="14" t="n">
        <v>975100.006809818</v>
      </c>
      <c r="H2612" s="14" t="n">
        <v>525994.9082798079</v>
      </c>
      <c r="I2612" s="14" t="n">
        <v>198748.8915675444</v>
      </c>
      <c r="J2612" s="14" t="n">
        <v>0</v>
      </c>
      <c r="K2612" s="14" t="n">
        <v>250356.2069624658</v>
      </c>
      <c r="L2612" s="14" t="n">
        <v>0</v>
      </c>
      <c r="M2612" s="14" t="n">
        <v>0</v>
      </c>
      <c r="N2612" s="14" t="n">
        <v>573532.1697574392</v>
      </c>
      <c r="O2612" s="14" t="n">
        <v>975100.006809818</v>
      </c>
      <c r="P2612" s="14" t="n">
        <v>95989.9170754526</v>
      </c>
      <c r="Q2612" s="14" t="n">
        <v>6052263.622882949</v>
      </c>
      <c r="R2612" s="15">
        <f>IF(D2612=1,"Section 1","Control")</f>
        <v/>
      </c>
      <c r="S2612" s="16">
        <f>N2612/10000</f>
        <v/>
      </c>
      <c r="T2612" s="16">
        <f>P2612/10000</f>
        <v/>
      </c>
      <c r="U2612" s="15">
        <f>IF(N2612&gt;=Summary!$D$3,1,0)</f>
        <v/>
      </c>
      <c r="V2612" s="17">
        <f>IF(N2612&gt;0,P2612/N2612,"")</f>
        <v/>
      </c>
      <c r="W2612" s="17">
        <f>IF(O2612&gt;0,H2612/O2612,"")</f>
        <v/>
      </c>
    </row>
    <row r="2613">
      <c r="A2613" s="13" t="inlineStr">
        <is>
          <t>CW03_B2</t>
        </is>
      </c>
      <c r="B2613" s="13" t="inlineStr">
        <is>
          <t>CW03</t>
        </is>
      </c>
      <c r="C2613" s="13" t="inlineStr">
        <is>
          <t>B2</t>
        </is>
      </c>
      <c r="D2613" s="13" t="n">
        <v>0</v>
      </c>
      <c r="E2613" s="13" t="inlineStr">
        <is>
          <t>W</t>
        </is>
      </c>
      <c r="F2613" s="13" t="n">
        <v>2020</v>
      </c>
      <c r="G2613" s="14" t="n">
        <v>975102.3160964368</v>
      </c>
      <c r="H2613" s="14" t="n">
        <v>736201.5179475077</v>
      </c>
      <c r="I2613" s="14" t="n">
        <v>111422.8488534965</v>
      </c>
      <c r="J2613" s="14" t="n">
        <v>0</v>
      </c>
      <c r="K2613" s="14" t="n">
        <v>127477.9492954329</v>
      </c>
      <c r="L2613" s="14" t="n">
        <v>0</v>
      </c>
      <c r="M2613" s="14" t="n">
        <v>0</v>
      </c>
      <c r="N2613" s="14" t="n">
        <v>736201.5179475077</v>
      </c>
      <c r="O2613" s="14" t="n">
        <v>975102.3160964368</v>
      </c>
      <c r="P2613" s="14" t="n">
        <v>0</v>
      </c>
      <c r="Q2613" s="14" t="n">
        <v>6032847.68481891</v>
      </c>
      <c r="R2613" s="15">
        <f>IF(D2613=1,"Section 1","Control")</f>
        <v/>
      </c>
      <c r="S2613" s="16">
        <f>N2613/10000</f>
        <v/>
      </c>
      <c r="T2613" s="16">
        <f>P2613/10000</f>
        <v/>
      </c>
      <c r="U2613" s="15">
        <f>IF(N2613&gt;=Summary!$D$3,1,0)</f>
        <v/>
      </c>
      <c r="V2613" s="17">
        <f>IF(N2613&gt;0,P2613/N2613,"")</f>
        <v/>
      </c>
      <c r="W2613" s="17">
        <f>IF(O2613&gt;0,H2613/O2613,"")</f>
        <v/>
      </c>
    </row>
    <row r="2614">
      <c r="A2614" s="13" t="inlineStr">
        <is>
          <t>CW03_B2</t>
        </is>
      </c>
      <c r="B2614" s="13" t="inlineStr">
        <is>
          <t>CW03</t>
        </is>
      </c>
      <c r="C2614" s="13" t="inlineStr">
        <is>
          <t>B2</t>
        </is>
      </c>
      <c r="D2614" s="13" t="n">
        <v>0</v>
      </c>
      <c r="E2614" s="13" t="inlineStr">
        <is>
          <t>W</t>
        </is>
      </c>
      <c r="F2614" s="13" t="n">
        <v>2021</v>
      </c>
      <c r="G2614" s="14" t="n">
        <v>975102.3160964368</v>
      </c>
      <c r="H2614" s="14" t="n">
        <v>704682.9427530627</v>
      </c>
      <c r="I2614" s="14" t="n">
        <v>54929.10765742882</v>
      </c>
      <c r="J2614" s="14" t="n">
        <v>0</v>
      </c>
      <c r="K2614" s="14" t="n">
        <v>215490.2656859454</v>
      </c>
      <c r="L2614" s="14" t="n">
        <v>0</v>
      </c>
      <c r="M2614" s="14" t="n">
        <v>0</v>
      </c>
      <c r="N2614" s="14" t="n">
        <v>736201.5179475077</v>
      </c>
      <c r="O2614" s="14" t="n">
        <v>975102.3160964368</v>
      </c>
      <c r="P2614" s="14" t="n">
        <v>47399.4110806035</v>
      </c>
      <c r="Q2614" s="14" t="n">
        <v>6032847.68481891</v>
      </c>
      <c r="R2614" s="15">
        <f>IF(D2614=1,"Section 1","Control")</f>
        <v/>
      </c>
      <c r="S2614" s="16">
        <f>N2614/10000</f>
        <v/>
      </c>
      <c r="T2614" s="16">
        <f>P2614/10000</f>
        <v/>
      </c>
      <c r="U2614" s="15">
        <f>IF(N2614&gt;=Summary!$D$3,1,0)</f>
        <v/>
      </c>
      <c r="V2614" s="17">
        <f>IF(N2614&gt;0,P2614/N2614,"")</f>
        <v/>
      </c>
      <c r="W2614" s="17">
        <f>IF(O2614&gt;0,H2614/O2614,"")</f>
        <v/>
      </c>
    </row>
    <row r="2615">
      <c r="A2615" s="13" t="inlineStr">
        <is>
          <t>CW03_B2</t>
        </is>
      </c>
      <c r="B2615" s="13" t="inlineStr">
        <is>
          <t>CW03</t>
        </is>
      </c>
      <c r="C2615" s="13" t="inlineStr">
        <is>
          <t>B2</t>
        </is>
      </c>
      <c r="D2615" s="13" t="n">
        <v>0</v>
      </c>
      <c r="E2615" s="13" t="inlineStr">
        <is>
          <t>W</t>
        </is>
      </c>
      <c r="F2615" s="13" t="n">
        <v>2022</v>
      </c>
      <c r="G2615" s="14" t="n">
        <v>975102.3160964368</v>
      </c>
      <c r="H2615" s="14" t="n">
        <v>707502.3238842238</v>
      </c>
      <c r="I2615" s="14" t="n">
        <v>71937.03816848456</v>
      </c>
      <c r="J2615" s="14" t="n">
        <v>0</v>
      </c>
      <c r="K2615" s="14" t="n">
        <v>195662.9540437287</v>
      </c>
      <c r="L2615" s="14" t="n">
        <v>0</v>
      </c>
      <c r="M2615" s="14" t="n">
        <v>0</v>
      </c>
      <c r="N2615" s="14" t="n">
        <v>736201.5179475077</v>
      </c>
      <c r="O2615" s="14" t="n">
        <v>975102.3160964368</v>
      </c>
      <c r="P2615" s="14" t="n">
        <v>53767.33338572184</v>
      </c>
      <c r="Q2615" s="14" t="n">
        <v>6032847.68481891</v>
      </c>
      <c r="R2615" s="15">
        <f>IF(D2615=1,"Section 1","Control")</f>
        <v/>
      </c>
      <c r="S2615" s="16">
        <f>N2615/10000</f>
        <v/>
      </c>
      <c r="T2615" s="16">
        <f>P2615/10000</f>
        <v/>
      </c>
      <c r="U2615" s="15">
        <f>IF(N2615&gt;=Summary!$D$3,1,0)</f>
        <v/>
      </c>
      <c r="V2615" s="17">
        <f>IF(N2615&gt;0,P2615/N2615,"")</f>
        <v/>
      </c>
      <c r="W2615" s="17">
        <f>IF(O2615&gt;0,H2615/O2615,"")</f>
        <v/>
      </c>
    </row>
    <row r="2616">
      <c r="A2616" s="13" t="inlineStr">
        <is>
          <t>CW03_B2</t>
        </is>
      </c>
      <c r="B2616" s="13" t="inlineStr">
        <is>
          <t>CW03</t>
        </is>
      </c>
      <c r="C2616" s="13" t="inlineStr">
        <is>
          <t>B2</t>
        </is>
      </c>
      <c r="D2616" s="13" t="n">
        <v>0</v>
      </c>
      <c r="E2616" s="13" t="inlineStr">
        <is>
          <t>W</t>
        </is>
      </c>
      <c r="F2616" s="13" t="n">
        <v>2023</v>
      </c>
      <c r="G2616" s="14" t="n">
        <v>975102.3160964368</v>
      </c>
      <c r="H2616" s="14" t="n">
        <v>685470.7914668366</v>
      </c>
      <c r="I2616" s="14" t="n">
        <v>116849.1578860115</v>
      </c>
      <c r="J2616" s="14" t="n">
        <v>0</v>
      </c>
      <c r="K2616" s="14" t="n">
        <v>172782.3667435889</v>
      </c>
      <c r="L2616" s="14" t="n">
        <v>0</v>
      </c>
      <c r="M2616" s="14" t="n">
        <v>0</v>
      </c>
      <c r="N2616" s="14" t="n">
        <v>736201.5179475076</v>
      </c>
      <c r="O2616" s="14" t="n">
        <v>975102.3160964368</v>
      </c>
      <c r="P2616" s="14" t="n">
        <v>71185.66664051729</v>
      </c>
      <c r="Q2616" s="14" t="n">
        <v>6032847.68481891</v>
      </c>
      <c r="R2616" s="15">
        <f>IF(D2616=1,"Section 1","Control")</f>
        <v/>
      </c>
      <c r="S2616" s="16">
        <f>N2616/10000</f>
        <v/>
      </c>
      <c r="T2616" s="16">
        <f>P2616/10000</f>
        <v/>
      </c>
      <c r="U2616" s="15">
        <f>IF(N2616&gt;=Summary!$D$3,1,0)</f>
        <v/>
      </c>
      <c r="V2616" s="17">
        <f>IF(N2616&gt;0,P2616/N2616,"")</f>
        <v/>
      </c>
      <c r="W2616" s="17">
        <f>IF(O2616&gt;0,H2616/O2616,"")</f>
        <v/>
      </c>
    </row>
    <row r="2617">
      <c r="A2617" s="13" t="inlineStr">
        <is>
          <t>CW03_B2</t>
        </is>
      </c>
      <c r="B2617" s="13" t="inlineStr">
        <is>
          <t>CW03</t>
        </is>
      </c>
      <c r="C2617" s="13" t="inlineStr">
        <is>
          <t>B2</t>
        </is>
      </c>
      <c r="D2617" s="13" t="n">
        <v>0</v>
      </c>
      <c r="E2617" s="13" t="inlineStr">
        <is>
          <t>W</t>
        </is>
      </c>
      <c r="F2617" s="13" t="n">
        <v>2024</v>
      </c>
      <c r="G2617" s="14" t="n">
        <v>975102.3160964368</v>
      </c>
      <c r="H2617" s="14" t="n">
        <v>720087.8763703294</v>
      </c>
      <c r="I2617" s="14" t="n">
        <v>90559.08963946174</v>
      </c>
      <c r="J2617" s="14" t="n">
        <v>0</v>
      </c>
      <c r="K2617" s="14" t="n">
        <v>164455.350086646</v>
      </c>
      <c r="L2617" s="14" t="n">
        <v>0</v>
      </c>
      <c r="M2617" s="14" t="n">
        <v>0</v>
      </c>
      <c r="N2617" s="14" t="n">
        <v>736201.5179475077</v>
      </c>
      <c r="O2617" s="14" t="n">
        <v>975102.3160964368</v>
      </c>
      <c r="P2617" s="14" t="n">
        <v>57174.10964140051</v>
      </c>
      <c r="Q2617" s="14" t="n">
        <v>6032847.68481891</v>
      </c>
      <c r="R2617" s="15">
        <f>IF(D2617=1,"Section 1","Control")</f>
        <v/>
      </c>
      <c r="S2617" s="16">
        <f>N2617/10000</f>
        <v/>
      </c>
      <c r="T2617" s="16">
        <f>P2617/10000</f>
        <v/>
      </c>
      <c r="U2617" s="15">
        <f>IF(N2617&gt;=Summary!$D$3,1,0)</f>
        <v/>
      </c>
      <c r="V2617" s="17">
        <f>IF(N2617&gt;0,P2617/N2617,"")</f>
        <v/>
      </c>
      <c r="W2617" s="17">
        <f>IF(O2617&gt;0,H2617/O2617,"")</f>
        <v/>
      </c>
    </row>
    <row r="2618">
      <c r="A2618" s="13" t="inlineStr">
        <is>
          <t>CW03_B2</t>
        </is>
      </c>
      <c r="B2618" s="13" t="inlineStr">
        <is>
          <t>CW03</t>
        </is>
      </c>
      <c r="C2618" s="13" t="inlineStr">
        <is>
          <t>B2</t>
        </is>
      </c>
      <c r="D2618" s="13" t="n">
        <v>0</v>
      </c>
      <c r="E2618" s="13" t="inlineStr">
        <is>
          <t>W</t>
        </is>
      </c>
      <c r="F2618" s="13" t="n">
        <v>2025</v>
      </c>
      <c r="G2618" s="14" t="n">
        <v>975102.3160964368</v>
      </c>
      <c r="H2618" s="14" t="n">
        <v>620116.0068801284</v>
      </c>
      <c r="I2618" s="14" t="n">
        <v>214195.5938480752</v>
      </c>
      <c r="J2618" s="14" t="n">
        <v>0</v>
      </c>
      <c r="K2618" s="14" t="n">
        <v>140790.7153682335</v>
      </c>
      <c r="L2618" s="14" t="n">
        <v>0</v>
      </c>
      <c r="M2618" s="14" t="n">
        <v>0</v>
      </c>
      <c r="N2618" s="14" t="n">
        <v>736201.5179475077</v>
      </c>
      <c r="O2618" s="14" t="n">
        <v>975102.3160964368</v>
      </c>
      <c r="P2618" s="14" t="n">
        <v>125898.1155003267</v>
      </c>
      <c r="Q2618" s="14" t="n">
        <v>6032847.68481891</v>
      </c>
      <c r="R2618" s="15">
        <f>IF(D2618=1,"Section 1","Control")</f>
        <v/>
      </c>
      <c r="S2618" s="16">
        <f>N2618/10000</f>
        <v/>
      </c>
      <c r="T2618" s="16">
        <f>P2618/10000</f>
        <v/>
      </c>
      <c r="U2618" s="15">
        <f>IF(N2618&gt;=Summary!$D$3,1,0)</f>
        <v/>
      </c>
      <c r="V2618" s="17">
        <f>IF(N2618&gt;0,P2618/N2618,"")</f>
        <v/>
      </c>
      <c r="W2618" s="17">
        <f>IF(O2618&gt;0,H2618/O2618,"")</f>
        <v/>
      </c>
    </row>
    <row r="2619">
      <c r="A2619" s="13" t="inlineStr">
        <is>
          <t>CW03_B2</t>
        </is>
      </c>
      <c r="B2619" s="13" t="inlineStr">
        <is>
          <t>CW03</t>
        </is>
      </c>
      <c r="C2619" s="13" t="inlineStr">
        <is>
          <t>B2</t>
        </is>
      </c>
      <c r="D2619" s="13" t="n">
        <v>0</v>
      </c>
      <c r="E2619" s="13" t="inlineStr">
        <is>
          <t>W</t>
        </is>
      </c>
      <c r="F2619" s="13" t="n">
        <v>2026</v>
      </c>
      <c r="G2619" s="14" t="n">
        <v>975102.3160964368</v>
      </c>
      <c r="H2619" s="14" t="n">
        <v>674799.8017632281</v>
      </c>
      <c r="I2619" s="14" t="n">
        <v>84177.23212576473</v>
      </c>
      <c r="J2619" s="14" t="n">
        <v>0</v>
      </c>
      <c r="K2619" s="14" t="n">
        <v>216125.2822074442</v>
      </c>
      <c r="L2619" s="14" t="n">
        <v>0</v>
      </c>
      <c r="M2619" s="14" t="n">
        <v>0</v>
      </c>
      <c r="N2619" s="14" t="n">
        <v>736201.5179475076</v>
      </c>
      <c r="O2619" s="14" t="n">
        <v>975102.3160964368</v>
      </c>
      <c r="P2619" s="14" t="n">
        <v>85324.59830747118</v>
      </c>
      <c r="Q2619" s="14" t="n">
        <v>6032847.68481891</v>
      </c>
      <c r="R2619" s="15">
        <f>IF(D2619=1,"Section 1","Control")</f>
        <v/>
      </c>
      <c r="S2619" s="16">
        <f>N2619/10000</f>
        <v/>
      </c>
      <c r="T2619" s="16">
        <f>P2619/10000</f>
        <v/>
      </c>
      <c r="U2619" s="15">
        <f>IF(N2619&gt;=Summary!$D$3,1,0)</f>
        <v/>
      </c>
      <c r="V2619" s="17">
        <f>IF(N2619&gt;0,P2619/N2619,"")</f>
        <v/>
      </c>
      <c r="W2619" s="17">
        <f>IF(O2619&gt;0,H2619/O2619,"")</f>
        <v/>
      </c>
    </row>
    <row r="2620">
      <c r="A2620" s="13" t="inlineStr">
        <is>
          <t>CW03_B3</t>
        </is>
      </c>
      <c r="B2620" s="13" t="inlineStr">
        <is>
          <t>CW03</t>
        </is>
      </c>
      <c r="C2620" s="13" t="inlineStr">
        <is>
          <t>B3</t>
        </is>
      </c>
      <c r="D2620" s="13" t="n">
        <v>0</v>
      </c>
      <c r="E2620" s="13" t="inlineStr">
        <is>
          <t>W</t>
        </is>
      </c>
      <c r="F2620" s="13" t="n">
        <v>2020</v>
      </c>
      <c r="G2620" s="14" t="n">
        <v>7799711.910207892</v>
      </c>
      <c r="H2620" s="14" t="n">
        <v>3580227.226996748</v>
      </c>
      <c r="I2620" s="14" t="n">
        <v>445648.0555797202</v>
      </c>
      <c r="J2620" s="14" t="n">
        <v>0</v>
      </c>
      <c r="K2620" s="14" t="n">
        <v>790046.6217582554</v>
      </c>
      <c r="L2620" s="14" t="n">
        <v>2983790.005873168</v>
      </c>
      <c r="M2620" s="14" t="n">
        <v>0</v>
      </c>
      <c r="N2620" s="14" t="n">
        <v>3580227.226996748</v>
      </c>
      <c r="O2620" s="14" t="n">
        <v>4815921.904334722</v>
      </c>
      <c r="P2620" s="14" t="n">
        <v>0</v>
      </c>
      <c r="Q2620" s="14" t="n">
        <v>29726420.61832835</v>
      </c>
      <c r="R2620" s="15">
        <f>IF(D2620=1,"Section 1","Control")</f>
        <v/>
      </c>
      <c r="S2620" s="16">
        <f>N2620/10000</f>
        <v/>
      </c>
      <c r="T2620" s="16">
        <f>P2620/10000</f>
        <v/>
      </c>
      <c r="U2620" s="15">
        <f>IF(N2620&gt;=Summary!$D$3,1,0)</f>
        <v/>
      </c>
      <c r="V2620" s="17">
        <f>IF(N2620&gt;0,P2620/N2620,"")</f>
        <v/>
      </c>
      <c r="W2620" s="17">
        <f>IF(O2620&gt;0,H2620/O2620,"")</f>
        <v/>
      </c>
    </row>
    <row r="2621">
      <c r="A2621" s="13" t="inlineStr">
        <is>
          <t>CW03_B3</t>
        </is>
      </c>
      <c r="B2621" s="13" t="inlineStr">
        <is>
          <t>CW03</t>
        </is>
      </c>
      <c r="C2621" s="13" t="inlineStr">
        <is>
          <t>B3</t>
        </is>
      </c>
      <c r="D2621" s="13" t="n">
        <v>0</v>
      </c>
      <c r="E2621" s="13" t="inlineStr">
        <is>
          <t>W</t>
        </is>
      </c>
      <c r="F2621" s="13" t="n">
        <v>2021</v>
      </c>
      <c r="G2621" s="14" t="n">
        <v>7799711.910207892</v>
      </c>
      <c r="H2621" s="14" t="n">
        <v>3224434.066631153</v>
      </c>
      <c r="I2621" s="14" t="n">
        <v>282125.4044807284</v>
      </c>
      <c r="J2621" s="14" t="n">
        <v>0</v>
      </c>
      <c r="K2621" s="14" t="n">
        <v>1299962.733153011</v>
      </c>
      <c r="L2621" s="14" t="n">
        <v>2993189.705943</v>
      </c>
      <c r="M2621" s="14" t="n">
        <v>0</v>
      </c>
      <c r="N2621" s="14" t="n">
        <v>3580227.226996748</v>
      </c>
      <c r="O2621" s="14" t="n">
        <v>4815921.904334723</v>
      </c>
      <c r="P2621" s="14" t="n">
        <v>409602.600574299</v>
      </c>
      <c r="Q2621" s="14" t="n">
        <v>29726420.61832835</v>
      </c>
      <c r="R2621" s="15">
        <f>IF(D2621=1,"Section 1","Control")</f>
        <v/>
      </c>
      <c r="S2621" s="16">
        <f>N2621/10000</f>
        <v/>
      </c>
      <c r="T2621" s="16">
        <f>P2621/10000</f>
        <v/>
      </c>
      <c r="U2621" s="15">
        <f>IF(N2621&gt;=Summary!$D$3,1,0)</f>
        <v/>
      </c>
      <c r="V2621" s="17">
        <f>IF(N2621&gt;0,P2621/N2621,"")</f>
        <v/>
      </c>
      <c r="W2621" s="17">
        <f>IF(O2621&gt;0,H2621/O2621,"")</f>
        <v/>
      </c>
    </row>
    <row r="2622">
      <c r="A2622" s="13" t="inlineStr">
        <is>
          <t>CW03_B3</t>
        </is>
      </c>
      <c r="B2622" s="13" t="inlineStr">
        <is>
          <t>CW03</t>
        </is>
      </c>
      <c r="C2622" s="13" t="inlineStr">
        <is>
          <t>B3</t>
        </is>
      </c>
      <c r="D2622" s="13" t="n">
        <v>0</v>
      </c>
      <c r="E2622" s="13" t="inlineStr">
        <is>
          <t>W</t>
        </is>
      </c>
      <c r="F2622" s="13" t="n">
        <v>2022</v>
      </c>
      <c r="G2622" s="14" t="n">
        <v>7799711.910207892</v>
      </c>
      <c r="H2622" s="14" t="n">
        <v>3085007.843409759</v>
      </c>
      <c r="I2622" s="14" t="n">
        <v>376086.6054256663</v>
      </c>
      <c r="J2622" s="14" t="n">
        <v>0</v>
      </c>
      <c r="K2622" s="14" t="n">
        <v>1348100.105700564</v>
      </c>
      <c r="L2622" s="14" t="n">
        <v>2990517.355671902</v>
      </c>
      <c r="M2622" s="14" t="n">
        <v>0</v>
      </c>
      <c r="N2622" s="14" t="n">
        <v>3580227.226996748</v>
      </c>
      <c r="O2622" s="14" t="n">
        <v>4815921.904334723</v>
      </c>
      <c r="P2622" s="14" t="n">
        <v>543944.6865297505</v>
      </c>
      <c r="Q2622" s="14" t="n">
        <v>29726420.61832835</v>
      </c>
      <c r="R2622" s="15">
        <f>IF(D2622=1,"Section 1","Control")</f>
        <v/>
      </c>
      <c r="S2622" s="16">
        <f>N2622/10000</f>
        <v/>
      </c>
      <c r="T2622" s="16">
        <f>P2622/10000</f>
        <v/>
      </c>
      <c r="U2622" s="15">
        <f>IF(N2622&gt;=Summary!$D$3,1,0)</f>
        <v/>
      </c>
      <c r="V2622" s="17">
        <f>IF(N2622&gt;0,P2622/N2622,"")</f>
        <v/>
      </c>
      <c r="W2622" s="17">
        <f>IF(O2622&gt;0,H2622/O2622,"")</f>
        <v/>
      </c>
    </row>
    <row r="2623">
      <c r="A2623" s="13" t="inlineStr">
        <is>
          <t>CW03_B3</t>
        </is>
      </c>
      <c r="B2623" s="13" t="inlineStr">
        <is>
          <t>CW03</t>
        </is>
      </c>
      <c r="C2623" s="13" t="inlineStr">
        <is>
          <t>B3</t>
        </is>
      </c>
      <c r="D2623" s="13" t="n">
        <v>0</v>
      </c>
      <c r="E2623" s="13" t="inlineStr">
        <is>
          <t>W</t>
        </is>
      </c>
      <c r="F2623" s="13" t="n">
        <v>2023</v>
      </c>
      <c r="G2623" s="14" t="n">
        <v>7799711.910207891</v>
      </c>
      <c r="H2623" s="14" t="n">
        <v>3066405.703386704</v>
      </c>
      <c r="I2623" s="14" t="n">
        <v>373994.4192606309</v>
      </c>
      <c r="J2623" s="14" t="n">
        <v>0</v>
      </c>
      <c r="K2623" s="14" t="n">
        <v>1317169.528877378</v>
      </c>
      <c r="L2623" s="14" t="n">
        <v>3042142.258683179</v>
      </c>
      <c r="M2623" s="14" t="n">
        <v>0</v>
      </c>
      <c r="N2623" s="14" t="n">
        <v>3580227.226996748</v>
      </c>
      <c r="O2623" s="14" t="n">
        <v>4815921.904334723</v>
      </c>
      <c r="P2623" s="14" t="n">
        <v>572231.545881922</v>
      </c>
      <c r="Q2623" s="14" t="n">
        <v>29726420.61832835</v>
      </c>
      <c r="R2623" s="15">
        <f>IF(D2623=1,"Section 1","Control")</f>
        <v/>
      </c>
      <c r="S2623" s="16">
        <f>N2623/10000</f>
        <v/>
      </c>
      <c r="T2623" s="16">
        <f>P2623/10000</f>
        <v/>
      </c>
      <c r="U2623" s="15">
        <f>IF(N2623&gt;=Summary!$D$3,1,0)</f>
        <v/>
      </c>
      <c r="V2623" s="17">
        <f>IF(N2623&gt;0,P2623/N2623,"")</f>
        <v/>
      </c>
      <c r="W2623" s="17">
        <f>IF(O2623&gt;0,H2623/O2623,"")</f>
        <v/>
      </c>
    </row>
    <row r="2624">
      <c r="A2624" s="13" t="inlineStr">
        <is>
          <t>CW03_B3</t>
        </is>
      </c>
      <c r="B2624" s="13" t="inlineStr">
        <is>
          <t>CW03</t>
        </is>
      </c>
      <c r="C2624" s="13" t="inlineStr">
        <is>
          <t>B3</t>
        </is>
      </c>
      <c r="D2624" s="13" t="n">
        <v>0</v>
      </c>
      <c r="E2624" s="13" t="inlineStr">
        <is>
          <t>W</t>
        </is>
      </c>
      <c r="F2624" s="13" t="n">
        <v>2024</v>
      </c>
      <c r="G2624" s="14" t="n">
        <v>7799711.910207891</v>
      </c>
      <c r="H2624" s="14" t="n">
        <v>3023457.915296608</v>
      </c>
      <c r="I2624" s="14" t="n">
        <v>491780.6526385438</v>
      </c>
      <c r="J2624" s="14" t="n">
        <v>0</v>
      </c>
      <c r="K2624" s="14" t="n">
        <v>1290038.448228066</v>
      </c>
      <c r="L2624" s="14" t="n">
        <v>2994434.894044675</v>
      </c>
      <c r="M2624" s="14" t="n">
        <v>0</v>
      </c>
      <c r="N2624" s="14" t="n">
        <v>3580227.226996748</v>
      </c>
      <c r="O2624" s="14" t="n">
        <v>4815921.904334723</v>
      </c>
      <c r="P2624" s="14" t="n">
        <v>622693.7857402129</v>
      </c>
      <c r="Q2624" s="14" t="n">
        <v>29726420.61832834</v>
      </c>
      <c r="R2624" s="15">
        <f>IF(D2624=1,"Section 1","Control")</f>
        <v/>
      </c>
      <c r="S2624" s="16">
        <f>N2624/10000</f>
        <v/>
      </c>
      <c r="T2624" s="16">
        <f>P2624/10000</f>
        <v/>
      </c>
      <c r="U2624" s="15">
        <f>IF(N2624&gt;=Summary!$D$3,1,0)</f>
        <v/>
      </c>
      <c r="V2624" s="17">
        <f>IF(N2624&gt;0,P2624/N2624,"")</f>
        <v/>
      </c>
      <c r="W2624" s="17">
        <f>IF(O2624&gt;0,H2624/O2624,"")</f>
        <v/>
      </c>
    </row>
    <row r="2625">
      <c r="A2625" s="13" t="inlineStr">
        <is>
          <t>CW03_B3</t>
        </is>
      </c>
      <c r="B2625" s="13" t="inlineStr">
        <is>
          <t>CW03</t>
        </is>
      </c>
      <c r="C2625" s="13" t="inlineStr">
        <is>
          <t>B3</t>
        </is>
      </c>
      <c r="D2625" s="13" t="n">
        <v>0</v>
      </c>
      <c r="E2625" s="13" t="inlineStr">
        <is>
          <t>W</t>
        </is>
      </c>
      <c r="F2625" s="13" t="n">
        <v>2025</v>
      </c>
      <c r="G2625" s="14" t="n">
        <v>7799711.910207891</v>
      </c>
      <c r="H2625" s="14" t="n">
        <v>2894507.245147197</v>
      </c>
      <c r="I2625" s="14" t="n">
        <v>670657.0458660051</v>
      </c>
      <c r="J2625" s="14" t="n">
        <v>0</v>
      </c>
      <c r="K2625" s="14" t="n">
        <v>1229460.492762368</v>
      </c>
      <c r="L2625" s="14" t="n">
        <v>3005087.126432322</v>
      </c>
      <c r="M2625" s="14" t="n">
        <v>0</v>
      </c>
      <c r="N2625" s="14" t="n">
        <v>3580227.226996748</v>
      </c>
      <c r="O2625" s="14" t="n">
        <v>4815921.904334723</v>
      </c>
      <c r="P2625" s="14" t="n">
        <v>749925.43132776</v>
      </c>
      <c r="Q2625" s="14" t="n">
        <v>29726420.61832835</v>
      </c>
      <c r="R2625" s="15">
        <f>IF(D2625=1,"Section 1","Control")</f>
        <v/>
      </c>
      <c r="S2625" s="16">
        <f>N2625/10000</f>
        <v/>
      </c>
      <c r="T2625" s="16">
        <f>P2625/10000</f>
        <v/>
      </c>
      <c r="U2625" s="15">
        <f>IF(N2625&gt;=Summary!$D$3,1,0)</f>
        <v/>
      </c>
      <c r="V2625" s="17">
        <f>IF(N2625&gt;0,P2625/N2625,"")</f>
        <v/>
      </c>
      <c r="W2625" s="17">
        <f>IF(O2625&gt;0,H2625/O2625,"")</f>
        <v/>
      </c>
    </row>
    <row r="2626">
      <c r="A2626" s="13" t="inlineStr">
        <is>
          <t>CW03_B3</t>
        </is>
      </c>
      <c r="B2626" s="13" t="inlineStr">
        <is>
          <t>CW03</t>
        </is>
      </c>
      <c r="C2626" s="13" t="inlineStr">
        <is>
          <t>B3</t>
        </is>
      </c>
      <c r="D2626" s="13" t="n">
        <v>0</v>
      </c>
      <c r="E2626" s="13" t="inlineStr">
        <is>
          <t>W</t>
        </is>
      </c>
      <c r="F2626" s="13" t="n">
        <v>2026</v>
      </c>
      <c r="G2626" s="14" t="n">
        <v>7799711.910207891</v>
      </c>
      <c r="H2626" s="14" t="n">
        <v>3123484.125367288</v>
      </c>
      <c r="I2626" s="14" t="n">
        <v>267313.0547285491</v>
      </c>
      <c r="J2626" s="14" t="n">
        <v>0</v>
      </c>
      <c r="K2626" s="14" t="n">
        <v>1360190.730079621</v>
      </c>
      <c r="L2626" s="14" t="n">
        <v>3048724.000032433</v>
      </c>
      <c r="M2626" s="14" t="n">
        <v>0</v>
      </c>
      <c r="N2626" s="14" t="n">
        <v>3580227.226996748</v>
      </c>
      <c r="O2626" s="14" t="n">
        <v>4815921.904334723</v>
      </c>
      <c r="P2626" s="14" t="n">
        <v>590530.6338267308</v>
      </c>
      <c r="Q2626" s="14" t="n">
        <v>29726420.61832835</v>
      </c>
      <c r="R2626" s="15">
        <f>IF(D2626=1,"Section 1","Control")</f>
        <v/>
      </c>
      <c r="S2626" s="16">
        <f>N2626/10000</f>
        <v/>
      </c>
      <c r="T2626" s="16">
        <f>P2626/10000</f>
        <v/>
      </c>
      <c r="U2626" s="15">
        <f>IF(N2626&gt;=Summary!$D$3,1,0)</f>
        <v/>
      </c>
      <c r="V2626" s="17">
        <f>IF(N2626&gt;0,P2626/N2626,"")</f>
        <v/>
      </c>
      <c r="W2626" s="17">
        <f>IF(O2626&gt;0,H2626/O2626,"")</f>
        <v/>
      </c>
    </row>
    <row r="2627">
      <c r="A2627" s="13" t="inlineStr">
        <is>
          <t>CW03_F</t>
        </is>
      </c>
      <c r="B2627" s="13" t="inlineStr">
        <is>
          <t>CW03</t>
        </is>
      </c>
      <c r="C2627" s="13" t="inlineStr">
        <is>
          <t>F</t>
        </is>
      </c>
      <c r="D2627" s="13" t="n">
        <v>0</v>
      </c>
      <c r="E2627" s="13" t="inlineStr">
        <is>
          <t>W</t>
        </is>
      </c>
      <c r="F2627" s="13" t="n">
        <v>2020</v>
      </c>
      <c r="G2627" s="14" t="n">
        <v>67577.77283489752</v>
      </c>
      <c r="H2627" s="14" t="n">
        <v>61341.59507688636</v>
      </c>
      <c r="I2627" s="14" t="n">
        <v>5968.254778274837</v>
      </c>
      <c r="J2627" s="14" t="n">
        <v>0</v>
      </c>
      <c r="K2627" s="14" t="n">
        <v>267.9229797363281</v>
      </c>
      <c r="L2627" s="14" t="n">
        <v>0</v>
      </c>
      <c r="M2627" s="14" t="n">
        <v>0</v>
      </c>
      <c r="N2627" s="14" t="n">
        <v>61341.59507688636</v>
      </c>
      <c r="O2627" s="14" t="n">
        <v>67577.77283489752</v>
      </c>
      <c r="P2627" s="14" t="n">
        <v>0</v>
      </c>
      <c r="Q2627" s="14" t="n">
        <v>397274.8482952043</v>
      </c>
      <c r="R2627" s="15">
        <f>IF(D2627=1,"Section 1","Control")</f>
        <v/>
      </c>
      <c r="S2627" s="16">
        <f>N2627/10000</f>
        <v/>
      </c>
      <c r="T2627" s="16">
        <f>P2627/10000</f>
        <v/>
      </c>
      <c r="U2627" s="15">
        <f>IF(N2627&gt;=Summary!$D$3,1,0)</f>
        <v/>
      </c>
      <c r="V2627" s="17">
        <f>IF(N2627&gt;0,P2627/N2627,"")</f>
        <v/>
      </c>
      <c r="W2627" s="17">
        <f>IF(O2627&gt;0,H2627/O2627,"")</f>
        <v/>
      </c>
    </row>
    <row r="2628">
      <c r="A2628" s="13" t="inlineStr">
        <is>
          <t>CW03_F</t>
        </is>
      </c>
      <c r="B2628" s="13" t="inlineStr">
        <is>
          <t>CW03</t>
        </is>
      </c>
      <c r="C2628" s="13" t="inlineStr">
        <is>
          <t>F</t>
        </is>
      </c>
      <c r="D2628" s="13" t="n">
        <v>0</v>
      </c>
      <c r="E2628" s="13" t="inlineStr">
        <is>
          <t>W</t>
        </is>
      </c>
      <c r="F2628" s="13" t="n">
        <v>2021</v>
      </c>
      <c r="G2628" s="14" t="n">
        <v>67577.77283489752</v>
      </c>
      <c r="H2628" s="14" t="n">
        <v>57307.2631747676</v>
      </c>
      <c r="I2628" s="14" t="n">
        <v>6732.144896862556</v>
      </c>
      <c r="J2628" s="14" t="n">
        <v>0</v>
      </c>
      <c r="K2628" s="14" t="n">
        <v>3538.364763267367</v>
      </c>
      <c r="L2628" s="14" t="n">
        <v>0</v>
      </c>
      <c r="M2628" s="14" t="n">
        <v>0</v>
      </c>
      <c r="N2628" s="14" t="n">
        <v>61341.59507688636</v>
      </c>
      <c r="O2628" s="14" t="n">
        <v>67577.77283489752</v>
      </c>
      <c r="P2628" s="14" t="n">
        <v>5886.174639563467</v>
      </c>
      <c r="Q2628" s="14" t="n">
        <v>397274.8482952043</v>
      </c>
      <c r="R2628" s="15">
        <f>IF(D2628=1,"Section 1","Control")</f>
        <v/>
      </c>
      <c r="S2628" s="16">
        <f>N2628/10000</f>
        <v/>
      </c>
      <c r="T2628" s="16">
        <f>P2628/10000</f>
        <v/>
      </c>
      <c r="U2628" s="15">
        <f>IF(N2628&gt;=Summary!$D$3,1,0)</f>
        <v/>
      </c>
      <c r="V2628" s="17">
        <f>IF(N2628&gt;0,P2628/N2628,"")</f>
        <v/>
      </c>
      <c r="W2628" s="17">
        <f>IF(O2628&gt;0,H2628/O2628,"")</f>
        <v/>
      </c>
    </row>
    <row r="2629">
      <c r="A2629" s="13" t="inlineStr">
        <is>
          <t>CW03_F</t>
        </is>
      </c>
      <c r="B2629" s="13" t="inlineStr">
        <is>
          <t>CW03</t>
        </is>
      </c>
      <c r="C2629" s="13" t="inlineStr">
        <is>
          <t>F</t>
        </is>
      </c>
      <c r="D2629" s="13" t="n">
        <v>0</v>
      </c>
      <c r="E2629" s="13" t="inlineStr">
        <is>
          <t>W</t>
        </is>
      </c>
      <c r="F2629" s="13" t="n">
        <v>2022</v>
      </c>
      <c r="G2629" s="14" t="n">
        <v>67577.77283489752</v>
      </c>
      <c r="H2629" s="14" t="n">
        <v>59086.31660590079</v>
      </c>
      <c r="I2629" s="14" t="n">
        <v>4215.141351348279</v>
      </c>
      <c r="J2629" s="14" t="n">
        <v>0</v>
      </c>
      <c r="K2629" s="14" t="n">
        <v>4276.314877648447</v>
      </c>
      <c r="L2629" s="14" t="n">
        <v>0</v>
      </c>
      <c r="M2629" s="14" t="n">
        <v>0</v>
      </c>
      <c r="N2629" s="14" t="n">
        <v>61341.59507688636</v>
      </c>
      <c r="O2629" s="14" t="n">
        <v>67577.77283489752</v>
      </c>
      <c r="P2629" s="14" t="n">
        <v>4442.798771188773</v>
      </c>
      <c r="Q2629" s="14" t="n">
        <v>397274.8482952043</v>
      </c>
      <c r="R2629" s="15">
        <f>IF(D2629=1,"Section 1","Control")</f>
        <v/>
      </c>
      <c r="S2629" s="16">
        <f>N2629/10000</f>
        <v/>
      </c>
      <c r="T2629" s="16">
        <f>P2629/10000</f>
        <v/>
      </c>
      <c r="U2629" s="15">
        <f>IF(N2629&gt;=Summary!$D$3,1,0)</f>
        <v/>
      </c>
      <c r="V2629" s="17">
        <f>IF(N2629&gt;0,P2629/N2629,"")</f>
        <v/>
      </c>
      <c r="W2629" s="17">
        <f>IF(O2629&gt;0,H2629/O2629,"")</f>
        <v/>
      </c>
    </row>
    <row r="2630">
      <c r="A2630" s="13" t="inlineStr">
        <is>
          <t>CW03_F</t>
        </is>
      </c>
      <c r="B2630" s="13" t="inlineStr">
        <is>
          <t>CW03</t>
        </is>
      </c>
      <c r="C2630" s="13" t="inlineStr">
        <is>
          <t>F</t>
        </is>
      </c>
      <c r="D2630" s="13" t="n">
        <v>0</v>
      </c>
      <c r="E2630" s="13" t="inlineStr">
        <is>
          <t>W</t>
        </is>
      </c>
      <c r="F2630" s="13" t="n">
        <v>2023</v>
      </c>
      <c r="G2630" s="14" t="n">
        <v>67577.77283489752</v>
      </c>
      <c r="H2630" s="14" t="n">
        <v>56837.23411120247</v>
      </c>
      <c r="I2630" s="14" t="n">
        <v>6017.039734814213</v>
      </c>
      <c r="J2630" s="14" t="n">
        <v>0</v>
      </c>
      <c r="K2630" s="14" t="n">
        <v>4723.49898888083</v>
      </c>
      <c r="L2630" s="14" t="n">
        <v>0</v>
      </c>
      <c r="M2630" s="14" t="n">
        <v>0</v>
      </c>
      <c r="N2630" s="14" t="n">
        <v>61341.59507688636</v>
      </c>
      <c r="O2630" s="14" t="n">
        <v>67577.77283489752</v>
      </c>
      <c r="P2630" s="14" t="n">
        <v>6801.837791891659</v>
      </c>
      <c r="Q2630" s="14" t="n">
        <v>397274.8482952043</v>
      </c>
      <c r="R2630" s="15">
        <f>IF(D2630=1,"Section 1","Control")</f>
        <v/>
      </c>
      <c r="S2630" s="16">
        <f>N2630/10000</f>
        <v/>
      </c>
      <c r="T2630" s="16">
        <f>P2630/10000</f>
        <v/>
      </c>
      <c r="U2630" s="15">
        <f>IF(N2630&gt;=Summary!$D$3,1,0)</f>
        <v/>
      </c>
      <c r="V2630" s="17">
        <f>IF(N2630&gt;0,P2630/N2630,"")</f>
        <v/>
      </c>
      <c r="W2630" s="17">
        <f>IF(O2630&gt;0,H2630/O2630,"")</f>
        <v/>
      </c>
    </row>
    <row r="2631">
      <c r="A2631" s="13" t="inlineStr">
        <is>
          <t>CW03_F</t>
        </is>
      </c>
      <c r="B2631" s="13" t="inlineStr">
        <is>
          <t>CW03</t>
        </is>
      </c>
      <c r="C2631" s="13" t="inlineStr">
        <is>
          <t>F</t>
        </is>
      </c>
      <c r="D2631" s="13" t="n">
        <v>0</v>
      </c>
      <c r="E2631" s="13" t="inlineStr">
        <is>
          <t>W</t>
        </is>
      </c>
      <c r="F2631" s="13" t="n">
        <v>2024</v>
      </c>
      <c r="G2631" s="14" t="n">
        <v>67577.77283489752</v>
      </c>
      <c r="H2631" s="14" t="n">
        <v>58773.48087553139</v>
      </c>
      <c r="I2631" s="14" t="n">
        <v>3947.605842350978</v>
      </c>
      <c r="J2631" s="14" t="n">
        <v>0</v>
      </c>
      <c r="K2631" s="14" t="n">
        <v>4856.686117015166</v>
      </c>
      <c r="L2631" s="14" t="n">
        <v>0</v>
      </c>
      <c r="M2631" s="14" t="n">
        <v>0</v>
      </c>
      <c r="N2631" s="14" t="n">
        <v>61341.59507688636</v>
      </c>
      <c r="O2631" s="14" t="n">
        <v>67577.77283489752</v>
      </c>
      <c r="P2631" s="14" t="n">
        <v>5732.081905050839</v>
      </c>
      <c r="Q2631" s="14" t="n">
        <v>397274.8482952043</v>
      </c>
      <c r="R2631" s="15">
        <f>IF(D2631=1,"Section 1","Control")</f>
        <v/>
      </c>
      <c r="S2631" s="16">
        <f>N2631/10000</f>
        <v/>
      </c>
      <c r="T2631" s="16">
        <f>P2631/10000</f>
        <v/>
      </c>
      <c r="U2631" s="15">
        <f>IF(N2631&gt;=Summary!$D$3,1,0)</f>
        <v/>
      </c>
      <c r="V2631" s="17">
        <f>IF(N2631&gt;0,P2631/N2631,"")</f>
        <v/>
      </c>
      <c r="W2631" s="17">
        <f>IF(O2631&gt;0,H2631/O2631,"")</f>
        <v/>
      </c>
    </row>
    <row r="2632">
      <c r="A2632" s="13" t="inlineStr">
        <is>
          <t>CW03_F</t>
        </is>
      </c>
      <c r="B2632" s="13" t="inlineStr">
        <is>
          <t>CW03</t>
        </is>
      </c>
      <c r="C2632" s="13" t="inlineStr">
        <is>
          <t>F</t>
        </is>
      </c>
      <c r="D2632" s="13" t="n">
        <v>0</v>
      </c>
      <c r="E2632" s="13" t="inlineStr">
        <is>
          <t>W</t>
        </is>
      </c>
      <c r="F2632" s="13" t="n">
        <v>2025</v>
      </c>
      <c r="G2632" s="14" t="n">
        <v>67577.77283489752</v>
      </c>
      <c r="H2632" s="14" t="n">
        <v>47485.87125052659</v>
      </c>
      <c r="I2632" s="14" t="n">
        <v>16987.55567860322</v>
      </c>
      <c r="J2632" s="14" t="n">
        <v>0</v>
      </c>
      <c r="K2632" s="14" t="n">
        <v>3104.345905767703</v>
      </c>
      <c r="L2632" s="14" t="n">
        <v>0</v>
      </c>
      <c r="M2632" s="14" t="n">
        <v>0</v>
      </c>
      <c r="N2632" s="14" t="n">
        <v>61341.59507688636</v>
      </c>
      <c r="O2632" s="14" t="n">
        <v>67577.77283489752</v>
      </c>
      <c r="P2632" s="14" t="n">
        <v>15291.35652121749</v>
      </c>
      <c r="Q2632" s="14" t="n">
        <v>397274.8482952043</v>
      </c>
      <c r="R2632" s="15">
        <f>IF(D2632=1,"Section 1","Control")</f>
        <v/>
      </c>
      <c r="S2632" s="16">
        <f>N2632/10000</f>
        <v/>
      </c>
      <c r="T2632" s="16">
        <f>P2632/10000</f>
        <v/>
      </c>
      <c r="U2632" s="15">
        <f>IF(N2632&gt;=Summary!$D$3,1,0)</f>
        <v/>
      </c>
      <c r="V2632" s="17">
        <f>IF(N2632&gt;0,P2632/N2632,"")</f>
        <v/>
      </c>
      <c r="W2632" s="17">
        <f>IF(O2632&gt;0,H2632/O2632,"")</f>
        <v/>
      </c>
    </row>
    <row r="2633">
      <c r="A2633" s="13" t="inlineStr">
        <is>
          <t>CW03_F</t>
        </is>
      </c>
      <c r="B2633" s="13" t="inlineStr">
        <is>
          <t>CW03</t>
        </is>
      </c>
      <c r="C2633" s="13" t="inlineStr">
        <is>
          <t>F</t>
        </is>
      </c>
      <c r="D2633" s="13" t="n">
        <v>0</v>
      </c>
      <c r="E2633" s="13" t="inlineStr">
        <is>
          <t>W</t>
        </is>
      </c>
      <c r="F2633" s="13" t="n">
        <v>2026</v>
      </c>
      <c r="G2633" s="14" t="n">
        <v>67577.77283489752</v>
      </c>
      <c r="H2633" s="14" t="n">
        <v>53571.05162619798</v>
      </c>
      <c r="I2633" s="14" t="n">
        <v>5545.076749883913</v>
      </c>
      <c r="J2633" s="14" t="n">
        <v>0</v>
      </c>
      <c r="K2633" s="14" t="n">
        <v>8461.644458815632</v>
      </c>
      <c r="L2633" s="14" t="n">
        <v>0</v>
      </c>
      <c r="M2633" s="14" t="n">
        <v>0</v>
      </c>
      <c r="N2633" s="14" t="n">
        <v>61341.59507688636</v>
      </c>
      <c r="O2633" s="14" t="n">
        <v>67577.77283489752</v>
      </c>
      <c r="P2633" s="14" t="n">
        <v>9637.8726294424</v>
      </c>
      <c r="Q2633" s="14" t="n">
        <v>397274.8482952043</v>
      </c>
      <c r="R2633" s="15">
        <f>IF(D2633=1,"Section 1","Control")</f>
        <v/>
      </c>
      <c r="S2633" s="16">
        <f>N2633/10000</f>
        <v/>
      </c>
      <c r="T2633" s="16">
        <f>P2633/10000</f>
        <v/>
      </c>
      <c r="U2633" s="15">
        <f>IF(N2633&gt;=Summary!$D$3,1,0)</f>
        <v/>
      </c>
      <c r="V2633" s="17">
        <f>IF(N2633&gt;0,P2633/N2633,"")</f>
        <v/>
      </c>
      <c r="W2633" s="17">
        <f>IF(O2633&gt;0,H2633/O2633,"")</f>
        <v/>
      </c>
    </row>
    <row r="2634">
      <c r="A2634" s="13" t="inlineStr">
        <is>
          <t>CW04_B1</t>
        </is>
      </c>
      <c r="B2634" s="13" t="inlineStr">
        <is>
          <t>CW04</t>
        </is>
      </c>
      <c r="C2634" s="13" t="inlineStr">
        <is>
          <t>B1</t>
        </is>
      </c>
      <c r="D2634" s="13" t="n">
        <v>0</v>
      </c>
      <c r="E2634" s="13" t="inlineStr">
        <is>
          <t>W</t>
        </is>
      </c>
      <c r="F2634" s="13" t="n">
        <v>2020</v>
      </c>
      <c r="G2634" s="14" t="n">
        <v>1000671.431307774</v>
      </c>
      <c r="H2634" s="14" t="n">
        <v>604859.7492487888</v>
      </c>
      <c r="I2634" s="14" t="n">
        <v>292692.7632285922</v>
      </c>
      <c r="J2634" s="14" t="n">
        <v>0</v>
      </c>
      <c r="K2634" s="14" t="n">
        <v>103118.9188303929</v>
      </c>
      <c r="L2634" s="14" t="n">
        <v>0</v>
      </c>
      <c r="M2634" s="14" t="n">
        <v>0</v>
      </c>
      <c r="N2634" s="14" t="n">
        <v>604859.7492487888</v>
      </c>
      <c r="O2634" s="14" t="n">
        <v>1000671.431307774</v>
      </c>
      <c r="P2634" s="14" t="n">
        <v>0</v>
      </c>
      <c r="Q2634" s="14" t="n">
        <v>6373319.73999897</v>
      </c>
      <c r="R2634" s="15">
        <f>IF(D2634=1,"Section 1","Control")</f>
        <v/>
      </c>
      <c r="S2634" s="16">
        <f>N2634/10000</f>
        <v/>
      </c>
      <c r="T2634" s="16">
        <f>P2634/10000</f>
        <v/>
      </c>
      <c r="U2634" s="15">
        <f>IF(N2634&gt;=Summary!$D$3,1,0)</f>
        <v/>
      </c>
      <c r="V2634" s="17">
        <f>IF(N2634&gt;0,P2634/N2634,"")</f>
        <v/>
      </c>
      <c r="W2634" s="17">
        <f>IF(O2634&gt;0,H2634/O2634,"")</f>
        <v/>
      </c>
    </row>
    <row r="2635">
      <c r="A2635" s="13" t="inlineStr">
        <is>
          <t>CW04_B1</t>
        </is>
      </c>
      <c r="B2635" s="13" t="inlineStr">
        <is>
          <t>CW04</t>
        </is>
      </c>
      <c r="C2635" s="13" t="inlineStr">
        <is>
          <t>B1</t>
        </is>
      </c>
      <c r="D2635" s="13" t="n">
        <v>0</v>
      </c>
      <c r="E2635" s="13" t="inlineStr">
        <is>
          <t>W</t>
        </is>
      </c>
      <c r="F2635" s="13" t="n">
        <v>2021</v>
      </c>
      <c r="G2635" s="14" t="n">
        <v>1000671.431307774</v>
      </c>
      <c r="H2635" s="14" t="n">
        <v>544333.0004393633</v>
      </c>
      <c r="I2635" s="14" t="n">
        <v>213799.3307992673</v>
      </c>
      <c r="J2635" s="14" t="n">
        <v>0</v>
      </c>
      <c r="K2635" s="14" t="n">
        <v>242539.1000691433</v>
      </c>
      <c r="L2635" s="14" t="n">
        <v>0</v>
      </c>
      <c r="M2635" s="14" t="n">
        <v>0</v>
      </c>
      <c r="N2635" s="14" t="n">
        <v>604859.7492487888</v>
      </c>
      <c r="O2635" s="14" t="n">
        <v>1000671.431307774</v>
      </c>
      <c r="P2635" s="14" t="n">
        <v>76780.9709849339</v>
      </c>
      <c r="Q2635" s="14" t="n">
        <v>6373319.73999897</v>
      </c>
      <c r="R2635" s="15">
        <f>IF(D2635=1,"Section 1","Control")</f>
        <v/>
      </c>
      <c r="S2635" s="16">
        <f>N2635/10000</f>
        <v/>
      </c>
      <c r="T2635" s="16">
        <f>P2635/10000</f>
        <v/>
      </c>
      <c r="U2635" s="15">
        <f>IF(N2635&gt;=Summary!$D$3,1,0)</f>
        <v/>
      </c>
      <c r="V2635" s="17">
        <f>IF(N2635&gt;0,P2635/N2635,"")</f>
        <v/>
      </c>
      <c r="W2635" s="17">
        <f>IF(O2635&gt;0,H2635/O2635,"")</f>
        <v/>
      </c>
    </row>
    <row r="2636">
      <c r="A2636" s="13" t="inlineStr">
        <is>
          <t>CW04_B1</t>
        </is>
      </c>
      <c r="B2636" s="13" t="inlineStr">
        <is>
          <t>CW04</t>
        </is>
      </c>
      <c r="C2636" s="13" t="inlineStr">
        <is>
          <t>B1</t>
        </is>
      </c>
      <c r="D2636" s="13" t="n">
        <v>0</v>
      </c>
      <c r="E2636" s="13" t="inlineStr">
        <is>
          <t>W</t>
        </is>
      </c>
      <c r="F2636" s="13" t="n">
        <v>2022</v>
      </c>
      <c r="G2636" s="14" t="n">
        <v>1000671.431307774</v>
      </c>
      <c r="H2636" s="14" t="n">
        <v>539579.6289329379</v>
      </c>
      <c r="I2636" s="14" t="n">
        <v>196630.5151839911</v>
      </c>
      <c r="J2636" s="14" t="n">
        <v>0</v>
      </c>
      <c r="K2636" s="14" t="n">
        <v>264461.287190845</v>
      </c>
      <c r="L2636" s="14" t="n">
        <v>0</v>
      </c>
      <c r="M2636" s="14" t="n">
        <v>0</v>
      </c>
      <c r="N2636" s="14" t="n">
        <v>604859.7492487888</v>
      </c>
      <c r="O2636" s="14" t="n">
        <v>1000671.431307774</v>
      </c>
      <c r="P2636" s="14" t="n">
        <v>86402.24582836677</v>
      </c>
      <c r="Q2636" s="14" t="n">
        <v>6373319.73999897</v>
      </c>
      <c r="R2636" s="15">
        <f>IF(D2636=1,"Section 1","Control")</f>
        <v/>
      </c>
      <c r="S2636" s="16">
        <f>N2636/10000</f>
        <v/>
      </c>
      <c r="T2636" s="16">
        <f>P2636/10000</f>
        <v/>
      </c>
      <c r="U2636" s="15">
        <f>IF(N2636&gt;=Summary!$D$3,1,0)</f>
        <v/>
      </c>
      <c r="V2636" s="17">
        <f>IF(N2636&gt;0,P2636/N2636,"")</f>
        <v/>
      </c>
      <c r="W2636" s="17">
        <f>IF(O2636&gt;0,H2636/O2636,"")</f>
        <v/>
      </c>
    </row>
    <row r="2637">
      <c r="A2637" s="13" t="inlineStr">
        <is>
          <t>CW04_B1</t>
        </is>
      </c>
      <c r="B2637" s="13" t="inlineStr">
        <is>
          <t>CW04</t>
        </is>
      </c>
      <c r="C2637" s="13" t="inlineStr">
        <is>
          <t>B1</t>
        </is>
      </c>
      <c r="D2637" s="13" t="n">
        <v>0</v>
      </c>
      <c r="E2637" s="13" t="inlineStr">
        <is>
          <t>W</t>
        </is>
      </c>
      <c r="F2637" s="13" t="n">
        <v>2023</v>
      </c>
      <c r="G2637" s="14" t="n">
        <v>1000671.431307774</v>
      </c>
      <c r="H2637" s="14" t="n">
        <v>533890.8964631024</v>
      </c>
      <c r="I2637" s="14" t="n">
        <v>280776.43632998</v>
      </c>
      <c r="J2637" s="14" t="n">
        <v>0</v>
      </c>
      <c r="K2637" s="14" t="n">
        <v>186004.0985146915</v>
      </c>
      <c r="L2637" s="14" t="n">
        <v>0</v>
      </c>
      <c r="M2637" s="14" t="n">
        <v>0</v>
      </c>
      <c r="N2637" s="14" t="n">
        <v>604859.7492487889</v>
      </c>
      <c r="O2637" s="14" t="n">
        <v>1000671.431307774</v>
      </c>
      <c r="P2637" s="14" t="n">
        <v>96939.52682614797</v>
      </c>
      <c r="Q2637" s="14" t="n">
        <v>6373319.73999897</v>
      </c>
      <c r="R2637" s="15">
        <f>IF(D2637=1,"Section 1","Control")</f>
        <v/>
      </c>
      <c r="S2637" s="16">
        <f>N2637/10000</f>
        <v/>
      </c>
      <c r="T2637" s="16">
        <f>P2637/10000</f>
        <v/>
      </c>
      <c r="U2637" s="15">
        <f>IF(N2637&gt;=Summary!$D$3,1,0)</f>
        <v/>
      </c>
      <c r="V2637" s="17">
        <f>IF(N2637&gt;0,P2637/N2637,"")</f>
        <v/>
      </c>
      <c r="W2637" s="17">
        <f>IF(O2637&gt;0,H2637/O2637,"")</f>
        <v/>
      </c>
    </row>
    <row r="2638">
      <c r="A2638" s="13" t="inlineStr">
        <is>
          <t>CW04_B1</t>
        </is>
      </c>
      <c r="B2638" s="13" t="inlineStr">
        <is>
          <t>CW04</t>
        </is>
      </c>
      <c r="C2638" s="13" t="inlineStr">
        <is>
          <t>B1</t>
        </is>
      </c>
      <c r="D2638" s="13" t="n">
        <v>0</v>
      </c>
      <c r="E2638" s="13" t="inlineStr">
        <is>
          <t>W</t>
        </is>
      </c>
      <c r="F2638" s="13" t="n">
        <v>2024</v>
      </c>
      <c r="G2638" s="14" t="n">
        <v>1000671.431307774</v>
      </c>
      <c r="H2638" s="14" t="n">
        <v>550978.0239853503</v>
      </c>
      <c r="I2638" s="14" t="n">
        <v>264740.459613067</v>
      </c>
      <c r="J2638" s="14" t="n">
        <v>0</v>
      </c>
      <c r="K2638" s="14" t="n">
        <v>184952.9477093566</v>
      </c>
      <c r="L2638" s="14" t="n">
        <v>0</v>
      </c>
      <c r="M2638" s="14" t="n">
        <v>0</v>
      </c>
      <c r="N2638" s="14" t="n">
        <v>604859.7492487889</v>
      </c>
      <c r="O2638" s="14" t="n">
        <v>1000671.431307774</v>
      </c>
      <c r="P2638" s="14" t="n">
        <v>95223.96088104248</v>
      </c>
      <c r="Q2638" s="14" t="n">
        <v>6373319.73999897</v>
      </c>
      <c r="R2638" s="15">
        <f>IF(D2638=1,"Section 1","Control")</f>
        <v/>
      </c>
      <c r="S2638" s="16">
        <f>N2638/10000</f>
        <v/>
      </c>
      <c r="T2638" s="16">
        <f>P2638/10000</f>
        <v/>
      </c>
      <c r="U2638" s="15">
        <f>IF(N2638&gt;=Summary!$D$3,1,0)</f>
        <v/>
      </c>
      <c r="V2638" s="17">
        <f>IF(N2638&gt;0,P2638/N2638,"")</f>
        <v/>
      </c>
      <c r="W2638" s="17">
        <f>IF(O2638&gt;0,H2638/O2638,"")</f>
        <v/>
      </c>
    </row>
    <row r="2639">
      <c r="A2639" s="13" t="inlineStr">
        <is>
          <t>CW04_B1</t>
        </is>
      </c>
      <c r="B2639" s="13" t="inlineStr">
        <is>
          <t>CW04</t>
        </is>
      </c>
      <c r="C2639" s="13" t="inlineStr">
        <is>
          <t>B1</t>
        </is>
      </c>
      <c r="D2639" s="13" t="n">
        <v>0</v>
      </c>
      <c r="E2639" s="13" t="inlineStr">
        <is>
          <t>W</t>
        </is>
      </c>
      <c r="F2639" s="13" t="n">
        <v>2025</v>
      </c>
      <c r="G2639" s="14" t="n">
        <v>1000671.431307774</v>
      </c>
      <c r="H2639" s="14" t="n">
        <v>491650.9904856662</v>
      </c>
      <c r="I2639" s="14" t="n">
        <v>352798.8868520699</v>
      </c>
      <c r="J2639" s="14" t="n">
        <v>0</v>
      </c>
      <c r="K2639" s="14" t="n">
        <v>156221.5539700377</v>
      </c>
      <c r="L2639" s="14" t="n">
        <v>0</v>
      </c>
      <c r="M2639" s="14" t="n">
        <v>0</v>
      </c>
      <c r="N2639" s="14" t="n">
        <v>604859.7492487888</v>
      </c>
      <c r="O2639" s="14" t="n">
        <v>1000671.431307774</v>
      </c>
      <c r="P2639" s="14" t="n">
        <v>135963.2461031147</v>
      </c>
      <c r="Q2639" s="14" t="n">
        <v>6373319.73999897</v>
      </c>
      <c r="R2639" s="15">
        <f>IF(D2639=1,"Section 1","Control")</f>
        <v/>
      </c>
      <c r="S2639" s="16">
        <f>N2639/10000</f>
        <v/>
      </c>
      <c r="T2639" s="16">
        <f>P2639/10000</f>
        <v/>
      </c>
      <c r="U2639" s="15">
        <f>IF(N2639&gt;=Summary!$D$3,1,0)</f>
        <v/>
      </c>
      <c r="V2639" s="17">
        <f>IF(N2639&gt;0,P2639/N2639,"")</f>
        <v/>
      </c>
      <c r="W2639" s="17">
        <f>IF(O2639&gt;0,H2639/O2639,"")</f>
        <v/>
      </c>
    </row>
    <row r="2640">
      <c r="A2640" s="13" t="inlineStr">
        <is>
          <t>CW04_B1</t>
        </is>
      </c>
      <c r="B2640" s="13" t="inlineStr">
        <is>
          <t>CW04</t>
        </is>
      </c>
      <c r="C2640" s="13" t="inlineStr">
        <is>
          <t>B1</t>
        </is>
      </c>
      <c r="D2640" s="13" t="n">
        <v>0</v>
      </c>
      <c r="E2640" s="13" t="inlineStr">
        <is>
          <t>W</t>
        </is>
      </c>
      <c r="F2640" s="13" t="n">
        <v>2026</v>
      </c>
      <c r="G2640" s="14" t="n">
        <v>1000671.431307774</v>
      </c>
      <c r="H2640" s="14" t="n">
        <v>509089.6198072544</v>
      </c>
      <c r="I2640" s="14" t="n">
        <v>273362.415122208</v>
      </c>
      <c r="J2640" s="14" t="n">
        <v>0</v>
      </c>
      <c r="K2640" s="14" t="n">
        <v>218219.3963783114</v>
      </c>
      <c r="L2640" s="14" t="n">
        <v>0</v>
      </c>
      <c r="M2640" s="14" t="n">
        <v>0</v>
      </c>
      <c r="N2640" s="14" t="n">
        <v>604859.7492487888</v>
      </c>
      <c r="O2640" s="14" t="n">
        <v>1000671.431307774</v>
      </c>
      <c r="P2640" s="14" t="n">
        <v>127745.502655897</v>
      </c>
      <c r="Q2640" s="14" t="n">
        <v>6373319.73999897</v>
      </c>
      <c r="R2640" s="15">
        <f>IF(D2640=1,"Section 1","Control")</f>
        <v/>
      </c>
      <c r="S2640" s="16">
        <f>N2640/10000</f>
        <v/>
      </c>
      <c r="T2640" s="16">
        <f>P2640/10000</f>
        <v/>
      </c>
      <c r="U2640" s="15">
        <f>IF(N2640&gt;=Summary!$D$3,1,0)</f>
        <v/>
      </c>
      <c r="V2640" s="17">
        <f>IF(N2640&gt;0,P2640/N2640,"")</f>
        <v/>
      </c>
      <c r="W2640" s="17">
        <f>IF(O2640&gt;0,H2640/O2640,"")</f>
        <v/>
      </c>
    </row>
    <row r="2641">
      <c r="A2641" s="13" t="inlineStr">
        <is>
          <t>CW04_B2</t>
        </is>
      </c>
      <c r="B2641" s="13" t="inlineStr">
        <is>
          <t>CW04</t>
        </is>
      </c>
      <c r="C2641" s="13" t="inlineStr">
        <is>
          <t>B2</t>
        </is>
      </c>
      <c r="D2641" s="13" t="n">
        <v>0</v>
      </c>
      <c r="E2641" s="13" t="inlineStr">
        <is>
          <t>W</t>
        </is>
      </c>
      <c r="F2641" s="13" t="n">
        <v>2020</v>
      </c>
      <c r="G2641" s="14" t="n">
        <v>1000715.555122974</v>
      </c>
      <c r="H2641" s="14" t="n">
        <v>736775.2158076566</v>
      </c>
      <c r="I2641" s="14" t="n">
        <v>214991.1869028129</v>
      </c>
      <c r="J2641" s="14" t="n">
        <v>0</v>
      </c>
      <c r="K2641" s="14" t="n">
        <v>48949.15241250432</v>
      </c>
      <c r="L2641" s="14" t="n">
        <v>0</v>
      </c>
      <c r="M2641" s="14" t="n">
        <v>0</v>
      </c>
      <c r="N2641" s="14" t="n">
        <v>736775.2158076566</v>
      </c>
      <c r="O2641" s="14" t="n">
        <v>1000715.555122974</v>
      </c>
      <c r="P2641" s="14" t="n">
        <v>0</v>
      </c>
      <c r="Q2641" s="14" t="n">
        <v>6121472.686634768</v>
      </c>
      <c r="R2641" s="15">
        <f>IF(D2641=1,"Section 1","Control")</f>
        <v/>
      </c>
      <c r="S2641" s="16">
        <f>N2641/10000</f>
        <v/>
      </c>
      <c r="T2641" s="16">
        <f>P2641/10000</f>
        <v/>
      </c>
      <c r="U2641" s="15">
        <f>IF(N2641&gt;=Summary!$D$3,1,0)</f>
        <v/>
      </c>
      <c r="V2641" s="17">
        <f>IF(N2641&gt;0,P2641/N2641,"")</f>
        <v/>
      </c>
      <c r="W2641" s="17">
        <f>IF(O2641&gt;0,H2641/O2641,"")</f>
        <v/>
      </c>
    </row>
    <row r="2642">
      <c r="A2642" s="13" t="inlineStr">
        <is>
          <t>CW04_B2</t>
        </is>
      </c>
      <c r="B2642" s="13" t="inlineStr">
        <is>
          <t>CW04</t>
        </is>
      </c>
      <c r="C2642" s="13" t="inlineStr">
        <is>
          <t>B2</t>
        </is>
      </c>
      <c r="D2642" s="13" t="n">
        <v>0</v>
      </c>
      <c r="E2642" s="13" t="inlineStr">
        <is>
          <t>W</t>
        </is>
      </c>
      <c r="F2642" s="13" t="n">
        <v>2021</v>
      </c>
      <c r="G2642" s="14" t="n">
        <v>1000715.555122974</v>
      </c>
      <c r="H2642" s="14" t="n">
        <v>699194.6757872638</v>
      </c>
      <c r="I2642" s="14" t="n">
        <v>138803.0365816005</v>
      </c>
      <c r="J2642" s="14" t="n">
        <v>0</v>
      </c>
      <c r="K2642" s="14" t="n">
        <v>162717.8427541097</v>
      </c>
      <c r="L2642" s="14" t="n">
        <v>0</v>
      </c>
      <c r="M2642" s="14" t="n">
        <v>0</v>
      </c>
      <c r="N2642" s="14" t="n">
        <v>736775.2158076566</v>
      </c>
      <c r="O2642" s="14" t="n">
        <v>1000715.555122974</v>
      </c>
      <c r="P2642" s="14" t="n">
        <v>65535.84151024911</v>
      </c>
      <c r="Q2642" s="14" t="n">
        <v>6121472.686634768</v>
      </c>
      <c r="R2642" s="15">
        <f>IF(D2642=1,"Section 1","Control")</f>
        <v/>
      </c>
      <c r="S2642" s="16">
        <f>N2642/10000</f>
        <v/>
      </c>
      <c r="T2642" s="16">
        <f>P2642/10000</f>
        <v/>
      </c>
      <c r="U2642" s="15">
        <f>IF(N2642&gt;=Summary!$D$3,1,0)</f>
        <v/>
      </c>
      <c r="V2642" s="17">
        <f>IF(N2642&gt;0,P2642/N2642,"")</f>
        <v/>
      </c>
      <c r="W2642" s="17">
        <f>IF(O2642&gt;0,H2642/O2642,"")</f>
        <v/>
      </c>
    </row>
    <row r="2643">
      <c r="A2643" s="13" t="inlineStr">
        <is>
          <t>CW04_B2</t>
        </is>
      </c>
      <c r="B2643" s="13" t="inlineStr">
        <is>
          <t>CW04</t>
        </is>
      </c>
      <c r="C2643" s="13" t="inlineStr">
        <is>
          <t>B2</t>
        </is>
      </c>
      <c r="D2643" s="13" t="n">
        <v>0</v>
      </c>
      <c r="E2643" s="13" t="inlineStr">
        <is>
          <t>W</t>
        </is>
      </c>
      <c r="F2643" s="13" t="n">
        <v>2022</v>
      </c>
      <c r="G2643" s="14" t="n">
        <v>1000715.555122974</v>
      </c>
      <c r="H2643" s="14" t="n">
        <v>696760.5198309505</v>
      </c>
      <c r="I2643" s="14" t="n">
        <v>122962.8945001042</v>
      </c>
      <c r="J2643" s="14" t="n">
        <v>0</v>
      </c>
      <c r="K2643" s="14" t="n">
        <v>180992.1407919192</v>
      </c>
      <c r="L2643" s="14" t="n">
        <v>0</v>
      </c>
      <c r="M2643" s="14" t="n">
        <v>0</v>
      </c>
      <c r="N2643" s="14" t="n">
        <v>736775.2158076566</v>
      </c>
      <c r="O2643" s="14" t="n">
        <v>1000715.555122974</v>
      </c>
      <c r="P2643" s="14" t="n">
        <v>73173.27680855546</v>
      </c>
      <c r="Q2643" s="14" t="n">
        <v>6121472.686634768</v>
      </c>
      <c r="R2643" s="15">
        <f>IF(D2643=1,"Section 1","Control")</f>
        <v/>
      </c>
      <c r="S2643" s="16">
        <f>N2643/10000</f>
        <v/>
      </c>
      <c r="T2643" s="16">
        <f>P2643/10000</f>
        <v/>
      </c>
      <c r="U2643" s="15">
        <f>IF(N2643&gt;=Summary!$D$3,1,0)</f>
        <v/>
      </c>
      <c r="V2643" s="17">
        <f>IF(N2643&gt;0,P2643/N2643,"")</f>
        <v/>
      </c>
      <c r="W2643" s="17">
        <f>IF(O2643&gt;0,H2643/O2643,"")</f>
        <v/>
      </c>
    </row>
    <row r="2644">
      <c r="A2644" s="13" t="inlineStr">
        <is>
          <t>CW04_B2</t>
        </is>
      </c>
      <c r="B2644" s="13" t="inlineStr">
        <is>
          <t>CW04</t>
        </is>
      </c>
      <c r="C2644" s="13" t="inlineStr">
        <is>
          <t>B2</t>
        </is>
      </c>
      <c r="D2644" s="13" t="n">
        <v>0</v>
      </c>
      <c r="E2644" s="13" t="inlineStr">
        <is>
          <t>W</t>
        </is>
      </c>
      <c r="F2644" s="13" t="n">
        <v>2023</v>
      </c>
      <c r="G2644" s="14" t="n">
        <v>1000715.555122974</v>
      </c>
      <c r="H2644" s="14" t="n">
        <v>658696.0053657084</v>
      </c>
      <c r="I2644" s="14" t="n">
        <v>215042.3372468239</v>
      </c>
      <c r="J2644" s="14" t="n">
        <v>0</v>
      </c>
      <c r="K2644" s="14" t="n">
        <v>126977.2125104418</v>
      </c>
      <c r="L2644" s="14" t="n">
        <v>0</v>
      </c>
      <c r="M2644" s="14" t="n">
        <v>0</v>
      </c>
      <c r="N2644" s="14" t="n">
        <v>736775.2158076566</v>
      </c>
      <c r="O2644" s="14" t="n">
        <v>1000715.555122974</v>
      </c>
      <c r="P2644" s="14" t="n">
        <v>97295.55930439071</v>
      </c>
      <c r="Q2644" s="14" t="n">
        <v>6121472.686634768</v>
      </c>
      <c r="R2644" s="15">
        <f>IF(D2644=1,"Section 1","Control")</f>
        <v/>
      </c>
      <c r="S2644" s="16">
        <f>N2644/10000</f>
        <v/>
      </c>
      <c r="T2644" s="16">
        <f>P2644/10000</f>
        <v/>
      </c>
      <c r="U2644" s="15">
        <f>IF(N2644&gt;=Summary!$D$3,1,0)</f>
        <v/>
      </c>
      <c r="V2644" s="17">
        <f>IF(N2644&gt;0,P2644/N2644,"")</f>
        <v/>
      </c>
      <c r="W2644" s="17">
        <f>IF(O2644&gt;0,H2644/O2644,"")</f>
        <v/>
      </c>
    </row>
    <row r="2645">
      <c r="A2645" s="13" t="inlineStr">
        <is>
          <t>CW04_B2</t>
        </is>
      </c>
      <c r="B2645" s="13" t="inlineStr">
        <is>
          <t>CW04</t>
        </is>
      </c>
      <c r="C2645" s="13" t="inlineStr">
        <is>
          <t>B2</t>
        </is>
      </c>
      <c r="D2645" s="13" t="n">
        <v>0</v>
      </c>
      <c r="E2645" s="13" t="inlineStr">
        <is>
          <t>W</t>
        </is>
      </c>
      <c r="F2645" s="13" t="n">
        <v>2024</v>
      </c>
      <c r="G2645" s="14" t="n">
        <v>1000715.555122974</v>
      </c>
      <c r="H2645" s="14" t="n">
        <v>738505.8491429647</v>
      </c>
      <c r="I2645" s="14" t="n">
        <v>136828.0667548385</v>
      </c>
      <c r="J2645" s="14" t="n">
        <v>0</v>
      </c>
      <c r="K2645" s="14" t="n">
        <v>125381.6392251707</v>
      </c>
      <c r="L2645" s="14" t="n">
        <v>0</v>
      </c>
      <c r="M2645" s="14" t="n">
        <v>0</v>
      </c>
      <c r="N2645" s="14" t="n">
        <v>736775.2158076566</v>
      </c>
      <c r="O2645" s="14" t="n">
        <v>1000715.555122974</v>
      </c>
      <c r="P2645" s="14" t="n">
        <v>68352.14798886169</v>
      </c>
      <c r="Q2645" s="14" t="n">
        <v>6121472.686634768</v>
      </c>
      <c r="R2645" s="15">
        <f>IF(D2645=1,"Section 1","Control")</f>
        <v/>
      </c>
      <c r="S2645" s="16">
        <f>N2645/10000</f>
        <v/>
      </c>
      <c r="T2645" s="16">
        <f>P2645/10000</f>
        <v/>
      </c>
      <c r="U2645" s="15">
        <f>IF(N2645&gt;=Summary!$D$3,1,0)</f>
        <v/>
      </c>
      <c r="V2645" s="17">
        <f>IF(N2645&gt;0,P2645/N2645,"")</f>
        <v/>
      </c>
      <c r="W2645" s="17">
        <f>IF(O2645&gt;0,H2645/O2645,"")</f>
        <v/>
      </c>
    </row>
    <row r="2646">
      <c r="A2646" s="13" t="inlineStr">
        <is>
          <t>CW04_B2</t>
        </is>
      </c>
      <c r="B2646" s="13" t="inlineStr">
        <is>
          <t>CW04</t>
        </is>
      </c>
      <c r="C2646" s="13" t="inlineStr">
        <is>
          <t>B2</t>
        </is>
      </c>
      <c r="D2646" s="13" t="n">
        <v>0</v>
      </c>
      <c r="E2646" s="13" t="inlineStr">
        <is>
          <t>W</t>
        </is>
      </c>
      <c r="F2646" s="13" t="n">
        <v>2025</v>
      </c>
      <c r="G2646" s="14" t="n">
        <v>1000715.555122974</v>
      </c>
      <c r="H2646" s="14" t="n">
        <v>606357.7957531797</v>
      </c>
      <c r="I2646" s="14" t="n">
        <v>280232.8798594158</v>
      </c>
      <c r="J2646" s="14" t="n">
        <v>0</v>
      </c>
      <c r="K2646" s="14" t="n">
        <v>114124.8795103784</v>
      </c>
      <c r="L2646" s="14" t="n">
        <v>0</v>
      </c>
      <c r="M2646" s="14" t="n">
        <v>0</v>
      </c>
      <c r="N2646" s="14" t="n">
        <v>736775.2158076566</v>
      </c>
      <c r="O2646" s="14" t="n">
        <v>1000715.555122974</v>
      </c>
      <c r="P2646" s="14" t="n">
        <v>138129.1960829193</v>
      </c>
      <c r="Q2646" s="14" t="n">
        <v>6121472.686634768</v>
      </c>
      <c r="R2646" s="15">
        <f>IF(D2646=1,"Section 1","Control")</f>
        <v/>
      </c>
      <c r="S2646" s="16">
        <f>N2646/10000</f>
        <v/>
      </c>
      <c r="T2646" s="16">
        <f>P2646/10000</f>
        <v/>
      </c>
      <c r="U2646" s="15">
        <f>IF(N2646&gt;=Summary!$D$3,1,0)</f>
        <v/>
      </c>
      <c r="V2646" s="17">
        <f>IF(N2646&gt;0,P2646/N2646,"")</f>
        <v/>
      </c>
      <c r="W2646" s="17">
        <f>IF(O2646&gt;0,H2646/O2646,"")</f>
        <v/>
      </c>
    </row>
    <row r="2647">
      <c r="A2647" s="13" t="inlineStr">
        <is>
          <t>CW04_B2</t>
        </is>
      </c>
      <c r="B2647" s="13" t="inlineStr">
        <is>
          <t>CW04</t>
        </is>
      </c>
      <c r="C2647" s="13" t="inlineStr">
        <is>
          <t>B2</t>
        </is>
      </c>
      <c r="D2647" s="13" t="n">
        <v>0</v>
      </c>
      <c r="E2647" s="13" t="inlineStr">
        <is>
          <t>W</t>
        </is>
      </c>
      <c r="F2647" s="13" t="n">
        <v>2026</v>
      </c>
      <c r="G2647" s="14" t="n">
        <v>1000715.555122974</v>
      </c>
      <c r="H2647" s="14" t="n">
        <v>639277.5500698612</v>
      </c>
      <c r="I2647" s="14" t="n">
        <v>138318.3205382403</v>
      </c>
      <c r="J2647" s="14" t="n">
        <v>0</v>
      </c>
      <c r="K2647" s="14" t="n">
        <v>223119.6845148722</v>
      </c>
      <c r="L2647" s="14" t="n">
        <v>0</v>
      </c>
      <c r="M2647" s="14" t="n">
        <v>0</v>
      </c>
      <c r="N2647" s="14" t="n">
        <v>736775.2158076566</v>
      </c>
      <c r="O2647" s="14" t="n">
        <v>1000715.555122974</v>
      </c>
      <c r="P2647" s="14" t="n">
        <v>115602.425813862</v>
      </c>
      <c r="Q2647" s="14" t="n">
        <v>6121472.686634768</v>
      </c>
      <c r="R2647" s="15">
        <f>IF(D2647=1,"Section 1","Control")</f>
        <v/>
      </c>
      <c r="S2647" s="16">
        <f>N2647/10000</f>
        <v/>
      </c>
      <c r="T2647" s="16">
        <f>P2647/10000</f>
        <v/>
      </c>
      <c r="U2647" s="15">
        <f>IF(N2647&gt;=Summary!$D$3,1,0)</f>
        <v/>
      </c>
      <c r="V2647" s="17">
        <f>IF(N2647&gt;0,P2647/N2647,"")</f>
        <v/>
      </c>
      <c r="W2647" s="17">
        <f>IF(O2647&gt;0,H2647/O2647,"")</f>
        <v/>
      </c>
    </row>
    <row r="2648">
      <c r="A2648" s="13" t="inlineStr">
        <is>
          <t>CW04_B3</t>
        </is>
      </c>
      <c r="B2648" s="13" t="inlineStr">
        <is>
          <t>CW04</t>
        </is>
      </c>
      <c r="C2648" s="13" t="inlineStr">
        <is>
          <t>B3</t>
        </is>
      </c>
      <c r="D2648" s="13" t="n">
        <v>0</v>
      </c>
      <c r="E2648" s="13" t="inlineStr">
        <is>
          <t>W</t>
        </is>
      </c>
      <c r="F2648" s="13" t="n">
        <v>2020</v>
      </c>
      <c r="G2648" s="14" t="n">
        <v>8006264.769914306</v>
      </c>
      <c r="H2648" s="14" t="n">
        <v>3958666.601186056</v>
      </c>
      <c r="I2648" s="14" t="n">
        <v>527312.9490476721</v>
      </c>
      <c r="J2648" s="14" t="n">
        <v>0</v>
      </c>
      <c r="K2648" s="14" t="n">
        <v>426362.3604871563</v>
      </c>
      <c r="L2648" s="14" t="n">
        <v>3093922.859193421</v>
      </c>
      <c r="M2648" s="14" t="n">
        <v>0</v>
      </c>
      <c r="N2648" s="14" t="n">
        <v>3958666.601186056</v>
      </c>
      <c r="O2648" s="14" t="n">
        <v>4912341.910720885</v>
      </c>
      <c r="P2648" s="14" t="n">
        <v>0</v>
      </c>
      <c r="Q2648" s="14" t="n">
        <v>23692250.42924607</v>
      </c>
      <c r="R2648" s="15">
        <f>IF(D2648=1,"Section 1","Control")</f>
        <v/>
      </c>
      <c r="S2648" s="16">
        <f>N2648/10000</f>
        <v/>
      </c>
      <c r="T2648" s="16">
        <f>P2648/10000</f>
        <v/>
      </c>
      <c r="U2648" s="15">
        <f>IF(N2648&gt;=Summary!$D$3,1,0)</f>
        <v/>
      </c>
      <c r="V2648" s="17">
        <f>IF(N2648&gt;0,P2648/N2648,"")</f>
        <v/>
      </c>
      <c r="W2648" s="17">
        <f>IF(O2648&gt;0,H2648/O2648,"")</f>
        <v/>
      </c>
    </row>
    <row r="2649">
      <c r="A2649" s="13" t="inlineStr">
        <is>
          <t>CW04_B3</t>
        </is>
      </c>
      <c r="B2649" s="13" t="inlineStr">
        <is>
          <t>CW04</t>
        </is>
      </c>
      <c r="C2649" s="13" t="inlineStr">
        <is>
          <t>B3</t>
        </is>
      </c>
      <c r="D2649" s="13" t="n">
        <v>0</v>
      </c>
      <c r="E2649" s="13" t="inlineStr">
        <is>
          <t>W</t>
        </is>
      </c>
      <c r="F2649" s="13" t="n">
        <v>2021</v>
      </c>
      <c r="G2649" s="14" t="n">
        <v>8006264.769914305</v>
      </c>
      <c r="H2649" s="14" t="n">
        <v>3785049.46121865</v>
      </c>
      <c r="I2649" s="14" t="n">
        <v>451478.5508520089</v>
      </c>
      <c r="J2649" s="14" t="n">
        <v>0</v>
      </c>
      <c r="K2649" s="14" t="n">
        <v>684671.8923591465</v>
      </c>
      <c r="L2649" s="14" t="n">
        <v>3085064.865484499</v>
      </c>
      <c r="M2649" s="14" t="n">
        <v>0</v>
      </c>
      <c r="N2649" s="14" t="n">
        <v>3958666.601186057</v>
      </c>
      <c r="O2649" s="14" t="n">
        <v>4912341.910720885</v>
      </c>
      <c r="P2649" s="14" t="n">
        <v>276538.6503955617</v>
      </c>
      <c r="Q2649" s="14" t="n">
        <v>23692250.42924607</v>
      </c>
      <c r="R2649" s="15">
        <f>IF(D2649=1,"Section 1","Control")</f>
        <v/>
      </c>
      <c r="S2649" s="16">
        <f>N2649/10000</f>
        <v/>
      </c>
      <c r="T2649" s="16">
        <f>P2649/10000</f>
        <v/>
      </c>
      <c r="U2649" s="15">
        <f>IF(N2649&gt;=Summary!$D$3,1,0)</f>
        <v/>
      </c>
      <c r="V2649" s="17">
        <f>IF(N2649&gt;0,P2649/N2649,"")</f>
        <v/>
      </c>
      <c r="W2649" s="17">
        <f>IF(O2649&gt;0,H2649/O2649,"")</f>
        <v/>
      </c>
    </row>
    <row r="2650">
      <c r="A2650" s="13" t="inlineStr">
        <is>
          <t>CW04_B3</t>
        </is>
      </c>
      <c r="B2650" s="13" t="inlineStr">
        <is>
          <t>CW04</t>
        </is>
      </c>
      <c r="C2650" s="13" t="inlineStr">
        <is>
          <t>B3</t>
        </is>
      </c>
      <c r="D2650" s="13" t="n">
        <v>0</v>
      </c>
      <c r="E2650" s="13" t="inlineStr">
        <is>
          <t>W</t>
        </is>
      </c>
      <c r="F2650" s="13" t="n">
        <v>2022</v>
      </c>
      <c r="G2650" s="14" t="n">
        <v>8006264.769914305</v>
      </c>
      <c r="H2650" s="14" t="n">
        <v>3767702.927897913</v>
      </c>
      <c r="I2650" s="14" t="n">
        <v>449624.8989894193</v>
      </c>
      <c r="J2650" s="14" t="n">
        <v>0</v>
      </c>
      <c r="K2650" s="14" t="n">
        <v>692368.4457762477</v>
      </c>
      <c r="L2650" s="14" t="n">
        <v>3096568.497250725</v>
      </c>
      <c r="M2650" s="14" t="n">
        <v>0</v>
      </c>
      <c r="N2650" s="14" t="n">
        <v>3958666.601186056</v>
      </c>
      <c r="O2650" s="14" t="n">
        <v>4912341.910720885</v>
      </c>
      <c r="P2650" s="14" t="n">
        <v>314223.9029640946</v>
      </c>
      <c r="Q2650" s="14" t="n">
        <v>23692250.42924607</v>
      </c>
      <c r="R2650" s="15">
        <f>IF(D2650=1,"Section 1","Control")</f>
        <v/>
      </c>
      <c r="S2650" s="16">
        <f>N2650/10000</f>
        <v/>
      </c>
      <c r="T2650" s="16">
        <f>P2650/10000</f>
        <v/>
      </c>
      <c r="U2650" s="15">
        <f>IF(N2650&gt;=Summary!$D$3,1,0)</f>
        <v/>
      </c>
      <c r="V2650" s="17">
        <f>IF(N2650&gt;0,P2650/N2650,"")</f>
        <v/>
      </c>
      <c r="W2650" s="17">
        <f>IF(O2650&gt;0,H2650/O2650,"")</f>
        <v/>
      </c>
    </row>
    <row r="2651">
      <c r="A2651" s="13" t="inlineStr">
        <is>
          <t>CW04_B3</t>
        </is>
      </c>
      <c r="B2651" s="13" t="inlineStr">
        <is>
          <t>CW04</t>
        </is>
      </c>
      <c r="C2651" s="13" t="inlineStr">
        <is>
          <t>B3</t>
        </is>
      </c>
      <c r="D2651" s="13" t="n">
        <v>0</v>
      </c>
      <c r="E2651" s="13" t="inlineStr">
        <is>
          <t>W</t>
        </is>
      </c>
      <c r="F2651" s="13" t="n">
        <v>2023</v>
      </c>
      <c r="G2651" s="14" t="n">
        <v>8006264.769914306</v>
      </c>
      <c r="H2651" s="14" t="n">
        <v>3746401.084528336</v>
      </c>
      <c r="I2651" s="14" t="n">
        <v>450711.9246557198</v>
      </c>
      <c r="J2651" s="14" t="n">
        <v>0</v>
      </c>
      <c r="K2651" s="14" t="n">
        <v>679058.5424582687</v>
      </c>
      <c r="L2651" s="14" t="n">
        <v>3130093.218271981</v>
      </c>
      <c r="M2651" s="14" t="n">
        <v>0</v>
      </c>
      <c r="N2651" s="14" t="n">
        <v>3958666.601186056</v>
      </c>
      <c r="O2651" s="14" t="n">
        <v>4912341.910720885</v>
      </c>
      <c r="P2651" s="14" t="n">
        <v>333718.1436125213</v>
      </c>
      <c r="Q2651" s="14" t="n">
        <v>23692250.42924607</v>
      </c>
      <c r="R2651" s="15">
        <f>IF(D2651=1,"Section 1","Control")</f>
        <v/>
      </c>
      <c r="S2651" s="16">
        <f>N2651/10000</f>
        <v/>
      </c>
      <c r="T2651" s="16">
        <f>P2651/10000</f>
        <v/>
      </c>
      <c r="U2651" s="15">
        <f>IF(N2651&gt;=Summary!$D$3,1,0)</f>
        <v/>
      </c>
      <c r="V2651" s="17">
        <f>IF(N2651&gt;0,P2651/N2651,"")</f>
        <v/>
      </c>
      <c r="W2651" s="17">
        <f>IF(O2651&gt;0,H2651/O2651,"")</f>
        <v/>
      </c>
    </row>
    <row r="2652">
      <c r="A2652" s="13" t="inlineStr">
        <is>
          <t>CW04_B3</t>
        </is>
      </c>
      <c r="B2652" s="13" t="inlineStr">
        <is>
          <t>CW04</t>
        </is>
      </c>
      <c r="C2652" s="13" t="inlineStr">
        <is>
          <t>B3</t>
        </is>
      </c>
      <c r="D2652" s="13" t="n">
        <v>0</v>
      </c>
      <c r="E2652" s="13" t="inlineStr">
        <is>
          <t>W</t>
        </is>
      </c>
      <c r="F2652" s="13" t="n">
        <v>2024</v>
      </c>
      <c r="G2652" s="14" t="n">
        <v>8006264.769914306</v>
      </c>
      <c r="H2652" s="14" t="n">
        <v>3854955.885855821</v>
      </c>
      <c r="I2652" s="14" t="n">
        <v>398049.6137625003</v>
      </c>
      <c r="J2652" s="14" t="n">
        <v>0</v>
      </c>
      <c r="K2652" s="14" t="n">
        <v>648959.8718920839</v>
      </c>
      <c r="L2652" s="14" t="n">
        <v>3104299.398403901</v>
      </c>
      <c r="M2652" s="14" t="n">
        <v>0</v>
      </c>
      <c r="N2652" s="14" t="n">
        <v>3958666.601186057</v>
      </c>
      <c r="O2652" s="14" t="n">
        <v>4912341.910720885</v>
      </c>
      <c r="P2652" s="14" t="n">
        <v>310032.3700929829</v>
      </c>
      <c r="Q2652" s="14" t="n">
        <v>23692250.42924607</v>
      </c>
      <c r="R2652" s="15">
        <f>IF(D2652=1,"Section 1","Control")</f>
        <v/>
      </c>
      <c r="S2652" s="16">
        <f>N2652/10000</f>
        <v/>
      </c>
      <c r="T2652" s="16">
        <f>P2652/10000</f>
        <v/>
      </c>
      <c r="U2652" s="15">
        <f>IF(N2652&gt;=Summary!$D$3,1,0)</f>
        <v/>
      </c>
      <c r="V2652" s="17">
        <f>IF(N2652&gt;0,P2652/N2652,"")</f>
        <v/>
      </c>
      <c r="W2652" s="17">
        <f>IF(O2652&gt;0,H2652/O2652,"")</f>
        <v/>
      </c>
    </row>
    <row r="2653">
      <c r="A2653" s="13" t="inlineStr">
        <is>
          <t>CW04_B3</t>
        </is>
      </c>
      <c r="B2653" s="13" t="inlineStr">
        <is>
          <t>CW04</t>
        </is>
      </c>
      <c r="C2653" s="13" t="inlineStr">
        <is>
          <t>B3</t>
        </is>
      </c>
      <c r="D2653" s="13" t="n">
        <v>0</v>
      </c>
      <c r="E2653" s="13" t="inlineStr">
        <is>
          <t>W</t>
        </is>
      </c>
      <c r="F2653" s="13" t="n">
        <v>2025</v>
      </c>
      <c r="G2653" s="14" t="n">
        <v>8006264.769914305</v>
      </c>
      <c r="H2653" s="14" t="n">
        <v>3681588.15878607</v>
      </c>
      <c r="I2653" s="14" t="n">
        <v>600666.6573414521</v>
      </c>
      <c r="J2653" s="14" t="n">
        <v>0</v>
      </c>
      <c r="K2653" s="14" t="n">
        <v>621638.7297920375</v>
      </c>
      <c r="L2653" s="14" t="n">
        <v>3102371.223994745</v>
      </c>
      <c r="M2653" s="14" t="n">
        <v>0</v>
      </c>
      <c r="N2653" s="14" t="n">
        <v>3958666.601186056</v>
      </c>
      <c r="O2653" s="14" t="n">
        <v>4912341.910720885</v>
      </c>
      <c r="P2653" s="14" t="n">
        <v>434765.9681386312</v>
      </c>
      <c r="Q2653" s="14" t="n">
        <v>23692250.42924607</v>
      </c>
      <c r="R2653" s="15">
        <f>IF(D2653=1,"Section 1","Control")</f>
        <v/>
      </c>
      <c r="S2653" s="16">
        <f>N2653/10000</f>
        <v/>
      </c>
      <c r="T2653" s="16">
        <f>P2653/10000</f>
        <v/>
      </c>
      <c r="U2653" s="15">
        <f>IF(N2653&gt;=Summary!$D$3,1,0)</f>
        <v/>
      </c>
      <c r="V2653" s="17">
        <f>IF(N2653&gt;0,P2653/N2653,"")</f>
        <v/>
      </c>
      <c r="W2653" s="17">
        <f>IF(O2653&gt;0,H2653/O2653,"")</f>
        <v/>
      </c>
    </row>
    <row r="2654">
      <c r="A2654" s="13" t="inlineStr">
        <is>
          <t>CW04_B3</t>
        </is>
      </c>
      <c r="B2654" s="13" t="inlineStr">
        <is>
          <t>CW04</t>
        </is>
      </c>
      <c r="C2654" s="13" t="inlineStr">
        <is>
          <t>B3</t>
        </is>
      </c>
      <c r="D2654" s="13" t="n">
        <v>0</v>
      </c>
      <c r="E2654" s="13" t="inlineStr">
        <is>
          <t>W</t>
        </is>
      </c>
      <c r="F2654" s="13" t="n">
        <v>2026</v>
      </c>
      <c r="G2654" s="14" t="n">
        <v>8006264.769914305</v>
      </c>
      <c r="H2654" s="14" t="n">
        <v>3750138.729950937</v>
      </c>
      <c r="I2654" s="14" t="n">
        <v>411139.3682756911</v>
      </c>
      <c r="J2654" s="14" t="n">
        <v>0</v>
      </c>
      <c r="K2654" s="14" t="n">
        <v>692860.7594453999</v>
      </c>
      <c r="L2654" s="14" t="n">
        <v>3152125.912242276</v>
      </c>
      <c r="M2654" s="14" t="n">
        <v>0</v>
      </c>
      <c r="N2654" s="14" t="n">
        <v>3958666.601186057</v>
      </c>
      <c r="O2654" s="14" t="n">
        <v>4912341.910720885</v>
      </c>
      <c r="P2654" s="14" t="n">
        <v>378221.5923979816</v>
      </c>
      <c r="Q2654" s="14" t="n">
        <v>23692250.42924607</v>
      </c>
      <c r="R2654" s="15">
        <f>IF(D2654=1,"Section 1","Control")</f>
        <v/>
      </c>
      <c r="S2654" s="16">
        <f>N2654/10000</f>
        <v/>
      </c>
      <c r="T2654" s="16">
        <f>P2654/10000</f>
        <v/>
      </c>
      <c r="U2654" s="15">
        <f>IF(N2654&gt;=Summary!$D$3,1,0)</f>
        <v/>
      </c>
      <c r="V2654" s="17">
        <f>IF(N2654&gt;0,P2654/N2654,"")</f>
        <v/>
      </c>
      <c r="W2654" s="17">
        <f>IF(O2654&gt;0,H2654/O2654,"")</f>
        <v/>
      </c>
    </row>
    <row r="2655">
      <c r="A2655" s="13" t="inlineStr">
        <is>
          <t>CW04_F</t>
        </is>
      </c>
      <c r="B2655" s="13" t="inlineStr">
        <is>
          <t>CW04</t>
        </is>
      </c>
      <c r="C2655" s="13" t="inlineStr">
        <is>
          <t>F</t>
        </is>
      </c>
      <c r="D2655" s="13" t="n">
        <v>0</v>
      </c>
      <c r="E2655" s="13" t="inlineStr">
        <is>
          <t>W</t>
        </is>
      </c>
      <c r="F2655" s="13" t="n">
        <v>2020</v>
      </c>
      <c r="G2655" s="14" t="n">
        <v>69379.94241832658</v>
      </c>
      <c r="H2655" s="14" t="n">
        <v>47732.41868046779</v>
      </c>
      <c r="I2655" s="14" t="n">
        <v>17767.68051033768</v>
      </c>
      <c r="J2655" s="14" t="n">
        <v>0</v>
      </c>
      <c r="K2655" s="14" t="n">
        <v>3879.843227521111</v>
      </c>
      <c r="L2655" s="14" t="n">
        <v>0</v>
      </c>
      <c r="M2655" s="14" t="n">
        <v>0</v>
      </c>
      <c r="N2655" s="14" t="n">
        <v>47732.41868046779</v>
      </c>
      <c r="O2655" s="14" t="n">
        <v>69379.94241832658</v>
      </c>
      <c r="P2655" s="14" t="n">
        <v>0</v>
      </c>
      <c r="Q2655" s="14" t="n">
        <v>497785.0551413144</v>
      </c>
      <c r="R2655" s="15">
        <f>IF(D2655=1,"Section 1","Control")</f>
        <v/>
      </c>
      <c r="S2655" s="16">
        <f>N2655/10000</f>
        <v/>
      </c>
      <c r="T2655" s="16">
        <f>P2655/10000</f>
        <v/>
      </c>
      <c r="U2655" s="15">
        <f>IF(N2655&gt;=Summary!$D$3,1,0)</f>
        <v/>
      </c>
      <c r="V2655" s="17">
        <f>IF(N2655&gt;0,P2655/N2655,"")</f>
        <v/>
      </c>
      <c r="W2655" s="17">
        <f>IF(O2655&gt;0,H2655/O2655,"")</f>
        <v/>
      </c>
    </row>
    <row r="2656">
      <c r="A2656" s="13" t="inlineStr">
        <is>
          <t>CW04_F</t>
        </is>
      </c>
      <c r="B2656" s="13" t="inlineStr">
        <is>
          <t>CW04</t>
        </is>
      </c>
      <c r="C2656" s="13" t="inlineStr">
        <is>
          <t>F</t>
        </is>
      </c>
      <c r="D2656" s="13" t="n">
        <v>0</v>
      </c>
      <c r="E2656" s="13" t="inlineStr">
        <is>
          <t>W</t>
        </is>
      </c>
      <c r="F2656" s="13" t="n">
        <v>2021</v>
      </c>
      <c r="G2656" s="14" t="n">
        <v>69379.94241832658</v>
      </c>
      <c r="H2656" s="14" t="n">
        <v>39230.91338764265</v>
      </c>
      <c r="I2656" s="14" t="n">
        <v>10935.26436312807</v>
      </c>
      <c r="J2656" s="14" t="n">
        <v>0</v>
      </c>
      <c r="K2656" s="14" t="n">
        <v>19213.76466755586</v>
      </c>
      <c r="L2656" s="14" t="n">
        <v>0</v>
      </c>
      <c r="M2656" s="14" t="n">
        <v>0</v>
      </c>
      <c r="N2656" s="14" t="n">
        <v>47732.41868046779</v>
      </c>
      <c r="O2656" s="14" t="n">
        <v>69379.94241832658</v>
      </c>
      <c r="P2656" s="14" t="n">
        <v>10625.52771771001</v>
      </c>
      <c r="Q2656" s="14" t="n">
        <v>497785.0551413144</v>
      </c>
      <c r="R2656" s="15">
        <f>IF(D2656=1,"Section 1","Control")</f>
        <v/>
      </c>
      <c r="S2656" s="16">
        <f>N2656/10000</f>
        <v/>
      </c>
      <c r="T2656" s="16">
        <f>P2656/10000</f>
        <v/>
      </c>
      <c r="U2656" s="15">
        <f>IF(N2656&gt;=Summary!$D$3,1,0)</f>
        <v/>
      </c>
      <c r="V2656" s="17">
        <f>IF(N2656&gt;0,P2656/N2656,"")</f>
        <v/>
      </c>
      <c r="W2656" s="17">
        <f>IF(O2656&gt;0,H2656/O2656,"")</f>
        <v/>
      </c>
    </row>
    <row r="2657">
      <c r="A2657" s="13" t="inlineStr">
        <is>
          <t>CW04_F</t>
        </is>
      </c>
      <c r="B2657" s="13" t="inlineStr">
        <is>
          <t>CW04</t>
        </is>
      </c>
      <c r="C2657" s="13" t="inlineStr">
        <is>
          <t>F</t>
        </is>
      </c>
      <c r="D2657" s="13" t="n">
        <v>0</v>
      </c>
      <c r="E2657" s="13" t="inlineStr">
        <is>
          <t>W</t>
        </is>
      </c>
      <c r="F2657" s="13" t="n">
        <v>2022</v>
      </c>
      <c r="G2657" s="14" t="n">
        <v>69379.94241832658</v>
      </c>
      <c r="H2657" s="14" t="n">
        <v>38908.01219222125</v>
      </c>
      <c r="I2657" s="14" t="n">
        <v>7912.617474873861</v>
      </c>
      <c r="J2657" s="14" t="n">
        <v>0</v>
      </c>
      <c r="K2657" s="14" t="n">
        <v>22559.31275123147</v>
      </c>
      <c r="L2657" s="14" t="n">
        <v>0</v>
      </c>
      <c r="M2657" s="14" t="n">
        <v>0</v>
      </c>
      <c r="N2657" s="14" t="n">
        <v>47732.41868046779</v>
      </c>
      <c r="O2657" s="14" t="n">
        <v>69379.94241832658</v>
      </c>
      <c r="P2657" s="14" t="n">
        <v>11492.40428239411</v>
      </c>
      <c r="Q2657" s="14" t="n">
        <v>497785.0551413144</v>
      </c>
      <c r="R2657" s="15">
        <f>IF(D2657=1,"Section 1","Control")</f>
        <v/>
      </c>
      <c r="S2657" s="16">
        <f>N2657/10000</f>
        <v/>
      </c>
      <c r="T2657" s="16">
        <f>P2657/10000</f>
        <v/>
      </c>
      <c r="U2657" s="15">
        <f>IF(N2657&gt;=Summary!$D$3,1,0)</f>
        <v/>
      </c>
      <c r="V2657" s="17">
        <f>IF(N2657&gt;0,P2657/N2657,"")</f>
        <v/>
      </c>
      <c r="W2657" s="17">
        <f>IF(O2657&gt;0,H2657/O2657,"")</f>
        <v/>
      </c>
    </row>
    <row r="2658">
      <c r="A2658" s="13" t="inlineStr">
        <is>
          <t>CW04_F</t>
        </is>
      </c>
      <c r="B2658" s="13" t="inlineStr">
        <is>
          <t>CW04</t>
        </is>
      </c>
      <c r="C2658" s="13" t="inlineStr">
        <is>
          <t>F</t>
        </is>
      </c>
      <c r="D2658" s="13" t="n">
        <v>0</v>
      </c>
      <c r="E2658" s="13" t="inlineStr">
        <is>
          <t>W</t>
        </is>
      </c>
      <c r="F2658" s="13" t="n">
        <v>2023</v>
      </c>
      <c r="G2658" s="14" t="n">
        <v>69379.94241832658</v>
      </c>
      <c r="H2658" s="14" t="n">
        <v>34294.09145549699</v>
      </c>
      <c r="I2658" s="14" t="n">
        <v>20103.09518576229</v>
      </c>
      <c r="J2658" s="14" t="n">
        <v>0</v>
      </c>
      <c r="K2658" s="14" t="n">
        <v>14982.7557770673</v>
      </c>
      <c r="L2658" s="14" t="n">
        <v>0</v>
      </c>
      <c r="M2658" s="14" t="n">
        <v>0</v>
      </c>
      <c r="N2658" s="14" t="n">
        <v>47732.41868046779</v>
      </c>
      <c r="O2658" s="14" t="n">
        <v>69379.94241832658</v>
      </c>
      <c r="P2658" s="14" t="n">
        <v>15120.97403375962</v>
      </c>
      <c r="Q2658" s="14" t="n">
        <v>497785.0551413144</v>
      </c>
      <c r="R2658" s="15">
        <f>IF(D2658=1,"Section 1","Control")</f>
        <v/>
      </c>
      <c r="S2658" s="16">
        <f>N2658/10000</f>
        <v/>
      </c>
      <c r="T2658" s="16">
        <f>P2658/10000</f>
        <v/>
      </c>
      <c r="U2658" s="15">
        <f>IF(N2658&gt;=Summary!$D$3,1,0)</f>
        <v/>
      </c>
      <c r="V2658" s="17">
        <f>IF(N2658&gt;0,P2658/N2658,"")</f>
        <v/>
      </c>
      <c r="W2658" s="17">
        <f>IF(O2658&gt;0,H2658/O2658,"")</f>
        <v/>
      </c>
    </row>
    <row r="2659">
      <c r="A2659" s="13" t="inlineStr">
        <is>
          <t>CW04_F</t>
        </is>
      </c>
      <c r="B2659" s="13" t="inlineStr">
        <is>
          <t>CW04</t>
        </is>
      </c>
      <c r="C2659" s="13" t="inlineStr">
        <is>
          <t>F</t>
        </is>
      </c>
      <c r="D2659" s="13" t="n">
        <v>0</v>
      </c>
      <c r="E2659" s="13" t="inlineStr">
        <is>
          <t>W</t>
        </is>
      </c>
      <c r="F2659" s="13" t="n">
        <v>2024</v>
      </c>
      <c r="G2659" s="14" t="n">
        <v>69379.94241832658</v>
      </c>
      <c r="H2659" s="14" t="n">
        <v>40556.5873670391</v>
      </c>
      <c r="I2659" s="14" t="n">
        <v>15860.08543300255</v>
      </c>
      <c r="J2659" s="14" t="n">
        <v>0</v>
      </c>
      <c r="K2659" s="14" t="n">
        <v>12963.26961828494</v>
      </c>
      <c r="L2659" s="14" t="n">
        <v>0</v>
      </c>
      <c r="M2659" s="14" t="n">
        <v>0</v>
      </c>
      <c r="N2659" s="14" t="n">
        <v>47732.41868046779</v>
      </c>
      <c r="O2659" s="14" t="n">
        <v>69379.94241832658</v>
      </c>
      <c r="P2659" s="14" t="n">
        <v>11324.3722975787</v>
      </c>
      <c r="Q2659" s="14" t="n">
        <v>497785.0551413144</v>
      </c>
      <c r="R2659" s="15">
        <f>IF(D2659=1,"Section 1","Control")</f>
        <v/>
      </c>
      <c r="S2659" s="16">
        <f>N2659/10000</f>
        <v/>
      </c>
      <c r="T2659" s="16">
        <f>P2659/10000</f>
        <v/>
      </c>
      <c r="U2659" s="15">
        <f>IF(N2659&gt;=Summary!$D$3,1,0)</f>
        <v/>
      </c>
      <c r="V2659" s="17">
        <f>IF(N2659&gt;0,P2659/N2659,"")</f>
        <v/>
      </c>
      <c r="W2659" s="17">
        <f>IF(O2659&gt;0,H2659/O2659,"")</f>
        <v/>
      </c>
    </row>
    <row r="2660">
      <c r="A2660" s="13" t="inlineStr">
        <is>
          <t>CW04_F</t>
        </is>
      </c>
      <c r="B2660" s="13" t="inlineStr">
        <is>
          <t>CW04</t>
        </is>
      </c>
      <c r="C2660" s="13" t="inlineStr">
        <is>
          <t>F</t>
        </is>
      </c>
      <c r="D2660" s="13" t="n">
        <v>0</v>
      </c>
      <c r="E2660" s="13" t="inlineStr">
        <is>
          <t>W</t>
        </is>
      </c>
      <c r="F2660" s="13" t="n">
        <v>2025</v>
      </c>
      <c r="G2660" s="14" t="n">
        <v>69379.94241832658</v>
      </c>
      <c r="H2660" s="14" t="n">
        <v>30489.35690992767</v>
      </c>
      <c r="I2660" s="14" t="n">
        <v>27171.29741082285</v>
      </c>
      <c r="J2660" s="14" t="n">
        <v>0</v>
      </c>
      <c r="K2660" s="14" t="n">
        <v>11719.28809757607</v>
      </c>
      <c r="L2660" s="14" t="n">
        <v>0</v>
      </c>
      <c r="M2660" s="14" t="n">
        <v>0</v>
      </c>
      <c r="N2660" s="14" t="n">
        <v>47732.41868046779</v>
      </c>
      <c r="O2660" s="14" t="n">
        <v>69379.94241832658</v>
      </c>
      <c r="P2660" s="14" t="n">
        <v>18372.82745112999</v>
      </c>
      <c r="Q2660" s="14" t="n">
        <v>497785.0551413144</v>
      </c>
      <c r="R2660" s="15">
        <f>IF(D2660=1,"Section 1","Control")</f>
        <v/>
      </c>
      <c r="S2660" s="16">
        <f>N2660/10000</f>
        <v/>
      </c>
      <c r="T2660" s="16">
        <f>P2660/10000</f>
        <v/>
      </c>
      <c r="U2660" s="15">
        <f>IF(N2660&gt;=Summary!$D$3,1,0)</f>
        <v/>
      </c>
      <c r="V2660" s="17">
        <f>IF(N2660&gt;0,P2660/N2660,"")</f>
        <v/>
      </c>
      <c r="W2660" s="17">
        <f>IF(O2660&gt;0,H2660/O2660,"")</f>
        <v/>
      </c>
    </row>
    <row r="2661">
      <c r="A2661" s="13" t="inlineStr">
        <is>
          <t>CW04_F</t>
        </is>
      </c>
      <c r="B2661" s="13" t="inlineStr">
        <is>
          <t>CW04</t>
        </is>
      </c>
      <c r="C2661" s="13" t="inlineStr">
        <is>
          <t>F</t>
        </is>
      </c>
      <c r="D2661" s="13" t="n">
        <v>0</v>
      </c>
      <c r="E2661" s="13" t="inlineStr">
        <is>
          <t>W</t>
        </is>
      </c>
      <c r="F2661" s="13" t="n">
        <v>2026</v>
      </c>
      <c r="G2661" s="14" t="n">
        <v>69379.94241832658</v>
      </c>
      <c r="H2661" s="14" t="n">
        <v>31947.83240515018</v>
      </c>
      <c r="I2661" s="14" t="n">
        <v>13596.68373063032</v>
      </c>
      <c r="J2661" s="14" t="n">
        <v>0</v>
      </c>
      <c r="K2661" s="14" t="n">
        <v>23835.4262825461</v>
      </c>
      <c r="L2661" s="14" t="n">
        <v>0</v>
      </c>
      <c r="M2661" s="14" t="n">
        <v>0</v>
      </c>
      <c r="N2661" s="14" t="n">
        <v>47732.41868046779</v>
      </c>
      <c r="O2661" s="14" t="n">
        <v>69379.94241832658</v>
      </c>
      <c r="P2661" s="14" t="n">
        <v>17187.30788475485</v>
      </c>
      <c r="Q2661" s="14" t="n">
        <v>497785.0551413144</v>
      </c>
      <c r="R2661" s="15">
        <f>IF(D2661=1,"Section 1","Control")</f>
        <v/>
      </c>
      <c r="S2661" s="16">
        <f>N2661/10000</f>
        <v/>
      </c>
      <c r="T2661" s="16">
        <f>P2661/10000</f>
        <v/>
      </c>
      <c r="U2661" s="15">
        <f>IF(N2661&gt;=Summary!$D$3,1,0)</f>
        <v/>
      </c>
      <c r="V2661" s="17">
        <f>IF(N2661&gt;0,P2661/N2661,"")</f>
        <v/>
      </c>
      <c r="W2661" s="17">
        <f>IF(O2661&gt;0,H2661/O2661,"")</f>
        <v/>
      </c>
    </row>
    <row r="2662">
      <c r="A2662" s="13" t="inlineStr">
        <is>
          <t>CW05_B1</t>
        </is>
      </c>
      <c r="B2662" s="13" t="inlineStr">
        <is>
          <t>CW05</t>
        </is>
      </c>
      <c r="C2662" s="13" t="inlineStr">
        <is>
          <t>B1</t>
        </is>
      </c>
      <c r="D2662" s="13" t="n">
        <v>0</v>
      </c>
      <c r="E2662" s="13" t="inlineStr">
        <is>
          <t>W</t>
        </is>
      </c>
      <c r="F2662" s="13" t="n">
        <v>2020</v>
      </c>
      <c r="G2662" s="14" t="n">
        <v>1026378.224838796</v>
      </c>
      <c r="H2662" s="14" t="n">
        <v>534293.1366571763</v>
      </c>
      <c r="I2662" s="14" t="n">
        <v>393945.7898777383</v>
      </c>
      <c r="J2662" s="14" t="n">
        <v>0</v>
      </c>
      <c r="K2662" s="14" t="n">
        <v>98139.29830388087</v>
      </c>
      <c r="L2662" s="14" t="n">
        <v>0</v>
      </c>
      <c r="M2662" s="14" t="n">
        <v>0</v>
      </c>
      <c r="N2662" s="14" t="n">
        <v>534293.1366571763</v>
      </c>
      <c r="O2662" s="14" t="n">
        <v>1026378.224838796</v>
      </c>
      <c r="P2662" s="14" t="n">
        <v>0</v>
      </c>
      <c r="Q2662" s="14" t="n">
        <v>6394271.634463262</v>
      </c>
      <c r="R2662" s="15">
        <f>IF(D2662=1,"Section 1","Control")</f>
        <v/>
      </c>
      <c r="S2662" s="16">
        <f>N2662/10000</f>
        <v/>
      </c>
      <c r="T2662" s="16">
        <f>P2662/10000</f>
        <v/>
      </c>
      <c r="U2662" s="15">
        <f>IF(N2662&gt;=Summary!$D$3,1,0)</f>
        <v/>
      </c>
      <c r="V2662" s="17">
        <f>IF(N2662&gt;0,P2662/N2662,"")</f>
        <v/>
      </c>
      <c r="W2662" s="17">
        <f>IF(O2662&gt;0,H2662/O2662,"")</f>
        <v/>
      </c>
    </row>
    <row r="2663">
      <c r="A2663" s="13" t="inlineStr">
        <is>
          <t>CW05_B1</t>
        </is>
      </c>
      <c r="B2663" s="13" t="inlineStr">
        <is>
          <t>CW05</t>
        </is>
      </c>
      <c r="C2663" s="13" t="inlineStr">
        <is>
          <t>B1</t>
        </is>
      </c>
      <c r="D2663" s="13" t="n">
        <v>0</v>
      </c>
      <c r="E2663" s="13" t="inlineStr">
        <is>
          <t>W</t>
        </is>
      </c>
      <c r="F2663" s="13" t="n">
        <v>2021</v>
      </c>
      <c r="G2663" s="14" t="n">
        <v>1026378.224838796</v>
      </c>
      <c r="H2663" s="14" t="n">
        <v>509649.6786014034</v>
      </c>
      <c r="I2663" s="14" t="n">
        <v>303733.8537787344</v>
      </c>
      <c r="J2663" s="14" t="n">
        <v>0</v>
      </c>
      <c r="K2663" s="14" t="n">
        <v>212994.6924586576</v>
      </c>
      <c r="L2663" s="14" t="n">
        <v>0</v>
      </c>
      <c r="M2663" s="14" t="n">
        <v>0</v>
      </c>
      <c r="N2663" s="14" t="n">
        <v>534293.1366571763</v>
      </c>
      <c r="O2663" s="14" t="n">
        <v>1026378.224838796</v>
      </c>
      <c r="P2663" s="14" t="n">
        <v>55967.51241733327</v>
      </c>
      <c r="Q2663" s="14" t="n">
        <v>6394271.634463261</v>
      </c>
      <c r="R2663" s="15">
        <f>IF(D2663=1,"Section 1","Control")</f>
        <v/>
      </c>
      <c r="S2663" s="16">
        <f>N2663/10000</f>
        <v/>
      </c>
      <c r="T2663" s="16">
        <f>P2663/10000</f>
        <v/>
      </c>
      <c r="U2663" s="15">
        <f>IF(N2663&gt;=Summary!$D$3,1,0)</f>
        <v/>
      </c>
      <c r="V2663" s="17">
        <f>IF(N2663&gt;0,P2663/N2663,"")</f>
        <v/>
      </c>
      <c r="W2663" s="17">
        <f>IF(O2663&gt;0,H2663/O2663,"")</f>
        <v/>
      </c>
    </row>
    <row r="2664">
      <c r="A2664" s="13" t="inlineStr">
        <is>
          <t>CW05_B1</t>
        </is>
      </c>
      <c r="B2664" s="13" t="inlineStr">
        <is>
          <t>CW05</t>
        </is>
      </c>
      <c r="C2664" s="13" t="inlineStr">
        <is>
          <t>B1</t>
        </is>
      </c>
      <c r="D2664" s="13" t="n">
        <v>0</v>
      </c>
      <c r="E2664" s="13" t="inlineStr">
        <is>
          <t>W</t>
        </is>
      </c>
      <c r="F2664" s="13" t="n">
        <v>2022</v>
      </c>
      <c r="G2664" s="14" t="n">
        <v>1026378.224838796</v>
      </c>
      <c r="H2664" s="14" t="n">
        <v>532992.5174411249</v>
      </c>
      <c r="I2664" s="14" t="n">
        <v>299258.2731103636</v>
      </c>
      <c r="J2664" s="14" t="n">
        <v>0</v>
      </c>
      <c r="K2664" s="14" t="n">
        <v>194127.4342873068</v>
      </c>
      <c r="L2664" s="14" t="n">
        <v>0</v>
      </c>
      <c r="M2664" s="14" t="n">
        <v>0</v>
      </c>
      <c r="N2664" s="14" t="n">
        <v>534293.1366571762</v>
      </c>
      <c r="O2664" s="14" t="n">
        <v>1026378.224838796</v>
      </c>
      <c r="P2664" s="14" t="n">
        <v>56079.83562583175</v>
      </c>
      <c r="Q2664" s="14" t="n">
        <v>6394271.634463261</v>
      </c>
      <c r="R2664" s="15">
        <f>IF(D2664=1,"Section 1","Control")</f>
        <v/>
      </c>
      <c r="S2664" s="16">
        <f>N2664/10000</f>
        <v/>
      </c>
      <c r="T2664" s="16">
        <f>P2664/10000</f>
        <v/>
      </c>
      <c r="U2664" s="15">
        <f>IF(N2664&gt;=Summary!$D$3,1,0)</f>
        <v/>
      </c>
      <c r="V2664" s="17">
        <f>IF(N2664&gt;0,P2664/N2664,"")</f>
        <v/>
      </c>
      <c r="W2664" s="17">
        <f>IF(O2664&gt;0,H2664/O2664,"")</f>
        <v/>
      </c>
    </row>
    <row r="2665">
      <c r="A2665" s="13" t="inlineStr">
        <is>
          <t>CW05_B1</t>
        </is>
      </c>
      <c r="B2665" s="13" t="inlineStr">
        <is>
          <t>CW05</t>
        </is>
      </c>
      <c r="C2665" s="13" t="inlineStr">
        <is>
          <t>B1</t>
        </is>
      </c>
      <c r="D2665" s="13" t="n">
        <v>0</v>
      </c>
      <c r="E2665" s="13" t="inlineStr">
        <is>
          <t>W</t>
        </is>
      </c>
      <c r="F2665" s="13" t="n">
        <v>2023</v>
      </c>
      <c r="G2665" s="14" t="n">
        <v>1026378.224838796</v>
      </c>
      <c r="H2665" s="14" t="n">
        <v>495673.5314529719</v>
      </c>
      <c r="I2665" s="14" t="n">
        <v>358634.1421277813</v>
      </c>
      <c r="J2665" s="14" t="n">
        <v>0</v>
      </c>
      <c r="K2665" s="14" t="n">
        <v>172070.5512580423</v>
      </c>
      <c r="L2665" s="14" t="n">
        <v>0</v>
      </c>
      <c r="M2665" s="14" t="n">
        <v>0</v>
      </c>
      <c r="N2665" s="14" t="n">
        <v>534293.1366571762</v>
      </c>
      <c r="O2665" s="14" t="n">
        <v>1026378.224838796</v>
      </c>
      <c r="P2665" s="14" t="n">
        <v>73711.9656703575</v>
      </c>
      <c r="Q2665" s="14" t="n">
        <v>6394271.634463261</v>
      </c>
      <c r="R2665" s="15">
        <f>IF(D2665=1,"Section 1","Control")</f>
        <v/>
      </c>
      <c r="S2665" s="16">
        <f>N2665/10000</f>
        <v/>
      </c>
      <c r="T2665" s="16">
        <f>P2665/10000</f>
        <v/>
      </c>
      <c r="U2665" s="15">
        <f>IF(N2665&gt;=Summary!$D$3,1,0)</f>
        <v/>
      </c>
      <c r="V2665" s="17">
        <f>IF(N2665&gt;0,P2665/N2665,"")</f>
        <v/>
      </c>
      <c r="W2665" s="17">
        <f>IF(O2665&gt;0,H2665/O2665,"")</f>
        <v/>
      </c>
    </row>
    <row r="2666">
      <c r="A2666" s="13" t="inlineStr">
        <is>
          <t>CW05_B1</t>
        </is>
      </c>
      <c r="B2666" s="13" t="inlineStr">
        <is>
          <t>CW05</t>
        </is>
      </c>
      <c r="C2666" s="13" t="inlineStr">
        <is>
          <t>B1</t>
        </is>
      </c>
      <c r="D2666" s="13" t="n">
        <v>0</v>
      </c>
      <c r="E2666" s="13" t="inlineStr">
        <is>
          <t>W</t>
        </is>
      </c>
      <c r="F2666" s="13" t="n">
        <v>2024</v>
      </c>
      <c r="G2666" s="14" t="n">
        <v>1026378.224838796</v>
      </c>
      <c r="H2666" s="14" t="n">
        <v>546404.886108937</v>
      </c>
      <c r="I2666" s="14" t="n">
        <v>335698.2804334754</v>
      </c>
      <c r="J2666" s="14" t="n">
        <v>0</v>
      </c>
      <c r="K2666" s="14" t="n">
        <v>144275.0582963831</v>
      </c>
      <c r="L2666" s="14" t="n">
        <v>0</v>
      </c>
      <c r="M2666" s="14" t="n">
        <v>0</v>
      </c>
      <c r="N2666" s="14" t="n">
        <v>534293.1366571763</v>
      </c>
      <c r="O2666" s="14" t="n">
        <v>1026378.224838796</v>
      </c>
      <c r="P2666" s="14" t="n">
        <v>61408.50923470888</v>
      </c>
      <c r="Q2666" s="14" t="n">
        <v>6394271.634463261</v>
      </c>
      <c r="R2666" s="15">
        <f>IF(D2666=1,"Section 1","Control")</f>
        <v/>
      </c>
      <c r="S2666" s="16">
        <f>N2666/10000</f>
        <v/>
      </c>
      <c r="T2666" s="16">
        <f>P2666/10000</f>
        <v/>
      </c>
      <c r="U2666" s="15">
        <f>IF(N2666&gt;=Summary!$D$3,1,0)</f>
        <v/>
      </c>
      <c r="V2666" s="17">
        <f>IF(N2666&gt;0,P2666/N2666,"")</f>
        <v/>
      </c>
      <c r="W2666" s="17">
        <f>IF(O2666&gt;0,H2666/O2666,"")</f>
        <v/>
      </c>
    </row>
    <row r="2667">
      <c r="A2667" s="13" t="inlineStr">
        <is>
          <t>CW05_B1</t>
        </is>
      </c>
      <c r="B2667" s="13" t="inlineStr">
        <is>
          <t>CW05</t>
        </is>
      </c>
      <c r="C2667" s="13" t="inlineStr">
        <is>
          <t>B1</t>
        </is>
      </c>
      <c r="D2667" s="13" t="n">
        <v>0</v>
      </c>
      <c r="E2667" s="13" t="inlineStr">
        <is>
          <t>W</t>
        </is>
      </c>
      <c r="F2667" s="13" t="n">
        <v>2025</v>
      </c>
      <c r="G2667" s="14" t="n">
        <v>1026378.224838796</v>
      </c>
      <c r="H2667" s="14" t="n">
        <v>480796.5116219315</v>
      </c>
      <c r="I2667" s="14" t="n">
        <v>427004.8047233732</v>
      </c>
      <c r="J2667" s="14" t="n">
        <v>0</v>
      </c>
      <c r="K2667" s="14" t="n">
        <v>118576.9084934908</v>
      </c>
      <c r="L2667" s="14" t="n">
        <v>0</v>
      </c>
      <c r="M2667" s="14" t="n">
        <v>0</v>
      </c>
      <c r="N2667" s="14" t="n">
        <v>534293.1366571763</v>
      </c>
      <c r="O2667" s="14" t="n">
        <v>1026378.224838796</v>
      </c>
      <c r="P2667" s="14" t="n">
        <v>93477.81050935634</v>
      </c>
      <c r="Q2667" s="14" t="n">
        <v>6394271.634463262</v>
      </c>
      <c r="R2667" s="15">
        <f>IF(D2667=1,"Section 1","Control")</f>
        <v/>
      </c>
      <c r="S2667" s="16">
        <f>N2667/10000</f>
        <v/>
      </c>
      <c r="T2667" s="16">
        <f>P2667/10000</f>
        <v/>
      </c>
      <c r="U2667" s="15">
        <f>IF(N2667&gt;=Summary!$D$3,1,0)</f>
        <v/>
      </c>
      <c r="V2667" s="17">
        <f>IF(N2667&gt;0,P2667/N2667,"")</f>
        <v/>
      </c>
      <c r="W2667" s="17">
        <f>IF(O2667&gt;0,H2667/O2667,"")</f>
        <v/>
      </c>
    </row>
    <row r="2668">
      <c r="A2668" s="13" t="inlineStr">
        <is>
          <t>CW05_B1</t>
        </is>
      </c>
      <c r="B2668" s="13" t="inlineStr">
        <is>
          <t>CW05</t>
        </is>
      </c>
      <c r="C2668" s="13" t="inlineStr">
        <is>
          <t>B1</t>
        </is>
      </c>
      <c r="D2668" s="13" t="n">
        <v>0</v>
      </c>
      <c r="E2668" s="13" t="inlineStr">
        <is>
          <t>W</t>
        </is>
      </c>
      <c r="F2668" s="13" t="n">
        <v>2026</v>
      </c>
      <c r="G2668" s="14" t="n">
        <v>1026378.224838796</v>
      </c>
      <c r="H2668" s="14" t="n">
        <v>514737.7532394409</v>
      </c>
      <c r="I2668" s="14" t="n">
        <v>307348.4129179713</v>
      </c>
      <c r="J2668" s="14" t="n">
        <v>0</v>
      </c>
      <c r="K2668" s="14" t="n">
        <v>204292.0586813833</v>
      </c>
      <c r="L2668" s="14" t="n">
        <v>0</v>
      </c>
      <c r="M2668" s="14" t="n">
        <v>0</v>
      </c>
      <c r="N2668" s="14" t="n">
        <v>534293.1366571763</v>
      </c>
      <c r="O2668" s="14" t="n">
        <v>1026378.224838796</v>
      </c>
      <c r="P2668" s="14" t="n">
        <v>85202.07931123619</v>
      </c>
      <c r="Q2668" s="14" t="n">
        <v>6394271.634463261</v>
      </c>
      <c r="R2668" s="15">
        <f>IF(D2668=1,"Section 1","Control")</f>
        <v/>
      </c>
      <c r="S2668" s="16">
        <f>N2668/10000</f>
        <v/>
      </c>
      <c r="T2668" s="16">
        <f>P2668/10000</f>
        <v/>
      </c>
      <c r="U2668" s="15">
        <f>IF(N2668&gt;=Summary!$D$3,1,0)</f>
        <v/>
      </c>
      <c r="V2668" s="17">
        <f>IF(N2668&gt;0,P2668/N2668,"")</f>
        <v/>
      </c>
      <c r="W2668" s="17">
        <f>IF(O2668&gt;0,H2668/O2668,"")</f>
        <v/>
      </c>
    </row>
    <row r="2669">
      <c r="A2669" s="13" t="inlineStr">
        <is>
          <t>CW05_B2</t>
        </is>
      </c>
      <c r="B2669" s="13" t="inlineStr">
        <is>
          <t>CW05</t>
        </is>
      </c>
      <c r="C2669" s="13" t="inlineStr">
        <is>
          <t>B2</t>
        </is>
      </c>
      <c r="D2669" s="13" t="n">
        <v>0</v>
      </c>
      <c r="E2669" s="13" t="inlineStr">
        <is>
          <t>W</t>
        </is>
      </c>
      <c r="F2669" s="13" t="n">
        <v>2020</v>
      </c>
      <c r="G2669" s="14" t="n">
        <v>1026569.227234665</v>
      </c>
      <c r="H2669" s="14" t="n">
        <v>716077.8811368457</v>
      </c>
      <c r="I2669" s="14" t="n">
        <v>275669.5738272274</v>
      </c>
      <c r="J2669" s="14" t="n">
        <v>0</v>
      </c>
      <c r="K2669" s="14" t="n">
        <v>34821.77227059159</v>
      </c>
      <c r="L2669" s="14" t="n">
        <v>0</v>
      </c>
      <c r="M2669" s="14" t="n">
        <v>0</v>
      </c>
      <c r="N2669" s="14" t="n">
        <v>716077.8811368457</v>
      </c>
      <c r="O2669" s="14" t="n">
        <v>1026569.227234665</v>
      </c>
      <c r="P2669" s="14" t="n">
        <v>0</v>
      </c>
      <c r="Q2669" s="14" t="n">
        <v>5205318.625642485</v>
      </c>
      <c r="R2669" s="15">
        <f>IF(D2669=1,"Section 1","Control")</f>
        <v/>
      </c>
      <c r="S2669" s="16">
        <f>N2669/10000</f>
        <v/>
      </c>
      <c r="T2669" s="16">
        <f>P2669/10000</f>
        <v/>
      </c>
      <c r="U2669" s="15">
        <f>IF(N2669&gt;=Summary!$D$3,1,0)</f>
        <v/>
      </c>
      <c r="V2669" s="17">
        <f>IF(N2669&gt;0,P2669/N2669,"")</f>
        <v/>
      </c>
      <c r="W2669" s="17">
        <f>IF(O2669&gt;0,H2669/O2669,"")</f>
        <v/>
      </c>
    </row>
    <row r="2670">
      <c r="A2670" s="13" t="inlineStr">
        <is>
          <t>CW05_B2</t>
        </is>
      </c>
      <c r="B2670" s="13" t="inlineStr">
        <is>
          <t>CW05</t>
        </is>
      </c>
      <c r="C2670" s="13" t="inlineStr">
        <is>
          <t>B2</t>
        </is>
      </c>
      <c r="D2670" s="13" t="n">
        <v>0</v>
      </c>
      <c r="E2670" s="13" t="inlineStr">
        <is>
          <t>W</t>
        </is>
      </c>
      <c r="F2670" s="13" t="n">
        <v>2021</v>
      </c>
      <c r="G2670" s="14" t="n">
        <v>1026569.227234665</v>
      </c>
      <c r="H2670" s="14" t="n">
        <v>668952.8134654326</v>
      </c>
      <c r="I2670" s="14" t="n">
        <v>254505.7399728214</v>
      </c>
      <c r="J2670" s="14" t="n">
        <v>0</v>
      </c>
      <c r="K2670" s="14" t="n">
        <v>103110.6737964106</v>
      </c>
      <c r="L2670" s="14" t="n">
        <v>0</v>
      </c>
      <c r="M2670" s="14" t="n">
        <v>0</v>
      </c>
      <c r="N2670" s="14" t="n">
        <v>716077.8811368457</v>
      </c>
      <c r="O2670" s="14" t="n">
        <v>1026569.227234665</v>
      </c>
      <c r="P2670" s="14" t="n">
        <v>77567.20366552015</v>
      </c>
      <c r="Q2670" s="14" t="n">
        <v>5205318.625642485</v>
      </c>
      <c r="R2670" s="15">
        <f>IF(D2670=1,"Section 1","Control")</f>
        <v/>
      </c>
      <c r="S2670" s="16">
        <f>N2670/10000</f>
        <v/>
      </c>
      <c r="T2670" s="16">
        <f>P2670/10000</f>
        <v/>
      </c>
      <c r="U2670" s="15">
        <f>IF(N2670&gt;=Summary!$D$3,1,0)</f>
        <v/>
      </c>
      <c r="V2670" s="17">
        <f>IF(N2670&gt;0,P2670/N2670,"")</f>
        <v/>
      </c>
      <c r="W2670" s="17">
        <f>IF(O2670&gt;0,H2670/O2670,"")</f>
        <v/>
      </c>
    </row>
    <row r="2671">
      <c r="A2671" s="13" t="inlineStr">
        <is>
          <t>CW05_B2</t>
        </is>
      </c>
      <c r="B2671" s="13" t="inlineStr">
        <is>
          <t>CW05</t>
        </is>
      </c>
      <c r="C2671" s="13" t="inlineStr">
        <is>
          <t>B2</t>
        </is>
      </c>
      <c r="D2671" s="13" t="n">
        <v>0</v>
      </c>
      <c r="E2671" s="13" t="inlineStr">
        <is>
          <t>W</t>
        </is>
      </c>
      <c r="F2671" s="13" t="n">
        <v>2022</v>
      </c>
      <c r="G2671" s="14" t="n">
        <v>1026569.227234665</v>
      </c>
      <c r="H2671" s="14" t="n">
        <v>674645.4032781564</v>
      </c>
      <c r="I2671" s="14" t="n">
        <v>208735.4546292473</v>
      </c>
      <c r="J2671" s="14" t="n">
        <v>0</v>
      </c>
      <c r="K2671" s="14" t="n">
        <v>143188.369327261</v>
      </c>
      <c r="L2671" s="14" t="n">
        <v>0</v>
      </c>
      <c r="M2671" s="14" t="n">
        <v>0</v>
      </c>
      <c r="N2671" s="14" t="n">
        <v>716077.8811368457</v>
      </c>
      <c r="O2671" s="14" t="n">
        <v>1026569.227234665</v>
      </c>
      <c r="P2671" s="14" t="n">
        <v>75872.18866969091</v>
      </c>
      <c r="Q2671" s="14" t="n">
        <v>5205318.625642485</v>
      </c>
      <c r="R2671" s="15">
        <f>IF(D2671=1,"Section 1","Control")</f>
        <v/>
      </c>
      <c r="S2671" s="16">
        <f>N2671/10000</f>
        <v/>
      </c>
      <c r="T2671" s="16">
        <f>P2671/10000</f>
        <v/>
      </c>
      <c r="U2671" s="15">
        <f>IF(N2671&gt;=Summary!$D$3,1,0)</f>
        <v/>
      </c>
      <c r="V2671" s="17">
        <f>IF(N2671&gt;0,P2671/N2671,"")</f>
        <v/>
      </c>
      <c r="W2671" s="17">
        <f>IF(O2671&gt;0,H2671/O2671,"")</f>
        <v/>
      </c>
    </row>
    <row r="2672">
      <c r="A2672" s="13" t="inlineStr">
        <is>
          <t>CW05_B2</t>
        </is>
      </c>
      <c r="B2672" s="13" t="inlineStr">
        <is>
          <t>CW05</t>
        </is>
      </c>
      <c r="C2672" s="13" t="inlineStr">
        <is>
          <t>B2</t>
        </is>
      </c>
      <c r="D2672" s="13" t="n">
        <v>0</v>
      </c>
      <c r="E2672" s="13" t="inlineStr">
        <is>
          <t>W</t>
        </is>
      </c>
      <c r="F2672" s="13" t="n">
        <v>2023</v>
      </c>
      <c r="G2672" s="14" t="n">
        <v>1026569.227234665</v>
      </c>
      <c r="H2672" s="14" t="n">
        <v>634412.3724717982</v>
      </c>
      <c r="I2672" s="14" t="n">
        <v>294958.3725031235</v>
      </c>
      <c r="J2672" s="14" t="n">
        <v>0</v>
      </c>
      <c r="K2672" s="14" t="n">
        <v>97198.48225974289</v>
      </c>
      <c r="L2672" s="14" t="n">
        <v>0</v>
      </c>
      <c r="M2672" s="14" t="n">
        <v>0</v>
      </c>
      <c r="N2672" s="14" t="n">
        <v>716077.8811368457</v>
      </c>
      <c r="O2672" s="14" t="n">
        <v>1026569.227234665</v>
      </c>
      <c r="P2672" s="14" t="n">
        <v>100239.4995630002</v>
      </c>
      <c r="Q2672" s="14" t="n">
        <v>5205318.625642485</v>
      </c>
      <c r="R2672" s="15">
        <f>IF(D2672=1,"Section 1","Control")</f>
        <v/>
      </c>
      <c r="S2672" s="16">
        <f>N2672/10000</f>
        <v/>
      </c>
      <c r="T2672" s="16">
        <f>P2672/10000</f>
        <v/>
      </c>
      <c r="U2672" s="15">
        <f>IF(N2672&gt;=Summary!$D$3,1,0)</f>
        <v/>
      </c>
      <c r="V2672" s="17">
        <f>IF(N2672&gt;0,P2672/N2672,"")</f>
        <v/>
      </c>
      <c r="W2672" s="17">
        <f>IF(O2672&gt;0,H2672/O2672,"")</f>
        <v/>
      </c>
    </row>
    <row r="2673">
      <c r="A2673" s="13" t="inlineStr">
        <is>
          <t>CW05_B2</t>
        </is>
      </c>
      <c r="B2673" s="13" t="inlineStr">
        <is>
          <t>CW05</t>
        </is>
      </c>
      <c r="C2673" s="13" t="inlineStr">
        <is>
          <t>B2</t>
        </is>
      </c>
      <c r="D2673" s="13" t="n">
        <v>0</v>
      </c>
      <c r="E2673" s="13" t="inlineStr">
        <is>
          <t>W</t>
        </is>
      </c>
      <c r="F2673" s="13" t="n">
        <v>2024</v>
      </c>
      <c r="G2673" s="14" t="n">
        <v>1026569.227234665</v>
      </c>
      <c r="H2673" s="14" t="n">
        <v>828561.0806323184</v>
      </c>
      <c r="I2673" s="14" t="n">
        <v>107385.430426923</v>
      </c>
      <c r="J2673" s="14" t="n">
        <v>0</v>
      </c>
      <c r="K2673" s="14" t="n">
        <v>90622.7161754234</v>
      </c>
      <c r="L2673" s="14" t="n">
        <v>0</v>
      </c>
      <c r="M2673" s="14" t="n">
        <v>0</v>
      </c>
      <c r="N2673" s="14" t="n">
        <v>716077.8811368457</v>
      </c>
      <c r="O2673" s="14" t="n">
        <v>1026569.227234665</v>
      </c>
      <c r="P2673" s="14" t="n">
        <v>58731.09997642368</v>
      </c>
      <c r="Q2673" s="14" t="n">
        <v>5205318.625642485</v>
      </c>
      <c r="R2673" s="15">
        <f>IF(D2673=1,"Section 1","Control")</f>
        <v/>
      </c>
      <c r="S2673" s="16">
        <f>N2673/10000</f>
        <v/>
      </c>
      <c r="T2673" s="16">
        <f>P2673/10000</f>
        <v/>
      </c>
      <c r="U2673" s="15">
        <f>IF(N2673&gt;=Summary!$D$3,1,0)</f>
        <v/>
      </c>
      <c r="V2673" s="17">
        <f>IF(N2673&gt;0,P2673/N2673,"")</f>
        <v/>
      </c>
      <c r="W2673" s="17">
        <f>IF(O2673&gt;0,H2673/O2673,"")</f>
        <v/>
      </c>
    </row>
    <row r="2674">
      <c r="A2674" s="13" t="inlineStr">
        <is>
          <t>CW05_B2</t>
        </is>
      </c>
      <c r="B2674" s="13" t="inlineStr">
        <is>
          <t>CW05</t>
        </is>
      </c>
      <c r="C2674" s="13" t="inlineStr">
        <is>
          <t>B2</t>
        </is>
      </c>
      <c r="D2674" s="13" t="n">
        <v>0</v>
      </c>
      <c r="E2674" s="13" t="inlineStr">
        <is>
          <t>W</t>
        </is>
      </c>
      <c r="F2674" s="13" t="n">
        <v>2025</v>
      </c>
      <c r="G2674" s="14" t="n">
        <v>1026569.227234665</v>
      </c>
      <c r="H2674" s="14" t="n">
        <v>609225.3982443716</v>
      </c>
      <c r="I2674" s="14" t="n">
        <v>350414.717437385</v>
      </c>
      <c r="J2674" s="14" t="n">
        <v>0</v>
      </c>
      <c r="K2674" s="14" t="n">
        <v>66929.1115529079</v>
      </c>
      <c r="L2674" s="14" t="n">
        <v>0</v>
      </c>
      <c r="M2674" s="14" t="n">
        <v>0</v>
      </c>
      <c r="N2674" s="14" t="n">
        <v>716077.8811368457</v>
      </c>
      <c r="O2674" s="14" t="n">
        <v>1026569.227234665</v>
      </c>
      <c r="P2674" s="14" t="n">
        <v>120990.2061844171</v>
      </c>
      <c r="Q2674" s="14" t="n">
        <v>5205318.625642485</v>
      </c>
      <c r="R2674" s="15">
        <f>IF(D2674=1,"Section 1","Control")</f>
        <v/>
      </c>
      <c r="S2674" s="16">
        <f>N2674/10000</f>
        <v/>
      </c>
      <c r="T2674" s="16">
        <f>P2674/10000</f>
        <v/>
      </c>
      <c r="U2674" s="15">
        <f>IF(N2674&gt;=Summary!$D$3,1,0)</f>
        <v/>
      </c>
      <c r="V2674" s="17">
        <f>IF(N2674&gt;0,P2674/N2674,"")</f>
        <v/>
      </c>
      <c r="W2674" s="17">
        <f>IF(O2674&gt;0,H2674/O2674,"")</f>
        <v/>
      </c>
    </row>
    <row r="2675">
      <c r="A2675" s="13" t="inlineStr">
        <is>
          <t>CW05_B2</t>
        </is>
      </c>
      <c r="B2675" s="13" t="inlineStr">
        <is>
          <t>CW05</t>
        </is>
      </c>
      <c r="C2675" s="13" t="inlineStr">
        <is>
          <t>B2</t>
        </is>
      </c>
      <c r="D2675" s="13" t="n">
        <v>0</v>
      </c>
      <c r="E2675" s="13" t="inlineStr">
        <is>
          <t>W</t>
        </is>
      </c>
      <c r="F2675" s="13" t="n">
        <v>2026</v>
      </c>
      <c r="G2675" s="14" t="n">
        <v>1026569.227234665</v>
      </c>
      <c r="H2675" s="14" t="n">
        <v>639417.8431425806</v>
      </c>
      <c r="I2675" s="14" t="n">
        <v>195685.1421151854</v>
      </c>
      <c r="J2675" s="14" t="n">
        <v>0</v>
      </c>
      <c r="K2675" s="14" t="n">
        <v>191466.2419768988</v>
      </c>
      <c r="L2675" s="14" t="n">
        <v>0</v>
      </c>
      <c r="M2675" s="14" t="n">
        <v>0</v>
      </c>
      <c r="N2675" s="14" t="n">
        <v>716077.8811368457</v>
      </c>
      <c r="O2675" s="14" t="n">
        <v>1026569.227234665</v>
      </c>
      <c r="P2675" s="14" t="n">
        <v>113096.8355389464</v>
      </c>
      <c r="Q2675" s="14" t="n">
        <v>5205318.625642486</v>
      </c>
      <c r="R2675" s="15">
        <f>IF(D2675=1,"Section 1","Control")</f>
        <v/>
      </c>
      <c r="S2675" s="16">
        <f>N2675/10000</f>
        <v/>
      </c>
      <c r="T2675" s="16">
        <f>P2675/10000</f>
        <v/>
      </c>
      <c r="U2675" s="15">
        <f>IF(N2675&gt;=Summary!$D$3,1,0)</f>
        <v/>
      </c>
      <c r="V2675" s="17">
        <f>IF(N2675&gt;0,P2675/N2675,"")</f>
        <v/>
      </c>
      <c r="W2675" s="17">
        <f>IF(O2675&gt;0,H2675/O2675,"")</f>
        <v/>
      </c>
    </row>
    <row r="2676">
      <c r="A2676" s="13" t="inlineStr">
        <is>
          <t>CW05_B3</t>
        </is>
      </c>
      <c r="B2676" s="13" t="inlineStr">
        <is>
          <t>CW05</t>
        </is>
      </c>
      <c r="C2676" s="13" t="inlineStr">
        <is>
          <t>B3</t>
        </is>
      </c>
      <c r="D2676" s="13" t="n">
        <v>0</v>
      </c>
      <c r="E2676" s="13" t="inlineStr">
        <is>
          <t>W</t>
        </is>
      </c>
      <c r="F2676" s="13" t="n">
        <v>2020</v>
      </c>
      <c r="G2676" s="14" t="n">
        <v>8211325.422388502</v>
      </c>
      <c r="H2676" s="14" t="n">
        <v>3422667.37551874</v>
      </c>
      <c r="I2676" s="14" t="n">
        <v>1088826.630902937</v>
      </c>
      <c r="J2676" s="14" t="n">
        <v>0</v>
      </c>
      <c r="K2676" s="14" t="n">
        <v>304641.698599303</v>
      </c>
      <c r="L2676" s="14" t="n">
        <v>3395189.717367524</v>
      </c>
      <c r="M2676" s="14" t="n">
        <v>0</v>
      </c>
      <c r="N2676" s="14" t="n">
        <v>3422667.37551874</v>
      </c>
      <c r="O2676" s="14" t="n">
        <v>4816135.70502098</v>
      </c>
      <c r="P2676" s="14" t="n">
        <v>0</v>
      </c>
      <c r="Q2676" s="14" t="n">
        <v>17230062.09515785</v>
      </c>
      <c r="R2676" s="15">
        <f>IF(D2676=1,"Section 1","Control")</f>
        <v/>
      </c>
      <c r="S2676" s="16">
        <f>N2676/10000</f>
        <v/>
      </c>
      <c r="T2676" s="16">
        <f>P2676/10000</f>
        <v/>
      </c>
      <c r="U2676" s="15">
        <f>IF(N2676&gt;=Summary!$D$3,1,0)</f>
        <v/>
      </c>
      <c r="V2676" s="17">
        <f>IF(N2676&gt;0,P2676/N2676,"")</f>
        <v/>
      </c>
      <c r="W2676" s="17">
        <f>IF(O2676&gt;0,H2676/O2676,"")</f>
        <v/>
      </c>
    </row>
    <row r="2677">
      <c r="A2677" s="13" t="inlineStr">
        <is>
          <t>CW05_B3</t>
        </is>
      </c>
      <c r="B2677" s="13" t="inlineStr">
        <is>
          <t>CW05</t>
        </is>
      </c>
      <c r="C2677" s="13" t="inlineStr">
        <is>
          <t>B3</t>
        </is>
      </c>
      <c r="D2677" s="13" t="n">
        <v>0</v>
      </c>
      <c r="E2677" s="13" t="inlineStr">
        <is>
          <t>W</t>
        </is>
      </c>
      <c r="F2677" s="13" t="n">
        <v>2021</v>
      </c>
      <c r="G2677" s="14" t="n">
        <v>8211325.422388503</v>
      </c>
      <c r="H2677" s="14" t="n">
        <v>3366376.91970894</v>
      </c>
      <c r="I2677" s="14" t="n">
        <v>979483.4342702228</v>
      </c>
      <c r="J2677" s="14" t="n">
        <v>0</v>
      </c>
      <c r="K2677" s="14" t="n">
        <v>484755.8388045068</v>
      </c>
      <c r="L2677" s="14" t="n">
        <v>3380709.229604834</v>
      </c>
      <c r="M2677" s="14" t="n">
        <v>0</v>
      </c>
      <c r="N2677" s="14" t="n">
        <v>3422667.37551874</v>
      </c>
      <c r="O2677" s="14" t="n">
        <v>4816135.70502098</v>
      </c>
      <c r="P2677" s="14" t="n">
        <v>305143.3884269565</v>
      </c>
      <c r="Q2677" s="14" t="n">
        <v>17230062.09515785</v>
      </c>
      <c r="R2677" s="15">
        <f>IF(D2677=1,"Section 1","Control")</f>
        <v/>
      </c>
      <c r="S2677" s="16">
        <f>N2677/10000</f>
        <v/>
      </c>
      <c r="T2677" s="16">
        <f>P2677/10000</f>
        <v/>
      </c>
      <c r="U2677" s="15">
        <f>IF(N2677&gt;=Summary!$D$3,1,0)</f>
        <v/>
      </c>
      <c r="V2677" s="17">
        <f>IF(N2677&gt;0,P2677/N2677,"")</f>
        <v/>
      </c>
      <c r="W2677" s="17">
        <f>IF(O2677&gt;0,H2677/O2677,"")</f>
        <v/>
      </c>
    </row>
    <row r="2678">
      <c r="A2678" s="13" t="inlineStr">
        <is>
          <t>CW05_B3</t>
        </is>
      </c>
      <c r="B2678" s="13" t="inlineStr">
        <is>
          <t>CW05</t>
        </is>
      </c>
      <c r="C2678" s="13" t="inlineStr">
        <is>
          <t>B3</t>
        </is>
      </c>
      <c r="D2678" s="13" t="n">
        <v>0</v>
      </c>
      <c r="E2678" s="13" t="inlineStr">
        <is>
          <t>W</t>
        </is>
      </c>
      <c r="F2678" s="13" t="n">
        <v>2022</v>
      </c>
      <c r="G2678" s="14" t="n">
        <v>8211325.422388502</v>
      </c>
      <c r="H2678" s="14" t="n">
        <v>3303277.500821162</v>
      </c>
      <c r="I2678" s="14" t="n">
        <v>958848.049967418</v>
      </c>
      <c r="J2678" s="14" t="n">
        <v>0</v>
      </c>
      <c r="K2678" s="14" t="n">
        <v>576102.7651456048</v>
      </c>
      <c r="L2678" s="14" t="n">
        <v>3373097.106454318</v>
      </c>
      <c r="M2678" s="14" t="n">
        <v>0</v>
      </c>
      <c r="N2678" s="14" t="n">
        <v>3422667.37551874</v>
      </c>
      <c r="O2678" s="14" t="n">
        <v>4816135.70502098</v>
      </c>
      <c r="P2678" s="14" t="n">
        <v>341920.4299882777</v>
      </c>
      <c r="Q2678" s="14" t="n">
        <v>17230062.09515785</v>
      </c>
      <c r="R2678" s="15">
        <f>IF(D2678=1,"Section 1","Control")</f>
        <v/>
      </c>
      <c r="S2678" s="16">
        <f>N2678/10000</f>
        <v/>
      </c>
      <c r="T2678" s="16">
        <f>P2678/10000</f>
        <v/>
      </c>
      <c r="U2678" s="15">
        <f>IF(N2678&gt;=Summary!$D$3,1,0)</f>
        <v/>
      </c>
      <c r="V2678" s="17">
        <f>IF(N2678&gt;0,P2678/N2678,"")</f>
        <v/>
      </c>
      <c r="W2678" s="17">
        <f>IF(O2678&gt;0,H2678/O2678,"")</f>
        <v/>
      </c>
    </row>
    <row r="2679">
      <c r="A2679" s="13" t="inlineStr">
        <is>
          <t>CW05_B3</t>
        </is>
      </c>
      <c r="B2679" s="13" t="inlineStr">
        <is>
          <t>CW05</t>
        </is>
      </c>
      <c r="C2679" s="13" t="inlineStr">
        <is>
          <t>B3</t>
        </is>
      </c>
      <c r="D2679" s="13" t="n">
        <v>0</v>
      </c>
      <c r="E2679" s="13" t="inlineStr">
        <is>
          <t>W</t>
        </is>
      </c>
      <c r="F2679" s="13" t="n">
        <v>2023</v>
      </c>
      <c r="G2679" s="14" t="n">
        <v>8211325.422388502</v>
      </c>
      <c r="H2679" s="14" t="n">
        <v>3247560.493704642</v>
      </c>
      <c r="I2679" s="14" t="n">
        <v>1020527.061679496</v>
      </c>
      <c r="J2679" s="14" t="n">
        <v>0</v>
      </c>
      <c r="K2679" s="14" t="n">
        <v>522442.0979911356</v>
      </c>
      <c r="L2679" s="14" t="n">
        <v>3420795.769013229</v>
      </c>
      <c r="M2679" s="14" t="n">
        <v>0</v>
      </c>
      <c r="N2679" s="14" t="n">
        <v>3422667.37551874</v>
      </c>
      <c r="O2679" s="14" t="n">
        <v>4816135.70502098</v>
      </c>
      <c r="P2679" s="14" t="n">
        <v>368463.9421381633</v>
      </c>
      <c r="Q2679" s="14" t="n">
        <v>17230062.09515785</v>
      </c>
      <c r="R2679" s="15">
        <f>IF(D2679=1,"Section 1","Control")</f>
        <v/>
      </c>
      <c r="S2679" s="16">
        <f>N2679/10000</f>
        <v/>
      </c>
      <c r="T2679" s="16">
        <f>P2679/10000</f>
        <v/>
      </c>
      <c r="U2679" s="15">
        <f>IF(N2679&gt;=Summary!$D$3,1,0)</f>
        <v/>
      </c>
      <c r="V2679" s="17">
        <f>IF(N2679&gt;0,P2679/N2679,"")</f>
        <v/>
      </c>
      <c r="W2679" s="17">
        <f>IF(O2679&gt;0,H2679/O2679,"")</f>
        <v/>
      </c>
    </row>
    <row r="2680">
      <c r="A2680" s="13" t="inlineStr">
        <is>
          <t>CW05_B3</t>
        </is>
      </c>
      <c r="B2680" s="13" t="inlineStr">
        <is>
          <t>CW05</t>
        </is>
      </c>
      <c r="C2680" s="13" t="inlineStr">
        <is>
          <t>B3</t>
        </is>
      </c>
      <c r="D2680" s="13" t="n">
        <v>0</v>
      </c>
      <c r="E2680" s="13" t="inlineStr">
        <is>
          <t>W</t>
        </is>
      </c>
      <c r="F2680" s="13" t="n">
        <v>2024</v>
      </c>
      <c r="G2680" s="14" t="n">
        <v>8211325.422388502</v>
      </c>
      <c r="H2680" s="14" t="n">
        <v>3785840.013957035</v>
      </c>
      <c r="I2680" s="14" t="n">
        <v>540352.041797653</v>
      </c>
      <c r="J2680" s="14" t="n">
        <v>0</v>
      </c>
      <c r="K2680" s="14" t="n">
        <v>491568.7201002233</v>
      </c>
      <c r="L2680" s="14" t="n">
        <v>3393564.646533592</v>
      </c>
      <c r="M2680" s="14" t="n">
        <v>0</v>
      </c>
      <c r="N2680" s="14" t="n">
        <v>3422667.37551874</v>
      </c>
      <c r="O2680" s="14" t="n">
        <v>4816135.70502098</v>
      </c>
      <c r="P2680" s="14" t="n">
        <v>264012.5303355796</v>
      </c>
      <c r="Q2680" s="14" t="n">
        <v>17230062.09515785</v>
      </c>
      <c r="R2680" s="15">
        <f>IF(D2680=1,"Section 1","Control")</f>
        <v/>
      </c>
      <c r="S2680" s="16">
        <f>N2680/10000</f>
        <v/>
      </c>
      <c r="T2680" s="16">
        <f>P2680/10000</f>
        <v/>
      </c>
      <c r="U2680" s="15">
        <f>IF(N2680&gt;=Summary!$D$3,1,0)</f>
        <v/>
      </c>
      <c r="V2680" s="17">
        <f>IF(N2680&gt;0,P2680/N2680,"")</f>
        <v/>
      </c>
      <c r="W2680" s="17">
        <f>IF(O2680&gt;0,H2680/O2680,"")</f>
        <v/>
      </c>
    </row>
    <row r="2681">
      <c r="A2681" s="13" t="inlineStr">
        <is>
          <t>CW05_B3</t>
        </is>
      </c>
      <c r="B2681" s="13" t="inlineStr">
        <is>
          <t>CW05</t>
        </is>
      </c>
      <c r="C2681" s="13" t="inlineStr">
        <is>
          <t>B3</t>
        </is>
      </c>
      <c r="D2681" s="13" t="n">
        <v>0</v>
      </c>
      <c r="E2681" s="13" t="inlineStr">
        <is>
          <t>W</t>
        </is>
      </c>
      <c r="F2681" s="13" t="n">
        <v>2025</v>
      </c>
      <c r="G2681" s="14" t="n">
        <v>8211325.422388502</v>
      </c>
      <c r="H2681" s="14" t="n">
        <v>3334276.864723953</v>
      </c>
      <c r="I2681" s="14" t="n">
        <v>1031613.969153161</v>
      </c>
      <c r="J2681" s="14" t="n">
        <v>0</v>
      </c>
      <c r="K2681" s="14" t="n">
        <v>451972.9849229102</v>
      </c>
      <c r="L2681" s="14" t="n">
        <v>3393461.603588478</v>
      </c>
      <c r="M2681" s="14" t="n">
        <v>0</v>
      </c>
      <c r="N2681" s="14" t="n">
        <v>3422667.37551874</v>
      </c>
      <c r="O2681" s="14" t="n">
        <v>4816135.70502098</v>
      </c>
      <c r="P2681" s="14" t="n">
        <v>421026.9213271197</v>
      </c>
      <c r="Q2681" s="14" t="n">
        <v>17230062.09515785</v>
      </c>
      <c r="R2681" s="15">
        <f>IF(D2681=1,"Section 1","Control")</f>
        <v/>
      </c>
      <c r="S2681" s="16">
        <f>N2681/10000</f>
        <v/>
      </c>
      <c r="T2681" s="16">
        <f>P2681/10000</f>
        <v/>
      </c>
      <c r="U2681" s="15">
        <f>IF(N2681&gt;=Summary!$D$3,1,0)</f>
        <v/>
      </c>
      <c r="V2681" s="17">
        <f>IF(N2681&gt;0,P2681/N2681,"")</f>
        <v/>
      </c>
      <c r="W2681" s="17">
        <f>IF(O2681&gt;0,H2681/O2681,"")</f>
        <v/>
      </c>
    </row>
    <row r="2682">
      <c r="A2682" s="13" t="inlineStr">
        <is>
          <t>CW05_B3</t>
        </is>
      </c>
      <c r="B2682" s="13" t="inlineStr">
        <is>
          <t>CW05</t>
        </is>
      </c>
      <c r="C2682" s="13" t="inlineStr">
        <is>
          <t>B3</t>
        </is>
      </c>
      <c r="D2682" s="13" t="n">
        <v>0</v>
      </c>
      <c r="E2682" s="13" t="inlineStr">
        <is>
          <t>W</t>
        </is>
      </c>
      <c r="F2682" s="13" t="n">
        <v>2026</v>
      </c>
      <c r="G2682" s="14" t="n">
        <v>8211325.422388502</v>
      </c>
      <c r="H2682" s="14" t="n">
        <v>3547294.658696942</v>
      </c>
      <c r="I2682" s="14" t="n">
        <v>642904.4508742089</v>
      </c>
      <c r="J2682" s="14" t="n">
        <v>0</v>
      </c>
      <c r="K2682" s="14" t="n">
        <v>589601.0808942607</v>
      </c>
      <c r="L2682" s="14" t="n">
        <v>3431525.231923093</v>
      </c>
      <c r="M2682" s="14" t="n">
        <v>0</v>
      </c>
      <c r="N2682" s="14" t="n">
        <v>3422667.37551874</v>
      </c>
      <c r="O2682" s="14" t="n">
        <v>4816135.70502098</v>
      </c>
      <c r="P2682" s="14" t="n">
        <v>355508.5503203448</v>
      </c>
      <c r="Q2682" s="14" t="n">
        <v>17230062.09515785</v>
      </c>
      <c r="R2682" s="15">
        <f>IF(D2682=1,"Section 1","Control")</f>
        <v/>
      </c>
      <c r="S2682" s="16">
        <f>N2682/10000</f>
        <v/>
      </c>
      <c r="T2682" s="16">
        <f>P2682/10000</f>
        <v/>
      </c>
      <c r="U2682" s="15">
        <f>IF(N2682&gt;=Summary!$D$3,1,0)</f>
        <v/>
      </c>
      <c r="V2682" s="17">
        <f>IF(N2682&gt;0,P2682/N2682,"")</f>
        <v/>
      </c>
      <c r="W2682" s="17">
        <f>IF(O2682&gt;0,H2682/O2682,"")</f>
        <v/>
      </c>
    </row>
    <row r="2683">
      <c r="A2683" s="13" t="inlineStr">
        <is>
          <t>CW05_F</t>
        </is>
      </c>
      <c r="B2683" s="13" t="inlineStr">
        <is>
          <t>CW05</t>
        </is>
      </c>
      <c r="C2683" s="13" t="inlineStr">
        <is>
          <t>F</t>
        </is>
      </c>
      <c r="D2683" s="13" t="n">
        <v>0</v>
      </c>
      <c r="E2683" s="13" t="inlineStr">
        <is>
          <t>W</t>
        </is>
      </c>
      <c r="F2683" s="13" t="n">
        <v>2020</v>
      </c>
      <c r="G2683" s="14" t="n">
        <v>71179.77764653225</v>
      </c>
      <c r="H2683" s="14" t="n">
        <v>49706.90310043634</v>
      </c>
      <c r="I2683" s="14" t="n">
        <v>18214.44647674561</v>
      </c>
      <c r="J2683" s="14" t="n">
        <v>0</v>
      </c>
      <c r="K2683" s="14" t="n">
        <v>3258.428069350299</v>
      </c>
      <c r="L2683" s="14" t="n">
        <v>0</v>
      </c>
      <c r="M2683" s="14" t="n">
        <v>0</v>
      </c>
      <c r="N2683" s="14" t="n">
        <v>49706.90310043634</v>
      </c>
      <c r="O2683" s="14" t="n">
        <v>71179.77764653225</v>
      </c>
      <c r="P2683" s="14" t="n">
        <v>0</v>
      </c>
      <c r="Q2683" s="14" t="n">
        <v>444799.4209414912</v>
      </c>
      <c r="R2683" s="15">
        <f>IF(D2683=1,"Section 1","Control")</f>
        <v/>
      </c>
      <c r="S2683" s="16">
        <f>N2683/10000</f>
        <v/>
      </c>
      <c r="T2683" s="16">
        <f>P2683/10000</f>
        <v/>
      </c>
      <c r="U2683" s="15">
        <f>IF(N2683&gt;=Summary!$D$3,1,0)</f>
        <v/>
      </c>
      <c r="V2683" s="17">
        <f>IF(N2683&gt;0,P2683/N2683,"")</f>
        <v/>
      </c>
      <c r="W2683" s="17">
        <f>IF(O2683&gt;0,H2683/O2683,"")</f>
        <v/>
      </c>
    </row>
    <row r="2684">
      <c r="A2684" s="13" t="inlineStr">
        <is>
          <t>CW05_F</t>
        </is>
      </c>
      <c r="B2684" s="13" t="inlineStr">
        <is>
          <t>CW05</t>
        </is>
      </c>
      <c r="C2684" s="13" t="inlineStr">
        <is>
          <t>F</t>
        </is>
      </c>
      <c r="D2684" s="13" t="n">
        <v>0</v>
      </c>
      <c r="E2684" s="13" t="inlineStr">
        <is>
          <t>W</t>
        </is>
      </c>
      <c r="F2684" s="13" t="n">
        <v>2021</v>
      </c>
      <c r="G2684" s="14" t="n">
        <v>71179.77764653225</v>
      </c>
      <c r="H2684" s="14" t="n">
        <v>48750.59019230861</v>
      </c>
      <c r="I2684" s="14" t="n">
        <v>13318.67348480225</v>
      </c>
      <c r="J2684" s="14" t="n">
        <v>0</v>
      </c>
      <c r="K2684" s="14" t="n">
        <v>9110.513969421389</v>
      </c>
      <c r="L2684" s="14" t="n">
        <v>0</v>
      </c>
      <c r="M2684" s="14" t="n">
        <v>0</v>
      </c>
      <c r="N2684" s="14" t="n">
        <v>49706.90310043634</v>
      </c>
      <c r="O2684" s="14" t="n">
        <v>71179.77764653225</v>
      </c>
      <c r="P2684" s="14" t="n">
        <v>6633.396492124071</v>
      </c>
      <c r="Q2684" s="14" t="n">
        <v>444799.4209414912</v>
      </c>
      <c r="R2684" s="15">
        <f>IF(D2684=1,"Section 1","Control")</f>
        <v/>
      </c>
      <c r="S2684" s="16">
        <f>N2684/10000</f>
        <v/>
      </c>
      <c r="T2684" s="16">
        <f>P2684/10000</f>
        <v/>
      </c>
      <c r="U2684" s="15">
        <f>IF(N2684&gt;=Summary!$D$3,1,0)</f>
        <v/>
      </c>
      <c r="V2684" s="17">
        <f>IF(N2684&gt;0,P2684/N2684,"")</f>
        <v/>
      </c>
      <c r="W2684" s="17">
        <f>IF(O2684&gt;0,H2684/O2684,"")</f>
        <v/>
      </c>
    </row>
    <row r="2685">
      <c r="A2685" s="13" t="inlineStr">
        <is>
          <t>CW05_F</t>
        </is>
      </c>
      <c r="B2685" s="13" t="inlineStr">
        <is>
          <t>CW05</t>
        </is>
      </c>
      <c r="C2685" s="13" t="inlineStr">
        <is>
          <t>F</t>
        </is>
      </c>
      <c r="D2685" s="13" t="n">
        <v>0</v>
      </c>
      <c r="E2685" s="13" t="inlineStr">
        <is>
          <t>W</t>
        </is>
      </c>
      <c r="F2685" s="13" t="n">
        <v>2022</v>
      </c>
      <c r="G2685" s="14" t="n">
        <v>71179.77764653225</v>
      </c>
      <c r="H2685" s="14" t="n">
        <v>46140.28486761953</v>
      </c>
      <c r="I2685" s="14" t="n">
        <v>14120.88963491402</v>
      </c>
      <c r="J2685" s="14" t="n">
        <v>0</v>
      </c>
      <c r="K2685" s="14" t="n">
        <v>10918.60314399869</v>
      </c>
      <c r="L2685" s="14" t="n">
        <v>0</v>
      </c>
      <c r="M2685" s="14" t="n">
        <v>0</v>
      </c>
      <c r="N2685" s="14" t="n">
        <v>49706.90310043634</v>
      </c>
      <c r="O2685" s="14" t="n">
        <v>71179.77764653225</v>
      </c>
      <c r="P2685" s="14" t="n">
        <v>8901.442768710265</v>
      </c>
      <c r="Q2685" s="14" t="n">
        <v>444799.4209414911</v>
      </c>
      <c r="R2685" s="15">
        <f>IF(D2685=1,"Section 1","Control")</f>
        <v/>
      </c>
      <c r="S2685" s="16">
        <f>N2685/10000</f>
        <v/>
      </c>
      <c r="T2685" s="16">
        <f>P2685/10000</f>
        <v/>
      </c>
      <c r="U2685" s="15">
        <f>IF(N2685&gt;=Summary!$D$3,1,0)</f>
        <v/>
      </c>
      <c r="V2685" s="17">
        <f>IF(N2685&gt;0,P2685/N2685,"")</f>
        <v/>
      </c>
      <c r="W2685" s="17">
        <f>IF(O2685&gt;0,H2685/O2685,"")</f>
        <v/>
      </c>
    </row>
    <row r="2686">
      <c r="A2686" s="13" t="inlineStr">
        <is>
          <t>CW05_F</t>
        </is>
      </c>
      <c r="B2686" s="13" t="inlineStr">
        <is>
          <t>CW05</t>
        </is>
      </c>
      <c r="C2686" s="13" t="inlineStr">
        <is>
          <t>F</t>
        </is>
      </c>
      <c r="D2686" s="13" t="n">
        <v>0</v>
      </c>
      <c r="E2686" s="13" t="inlineStr">
        <is>
          <t>W</t>
        </is>
      </c>
      <c r="F2686" s="13" t="n">
        <v>2023</v>
      </c>
      <c r="G2686" s="14" t="n">
        <v>71179.77764653225</v>
      </c>
      <c r="H2686" s="14" t="n">
        <v>38553.29191792806</v>
      </c>
      <c r="I2686" s="14" t="n">
        <v>17364.60629739201</v>
      </c>
      <c r="J2686" s="14" t="n">
        <v>0</v>
      </c>
      <c r="K2686" s="14" t="n">
        <v>15261.87943121218</v>
      </c>
      <c r="L2686" s="14" t="n">
        <v>0</v>
      </c>
      <c r="M2686" s="14" t="n">
        <v>0</v>
      </c>
      <c r="N2686" s="14" t="n">
        <v>49706.90310043634</v>
      </c>
      <c r="O2686" s="14" t="n">
        <v>71179.77764653225</v>
      </c>
      <c r="P2686" s="14" t="n">
        <v>15815.53328737745</v>
      </c>
      <c r="Q2686" s="14" t="n">
        <v>444799.4209414912</v>
      </c>
      <c r="R2686" s="15">
        <f>IF(D2686=1,"Section 1","Control")</f>
        <v/>
      </c>
      <c r="S2686" s="16">
        <f>N2686/10000</f>
        <v/>
      </c>
      <c r="T2686" s="16">
        <f>P2686/10000</f>
        <v/>
      </c>
      <c r="U2686" s="15">
        <f>IF(N2686&gt;=Summary!$D$3,1,0)</f>
        <v/>
      </c>
      <c r="V2686" s="17">
        <f>IF(N2686&gt;0,P2686/N2686,"")</f>
        <v/>
      </c>
      <c r="W2686" s="17">
        <f>IF(O2686&gt;0,H2686/O2686,"")</f>
        <v/>
      </c>
    </row>
    <row r="2687">
      <c r="A2687" s="13" t="inlineStr">
        <is>
          <t>CW05_F</t>
        </is>
      </c>
      <c r="B2687" s="13" t="inlineStr">
        <is>
          <t>CW05</t>
        </is>
      </c>
      <c r="C2687" s="13" t="inlineStr">
        <is>
          <t>F</t>
        </is>
      </c>
      <c r="D2687" s="13" t="n">
        <v>0</v>
      </c>
      <c r="E2687" s="13" t="inlineStr">
        <is>
          <t>W</t>
        </is>
      </c>
      <c r="F2687" s="13" t="n">
        <v>2024</v>
      </c>
      <c r="G2687" s="14" t="n">
        <v>71179.77764653225</v>
      </c>
      <c r="H2687" s="14" t="n">
        <v>37302.34186685599</v>
      </c>
      <c r="I2687" s="14" t="n">
        <v>19978.39903788847</v>
      </c>
      <c r="J2687" s="14" t="n">
        <v>0</v>
      </c>
      <c r="K2687" s="14" t="n">
        <v>13899.03674178778</v>
      </c>
      <c r="L2687" s="14" t="n">
        <v>0</v>
      </c>
      <c r="M2687" s="14" t="n">
        <v>0</v>
      </c>
      <c r="N2687" s="14" t="n">
        <v>49706.90310043634</v>
      </c>
      <c r="O2687" s="14" t="n">
        <v>71179.77764653225</v>
      </c>
      <c r="P2687" s="14" t="n">
        <v>18015.43893294989</v>
      </c>
      <c r="Q2687" s="14" t="n">
        <v>444799.4209414912</v>
      </c>
      <c r="R2687" s="15">
        <f>IF(D2687=1,"Section 1","Control")</f>
        <v/>
      </c>
      <c r="S2687" s="16">
        <f>N2687/10000</f>
        <v/>
      </c>
      <c r="T2687" s="16">
        <f>P2687/10000</f>
        <v/>
      </c>
      <c r="U2687" s="15">
        <f>IF(N2687&gt;=Summary!$D$3,1,0)</f>
        <v/>
      </c>
      <c r="V2687" s="17">
        <f>IF(N2687&gt;0,P2687/N2687,"")</f>
        <v/>
      </c>
      <c r="W2687" s="17">
        <f>IF(O2687&gt;0,H2687/O2687,"")</f>
        <v/>
      </c>
    </row>
    <row r="2688">
      <c r="A2688" s="13" t="inlineStr">
        <is>
          <t>CW05_F</t>
        </is>
      </c>
      <c r="B2688" s="13" t="inlineStr">
        <is>
          <t>CW05</t>
        </is>
      </c>
      <c r="C2688" s="13" t="inlineStr">
        <is>
          <t>F</t>
        </is>
      </c>
      <c r="D2688" s="13" t="n">
        <v>0</v>
      </c>
      <c r="E2688" s="13" t="inlineStr">
        <is>
          <t>W</t>
        </is>
      </c>
      <c r="F2688" s="13" t="n">
        <v>2025</v>
      </c>
      <c r="G2688" s="14" t="n">
        <v>71179.77764653225</v>
      </c>
      <c r="H2688" s="14" t="n">
        <v>21330.39048545688</v>
      </c>
      <c r="I2688" s="14" t="n">
        <v>34196.0718759275</v>
      </c>
      <c r="J2688" s="14" t="n">
        <v>0</v>
      </c>
      <c r="K2688" s="14" t="n">
        <v>15653.31528514787</v>
      </c>
      <c r="L2688" s="14" t="n">
        <v>0</v>
      </c>
      <c r="M2688" s="14" t="n">
        <v>0</v>
      </c>
      <c r="N2688" s="14" t="n">
        <v>49706.90310043634</v>
      </c>
      <c r="O2688" s="14" t="n">
        <v>71179.77764653225</v>
      </c>
      <c r="P2688" s="14" t="n">
        <v>29315.40154718137</v>
      </c>
      <c r="Q2688" s="14" t="n">
        <v>444799.4209414912</v>
      </c>
      <c r="R2688" s="15">
        <f>IF(D2688=1,"Section 1","Control")</f>
        <v/>
      </c>
      <c r="S2688" s="16">
        <f>N2688/10000</f>
        <v/>
      </c>
      <c r="T2688" s="16">
        <f>P2688/10000</f>
        <v/>
      </c>
      <c r="U2688" s="15">
        <f>IF(N2688&gt;=Summary!$D$3,1,0)</f>
        <v/>
      </c>
      <c r="V2688" s="17">
        <f>IF(N2688&gt;0,P2688/N2688,"")</f>
        <v/>
      </c>
      <c r="W2688" s="17">
        <f>IF(O2688&gt;0,H2688/O2688,"")</f>
        <v/>
      </c>
    </row>
    <row r="2689">
      <c r="A2689" s="13" t="inlineStr">
        <is>
          <t>CW05_F</t>
        </is>
      </c>
      <c r="B2689" s="13" t="inlineStr">
        <is>
          <t>CW05</t>
        </is>
      </c>
      <c r="C2689" s="13" t="inlineStr">
        <is>
          <t>F</t>
        </is>
      </c>
      <c r="D2689" s="13" t="n">
        <v>0</v>
      </c>
      <c r="E2689" s="13" t="inlineStr">
        <is>
          <t>W</t>
        </is>
      </c>
      <c r="F2689" s="13" t="n">
        <v>2026</v>
      </c>
      <c r="G2689" s="14" t="n">
        <v>71179.77764653225</v>
      </c>
      <c r="H2689" s="14" t="n">
        <v>32910.27418458229</v>
      </c>
      <c r="I2689" s="14" t="n">
        <v>11870.65672948501</v>
      </c>
      <c r="J2689" s="14" t="n">
        <v>0</v>
      </c>
      <c r="K2689" s="14" t="n">
        <v>26398.84673246496</v>
      </c>
      <c r="L2689" s="14" t="n">
        <v>0</v>
      </c>
      <c r="M2689" s="14" t="n">
        <v>0</v>
      </c>
      <c r="N2689" s="14" t="n">
        <v>49706.90310043634</v>
      </c>
      <c r="O2689" s="14" t="n">
        <v>71179.77764653225</v>
      </c>
      <c r="P2689" s="14" t="n">
        <v>21664.13740572462</v>
      </c>
      <c r="Q2689" s="14" t="n">
        <v>444799.4209414912</v>
      </c>
      <c r="R2689" s="15">
        <f>IF(D2689=1,"Section 1","Control")</f>
        <v/>
      </c>
      <c r="S2689" s="16">
        <f>N2689/10000</f>
        <v/>
      </c>
      <c r="T2689" s="16">
        <f>P2689/10000</f>
        <v/>
      </c>
      <c r="U2689" s="15">
        <f>IF(N2689&gt;=Summary!$D$3,1,0)</f>
        <v/>
      </c>
      <c r="V2689" s="17">
        <f>IF(N2689&gt;0,P2689/N2689,"")</f>
        <v/>
      </c>
      <c r="W2689" s="17">
        <f>IF(O2689&gt;0,H2689/O2689,"")</f>
        <v/>
      </c>
    </row>
    <row r="2690">
      <c r="A2690" s="13" t="inlineStr">
        <is>
          <t>CW06_B1</t>
        </is>
      </c>
      <c r="B2690" s="13" t="inlineStr">
        <is>
          <t>CW06</t>
        </is>
      </c>
      <c r="C2690" s="13" t="inlineStr">
        <is>
          <t>B1</t>
        </is>
      </c>
      <c r="D2690" s="13" t="n">
        <v>0</v>
      </c>
      <c r="E2690" s="13" t="inlineStr">
        <is>
          <t>W</t>
        </is>
      </c>
      <c r="F2690" s="13" t="n">
        <v>2020</v>
      </c>
      <c r="G2690" s="14" t="n">
        <v>1000716.909625752</v>
      </c>
      <c r="H2690" s="14" t="n">
        <v>623515.183797081</v>
      </c>
      <c r="I2690" s="14" t="n">
        <v>275516.4711829392</v>
      </c>
      <c r="J2690" s="14" t="n">
        <v>0</v>
      </c>
      <c r="K2690" s="14" t="n">
        <v>101685.2546457328</v>
      </c>
      <c r="L2690" s="14" t="n">
        <v>0</v>
      </c>
      <c r="M2690" s="14" t="n">
        <v>0</v>
      </c>
      <c r="N2690" s="14" t="n">
        <v>623515.183797081</v>
      </c>
      <c r="O2690" s="14" t="n">
        <v>1000716.909625752</v>
      </c>
      <c r="P2690" s="14" t="n">
        <v>0</v>
      </c>
      <c r="Q2690" s="14" t="n">
        <v>6524654.558188463</v>
      </c>
      <c r="R2690" s="15">
        <f>IF(D2690=1,"Section 1","Control")</f>
        <v/>
      </c>
      <c r="S2690" s="16">
        <f>N2690/10000</f>
        <v/>
      </c>
      <c r="T2690" s="16">
        <f>P2690/10000</f>
        <v/>
      </c>
      <c r="U2690" s="15">
        <f>IF(N2690&gt;=Summary!$D$3,1,0)</f>
        <v/>
      </c>
      <c r="V2690" s="17">
        <f>IF(N2690&gt;0,P2690/N2690,"")</f>
        <v/>
      </c>
      <c r="W2690" s="17">
        <f>IF(O2690&gt;0,H2690/O2690,"")</f>
        <v/>
      </c>
    </row>
    <row r="2691">
      <c r="A2691" s="13" t="inlineStr">
        <is>
          <t>CW06_B1</t>
        </is>
      </c>
      <c r="B2691" s="13" t="inlineStr">
        <is>
          <t>CW06</t>
        </is>
      </c>
      <c r="C2691" s="13" t="inlineStr">
        <is>
          <t>B1</t>
        </is>
      </c>
      <c r="D2691" s="13" t="n">
        <v>0</v>
      </c>
      <c r="E2691" s="13" t="inlineStr">
        <is>
          <t>W</t>
        </is>
      </c>
      <c r="F2691" s="13" t="n">
        <v>2021</v>
      </c>
      <c r="G2691" s="14" t="n">
        <v>1000716.909625752</v>
      </c>
      <c r="H2691" s="14" t="n">
        <v>584343.8783448164</v>
      </c>
      <c r="I2691" s="14" t="n">
        <v>182835.392771762</v>
      </c>
      <c r="J2691" s="14" t="n">
        <v>0</v>
      </c>
      <c r="K2691" s="14" t="n">
        <v>233537.6385091745</v>
      </c>
      <c r="L2691" s="14" t="n">
        <v>0</v>
      </c>
      <c r="M2691" s="14" t="n">
        <v>0</v>
      </c>
      <c r="N2691" s="14" t="n">
        <v>623515.183797081</v>
      </c>
      <c r="O2691" s="14" t="n">
        <v>1000716.909625752</v>
      </c>
      <c r="P2691" s="14" t="n">
        <v>70309.8550263947</v>
      </c>
      <c r="Q2691" s="14" t="n">
        <v>6524654.558188463</v>
      </c>
      <c r="R2691" s="15">
        <f>IF(D2691=1,"Section 1","Control")</f>
        <v/>
      </c>
      <c r="S2691" s="16">
        <f>N2691/10000</f>
        <v/>
      </c>
      <c r="T2691" s="16">
        <f>P2691/10000</f>
        <v/>
      </c>
      <c r="U2691" s="15">
        <f>IF(N2691&gt;=Summary!$D$3,1,0)</f>
        <v/>
      </c>
      <c r="V2691" s="17">
        <f>IF(N2691&gt;0,P2691/N2691,"")</f>
        <v/>
      </c>
      <c r="W2691" s="17">
        <f>IF(O2691&gt;0,H2691/O2691,"")</f>
        <v/>
      </c>
    </row>
    <row r="2692">
      <c r="A2692" s="13" t="inlineStr">
        <is>
          <t>CW06_B1</t>
        </is>
      </c>
      <c r="B2692" s="13" t="inlineStr">
        <is>
          <t>CW06</t>
        </is>
      </c>
      <c r="C2692" s="13" t="inlineStr">
        <is>
          <t>B1</t>
        </is>
      </c>
      <c r="D2692" s="13" t="n">
        <v>0</v>
      </c>
      <c r="E2692" s="13" t="inlineStr">
        <is>
          <t>W</t>
        </is>
      </c>
      <c r="F2692" s="13" t="n">
        <v>2022</v>
      </c>
      <c r="G2692" s="14" t="n">
        <v>1000716.909625752</v>
      </c>
      <c r="H2692" s="14" t="n">
        <v>579276.5316960952</v>
      </c>
      <c r="I2692" s="14" t="n">
        <v>210960.6990208046</v>
      </c>
      <c r="J2692" s="14" t="n">
        <v>0</v>
      </c>
      <c r="K2692" s="14" t="n">
        <v>210479.678908853</v>
      </c>
      <c r="L2692" s="14" t="n">
        <v>0</v>
      </c>
      <c r="M2692" s="14" t="n">
        <v>0</v>
      </c>
      <c r="N2692" s="14" t="n">
        <v>623515.183797081</v>
      </c>
      <c r="O2692" s="14" t="n">
        <v>1000716.909625752</v>
      </c>
      <c r="P2692" s="14" t="n">
        <v>82008.64938845167</v>
      </c>
      <c r="Q2692" s="14" t="n">
        <v>6524654.558188463</v>
      </c>
      <c r="R2692" s="15">
        <f>IF(D2692=1,"Section 1","Control")</f>
        <v/>
      </c>
      <c r="S2692" s="16">
        <f>N2692/10000</f>
        <v/>
      </c>
      <c r="T2692" s="16">
        <f>P2692/10000</f>
        <v/>
      </c>
      <c r="U2692" s="15">
        <f>IF(N2692&gt;=Summary!$D$3,1,0)</f>
        <v/>
      </c>
      <c r="V2692" s="17">
        <f>IF(N2692&gt;0,P2692/N2692,"")</f>
        <v/>
      </c>
      <c r="W2692" s="17">
        <f>IF(O2692&gt;0,H2692/O2692,"")</f>
        <v/>
      </c>
    </row>
    <row r="2693">
      <c r="A2693" s="13" t="inlineStr">
        <is>
          <t>CW06_B1</t>
        </is>
      </c>
      <c r="B2693" s="13" t="inlineStr">
        <is>
          <t>CW06</t>
        </is>
      </c>
      <c r="C2693" s="13" t="inlineStr">
        <is>
          <t>B1</t>
        </is>
      </c>
      <c r="D2693" s="13" t="n">
        <v>0</v>
      </c>
      <c r="E2693" s="13" t="inlineStr">
        <is>
          <t>W</t>
        </is>
      </c>
      <c r="F2693" s="13" t="n">
        <v>2023</v>
      </c>
      <c r="G2693" s="14" t="n">
        <v>1000716.909625752</v>
      </c>
      <c r="H2693" s="14" t="n">
        <v>524033.5973466762</v>
      </c>
      <c r="I2693" s="14" t="n">
        <v>281767.9996069217</v>
      </c>
      <c r="J2693" s="14" t="n">
        <v>0</v>
      </c>
      <c r="K2693" s="14" t="n">
        <v>194915.3126721551</v>
      </c>
      <c r="L2693" s="14" t="n">
        <v>0</v>
      </c>
      <c r="M2693" s="14" t="n">
        <v>0</v>
      </c>
      <c r="N2693" s="14" t="n">
        <v>623515.183797081</v>
      </c>
      <c r="O2693" s="14" t="n">
        <v>1000716.909625752</v>
      </c>
      <c r="P2693" s="14" t="n">
        <v>127045.0356011783</v>
      </c>
      <c r="Q2693" s="14" t="n">
        <v>6524654.558188463</v>
      </c>
      <c r="R2693" s="15">
        <f>IF(D2693=1,"Section 1","Control")</f>
        <v/>
      </c>
      <c r="S2693" s="16">
        <f>N2693/10000</f>
        <v/>
      </c>
      <c r="T2693" s="16">
        <f>P2693/10000</f>
        <v/>
      </c>
      <c r="U2693" s="15">
        <f>IF(N2693&gt;=Summary!$D$3,1,0)</f>
        <v/>
      </c>
      <c r="V2693" s="17">
        <f>IF(N2693&gt;0,P2693/N2693,"")</f>
        <v/>
      </c>
      <c r="W2693" s="17">
        <f>IF(O2693&gt;0,H2693/O2693,"")</f>
        <v/>
      </c>
    </row>
    <row r="2694">
      <c r="A2694" s="13" t="inlineStr">
        <is>
          <t>CW06_B1</t>
        </is>
      </c>
      <c r="B2694" s="13" t="inlineStr">
        <is>
          <t>CW06</t>
        </is>
      </c>
      <c r="C2694" s="13" t="inlineStr">
        <is>
          <t>B1</t>
        </is>
      </c>
      <c r="D2694" s="13" t="n">
        <v>0</v>
      </c>
      <c r="E2694" s="13" t="inlineStr">
        <is>
          <t>W</t>
        </is>
      </c>
      <c r="F2694" s="13" t="n">
        <v>2024</v>
      </c>
      <c r="G2694" s="14" t="n">
        <v>1000716.909625752</v>
      </c>
      <c r="H2694" s="14" t="n">
        <v>600084.6984782501</v>
      </c>
      <c r="I2694" s="14" t="n">
        <v>211419.5544292674</v>
      </c>
      <c r="J2694" s="14" t="n">
        <v>0</v>
      </c>
      <c r="K2694" s="14" t="n">
        <v>189212.6567182354</v>
      </c>
      <c r="L2694" s="14" t="n">
        <v>0</v>
      </c>
      <c r="M2694" s="14" t="n">
        <v>0</v>
      </c>
      <c r="N2694" s="14" t="n">
        <v>623515.183797081</v>
      </c>
      <c r="O2694" s="14" t="n">
        <v>1000716.909625752</v>
      </c>
      <c r="P2694" s="14" t="n">
        <v>95439.60934008432</v>
      </c>
      <c r="Q2694" s="14" t="n">
        <v>6524654.558188463</v>
      </c>
      <c r="R2694" s="15">
        <f>IF(D2694=1,"Section 1","Control")</f>
        <v/>
      </c>
      <c r="S2694" s="16">
        <f>N2694/10000</f>
        <v/>
      </c>
      <c r="T2694" s="16">
        <f>P2694/10000</f>
        <v/>
      </c>
      <c r="U2694" s="15">
        <f>IF(N2694&gt;=Summary!$D$3,1,0)</f>
        <v/>
      </c>
      <c r="V2694" s="17">
        <f>IF(N2694&gt;0,P2694/N2694,"")</f>
        <v/>
      </c>
      <c r="W2694" s="17">
        <f>IF(O2694&gt;0,H2694/O2694,"")</f>
        <v/>
      </c>
    </row>
    <row r="2695">
      <c r="A2695" s="13" t="inlineStr">
        <is>
          <t>CW06_B1</t>
        </is>
      </c>
      <c r="B2695" s="13" t="inlineStr">
        <is>
          <t>CW06</t>
        </is>
      </c>
      <c r="C2695" s="13" t="inlineStr">
        <is>
          <t>B1</t>
        </is>
      </c>
      <c r="D2695" s="13" t="n">
        <v>0</v>
      </c>
      <c r="E2695" s="13" t="inlineStr">
        <is>
          <t>W</t>
        </is>
      </c>
      <c r="F2695" s="13" t="n">
        <v>2025</v>
      </c>
      <c r="G2695" s="14" t="n">
        <v>1000716.909625752</v>
      </c>
      <c r="H2695" s="14" t="n">
        <v>488119.047447414</v>
      </c>
      <c r="I2695" s="14" t="n">
        <v>376815.2840518727</v>
      </c>
      <c r="J2695" s="14" t="n">
        <v>0</v>
      </c>
      <c r="K2695" s="14" t="n">
        <v>135782.578126466</v>
      </c>
      <c r="L2695" s="14" t="n">
        <v>0</v>
      </c>
      <c r="M2695" s="14" t="n">
        <v>0</v>
      </c>
      <c r="N2695" s="14" t="n">
        <v>623515.183797081</v>
      </c>
      <c r="O2695" s="14" t="n">
        <v>1000716.909625752</v>
      </c>
      <c r="P2695" s="14" t="n">
        <v>167542.1845273485</v>
      </c>
      <c r="Q2695" s="14" t="n">
        <v>6524654.558188463</v>
      </c>
      <c r="R2695" s="15">
        <f>IF(D2695=1,"Section 1","Control")</f>
        <v/>
      </c>
      <c r="S2695" s="16">
        <f>N2695/10000</f>
        <v/>
      </c>
      <c r="T2695" s="16">
        <f>P2695/10000</f>
        <v/>
      </c>
      <c r="U2695" s="15">
        <f>IF(N2695&gt;=Summary!$D$3,1,0)</f>
        <v/>
      </c>
      <c r="V2695" s="17">
        <f>IF(N2695&gt;0,P2695/N2695,"")</f>
        <v/>
      </c>
      <c r="W2695" s="17">
        <f>IF(O2695&gt;0,H2695/O2695,"")</f>
        <v/>
      </c>
    </row>
    <row r="2696">
      <c r="A2696" s="13" t="inlineStr">
        <is>
          <t>CW06_B1</t>
        </is>
      </c>
      <c r="B2696" s="13" t="inlineStr">
        <is>
          <t>CW06</t>
        </is>
      </c>
      <c r="C2696" s="13" t="inlineStr">
        <is>
          <t>B1</t>
        </is>
      </c>
      <c r="D2696" s="13" t="n">
        <v>0</v>
      </c>
      <c r="E2696" s="13" t="inlineStr">
        <is>
          <t>W</t>
        </is>
      </c>
      <c r="F2696" s="13" t="n">
        <v>2026</v>
      </c>
      <c r="G2696" s="14" t="n">
        <v>1000716.909625752</v>
      </c>
      <c r="H2696" s="14" t="n">
        <v>575576.0476346783</v>
      </c>
      <c r="I2696" s="14" t="n">
        <v>201918.015007408</v>
      </c>
      <c r="J2696" s="14" t="n">
        <v>0</v>
      </c>
      <c r="K2696" s="14" t="n">
        <v>223222.8469836665</v>
      </c>
      <c r="L2696" s="14" t="n">
        <v>0</v>
      </c>
      <c r="M2696" s="14" t="n">
        <v>0</v>
      </c>
      <c r="N2696" s="14" t="n">
        <v>623515.183797081</v>
      </c>
      <c r="O2696" s="14" t="n">
        <v>1000716.909625752</v>
      </c>
      <c r="P2696" s="14" t="n">
        <v>110869.8740914139</v>
      </c>
      <c r="Q2696" s="14" t="n">
        <v>6524654.558188463</v>
      </c>
      <c r="R2696" s="15">
        <f>IF(D2696=1,"Section 1","Control")</f>
        <v/>
      </c>
      <c r="S2696" s="16">
        <f>N2696/10000</f>
        <v/>
      </c>
      <c r="T2696" s="16">
        <f>P2696/10000</f>
        <v/>
      </c>
      <c r="U2696" s="15">
        <f>IF(N2696&gt;=Summary!$D$3,1,0)</f>
        <v/>
      </c>
      <c r="V2696" s="17">
        <f>IF(N2696&gt;0,P2696/N2696,"")</f>
        <v/>
      </c>
      <c r="W2696" s="17">
        <f>IF(O2696&gt;0,H2696/O2696,"")</f>
        <v/>
      </c>
    </row>
    <row r="2697">
      <c r="A2697" s="13" t="inlineStr">
        <is>
          <t>CW06_B2</t>
        </is>
      </c>
      <c r="B2697" s="13" t="inlineStr">
        <is>
          <t>CW06</t>
        </is>
      </c>
      <c r="C2697" s="13" t="inlineStr">
        <is>
          <t>B2</t>
        </is>
      </c>
      <c r="D2697" s="13" t="n">
        <v>0</v>
      </c>
      <c r="E2697" s="13" t="inlineStr">
        <is>
          <t>W</t>
        </is>
      </c>
      <c r="F2697" s="13" t="n">
        <v>2020</v>
      </c>
      <c r="G2697" s="14" t="n">
        <v>1000801.692941643</v>
      </c>
      <c r="H2697" s="14" t="n">
        <v>835939.7966753793</v>
      </c>
      <c r="I2697" s="14" t="n">
        <v>136786.31511775</v>
      </c>
      <c r="J2697" s="14" t="n">
        <v>0</v>
      </c>
      <c r="K2697" s="14" t="n">
        <v>28075.58114851409</v>
      </c>
      <c r="L2697" s="14" t="n">
        <v>0</v>
      </c>
      <c r="M2697" s="14" t="n">
        <v>0</v>
      </c>
      <c r="N2697" s="14" t="n">
        <v>835939.7966753793</v>
      </c>
      <c r="O2697" s="14" t="n">
        <v>1000801.692941643</v>
      </c>
      <c r="P2697" s="14" t="n">
        <v>0</v>
      </c>
      <c r="Q2697" s="14" t="n">
        <v>5664790.352076782</v>
      </c>
      <c r="R2697" s="15">
        <f>IF(D2697=1,"Section 1","Control")</f>
        <v/>
      </c>
      <c r="S2697" s="16">
        <f>N2697/10000</f>
        <v/>
      </c>
      <c r="T2697" s="16">
        <f>P2697/10000</f>
        <v/>
      </c>
      <c r="U2697" s="15">
        <f>IF(N2697&gt;=Summary!$D$3,1,0)</f>
        <v/>
      </c>
      <c r="V2697" s="17">
        <f>IF(N2697&gt;0,P2697/N2697,"")</f>
        <v/>
      </c>
      <c r="W2697" s="17">
        <f>IF(O2697&gt;0,H2697/O2697,"")</f>
        <v/>
      </c>
    </row>
    <row r="2698">
      <c r="A2698" s="13" t="inlineStr">
        <is>
          <t>CW06_B2</t>
        </is>
      </c>
      <c r="B2698" s="13" t="inlineStr">
        <is>
          <t>CW06</t>
        </is>
      </c>
      <c r="C2698" s="13" t="inlineStr">
        <is>
          <t>B2</t>
        </is>
      </c>
      <c r="D2698" s="13" t="n">
        <v>0</v>
      </c>
      <c r="E2698" s="13" t="inlineStr">
        <is>
          <t>W</t>
        </is>
      </c>
      <c r="F2698" s="13" t="n">
        <v>2021</v>
      </c>
      <c r="G2698" s="14" t="n">
        <v>1000801.692941643</v>
      </c>
      <c r="H2698" s="14" t="n">
        <v>778862.87516662</v>
      </c>
      <c r="I2698" s="14" t="n">
        <v>124760.645616838</v>
      </c>
      <c r="J2698" s="14" t="n">
        <v>0</v>
      </c>
      <c r="K2698" s="14" t="n">
        <v>97178.17215818516</v>
      </c>
      <c r="L2698" s="14" t="n">
        <v>0</v>
      </c>
      <c r="M2698" s="14" t="n">
        <v>0</v>
      </c>
      <c r="N2698" s="14" t="n">
        <v>835939.7966753793</v>
      </c>
      <c r="O2698" s="14" t="n">
        <v>1000801.692941643</v>
      </c>
      <c r="P2698" s="14" t="n">
        <v>79640.73744907754</v>
      </c>
      <c r="Q2698" s="14" t="n">
        <v>5664790.352076782</v>
      </c>
      <c r="R2698" s="15">
        <f>IF(D2698=1,"Section 1","Control")</f>
        <v/>
      </c>
      <c r="S2698" s="16">
        <f>N2698/10000</f>
        <v/>
      </c>
      <c r="T2698" s="16">
        <f>P2698/10000</f>
        <v/>
      </c>
      <c r="U2698" s="15">
        <f>IF(N2698&gt;=Summary!$D$3,1,0)</f>
        <v/>
      </c>
      <c r="V2698" s="17">
        <f>IF(N2698&gt;0,P2698/N2698,"")</f>
        <v/>
      </c>
      <c r="W2698" s="17">
        <f>IF(O2698&gt;0,H2698/O2698,"")</f>
        <v/>
      </c>
    </row>
    <row r="2699">
      <c r="A2699" s="13" t="inlineStr">
        <is>
          <t>CW06_B2</t>
        </is>
      </c>
      <c r="B2699" s="13" t="inlineStr">
        <is>
          <t>CW06</t>
        </is>
      </c>
      <c r="C2699" s="13" t="inlineStr">
        <is>
          <t>B2</t>
        </is>
      </c>
      <c r="D2699" s="13" t="n">
        <v>0</v>
      </c>
      <c r="E2699" s="13" t="inlineStr">
        <is>
          <t>W</t>
        </is>
      </c>
      <c r="F2699" s="13" t="n">
        <v>2022</v>
      </c>
      <c r="G2699" s="14" t="n">
        <v>1000801.692941643</v>
      </c>
      <c r="H2699" s="14" t="n">
        <v>710249.1804632449</v>
      </c>
      <c r="I2699" s="14" t="n">
        <v>132642.3459643794</v>
      </c>
      <c r="J2699" s="14" t="n">
        <v>0</v>
      </c>
      <c r="K2699" s="14" t="n">
        <v>157910.166514019</v>
      </c>
      <c r="L2699" s="14" t="n">
        <v>0</v>
      </c>
      <c r="M2699" s="14" t="n">
        <v>0</v>
      </c>
      <c r="N2699" s="14" t="n">
        <v>835939.7966753793</v>
      </c>
      <c r="O2699" s="14" t="n">
        <v>1000801.692941643</v>
      </c>
      <c r="P2699" s="14" t="n">
        <v>135017.2712793986</v>
      </c>
      <c r="Q2699" s="14" t="n">
        <v>5664790.352076782</v>
      </c>
      <c r="R2699" s="15">
        <f>IF(D2699=1,"Section 1","Control")</f>
        <v/>
      </c>
      <c r="S2699" s="16">
        <f>N2699/10000</f>
        <v/>
      </c>
      <c r="T2699" s="16">
        <f>P2699/10000</f>
        <v/>
      </c>
      <c r="U2699" s="15">
        <f>IF(N2699&gt;=Summary!$D$3,1,0)</f>
        <v/>
      </c>
      <c r="V2699" s="17">
        <f>IF(N2699&gt;0,P2699/N2699,"")</f>
        <v/>
      </c>
      <c r="W2699" s="17">
        <f>IF(O2699&gt;0,H2699/O2699,"")</f>
        <v/>
      </c>
    </row>
    <row r="2700">
      <c r="A2700" s="13" t="inlineStr">
        <is>
          <t>CW06_B2</t>
        </is>
      </c>
      <c r="B2700" s="13" t="inlineStr">
        <is>
          <t>CW06</t>
        </is>
      </c>
      <c r="C2700" s="13" t="inlineStr">
        <is>
          <t>B2</t>
        </is>
      </c>
      <c r="D2700" s="13" t="n">
        <v>0</v>
      </c>
      <c r="E2700" s="13" t="inlineStr">
        <is>
          <t>W</t>
        </is>
      </c>
      <c r="F2700" s="13" t="n">
        <v>2023</v>
      </c>
      <c r="G2700" s="14" t="n">
        <v>1000801.692941643</v>
      </c>
      <c r="H2700" s="14" t="n">
        <v>673402.4933681414</v>
      </c>
      <c r="I2700" s="14" t="n">
        <v>204044.45814945</v>
      </c>
      <c r="J2700" s="14" t="n">
        <v>0</v>
      </c>
      <c r="K2700" s="14" t="n">
        <v>123354.7414240519</v>
      </c>
      <c r="L2700" s="14" t="n">
        <v>0</v>
      </c>
      <c r="M2700" s="14" t="n">
        <v>0</v>
      </c>
      <c r="N2700" s="14" t="n">
        <v>835939.7966753793</v>
      </c>
      <c r="O2700" s="14" t="n">
        <v>1000801.692941643</v>
      </c>
      <c r="P2700" s="14" t="n">
        <v>168176.506269268</v>
      </c>
      <c r="Q2700" s="14" t="n">
        <v>5664790.352076782</v>
      </c>
      <c r="R2700" s="15">
        <f>IF(D2700=1,"Section 1","Control")</f>
        <v/>
      </c>
      <c r="S2700" s="16">
        <f>N2700/10000</f>
        <v/>
      </c>
      <c r="T2700" s="16">
        <f>P2700/10000</f>
        <v/>
      </c>
      <c r="U2700" s="15">
        <f>IF(N2700&gt;=Summary!$D$3,1,0)</f>
        <v/>
      </c>
      <c r="V2700" s="17">
        <f>IF(N2700&gt;0,P2700/N2700,"")</f>
        <v/>
      </c>
      <c r="W2700" s="17">
        <f>IF(O2700&gt;0,H2700/O2700,"")</f>
        <v/>
      </c>
    </row>
    <row r="2701">
      <c r="A2701" s="13" t="inlineStr">
        <is>
          <t>CW06_B2</t>
        </is>
      </c>
      <c r="B2701" s="13" t="inlineStr">
        <is>
          <t>CW06</t>
        </is>
      </c>
      <c r="C2701" s="13" t="inlineStr">
        <is>
          <t>B2</t>
        </is>
      </c>
      <c r="D2701" s="13" t="n">
        <v>0</v>
      </c>
      <c r="E2701" s="13" t="inlineStr">
        <is>
          <t>W</t>
        </is>
      </c>
      <c r="F2701" s="13" t="n">
        <v>2024</v>
      </c>
      <c r="G2701" s="14" t="n">
        <v>1000801.692941643</v>
      </c>
      <c r="H2701" s="14" t="n">
        <v>807192.4825613584</v>
      </c>
      <c r="I2701" s="14" t="n">
        <v>72126.07260302376</v>
      </c>
      <c r="J2701" s="14" t="n">
        <v>0</v>
      </c>
      <c r="K2701" s="14" t="n">
        <v>121483.1377772612</v>
      </c>
      <c r="L2701" s="14" t="n">
        <v>0</v>
      </c>
      <c r="M2701" s="14" t="n">
        <v>0</v>
      </c>
      <c r="N2701" s="14" t="n">
        <v>835939.7966753793</v>
      </c>
      <c r="O2701" s="14" t="n">
        <v>1000801.692941643</v>
      </c>
      <c r="P2701" s="14" t="n">
        <v>95366.24688852348</v>
      </c>
      <c r="Q2701" s="14" t="n">
        <v>5664790.352076782</v>
      </c>
      <c r="R2701" s="15">
        <f>IF(D2701=1,"Section 1","Control")</f>
        <v/>
      </c>
      <c r="S2701" s="16">
        <f>N2701/10000</f>
        <v/>
      </c>
      <c r="T2701" s="16">
        <f>P2701/10000</f>
        <v/>
      </c>
      <c r="U2701" s="15">
        <f>IF(N2701&gt;=Summary!$D$3,1,0)</f>
        <v/>
      </c>
      <c r="V2701" s="17">
        <f>IF(N2701&gt;0,P2701/N2701,"")</f>
        <v/>
      </c>
      <c r="W2701" s="17">
        <f>IF(O2701&gt;0,H2701/O2701,"")</f>
        <v/>
      </c>
    </row>
    <row r="2702">
      <c r="A2702" s="13" t="inlineStr">
        <is>
          <t>CW06_B2</t>
        </is>
      </c>
      <c r="B2702" s="13" t="inlineStr">
        <is>
          <t>CW06</t>
        </is>
      </c>
      <c r="C2702" s="13" t="inlineStr">
        <is>
          <t>B2</t>
        </is>
      </c>
      <c r="D2702" s="13" t="n">
        <v>0</v>
      </c>
      <c r="E2702" s="13" t="inlineStr">
        <is>
          <t>W</t>
        </is>
      </c>
      <c r="F2702" s="13" t="n">
        <v>2025</v>
      </c>
      <c r="G2702" s="14" t="n">
        <v>1000801.692941643</v>
      </c>
      <c r="H2702" s="14" t="n">
        <v>666879.4023104799</v>
      </c>
      <c r="I2702" s="14" t="n">
        <v>254554.1123020247</v>
      </c>
      <c r="J2702" s="14" t="n">
        <v>0</v>
      </c>
      <c r="K2702" s="14" t="n">
        <v>79368.17832913867</v>
      </c>
      <c r="L2702" s="14" t="n">
        <v>0</v>
      </c>
      <c r="M2702" s="14" t="n">
        <v>0</v>
      </c>
      <c r="N2702" s="14" t="n">
        <v>835939.7966753793</v>
      </c>
      <c r="O2702" s="14" t="n">
        <v>1000801.692941643</v>
      </c>
      <c r="P2702" s="14" t="n">
        <v>175340.7651555978</v>
      </c>
      <c r="Q2702" s="14" t="n">
        <v>5664790.352076782</v>
      </c>
      <c r="R2702" s="15">
        <f>IF(D2702=1,"Section 1","Control")</f>
        <v/>
      </c>
      <c r="S2702" s="16">
        <f>N2702/10000</f>
        <v/>
      </c>
      <c r="T2702" s="16">
        <f>P2702/10000</f>
        <v/>
      </c>
      <c r="U2702" s="15">
        <f>IF(N2702&gt;=Summary!$D$3,1,0)</f>
        <v/>
      </c>
      <c r="V2702" s="17">
        <f>IF(N2702&gt;0,P2702/N2702,"")</f>
        <v/>
      </c>
      <c r="W2702" s="17">
        <f>IF(O2702&gt;0,H2702/O2702,"")</f>
        <v/>
      </c>
    </row>
    <row r="2703">
      <c r="A2703" s="13" t="inlineStr">
        <is>
          <t>CW06_B2</t>
        </is>
      </c>
      <c r="B2703" s="13" t="inlineStr">
        <is>
          <t>CW06</t>
        </is>
      </c>
      <c r="C2703" s="13" t="inlineStr">
        <is>
          <t>B2</t>
        </is>
      </c>
      <c r="D2703" s="13" t="n">
        <v>0</v>
      </c>
      <c r="E2703" s="13" t="inlineStr">
        <is>
          <t>W</t>
        </is>
      </c>
      <c r="F2703" s="13" t="n">
        <v>2026</v>
      </c>
      <c r="G2703" s="14" t="n">
        <v>1000801.692941643</v>
      </c>
      <c r="H2703" s="14" t="n">
        <v>697611.0206280877</v>
      </c>
      <c r="I2703" s="14" t="n">
        <v>154084.9262576234</v>
      </c>
      <c r="J2703" s="14" t="n">
        <v>0</v>
      </c>
      <c r="K2703" s="14" t="n">
        <v>149105.7460559321</v>
      </c>
      <c r="L2703" s="14" t="n">
        <v>0</v>
      </c>
      <c r="M2703" s="14" t="n">
        <v>0</v>
      </c>
      <c r="N2703" s="14" t="n">
        <v>835939.7966753793</v>
      </c>
      <c r="O2703" s="14" t="n">
        <v>1000801.692941643</v>
      </c>
      <c r="P2703" s="14" t="n">
        <v>151520.2276823755</v>
      </c>
      <c r="Q2703" s="14" t="n">
        <v>5664790.352076782</v>
      </c>
      <c r="R2703" s="15">
        <f>IF(D2703=1,"Section 1","Control")</f>
        <v/>
      </c>
      <c r="S2703" s="16">
        <f>N2703/10000</f>
        <v/>
      </c>
      <c r="T2703" s="16">
        <f>P2703/10000</f>
        <v/>
      </c>
      <c r="U2703" s="15">
        <f>IF(N2703&gt;=Summary!$D$3,1,0)</f>
        <v/>
      </c>
      <c r="V2703" s="17">
        <f>IF(N2703&gt;0,P2703/N2703,"")</f>
        <v/>
      </c>
      <c r="W2703" s="17">
        <f>IF(O2703&gt;0,H2703/O2703,"")</f>
        <v/>
      </c>
    </row>
    <row r="2704">
      <c r="A2704" s="13" t="inlineStr">
        <is>
          <t>CW06_B3</t>
        </is>
      </c>
      <c r="B2704" s="13" t="inlineStr">
        <is>
          <t>CW06</t>
        </is>
      </c>
      <c r="C2704" s="13" t="inlineStr">
        <is>
          <t>B3</t>
        </is>
      </c>
      <c r="D2704" s="13" t="n">
        <v>0</v>
      </c>
      <c r="E2704" s="13" t="inlineStr">
        <is>
          <t>W</t>
        </is>
      </c>
      <c r="F2704" s="13" t="n">
        <v>2020</v>
      </c>
      <c r="G2704" s="14" t="n">
        <v>8005970.513676601</v>
      </c>
      <c r="H2704" s="14" t="n">
        <v>2891701.637020634</v>
      </c>
      <c r="I2704" s="14" t="n">
        <v>1491772.266554141</v>
      </c>
      <c r="J2704" s="14" t="n">
        <v>0</v>
      </c>
      <c r="K2704" s="14" t="n">
        <v>322802.3701287064</v>
      </c>
      <c r="L2704" s="14" t="n">
        <v>3299694.23997312</v>
      </c>
      <c r="M2704" s="14" t="n">
        <v>0</v>
      </c>
      <c r="N2704" s="14" t="n">
        <v>2891701.637020634</v>
      </c>
      <c r="O2704" s="14" t="n">
        <v>4706276.273703482</v>
      </c>
      <c r="P2704" s="14" t="n">
        <v>0</v>
      </c>
      <c r="Q2704" s="14" t="n">
        <v>16914276.37821209</v>
      </c>
      <c r="R2704" s="15">
        <f>IF(D2704=1,"Section 1","Control")</f>
        <v/>
      </c>
      <c r="S2704" s="16">
        <f>N2704/10000</f>
        <v/>
      </c>
      <c r="T2704" s="16">
        <f>P2704/10000</f>
        <v/>
      </c>
      <c r="U2704" s="15">
        <f>IF(N2704&gt;=Summary!$D$3,1,0)</f>
        <v/>
      </c>
      <c r="V2704" s="17">
        <f>IF(N2704&gt;0,P2704/N2704,"")</f>
        <v/>
      </c>
      <c r="W2704" s="17">
        <f>IF(O2704&gt;0,H2704/O2704,"")</f>
        <v/>
      </c>
    </row>
    <row r="2705">
      <c r="A2705" s="13" t="inlineStr">
        <is>
          <t>CW06_B3</t>
        </is>
      </c>
      <c r="B2705" s="13" t="inlineStr">
        <is>
          <t>CW06</t>
        </is>
      </c>
      <c r="C2705" s="13" t="inlineStr">
        <is>
          <t>B3</t>
        </is>
      </c>
      <c r="D2705" s="13" t="n">
        <v>0</v>
      </c>
      <c r="E2705" s="13" t="inlineStr">
        <is>
          <t>W</t>
        </is>
      </c>
      <c r="F2705" s="13" t="n">
        <v>2021</v>
      </c>
      <c r="G2705" s="14" t="n">
        <v>8005970.513676601</v>
      </c>
      <c r="H2705" s="14" t="n">
        <v>2929981.356957648</v>
      </c>
      <c r="I2705" s="14" t="n">
        <v>1285022.612713085</v>
      </c>
      <c r="J2705" s="14" t="n">
        <v>0</v>
      </c>
      <c r="K2705" s="14" t="n">
        <v>518030.9925897935</v>
      </c>
      <c r="L2705" s="14" t="n">
        <v>3272935.551416075</v>
      </c>
      <c r="M2705" s="14" t="n">
        <v>0</v>
      </c>
      <c r="N2705" s="14" t="n">
        <v>2891701.637020634</v>
      </c>
      <c r="O2705" s="14" t="n">
        <v>4706276.273703482</v>
      </c>
      <c r="P2705" s="14" t="n">
        <v>251485.6731769936</v>
      </c>
      <c r="Q2705" s="14" t="n">
        <v>16914276.3782121</v>
      </c>
      <c r="R2705" s="15">
        <f>IF(D2705=1,"Section 1","Control")</f>
        <v/>
      </c>
      <c r="S2705" s="16">
        <f>N2705/10000</f>
        <v/>
      </c>
      <c r="T2705" s="16">
        <f>P2705/10000</f>
        <v/>
      </c>
      <c r="U2705" s="15">
        <f>IF(N2705&gt;=Summary!$D$3,1,0)</f>
        <v/>
      </c>
      <c r="V2705" s="17">
        <f>IF(N2705&gt;0,P2705/N2705,"")</f>
        <v/>
      </c>
      <c r="W2705" s="17">
        <f>IF(O2705&gt;0,H2705/O2705,"")</f>
        <v/>
      </c>
    </row>
    <row r="2706">
      <c r="A2706" s="13" t="inlineStr">
        <is>
          <t>CW06_B3</t>
        </is>
      </c>
      <c r="B2706" s="13" t="inlineStr">
        <is>
          <t>CW06</t>
        </is>
      </c>
      <c r="C2706" s="13" t="inlineStr">
        <is>
          <t>B3</t>
        </is>
      </c>
      <c r="D2706" s="13" t="n">
        <v>0</v>
      </c>
      <c r="E2706" s="13" t="inlineStr">
        <is>
          <t>W</t>
        </is>
      </c>
      <c r="F2706" s="13" t="n">
        <v>2022</v>
      </c>
      <c r="G2706" s="14" t="n">
        <v>8005970.513676602</v>
      </c>
      <c r="H2706" s="14" t="n">
        <v>2812466.866882893</v>
      </c>
      <c r="I2706" s="14" t="n">
        <v>1322779.2895661</v>
      </c>
      <c r="J2706" s="14" t="n">
        <v>0</v>
      </c>
      <c r="K2706" s="14" t="n">
        <v>587045.2054552266</v>
      </c>
      <c r="L2706" s="14" t="n">
        <v>3283679.151772384</v>
      </c>
      <c r="M2706" s="14" t="n">
        <v>0</v>
      </c>
      <c r="N2706" s="14" t="n">
        <v>2891701.637020634</v>
      </c>
      <c r="O2706" s="14" t="n">
        <v>4706276.273703482</v>
      </c>
      <c r="P2706" s="14" t="n">
        <v>345525.2634243834</v>
      </c>
      <c r="Q2706" s="14" t="n">
        <v>16914276.3782121</v>
      </c>
      <c r="R2706" s="15">
        <f>IF(D2706=1,"Section 1","Control")</f>
        <v/>
      </c>
      <c r="S2706" s="16">
        <f>N2706/10000</f>
        <v/>
      </c>
      <c r="T2706" s="16">
        <f>P2706/10000</f>
        <v/>
      </c>
      <c r="U2706" s="15">
        <f>IF(N2706&gt;=Summary!$D$3,1,0)</f>
        <v/>
      </c>
      <c r="V2706" s="17">
        <f>IF(N2706&gt;0,P2706/N2706,"")</f>
        <v/>
      </c>
      <c r="W2706" s="17">
        <f>IF(O2706&gt;0,H2706/O2706,"")</f>
        <v/>
      </c>
    </row>
    <row r="2707">
      <c r="A2707" s="13" t="inlineStr">
        <is>
          <t>CW06_B3</t>
        </is>
      </c>
      <c r="B2707" s="13" t="inlineStr">
        <is>
          <t>CW06</t>
        </is>
      </c>
      <c r="C2707" s="13" t="inlineStr">
        <is>
          <t>B3</t>
        </is>
      </c>
      <c r="D2707" s="13" t="n">
        <v>0</v>
      </c>
      <c r="E2707" s="13" t="inlineStr">
        <is>
          <t>W</t>
        </is>
      </c>
      <c r="F2707" s="13" t="n">
        <v>2023</v>
      </c>
      <c r="G2707" s="14" t="n">
        <v>8005970.513676602</v>
      </c>
      <c r="H2707" s="14" t="n">
        <v>3054087.743538741</v>
      </c>
      <c r="I2707" s="14" t="n">
        <v>1078254.121043216</v>
      </c>
      <c r="J2707" s="14" t="n">
        <v>0</v>
      </c>
      <c r="K2707" s="14" t="n">
        <v>507066.2943707933</v>
      </c>
      <c r="L2707" s="14" t="n">
        <v>3366562.354723852</v>
      </c>
      <c r="M2707" s="14" t="n">
        <v>0</v>
      </c>
      <c r="N2707" s="14" t="n">
        <v>2891701.637020634</v>
      </c>
      <c r="O2707" s="14" t="n">
        <v>4706276.273703482</v>
      </c>
      <c r="P2707" s="14" t="n">
        <v>372598.0849846035</v>
      </c>
      <c r="Q2707" s="14" t="n">
        <v>16914276.3782121</v>
      </c>
      <c r="R2707" s="15">
        <f>IF(D2707=1,"Section 1","Control")</f>
        <v/>
      </c>
      <c r="S2707" s="16">
        <f>N2707/10000</f>
        <v/>
      </c>
      <c r="T2707" s="16">
        <f>P2707/10000</f>
        <v/>
      </c>
      <c r="U2707" s="15">
        <f>IF(N2707&gt;=Summary!$D$3,1,0)</f>
        <v/>
      </c>
      <c r="V2707" s="17">
        <f>IF(N2707&gt;0,P2707/N2707,"")</f>
        <v/>
      </c>
      <c r="W2707" s="17">
        <f>IF(O2707&gt;0,H2707/O2707,"")</f>
        <v/>
      </c>
    </row>
    <row r="2708">
      <c r="A2708" s="13" t="inlineStr">
        <is>
          <t>CW06_B3</t>
        </is>
      </c>
      <c r="B2708" s="13" t="inlineStr">
        <is>
          <t>CW06</t>
        </is>
      </c>
      <c r="C2708" s="13" t="inlineStr">
        <is>
          <t>B3</t>
        </is>
      </c>
      <c r="D2708" s="13" t="n">
        <v>0</v>
      </c>
      <c r="E2708" s="13" t="inlineStr">
        <is>
          <t>W</t>
        </is>
      </c>
      <c r="F2708" s="13" t="n">
        <v>2024</v>
      </c>
      <c r="G2708" s="14" t="n">
        <v>8005970.513676601</v>
      </c>
      <c r="H2708" s="14" t="n">
        <v>3423119.85573159</v>
      </c>
      <c r="I2708" s="14" t="n">
        <v>740187.583472727</v>
      </c>
      <c r="J2708" s="14" t="n">
        <v>0</v>
      </c>
      <c r="K2708" s="14" t="n">
        <v>497910.7939008228</v>
      </c>
      <c r="L2708" s="14" t="n">
        <v>3344752.280571463</v>
      </c>
      <c r="M2708" s="14" t="n">
        <v>0</v>
      </c>
      <c r="N2708" s="14" t="n">
        <v>2891701.637020634</v>
      </c>
      <c r="O2708" s="14" t="n">
        <v>4706276.273703482</v>
      </c>
      <c r="P2708" s="14" t="n">
        <v>278431.0418390611</v>
      </c>
      <c r="Q2708" s="14" t="n">
        <v>16914276.3782121</v>
      </c>
      <c r="R2708" s="15">
        <f>IF(D2708=1,"Section 1","Control")</f>
        <v/>
      </c>
      <c r="S2708" s="16">
        <f>N2708/10000</f>
        <v/>
      </c>
      <c r="T2708" s="16">
        <f>P2708/10000</f>
        <v/>
      </c>
      <c r="U2708" s="15">
        <f>IF(N2708&gt;=Summary!$D$3,1,0)</f>
        <v/>
      </c>
      <c r="V2708" s="17">
        <f>IF(N2708&gt;0,P2708/N2708,"")</f>
        <v/>
      </c>
      <c r="W2708" s="17">
        <f>IF(O2708&gt;0,H2708/O2708,"")</f>
        <v/>
      </c>
    </row>
    <row r="2709">
      <c r="A2709" s="13" t="inlineStr">
        <is>
          <t>CW06_B3</t>
        </is>
      </c>
      <c r="B2709" s="13" t="inlineStr">
        <is>
          <t>CW06</t>
        </is>
      </c>
      <c r="C2709" s="13" t="inlineStr">
        <is>
          <t>B3</t>
        </is>
      </c>
      <c r="D2709" s="13" t="n">
        <v>0</v>
      </c>
      <c r="E2709" s="13" t="inlineStr">
        <is>
          <t>W</t>
        </is>
      </c>
      <c r="F2709" s="13" t="n">
        <v>2025</v>
      </c>
      <c r="G2709" s="14" t="n">
        <v>8005970.513676603</v>
      </c>
      <c r="H2709" s="14" t="n">
        <v>2780201.134158594</v>
      </c>
      <c r="I2709" s="14" t="n">
        <v>1443780.462204518</v>
      </c>
      <c r="J2709" s="14" t="n">
        <v>0</v>
      </c>
      <c r="K2709" s="14" t="n">
        <v>455133.4912091423</v>
      </c>
      <c r="L2709" s="14" t="n">
        <v>3326855.426104348</v>
      </c>
      <c r="M2709" s="14" t="n">
        <v>0</v>
      </c>
      <c r="N2709" s="14" t="n">
        <v>2891701.637020634</v>
      </c>
      <c r="O2709" s="14" t="n">
        <v>4706276.273703482</v>
      </c>
      <c r="P2709" s="14" t="n">
        <v>514648.8393198649</v>
      </c>
      <c r="Q2709" s="14" t="n">
        <v>16914276.3782121</v>
      </c>
      <c r="R2709" s="15">
        <f>IF(D2709=1,"Section 1","Control")</f>
        <v/>
      </c>
      <c r="S2709" s="16">
        <f>N2709/10000</f>
        <v/>
      </c>
      <c r="T2709" s="16">
        <f>P2709/10000</f>
        <v/>
      </c>
      <c r="U2709" s="15">
        <f>IF(N2709&gt;=Summary!$D$3,1,0)</f>
        <v/>
      </c>
      <c r="V2709" s="17">
        <f>IF(N2709&gt;0,P2709/N2709,"")</f>
        <v/>
      </c>
      <c r="W2709" s="17">
        <f>IF(O2709&gt;0,H2709/O2709,"")</f>
        <v/>
      </c>
    </row>
    <row r="2710">
      <c r="A2710" s="13" t="inlineStr">
        <is>
          <t>CW06_B3</t>
        </is>
      </c>
      <c r="B2710" s="13" t="inlineStr">
        <is>
          <t>CW06</t>
        </is>
      </c>
      <c r="C2710" s="13" t="inlineStr">
        <is>
          <t>B3</t>
        </is>
      </c>
      <c r="D2710" s="13" t="n">
        <v>0</v>
      </c>
      <c r="E2710" s="13" t="inlineStr">
        <is>
          <t>W</t>
        </is>
      </c>
      <c r="F2710" s="13" t="n">
        <v>2026</v>
      </c>
      <c r="G2710" s="14" t="n">
        <v>8005970.513676601</v>
      </c>
      <c r="H2710" s="14" t="n">
        <v>2949152.490541794</v>
      </c>
      <c r="I2710" s="14" t="n">
        <v>1074333.870469965</v>
      </c>
      <c r="J2710" s="14" t="n">
        <v>0</v>
      </c>
      <c r="K2710" s="14" t="n">
        <v>600153.4020167631</v>
      </c>
      <c r="L2710" s="14" t="n">
        <v>3382330.750648079</v>
      </c>
      <c r="M2710" s="14" t="n">
        <v>0</v>
      </c>
      <c r="N2710" s="14" t="n">
        <v>2891701.637020634</v>
      </c>
      <c r="O2710" s="14" t="n">
        <v>4706276.273703482</v>
      </c>
      <c r="P2710" s="14" t="n">
        <v>361231.3536584892</v>
      </c>
      <c r="Q2710" s="14" t="n">
        <v>16914276.37821209</v>
      </c>
      <c r="R2710" s="15">
        <f>IF(D2710=1,"Section 1","Control")</f>
        <v/>
      </c>
      <c r="S2710" s="16">
        <f>N2710/10000</f>
        <v/>
      </c>
      <c r="T2710" s="16">
        <f>P2710/10000</f>
        <v/>
      </c>
      <c r="U2710" s="15">
        <f>IF(N2710&gt;=Summary!$D$3,1,0)</f>
        <v/>
      </c>
      <c r="V2710" s="17">
        <f>IF(N2710&gt;0,P2710/N2710,"")</f>
        <v/>
      </c>
      <c r="W2710" s="17">
        <f>IF(O2710&gt;0,H2710/O2710,"")</f>
        <v/>
      </c>
    </row>
    <row r="2711">
      <c r="A2711" s="13" t="inlineStr">
        <is>
          <t>CW06_F</t>
        </is>
      </c>
      <c r="B2711" s="13" t="inlineStr">
        <is>
          <t>CW06</t>
        </is>
      </c>
      <c r="C2711" s="13" t="inlineStr">
        <is>
          <t>F</t>
        </is>
      </c>
      <c r="D2711" s="13" t="n">
        <v>0</v>
      </c>
      <c r="E2711" s="13" t="inlineStr">
        <is>
          <t>W</t>
        </is>
      </c>
      <c r="F2711" s="13" t="n">
        <v>2020</v>
      </c>
      <c r="G2711" s="14" t="n">
        <v>69199.2655693503</v>
      </c>
      <c r="H2711" s="14" t="n">
        <v>24345.62544430004</v>
      </c>
      <c r="I2711" s="14" t="n">
        <v>32172.2779675652</v>
      </c>
      <c r="J2711" s="14" t="n">
        <v>0</v>
      </c>
      <c r="K2711" s="14" t="n">
        <v>12681.36215748507</v>
      </c>
      <c r="L2711" s="14" t="n">
        <v>0</v>
      </c>
      <c r="M2711" s="14" t="n">
        <v>0</v>
      </c>
      <c r="N2711" s="14" t="n">
        <v>24345.62544430004</v>
      </c>
      <c r="O2711" s="14" t="n">
        <v>69199.2655693503</v>
      </c>
      <c r="P2711" s="14" t="n">
        <v>0</v>
      </c>
      <c r="Q2711" s="14" t="n">
        <v>408412.7506025426</v>
      </c>
      <c r="R2711" s="15">
        <f>IF(D2711=1,"Section 1","Control")</f>
        <v/>
      </c>
      <c r="S2711" s="16">
        <f>N2711/10000</f>
        <v/>
      </c>
      <c r="T2711" s="16">
        <f>P2711/10000</f>
        <v/>
      </c>
      <c r="U2711" s="15">
        <f>IF(N2711&gt;=Summary!$D$3,1,0)</f>
        <v/>
      </c>
      <c r="V2711" s="17">
        <f>IF(N2711&gt;0,P2711/N2711,"")</f>
        <v/>
      </c>
      <c r="W2711" s="17">
        <f>IF(O2711&gt;0,H2711/O2711,"")</f>
        <v/>
      </c>
    </row>
    <row r="2712">
      <c r="A2712" s="13" t="inlineStr">
        <is>
          <t>CW06_F</t>
        </is>
      </c>
      <c r="B2712" s="13" t="inlineStr">
        <is>
          <t>CW06</t>
        </is>
      </c>
      <c r="C2712" s="13" t="inlineStr">
        <is>
          <t>F</t>
        </is>
      </c>
      <c r="D2712" s="13" t="n">
        <v>0</v>
      </c>
      <c r="E2712" s="13" t="inlineStr">
        <is>
          <t>W</t>
        </is>
      </c>
      <c r="F2712" s="13" t="n">
        <v>2021</v>
      </c>
      <c r="G2712" s="14" t="n">
        <v>69199.2655693503</v>
      </c>
      <c r="H2712" s="14" t="n">
        <v>17592.22104399438</v>
      </c>
      <c r="I2712" s="14" t="n">
        <v>21588.59939524332</v>
      </c>
      <c r="J2712" s="14" t="n">
        <v>0</v>
      </c>
      <c r="K2712" s="14" t="n">
        <v>30018.44513011259</v>
      </c>
      <c r="L2712" s="14" t="n">
        <v>0</v>
      </c>
      <c r="M2712" s="14" t="n">
        <v>0</v>
      </c>
      <c r="N2712" s="14" t="n">
        <v>24345.62544430004</v>
      </c>
      <c r="O2712" s="14" t="n">
        <v>69199.2655693503</v>
      </c>
      <c r="P2712" s="14" t="n">
        <v>7332.610840472053</v>
      </c>
      <c r="Q2712" s="14" t="n">
        <v>408412.7506025426</v>
      </c>
      <c r="R2712" s="15">
        <f>IF(D2712=1,"Section 1","Control")</f>
        <v/>
      </c>
      <c r="S2712" s="16">
        <f>N2712/10000</f>
        <v/>
      </c>
      <c r="T2712" s="16">
        <f>P2712/10000</f>
        <v/>
      </c>
      <c r="U2712" s="15">
        <f>IF(N2712&gt;=Summary!$D$3,1,0)</f>
        <v/>
      </c>
      <c r="V2712" s="17">
        <f>IF(N2712&gt;0,P2712/N2712,"")</f>
        <v/>
      </c>
      <c r="W2712" s="17">
        <f>IF(O2712&gt;0,H2712/O2712,"")</f>
        <v/>
      </c>
    </row>
    <row r="2713">
      <c r="A2713" s="13" t="inlineStr">
        <is>
          <t>CW06_F</t>
        </is>
      </c>
      <c r="B2713" s="13" t="inlineStr">
        <is>
          <t>CW06</t>
        </is>
      </c>
      <c r="C2713" s="13" t="inlineStr">
        <is>
          <t>F</t>
        </is>
      </c>
      <c r="D2713" s="13" t="n">
        <v>0</v>
      </c>
      <c r="E2713" s="13" t="inlineStr">
        <is>
          <t>W</t>
        </is>
      </c>
      <c r="F2713" s="13" t="n">
        <v>2022</v>
      </c>
      <c r="G2713" s="14" t="n">
        <v>69199.2655693503</v>
      </c>
      <c r="H2713" s="14" t="n">
        <v>16956.48834976496</v>
      </c>
      <c r="I2713" s="14" t="n">
        <v>30905.84449480842</v>
      </c>
      <c r="J2713" s="14" t="n">
        <v>0</v>
      </c>
      <c r="K2713" s="14" t="n">
        <v>21336.93272477692</v>
      </c>
      <c r="L2713" s="14" t="n">
        <v>0</v>
      </c>
      <c r="M2713" s="14" t="n">
        <v>0</v>
      </c>
      <c r="N2713" s="14" t="n">
        <v>24345.62544430004</v>
      </c>
      <c r="O2713" s="14" t="n">
        <v>69199.2655693503</v>
      </c>
      <c r="P2713" s="14" t="n">
        <v>8156.508195734958</v>
      </c>
      <c r="Q2713" s="14" t="n">
        <v>408412.7506025426</v>
      </c>
      <c r="R2713" s="15">
        <f>IF(D2713=1,"Section 1","Control")</f>
        <v/>
      </c>
      <c r="S2713" s="16">
        <f>N2713/10000</f>
        <v/>
      </c>
      <c r="T2713" s="16">
        <f>P2713/10000</f>
        <v/>
      </c>
      <c r="U2713" s="15">
        <f>IF(N2713&gt;=Summary!$D$3,1,0)</f>
        <v/>
      </c>
      <c r="V2713" s="17">
        <f>IF(N2713&gt;0,P2713/N2713,"")</f>
        <v/>
      </c>
      <c r="W2713" s="17">
        <f>IF(O2713&gt;0,H2713/O2713,"")</f>
        <v/>
      </c>
    </row>
    <row r="2714">
      <c r="A2714" s="13" t="inlineStr">
        <is>
          <t>CW06_F</t>
        </is>
      </c>
      <c r="B2714" s="13" t="inlineStr">
        <is>
          <t>CW06</t>
        </is>
      </c>
      <c r="C2714" s="13" t="inlineStr">
        <is>
          <t>F</t>
        </is>
      </c>
      <c r="D2714" s="13" t="n">
        <v>0</v>
      </c>
      <c r="E2714" s="13" t="inlineStr">
        <is>
          <t>W</t>
        </is>
      </c>
      <c r="F2714" s="13" t="n">
        <v>2023</v>
      </c>
      <c r="G2714" s="14" t="n">
        <v>69199.2655693503</v>
      </c>
      <c r="H2714" s="14" t="n">
        <v>12699.16786460129</v>
      </c>
      <c r="I2714" s="14" t="n">
        <v>34895.62998298197</v>
      </c>
      <c r="J2714" s="14" t="n">
        <v>0</v>
      </c>
      <c r="K2714" s="14" t="n">
        <v>21604.46772176705</v>
      </c>
      <c r="L2714" s="14" t="n">
        <v>0</v>
      </c>
      <c r="M2714" s="14" t="n">
        <v>0</v>
      </c>
      <c r="N2714" s="14" t="n">
        <v>24345.62544430004</v>
      </c>
      <c r="O2714" s="14" t="n">
        <v>69199.2655693503</v>
      </c>
      <c r="P2714" s="14" t="n">
        <v>11646.45757969875</v>
      </c>
      <c r="Q2714" s="14" t="n">
        <v>408412.7506025426</v>
      </c>
      <c r="R2714" s="15">
        <f>IF(D2714=1,"Section 1","Control")</f>
        <v/>
      </c>
      <c r="S2714" s="16">
        <f>N2714/10000</f>
        <v/>
      </c>
      <c r="T2714" s="16">
        <f>P2714/10000</f>
        <v/>
      </c>
      <c r="U2714" s="15">
        <f>IF(N2714&gt;=Summary!$D$3,1,0)</f>
        <v/>
      </c>
      <c r="V2714" s="17">
        <f>IF(N2714&gt;0,P2714/N2714,"")</f>
        <v/>
      </c>
      <c r="W2714" s="17">
        <f>IF(O2714&gt;0,H2714/O2714,"")</f>
        <v/>
      </c>
    </row>
    <row r="2715">
      <c r="A2715" s="13" t="inlineStr">
        <is>
          <t>CW06_F</t>
        </is>
      </c>
      <c r="B2715" s="13" t="inlineStr">
        <is>
          <t>CW06</t>
        </is>
      </c>
      <c r="C2715" s="13" t="inlineStr">
        <is>
          <t>F</t>
        </is>
      </c>
      <c r="D2715" s="13" t="n">
        <v>0</v>
      </c>
      <c r="E2715" s="13" t="inlineStr">
        <is>
          <t>W</t>
        </is>
      </c>
      <c r="F2715" s="13" t="n">
        <v>2024</v>
      </c>
      <c r="G2715" s="14" t="n">
        <v>69199.2655693503</v>
      </c>
      <c r="H2715" s="14" t="n">
        <v>12974.83555106369</v>
      </c>
      <c r="I2715" s="14" t="n">
        <v>38950.84512311151</v>
      </c>
      <c r="J2715" s="14" t="n">
        <v>0</v>
      </c>
      <c r="K2715" s="14" t="n">
        <v>17273.58489517511</v>
      </c>
      <c r="L2715" s="14" t="n">
        <v>0</v>
      </c>
      <c r="M2715" s="14" t="n">
        <v>0</v>
      </c>
      <c r="N2715" s="14" t="n">
        <v>24345.62544430004</v>
      </c>
      <c r="O2715" s="14" t="n">
        <v>69199.2655693503</v>
      </c>
      <c r="P2715" s="14" t="n">
        <v>12795.9623542636</v>
      </c>
      <c r="Q2715" s="14" t="n">
        <v>408412.7506025426</v>
      </c>
      <c r="R2715" s="15">
        <f>IF(D2715=1,"Section 1","Control")</f>
        <v/>
      </c>
      <c r="S2715" s="16">
        <f>N2715/10000</f>
        <v/>
      </c>
      <c r="T2715" s="16">
        <f>P2715/10000</f>
        <v/>
      </c>
      <c r="U2715" s="15">
        <f>IF(N2715&gt;=Summary!$D$3,1,0)</f>
        <v/>
      </c>
      <c r="V2715" s="17">
        <f>IF(N2715&gt;0,P2715/N2715,"")</f>
        <v/>
      </c>
      <c r="W2715" s="17">
        <f>IF(O2715&gt;0,H2715/O2715,"")</f>
        <v/>
      </c>
    </row>
    <row r="2716">
      <c r="A2716" s="13" t="inlineStr">
        <is>
          <t>CW06_F</t>
        </is>
      </c>
      <c r="B2716" s="13" t="inlineStr">
        <is>
          <t>CW06</t>
        </is>
      </c>
      <c r="C2716" s="13" t="inlineStr">
        <is>
          <t>F</t>
        </is>
      </c>
      <c r="D2716" s="13" t="n">
        <v>0</v>
      </c>
      <c r="E2716" s="13" t="inlineStr">
        <is>
          <t>W</t>
        </is>
      </c>
      <c r="F2716" s="13" t="n">
        <v>2025</v>
      </c>
      <c r="G2716" s="14" t="n">
        <v>69199.2655693503</v>
      </c>
      <c r="H2716" s="14" t="n">
        <v>10544.95625185499</v>
      </c>
      <c r="I2716" s="14" t="n">
        <v>43089.69297204112</v>
      </c>
      <c r="J2716" s="14" t="n">
        <v>0</v>
      </c>
      <c r="K2716" s="14" t="n">
        <v>15564.6163454542</v>
      </c>
      <c r="L2716" s="14" t="n">
        <v>0</v>
      </c>
      <c r="M2716" s="14" t="n">
        <v>0</v>
      </c>
      <c r="N2716" s="14" t="n">
        <v>24345.62544430004</v>
      </c>
      <c r="O2716" s="14" t="n">
        <v>69199.2655693503</v>
      </c>
      <c r="P2716" s="14" t="n">
        <v>15083.75047544592</v>
      </c>
      <c r="Q2716" s="14" t="n">
        <v>408412.7506025426</v>
      </c>
      <c r="R2716" s="15">
        <f>IF(D2716=1,"Section 1","Control")</f>
        <v/>
      </c>
      <c r="S2716" s="16">
        <f>N2716/10000</f>
        <v/>
      </c>
      <c r="T2716" s="16">
        <f>P2716/10000</f>
        <v/>
      </c>
      <c r="U2716" s="15">
        <f>IF(N2716&gt;=Summary!$D$3,1,0)</f>
        <v/>
      </c>
      <c r="V2716" s="17">
        <f>IF(N2716&gt;0,P2716/N2716,"")</f>
        <v/>
      </c>
      <c r="W2716" s="17">
        <f>IF(O2716&gt;0,H2716/O2716,"")</f>
        <v/>
      </c>
    </row>
    <row r="2717">
      <c r="A2717" s="13" t="inlineStr">
        <is>
          <t>CW06_F</t>
        </is>
      </c>
      <c r="B2717" s="13" t="inlineStr">
        <is>
          <t>CW06</t>
        </is>
      </c>
      <c r="C2717" s="13" t="inlineStr">
        <is>
          <t>F</t>
        </is>
      </c>
      <c r="D2717" s="13" t="n">
        <v>0</v>
      </c>
      <c r="E2717" s="13" t="inlineStr">
        <is>
          <t>W</t>
        </is>
      </c>
      <c r="F2717" s="13" t="n">
        <v>2026</v>
      </c>
      <c r="G2717" s="14" t="n">
        <v>69199.2655693503</v>
      </c>
      <c r="H2717" s="14" t="n">
        <v>12741.3734580844</v>
      </c>
      <c r="I2717" s="14" t="n">
        <v>31851.69425342036</v>
      </c>
      <c r="J2717" s="14" t="n">
        <v>0</v>
      </c>
      <c r="K2717" s="14" t="n">
        <v>24606.19785784553</v>
      </c>
      <c r="L2717" s="14" t="n">
        <v>0</v>
      </c>
      <c r="M2717" s="14" t="n">
        <v>0</v>
      </c>
      <c r="N2717" s="14" t="n">
        <v>24345.62544430004</v>
      </c>
      <c r="O2717" s="14" t="n">
        <v>69199.2655693503</v>
      </c>
      <c r="P2717" s="14" t="n">
        <v>13972.95845594219</v>
      </c>
      <c r="Q2717" s="14" t="n">
        <v>408412.7506025426</v>
      </c>
      <c r="R2717" s="15">
        <f>IF(D2717=1,"Section 1","Control")</f>
        <v/>
      </c>
      <c r="S2717" s="16">
        <f>N2717/10000</f>
        <v/>
      </c>
      <c r="T2717" s="16">
        <f>P2717/10000</f>
        <v/>
      </c>
      <c r="U2717" s="15">
        <f>IF(N2717&gt;=Summary!$D$3,1,0)</f>
        <v/>
      </c>
      <c r="V2717" s="17">
        <f>IF(N2717&gt;0,P2717/N2717,"")</f>
        <v/>
      </c>
      <c r="W2717" s="17">
        <f>IF(O2717&gt;0,H2717/O2717,"")</f>
        <v/>
      </c>
    </row>
    <row r="2718">
      <c r="A2718" s="13" t="inlineStr">
        <is>
          <t>CW07_B1</t>
        </is>
      </c>
      <c r="B2718" s="13" t="inlineStr">
        <is>
          <t>CW07</t>
        </is>
      </c>
      <c r="C2718" s="13" t="inlineStr">
        <is>
          <t>B1</t>
        </is>
      </c>
      <c r="D2718" s="13" t="n">
        <v>0</v>
      </c>
      <c r="E2718" s="13" t="inlineStr">
        <is>
          <t>W</t>
        </is>
      </c>
      <c r="F2718" s="13" t="n">
        <v>2020</v>
      </c>
      <c r="G2718" s="14" t="n">
        <v>1000714.188356018</v>
      </c>
      <c r="H2718" s="14" t="n">
        <v>770376.2091813928</v>
      </c>
      <c r="I2718" s="14" t="n">
        <v>129052.2055586871</v>
      </c>
      <c r="J2718" s="14" t="n">
        <v>0</v>
      </c>
      <c r="K2718" s="14" t="n">
        <v>101285.7736159381</v>
      </c>
      <c r="L2718" s="14" t="n">
        <v>0</v>
      </c>
      <c r="M2718" s="14" t="n">
        <v>0</v>
      </c>
      <c r="N2718" s="14" t="n">
        <v>770376.2091813928</v>
      </c>
      <c r="O2718" s="14" t="n">
        <v>1000714.188356018</v>
      </c>
      <c r="P2718" s="14" t="n">
        <v>0</v>
      </c>
      <c r="Q2718" s="14" t="n">
        <v>7282054.648228782</v>
      </c>
      <c r="R2718" s="15">
        <f>IF(D2718=1,"Section 1","Control")</f>
        <v/>
      </c>
      <c r="S2718" s="16">
        <f>N2718/10000</f>
        <v/>
      </c>
      <c r="T2718" s="16">
        <f>P2718/10000</f>
        <v/>
      </c>
      <c r="U2718" s="15">
        <f>IF(N2718&gt;=Summary!$D$3,1,0)</f>
        <v/>
      </c>
      <c r="V2718" s="17">
        <f>IF(N2718&gt;0,P2718/N2718,"")</f>
        <v/>
      </c>
      <c r="W2718" s="17">
        <f>IF(O2718&gt;0,H2718/O2718,"")</f>
        <v/>
      </c>
    </row>
    <row r="2719">
      <c r="A2719" s="13" t="inlineStr">
        <is>
          <t>CW07_B1</t>
        </is>
      </c>
      <c r="B2719" s="13" t="inlineStr">
        <is>
          <t>CW07</t>
        </is>
      </c>
      <c r="C2719" s="13" t="inlineStr">
        <is>
          <t>B1</t>
        </is>
      </c>
      <c r="D2719" s="13" t="n">
        <v>0</v>
      </c>
      <c r="E2719" s="13" t="inlineStr">
        <is>
          <t>W</t>
        </is>
      </c>
      <c r="F2719" s="13" t="n">
        <v>2021</v>
      </c>
      <c r="G2719" s="14" t="n">
        <v>1000714.188356018</v>
      </c>
      <c r="H2719" s="14" t="n">
        <v>717591.6454238292</v>
      </c>
      <c r="I2719" s="14" t="n">
        <v>94780.65636587705</v>
      </c>
      <c r="J2719" s="14" t="n">
        <v>0</v>
      </c>
      <c r="K2719" s="14" t="n">
        <v>188341.8865663117</v>
      </c>
      <c r="L2719" s="14" t="n">
        <v>0</v>
      </c>
      <c r="M2719" s="14" t="n">
        <v>0</v>
      </c>
      <c r="N2719" s="14" t="n">
        <v>770376.2091813928</v>
      </c>
      <c r="O2719" s="14" t="n">
        <v>1000714.188356018</v>
      </c>
      <c r="P2719" s="14" t="n">
        <v>77315.29446324368</v>
      </c>
      <c r="Q2719" s="14" t="n">
        <v>7282054.648228782</v>
      </c>
      <c r="R2719" s="15">
        <f>IF(D2719=1,"Section 1","Control")</f>
        <v/>
      </c>
      <c r="S2719" s="16">
        <f>N2719/10000</f>
        <v/>
      </c>
      <c r="T2719" s="16">
        <f>P2719/10000</f>
        <v/>
      </c>
      <c r="U2719" s="15">
        <f>IF(N2719&gt;=Summary!$D$3,1,0)</f>
        <v/>
      </c>
      <c r="V2719" s="17">
        <f>IF(N2719&gt;0,P2719/N2719,"")</f>
        <v/>
      </c>
      <c r="W2719" s="17">
        <f>IF(O2719&gt;0,H2719/O2719,"")</f>
        <v/>
      </c>
    </row>
    <row r="2720">
      <c r="A2720" s="13" t="inlineStr">
        <is>
          <t>CW07_B1</t>
        </is>
      </c>
      <c r="B2720" s="13" t="inlineStr">
        <is>
          <t>CW07</t>
        </is>
      </c>
      <c r="C2720" s="13" t="inlineStr">
        <is>
          <t>B1</t>
        </is>
      </c>
      <c r="D2720" s="13" t="n">
        <v>0</v>
      </c>
      <c r="E2720" s="13" t="inlineStr">
        <is>
          <t>W</t>
        </is>
      </c>
      <c r="F2720" s="13" t="n">
        <v>2022</v>
      </c>
      <c r="G2720" s="14" t="n">
        <v>1000714.188356018</v>
      </c>
      <c r="H2720" s="14" t="n">
        <v>682569.3402655507</v>
      </c>
      <c r="I2720" s="14" t="n">
        <v>115632.8812143363</v>
      </c>
      <c r="J2720" s="14" t="n">
        <v>0</v>
      </c>
      <c r="K2720" s="14" t="n">
        <v>202511.966876131</v>
      </c>
      <c r="L2720" s="14" t="n">
        <v>0</v>
      </c>
      <c r="M2720" s="14" t="n">
        <v>0</v>
      </c>
      <c r="N2720" s="14" t="n">
        <v>770376.2091813928</v>
      </c>
      <c r="O2720" s="14" t="n">
        <v>1000714.188356018</v>
      </c>
      <c r="P2720" s="14" t="n">
        <v>109833.3704844755</v>
      </c>
      <c r="Q2720" s="14" t="n">
        <v>7282054.64822878</v>
      </c>
      <c r="R2720" s="15">
        <f>IF(D2720=1,"Section 1","Control")</f>
        <v/>
      </c>
      <c r="S2720" s="16">
        <f>N2720/10000</f>
        <v/>
      </c>
      <c r="T2720" s="16">
        <f>P2720/10000</f>
        <v/>
      </c>
      <c r="U2720" s="15">
        <f>IF(N2720&gt;=Summary!$D$3,1,0)</f>
        <v/>
      </c>
      <c r="V2720" s="17">
        <f>IF(N2720&gt;0,P2720/N2720,"")</f>
        <v/>
      </c>
      <c r="W2720" s="17">
        <f>IF(O2720&gt;0,H2720/O2720,"")</f>
        <v/>
      </c>
    </row>
    <row r="2721">
      <c r="A2721" s="13" t="inlineStr">
        <is>
          <t>CW07_B1</t>
        </is>
      </c>
      <c r="B2721" s="13" t="inlineStr">
        <is>
          <t>CW07</t>
        </is>
      </c>
      <c r="C2721" s="13" t="inlineStr">
        <is>
          <t>B1</t>
        </is>
      </c>
      <c r="D2721" s="13" t="n">
        <v>0</v>
      </c>
      <c r="E2721" s="13" t="inlineStr">
        <is>
          <t>W</t>
        </is>
      </c>
      <c r="F2721" s="13" t="n">
        <v>2023</v>
      </c>
      <c r="G2721" s="14" t="n">
        <v>1000714.188356018</v>
      </c>
      <c r="H2721" s="14" t="n">
        <v>628199.3671480665</v>
      </c>
      <c r="I2721" s="14" t="n">
        <v>179882.7221190808</v>
      </c>
      <c r="J2721" s="14" t="n">
        <v>0</v>
      </c>
      <c r="K2721" s="14" t="n">
        <v>192632.0990888707</v>
      </c>
      <c r="L2721" s="14" t="n">
        <v>0</v>
      </c>
      <c r="M2721" s="14" t="n">
        <v>0</v>
      </c>
      <c r="N2721" s="14" t="n">
        <v>770376.2091813928</v>
      </c>
      <c r="O2721" s="14" t="n">
        <v>1000714.188356018</v>
      </c>
      <c r="P2721" s="14" t="n">
        <v>156365.8488575655</v>
      </c>
      <c r="Q2721" s="14" t="n">
        <v>7282054.64822878</v>
      </c>
      <c r="R2721" s="15">
        <f>IF(D2721=1,"Section 1","Control")</f>
        <v/>
      </c>
      <c r="S2721" s="16">
        <f>N2721/10000</f>
        <v/>
      </c>
      <c r="T2721" s="16">
        <f>P2721/10000</f>
        <v/>
      </c>
      <c r="U2721" s="15">
        <f>IF(N2721&gt;=Summary!$D$3,1,0)</f>
        <v/>
      </c>
      <c r="V2721" s="17">
        <f>IF(N2721&gt;0,P2721/N2721,"")</f>
        <v/>
      </c>
      <c r="W2721" s="17">
        <f>IF(O2721&gt;0,H2721/O2721,"")</f>
        <v/>
      </c>
    </row>
    <row r="2722">
      <c r="A2722" s="13" t="inlineStr">
        <is>
          <t>CW07_B1</t>
        </is>
      </c>
      <c r="B2722" s="13" t="inlineStr">
        <is>
          <t>CW07</t>
        </is>
      </c>
      <c r="C2722" s="13" t="inlineStr">
        <is>
          <t>B1</t>
        </is>
      </c>
      <c r="D2722" s="13" t="n">
        <v>0</v>
      </c>
      <c r="E2722" s="13" t="inlineStr">
        <is>
          <t>W</t>
        </is>
      </c>
      <c r="F2722" s="13" t="n">
        <v>2024</v>
      </c>
      <c r="G2722" s="14" t="n">
        <v>1000714.188356018</v>
      </c>
      <c r="H2722" s="14" t="n">
        <v>634779.4412385827</v>
      </c>
      <c r="I2722" s="14" t="n">
        <v>184322.7251575844</v>
      </c>
      <c r="J2722" s="14" t="n">
        <v>0</v>
      </c>
      <c r="K2722" s="14" t="n">
        <v>181612.0219598509</v>
      </c>
      <c r="L2722" s="14" t="n">
        <v>0</v>
      </c>
      <c r="M2722" s="14" t="n">
        <v>0</v>
      </c>
      <c r="N2722" s="14" t="n">
        <v>770376.2091813928</v>
      </c>
      <c r="O2722" s="14" t="n">
        <v>1000714.188356018</v>
      </c>
      <c r="P2722" s="14" t="n">
        <v>164553.2806835399</v>
      </c>
      <c r="Q2722" s="14" t="n">
        <v>7282054.648228782</v>
      </c>
      <c r="R2722" s="15">
        <f>IF(D2722=1,"Section 1","Control")</f>
        <v/>
      </c>
      <c r="S2722" s="16">
        <f>N2722/10000</f>
        <v/>
      </c>
      <c r="T2722" s="16">
        <f>P2722/10000</f>
        <v/>
      </c>
      <c r="U2722" s="15">
        <f>IF(N2722&gt;=Summary!$D$3,1,0)</f>
        <v/>
      </c>
      <c r="V2722" s="17">
        <f>IF(N2722&gt;0,P2722/N2722,"")</f>
        <v/>
      </c>
      <c r="W2722" s="17">
        <f>IF(O2722&gt;0,H2722/O2722,"")</f>
        <v/>
      </c>
    </row>
    <row r="2723">
      <c r="A2723" s="13" t="inlineStr">
        <is>
          <t>CW07_B1</t>
        </is>
      </c>
      <c r="B2723" s="13" t="inlineStr">
        <is>
          <t>CW07</t>
        </is>
      </c>
      <c r="C2723" s="13" t="inlineStr">
        <is>
          <t>B1</t>
        </is>
      </c>
      <c r="D2723" s="13" t="n">
        <v>0</v>
      </c>
      <c r="E2723" s="13" t="inlineStr">
        <is>
          <t>W</t>
        </is>
      </c>
      <c r="F2723" s="13" t="n">
        <v>2025</v>
      </c>
      <c r="G2723" s="14" t="n">
        <v>1000714.188356018</v>
      </c>
      <c r="H2723" s="14" t="n">
        <v>566155.7433817245</v>
      </c>
      <c r="I2723" s="14" t="n">
        <v>319166.5569891537</v>
      </c>
      <c r="J2723" s="14" t="n">
        <v>0</v>
      </c>
      <c r="K2723" s="14" t="n">
        <v>115391.8879851397</v>
      </c>
      <c r="L2723" s="14" t="n">
        <v>0</v>
      </c>
      <c r="M2723" s="14" t="n">
        <v>0</v>
      </c>
      <c r="N2723" s="14" t="n">
        <v>770376.2091813928</v>
      </c>
      <c r="O2723" s="14" t="n">
        <v>1000714.188356018</v>
      </c>
      <c r="P2723" s="14" t="n">
        <v>217723.0194487029</v>
      </c>
      <c r="Q2723" s="14" t="n">
        <v>7282054.648228781</v>
      </c>
      <c r="R2723" s="15">
        <f>IF(D2723=1,"Section 1","Control")</f>
        <v/>
      </c>
      <c r="S2723" s="16">
        <f>N2723/10000</f>
        <v/>
      </c>
      <c r="T2723" s="16">
        <f>P2723/10000</f>
        <v/>
      </c>
      <c r="U2723" s="15">
        <f>IF(N2723&gt;=Summary!$D$3,1,0)</f>
        <v/>
      </c>
      <c r="V2723" s="17">
        <f>IF(N2723&gt;0,P2723/N2723,"")</f>
        <v/>
      </c>
      <c r="W2723" s="17">
        <f>IF(O2723&gt;0,H2723/O2723,"")</f>
        <v/>
      </c>
    </row>
    <row r="2724">
      <c r="A2724" s="13" t="inlineStr">
        <is>
          <t>CW07_B1</t>
        </is>
      </c>
      <c r="B2724" s="13" t="inlineStr">
        <is>
          <t>CW07</t>
        </is>
      </c>
      <c r="C2724" s="13" t="inlineStr">
        <is>
          <t>B1</t>
        </is>
      </c>
      <c r="D2724" s="13" t="n">
        <v>0</v>
      </c>
      <c r="E2724" s="13" t="inlineStr">
        <is>
          <t>W</t>
        </is>
      </c>
      <c r="F2724" s="13" t="n">
        <v>2026</v>
      </c>
      <c r="G2724" s="14" t="n">
        <v>1000714.188356018</v>
      </c>
      <c r="H2724" s="14" t="n">
        <v>652685.6276141596</v>
      </c>
      <c r="I2724" s="14" t="n">
        <v>149029.4973739026</v>
      </c>
      <c r="J2724" s="14" t="n">
        <v>0</v>
      </c>
      <c r="K2724" s="14" t="n">
        <v>198999.0633679559</v>
      </c>
      <c r="L2724" s="14" t="n">
        <v>0</v>
      </c>
      <c r="M2724" s="14" t="n">
        <v>0</v>
      </c>
      <c r="N2724" s="14" t="n">
        <v>770376.2091813928</v>
      </c>
      <c r="O2724" s="14" t="n">
        <v>1000714.188356018</v>
      </c>
      <c r="P2724" s="14" t="n">
        <v>163819.5976800956</v>
      </c>
      <c r="Q2724" s="14" t="n">
        <v>7282054.648228782</v>
      </c>
      <c r="R2724" s="15">
        <f>IF(D2724=1,"Section 1","Control")</f>
        <v/>
      </c>
      <c r="S2724" s="16">
        <f>N2724/10000</f>
        <v/>
      </c>
      <c r="T2724" s="16">
        <f>P2724/10000</f>
        <v/>
      </c>
      <c r="U2724" s="15">
        <f>IF(N2724&gt;=Summary!$D$3,1,0)</f>
        <v/>
      </c>
      <c r="V2724" s="17">
        <f>IF(N2724&gt;0,P2724/N2724,"")</f>
        <v/>
      </c>
      <c r="W2724" s="17">
        <f>IF(O2724&gt;0,H2724/O2724,"")</f>
        <v/>
      </c>
    </row>
    <row r="2725">
      <c r="A2725" s="13" t="inlineStr">
        <is>
          <t>CW07_B2</t>
        </is>
      </c>
      <c r="B2725" s="13" t="inlineStr">
        <is>
          <t>CW07</t>
        </is>
      </c>
      <c r="C2725" s="13" t="inlineStr">
        <is>
          <t>B2</t>
        </is>
      </c>
      <c r="D2725" s="13" t="n">
        <v>0</v>
      </c>
      <c r="E2725" s="13" t="inlineStr">
        <is>
          <t>W</t>
        </is>
      </c>
      <c r="F2725" s="13" t="n">
        <v>2020</v>
      </c>
      <c r="G2725" s="14" t="n">
        <v>1000563.187387205</v>
      </c>
      <c r="H2725" s="14" t="n">
        <v>814728.8702319575</v>
      </c>
      <c r="I2725" s="14" t="n">
        <v>142830.8702520931</v>
      </c>
      <c r="J2725" s="14" t="n">
        <v>0</v>
      </c>
      <c r="K2725" s="14" t="n">
        <v>43003.44690315396</v>
      </c>
      <c r="L2725" s="14" t="n">
        <v>0</v>
      </c>
      <c r="M2725" s="14" t="n">
        <v>0</v>
      </c>
      <c r="N2725" s="14" t="n">
        <v>814728.8702319575</v>
      </c>
      <c r="O2725" s="14" t="n">
        <v>1000563.187387205</v>
      </c>
      <c r="P2725" s="14" t="n">
        <v>0</v>
      </c>
      <c r="Q2725" s="14" t="n">
        <v>5799707.240389744</v>
      </c>
      <c r="R2725" s="15">
        <f>IF(D2725=1,"Section 1","Control")</f>
        <v/>
      </c>
      <c r="S2725" s="16">
        <f>N2725/10000</f>
        <v/>
      </c>
      <c r="T2725" s="16">
        <f>P2725/10000</f>
        <v/>
      </c>
      <c r="U2725" s="15">
        <f>IF(N2725&gt;=Summary!$D$3,1,0)</f>
        <v/>
      </c>
      <c r="V2725" s="17">
        <f>IF(N2725&gt;0,P2725/N2725,"")</f>
        <v/>
      </c>
      <c r="W2725" s="17">
        <f>IF(O2725&gt;0,H2725/O2725,"")</f>
        <v/>
      </c>
    </row>
    <row r="2726">
      <c r="A2726" s="13" t="inlineStr">
        <is>
          <t>CW07_B2</t>
        </is>
      </c>
      <c r="B2726" s="13" t="inlineStr">
        <is>
          <t>CW07</t>
        </is>
      </c>
      <c r="C2726" s="13" t="inlineStr">
        <is>
          <t>B2</t>
        </is>
      </c>
      <c r="D2726" s="13" t="n">
        <v>0</v>
      </c>
      <c r="E2726" s="13" t="inlineStr">
        <is>
          <t>W</t>
        </is>
      </c>
      <c r="F2726" s="13" t="n">
        <v>2021</v>
      </c>
      <c r="G2726" s="14" t="n">
        <v>1000563.187387205</v>
      </c>
      <c r="H2726" s="14" t="n">
        <v>744016.4710368736</v>
      </c>
      <c r="I2726" s="14" t="n">
        <v>154719.0956265917</v>
      </c>
      <c r="J2726" s="14" t="n">
        <v>0</v>
      </c>
      <c r="K2726" s="14" t="n">
        <v>101827.6207237393</v>
      </c>
      <c r="L2726" s="14" t="n">
        <v>0</v>
      </c>
      <c r="M2726" s="14" t="n">
        <v>0</v>
      </c>
      <c r="N2726" s="14" t="n">
        <v>814728.8702319575</v>
      </c>
      <c r="O2726" s="14" t="n">
        <v>1000563.187387205</v>
      </c>
      <c r="P2726" s="14" t="n">
        <v>89045.47419281007</v>
      </c>
      <c r="Q2726" s="14" t="n">
        <v>5799707.240389745</v>
      </c>
      <c r="R2726" s="15">
        <f>IF(D2726=1,"Section 1","Control")</f>
        <v/>
      </c>
      <c r="S2726" s="16">
        <f>N2726/10000</f>
        <v/>
      </c>
      <c r="T2726" s="16">
        <f>P2726/10000</f>
        <v/>
      </c>
      <c r="U2726" s="15">
        <f>IF(N2726&gt;=Summary!$D$3,1,0)</f>
        <v/>
      </c>
      <c r="V2726" s="17">
        <f>IF(N2726&gt;0,P2726/N2726,"")</f>
        <v/>
      </c>
      <c r="W2726" s="17">
        <f>IF(O2726&gt;0,H2726/O2726,"")</f>
        <v/>
      </c>
    </row>
    <row r="2727">
      <c r="A2727" s="13" t="inlineStr">
        <is>
          <t>CW07_B2</t>
        </is>
      </c>
      <c r="B2727" s="13" t="inlineStr">
        <is>
          <t>CW07</t>
        </is>
      </c>
      <c r="C2727" s="13" t="inlineStr">
        <is>
          <t>B2</t>
        </is>
      </c>
      <c r="D2727" s="13" t="n">
        <v>0</v>
      </c>
      <c r="E2727" s="13" t="inlineStr">
        <is>
          <t>W</t>
        </is>
      </c>
      <c r="F2727" s="13" t="n">
        <v>2022</v>
      </c>
      <c r="G2727" s="14" t="n">
        <v>1000563.187387205</v>
      </c>
      <c r="H2727" s="14" t="n">
        <v>656371.8217082603</v>
      </c>
      <c r="I2727" s="14" t="n">
        <v>163083.2240121879</v>
      </c>
      <c r="J2727" s="14" t="n">
        <v>0</v>
      </c>
      <c r="K2727" s="14" t="n">
        <v>181108.1416667564</v>
      </c>
      <c r="L2727" s="14" t="n">
        <v>0</v>
      </c>
      <c r="M2727" s="14" t="n">
        <v>0</v>
      </c>
      <c r="N2727" s="14" t="n">
        <v>814728.8702319575</v>
      </c>
      <c r="O2727" s="14" t="n">
        <v>1000563.187387205</v>
      </c>
      <c r="P2727" s="14" t="n">
        <v>161518.7125200758</v>
      </c>
      <c r="Q2727" s="14" t="n">
        <v>5799707.240389745</v>
      </c>
      <c r="R2727" s="15">
        <f>IF(D2727=1,"Section 1","Control")</f>
        <v/>
      </c>
      <c r="S2727" s="16">
        <f>N2727/10000</f>
        <v/>
      </c>
      <c r="T2727" s="16">
        <f>P2727/10000</f>
        <v/>
      </c>
      <c r="U2727" s="15">
        <f>IF(N2727&gt;=Summary!$D$3,1,0)</f>
        <v/>
      </c>
      <c r="V2727" s="17">
        <f>IF(N2727&gt;0,P2727/N2727,"")</f>
        <v/>
      </c>
      <c r="W2727" s="17">
        <f>IF(O2727&gt;0,H2727/O2727,"")</f>
        <v/>
      </c>
    </row>
    <row r="2728">
      <c r="A2728" s="13" t="inlineStr">
        <is>
          <t>CW07_B2</t>
        </is>
      </c>
      <c r="B2728" s="13" t="inlineStr">
        <is>
          <t>CW07</t>
        </is>
      </c>
      <c r="C2728" s="13" t="inlineStr">
        <is>
          <t>B2</t>
        </is>
      </c>
      <c r="D2728" s="13" t="n">
        <v>0</v>
      </c>
      <c r="E2728" s="13" t="inlineStr">
        <is>
          <t>W</t>
        </is>
      </c>
      <c r="F2728" s="13" t="n">
        <v>2023</v>
      </c>
      <c r="G2728" s="14" t="n">
        <v>1000563.187387205</v>
      </c>
      <c r="H2728" s="14" t="n">
        <v>617588.9862236772</v>
      </c>
      <c r="I2728" s="14" t="n">
        <v>195614.3528129129</v>
      </c>
      <c r="J2728" s="14" t="n">
        <v>0</v>
      </c>
      <c r="K2728" s="14" t="n">
        <v>187359.8483506146</v>
      </c>
      <c r="L2728" s="14" t="n">
        <v>0</v>
      </c>
      <c r="M2728" s="14" t="n">
        <v>0</v>
      </c>
      <c r="N2728" s="14" t="n">
        <v>814728.8702319575</v>
      </c>
      <c r="O2728" s="14" t="n">
        <v>1000563.187387205</v>
      </c>
      <c r="P2728" s="14" t="n">
        <v>200639.9392464432</v>
      </c>
      <c r="Q2728" s="14" t="n">
        <v>5799707.240389745</v>
      </c>
      <c r="R2728" s="15">
        <f>IF(D2728=1,"Section 1","Control")</f>
        <v/>
      </c>
      <c r="S2728" s="16">
        <f>N2728/10000</f>
        <v/>
      </c>
      <c r="T2728" s="16">
        <f>P2728/10000</f>
        <v/>
      </c>
      <c r="U2728" s="15">
        <f>IF(N2728&gt;=Summary!$D$3,1,0)</f>
        <v/>
      </c>
      <c r="V2728" s="17">
        <f>IF(N2728&gt;0,P2728/N2728,"")</f>
        <v/>
      </c>
      <c r="W2728" s="17">
        <f>IF(O2728&gt;0,H2728/O2728,"")</f>
        <v/>
      </c>
    </row>
    <row r="2729">
      <c r="A2729" s="13" t="inlineStr">
        <is>
          <t>CW07_B2</t>
        </is>
      </c>
      <c r="B2729" s="13" t="inlineStr">
        <is>
          <t>CW07</t>
        </is>
      </c>
      <c r="C2729" s="13" t="inlineStr">
        <is>
          <t>B2</t>
        </is>
      </c>
      <c r="D2729" s="13" t="n">
        <v>0</v>
      </c>
      <c r="E2729" s="13" t="inlineStr">
        <is>
          <t>W</t>
        </is>
      </c>
      <c r="F2729" s="13" t="n">
        <v>2024</v>
      </c>
      <c r="G2729" s="14" t="n">
        <v>1000563.187387205</v>
      </c>
      <c r="H2729" s="14" t="n">
        <v>714246.6716706818</v>
      </c>
      <c r="I2729" s="14" t="n">
        <v>116119.7230839449</v>
      </c>
      <c r="J2729" s="14" t="n">
        <v>0</v>
      </c>
      <c r="K2729" s="14" t="n">
        <v>170196.7926325779</v>
      </c>
      <c r="L2729" s="14" t="n">
        <v>0</v>
      </c>
      <c r="M2729" s="14" t="n">
        <v>0</v>
      </c>
      <c r="N2729" s="14" t="n">
        <v>814728.8702319575</v>
      </c>
      <c r="O2729" s="14" t="n">
        <v>1000563.187387205</v>
      </c>
      <c r="P2729" s="14" t="n">
        <v>148748.4948874679</v>
      </c>
      <c r="Q2729" s="14" t="n">
        <v>5799707.240389745</v>
      </c>
      <c r="R2729" s="15">
        <f>IF(D2729=1,"Section 1","Control")</f>
        <v/>
      </c>
      <c r="S2729" s="16">
        <f>N2729/10000</f>
        <v/>
      </c>
      <c r="T2729" s="16">
        <f>P2729/10000</f>
        <v/>
      </c>
      <c r="U2729" s="15">
        <f>IF(N2729&gt;=Summary!$D$3,1,0)</f>
        <v/>
      </c>
      <c r="V2729" s="17">
        <f>IF(N2729&gt;0,P2729/N2729,"")</f>
        <v/>
      </c>
      <c r="W2729" s="17">
        <f>IF(O2729&gt;0,H2729/O2729,"")</f>
        <v/>
      </c>
    </row>
    <row r="2730">
      <c r="A2730" s="13" t="inlineStr">
        <is>
          <t>CW07_B2</t>
        </is>
      </c>
      <c r="B2730" s="13" t="inlineStr">
        <is>
          <t>CW07</t>
        </is>
      </c>
      <c r="C2730" s="13" t="inlineStr">
        <is>
          <t>B2</t>
        </is>
      </c>
      <c r="D2730" s="13" t="n">
        <v>0</v>
      </c>
      <c r="E2730" s="13" t="inlineStr">
        <is>
          <t>W</t>
        </is>
      </c>
      <c r="F2730" s="13" t="n">
        <v>2025</v>
      </c>
      <c r="G2730" s="14" t="n">
        <v>1000563.187387205</v>
      </c>
      <c r="H2730" s="14" t="n">
        <v>577776.6189332252</v>
      </c>
      <c r="I2730" s="14" t="n">
        <v>339311.3682424508</v>
      </c>
      <c r="J2730" s="14" t="n">
        <v>0</v>
      </c>
      <c r="K2730" s="14" t="n">
        <v>83475.20021152872</v>
      </c>
      <c r="L2730" s="14" t="n">
        <v>0</v>
      </c>
      <c r="M2730" s="14" t="n">
        <v>0</v>
      </c>
      <c r="N2730" s="14" t="n">
        <v>814728.8702319575</v>
      </c>
      <c r="O2730" s="14" t="n">
        <v>1000563.187387205</v>
      </c>
      <c r="P2730" s="14" t="n">
        <v>237643.3589342304</v>
      </c>
      <c r="Q2730" s="14" t="n">
        <v>5799707.240389745</v>
      </c>
      <c r="R2730" s="15">
        <f>IF(D2730=1,"Section 1","Control")</f>
        <v/>
      </c>
      <c r="S2730" s="16">
        <f>N2730/10000</f>
        <v/>
      </c>
      <c r="T2730" s="16">
        <f>P2730/10000</f>
        <v/>
      </c>
      <c r="U2730" s="15">
        <f>IF(N2730&gt;=Summary!$D$3,1,0)</f>
        <v/>
      </c>
      <c r="V2730" s="17">
        <f>IF(N2730&gt;0,P2730/N2730,"")</f>
        <v/>
      </c>
      <c r="W2730" s="17">
        <f>IF(O2730&gt;0,H2730/O2730,"")</f>
        <v/>
      </c>
    </row>
    <row r="2731">
      <c r="A2731" s="13" t="inlineStr">
        <is>
          <t>CW07_B2</t>
        </is>
      </c>
      <c r="B2731" s="13" t="inlineStr">
        <is>
          <t>CW07</t>
        </is>
      </c>
      <c r="C2731" s="13" t="inlineStr">
        <is>
          <t>B2</t>
        </is>
      </c>
      <c r="D2731" s="13" t="n">
        <v>0</v>
      </c>
      <c r="E2731" s="13" t="inlineStr">
        <is>
          <t>W</t>
        </is>
      </c>
      <c r="F2731" s="13" t="n">
        <v>2026</v>
      </c>
      <c r="G2731" s="14" t="n">
        <v>1000563.187387205</v>
      </c>
      <c r="H2731" s="14" t="n">
        <v>643142.0651323505</v>
      </c>
      <c r="I2731" s="14" t="n">
        <v>193377.6548358693</v>
      </c>
      <c r="J2731" s="14" t="n">
        <v>0</v>
      </c>
      <c r="K2731" s="14" t="n">
        <v>164043.4674189848</v>
      </c>
      <c r="L2731" s="14" t="n">
        <v>0</v>
      </c>
      <c r="M2731" s="14" t="n">
        <v>0</v>
      </c>
      <c r="N2731" s="14" t="n">
        <v>814728.8702319575</v>
      </c>
      <c r="O2731" s="14" t="n">
        <v>1000563.187387205</v>
      </c>
      <c r="P2731" s="14" t="n">
        <v>183189.2497650445</v>
      </c>
      <c r="Q2731" s="14" t="n">
        <v>5799707.240389744</v>
      </c>
      <c r="R2731" s="15">
        <f>IF(D2731=1,"Section 1","Control")</f>
        <v/>
      </c>
      <c r="S2731" s="16">
        <f>N2731/10000</f>
        <v/>
      </c>
      <c r="T2731" s="16">
        <f>P2731/10000</f>
        <v/>
      </c>
      <c r="U2731" s="15">
        <f>IF(N2731&gt;=Summary!$D$3,1,0)</f>
        <v/>
      </c>
      <c r="V2731" s="17">
        <f>IF(N2731&gt;0,P2731/N2731,"")</f>
        <v/>
      </c>
      <c r="W2731" s="17">
        <f>IF(O2731&gt;0,H2731/O2731,"")</f>
        <v/>
      </c>
    </row>
    <row r="2732">
      <c r="A2732" s="13" t="inlineStr">
        <is>
          <t>CW07_B3</t>
        </is>
      </c>
      <c r="B2732" s="13" t="inlineStr">
        <is>
          <t>CW07</t>
        </is>
      </c>
      <c r="C2732" s="13" t="inlineStr">
        <is>
          <t>B3</t>
        </is>
      </c>
      <c r="D2732" s="13" t="n">
        <v>0</v>
      </c>
      <c r="E2732" s="13" t="inlineStr">
        <is>
          <t>W</t>
        </is>
      </c>
      <c r="F2732" s="13" t="n">
        <v>2020</v>
      </c>
      <c r="G2732" s="14" t="n">
        <v>8002810.252455409</v>
      </c>
      <c r="H2732" s="14" t="n">
        <v>3350411.773473971</v>
      </c>
      <c r="I2732" s="14" t="n">
        <v>820108.8278956694</v>
      </c>
      <c r="J2732" s="14" t="n">
        <v>0</v>
      </c>
      <c r="K2732" s="14" t="n">
        <v>441727.0525476195</v>
      </c>
      <c r="L2732" s="14" t="n">
        <v>3390562.598538149</v>
      </c>
      <c r="M2732" s="14" t="n">
        <v>0</v>
      </c>
      <c r="N2732" s="14" t="n">
        <v>3350411.773473971</v>
      </c>
      <c r="O2732" s="14" t="n">
        <v>4612247.65391726</v>
      </c>
      <c r="P2732" s="14" t="n">
        <v>0</v>
      </c>
      <c r="Q2732" s="14" t="n">
        <v>19531525.85906977</v>
      </c>
      <c r="R2732" s="15">
        <f>IF(D2732=1,"Section 1","Control")</f>
        <v/>
      </c>
      <c r="S2732" s="16">
        <f>N2732/10000</f>
        <v/>
      </c>
      <c r="T2732" s="16">
        <f>P2732/10000</f>
        <v/>
      </c>
      <c r="U2732" s="15">
        <f>IF(N2732&gt;=Summary!$D$3,1,0)</f>
        <v/>
      </c>
      <c r="V2732" s="17">
        <f>IF(N2732&gt;0,P2732/N2732,"")</f>
        <v/>
      </c>
      <c r="W2732" s="17">
        <f>IF(O2732&gt;0,H2732/O2732,"")</f>
        <v/>
      </c>
    </row>
    <row r="2733">
      <c r="A2733" s="13" t="inlineStr">
        <is>
          <t>CW07_B3</t>
        </is>
      </c>
      <c r="B2733" s="13" t="inlineStr">
        <is>
          <t>CW07</t>
        </is>
      </c>
      <c r="C2733" s="13" t="inlineStr">
        <is>
          <t>B3</t>
        </is>
      </c>
      <c r="D2733" s="13" t="n">
        <v>0</v>
      </c>
      <c r="E2733" s="13" t="inlineStr">
        <is>
          <t>W</t>
        </is>
      </c>
      <c r="F2733" s="13" t="n">
        <v>2021</v>
      </c>
      <c r="G2733" s="14" t="n">
        <v>8002810.252455408</v>
      </c>
      <c r="H2733" s="14" t="n">
        <v>3072106.09082845</v>
      </c>
      <c r="I2733" s="14" t="n">
        <v>860034.705733505</v>
      </c>
      <c r="J2733" s="14" t="n">
        <v>0</v>
      </c>
      <c r="K2733" s="14" t="n">
        <v>704840.1659573723</v>
      </c>
      <c r="L2733" s="14" t="n">
        <v>3365829.289936081</v>
      </c>
      <c r="M2733" s="14" t="n">
        <v>0</v>
      </c>
      <c r="N2733" s="14" t="n">
        <v>3350411.773473971</v>
      </c>
      <c r="O2733" s="14" t="n">
        <v>4612247.65391726</v>
      </c>
      <c r="P2733" s="14" t="n">
        <v>400025.0646042469</v>
      </c>
      <c r="Q2733" s="14" t="n">
        <v>19531525.85906977</v>
      </c>
      <c r="R2733" s="15">
        <f>IF(D2733=1,"Section 1","Control")</f>
        <v/>
      </c>
      <c r="S2733" s="16">
        <f>N2733/10000</f>
        <v/>
      </c>
      <c r="T2733" s="16">
        <f>P2733/10000</f>
        <v/>
      </c>
      <c r="U2733" s="15">
        <f>IF(N2733&gt;=Summary!$D$3,1,0)</f>
        <v/>
      </c>
      <c r="V2733" s="17">
        <f>IF(N2733&gt;0,P2733/N2733,"")</f>
        <v/>
      </c>
      <c r="W2733" s="17">
        <f>IF(O2733&gt;0,H2733/O2733,"")</f>
        <v/>
      </c>
    </row>
    <row r="2734">
      <c r="A2734" s="13" t="inlineStr">
        <is>
          <t>CW07_B3</t>
        </is>
      </c>
      <c r="B2734" s="13" t="inlineStr">
        <is>
          <t>CW07</t>
        </is>
      </c>
      <c r="C2734" s="13" t="inlineStr">
        <is>
          <t>B3</t>
        </is>
      </c>
      <c r="D2734" s="13" t="n">
        <v>0</v>
      </c>
      <c r="E2734" s="13" t="inlineStr">
        <is>
          <t>W</t>
        </is>
      </c>
      <c r="F2734" s="13" t="n">
        <v>2022</v>
      </c>
      <c r="G2734" s="14" t="n">
        <v>8002810.25245541</v>
      </c>
      <c r="H2734" s="14" t="n">
        <v>3113566.292465599</v>
      </c>
      <c r="I2734" s="14" t="n">
        <v>777945.8877027025</v>
      </c>
      <c r="J2734" s="14" t="n">
        <v>0</v>
      </c>
      <c r="K2734" s="14" t="n">
        <v>730305.6991046083</v>
      </c>
      <c r="L2734" s="14" t="n">
        <v>3380992.3731825</v>
      </c>
      <c r="M2734" s="14" t="n">
        <v>0</v>
      </c>
      <c r="N2734" s="14" t="n">
        <v>3350411.773473971</v>
      </c>
      <c r="O2734" s="14" t="n">
        <v>4612247.65391726</v>
      </c>
      <c r="P2734" s="14" t="n">
        <v>403589.9840610878</v>
      </c>
      <c r="Q2734" s="14" t="n">
        <v>19531525.85906977</v>
      </c>
      <c r="R2734" s="15">
        <f>IF(D2734=1,"Section 1","Control")</f>
        <v/>
      </c>
      <c r="S2734" s="16">
        <f>N2734/10000</f>
        <v/>
      </c>
      <c r="T2734" s="16">
        <f>P2734/10000</f>
        <v/>
      </c>
      <c r="U2734" s="15">
        <f>IF(N2734&gt;=Summary!$D$3,1,0)</f>
        <v/>
      </c>
      <c r="V2734" s="17">
        <f>IF(N2734&gt;0,P2734/N2734,"")</f>
        <v/>
      </c>
      <c r="W2734" s="17">
        <f>IF(O2734&gt;0,H2734/O2734,"")</f>
        <v/>
      </c>
    </row>
    <row r="2735">
      <c r="A2735" s="13" t="inlineStr">
        <is>
          <t>CW07_B3</t>
        </is>
      </c>
      <c r="B2735" s="13" t="inlineStr">
        <is>
          <t>CW07</t>
        </is>
      </c>
      <c r="C2735" s="13" t="inlineStr">
        <is>
          <t>B3</t>
        </is>
      </c>
      <c r="D2735" s="13" t="n">
        <v>0</v>
      </c>
      <c r="E2735" s="13" t="inlineStr">
        <is>
          <t>W</t>
        </is>
      </c>
      <c r="F2735" s="13" t="n">
        <v>2023</v>
      </c>
      <c r="G2735" s="14" t="n">
        <v>8002810.252455409</v>
      </c>
      <c r="H2735" s="14" t="n">
        <v>3119520.336486368</v>
      </c>
      <c r="I2735" s="14" t="n">
        <v>713435.3171609915</v>
      </c>
      <c r="J2735" s="14" t="n">
        <v>0</v>
      </c>
      <c r="K2735" s="14" t="n">
        <v>723301.6021343457</v>
      </c>
      <c r="L2735" s="14" t="n">
        <v>3446552.996673705</v>
      </c>
      <c r="M2735" s="14" t="n">
        <v>0</v>
      </c>
      <c r="N2735" s="14" t="n">
        <v>3350411.773473971</v>
      </c>
      <c r="O2735" s="14" t="n">
        <v>4612247.65391726</v>
      </c>
      <c r="P2735" s="14" t="n">
        <v>455634.5878512215</v>
      </c>
      <c r="Q2735" s="14" t="n">
        <v>19531525.85906977</v>
      </c>
      <c r="R2735" s="15">
        <f>IF(D2735=1,"Section 1","Control")</f>
        <v/>
      </c>
      <c r="S2735" s="16">
        <f>N2735/10000</f>
        <v/>
      </c>
      <c r="T2735" s="16">
        <f>P2735/10000</f>
        <v/>
      </c>
      <c r="U2735" s="15">
        <f>IF(N2735&gt;=Summary!$D$3,1,0)</f>
        <v/>
      </c>
      <c r="V2735" s="17">
        <f>IF(N2735&gt;0,P2735/N2735,"")</f>
        <v/>
      </c>
      <c r="W2735" s="17">
        <f>IF(O2735&gt;0,H2735/O2735,"")</f>
        <v/>
      </c>
    </row>
    <row r="2736">
      <c r="A2736" s="13" t="inlineStr">
        <is>
          <t>CW07_B3</t>
        </is>
      </c>
      <c r="B2736" s="13" t="inlineStr">
        <is>
          <t>CW07</t>
        </is>
      </c>
      <c r="C2736" s="13" t="inlineStr">
        <is>
          <t>B3</t>
        </is>
      </c>
      <c r="D2736" s="13" t="n">
        <v>0</v>
      </c>
      <c r="E2736" s="13" t="inlineStr">
        <is>
          <t>W</t>
        </is>
      </c>
      <c r="F2736" s="13" t="n">
        <v>2024</v>
      </c>
      <c r="G2736" s="14" t="n">
        <v>8002810.252455408</v>
      </c>
      <c r="H2736" s="14" t="n">
        <v>3379376.910521204</v>
      </c>
      <c r="I2736" s="14" t="n">
        <v>490147.0861473233</v>
      </c>
      <c r="J2736" s="14" t="n">
        <v>0</v>
      </c>
      <c r="K2736" s="14" t="n">
        <v>686406.6854632208</v>
      </c>
      <c r="L2736" s="14" t="n">
        <v>3446879.570323661</v>
      </c>
      <c r="M2736" s="14" t="n">
        <v>0</v>
      </c>
      <c r="N2736" s="14" t="n">
        <v>3350411.773473971</v>
      </c>
      <c r="O2736" s="14" t="n">
        <v>4612247.65391726</v>
      </c>
      <c r="P2736" s="14" t="n">
        <v>340035.1782890768</v>
      </c>
      <c r="Q2736" s="14" t="n">
        <v>19531525.85906977</v>
      </c>
      <c r="R2736" s="15">
        <f>IF(D2736=1,"Section 1","Control")</f>
        <v/>
      </c>
      <c r="S2736" s="16">
        <f>N2736/10000</f>
        <v/>
      </c>
      <c r="T2736" s="16">
        <f>P2736/10000</f>
        <v/>
      </c>
      <c r="U2736" s="15">
        <f>IF(N2736&gt;=Summary!$D$3,1,0)</f>
        <v/>
      </c>
      <c r="V2736" s="17">
        <f>IF(N2736&gt;0,P2736/N2736,"")</f>
        <v/>
      </c>
      <c r="W2736" s="17">
        <f>IF(O2736&gt;0,H2736/O2736,"")</f>
        <v/>
      </c>
    </row>
    <row r="2737">
      <c r="A2737" s="13" t="inlineStr">
        <is>
          <t>CW07_B3</t>
        </is>
      </c>
      <c r="B2737" s="13" t="inlineStr">
        <is>
          <t>CW07</t>
        </is>
      </c>
      <c r="C2737" s="13" t="inlineStr">
        <is>
          <t>B3</t>
        </is>
      </c>
      <c r="D2737" s="13" t="n">
        <v>0</v>
      </c>
      <c r="E2737" s="13" t="inlineStr">
        <is>
          <t>W</t>
        </is>
      </c>
      <c r="F2737" s="13" t="n">
        <v>2025</v>
      </c>
      <c r="G2737" s="14" t="n">
        <v>8002810.252455408</v>
      </c>
      <c r="H2737" s="14" t="n">
        <v>3144063.595947775</v>
      </c>
      <c r="I2737" s="14" t="n">
        <v>779678.5365467146</v>
      </c>
      <c r="J2737" s="14" t="n">
        <v>0</v>
      </c>
      <c r="K2737" s="14" t="n">
        <v>651158.1789782954</v>
      </c>
      <c r="L2737" s="14" t="n">
        <v>3427909.940982625</v>
      </c>
      <c r="M2737" s="14" t="n">
        <v>0</v>
      </c>
      <c r="N2737" s="14" t="n">
        <v>3350411.773473971</v>
      </c>
      <c r="O2737" s="14" t="n">
        <v>4612247.65391726</v>
      </c>
      <c r="P2737" s="14" t="n">
        <v>555273.6580571793</v>
      </c>
      <c r="Q2737" s="14" t="n">
        <v>19531525.85906977</v>
      </c>
      <c r="R2737" s="15">
        <f>IF(D2737=1,"Section 1","Control")</f>
        <v/>
      </c>
      <c r="S2737" s="16">
        <f>N2737/10000</f>
        <v/>
      </c>
      <c r="T2737" s="16">
        <f>P2737/10000</f>
        <v/>
      </c>
      <c r="U2737" s="15">
        <f>IF(N2737&gt;=Summary!$D$3,1,0)</f>
        <v/>
      </c>
      <c r="V2737" s="17">
        <f>IF(N2737&gt;0,P2737/N2737,"")</f>
        <v/>
      </c>
      <c r="W2737" s="17">
        <f>IF(O2737&gt;0,H2737/O2737,"")</f>
        <v/>
      </c>
    </row>
    <row r="2738">
      <c r="A2738" s="13" t="inlineStr">
        <is>
          <t>CW07_B3</t>
        </is>
      </c>
      <c r="B2738" s="13" t="inlineStr">
        <is>
          <t>CW07</t>
        </is>
      </c>
      <c r="C2738" s="13" t="inlineStr">
        <is>
          <t>B3</t>
        </is>
      </c>
      <c r="D2738" s="13" t="n">
        <v>0</v>
      </c>
      <c r="E2738" s="13" t="inlineStr">
        <is>
          <t>W</t>
        </is>
      </c>
      <c r="F2738" s="13" t="n">
        <v>2026</v>
      </c>
      <c r="G2738" s="14" t="n">
        <v>8002810.252455408</v>
      </c>
      <c r="H2738" s="14" t="n">
        <v>3145163.444681803</v>
      </c>
      <c r="I2738" s="14" t="n">
        <v>608267.5216555129</v>
      </c>
      <c r="J2738" s="14" t="n">
        <v>0</v>
      </c>
      <c r="K2738" s="14" t="n">
        <v>762850.186112258</v>
      </c>
      <c r="L2738" s="14" t="n">
        <v>3486529.100005836</v>
      </c>
      <c r="M2738" s="14" t="n">
        <v>0</v>
      </c>
      <c r="N2738" s="14" t="n">
        <v>3350411.773473971</v>
      </c>
      <c r="O2738" s="14" t="n">
        <v>4612247.65391726</v>
      </c>
      <c r="P2738" s="14" t="n">
        <v>462123.1702635522</v>
      </c>
      <c r="Q2738" s="14" t="n">
        <v>19531525.85906977</v>
      </c>
      <c r="R2738" s="15">
        <f>IF(D2738=1,"Section 1","Control")</f>
        <v/>
      </c>
      <c r="S2738" s="16">
        <f>N2738/10000</f>
        <v/>
      </c>
      <c r="T2738" s="16">
        <f>P2738/10000</f>
        <v/>
      </c>
      <c r="U2738" s="15">
        <f>IF(N2738&gt;=Summary!$D$3,1,0)</f>
        <v/>
      </c>
      <c r="V2738" s="17">
        <f>IF(N2738&gt;0,P2738/N2738,"")</f>
        <v/>
      </c>
      <c r="W2738" s="17">
        <f>IF(O2738&gt;0,H2738/O2738,"")</f>
        <v/>
      </c>
    </row>
    <row r="2739">
      <c r="A2739" s="13" t="inlineStr">
        <is>
          <t>CW07_F</t>
        </is>
      </c>
      <c r="B2739" s="13" t="inlineStr">
        <is>
          <t>CW07</t>
        </is>
      </c>
      <c r="C2739" s="13" t="inlineStr">
        <is>
          <t>F</t>
        </is>
      </c>
      <c r="D2739" s="13" t="n">
        <v>0</v>
      </c>
      <c r="E2739" s="13" t="inlineStr">
        <is>
          <t>W</t>
        </is>
      </c>
      <c r="F2739" s="13" t="n">
        <v>2020</v>
      </c>
      <c r="G2739" s="14" t="n">
        <v>69203.3897790647</v>
      </c>
      <c r="H2739" s="14" t="n">
        <v>45176.44106594909</v>
      </c>
      <c r="I2739" s="14" t="n">
        <v>14367.46338500977</v>
      </c>
      <c r="J2739" s="14" t="n">
        <v>0</v>
      </c>
      <c r="K2739" s="14" t="n">
        <v>9659.485328105851</v>
      </c>
      <c r="L2739" s="14" t="n">
        <v>0</v>
      </c>
      <c r="M2739" s="14" t="n">
        <v>0</v>
      </c>
      <c r="N2739" s="14" t="n">
        <v>45176.44106594909</v>
      </c>
      <c r="O2739" s="14" t="n">
        <v>69203.3897790647</v>
      </c>
      <c r="P2739" s="14" t="n">
        <v>0</v>
      </c>
      <c r="Q2739" s="14" t="n">
        <v>572273.2118494371</v>
      </c>
      <c r="R2739" s="15">
        <f>IF(D2739=1,"Section 1","Control")</f>
        <v/>
      </c>
      <c r="S2739" s="16">
        <f>N2739/10000</f>
        <v/>
      </c>
      <c r="T2739" s="16">
        <f>P2739/10000</f>
        <v/>
      </c>
      <c r="U2739" s="15">
        <f>IF(N2739&gt;=Summary!$D$3,1,0)</f>
        <v/>
      </c>
      <c r="V2739" s="17">
        <f>IF(N2739&gt;0,P2739/N2739,"")</f>
        <v/>
      </c>
      <c r="W2739" s="17">
        <f>IF(O2739&gt;0,H2739/O2739,"")</f>
        <v/>
      </c>
    </row>
    <row r="2740">
      <c r="A2740" s="13" t="inlineStr">
        <is>
          <t>CW07_F</t>
        </is>
      </c>
      <c r="B2740" s="13" t="inlineStr">
        <is>
          <t>CW07</t>
        </is>
      </c>
      <c r="C2740" s="13" t="inlineStr">
        <is>
          <t>F</t>
        </is>
      </c>
      <c r="D2740" s="13" t="n">
        <v>0</v>
      </c>
      <c r="E2740" s="13" t="inlineStr">
        <is>
          <t>W</t>
        </is>
      </c>
      <c r="F2740" s="13" t="n">
        <v>2021</v>
      </c>
      <c r="G2740" s="14" t="n">
        <v>69203.3897790647</v>
      </c>
      <c r="H2740" s="14" t="n">
        <v>38594.17553860533</v>
      </c>
      <c r="I2740" s="14" t="n">
        <v>7177.731004124062</v>
      </c>
      <c r="J2740" s="14" t="n">
        <v>0</v>
      </c>
      <c r="K2740" s="14" t="n">
        <v>23431.48323633531</v>
      </c>
      <c r="L2740" s="14" t="n">
        <v>0</v>
      </c>
      <c r="M2740" s="14" t="n">
        <v>0</v>
      </c>
      <c r="N2740" s="14" t="n">
        <v>45176.44106594909</v>
      </c>
      <c r="O2740" s="14" t="n">
        <v>69203.3897790647</v>
      </c>
      <c r="P2740" s="14" t="n">
        <v>10259.98490720263</v>
      </c>
      <c r="Q2740" s="14" t="n">
        <v>572273.2118494371</v>
      </c>
      <c r="R2740" s="15">
        <f>IF(D2740=1,"Section 1","Control")</f>
        <v/>
      </c>
      <c r="S2740" s="16">
        <f>N2740/10000</f>
        <v/>
      </c>
      <c r="T2740" s="16">
        <f>P2740/10000</f>
        <v/>
      </c>
      <c r="U2740" s="15">
        <f>IF(N2740&gt;=Summary!$D$3,1,0)</f>
        <v/>
      </c>
      <c r="V2740" s="17">
        <f>IF(N2740&gt;0,P2740/N2740,"")</f>
        <v/>
      </c>
      <c r="W2740" s="17">
        <f>IF(O2740&gt;0,H2740/O2740,"")</f>
        <v/>
      </c>
    </row>
    <row r="2741">
      <c r="A2741" s="13" t="inlineStr">
        <is>
          <t>CW07_F</t>
        </is>
      </c>
      <c r="B2741" s="13" t="inlineStr">
        <is>
          <t>CW07</t>
        </is>
      </c>
      <c r="C2741" s="13" t="inlineStr">
        <is>
          <t>F</t>
        </is>
      </c>
      <c r="D2741" s="13" t="n">
        <v>0</v>
      </c>
      <c r="E2741" s="13" t="inlineStr">
        <is>
          <t>W</t>
        </is>
      </c>
      <c r="F2741" s="13" t="n">
        <v>2022</v>
      </c>
      <c r="G2741" s="14" t="n">
        <v>69203.3897790647</v>
      </c>
      <c r="H2741" s="14" t="n">
        <v>34619.88481684666</v>
      </c>
      <c r="I2741" s="14" t="n">
        <v>13066.18719446519</v>
      </c>
      <c r="J2741" s="14" t="n">
        <v>0</v>
      </c>
      <c r="K2741" s="14" t="n">
        <v>21517.31776775285</v>
      </c>
      <c r="L2741" s="14" t="n">
        <v>0</v>
      </c>
      <c r="M2741" s="14" t="n">
        <v>0</v>
      </c>
      <c r="N2741" s="14" t="n">
        <v>45176.44106594909</v>
      </c>
      <c r="O2741" s="14" t="n">
        <v>69203.3897790647</v>
      </c>
      <c r="P2741" s="14" t="n">
        <v>14058.88880860572</v>
      </c>
      <c r="Q2741" s="14" t="n">
        <v>572273.2118494371</v>
      </c>
      <c r="R2741" s="15">
        <f>IF(D2741=1,"Section 1","Control")</f>
        <v/>
      </c>
      <c r="S2741" s="16">
        <f>N2741/10000</f>
        <v/>
      </c>
      <c r="T2741" s="16">
        <f>P2741/10000</f>
        <v/>
      </c>
      <c r="U2741" s="15">
        <f>IF(N2741&gt;=Summary!$D$3,1,0)</f>
        <v/>
      </c>
      <c r="V2741" s="17">
        <f>IF(N2741&gt;0,P2741/N2741,"")</f>
        <v/>
      </c>
      <c r="W2741" s="17">
        <f>IF(O2741&gt;0,H2741/O2741,"")</f>
        <v/>
      </c>
    </row>
    <row r="2742">
      <c r="A2742" s="13" t="inlineStr">
        <is>
          <t>CW07_F</t>
        </is>
      </c>
      <c r="B2742" s="13" t="inlineStr">
        <is>
          <t>CW07</t>
        </is>
      </c>
      <c r="C2742" s="13" t="inlineStr">
        <is>
          <t>F</t>
        </is>
      </c>
      <c r="D2742" s="13" t="n">
        <v>0</v>
      </c>
      <c r="E2742" s="13" t="inlineStr">
        <is>
          <t>W</t>
        </is>
      </c>
      <c r="F2742" s="13" t="n">
        <v>2023</v>
      </c>
      <c r="G2742" s="14" t="n">
        <v>69203.3897790647</v>
      </c>
      <c r="H2742" s="14" t="n">
        <v>29233.58693066765</v>
      </c>
      <c r="I2742" s="14" t="n">
        <v>20945.07977273978</v>
      </c>
      <c r="J2742" s="14" t="n">
        <v>0</v>
      </c>
      <c r="K2742" s="14" t="n">
        <v>19024.72307565726</v>
      </c>
      <c r="L2742" s="14" t="n">
        <v>0</v>
      </c>
      <c r="M2742" s="14" t="n">
        <v>0</v>
      </c>
      <c r="N2742" s="14" t="n">
        <v>45176.44106594909</v>
      </c>
      <c r="O2742" s="14" t="n">
        <v>69203.3897790647</v>
      </c>
      <c r="P2742" s="14" t="n">
        <v>18083.51267218496</v>
      </c>
      <c r="Q2742" s="14" t="n">
        <v>572273.2118494372</v>
      </c>
      <c r="R2742" s="15">
        <f>IF(D2742=1,"Section 1","Control")</f>
        <v/>
      </c>
      <c r="S2742" s="16">
        <f>N2742/10000</f>
        <v/>
      </c>
      <c r="T2742" s="16">
        <f>P2742/10000</f>
        <v/>
      </c>
      <c r="U2742" s="15">
        <f>IF(N2742&gt;=Summary!$D$3,1,0)</f>
        <v/>
      </c>
      <c r="V2742" s="17">
        <f>IF(N2742&gt;0,P2742/N2742,"")</f>
        <v/>
      </c>
      <c r="W2742" s="17">
        <f>IF(O2742&gt;0,H2742/O2742,"")</f>
        <v/>
      </c>
    </row>
    <row r="2743">
      <c r="A2743" s="13" t="inlineStr">
        <is>
          <t>CW07_F</t>
        </is>
      </c>
      <c r="B2743" s="13" t="inlineStr">
        <is>
          <t>CW07</t>
        </is>
      </c>
      <c r="C2743" s="13" t="inlineStr">
        <is>
          <t>F</t>
        </is>
      </c>
      <c r="D2743" s="13" t="n">
        <v>0</v>
      </c>
      <c r="E2743" s="13" t="inlineStr">
        <is>
          <t>W</t>
        </is>
      </c>
      <c r="F2743" s="13" t="n">
        <v>2024</v>
      </c>
      <c r="G2743" s="14" t="n">
        <v>69203.3897790647</v>
      </c>
      <c r="H2743" s="14" t="n">
        <v>25638.33674068077</v>
      </c>
      <c r="I2743" s="14" t="n">
        <v>26317.05071043126</v>
      </c>
      <c r="J2743" s="14" t="n">
        <v>0</v>
      </c>
      <c r="K2743" s="14" t="n">
        <v>17248.00232795266</v>
      </c>
      <c r="L2743" s="14" t="n">
        <v>0</v>
      </c>
      <c r="M2743" s="14" t="n">
        <v>0</v>
      </c>
      <c r="N2743" s="14" t="n">
        <v>45176.44106594909</v>
      </c>
      <c r="O2743" s="14" t="n">
        <v>69203.3897790647</v>
      </c>
      <c r="P2743" s="14" t="n">
        <v>21591.65014818977</v>
      </c>
      <c r="Q2743" s="14" t="n">
        <v>572273.2118494371</v>
      </c>
      <c r="R2743" s="15">
        <f>IF(D2743=1,"Section 1","Control")</f>
        <v/>
      </c>
      <c r="S2743" s="16">
        <f>N2743/10000</f>
        <v/>
      </c>
      <c r="T2743" s="16">
        <f>P2743/10000</f>
        <v/>
      </c>
      <c r="U2743" s="15">
        <f>IF(N2743&gt;=Summary!$D$3,1,0)</f>
        <v/>
      </c>
      <c r="V2743" s="17">
        <f>IF(N2743&gt;0,P2743/N2743,"")</f>
        <v/>
      </c>
      <c r="W2743" s="17">
        <f>IF(O2743&gt;0,H2743/O2743,"")</f>
        <v/>
      </c>
    </row>
    <row r="2744">
      <c r="A2744" s="13" t="inlineStr">
        <is>
          <t>CW07_F</t>
        </is>
      </c>
      <c r="B2744" s="13" t="inlineStr">
        <is>
          <t>CW07</t>
        </is>
      </c>
      <c r="C2744" s="13" t="inlineStr">
        <is>
          <t>F</t>
        </is>
      </c>
      <c r="D2744" s="13" t="n">
        <v>0</v>
      </c>
      <c r="E2744" s="13" t="inlineStr">
        <is>
          <t>W</t>
        </is>
      </c>
      <c r="F2744" s="13" t="n">
        <v>2025</v>
      </c>
      <c r="G2744" s="14" t="n">
        <v>69203.3897790647</v>
      </c>
      <c r="H2744" s="14" t="n">
        <v>25581.03470084994</v>
      </c>
      <c r="I2744" s="14" t="n">
        <v>33777.80301519656</v>
      </c>
      <c r="J2744" s="14" t="n">
        <v>0</v>
      </c>
      <c r="K2744" s="14" t="n">
        <v>9844.5520630182</v>
      </c>
      <c r="L2744" s="14" t="n">
        <v>0</v>
      </c>
      <c r="M2744" s="14" t="n">
        <v>0</v>
      </c>
      <c r="N2744" s="14" t="n">
        <v>45176.44106594909</v>
      </c>
      <c r="O2744" s="14" t="n">
        <v>69203.3897790647</v>
      </c>
      <c r="P2744" s="14" t="n">
        <v>22224.67218463374</v>
      </c>
      <c r="Q2744" s="14" t="n">
        <v>572273.2118494372</v>
      </c>
      <c r="R2744" s="15">
        <f>IF(D2744=1,"Section 1","Control")</f>
        <v/>
      </c>
      <c r="S2744" s="16">
        <f>N2744/10000</f>
        <v/>
      </c>
      <c r="T2744" s="16">
        <f>P2744/10000</f>
        <v/>
      </c>
      <c r="U2744" s="15">
        <f>IF(N2744&gt;=Summary!$D$3,1,0)</f>
        <v/>
      </c>
      <c r="V2744" s="17">
        <f>IF(N2744&gt;0,P2744/N2744,"")</f>
        <v/>
      </c>
      <c r="W2744" s="17">
        <f>IF(O2744&gt;0,H2744/O2744,"")</f>
        <v/>
      </c>
    </row>
    <row r="2745">
      <c r="A2745" s="13" t="inlineStr">
        <is>
          <t>CW07_F</t>
        </is>
      </c>
      <c r="B2745" s="13" t="inlineStr">
        <is>
          <t>CW07</t>
        </is>
      </c>
      <c r="C2745" s="13" t="inlineStr">
        <is>
          <t>F</t>
        </is>
      </c>
      <c r="D2745" s="13" t="n">
        <v>0</v>
      </c>
      <c r="E2745" s="13" t="inlineStr">
        <is>
          <t>W</t>
        </is>
      </c>
      <c r="F2745" s="13" t="n">
        <v>2026</v>
      </c>
      <c r="G2745" s="14" t="n">
        <v>69203.3897790647</v>
      </c>
      <c r="H2745" s="14" t="n">
        <v>37462.86969463872</v>
      </c>
      <c r="I2745" s="14" t="n">
        <v>11471.82410619399</v>
      </c>
      <c r="J2745" s="14" t="n">
        <v>0</v>
      </c>
      <c r="K2745" s="14" t="n">
        <v>20268.69597823199</v>
      </c>
      <c r="L2745" s="14" t="n">
        <v>0</v>
      </c>
      <c r="M2745" s="14" t="n">
        <v>0</v>
      </c>
      <c r="N2745" s="14" t="n">
        <v>45176.44106594909</v>
      </c>
      <c r="O2745" s="14" t="n">
        <v>69203.3897790647</v>
      </c>
      <c r="P2745" s="14" t="n">
        <v>15629.24559421913</v>
      </c>
      <c r="Q2745" s="14" t="n">
        <v>572273.2118494372</v>
      </c>
      <c r="R2745" s="15">
        <f>IF(D2745=1,"Section 1","Control")</f>
        <v/>
      </c>
      <c r="S2745" s="16">
        <f>N2745/10000</f>
        <v/>
      </c>
      <c r="T2745" s="16">
        <f>P2745/10000</f>
        <v/>
      </c>
      <c r="U2745" s="15">
        <f>IF(N2745&gt;=Summary!$D$3,1,0)</f>
        <v/>
      </c>
      <c r="V2745" s="17">
        <f>IF(N2745&gt;0,P2745/N2745,"")</f>
        <v/>
      </c>
      <c r="W2745" s="17">
        <f>IF(O2745&gt;0,H2745/O2745,"")</f>
        <v/>
      </c>
    </row>
    <row r="2746">
      <c r="A2746" s="13" t="inlineStr">
        <is>
          <t>CW08_B1</t>
        </is>
      </c>
      <c r="B2746" s="13" t="inlineStr">
        <is>
          <t>CW08</t>
        </is>
      </c>
      <c r="C2746" s="13" t="inlineStr">
        <is>
          <t>B1</t>
        </is>
      </c>
      <c r="D2746" s="13" t="n">
        <v>0</v>
      </c>
      <c r="E2746" s="13" t="inlineStr">
        <is>
          <t>W</t>
        </is>
      </c>
      <c r="F2746" s="13" t="n">
        <v>2020</v>
      </c>
      <c r="G2746" s="14" t="n">
        <v>975752.67101231</v>
      </c>
      <c r="H2746" s="14" t="n">
        <v>717443.3611369113</v>
      </c>
      <c r="I2746" s="14" t="n">
        <v>128550.8806501202</v>
      </c>
      <c r="J2746" s="14" t="n">
        <v>0</v>
      </c>
      <c r="K2746" s="14" t="n">
        <v>129758.4292252784</v>
      </c>
      <c r="L2746" s="14" t="n">
        <v>0</v>
      </c>
      <c r="M2746" s="14" t="n">
        <v>0</v>
      </c>
      <c r="N2746" s="14" t="n">
        <v>717443.3611369113</v>
      </c>
      <c r="O2746" s="14" t="n">
        <v>975752.67101231</v>
      </c>
      <c r="P2746" s="14" t="n">
        <v>0</v>
      </c>
      <c r="Q2746" s="14" t="n">
        <v>7926464.650523586</v>
      </c>
      <c r="R2746" s="15">
        <f>IF(D2746=1,"Section 1","Control")</f>
        <v/>
      </c>
      <c r="S2746" s="16">
        <f>N2746/10000</f>
        <v/>
      </c>
      <c r="T2746" s="16">
        <f>P2746/10000</f>
        <v/>
      </c>
      <c r="U2746" s="15">
        <f>IF(N2746&gt;=Summary!$D$3,1,0)</f>
        <v/>
      </c>
      <c r="V2746" s="17">
        <f>IF(N2746&gt;0,P2746/N2746,"")</f>
        <v/>
      </c>
      <c r="W2746" s="17">
        <f>IF(O2746&gt;0,H2746/O2746,"")</f>
        <v/>
      </c>
    </row>
    <row r="2747">
      <c r="A2747" s="13" t="inlineStr">
        <is>
          <t>CW08_B1</t>
        </is>
      </c>
      <c r="B2747" s="13" t="inlineStr">
        <is>
          <t>CW08</t>
        </is>
      </c>
      <c r="C2747" s="13" t="inlineStr">
        <is>
          <t>B1</t>
        </is>
      </c>
      <c r="D2747" s="13" t="n">
        <v>0</v>
      </c>
      <c r="E2747" s="13" t="inlineStr">
        <is>
          <t>W</t>
        </is>
      </c>
      <c r="F2747" s="13" t="n">
        <v>2021</v>
      </c>
      <c r="G2747" s="14" t="n">
        <v>975752.67101231</v>
      </c>
      <c r="H2747" s="14" t="n">
        <v>669197.7655414954</v>
      </c>
      <c r="I2747" s="14" t="n">
        <v>95594.22275585101</v>
      </c>
      <c r="J2747" s="14" t="n">
        <v>0</v>
      </c>
      <c r="K2747" s="14" t="n">
        <v>210960.6827149634</v>
      </c>
      <c r="L2747" s="14" t="n">
        <v>0</v>
      </c>
      <c r="M2747" s="14" t="n">
        <v>0</v>
      </c>
      <c r="N2747" s="14" t="n">
        <v>717443.3611369113</v>
      </c>
      <c r="O2747" s="14" t="n">
        <v>975752.67101231</v>
      </c>
      <c r="P2747" s="14" t="n">
        <v>58078.53903730804</v>
      </c>
      <c r="Q2747" s="14" t="n">
        <v>7926464.650523586</v>
      </c>
      <c r="R2747" s="15">
        <f>IF(D2747=1,"Section 1","Control")</f>
        <v/>
      </c>
      <c r="S2747" s="16">
        <f>N2747/10000</f>
        <v/>
      </c>
      <c r="T2747" s="16">
        <f>P2747/10000</f>
        <v/>
      </c>
      <c r="U2747" s="15">
        <f>IF(N2747&gt;=Summary!$D$3,1,0)</f>
        <v/>
      </c>
      <c r="V2747" s="17">
        <f>IF(N2747&gt;0,P2747/N2747,"")</f>
        <v/>
      </c>
      <c r="W2747" s="17">
        <f>IF(O2747&gt;0,H2747/O2747,"")</f>
        <v/>
      </c>
    </row>
    <row r="2748">
      <c r="A2748" s="13" t="inlineStr">
        <is>
          <t>CW08_B1</t>
        </is>
      </c>
      <c r="B2748" s="13" t="inlineStr">
        <is>
          <t>CW08</t>
        </is>
      </c>
      <c r="C2748" s="13" t="inlineStr">
        <is>
          <t>B1</t>
        </is>
      </c>
      <c r="D2748" s="13" t="n">
        <v>0</v>
      </c>
      <c r="E2748" s="13" t="inlineStr">
        <is>
          <t>W</t>
        </is>
      </c>
      <c r="F2748" s="13" t="n">
        <v>2022</v>
      </c>
      <c r="G2748" s="14" t="n">
        <v>975752.67101231</v>
      </c>
      <c r="H2748" s="14" t="n">
        <v>626864.6141282024</v>
      </c>
      <c r="I2748" s="14" t="n">
        <v>131210.8292190552</v>
      </c>
      <c r="J2748" s="14" t="n">
        <v>0</v>
      </c>
      <c r="K2748" s="14" t="n">
        <v>217677.2276650523</v>
      </c>
      <c r="L2748" s="14" t="n">
        <v>0</v>
      </c>
      <c r="M2748" s="14" t="n">
        <v>0</v>
      </c>
      <c r="N2748" s="14" t="n">
        <v>717443.3611369113</v>
      </c>
      <c r="O2748" s="14" t="n">
        <v>975752.67101231</v>
      </c>
      <c r="P2748" s="14" t="n">
        <v>97574.12184657676</v>
      </c>
      <c r="Q2748" s="14" t="n">
        <v>7926464.650523586</v>
      </c>
      <c r="R2748" s="15">
        <f>IF(D2748=1,"Section 1","Control")</f>
        <v/>
      </c>
      <c r="S2748" s="16">
        <f>N2748/10000</f>
        <v/>
      </c>
      <c r="T2748" s="16">
        <f>P2748/10000</f>
        <v/>
      </c>
      <c r="U2748" s="15">
        <f>IF(N2748&gt;=Summary!$D$3,1,0)</f>
        <v/>
      </c>
      <c r="V2748" s="17">
        <f>IF(N2748&gt;0,P2748/N2748,"")</f>
        <v/>
      </c>
      <c r="W2748" s="17">
        <f>IF(O2748&gt;0,H2748/O2748,"")</f>
        <v/>
      </c>
    </row>
    <row r="2749">
      <c r="A2749" s="13" t="inlineStr">
        <is>
          <t>CW08_B1</t>
        </is>
      </c>
      <c r="B2749" s="13" t="inlineStr">
        <is>
          <t>CW08</t>
        </is>
      </c>
      <c r="C2749" s="13" t="inlineStr">
        <is>
          <t>B1</t>
        </is>
      </c>
      <c r="D2749" s="13" t="n">
        <v>0</v>
      </c>
      <c r="E2749" s="13" t="inlineStr">
        <is>
          <t>W</t>
        </is>
      </c>
      <c r="F2749" s="13" t="n">
        <v>2023</v>
      </c>
      <c r="G2749" s="14" t="n">
        <v>975752.67101231</v>
      </c>
      <c r="H2749" s="14" t="n">
        <v>618294.6246412388</v>
      </c>
      <c r="I2749" s="14" t="n">
        <v>167418.1723999622</v>
      </c>
      <c r="J2749" s="14" t="n">
        <v>0</v>
      </c>
      <c r="K2749" s="14" t="n">
        <v>190039.8739711088</v>
      </c>
      <c r="L2749" s="14" t="n">
        <v>0</v>
      </c>
      <c r="M2749" s="14" t="n">
        <v>0</v>
      </c>
      <c r="N2749" s="14" t="n">
        <v>717443.3611369113</v>
      </c>
      <c r="O2749" s="14" t="n">
        <v>975752.67101231</v>
      </c>
      <c r="P2749" s="14" t="n">
        <v>107467.4662829829</v>
      </c>
      <c r="Q2749" s="14" t="n">
        <v>7926464.650523585</v>
      </c>
      <c r="R2749" s="15">
        <f>IF(D2749=1,"Section 1","Control")</f>
        <v/>
      </c>
      <c r="S2749" s="16">
        <f>N2749/10000</f>
        <v/>
      </c>
      <c r="T2749" s="16">
        <f>P2749/10000</f>
        <v/>
      </c>
      <c r="U2749" s="15">
        <f>IF(N2749&gt;=Summary!$D$3,1,0)</f>
        <v/>
      </c>
      <c r="V2749" s="17">
        <f>IF(N2749&gt;0,P2749/N2749,"")</f>
        <v/>
      </c>
      <c r="W2749" s="17">
        <f>IF(O2749&gt;0,H2749/O2749,"")</f>
        <v/>
      </c>
    </row>
    <row r="2750">
      <c r="A2750" s="13" t="inlineStr">
        <is>
          <t>CW08_B1</t>
        </is>
      </c>
      <c r="B2750" s="13" t="inlineStr">
        <is>
          <t>CW08</t>
        </is>
      </c>
      <c r="C2750" s="13" t="inlineStr">
        <is>
          <t>B1</t>
        </is>
      </c>
      <c r="D2750" s="13" t="n">
        <v>0</v>
      </c>
      <c r="E2750" s="13" t="inlineStr">
        <is>
          <t>W</t>
        </is>
      </c>
      <c r="F2750" s="13" t="n">
        <v>2024</v>
      </c>
      <c r="G2750" s="14" t="n">
        <v>975752.67101231</v>
      </c>
      <c r="H2750" s="14" t="n">
        <v>618986.5216590432</v>
      </c>
      <c r="I2750" s="14" t="n">
        <v>177889.1804853551</v>
      </c>
      <c r="J2750" s="14" t="n">
        <v>0</v>
      </c>
      <c r="K2750" s="14" t="n">
        <v>178876.9688679115</v>
      </c>
      <c r="L2750" s="14" t="n">
        <v>0</v>
      </c>
      <c r="M2750" s="14" t="n">
        <v>0</v>
      </c>
      <c r="N2750" s="14" t="n">
        <v>717443.3611369113</v>
      </c>
      <c r="O2750" s="14" t="n">
        <v>975752.67101231</v>
      </c>
      <c r="P2750" s="14" t="n">
        <v>111221.4440031463</v>
      </c>
      <c r="Q2750" s="14" t="n">
        <v>7926464.650523586</v>
      </c>
      <c r="R2750" s="15">
        <f>IF(D2750=1,"Section 1","Control")</f>
        <v/>
      </c>
      <c r="S2750" s="16">
        <f>N2750/10000</f>
        <v/>
      </c>
      <c r="T2750" s="16">
        <f>P2750/10000</f>
        <v/>
      </c>
      <c r="U2750" s="15">
        <f>IF(N2750&gt;=Summary!$D$3,1,0)</f>
        <v/>
      </c>
      <c r="V2750" s="17">
        <f>IF(N2750&gt;0,P2750/N2750,"")</f>
        <v/>
      </c>
      <c r="W2750" s="17">
        <f>IF(O2750&gt;0,H2750/O2750,"")</f>
        <v/>
      </c>
    </row>
    <row r="2751">
      <c r="A2751" s="13" t="inlineStr">
        <is>
          <t>CW08_B1</t>
        </is>
      </c>
      <c r="B2751" s="13" t="inlineStr">
        <is>
          <t>CW08</t>
        </is>
      </c>
      <c r="C2751" s="13" t="inlineStr">
        <is>
          <t>B1</t>
        </is>
      </c>
      <c r="D2751" s="13" t="n">
        <v>0</v>
      </c>
      <c r="E2751" s="13" t="inlineStr">
        <is>
          <t>W</t>
        </is>
      </c>
      <c r="F2751" s="13" t="n">
        <v>2025</v>
      </c>
      <c r="G2751" s="14" t="n">
        <v>975752.67101231</v>
      </c>
      <c r="H2751" s="14" t="n">
        <v>587367.514195341</v>
      </c>
      <c r="I2751" s="14" t="n">
        <v>252942.4553725897</v>
      </c>
      <c r="J2751" s="14" t="n">
        <v>0</v>
      </c>
      <c r="K2751" s="14" t="n">
        <v>135442.7014443791</v>
      </c>
      <c r="L2751" s="14" t="n">
        <v>0</v>
      </c>
      <c r="M2751" s="14" t="n">
        <v>0</v>
      </c>
      <c r="N2751" s="14" t="n">
        <v>717443.3611369113</v>
      </c>
      <c r="O2751" s="14" t="n">
        <v>975752.67101231</v>
      </c>
      <c r="P2751" s="14" t="n">
        <v>144684.1403063307</v>
      </c>
      <c r="Q2751" s="14" t="n">
        <v>7926464.650523586</v>
      </c>
      <c r="R2751" s="15">
        <f>IF(D2751=1,"Section 1","Control")</f>
        <v/>
      </c>
      <c r="S2751" s="16">
        <f>N2751/10000</f>
        <v/>
      </c>
      <c r="T2751" s="16">
        <f>P2751/10000</f>
        <v/>
      </c>
      <c r="U2751" s="15">
        <f>IF(N2751&gt;=Summary!$D$3,1,0)</f>
        <v/>
      </c>
      <c r="V2751" s="17">
        <f>IF(N2751&gt;0,P2751/N2751,"")</f>
        <v/>
      </c>
      <c r="W2751" s="17">
        <f>IF(O2751&gt;0,H2751/O2751,"")</f>
        <v/>
      </c>
    </row>
    <row r="2752">
      <c r="A2752" s="13" t="inlineStr">
        <is>
          <t>CW08_B1</t>
        </is>
      </c>
      <c r="B2752" s="13" t="inlineStr">
        <is>
          <t>CW08</t>
        </is>
      </c>
      <c r="C2752" s="13" t="inlineStr">
        <is>
          <t>B1</t>
        </is>
      </c>
      <c r="D2752" s="13" t="n">
        <v>0</v>
      </c>
      <c r="E2752" s="13" t="inlineStr">
        <is>
          <t>W</t>
        </is>
      </c>
      <c r="F2752" s="13" t="n">
        <v>2026</v>
      </c>
      <c r="G2752" s="14" t="n">
        <v>975752.67101231</v>
      </c>
      <c r="H2752" s="14" t="n">
        <v>633390.7261389638</v>
      </c>
      <c r="I2752" s="14" t="n">
        <v>144440.4319000244</v>
      </c>
      <c r="J2752" s="14" t="n">
        <v>0</v>
      </c>
      <c r="K2752" s="14" t="n">
        <v>197921.5129733217</v>
      </c>
      <c r="L2752" s="14" t="n">
        <v>0</v>
      </c>
      <c r="M2752" s="14" t="n">
        <v>0</v>
      </c>
      <c r="N2752" s="14" t="n">
        <v>717443.3611369113</v>
      </c>
      <c r="O2752" s="14" t="n">
        <v>975752.67101231</v>
      </c>
      <c r="P2752" s="14" t="n">
        <v>119005.9136263978</v>
      </c>
      <c r="Q2752" s="14" t="n">
        <v>7926464.650523586</v>
      </c>
      <c r="R2752" s="15">
        <f>IF(D2752=1,"Section 1","Control")</f>
        <v/>
      </c>
      <c r="S2752" s="16">
        <f>N2752/10000</f>
        <v/>
      </c>
      <c r="T2752" s="16">
        <f>P2752/10000</f>
        <v/>
      </c>
      <c r="U2752" s="15">
        <f>IF(N2752&gt;=Summary!$D$3,1,0)</f>
        <v/>
      </c>
      <c r="V2752" s="17">
        <f>IF(N2752&gt;0,P2752/N2752,"")</f>
        <v/>
      </c>
      <c r="W2752" s="17">
        <f>IF(O2752&gt;0,H2752/O2752,"")</f>
        <v/>
      </c>
    </row>
    <row r="2753">
      <c r="A2753" s="13" t="inlineStr">
        <is>
          <t>CW08_B2</t>
        </is>
      </c>
      <c r="B2753" s="13" t="inlineStr">
        <is>
          <t>CW08</t>
        </is>
      </c>
      <c r="C2753" s="13" t="inlineStr">
        <is>
          <t>B2</t>
        </is>
      </c>
      <c r="D2753" s="13" t="n">
        <v>0</v>
      </c>
      <c r="E2753" s="13" t="inlineStr">
        <is>
          <t>W</t>
        </is>
      </c>
      <c r="F2753" s="13" t="n">
        <v>2020</v>
      </c>
      <c r="G2753" s="14" t="n">
        <v>975773.4459052292</v>
      </c>
      <c r="H2753" s="14" t="n">
        <v>811220.5707486918</v>
      </c>
      <c r="I2753" s="14" t="n">
        <v>146958.5267932667</v>
      </c>
      <c r="J2753" s="14" t="n">
        <v>0</v>
      </c>
      <c r="K2753" s="14" t="n">
        <v>17594.34836327048</v>
      </c>
      <c r="L2753" s="14" t="n">
        <v>0</v>
      </c>
      <c r="M2753" s="14" t="n">
        <v>0</v>
      </c>
      <c r="N2753" s="14" t="n">
        <v>811220.5707486918</v>
      </c>
      <c r="O2753" s="14" t="n">
        <v>975773.4459052292</v>
      </c>
      <c r="P2753" s="14" t="n">
        <v>0</v>
      </c>
      <c r="Q2753" s="14" t="n">
        <v>5773920.041321669</v>
      </c>
      <c r="R2753" s="15">
        <f>IF(D2753=1,"Section 1","Control")</f>
        <v/>
      </c>
      <c r="S2753" s="16">
        <f>N2753/10000</f>
        <v/>
      </c>
      <c r="T2753" s="16">
        <f>P2753/10000</f>
        <v/>
      </c>
      <c r="U2753" s="15">
        <f>IF(N2753&gt;=Summary!$D$3,1,0)</f>
        <v/>
      </c>
      <c r="V2753" s="17">
        <f>IF(N2753&gt;0,P2753/N2753,"")</f>
        <v/>
      </c>
      <c r="W2753" s="17">
        <f>IF(O2753&gt;0,H2753/O2753,"")</f>
        <v/>
      </c>
    </row>
    <row r="2754">
      <c r="A2754" s="13" t="inlineStr">
        <is>
          <t>CW08_B2</t>
        </is>
      </c>
      <c r="B2754" s="13" t="inlineStr">
        <is>
          <t>CW08</t>
        </is>
      </c>
      <c r="C2754" s="13" t="inlineStr">
        <is>
          <t>B2</t>
        </is>
      </c>
      <c r="D2754" s="13" t="n">
        <v>0</v>
      </c>
      <c r="E2754" s="13" t="inlineStr">
        <is>
          <t>W</t>
        </is>
      </c>
      <c r="F2754" s="13" t="n">
        <v>2021</v>
      </c>
      <c r="G2754" s="14" t="n">
        <v>975773.4459052292</v>
      </c>
      <c r="H2754" s="14" t="n">
        <v>733016.1293939329</v>
      </c>
      <c r="I2754" s="14" t="n">
        <v>182401.9361855601</v>
      </c>
      <c r="J2754" s="14" t="n">
        <v>0</v>
      </c>
      <c r="K2754" s="14" t="n">
        <v>60355.38032573626</v>
      </c>
      <c r="L2754" s="14" t="n">
        <v>0</v>
      </c>
      <c r="M2754" s="14" t="n">
        <v>0</v>
      </c>
      <c r="N2754" s="14" t="n">
        <v>811220.5707486919</v>
      </c>
      <c r="O2754" s="14" t="n">
        <v>975773.4459052292</v>
      </c>
      <c r="P2754" s="14" t="n">
        <v>89658.95785642137</v>
      </c>
      <c r="Q2754" s="14" t="n">
        <v>5773920.041321669</v>
      </c>
      <c r="R2754" s="15">
        <f>IF(D2754=1,"Section 1","Control")</f>
        <v/>
      </c>
      <c r="S2754" s="16">
        <f>N2754/10000</f>
        <v/>
      </c>
      <c r="T2754" s="16">
        <f>P2754/10000</f>
        <v/>
      </c>
      <c r="U2754" s="15">
        <f>IF(N2754&gt;=Summary!$D$3,1,0)</f>
        <v/>
      </c>
      <c r="V2754" s="17">
        <f>IF(N2754&gt;0,P2754/N2754,"")</f>
        <v/>
      </c>
      <c r="W2754" s="17">
        <f>IF(O2754&gt;0,H2754/O2754,"")</f>
        <v/>
      </c>
    </row>
    <row r="2755">
      <c r="A2755" s="13" t="inlineStr">
        <is>
          <t>CW08_B2</t>
        </is>
      </c>
      <c r="B2755" s="13" t="inlineStr">
        <is>
          <t>CW08</t>
        </is>
      </c>
      <c r="C2755" s="13" t="inlineStr">
        <is>
          <t>B2</t>
        </is>
      </c>
      <c r="D2755" s="13" t="n">
        <v>0</v>
      </c>
      <c r="E2755" s="13" t="inlineStr">
        <is>
          <t>W</t>
        </is>
      </c>
      <c r="F2755" s="13" t="n">
        <v>2022</v>
      </c>
      <c r="G2755" s="14" t="n">
        <v>975773.4459052292</v>
      </c>
      <c r="H2755" s="14" t="n">
        <v>659625.9618313359</v>
      </c>
      <c r="I2755" s="14" t="n">
        <v>222583.109629762</v>
      </c>
      <c r="J2755" s="14" t="n">
        <v>0</v>
      </c>
      <c r="K2755" s="14" t="n">
        <v>93564.3744441313</v>
      </c>
      <c r="L2755" s="14" t="n">
        <v>0</v>
      </c>
      <c r="M2755" s="14" t="n">
        <v>0</v>
      </c>
      <c r="N2755" s="14" t="n">
        <v>811220.5707486919</v>
      </c>
      <c r="O2755" s="14" t="n">
        <v>975773.4459052292</v>
      </c>
      <c r="P2755" s="14" t="n">
        <v>154062.8389283424</v>
      </c>
      <c r="Q2755" s="14" t="n">
        <v>5773920.041321669</v>
      </c>
      <c r="R2755" s="15">
        <f>IF(D2755=1,"Section 1","Control")</f>
        <v/>
      </c>
      <c r="S2755" s="16">
        <f>N2755/10000</f>
        <v/>
      </c>
      <c r="T2755" s="16">
        <f>P2755/10000</f>
        <v/>
      </c>
      <c r="U2755" s="15">
        <f>IF(N2755&gt;=Summary!$D$3,1,0)</f>
        <v/>
      </c>
      <c r="V2755" s="17">
        <f>IF(N2755&gt;0,P2755/N2755,"")</f>
        <v/>
      </c>
      <c r="W2755" s="17">
        <f>IF(O2755&gt;0,H2755/O2755,"")</f>
        <v/>
      </c>
    </row>
    <row r="2756">
      <c r="A2756" s="13" t="inlineStr">
        <is>
          <t>CW08_B2</t>
        </is>
      </c>
      <c r="B2756" s="13" t="inlineStr">
        <is>
          <t>CW08</t>
        </is>
      </c>
      <c r="C2756" s="13" t="inlineStr">
        <is>
          <t>B2</t>
        </is>
      </c>
      <c r="D2756" s="13" t="n">
        <v>0</v>
      </c>
      <c r="E2756" s="13" t="inlineStr">
        <is>
          <t>W</t>
        </is>
      </c>
      <c r="F2756" s="13" t="n">
        <v>2023</v>
      </c>
      <c r="G2756" s="14" t="n">
        <v>975773.4459052292</v>
      </c>
      <c r="H2756" s="14" t="n">
        <v>653695.1990378287</v>
      </c>
      <c r="I2756" s="14" t="n">
        <v>227378.6806047627</v>
      </c>
      <c r="J2756" s="14" t="n">
        <v>0</v>
      </c>
      <c r="K2756" s="14" t="n">
        <v>94699.56626263788</v>
      </c>
      <c r="L2756" s="14" t="n">
        <v>0</v>
      </c>
      <c r="M2756" s="14" t="n">
        <v>0</v>
      </c>
      <c r="N2756" s="14" t="n">
        <v>811220.5707486919</v>
      </c>
      <c r="O2756" s="14" t="n">
        <v>975773.4459052292</v>
      </c>
      <c r="P2756" s="14" t="n">
        <v>161462.1464859608</v>
      </c>
      <c r="Q2756" s="14" t="n">
        <v>5773920.041321669</v>
      </c>
      <c r="R2756" s="15">
        <f>IF(D2756=1,"Section 1","Control")</f>
        <v/>
      </c>
      <c r="S2756" s="16">
        <f>N2756/10000</f>
        <v/>
      </c>
      <c r="T2756" s="16">
        <f>P2756/10000</f>
        <v/>
      </c>
      <c r="U2756" s="15">
        <f>IF(N2756&gt;=Summary!$D$3,1,0)</f>
        <v/>
      </c>
      <c r="V2756" s="17">
        <f>IF(N2756&gt;0,P2756/N2756,"")</f>
        <v/>
      </c>
      <c r="W2756" s="17">
        <f>IF(O2756&gt;0,H2756/O2756,"")</f>
        <v/>
      </c>
    </row>
    <row r="2757">
      <c r="A2757" s="13" t="inlineStr">
        <is>
          <t>CW08_B2</t>
        </is>
      </c>
      <c r="B2757" s="13" t="inlineStr">
        <is>
          <t>CW08</t>
        </is>
      </c>
      <c r="C2757" s="13" t="inlineStr">
        <is>
          <t>B2</t>
        </is>
      </c>
      <c r="D2757" s="13" t="n">
        <v>0</v>
      </c>
      <c r="E2757" s="13" t="inlineStr">
        <is>
          <t>W</t>
        </is>
      </c>
      <c r="F2757" s="13" t="n">
        <v>2024</v>
      </c>
      <c r="G2757" s="14" t="n">
        <v>975773.4459052292</v>
      </c>
      <c r="H2757" s="14" t="n">
        <v>763093.4635587805</v>
      </c>
      <c r="I2757" s="14" t="n">
        <v>127138.2186367558</v>
      </c>
      <c r="J2757" s="14" t="n">
        <v>0</v>
      </c>
      <c r="K2757" s="14" t="n">
        <v>85541.76370969287</v>
      </c>
      <c r="L2757" s="14" t="n">
        <v>0</v>
      </c>
      <c r="M2757" s="14" t="n">
        <v>0</v>
      </c>
      <c r="N2757" s="14" t="n">
        <v>811220.5707486919</v>
      </c>
      <c r="O2757" s="14" t="n">
        <v>975773.4459052292</v>
      </c>
      <c r="P2757" s="14" t="n">
        <v>92026.84775905234</v>
      </c>
      <c r="Q2757" s="14" t="n">
        <v>5773920.041321669</v>
      </c>
      <c r="R2757" s="15">
        <f>IF(D2757=1,"Section 1","Control")</f>
        <v/>
      </c>
      <c r="S2757" s="16">
        <f>N2757/10000</f>
        <v/>
      </c>
      <c r="T2757" s="16">
        <f>P2757/10000</f>
        <v/>
      </c>
      <c r="U2757" s="15">
        <f>IF(N2757&gt;=Summary!$D$3,1,0)</f>
        <v/>
      </c>
      <c r="V2757" s="17">
        <f>IF(N2757&gt;0,P2757/N2757,"")</f>
        <v/>
      </c>
      <c r="W2757" s="17">
        <f>IF(O2757&gt;0,H2757/O2757,"")</f>
        <v/>
      </c>
    </row>
    <row r="2758">
      <c r="A2758" s="13" t="inlineStr">
        <is>
          <t>CW08_B2</t>
        </is>
      </c>
      <c r="B2758" s="13" t="inlineStr">
        <is>
          <t>CW08</t>
        </is>
      </c>
      <c r="C2758" s="13" t="inlineStr">
        <is>
          <t>B2</t>
        </is>
      </c>
      <c r="D2758" s="13" t="n">
        <v>0</v>
      </c>
      <c r="E2758" s="13" t="inlineStr">
        <is>
          <t>W</t>
        </is>
      </c>
      <c r="F2758" s="13" t="n">
        <v>2025</v>
      </c>
      <c r="G2758" s="14" t="n">
        <v>975773.4459052292</v>
      </c>
      <c r="H2758" s="14" t="n">
        <v>581150.5985737221</v>
      </c>
      <c r="I2758" s="14" t="n">
        <v>355299.166625079</v>
      </c>
      <c r="J2758" s="14" t="n">
        <v>0</v>
      </c>
      <c r="K2758" s="14" t="n">
        <v>39323.68070642808</v>
      </c>
      <c r="L2758" s="14" t="n">
        <v>0</v>
      </c>
      <c r="M2758" s="14" t="n">
        <v>0</v>
      </c>
      <c r="N2758" s="14" t="n">
        <v>811220.5707486919</v>
      </c>
      <c r="O2758" s="14" t="n">
        <v>975773.4459052292</v>
      </c>
      <c r="P2758" s="14" t="n">
        <v>231585.3716686473</v>
      </c>
      <c r="Q2758" s="14" t="n">
        <v>5773920.041321669</v>
      </c>
      <c r="R2758" s="15">
        <f>IF(D2758=1,"Section 1","Control")</f>
        <v/>
      </c>
      <c r="S2758" s="16">
        <f>N2758/10000</f>
        <v/>
      </c>
      <c r="T2758" s="16">
        <f>P2758/10000</f>
        <v/>
      </c>
      <c r="U2758" s="15">
        <f>IF(N2758&gt;=Summary!$D$3,1,0)</f>
        <v/>
      </c>
      <c r="V2758" s="17">
        <f>IF(N2758&gt;0,P2758/N2758,"")</f>
        <v/>
      </c>
      <c r="W2758" s="17">
        <f>IF(O2758&gt;0,H2758/O2758,"")</f>
        <v/>
      </c>
    </row>
    <row r="2759">
      <c r="A2759" s="13" t="inlineStr">
        <is>
          <t>CW08_B2</t>
        </is>
      </c>
      <c r="B2759" s="13" t="inlineStr">
        <is>
          <t>CW08</t>
        </is>
      </c>
      <c r="C2759" s="13" t="inlineStr">
        <is>
          <t>B2</t>
        </is>
      </c>
      <c r="D2759" s="13" t="n">
        <v>0</v>
      </c>
      <c r="E2759" s="13" t="inlineStr">
        <is>
          <t>W</t>
        </is>
      </c>
      <c r="F2759" s="13" t="n">
        <v>2026</v>
      </c>
      <c r="G2759" s="14" t="n">
        <v>975773.4459052292</v>
      </c>
      <c r="H2759" s="14" t="n">
        <v>654806.4678404564</v>
      </c>
      <c r="I2759" s="14" t="n">
        <v>162627.7219358856</v>
      </c>
      <c r="J2759" s="14" t="n">
        <v>0</v>
      </c>
      <c r="K2759" s="14" t="n">
        <v>158339.2561288871</v>
      </c>
      <c r="L2759" s="14" t="n">
        <v>0</v>
      </c>
      <c r="M2759" s="14" t="n">
        <v>0</v>
      </c>
      <c r="N2759" s="14" t="n">
        <v>811220.5707486919</v>
      </c>
      <c r="O2759" s="14" t="n">
        <v>975773.4459052292</v>
      </c>
      <c r="P2759" s="14" t="n">
        <v>163304.2492179422</v>
      </c>
      <c r="Q2759" s="14" t="n">
        <v>5773920.041321669</v>
      </c>
      <c r="R2759" s="15">
        <f>IF(D2759=1,"Section 1","Control")</f>
        <v/>
      </c>
      <c r="S2759" s="16">
        <f>N2759/10000</f>
        <v/>
      </c>
      <c r="T2759" s="16">
        <f>P2759/10000</f>
        <v/>
      </c>
      <c r="U2759" s="15">
        <f>IF(N2759&gt;=Summary!$D$3,1,0)</f>
        <v/>
      </c>
      <c r="V2759" s="17">
        <f>IF(N2759&gt;0,P2759/N2759,"")</f>
        <v/>
      </c>
      <c r="W2759" s="17">
        <f>IF(O2759&gt;0,H2759/O2759,"")</f>
        <v/>
      </c>
    </row>
    <row r="2760">
      <c r="A2760" s="13" t="inlineStr">
        <is>
          <t>CW08_B3</t>
        </is>
      </c>
      <c r="B2760" s="13" t="inlineStr">
        <is>
          <t>CW08</t>
        </is>
      </c>
      <c r="C2760" s="13" t="inlineStr">
        <is>
          <t>B3</t>
        </is>
      </c>
      <c r="D2760" s="13" t="n">
        <v>0</v>
      </c>
      <c r="E2760" s="13" t="inlineStr">
        <is>
          <t>W</t>
        </is>
      </c>
      <c r="F2760" s="13" t="n">
        <v>2020</v>
      </c>
      <c r="G2760" s="14" t="n">
        <v>7806369.164884469</v>
      </c>
      <c r="H2760" s="14" t="n">
        <v>3053821.83955503</v>
      </c>
      <c r="I2760" s="14" t="n">
        <v>849699.159650915</v>
      </c>
      <c r="J2760" s="14" t="n">
        <v>0</v>
      </c>
      <c r="K2760" s="14" t="n">
        <v>241633.2342946969</v>
      </c>
      <c r="L2760" s="14" t="n">
        <v>3661214.931383829</v>
      </c>
      <c r="M2760" s="14" t="n">
        <v>0</v>
      </c>
      <c r="N2760" s="14" t="n">
        <v>3053821.83955503</v>
      </c>
      <c r="O2760" s="14" t="n">
        <v>4145154.233500641</v>
      </c>
      <c r="P2760" s="14" t="n">
        <v>0</v>
      </c>
      <c r="Q2760" s="14" t="n">
        <v>17335544.16108874</v>
      </c>
      <c r="R2760" s="15">
        <f>IF(D2760=1,"Section 1","Control")</f>
        <v/>
      </c>
      <c r="S2760" s="16">
        <f>N2760/10000</f>
        <v/>
      </c>
      <c r="T2760" s="16">
        <f>P2760/10000</f>
        <v/>
      </c>
      <c r="U2760" s="15">
        <f>IF(N2760&gt;=Summary!$D$3,1,0)</f>
        <v/>
      </c>
      <c r="V2760" s="17">
        <f>IF(N2760&gt;0,P2760/N2760,"")</f>
        <v/>
      </c>
      <c r="W2760" s="17">
        <f>IF(O2760&gt;0,H2760/O2760,"")</f>
        <v/>
      </c>
    </row>
    <row r="2761">
      <c r="A2761" s="13" t="inlineStr">
        <is>
          <t>CW08_B3</t>
        </is>
      </c>
      <c r="B2761" s="13" t="inlineStr">
        <is>
          <t>CW08</t>
        </is>
      </c>
      <c r="C2761" s="13" t="inlineStr">
        <is>
          <t>B3</t>
        </is>
      </c>
      <c r="D2761" s="13" t="n">
        <v>0</v>
      </c>
      <c r="E2761" s="13" t="inlineStr">
        <is>
          <t>W</t>
        </is>
      </c>
      <c r="F2761" s="13" t="n">
        <v>2021</v>
      </c>
      <c r="G2761" s="14" t="n">
        <v>7806369.164884469</v>
      </c>
      <c r="H2761" s="14" t="n">
        <v>2955977.275277561</v>
      </c>
      <c r="I2761" s="14" t="n">
        <v>769519.4818874284</v>
      </c>
      <c r="J2761" s="14" t="n">
        <v>0</v>
      </c>
      <c r="K2761" s="14" t="n">
        <v>464923.0689504286</v>
      </c>
      <c r="L2761" s="14" t="n">
        <v>3615949.338769054</v>
      </c>
      <c r="M2761" s="14" t="n">
        <v>0</v>
      </c>
      <c r="N2761" s="14" t="n">
        <v>3053821.83955503</v>
      </c>
      <c r="O2761" s="14" t="n">
        <v>4145154.233500641</v>
      </c>
      <c r="P2761" s="14" t="n">
        <v>298605.0503240249</v>
      </c>
      <c r="Q2761" s="14" t="n">
        <v>17335544.16108874</v>
      </c>
      <c r="R2761" s="15">
        <f>IF(D2761=1,"Section 1","Control")</f>
        <v/>
      </c>
      <c r="S2761" s="16">
        <f>N2761/10000</f>
        <v/>
      </c>
      <c r="T2761" s="16">
        <f>P2761/10000</f>
        <v/>
      </c>
      <c r="U2761" s="15">
        <f>IF(N2761&gt;=Summary!$D$3,1,0)</f>
        <v/>
      </c>
      <c r="V2761" s="17">
        <f>IF(N2761&gt;0,P2761/N2761,"")</f>
        <v/>
      </c>
      <c r="W2761" s="17">
        <f>IF(O2761&gt;0,H2761/O2761,"")</f>
        <v/>
      </c>
    </row>
    <row r="2762">
      <c r="A2762" s="13" t="inlineStr">
        <is>
          <t>CW08_B3</t>
        </is>
      </c>
      <c r="B2762" s="13" t="inlineStr">
        <is>
          <t>CW08</t>
        </is>
      </c>
      <c r="C2762" s="13" t="inlineStr">
        <is>
          <t>B3</t>
        </is>
      </c>
      <c r="D2762" s="13" t="n">
        <v>0</v>
      </c>
      <c r="E2762" s="13" t="inlineStr">
        <is>
          <t>W</t>
        </is>
      </c>
      <c r="F2762" s="13" t="n">
        <v>2022</v>
      </c>
      <c r="G2762" s="14" t="n">
        <v>7806369.164884469</v>
      </c>
      <c r="H2762" s="14" t="n">
        <v>2938490.627717769</v>
      </c>
      <c r="I2762" s="14" t="n">
        <v>778609.3518881106</v>
      </c>
      <c r="J2762" s="14" t="n">
        <v>0</v>
      </c>
      <c r="K2762" s="14" t="n">
        <v>472803.1096042408</v>
      </c>
      <c r="L2762" s="14" t="n">
        <v>3616466.075674349</v>
      </c>
      <c r="M2762" s="14" t="n">
        <v>0</v>
      </c>
      <c r="N2762" s="14" t="n">
        <v>3053821.839555031</v>
      </c>
      <c r="O2762" s="14" t="n">
        <v>4145154.233500641</v>
      </c>
      <c r="P2762" s="14" t="n">
        <v>291631.732778811</v>
      </c>
      <c r="Q2762" s="14" t="n">
        <v>17335544.16108874</v>
      </c>
      <c r="R2762" s="15">
        <f>IF(D2762=1,"Section 1","Control")</f>
        <v/>
      </c>
      <c r="S2762" s="16">
        <f>N2762/10000</f>
        <v/>
      </c>
      <c r="T2762" s="16">
        <f>P2762/10000</f>
        <v/>
      </c>
      <c r="U2762" s="15">
        <f>IF(N2762&gt;=Summary!$D$3,1,0)</f>
        <v/>
      </c>
      <c r="V2762" s="17">
        <f>IF(N2762&gt;0,P2762/N2762,"")</f>
        <v/>
      </c>
      <c r="W2762" s="17">
        <f>IF(O2762&gt;0,H2762/O2762,"")</f>
        <v/>
      </c>
    </row>
    <row r="2763">
      <c r="A2763" s="13" t="inlineStr">
        <is>
          <t>CW08_B3</t>
        </is>
      </c>
      <c r="B2763" s="13" t="inlineStr">
        <is>
          <t>CW08</t>
        </is>
      </c>
      <c r="C2763" s="13" t="inlineStr">
        <is>
          <t>B3</t>
        </is>
      </c>
      <c r="D2763" s="13" t="n">
        <v>0</v>
      </c>
      <c r="E2763" s="13" t="inlineStr">
        <is>
          <t>W</t>
        </is>
      </c>
      <c r="F2763" s="13" t="n">
        <v>2023</v>
      </c>
      <c r="G2763" s="14" t="n">
        <v>7806369.164884469</v>
      </c>
      <c r="H2763" s="14" t="n">
        <v>2897077.78219416</v>
      </c>
      <c r="I2763" s="14" t="n">
        <v>819504.1974692252</v>
      </c>
      <c r="J2763" s="14" t="n">
        <v>0</v>
      </c>
      <c r="K2763" s="14" t="n">
        <v>393629.3479959825</v>
      </c>
      <c r="L2763" s="14" t="n">
        <v>3696157.837225103</v>
      </c>
      <c r="M2763" s="14" t="n">
        <v>0</v>
      </c>
      <c r="N2763" s="14" t="n">
        <v>3053821.83955503</v>
      </c>
      <c r="O2763" s="14" t="n">
        <v>4145154.233500641</v>
      </c>
      <c r="P2763" s="14" t="n">
        <v>327107.611221134</v>
      </c>
      <c r="Q2763" s="14" t="n">
        <v>17335544.16108874</v>
      </c>
      <c r="R2763" s="15">
        <f>IF(D2763=1,"Section 1","Control")</f>
        <v/>
      </c>
      <c r="S2763" s="16">
        <f>N2763/10000</f>
        <v/>
      </c>
      <c r="T2763" s="16">
        <f>P2763/10000</f>
        <v/>
      </c>
      <c r="U2763" s="15">
        <f>IF(N2763&gt;=Summary!$D$3,1,0)</f>
        <v/>
      </c>
      <c r="V2763" s="17">
        <f>IF(N2763&gt;0,P2763/N2763,"")</f>
        <v/>
      </c>
      <c r="W2763" s="17">
        <f>IF(O2763&gt;0,H2763/O2763,"")</f>
        <v/>
      </c>
    </row>
    <row r="2764">
      <c r="A2764" s="13" t="inlineStr">
        <is>
          <t>CW08_B3</t>
        </is>
      </c>
      <c r="B2764" s="13" t="inlineStr">
        <is>
          <t>CW08</t>
        </is>
      </c>
      <c r="C2764" s="13" t="inlineStr">
        <is>
          <t>B3</t>
        </is>
      </c>
      <c r="D2764" s="13" t="n">
        <v>0</v>
      </c>
      <c r="E2764" s="13" t="inlineStr">
        <is>
          <t>W</t>
        </is>
      </c>
      <c r="F2764" s="13" t="n">
        <v>2024</v>
      </c>
      <c r="G2764" s="14" t="n">
        <v>7806369.16488447</v>
      </c>
      <c r="H2764" s="14" t="n">
        <v>3049158.251937267</v>
      </c>
      <c r="I2764" s="14" t="n">
        <v>702764.9483761955</v>
      </c>
      <c r="J2764" s="14" t="n">
        <v>0</v>
      </c>
      <c r="K2764" s="14" t="n">
        <v>376738.5246276556</v>
      </c>
      <c r="L2764" s="14" t="n">
        <v>3677707.439943351</v>
      </c>
      <c r="M2764" s="14" t="n">
        <v>0</v>
      </c>
      <c r="N2764" s="14" t="n">
        <v>3053821.83955503</v>
      </c>
      <c r="O2764" s="14" t="n">
        <v>4145154.233500641</v>
      </c>
      <c r="P2764" s="14" t="n">
        <v>242284.3232352762</v>
      </c>
      <c r="Q2764" s="14" t="n">
        <v>17335544.16108874</v>
      </c>
      <c r="R2764" s="15">
        <f>IF(D2764=1,"Section 1","Control")</f>
        <v/>
      </c>
      <c r="S2764" s="16">
        <f>N2764/10000</f>
        <v/>
      </c>
      <c r="T2764" s="16">
        <f>P2764/10000</f>
        <v/>
      </c>
      <c r="U2764" s="15">
        <f>IF(N2764&gt;=Summary!$D$3,1,0)</f>
        <v/>
      </c>
      <c r="V2764" s="17">
        <f>IF(N2764&gt;0,P2764/N2764,"")</f>
        <v/>
      </c>
      <c r="W2764" s="17">
        <f>IF(O2764&gt;0,H2764/O2764,"")</f>
        <v/>
      </c>
    </row>
    <row r="2765">
      <c r="A2765" s="13" t="inlineStr">
        <is>
          <t>CW08_B3</t>
        </is>
      </c>
      <c r="B2765" s="13" t="inlineStr">
        <is>
          <t>CW08</t>
        </is>
      </c>
      <c r="C2765" s="13" t="inlineStr">
        <is>
          <t>B3</t>
        </is>
      </c>
      <c r="D2765" s="13" t="n">
        <v>0</v>
      </c>
      <c r="E2765" s="13" t="inlineStr">
        <is>
          <t>W</t>
        </is>
      </c>
      <c r="F2765" s="13" t="n">
        <v>2025</v>
      </c>
      <c r="G2765" s="14" t="n">
        <v>7806369.164884469</v>
      </c>
      <c r="H2765" s="14" t="n">
        <v>2927512.545225375</v>
      </c>
      <c r="I2765" s="14" t="n">
        <v>890358.5403363993</v>
      </c>
      <c r="J2765" s="14" t="n">
        <v>0</v>
      </c>
      <c r="K2765" s="14" t="n">
        <v>313797.0101663626</v>
      </c>
      <c r="L2765" s="14" t="n">
        <v>3674701.069156333</v>
      </c>
      <c r="M2765" s="14" t="n">
        <v>0</v>
      </c>
      <c r="N2765" s="14" t="n">
        <v>3053821.83955503</v>
      </c>
      <c r="O2765" s="14" t="n">
        <v>4145154.233500641</v>
      </c>
      <c r="P2765" s="14" t="n">
        <v>357586.7557743447</v>
      </c>
      <c r="Q2765" s="14" t="n">
        <v>17335544.16108874</v>
      </c>
      <c r="R2765" s="15">
        <f>IF(D2765=1,"Section 1","Control")</f>
        <v/>
      </c>
      <c r="S2765" s="16">
        <f>N2765/10000</f>
        <v/>
      </c>
      <c r="T2765" s="16">
        <f>P2765/10000</f>
        <v/>
      </c>
      <c r="U2765" s="15">
        <f>IF(N2765&gt;=Summary!$D$3,1,0)</f>
        <v/>
      </c>
      <c r="V2765" s="17">
        <f>IF(N2765&gt;0,P2765/N2765,"")</f>
        <v/>
      </c>
      <c r="W2765" s="17">
        <f>IF(O2765&gt;0,H2765/O2765,"")</f>
        <v/>
      </c>
    </row>
    <row r="2766">
      <c r="A2766" s="13" t="inlineStr">
        <is>
          <t>CW08_B3</t>
        </is>
      </c>
      <c r="B2766" s="13" t="inlineStr">
        <is>
          <t>CW08</t>
        </is>
      </c>
      <c r="C2766" s="13" t="inlineStr">
        <is>
          <t>B3</t>
        </is>
      </c>
      <c r="D2766" s="13" t="n">
        <v>0</v>
      </c>
      <c r="E2766" s="13" t="inlineStr">
        <is>
          <t>W</t>
        </is>
      </c>
      <c r="F2766" s="13" t="n">
        <v>2026</v>
      </c>
      <c r="G2766" s="14" t="n">
        <v>7806369.16488447</v>
      </c>
      <c r="H2766" s="14" t="n">
        <v>3253468.699600548</v>
      </c>
      <c r="I2766" s="14" t="n">
        <v>419850.3153938144</v>
      </c>
      <c r="J2766" s="14" t="n">
        <v>0</v>
      </c>
      <c r="K2766" s="14" t="n">
        <v>393975.7385235356</v>
      </c>
      <c r="L2766" s="14" t="n">
        <v>3739074.411366572</v>
      </c>
      <c r="M2766" s="14" t="n">
        <v>0</v>
      </c>
      <c r="N2766" s="14" t="n">
        <v>3053821.83955503</v>
      </c>
      <c r="O2766" s="14" t="n">
        <v>4145154.233500641</v>
      </c>
      <c r="P2766" s="14" t="n">
        <v>198123.6750344669</v>
      </c>
      <c r="Q2766" s="14" t="n">
        <v>17335544.16108874</v>
      </c>
      <c r="R2766" s="15">
        <f>IF(D2766=1,"Section 1","Control")</f>
        <v/>
      </c>
      <c r="S2766" s="16">
        <f>N2766/10000</f>
        <v/>
      </c>
      <c r="T2766" s="16">
        <f>P2766/10000</f>
        <v/>
      </c>
      <c r="U2766" s="15">
        <f>IF(N2766&gt;=Summary!$D$3,1,0)</f>
        <v/>
      </c>
      <c r="V2766" s="17">
        <f>IF(N2766&gt;0,P2766/N2766,"")</f>
        <v/>
      </c>
      <c r="W2766" s="17">
        <f>IF(O2766&gt;0,H2766/O2766,"")</f>
        <v/>
      </c>
    </row>
    <row r="2767">
      <c r="A2767" s="13" t="inlineStr">
        <is>
          <t>CW08_F</t>
        </is>
      </c>
      <c r="B2767" s="13" t="inlineStr">
        <is>
          <t>CW08</t>
        </is>
      </c>
      <c r="C2767" s="13" t="inlineStr">
        <is>
          <t>F</t>
        </is>
      </c>
      <c r="D2767" s="13" t="n">
        <v>0</v>
      </c>
      <c r="E2767" s="13" t="inlineStr">
        <is>
          <t>W</t>
        </is>
      </c>
      <c r="F2767" s="13" t="n">
        <v>2020</v>
      </c>
      <c r="G2767" s="14" t="n">
        <v>67743.62814645207</v>
      </c>
      <c r="H2767" s="14" t="n">
        <v>36567.66175267837</v>
      </c>
      <c r="I2767" s="14" t="n">
        <v>14463.45470198089</v>
      </c>
      <c r="J2767" s="14" t="n">
        <v>0</v>
      </c>
      <c r="K2767" s="14" t="n">
        <v>16712.51169179281</v>
      </c>
      <c r="L2767" s="14" t="n">
        <v>0</v>
      </c>
      <c r="M2767" s="14" t="n">
        <v>0</v>
      </c>
      <c r="N2767" s="14" t="n">
        <v>36567.66175267837</v>
      </c>
      <c r="O2767" s="14" t="n">
        <v>67743.62814645207</v>
      </c>
      <c r="P2767" s="14" t="n">
        <v>0</v>
      </c>
      <c r="Q2767" s="14" t="n">
        <v>542339.3333156214</v>
      </c>
      <c r="R2767" s="15">
        <f>IF(D2767=1,"Section 1","Control")</f>
        <v/>
      </c>
      <c r="S2767" s="16">
        <f>N2767/10000</f>
        <v/>
      </c>
      <c r="T2767" s="16">
        <f>P2767/10000</f>
        <v/>
      </c>
      <c r="U2767" s="15">
        <f>IF(N2767&gt;=Summary!$D$3,1,0)</f>
        <v/>
      </c>
      <c r="V2767" s="17">
        <f>IF(N2767&gt;0,P2767/N2767,"")</f>
        <v/>
      </c>
      <c r="W2767" s="17">
        <f>IF(O2767&gt;0,H2767/O2767,"")</f>
        <v/>
      </c>
    </row>
    <row r="2768">
      <c r="A2768" s="13" t="inlineStr">
        <is>
          <t>CW08_F</t>
        </is>
      </c>
      <c r="B2768" s="13" t="inlineStr">
        <is>
          <t>CW08</t>
        </is>
      </c>
      <c r="C2768" s="13" t="inlineStr">
        <is>
          <t>F</t>
        </is>
      </c>
      <c r="D2768" s="13" t="n">
        <v>0</v>
      </c>
      <c r="E2768" s="13" t="inlineStr">
        <is>
          <t>W</t>
        </is>
      </c>
      <c r="F2768" s="13" t="n">
        <v>2021</v>
      </c>
      <c r="G2768" s="14" t="n">
        <v>67743.62814645207</v>
      </c>
      <c r="H2768" s="14" t="n">
        <v>28453.77225380692</v>
      </c>
      <c r="I2768" s="14" t="n">
        <v>11052.8869134342</v>
      </c>
      <c r="J2768" s="14" t="n">
        <v>0</v>
      </c>
      <c r="K2768" s="14" t="n">
        <v>28236.96897921095</v>
      </c>
      <c r="L2768" s="14" t="n">
        <v>0</v>
      </c>
      <c r="M2768" s="14" t="n">
        <v>0</v>
      </c>
      <c r="N2768" s="14" t="n">
        <v>36567.66175267837</v>
      </c>
      <c r="O2768" s="14" t="n">
        <v>67743.62814645207</v>
      </c>
      <c r="P2768" s="14" t="n">
        <v>8901.77738686356</v>
      </c>
      <c r="Q2768" s="14" t="n">
        <v>542339.3333156214</v>
      </c>
      <c r="R2768" s="15">
        <f>IF(D2768=1,"Section 1","Control")</f>
        <v/>
      </c>
      <c r="S2768" s="16">
        <f>N2768/10000</f>
        <v/>
      </c>
      <c r="T2768" s="16">
        <f>P2768/10000</f>
        <v/>
      </c>
      <c r="U2768" s="15">
        <f>IF(N2768&gt;=Summary!$D$3,1,0)</f>
        <v/>
      </c>
      <c r="V2768" s="17">
        <f>IF(N2768&gt;0,P2768/N2768,"")</f>
        <v/>
      </c>
      <c r="W2768" s="17">
        <f>IF(O2768&gt;0,H2768/O2768,"")</f>
        <v/>
      </c>
    </row>
    <row r="2769">
      <c r="A2769" s="13" t="inlineStr">
        <is>
          <t>CW08_F</t>
        </is>
      </c>
      <c r="B2769" s="13" t="inlineStr">
        <is>
          <t>CW08</t>
        </is>
      </c>
      <c r="C2769" s="13" t="inlineStr">
        <is>
          <t>F</t>
        </is>
      </c>
      <c r="D2769" s="13" t="n">
        <v>0</v>
      </c>
      <c r="E2769" s="13" t="inlineStr">
        <is>
          <t>W</t>
        </is>
      </c>
      <c r="F2769" s="13" t="n">
        <v>2022</v>
      </c>
      <c r="G2769" s="14" t="n">
        <v>67743.62814645207</v>
      </c>
      <c r="H2769" s="14" t="n">
        <v>25972.02212326947</v>
      </c>
      <c r="I2769" s="14" t="n">
        <v>14362.40432511872</v>
      </c>
      <c r="J2769" s="14" t="n">
        <v>0</v>
      </c>
      <c r="K2769" s="14" t="n">
        <v>27409.20169806388</v>
      </c>
      <c r="L2769" s="14" t="n">
        <v>0</v>
      </c>
      <c r="M2769" s="14" t="n">
        <v>0</v>
      </c>
      <c r="N2769" s="14" t="n">
        <v>36567.66175267837</v>
      </c>
      <c r="O2769" s="14" t="n">
        <v>67743.62814645207</v>
      </c>
      <c r="P2769" s="14" t="n">
        <v>11140.38582440545</v>
      </c>
      <c r="Q2769" s="14" t="n">
        <v>542339.3333156214</v>
      </c>
      <c r="R2769" s="15">
        <f>IF(D2769=1,"Section 1","Control")</f>
        <v/>
      </c>
      <c r="S2769" s="16">
        <f>N2769/10000</f>
        <v/>
      </c>
      <c r="T2769" s="16">
        <f>P2769/10000</f>
        <v/>
      </c>
      <c r="U2769" s="15">
        <f>IF(N2769&gt;=Summary!$D$3,1,0)</f>
        <v/>
      </c>
      <c r="V2769" s="17">
        <f>IF(N2769&gt;0,P2769/N2769,"")</f>
        <v/>
      </c>
      <c r="W2769" s="17">
        <f>IF(O2769&gt;0,H2769/O2769,"")</f>
        <v/>
      </c>
    </row>
    <row r="2770">
      <c r="A2770" s="13" t="inlineStr">
        <is>
          <t>CW08_F</t>
        </is>
      </c>
      <c r="B2770" s="13" t="inlineStr">
        <is>
          <t>CW08</t>
        </is>
      </c>
      <c r="C2770" s="13" t="inlineStr">
        <is>
          <t>F</t>
        </is>
      </c>
      <c r="D2770" s="13" t="n">
        <v>0</v>
      </c>
      <c r="E2770" s="13" t="inlineStr">
        <is>
          <t>W</t>
        </is>
      </c>
      <c r="F2770" s="13" t="n">
        <v>2023</v>
      </c>
      <c r="G2770" s="14" t="n">
        <v>67743.62814645207</v>
      </c>
      <c r="H2770" s="14" t="n">
        <v>25453.21737865373</v>
      </c>
      <c r="I2770" s="14" t="n">
        <v>19051.40271444882</v>
      </c>
      <c r="J2770" s="14" t="n">
        <v>0</v>
      </c>
      <c r="K2770" s="14" t="n">
        <v>23239.00805334952</v>
      </c>
      <c r="L2770" s="14" t="n">
        <v>0</v>
      </c>
      <c r="M2770" s="14" t="n">
        <v>0</v>
      </c>
      <c r="N2770" s="14" t="n">
        <v>36567.66175267837</v>
      </c>
      <c r="O2770" s="14" t="n">
        <v>67743.62814645207</v>
      </c>
      <c r="P2770" s="14" t="n">
        <v>11706.81227868772</v>
      </c>
      <c r="Q2770" s="14" t="n">
        <v>542339.3333156214</v>
      </c>
      <c r="R2770" s="15">
        <f>IF(D2770=1,"Section 1","Control")</f>
        <v/>
      </c>
      <c r="S2770" s="16">
        <f>N2770/10000</f>
        <v/>
      </c>
      <c r="T2770" s="16">
        <f>P2770/10000</f>
        <v/>
      </c>
      <c r="U2770" s="15">
        <f>IF(N2770&gt;=Summary!$D$3,1,0)</f>
        <v/>
      </c>
      <c r="V2770" s="17">
        <f>IF(N2770&gt;0,P2770/N2770,"")</f>
        <v/>
      </c>
      <c r="W2770" s="17">
        <f>IF(O2770&gt;0,H2770/O2770,"")</f>
        <v/>
      </c>
    </row>
    <row r="2771">
      <c r="A2771" s="13" t="inlineStr">
        <is>
          <t>CW08_F</t>
        </is>
      </c>
      <c r="B2771" s="13" t="inlineStr">
        <is>
          <t>CW08</t>
        </is>
      </c>
      <c r="C2771" s="13" t="inlineStr">
        <is>
          <t>F</t>
        </is>
      </c>
      <c r="D2771" s="13" t="n">
        <v>0</v>
      </c>
      <c r="E2771" s="13" t="inlineStr">
        <is>
          <t>W</t>
        </is>
      </c>
      <c r="F2771" s="13" t="n">
        <v>2024</v>
      </c>
      <c r="G2771" s="14" t="n">
        <v>67743.62814645207</v>
      </c>
      <c r="H2771" s="14" t="n">
        <v>24499.23444716509</v>
      </c>
      <c r="I2771" s="14" t="n">
        <v>20396.81158560958</v>
      </c>
      <c r="J2771" s="14" t="n">
        <v>0</v>
      </c>
      <c r="K2771" s="14" t="n">
        <v>22847.58211367738</v>
      </c>
      <c r="L2771" s="14" t="n">
        <v>0</v>
      </c>
      <c r="M2771" s="14" t="n">
        <v>0</v>
      </c>
      <c r="N2771" s="14" t="n">
        <v>36567.66175267837</v>
      </c>
      <c r="O2771" s="14" t="n">
        <v>67743.62814645207</v>
      </c>
      <c r="P2771" s="14" t="n">
        <v>13524.18114546234</v>
      </c>
      <c r="Q2771" s="14" t="n">
        <v>542339.3333156214</v>
      </c>
      <c r="R2771" s="15">
        <f>IF(D2771=1,"Section 1","Control")</f>
        <v/>
      </c>
      <c r="S2771" s="16">
        <f>N2771/10000</f>
        <v/>
      </c>
      <c r="T2771" s="16">
        <f>P2771/10000</f>
        <v/>
      </c>
      <c r="U2771" s="15">
        <f>IF(N2771&gt;=Summary!$D$3,1,0)</f>
        <v/>
      </c>
      <c r="V2771" s="17">
        <f>IF(N2771&gt;0,P2771/N2771,"")</f>
        <v/>
      </c>
      <c r="W2771" s="17">
        <f>IF(O2771&gt;0,H2771/O2771,"")</f>
        <v/>
      </c>
    </row>
    <row r="2772">
      <c r="A2772" s="13" t="inlineStr">
        <is>
          <t>CW08_F</t>
        </is>
      </c>
      <c r="B2772" s="13" t="inlineStr">
        <is>
          <t>CW08</t>
        </is>
      </c>
      <c r="C2772" s="13" t="inlineStr">
        <is>
          <t>F</t>
        </is>
      </c>
      <c r="D2772" s="13" t="n">
        <v>0</v>
      </c>
      <c r="E2772" s="13" t="inlineStr">
        <is>
          <t>W</t>
        </is>
      </c>
      <c r="F2772" s="13" t="n">
        <v>2025</v>
      </c>
      <c r="G2772" s="14" t="n">
        <v>67743.62814645207</v>
      </c>
      <c r="H2772" s="14" t="n">
        <v>24263.45115218817</v>
      </c>
      <c r="I2772" s="14" t="n">
        <v>26818.38640477797</v>
      </c>
      <c r="J2772" s="14" t="n">
        <v>0</v>
      </c>
      <c r="K2772" s="14" t="n">
        <v>16661.79058948591</v>
      </c>
      <c r="L2772" s="14" t="n">
        <v>0</v>
      </c>
      <c r="M2772" s="14" t="n">
        <v>0</v>
      </c>
      <c r="N2772" s="14" t="n">
        <v>36567.66175267837</v>
      </c>
      <c r="O2772" s="14" t="n">
        <v>67743.62814645207</v>
      </c>
      <c r="P2772" s="14" t="n">
        <v>15720.1985919728</v>
      </c>
      <c r="Q2772" s="14" t="n">
        <v>542339.3333156214</v>
      </c>
      <c r="R2772" s="15">
        <f>IF(D2772=1,"Section 1","Control")</f>
        <v/>
      </c>
      <c r="S2772" s="16">
        <f>N2772/10000</f>
        <v/>
      </c>
      <c r="T2772" s="16">
        <f>P2772/10000</f>
        <v/>
      </c>
      <c r="U2772" s="15">
        <f>IF(N2772&gt;=Summary!$D$3,1,0)</f>
        <v/>
      </c>
      <c r="V2772" s="17">
        <f>IF(N2772&gt;0,P2772/N2772,"")</f>
        <v/>
      </c>
      <c r="W2772" s="17">
        <f>IF(O2772&gt;0,H2772/O2772,"")</f>
        <v/>
      </c>
    </row>
    <row r="2773">
      <c r="A2773" s="13" t="inlineStr">
        <is>
          <t>CW08_F</t>
        </is>
      </c>
      <c r="B2773" s="13" t="inlineStr">
        <is>
          <t>CW08</t>
        </is>
      </c>
      <c r="C2773" s="13" t="inlineStr">
        <is>
          <t>F</t>
        </is>
      </c>
      <c r="D2773" s="13" t="n">
        <v>0</v>
      </c>
      <c r="E2773" s="13" t="inlineStr">
        <is>
          <t>W</t>
        </is>
      </c>
      <c r="F2773" s="13" t="n">
        <v>2026</v>
      </c>
      <c r="G2773" s="14" t="n">
        <v>67743.62814645207</v>
      </c>
      <c r="H2773" s="14" t="n">
        <v>29014.3951148538</v>
      </c>
      <c r="I2773" s="14" t="n">
        <v>13753.38629159366</v>
      </c>
      <c r="J2773" s="14" t="n">
        <v>0</v>
      </c>
      <c r="K2773" s="14" t="n">
        <v>24975.8467400046</v>
      </c>
      <c r="L2773" s="14" t="n">
        <v>0</v>
      </c>
      <c r="M2773" s="14" t="n">
        <v>0</v>
      </c>
      <c r="N2773" s="14" t="n">
        <v>36567.66175267837</v>
      </c>
      <c r="O2773" s="14" t="n">
        <v>67743.62814645207</v>
      </c>
      <c r="P2773" s="14" t="n">
        <v>12049.06732282451</v>
      </c>
      <c r="Q2773" s="14" t="n">
        <v>542339.3333156214</v>
      </c>
      <c r="R2773" s="15">
        <f>IF(D2773=1,"Section 1","Control")</f>
        <v/>
      </c>
      <c r="S2773" s="16">
        <f>N2773/10000</f>
        <v/>
      </c>
      <c r="T2773" s="16">
        <f>P2773/10000</f>
        <v/>
      </c>
      <c r="U2773" s="15">
        <f>IF(N2773&gt;=Summary!$D$3,1,0)</f>
        <v/>
      </c>
      <c r="V2773" s="17">
        <f>IF(N2773&gt;0,P2773/N2773,"")</f>
        <v/>
      </c>
      <c r="W2773" s="17">
        <f>IF(O2773&gt;0,H2773/O2773,"")</f>
        <v/>
      </c>
    </row>
    <row r="2774">
      <c r="A2774" s="13" t="inlineStr">
        <is>
          <t>CW09_B1</t>
        </is>
      </c>
      <c r="B2774" s="13" t="inlineStr">
        <is>
          <t>CW09</t>
        </is>
      </c>
      <c r="C2774" s="13" t="inlineStr">
        <is>
          <t>B1</t>
        </is>
      </c>
      <c r="D2774" s="13" t="n">
        <v>0</v>
      </c>
      <c r="E2774" s="13" t="inlineStr">
        <is>
          <t>W</t>
        </is>
      </c>
      <c r="F2774" s="13" t="n">
        <v>2020</v>
      </c>
      <c r="G2774" s="14" t="n">
        <v>1025656.586365165</v>
      </c>
      <c r="H2774" s="14" t="n">
        <v>906702.5587420296</v>
      </c>
      <c r="I2774" s="14" t="n">
        <v>68543.10631474514</v>
      </c>
      <c r="J2774" s="14" t="n">
        <v>0</v>
      </c>
      <c r="K2774" s="14" t="n">
        <v>50410.9213083903</v>
      </c>
      <c r="L2774" s="14" t="n">
        <v>0</v>
      </c>
      <c r="M2774" s="14" t="n">
        <v>0</v>
      </c>
      <c r="N2774" s="14" t="n">
        <v>906702.5587420296</v>
      </c>
      <c r="O2774" s="14" t="n">
        <v>1025656.586365165</v>
      </c>
      <c r="P2774" s="14" t="n">
        <v>0</v>
      </c>
      <c r="Q2774" s="14" t="n">
        <v>6907159.562598312</v>
      </c>
      <c r="R2774" s="15">
        <f>IF(D2774=1,"Section 1","Control")</f>
        <v/>
      </c>
      <c r="S2774" s="16">
        <f>N2774/10000</f>
        <v/>
      </c>
      <c r="T2774" s="16">
        <f>P2774/10000</f>
        <v/>
      </c>
      <c r="U2774" s="15">
        <f>IF(N2774&gt;=Summary!$D$3,1,0)</f>
        <v/>
      </c>
      <c r="V2774" s="17">
        <f>IF(N2774&gt;0,P2774/N2774,"")</f>
        <v/>
      </c>
      <c r="W2774" s="17">
        <f>IF(O2774&gt;0,H2774/O2774,"")</f>
        <v/>
      </c>
    </row>
    <row r="2775">
      <c r="A2775" s="13" t="inlineStr">
        <is>
          <t>CW09_B1</t>
        </is>
      </c>
      <c r="B2775" s="13" t="inlineStr">
        <is>
          <t>CW09</t>
        </is>
      </c>
      <c r="C2775" s="13" t="inlineStr">
        <is>
          <t>B1</t>
        </is>
      </c>
      <c r="D2775" s="13" t="n">
        <v>0</v>
      </c>
      <c r="E2775" s="13" t="inlineStr">
        <is>
          <t>W</t>
        </is>
      </c>
      <c r="F2775" s="13" t="n">
        <v>2021</v>
      </c>
      <c r="G2775" s="14" t="n">
        <v>1025656.586365165</v>
      </c>
      <c r="H2775" s="14" t="n">
        <v>825079.7376813402</v>
      </c>
      <c r="I2775" s="14" t="n">
        <v>76317.38377302579</v>
      </c>
      <c r="J2775" s="14" t="n">
        <v>0</v>
      </c>
      <c r="K2775" s="14" t="n">
        <v>124259.4649107989</v>
      </c>
      <c r="L2775" s="14" t="n">
        <v>0</v>
      </c>
      <c r="M2775" s="14" t="n">
        <v>0</v>
      </c>
      <c r="N2775" s="14" t="n">
        <v>906702.5587420296</v>
      </c>
      <c r="O2775" s="14" t="n">
        <v>1025656.586365165</v>
      </c>
      <c r="P2775" s="14" t="n">
        <v>85560.30915075564</v>
      </c>
      <c r="Q2775" s="14" t="n">
        <v>6907159.562598312</v>
      </c>
      <c r="R2775" s="15">
        <f>IF(D2775=1,"Section 1","Control")</f>
        <v/>
      </c>
      <c r="S2775" s="16">
        <f>N2775/10000</f>
        <v/>
      </c>
      <c r="T2775" s="16">
        <f>P2775/10000</f>
        <v/>
      </c>
      <c r="U2775" s="15">
        <f>IF(N2775&gt;=Summary!$D$3,1,0)</f>
        <v/>
      </c>
      <c r="V2775" s="17">
        <f>IF(N2775&gt;0,P2775/N2775,"")</f>
        <v/>
      </c>
      <c r="W2775" s="17">
        <f>IF(O2775&gt;0,H2775/O2775,"")</f>
        <v/>
      </c>
    </row>
    <row r="2776">
      <c r="A2776" s="13" t="inlineStr">
        <is>
          <t>CW09_B1</t>
        </is>
      </c>
      <c r="B2776" s="13" t="inlineStr">
        <is>
          <t>CW09</t>
        </is>
      </c>
      <c r="C2776" s="13" t="inlineStr">
        <is>
          <t>B1</t>
        </is>
      </c>
      <c r="D2776" s="13" t="n">
        <v>0</v>
      </c>
      <c r="E2776" s="13" t="inlineStr">
        <is>
          <t>W</t>
        </is>
      </c>
      <c r="F2776" s="13" t="n">
        <v>2022</v>
      </c>
      <c r="G2776" s="14" t="n">
        <v>1025656.586365165</v>
      </c>
      <c r="H2776" s="14" t="n">
        <v>795865.6564803778</v>
      </c>
      <c r="I2776" s="14" t="n">
        <v>110127.5402645635</v>
      </c>
      <c r="J2776" s="14" t="n">
        <v>0</v>
      </c>
      <c r="K2776" s="14" t="n">
        <v>119663.3896202237</v>
      </c>
      <c r="L2776" s="14" t="n">
        <v>0</v>
      </c>
      <c r="M2776" s="14" t="n">
        <v>0</v>
      </c>
      <c r="N2776" s="14" t="n">
        <v>906702.5587420296</v>
      </c>
      <c r="O2776" s="14" t="n">
        <v>1025656.586365165</v>
      </c>
      <c r="P2776" s="14" t="n">
        <v>114324.1257731718</v>
      </c>
      <c r="Q2776" s="14" t="n">
        <v>6907159.562598312</v>
      </c>
      <c r="R2776" s="15">
        <f>IF(D2776=1,"Section 1","Control")</f>
        <v/>
      </c>
      <c r="S2776" s="16">
        <f>N2776/10000</f>
        <v/>
      </c>
      <c r="T2776" s="16">
        <f>P2776/10000</f>
        <v/>
      </c>
      <c r="U2776" s="15">
        <f>IF(N2776&gt;=Summary!$D$3,1,0)</f>
        <v/>
      </c>
      <c r="V2776" s="17">
        <f>IF(N2776&gt;0,P2776/N2776,"")</f>
        <v/>
      </c>
      <c r="W2776" s="17">
        <f>IF(O2776&gt;0,H2776/O2776,"")</f>
        <v/>
      </c>
    </row>
    <row r="2777">
      <c r="A2777" s="13" t="inlineStr">
        <is>
          <t>CW09_B1</t>
        </is>
      </c>
      <c r="B2777" s="13" t="inlineStr">
        <is>
          <t>CW09</t>
        </is>
      </c>
      <c r="C2777" s="13" t="inlineStr">
        <is>
          <t>B1</t>
        </is>
      </c>
      <c r="D2777" s="13" t="n">
        <v>0</v>
      </c>
      <c r="E2777" s="13" t="inlineStr">
        <is>
          <t>W</t>
        </is>
      </c>
      <c r="F2777" s="13" t="n">
        <v>2023</v>
      </c>
      <c r="G2777" s="14" t="n">
        <v>1025656.586365165</v>
      </c>
      <c r="H2777" s="14" t="n">
        <v>807735.7584578571</v>
      </c>
      <c r="I2777" s="14" t="n">
        <v>101371.8420581593</v>
      </c>
      <c r="J2777" s="14" t="n">
        <v>0</v>
      </c>
      <c r="K2777" s="14" t="n">
        <v>116548.9858491486</v>
      </c>
      <c r="L2777" s="14" t="n">
        <v>0</v>
      </c>
      <c r="M2777" s="14" t="n">
        <v>0</v>
      </c>
      <c r="N2777" s="14" t="n">
        <v>906702.5587420296</v>
      </c>
      <c r="O2777" s="14" t="n">
        <v>1025656.586365165</v>
      </c>
      <c r="P2777" s="14" t="n">
        <v>103121.1097497678</v>
      </c>
      <c r="Q2777" s="14" t="n">
        <v>6907159.562598312</v>
      </c>
      <c r="R2777" s="15">
        <f>IF(D2777=1,"Section 1","Control")</f>
        <v/>
      </c>
      <c r="S2777" s="16">
        <f>N2777/10000</f>
        <v/>
      </c>
      <c r="T2777" s="16">
        <f>P2777/10000</f>
        <v/>
      </c>
      <c r="U2777" s="15">
        <f>IF(N2777&gt;=Summary!$D$3,1,0)</f>
        <v/>
      </c>
      <c r="V2777" s="17">
        <f>IF(N2777&gt;0,P2777/N2777,"")</f>
        <v/>
      </c>
      <c r="W2777" s="17">
        <f>IF(O2777&gt;0,H2777/O2777,"")</f>
        <v/>
      </c>
    </row>
    <row r="2778">
      <c r="A2778" s="13" t="inlineStr">
        <is>
          <t>CW09_B1</t>
        </is>
      </c>
      <c r="B2778" s="13" t="inlineStr">
        <is>
          <t>CW09</t>
        </is>
      </c>
      <c r="C2778" s="13" t="inlineStr">
        <is>
          <t>B1</t>
        </is>
      </c>
      <c r="D2778" s="13" t="n">
        <v>0</v>
      </c>
      <c r="E2778" s="13" t="inlineStr">
        <is>
          <t>W</t>
        </is>
      </c>
      <c r="F2778" s="13" t="n">
        <v>2024</v>
      </c>
      <c r="G2778" s="14" t="n">
        <v>1025656.586365165</v>
      </c>
      <c r="H2778" s="14" t="n">
        <v>829343.1256345264</v>
      </c>
      <c r="I2778" s="14" t="n">
        <v>89403.03824627446</v>
      </c>
      <c r="J2778" s="14" t="n">
        <v>0</v>
      </c>
      <c r="K2778" s="14" t="n">
        <v>106910.4224843642</v>
      </c>
      <c r="L2778" s="14" t="n">
        <v>0</v>
      </c>
      <c r="M2778" s="14" t="n">
        <v>0</v>
      </c>
      <c r="N2778" s="14" t="n">
        <v>906702.5587420296</v>
      </c>
      <c r="O2778" s="14" t="n">
        <v>1025656.586365165</v>
      </c>
      <c r="P2778" s="14" t="n">
        <v>88320.13593935498</v>
      </c>
      <c r="Q2778" s="14" t="n">
        <v>6907159.562598312</v>
      </c>
      <c r="R2778" s="15">
        <f>IF(D2778=1,"Section 1","Control")</f>
        <v/>
      </c>
      <c r="S2778" s="16">
        <f>N2778/10000</f>
        <v/>
      </c>
      <c r="T2778" s="16">
        <f>P2778/10000</f>
        <v/>
      </c>
      <c r="U2778" s="15">
        <f>IF(N2778&gt;=Summary!$D$3,1,0)</f>
        <v/>
      </c>
      <c r="V2778" s="17">
        <f>IF(N2778&gt;0,P2778/N2778,"")</f>
        <v/>
      </c>
      <c r="W2778" s="17">
        <f>IF(O2778&gt;0,H2778/O2778,"")</f>
        <v/>
      </c>
    </row>
    <row r="2779">
      <c r="A2779" s="13" t="inlineStr">
        <is>
          <t>CW09_B1</t>
        </is>
      </c>
      <c r="B2779" s="13" t="inlineStr">
        <is>
          <t>CW09</t>
        </is>
      </c>
      <c r="C2779" s="13" t="inlineStr">
        <is>
          <t>B1</t>
        </is>
      </c>
      <c r="D2779" s="13" t="n">
        <v>0</v>
      </c>
      <c r="E2779" s="13" t="inlineStr">
        <is>
          <t>W</t>
        </is>
      </c>
      <c r="F2779" s="13" t="n">
        <v>2025</v>
      </c>
      <c r="G2779" s="14" t="n">
        <v>1025656.586365165</v>
      </c>
      <c r="H2779" s="14" t="n">
        <v>744045.7103743311</v>
      </c>
      <c r="I2779" s="14" t="n">
        <v>180372.0573053697</v>
      </c>
      <c r="J2779" s="14" t="n">
        <v>0</v>
      </c>
      <c r="K2779" s="14" t="n">
        <v>101238.8186854643</v>
      </c>
      <c r="L2779" s="14" t="n">
        <v>0</v>
      </c>
      <c r="M2779" s="14" t="n">
        <v>0</v>
      </c>
      <c r="N2779" s="14" t="n">
        <v>906702.5587420296</v>
      </c>
      <c r="O2779" s="14" t="n">
        <v>1025656.586365165</v>
      </c>
      <c r="P2779" s="14" t="n">
        <v>166047.2837969013</v>
      </c>
      <c r="Q2779" s="14" t="n">
        <v>6907159.562598312</v>
      </c>
      <c r="R2779" s="15">
        <f>IF(D2779=1,"Section 1","Control")</f>
        <v/>
      </c>
      <c r="S2779" s="16">
        <f>N2779/10000</f>
        <v/>
      </c>
      <c r="T2779" s="16">
        <f>P2779/10000</f>
        <v/>
      </c>
      <c r="U2779" s="15">
        <f>IF(N2779&gt;=Summary!$D$3,1,0)</f>
        <v/>
      </c>
      <c r="V2779" s="17">
        <f>IF(N2779&gt;0,P2779/N2779,"")</f>
        <v/>
      </c>
      <c r="W2779" s="17">
        <f>IF(O2779&gt;0,H2779/O2779,"")</f>
        <v/>
      </c>
    </row>
    <row r="2780">
      <c r="A2780" s="13" t="inlineStr">
        <is>
          <t>CW09_B1</t>
        </is>
      </c>
      <c r="B2780" s="13" t="inlineStr">
        <is>
          <t>CW09</t>
        </is>
      </c>
      <c r="C2780" s="13" t="inlineStr">
        <is>
          <t>B1</t>
        </is>
      </c>
      <c r="D2780" s="13" t="n">
        <v>0</v>
      </c>
      <c r="E2780" s="13" t="inlineStr">
        <is>
          <t>W</t>
        </is>
      </c>
      <c r="F2780" s="13" t="n">
        <v>2026</v>
      </c>
      <c r="G2780" s="14" t="n">
        <v>1025656.586365165</v>
      </c>
      <c r="H2780" s="14" t="n">
        <v>794054.091904644</v>
      </c>
      <c r="I2780" s="14" t="n">
        <v>104181.1456812541</v>
      </c>
      <c r="J2780" s="14" t="n">
        <v>0</v>
      </c>
      <c r="K2780" s="14" t="n">
        <v>127421.3487792669</v>
      </c>
      <c r="L2780" s="14" t="n">
        <v>0</v>
      </c>
      <c r="M2780" s="14" t="n">
        <v>0</v>
      </c>
      <c r="N2780" s="14" t="n">
        <v>906702.5587420296</v>
      </c>
      <c r="O2780" s="14" t="n">
        <v>1025656.586365165</v>
      </c>
      <c r="P2780" s="14" t="n">
        <v>120031.7700947182</v>
      </c>
      <c r="Q2780" s="14" t="n">
        <v>6907159.562598312</v>
      </c>
      <c r="R2780" s="15">
        <f>IF(D2780=1,"Section 1","Control")</f>
        <v/>
      </c>
      <c r="S2780" s="16">
        <f>N2780/10000</f>
        <v/>
      </c>
      <c r="T2780" s="16">
        <f>P2780/10000</f>
        <v/>
      </c>
      <c r="U2780" s="15">
        <f>IF(N2780&gt;=Summary!$D$3,1,0)</f>
        <v/>
      </c>
      <c r="V2780" s="17">
        <f>IF(N2780&gt;0,P2780/N2780,"")</f>
        <v/>
      </c>
      <c r="W2780" s="17">
        <f>IF(O2780&gt;0,H2780/O2780,"")</f>
        <v/>
      </c>
    </row>
    <row r="2781">
      <c r="A2781" s="13" t="inlineStr">
        <is>
          <t>CW09_B2</t>
        </is>
      </c>
      <c r="B2781" s="13" t="inlineStr">
        <is>
          <t>CW09</t>
        </is>
      </c>
      <c r="C2781" s="13" t="inlineStr">
        <is>
          <t>B2</t>
        </is>
      </c>
      <c r="D2781" s="13" t="n">
        <v>0</v>
      </c>
      <c r="E2781" s="13" t="inlineStr">
        <is>
          <t>W</t>
        </is>
      </c>
      <c r="F2781" s="13" t="n">
        <v>2020</v>
      </c>
      <c r="G2781" s="14" t="n">
        <v>1025976.389422368</v>
      </c>
      <c r="H2781" s="14" t="n">
        <v>828826.1391931571</v>
      </c>
      <c r="I2781" s="14" t="n">
        <v>193007.8988050872</v>
      </c>
      <c r="J2781" s="14" t="n">
        <v>0</v>
      </c>
      <c r="K2781" s="14" t="n">
        <v>4142.351424123726</v>
      </c>
      <c r="L2781" s="14" t="n">
        <v>0</v>
      </c>
      <c r="M2781" s="14" t="n">
        <v>0</v>
      </c>
      <c r="N2781" s="14" t="n">
        <v>828826.1391931571</v>
      </c>
      <c r="O2781" s="14" t="n">
        <v>1025976.389422368</v>
      </c>
      <c r="P2781" s="14" t="n">
        <v>0</v>
      </c>
      <c r="Q2781" s="14" t="n">
        <v>6618616.674393239</v>
      </c>
      <c r="R2781" s="15">
        <f>IF(D2781=1,"Section 1","Control")</f>
        <v/>
      </c>
      <c r="S2781" s="16">
        <f>N2781/10000</f>
        <v/>
      </c>
      <c r="T2781" s="16">
        <f>P2781/10000</f>
        <v/>
      </c>
      <c r="U2781" s="15">
        <f>IF(N2781&gt;=Summary!$D$3,1,0)</f>
        <v/>
      </c>
      <c r="V2781" s="17">
        <f>IF(N2781&gt;0,P2781/N2781,"")</f>
        <v/>
      </c>
      <c r="W2781" s="17">
        <f>IF(O2781&gt;0,H2781/O2781,"")</f>
        <v/>
      </c>
    </row>
    <row r="2782">
      <c r="A2782" s="13" t="inlineStr">
        <is>
          <t>CW09_B2</t>
        </is>
      </c>
      <c r="B2782" s="13" t="inlineStr">
        <is>
          <t>CW09</t>
        </is>
      </c>
      <c r="C2782" s="13" t="inlineStr">
        <is>
          <t>B2</t>
        </is>
      </c>
      <c r="D2782" s="13" t="n">
        <v>0</v>
      </c>
      <c r="E2782" s="13" t="inlineStr">
        <is>
          <t>W</t>
        </is>
      </c>
      <c r="F2782" s="13" t="n">
        <v>2021</v>
      </c>
      <c r="G2782" s="14" t="n">
        <v>1025976.389422368</v>
      </c>
      <c r="H2782" s="14" t="n">
        <v>698301.0601412903</v>
      </c>
      <c r="I2782" s="14" t="n">
        <v>222540.5853314867</v>
      </c>
      <c r="J2782" s="14" t="n">
        <v>0</v>
      </c>
      <c r="K2782" s="14" t="n">
        <v>105134.7439495909</v>
      </c>
      <c r="L2782" s="14" t="n">
        <v>0</v>
      </c>
      <c r="M2782" s="14" t="n">
        <v>0</v>
      </c>
      <c r="N2782" s="14" t="n">
        <v>828826.1391931572</v>
      </c>
      <c r="O2782" s="14" t="n">
        <v>1025976.389422368</v>
      </c>
      <c r="P2782" s="14" t="n">
        <v>138805.5309331857</v>
      </c>
      <c r="Q2782" s="14" t="n">
        <v>6618616.674393239</v>
      </c>
      <c r="R2782" s="15">
        <f>IF(D2782=1,"Section 1","Control")</f>
        <v/>
      </c>
      <c r="S2782" s="16">
        <f>N2782/10000</f>
        <v/>
      </c>
      <c r="T2782" s="16">
        <f>P2782/10000</f>
        <v/>
      </c>
      <c r="U2782" s="15">
        <f>IF(N2782&gt;=Summary!$D$3,1,0)</f>
        <v/>
      </c>
      <c r="V2782" s="17">
        <f>IF(N2782&gt;0,P2782/N2782,"")</f>
        <v/>
      </c>
      <c r="W2782" s="17">
        <f>IF(O2782&gt;0,H2782/O2782,"")</f>
        <v/>
      </c>
    </row>
    <row r="2783">
      <c r="A2783" s="13" t="inlineStr">
        <is>
          <t>CW09_B2</t>
        </is>
      </c>
      <c r="B2783" s="13" t="inlineStr">
        <is>
          <t>CW09</t>
        </is>
      </c>
      <c r="C2783" s="13" t="inlineStr">
        <is>
          <t>B2</t>
        </is>
      </c>
      <c r="D2783" s="13" t="n">
        <v>0</v>
      </c>
      <c r="E2783" s="13" t="inlineStr">
        <is>
          <t>W</t>
        </is>
      </c>
      <c r="F2783" s="13" t="n">
        <v>2022</v>
      </c>
      <c r="G2783" s="14" t="n">
        <v>1025976.389422368</v>
      </c>
      <c r="H2783" s="14" t="n">
        <v>638126.201770229</v>
      </c>
      <c r="I2783" s="14" t="n">
        <v>194776.8719259824</v>
      </c>
      <c r="J2783" s="14" t="n">
        <v>0</v>
      </c>
      <c r="K2783" s="14" t="n">
        <v>193073.3157261568</v>
      </c>
      <c r="L2783" s="14" t="n">
        <v>0</v>
      </c>
      <c r="M2783" s="14" t="n">
        <v>0</v>
      </c>
      <c r="N2783" s="14" t="n">
        <v>828826.1391931572</v>
      </c>
      <c r="O2783" s="14" t="n">
        <v>1025976.389422368</v>
      </c>
      <c r="P2783" s="14" t="n">
        <v>192061.2156155754</v>
      </c>
      <c r="Q2783" s="14" t="n">
        <v>6618616.674393239</v>
      </c>
      <c r="R2783" s="15">
        <f>IF(D2783=1,"Section 1","Control")</f>
        <v/>
      </c>
      <c r="S2783" s="16">
        <f>N2783/10000</f>
        <v/>
      </c>
      <c r="T2783" s="16">
        <f>P2783/10000</f>
        <v/>
      </c>
      <c r="U2783" s="15">
        <f>IF(N2783&gt;=Summary!$D$3,1,0)</f>
        <v/>
      </c>
      <c r="V2783" s="17">
        <f>IF(N2783&gt;0,P2783/N2783,"")</f>
        <v/>
      </c>
      <c r="W2783" s="17">
        <f>IF(O2783&gt;0,H2783/O2783,"")</f>
        <v/>
      </c>
    </row>
    <row r="2784">
      <c r="A2784" s="13" t="inlineStr">
        <is>
          <t>CW09_B2</t>
        </is>
      </c>
      <c r="B2784" s="13" t="inlineStr">
        <is>
          <t>CW09</t>
        </is>
      </c>
      <c r="C2784" s="13" t="inlineStr">
        <is>
          <t>B2</t>
        </is>
      </c>
      <c r="D2784" s="13" t="n">
        <v>0</v>
      </c>
      <c r="E2784" s="13" t="inlineStr">
        <is>
          <t>W</t>
        </is>
      </c>
      <c r="F2784" s="13" t="n">
        <v>2023</v>
      </c>
      <c r="G2784" s="14" t="n">
        <v>1025976.389422368</v>
      </c>
      <c r="H2784" s="14" t="n">
        <v>643272.1053181967</v>
      </c>
      <c r="I2784" s="14" t="n">
        <v>206117.5998614143</v>
      </c>
      <c r="J2784" s="14" t="n">
        <v>0</v>
      </c>
      <c r="K2784" s="14" t="n">
        <v>176586.6842427572</v>
      </c>
      <c r="L2784" s="14" t="n">
        <v>0</v>
      </c>
      <c r="M2784" s="14" t="n">
        <v>0</v>
      </c>
      <c r="N2784" s="14" t="n">
        <v>828826.1391931572</v>
      </c>
      <c r="O2784" s="14" t="n">
        <v>1025976.389422368</v>
      </c>
      <c r="P2784" s="14" t="n">
        <v>191378.2424270929</v>
      </c>
      <c r="Q2784" s="14" t="n">
        <v>6618616.674393239</v>
      </c>
      <c r="R2784" s="15">
        <f>IF(D2784=1,"Section 1","Control")</f>
        <v/>
      </c>
      <c r="S2784" s="16">
        <f>N2784/10000</f>
        <v/>
      </c>
      <c r="T2784" s="16">
        <f>P2784/10000</f>
        <v/>
      </c>
      <c r="U2784" s="15">
        <f>IF(N2784&gt;=Summary!$D$3,1,0)</f>
        <v/>
      </c>
      <c r="V2784" s="17">
        <f>IF(N2784&gt;0,P2784/N2784,"")</f>
        <v/>
      </c>
      <c r="W2784" s="17">
        <f>IF(O2784&gt;0,H2784/O2784,"")</f>
        <v/>
      </c>
    </row>
    <row r="2785">
      <c r="A2785" s="13" t="inlineStr">
        <is>
          <t>CW09_B2</t>
        </is>
      </c>
      <c r="B2785" s="13" t="inlineStr">
        <is>
          <t>CW09</t>
        </is>
      </c>
      <c r="C2785" s="13" t="inlineStr">
        <is>
          <t>B2</t>
        </is>
      </c>
      <c r="D2785" s="13" t="n">
        <v>0</v>
      </c>
      <c r="E2785" s="13" t="inlineStr">
        <is>
          <t>W</t>
        </is>
      </c>
      <c r="F2785" s="13" t="n">
        <v>2024</v>
      </c>
      <c r="G2785" s="14" t="n">
        <v>1025976.389422368</v>
      </c>
      <c r="H2785" s="14" t="n">
        <v>749802.7232046986</v>
      </c>
      <c r="I2785" s="14" t="n">
        <v>146335.369108402</v>
      </c>
      <c r="J2785" s="14" t="n">
        <v>0</v>
      </c>
      <c r="K2785" s="14" t="n">
        <v>129838.2971092673</v>
      </c>
      <c r="L2785" s="14" t="n">
        <v>0</v>
      </c>
      <c r="M2785" s="14" t="n">
        <v>0</v>
      </c>
      <c r="N2785" s="14" t="n">
        <v>828826.1391931572</v>
      </c>
      <c r="O2785" s="14" t="n">
        <v>1025976.389422368</v>
      </c>
      <c r="P2785" s="14" t="n">
        <v>131133.7701990165</v>
      </c>
      <c r="Q2785" s="14" t="n">
        <v>6618616.674393239</v>
      </c>
      <c r="R2785" s="15">
        <f>IF(D2785=1,"Section 1","Control")</f>
        <v/>
      </c>
      <c r="S2785" s="16">
        <f>N2785/10000</f>
        <v/>
      </c>
      <c r="T2785" s="16">
        <f>P2785/10000</f>
        <v/>
      </c>
      <c r="U2785" s="15">
        <f>IF(N2785&gt;=Summary!$D$3,1,0)</f>
        <v/>
      </c>
      <c r="V2785" s="17">
        <f>IF(N2785&gt;0,P2785/N2785,"")</f>
        <v/>
      </c>
      <c r="W2785" s="17">
        <f>IF(O2785&gt;0,H2785/O2785,"")</f>
        <v/>
      </c>
    </row>
    <row r="2786">
      <c r="A2786" s="13" t="inlineStr">
        <is>
          <t>CW09_B2</t>
        </is>
      </c>
      <c r="B2786" s="13" t="inlineStr">
        <is>
          <t>CW09</t>
        </is>
      </c>
      <c r="C2786" s="13" t="inlineStr">
        <is>
          <t>B2</t>
        </is>
      </c>
      <c r="D2786" s="13" t="n">
        <v>0</v>
      </c>
      <c r="E2786" s="13" t="inlineStr">
        <is>
          <t>W</t>
        </is>
      </c>
      <c r="F2786" s="13" t="n">
        <v>2025</v>
      </c>
      <c r="G2786" s="14" t="n">
        <v>1025976.389422368</v>
      </c>
      <c r="H2786" s="14" t="n">
        <v>583317.2632252711</v>
      </c>
      <c r="I2786" s="14" t="n">
        <v>387213.7507355933</v>
      </c>
      <c r="J2786" s="14" t="n">
        <v>0</v>
      </c>
      <c r="K2786" s="14" t="n">
        <v>55445.37546150357</v>
      </c>
      <c r="L2786" s="14" t="n">
        <v>0</v>
      </c>
      <c r="M2786" s="14" t="n">
        <v>0</v>
      </c>
      <c r="N2786" s="14" t="n">
        <v>828826.1391931572</v>
      </c>
      <c r="O2786" s="14" t="n">
        <v>1025976.389422368</v>
      </c>
      <c r="P2786" s="14" t="n">
        <v>246594.869200613</v>
      </c>
      <c r="Q2786" s="14" t="n">
        <v>6618616.674393239</v>
      </c>
      <c r="R2786" s="15">
        <f>IF(D2786=1,"Section 1","Control")</f>
        <v/>
      </c>
      <c r="S2786" s="16">
        <f>N2786/10000</f>
        <v/>
      </c>
      <c r="T2786" s="16">
        <f>P2786/10000</f>
        <v/>
      </c>
      <c r="U2786" s="15">
        <f>IF(N2786&gt;=Summary!$D$3,1,0)</f>
        <v/>
      </c>
      <c r="V2786" s="17">
        <f>IF(N2786&gt;0,P2786/N2786,"")</f>
        <v/>
      </c>
      <c r="W2786" s="17">
        <f>IF(O2786&gt;0,H2786/O2786,"")</f>
        <v/>
      </c>
    </row>
    <row r="2787">
      <c r="A2787" s="13" t="inlineStr">
        <is>
          <t>CW09_B2</t>
        </is>
      </c>
      <c r="B2787" s="13" t="inlineStr">
        <is>
          <t>CW09</t>
        </is>
      </c>
      <c r="C2787" s="13" t="inlineStr">
        <is>
          <t>B2</t>
        </is>
      </c>
      <c r="D2787" s="13" t="n">
        <v>0</v>
      </c>
      <c r="E2787" s="13" t="inlineStr">
        <is>
          <t>W</t>
        </is>
      </c>
      <c r="F2787" s="13" t="n">
        <v>2026</v>
      </c>
      <c r="G2787" s="14" t="n">
        <v>1025976.389422368</v>
      </c>
      <c r="H2787" s="14" t="n">
        <v>655194.3730854109</v>
      </c>
      <c r="I2787" s="14" t="n">
        <v>193200.2657077266</v>
      </c>
      <c r="J2787" s="14" t="n">
        <v>0</v>
      </c>
      <c r="K2787" s="14" t="n">
        <v>177581.7506292306</v>
      </c>
      <c r="L2787" s="14" t="n">
        <v>0</v>
      </c>
      <c r="M2787" s="14" t="n">
        <v>0</v>
      </c>
      <c r="N2787" s="14" t="n">
        <v>828826.1391931572</v>
      </c>
      <c r="O2787" s="14" t="n">
        <v>1025976.389422368</v>
      </c>
      <c r="P2787" s="14" t="n">
        <v>186902.4925132901</v>
      </c>
      <c r="Q2787" s="14" t="n">
        <v>6618616.674393239</v>
      </c>
      <c r="R2787" s="15">
        <f>IF(D2787=1,"Section 1","Control")</f>
        <v/>
      </c>
      <c r="S2787" s="16">
        <f>N2787/10000</f>
        <v/>
      </c>
      <c r="T2787" s="16">
        <f>P2787/10000</f>
        <v/>
      </c>
      <c r="U2787" s="15">
        <f>IF(N2787&gt;=Summary!$D$3,1,0)</f>
        <v/>
      </c>
      <c r="V2787" s="17">
        <f>IF(N2787&gt;0,P2787/N2787,"")</f>
        <v/>
      </c>
      <c r="W2787" s="17">
        <f>IF(O2787&gt;0,H2787/O2787,"")</f>
        <v/>
      </c>
    </row>
    <row r="2788">
      <c r="A2788" s="13" t="inlineStr">
        <is>
          <t>CW09_B3</t>
        </is>
      </c>
      <c r="B2788" s="13" t="inlineStr">
        <is>
          <t>CW09</t>
        </is>
      </c>
      <c r="C2788" s="13" t="inlineStr">
        <is>
          <t>B3</t>
        </is>
      </c>
      <c r="D2788" s="13" t="n">
        <v>0</v>
      </c>
      <c r="E2788" s="13" t="inlineStr">
        <is>
          <t>W</t>
        </is>
      </c>
      <c r="F2788" s="13" t="n">
        <v>2020</v>
      </c>
      <c r="G2788" s="14" t="n">
        <v>8206144.489124911</v>
      </c>
      <c r="H2788" s="14" t="n">
        <v>3126796.914020793</v>
      </c>
      <c r="I2788" s="14" t="n">
        <v>1150715.726826118</v>
      </c>
      <c r="J2788" s="14" t="n">
        <v>0</v>
      </c>
      <c r="K2788" s="14" t="n">
        <v>331497.3269128238</v>
      </c>
      <c r="L2788" s="14" t="n">
        <v>3597134.521365177</v>
      </c>
      <c r="M2788" s="14" t="n">
        <v>0</v>
      </c>
      <c r="N2788" s="14" t="n">
        <v>3126796.914020793</v>
      </c>
      <c r="O2788" s="14" t="n">
        <v>4609009.967759733</v>
      </c>
      <c r="P2788" s="14" t="n">
        <v>0</v>
      </c>
      <c r="Q2788" s="14" t="n">
        <v>19993227.29383584</v>
      </c>
      <c r="R2788" s="15">
        <f>IF(D2788=1,"Section 1","Control")</f>
        <v/>
      </c>
      <c r="S2788" s="16">
        <f>N2788/10000</f>
        <v/>
      </c>
      <c r="T2788" s="16">
        <f>P2788/10000</f>
        <v/>
      </c>
      <c r="U2788" s="15">
        <f>IF(N2788&gt;=Summary!$D$3,1,0)</f>
        <v/>
      </c>
      <c r="V2788" s="17">
        <f>IF(N2788&gt;0,P2788/N2788,"")</f>
        <v/>
      </c>
      <c r="W2788" s="17">
        <f>IF(O2788&gt;0,H2788/O2788,"")</f>
        <v/>
      </c>
    </row>
    <row r="2789">
      <c r="A2789" s="13" t="inlineStr">
        <is>
          <t>CW09_B3</t>
        </is>
      </c>
      <c r="B2789" s="13" t="inlineStr">
        <is>
          <t>CW09</t>
        </is>
      </c>
      <c r="C2789" s="13" t="inlineStr">
        <is>
          <t>B3</t>
        </is>
      </c>
      <c r="D2789" s="13" t="n">
        <v>0</v>
      </c>
      <c r="E2789" s="13" t="inlineStr">
        <is>
          <t>W</t>
        </is>
      </c>
      <c r="F2789" s="13" t="n">
        <v>2021</v>
      </c>
      <c r="G2789" s="14" t="n">
        <v>8206144.489124911</v>
      </c>
      <c r="H2789" s="14" t="n">
        <v>2888821.90535024</v>
      </c>
      <c r="I2789" s="14" t="n">
        <v>1087421.639838425</v>
      </c>
      <c r="J2789" s="14" t="n">
        <v>0</v>
      </c>
      <c r="K2789" s="14" t="n">
        <v>650812.9301914588</v>
      </c>
      <c r="L2789" s="14" t="n">
        <v>3579088.013744789</v>
      </c>
      <c r="M2789" s="14" t="n">
        <v>0</v>
      </c>
      <c r="N2789" s="14" t="n">
        <v>3126796.914020793</v>
      </c>
      <c r="O2789" s="14" t="n">
        <v>4609009.967759734</v>
      </c>
      <c r="P2789" s="14" t="n">
        <v>397679.2894233255</v>
      </c>
      <c r="Q2789" s="14" t="n">
        <v>19993227.29383584</v>
      </c>
      <c r="R2789" s="15">
        <f>IF(D2789=1,"Section 1","Control")</f>
        <v/>
      </c>
      <c r="S2789" s="16">
        <f>N2789/10000</f>
        <v/>
      </c>
      <c r="T2789" s="16">
        <f>P2789/10000</f>
        <v/>
      </c>
      <c r="U2789" s="15">
        <f>IF(N2789&gt;=Summary!$D$3,1,0)</f>
        <v/>
      </c>
      <c r="V2789" s="17">
        <f>IF(N2789&gt;0,P2789/N2789,"")</f>
        <v/>
      </c>
      <c r="W2789" s="17">
        <f>IF(O2789&gt;0,H2789/O2789,"")</f>
        <v/>
      </c>
    </row>
    <row r="2790">
      <c r="A2790" s="13" t="inlineStr">
        <is>
          <t>CW09_B3</t>
        </is>
      </c>
      <c r="B2790" s="13" t="inlineStr">
        <is>
          <t>CW09</t>
        </is>
      </c>
      <c r="C2790" s="13" t="inlineStr">
        <is>
          <t>B3</t>
        </is>
      </c>
      <c r="D2790" s="13" t="n">
        <v>0</v>
      </c>
      <c r="E2790" s="13" t="inlineStr">
        <is>
          <t>W</t>
        </is>
      </c>
      <c r="F2790" s="13" t="n">
        <v>2022</v>
      </c>
      <c r="G2790" s="14" t="n">
        <v>8206144.489124911</v>
      </c>
      <c r="H2790" s="14" t="n">
        <v>2801467.695043946</v>
      </c>
      <c r="I2790" s="14" t="n">
        <v>1249711.621540294</v>
      </c>
      <c r="J2790" s="14" t="n">
        <v>0</v>
      </c>
      <c r="K2790" s="14" t="n">
        <v>613170.0049324785</v>
      </c>
      <c r="L2790" s="14" t="n">
        <v>3541795.167608195</v>
      </c>
      <c r="M2790" s="14" t="n">
        <v>0</v>
      </c>
      <c r="N2790" s="14" t="n">
        <v>3126796.914020793</v>
      </c>
      <c r="O2790" s="14" t="n">
        <v>4609009.967759733</v>
      </c>
      <c r="P2790" s="14" t="n">
        <v>433274.2473332125</v>
      </c>
      <c r="Q2790" s="14" t="n">
        <v>19993227.29383584</v>
      </c>
      <c r="R2790" s="15">
        <f>IF(D2790=1,"Section 1","Control")</f>
        <v/>
      </c>
      <c r="S2790" s="16">
        <f>N2790/10000</f>
        <v/>
      </c>
      <c r="T2790" s="16">
        <f>P2790/10000</f>
        <v/>
      </c>
      <c r="U2790" s="15">
        <f>IF(N2790&gt;=Summary!$D$3,1,0)</f>
        <v/>
      </c>
      <c r="V2790" s="17">
        <f>IF(N2790&gt;0,P2790/N2790,"")</f>
        <v/>
      </c>
      <c r="W2790" s="17">
        <f>IF(O2790&gt;0,H2790/O2790,"")</f>
        <v/>
      </c>
    </row>
    <row r="2791">
      <c r="A2791" s="13" t="inlineStr">
        <is>
          <t>CW09_B3</t>
        </is>
      </c>
      <c r="B2791" s="13" t="inlineStr">
        <is>
          <t>CW09</t>
        </is>
      </c>
      <c r="C2791" s="13" t="inlineStr">
        <is>
          <t>B3</t>
        </is>
      </c>
      <c r="D2791" s="13" t="n">
        <v>0</v>
      </c>
      <c r="E2791" s="13" t="inlineStr">
        <is>
          <t>W</t>
        </is>
      </c>
      <c r="F2791" s="13" t="n">
        <v>2023</v>
      </c>
      <c r="G2791" s="14" t="n">
        <v>8206144.489124911</v>
      </c>
      <c r="H2791" s="14" t="n">
        <v>2974668.147968248</v>
      </c>
      <c r="I2791" s="14" t="n">
        <v>1133984.73889935</v>
      </c>
      <c r="J2791" s="14" t="n">
        <v>0</v>
      </c>
      <c r="K2791" s="14" t="n">
        <v>463915.4758919211</v>
      </c>
      <c r="L2791" s="14" t="n">
        <v>3633576.126365393</v>
      </c>
      <c r="M2791" s="14" t="n">
        <v>0</v>
      </c>
      <c r="N2791" s="14" t="n">
        <v>3126796.914020793</v>
      </c>
      <c r="O2791" s="14" t="n">
        <v>4609009.967759733</v>
      </c>
      <c r="P2791" s="14" t="n">
        <v>372560.0967577468</v>
      </c>
      <c r="Q2791" s="14" t="n">
        <v>19993227.29383584</v>
      </c>
      <c r="R2791" s="15">
        <f>IF(D2791=1,"Section 1","Control")</f>
        <v/>
      </c>
      <c r="S2791" s="16">
        <f>N2791/10000</f>
        <v/>
      </c>
      <c r="T2791" s="16">
        <f>P2791/10000</f>
        <v/>
      </c>
      <c r="U2791" s="15">
        <f>IF(N2791&gt;=Summary!$D$3,1,0)</f>
        <v/>
      </c>
      <c r="V2791" s="17">
        <f>IF(N2791&gt;0,P2791/N2791,"")</f>
        <v/>
      </c>
      <c r="W2791" s="17">
        <f>IF(O2791&gt;0,H2791/O2791,"")</f>
        <v/>
      </c>
    </row>
    <row r="2792">
      <c r="A2792" s="13" t="inlineStr">
        <is>
          <t>CW09_B3</t>
        </is>
      </c>
      <c r="B2792" s="13" t="inlineStr">
        <is>
          <t>CW09</t>
        </is>
      </c>
      <c r="C2792" s="13" t="inlineStr">
        <is>
          <t>B3</t>
        </is>
      </c>
      <c r="D2792" s="13" t="n">
        <v>0</v>
      </c>
      <c r="E2792" s="13" t="inlineStr">
        <is>
          <t>W</t>
        </is>
      </c>
      <c r="F2792" s="13" t="n">
        <v>2024</v>
      </c>
      <c r="G2792" s="14" t="n">
        <v>8206144.48912491</v>
      </c>
      <c r="H2792" s="14" t="n">
        <v>3150198.254682204</v>
      </c>
      <c r="I2792" s="14" t="n">
        <v>1010129.367446002</v>
      </c>
      <c r="J2792" s="14" t="n">
        <v>0</v>
      </c>
      <c r="K2792" s="14" t="n">
        <v>430342.342601492</v>
      </c>
      <c r="L2792" s="14" t="n">
        <v>3615474.524395214</v>
      </c>
      <c r="M2792" s="14" t="n">
        <v>0</v>
      </c>
      <c r="N2792" s="14" t="n">
        <v>3126796.914020793</v>
      </c>
      <c r="O2792" s="14" t="n">
        <v>4609009.967759733</v>
      </c>
      <c r="P2792" s="14" t="n">
        <v>318508.3438817641</v>
      </c>
      <c r="Q2792" s="14" t="n">
        <v>19993227.29383584</v>
      </c>
      <c r="R2792" s="15">
        <f>IF(D2792=1,"Section 1","Control")</f>
        <v/>
      </c>
      <c r="S2792" s="16">
        <f>N2792/10000</f>
        <v/>
      </c>
      <c r="T2792" s="16">
        <f>P2792/10000</f>
        <v/>
      </c>
      <c r="U2792" s="15">
        <f>IF(N2792&gt;=Summary!$D$3,1,0)</f>
        <v/>
      </c>
      <c r="V2792" s="17">
        <f>IF(N2792&gt;0,P2792/N2792,"")</f>
        <v/>
      </c>
      <c r="W2792" s="17">
        <f>IF(O2792&gt;0,H2792/O2792,"")</f>
        <v/>
      </c>
    </row>
    <row r="2793">
      <c r="A2793" s="13" t="inlineStr">
        <is>
          <t>CW09_B3</t>
        </is>
      </c>
      <c r="B2793" s="13" t="inlineStr">
        <is>
          <t>CW09</t>
        </is>
      </c>
      <c r="C2793" s="13" t="inlineStr">
        <is>
          <t>B3</t>
        </is>
      </c>
      <c r="D2793" s="13" t="n">
        <v>0</v>
      </c>
      <c r="E2793" s="13" t="inlineStr">
        <is>
          <t>W</t>
        </is>
      </c>
      <c r="F2793" s="13" t="n">
        <v>2025</v>
      </c>
      <c r="G2793" s="14" t="n">
        <v>8206144.489124911</v>
      </c>
      <c r="H2793" s="14" t="n">
        <v>3027158.183057419</v>
      </c>
      <c r="I2793" s="14" t="n">
        <v>1181824.87648471</v>
      </c>
      <c r="J2793" s="14" t="n">
        <v>0</v>
      </c>
      <c r="K2793" s="14" t="n">
        <v>379902.8935924156</v>
      </c>
      <c r="L2793" s="14" t="n">
        <v>3617258.535990368</v>
      </c>
      <c r="M2793" s="14" t="n">
        <v>0</v>
      </c>
      <c r="N2793" s="14" t="n">
        <v>3126796.914020793</v>
      </c>
      <c r="O2793" s="14" t="n">
        <v>4609009.967759733</v>
      </c>
      <c r="P2793" s="14" t="n">
        <v>414063.8206812541</v>
      </c>
      <c r="Q2793" s="14" t="n">
        <v>19993227.29383584</v>
      </c>
      <c r="R2793" s="15">
        <f>IF(D2793=1,"Section 1","Control")</f>
        <v/>
      </c>
      <c r="S2793" s="16">
        <f>N2793/10000</f>
        <v/>
      </c>
      <c r="T2793" s="16">
        <f>P2793/10000</f>
        <v/>
      </c>
      <c r="U2793" s="15">
        <f>IF(N2793&gt;=Summary!$D$3,1,0)</f>
        <v/>
      </c>
      <c r="V2793" s="17">
        <f>IF(N2793&gt;0,P2793/N2793,"")</f>
        <v/>
      </c>
      <c r="W2793" s="17">
        <f>IF(O2793&gt;0,H2793/O2793,"")</f>
        <v/>
      </c>
    </row>
    <row r="2794">
      <c r="A2794" s="13" t="inlineStr">
        <is>
          <t>CW09_B3</t>
        </is>
      </c>
      <c r="B2794" s="13" t="inlineStr">
        <is>
          <t>CW09</t>
        </is>
      </c>
      <c r="C2794" s="13" t="inlineStr">
        <is>
          <t>B3</t>
        </is>
      </c>
      <c r="D2794" s="13" t="n">
        <v>0</v>
      </c>
      <c r="E2794" s="13" t="inlineStr">
        <is>
          <t>W</t>
        </is>
      </c>
      <c r="F2794" s="13" t="n">
        <v>2026</v>
      </c>
      <c r="G2794" s="14" t="n">
        <v>8206144.489124911</v>
      </c>
      <c r="H2794" s="14" t="n">
        <v>3091314.757251336</v>
      </c>
      <c r="I2794" s="14" t="n">
        <v>928227.524209984</v>
      </c>
      <c r="J2794" s="14" t="n">
        <v>0</v>
      </c>
      <c r="K2794" s="14" t="n">
        <v>512135.0034506107</v>
      </c>
      <c r="L2794" s="14" t="n">
        <v>3674467.204212982</v>
      </c>
      <c r="M2794" s="14" t="n">
        <v>0</v>
      </c>
      <c r="N2794" s="14" t="n">
        <v>3126796.914020793</v>
      </c>
      <c r="O2794" s="14" t="n">
        <v>4609009.967759734</v>
      </c>
      <c r="P2794" s="14" t="n">
        <v>385905.048978469</v>
      </c>
      <c r="Q2794" s="14" t="n">
        <v>19993227.29383584</v>
      </c>
      <c r="R2794" s="15">
        <f>IF(D2794=1,"Section 1","Control")</f>
        <v/>
      </c>
      <c r="S2794" s="16">
        <f>N2794/10000</f>
        <v/>
      </c>
      <c r="T2794" s="16">
        <f>P2794/10000</f>
        <v/>
      </c>
      <c r="U2794" s="15">
        <f>IF(N2794&gt;=Summary!$D$3,1,0)</f>
        <v/>
      </c>
      <c r="V2794" s="17">
        <f>IF(N2794&gt;0,P2794/N2794,"")</f>
        <v/>
      </c>
      <c r="W2794" s="17">
        <f>IF(O2794&gt;0,H2794/O2794,"")</f>
        <v/>
      </c>
    </row>
    <row r="2795">
      <c r="A2795" s="13" t="inlineStr">
        <is>
          <t>CW09_F</t>
        </is>
      </c>
      <c r="B2795" s="13" t="inlineStr">
        <is>
          <t>CW09</t>
        </is>
      </c>
      <c r="C2795" s="13" t="inlineStr">
        <is>
          <t>F</t>
        </is>
      </c>
      <c r="D2795" s="13" t="n">
        <v>0</v>
      </c>
      <c r="E2795" s="13" t="inlineStr">
        <is>
          <t>W</t>
        </is>
      </c>
      <c r="F2795" s="13" t="n">
        <v>2020</v>
      </c>
      <c r="G2795" s="14" t="n">
        <v>70955.79660806096</v>
      </c>
      <c r="H2795" s="14" t="n">
        <v>59703.5441770965</v>
      </c>
      <c r="I2795" s="14" t="n">
        <v>4296.786172365675</v>
      </c>
      <c r="J2795" s="14" t="n">
        <v>0</v>
      </c>
      <c r="K2795" s="14" t="n">
        <v>6955.466258598778</v>
      </c>
      <c r="L2795" s="14" t="n">
        <v>0</v>
      </c>
      <c r="M2795" s="14" t="n">
        <v>0</v>
      </c>
      <c r="N2795" s="14" t="n">
        <v>59703.5441770965</v>
      </c>
      <c r="O2795" s="14" t="n">
        <v>70955.79660806096</v>
      </c>
      <c r="P2795" s="14" t="n">
        <v>0</v>
      </c>
      <c r="Q2795" s="14" t="n">
        <v>547309.6187890146</v>
      </c>
      <c r="R2795" s="15">
        <f>IF(D2795=1,"Section 1","Control")</f>
        <v/>
      </c>
      <c r="S2795" s="16">
        <f>N2795/10000</f>
        <v/>
      </c>
      <c r="T2795" s="16">
        <f>P2795/10000</f>
        <v/>
      </c>
      <c r="U2795" s="15">
        <f>IF(N2795&gt;=Summary!$D$3,1,0)</f>
        <v/>
      </c>
      <c r="V2795" s="17">
        <f>IF(N2795&gt;0,P2795/N2795,"")</f>
        <v/>
      </c>
      <c r="W2795" s="17">
        <f>IF(O2795&gt;0,H2795/O2795,"")</f>
        <v/>
      </c>
    </row>
    <row r="2796">
      <c r="A2796" s="13" t="inlineStr">
        <is>
          <t>CW09_F</t>
        </is>
      </c>
      <c r="B2796" s="13" t="inlineStr">
        <is>
          <t>CW09</t>
        </is>
      </c>
      <c r="C2796" s="13" t="inlineStr">
        <is>
          <t>F</t>
        </is>
      </c>
      <c r="D2796" s="13" t="n">
        <v>0</v>
      </c>
      <c r="E2796" s="13" t="inlineStr">
        <is>
          <t>W</t>
        </is>
      </c>
      <c r="F2796" s="13" t="n">
        <v>2021</v>
      </c>
      <c r="G2796" s="14" t="n">
        <v>70955.79660806096</v>
      </c>
      <c r="H2796" s="14" t="n">
        <v>56111.7924847472</v>
      </c>
      <c r="I2796" s="14" t="n">
        <v>4263.490918118347</v>
      </c>
      <c r="J2796" s="14" t="n">
        <v>0</v>
      </c>
      <c r="K2796" s="14" t="n">
        <v>10580.51320519541</v>
      </c>
      <c r="L2796" s="14" t="n">
        <v>0</v>
      </c>
      <c r="M2796" s="14" t="n">
        <v>0</v>
      </c>
      <c r="N2796" s="14" t="n">
        <v>59703.5441770965</v>
      </c>
      <c r="O2796" s="14" t="n">
        <v>70955.79660806096</v>
      </c>
      <c r="P2796" s="14" t="n">
        <v>3789.207060391295</v>
      </c>
      <c r="Q2796" s="14" t="n">
        <v>547309.6187890146</v>
      </c>
      <c r="R2796" s="15">
        <f>IF(D2796=1,"Section 1","Control")</f>
        <v/>
      </c>
      <c r="S2796" s="16">
        <f>N2796/10000</f>
        <v/>
      </c>
      <c r="T2796" s="16">
        <f>P2796/10000</f>
        <v/>
      </c>
      <c r="U2796" s="15">
        <f>IF(N2796&gt;=Summary!$D$3,1,0)</f>
        <v/>
      </c>
      <c r="V2796" s="17">
        <f>IF(N2796&gt;0,P2796/N2796,"")</f>
        <v/>
      </c>
      <c r="W2796" s="17">
        <f>IF(O2796&gt;0,H2796/O2796,"")</f>
        <v/>
      </c>
    </row>
    <row r="2797">
      <c r="A2797" s="13" t="inlineStr">
        <is>
          <t>CW09_F</t>
        </is>
      </c>
      <c r="B2797" s="13" t="inlineStr">
        <is>
          <t>CW09</t>
        </is>
      </c>
      <c r="C2797" s="13" t="inlineStr">
        <is>
          <t>F</t>
        </is>
      </c>
      <c r="D2797" s="13" t="n">
        <v>0</v>
      </c>
      <c r="E2797" s="13" t="inlineStr">
        <is>
          <t>W</t>
        </is>
      </c>
      <c r="F2797" s="13" t="n">
        <v>2022</v>
      </c>
      <c r="G2797" s="14" t="n">
        <v>70955.79660806096</v>
      </c>
      <c r="H2797" s="14" t="n">
        <v>55502.00393383551</v>
      </c>
      <c r="I2797" s="14" t="n">
        <v>4036.222901707069</v>
      </c>
      <c r="J2797" s="14" t="n">
        <v>0</v>
      </c>
      <c r="K2797" s="14" t="n">
        <v>11417.56977251838</v>
      </c>
      <c r="L2797" s="14" t="n">
        <v>0</v>
      </c>
      <c r="M2797" s="14" t="n">
        <v>0</v>
      </c>
      <c r="N2797" s="14" t="n">
        <v>59703.5441770965</v>
      </c>
      <c r="O2797" s="14" t="n">
        <v>70955.79660806096</v>
      </c>
      <c r="P2797" s="14" t="n">
        <v>4564.316267454858</v>
      </c>
      <c r="Q2797" s="14" t="n">
        <v>547309.6187890146</v>
      </c>
      <c r="R2797" s="15">
        <f>IF(D2797=1,"Section 1","Control")</f>
        <v/>
      </c>
      <c r="S2797" s="16">
        <f>N2797/10000</f>
        <v/>
      </c>
      <c r="T2797" s="16">
        <f>P2797/10000</f>
        <v/>
      </c>
      <c r="U2797" s="15">
        <f>IF(N2797&gt;=Summary!$D$3,1,0)</f>
        <v/>
      </c>
      <c r="V2797" s="17">
        <f>IF(N2797&gt;0,P2797/N2797,"")</f>
        <v/>
      </c>
      <c r="W2797" s="17">
        <f>IF(O2797&gt;0,H2797/O2797,"")</f>
        <v/>
      </c>
    </row>
    <row r="2798">
      <c r="A2798" s="13" t="inlineStr">
        <is>
          <t>CW09_F</t>
        </is>
      </c>
      <c r="B2798" s="13" t="inlineStr">
        <is>
          <t>CW09</t>
        </is>
      </c>
      <c r="C2798" s="13" t="inlineStr">
        <is>
          <t>F</t>
        </is>
      </c>
      <c r="D2798" s="13" t="n">
        <v>0</v>
      </c>
      <c r="E2798" s="13" t="inlineStr">
        <is>
          <t>W</t>
        </is>
      </c>
      <c r="F2798" s="13" t="n">
        <v>2023</v>
      </c>
      <c r="G2798" s="14" t="n">
        <v>70955.79660806096</v>
      </c>
      <c r="H2798" s="14" t="n">
        <v>53415.17181390501</v>
      </c>
      <c r="I2798" s="14" t="n">
        <v>5539.981617078593</v>
      </c>
      <c r="J2798" s="14" t="n">
        <v>0</v>
      </c>
      <c r="K2798" s="14" t="n">
        <v>12000.64317707735</v>
      </c>
      <c r="L2798" s="14" t="n">
        <v>0</v>
      </c>
      <c r="M2798" s="14" t="n">
        <v>0</v>
      </c>
      <c r="N2798" s="14" t="n">
        <v>59703.5441770965</v>
      </c>
      <c r="O2798" s="14" t="n">
        <v>70955.79660806096</v>
      </c>
      <c r="P2798" s="14" t="n">
        <v>6387.099970918542</v>
      </c>
      <c r="Q2798" s="14" t="n">
        <v>547309.6187890146</v>
      </c>
      <c r="R2798" s="15">
        <f>IF(D2798=1,"Section 1","Control")</f>
        <v/>
      </c>
      <c r="S2798" s="16">
        <f>N2798/10000</f>
        <v/>
      </c>
      <c r="T2798" s="16">
        <f>P2798/10000</f>
        <v/>
      </c>
      <c r="U2798" s="15">
        <f>IF(N2798&gt;=Summary!$D$3,1,0)</f>
        <v/>
      </c>
      <c r="V2798" s="17">
        <f>IF(N2798&gt;0,P2798/N2798,"")</f>
        <v/>
      </c>
      <c r="W2798" s="17">
        <f>IF(O2798&gt;0,H2798/O2798,"")</f>
        <v/>
      </c>
    </row>
    <row r="2799">
      <c r="A2799" s="13" t="inlineStr">
        <is>
          <t>CW09_F</t>
        </is>
      </c>
      <c r="B2799" s="13" t="inlineStr">
        <is>
          <t>CW09</t>
        </is>
      </c>
      <c r="C2799" s="13" t="inlineStr">
        <is>
          <t>F</t>
        </is>
      </c>
      <c r="D2799" s="13" t="n">
        <v>0</v>
      </c>
      <c r="E2799" s="13" t="inlineStr">
        <is>
          <t>W</t>
        </is>
      </c>
      <c r="F2799" s="13" t="n">
        <v>2024</v>
      </c>
      <c r="G2799" s="14" t="n">
        <v>70955.79660806096</v>
      </c>
      <c r="H2799" s="14" t="n">
        <v>53385.74690539791</v>
      </c>
      <c r="I2799" s="14" t="n">
        <v>5187.272286299163</v>
      </c>
      <c r="J2799" s="14" t="n">
        <v>0</v>
      </c>
      <c r="K2799" s="14" t="n">
        <v>12382.77741636388</v>
      </c>
      <c r="L2799" s="14" t="n">
        <v>0</v>
      </c>
      <c r="M2799" s="14" t="n">
        <v>0</v>
      </c>
      <c r="N2799" s="14" t="n">
        <v>59703.5441770965</v>
      </c>
      <c r="O2799" s="14" t="n">
        <v>70955.79660806096</v>
      </c>
      <c r="P2799" s="14" t="n">
        <v>6515.252639740587</v>
      </c>
      <c r="Q2799" s="14" t="n">
        <v>547309.6187890146</v>
      </c>
      <c r="R2799" s="15">
        <f>IF(D2799=1,"Section 1","Control")</f>
        <v/>
      </c>
      <c r="S2799" s="16">
        <f>N2799/10000</f>
        <v/>
      </c>
      <c r="T2799" s="16">
        <f>P2799/10000</f>
        <v/>
      </c>
      <c r="U2799" s="15">
        <f>IF(N2799&gt;=Summary!$D$3,1,0)</f>
        <v/>
      </c>
      <c r="V2799" s="17">
        <f>IF(N2799&gt;0,P2799/N2799,"")</f>
        <v/>
      </c>
      <c r="W2799" s="17">
        <f>IF(O2799&gt;0,H2799/O2799,"")</f>
        <v/>
      </c>
    </row>
    <row r="2800">
      <c r="A2800" s="13" t="inlineStr">
        <is>
          <t>CW09_F</t>
        </is>
      </c>
      <c r="B2800" s="13" t="inlineStr">
        <is>
          <t>CW09</t>
        </is>
      </c>
      <c r="C2800" s="13" t="inlineStr">
        <is>
          <t>F</t>
        </is>
      </c>
      <c r="D2800" s="13" t="n">
        <v>0</v>
      </c>
      <c r="E2800" s="13" t="inlineStr">
        <is>
          <t>W</t>
        </is>
      </c>
      <c r="F2800" s="13" t="n">
        <v>2025</v>
      </c>
      <c r="G2800" s="14" t="n">
        <v>70955.79660806096</v>
      </c>
      <c r="H2800" s="14" t="n">
        <v>53163.51313961254</v>
      </c>
      <c r="I2800" s="14" t="n">
        <v>6284.891607277065</v>
      </c>
      <c r="J2800" s="14" t="n">
        <v>0</v>
      </c>
      <c r="K2800" s="14" t="n">
        <v>11507.39186117135</v>
      </c>
      <c r="L2800" s="14" t="n">
        <v>0</v>
      </c>
      <c r="M2800" s="14" t="n">
        <v>0</v>
      </c>
      <c r="N2800" s="14" t="n">
        <v>59703.5441770965</v>
      </c>
      <c r="O2800" s="14" t="n">
        <v>70955.79660806096</v>
      </c>
      <c r="P2800" s="14" t="n">
        <v>6888.868891996495</v>
      </c>
      <c r="Q2800" s="14" t="n">
        <v>547309.6187890146</v>
      </c>
      <c r="R2800" s="15">
        <f>IF(D2800=1,"Section 1","Control")</f>
        <v/>
      </c>
      <c r="S2800" s="16">
        <f>N2800/10000</f>
        <v/>
      </c>
      <c r="T2800" s="16">
        <f>P2800/10000</f>
        <v/>
      </c>
      <c r="U2800" s="15">
        <f>IF(N2800&gt;=Summary!$D$3,1,0)</f>
        <v/>
      </c>
      <c r="V2800" s="17">
        <f>IF(N2800&gt;0,P2800/N2800,"")</f>
        <v/>
      </c>
      <c r="W2800" s="17">
        <f>IF(O2800&gt;0,H2800/O2800,"")</f>
        <v/>
      </c>
    </row>
    <row r="2801">
      <c r="A2801" s="13" t="inlineStr">
        <is>
          <t>CW09_F</t>
        </is>
      </c>
      <c r="B2801" s="13" t="inlineStr">
        <is>
          <t>CW09</t>
        </is>
      </c>
      <c r="C2801" s="13" t="inlineStr">
        <is>
          <t>F</t>
        </is>
      </c>
      <c r="D2801" s="13" t="n">
        <v>0</v>
      </c>
      <c r="E2801" s="13" t="inlineStr">
        <is>
          <t>W</t>
        </is>
      </c>
      <c r="F2801" s="13" t="n">
        <v>2026</v>
      </c>
      <c r="G2801" s="14" t="n">
        <v>70955.79660806096</v>
      </c>
      <c r="H2801" s="14" t="n">
        <v>53135.63606390859</v>
      </c>
      <c r="I2801" s="14" t="n">
        <v>6231.075948707728</v>
      </c>
      <c r="J2801" s="14" t="n">
        <v>0</v>
      </c>
      <c r="K2801" s="14" t="n">
        <v>11589.08459544462</v>
      </c>
      <c r="L2801" s="14" t="n">
        <v>0</v>
      </c>
      <c r="M2801" s="14" t="n">
        <v>0</v>
      </c>
      <c r="N2801" s="14" t="n">
        <v>59703.5441770965</v>
      </c>
      <c r="O2801" s="14" t="n">
        <v>70955.79660806096</v>
      </c>
      <c r="P2801" s="14" t="n">
        <v>6974.046745150696</v>
      </c>
      <c r="Q2801" s="14" t="n">
        <v>547309.6187890146</v>
      </c>
      <c r="R2801" s="15">
        <f>IF(D2801=1,"Section 1","Control")</f>
        <v/>
      </c>
      <c r="S2801" s="16">
        <f>N2801/10000</f>
        <v/>
      </c>
      <c r="T2801" s="16">
        <f>P2801/10000</f>
        <v/>
      </c>
      <c r="U2801" s="15">
        <f>IF(N2801&gt;=Summary!$D$3,1,0)</f>
        <v/>
      </c>
      <c r="V2801" s="17">
        <f>IF(N2801&gt;0,P2801/N2801,"")</f>
        <v/>
      </c>
      <c r="W2801" s="17">
        <f>IF(O2801&gt;0,H2801/O2801,"")</f>
        <v/>
      </c>
    </row>
    <row r="2802">
      <c r="A2802" s="13" t="inlineStr">
        <is>
          <t>CW10_B1</t>
        </is>
      </c>
      <c r="B2802" s="13" t="inlineStr">
        <is>
          <t>CW10</t>
        </is>
      </c>
      <c r="C2802" s="13" t="inlineStr">
        <is>
          <t>B1</t>
        </is>
      </c>
      <c r="D2802" s="13" t="n">
        <v>0</v>
      </c>
      <c r="E2802" s="13" t="inlineStr">
        <is>
          <t>W</t>
        </is>
      </c>
      <c r="F2802" s="13" t="n">
        <v>2020</v>
      </c>
      <c r="G2802" s="14" t="n">
        <v>1001343.108198278</v>
      </c>
      <c r="H2802" s="14" t="n">
        <v>580416.2095711802</v>
      </c>
      <c r="I2802" s="14" t="n">
        <v>325987.8618255316</v>
      </c>
      <c r="J2802" s="14" t="n">
        <v>0</v>
      </c>
      <c r="K2802" s="14" t="n">
        <v>94939.03680156633</v>
      </c>
      <c r="L2802" s="14" t="n">
        <v>0</v>
      </c>
      <c r="M2802" s="14" t="n">
        <v>0</v>
      </c>
      <c r="N2802" s="14" t="n">
        <v>580416.2095711802</v>
      </c>
      <c r="O2802" s="14" t="n">
        <v>1001343.108198278</v>
      </c>
      <c r="P2802" s="14" t="n">
        <v>0</v>
      </c>
      <c r="Q2802" s="14" t="n">
        <v>6792178.125124196</v>
      </c>
      <c r="R2802" s="15">
        <f>IF(D2802=1,"Section 1","Control")</f>
        <v/>
      </c>
      <c r="S2802" s="16">
        <f>N2802/10000</f>
        <v/>
      </c>
      <c r="T2802" s="16">
        <f>P2802/10000</f>
        <v/>
      </c>
      <c r="U2802" s="15">
        <f>IF(N2802&gt;=Summary!$D$3,1,0)</f>
        <v/>
      </c>
      <c r="V2802" s="17">
        <f>IF(N2802&gt;0,P2802/N2802,"")</f>
        <v/>
      </c>
      <c r="W2802" s="17">
        <f>IF(O2802&gt;0,H2802/O2802,"")</f>
        <v/>
      </c>
    </row>
    <row r="2803">
      <c r="A2803" s="13" t="inlineStr">
        <is>
          <t>CW10_B1</t>
        </is>
      </c>
      <c r="B2803" s="13" t="inlineStr">
        <is>
          <t>CW10</t>
        </is>
      </c>
      <c r="C2803" s="13" t="inlineStr">
        <is>
          <t>B1</t>
        </is>
      </c>
      <c r="D2803" s="13" t="n">
        <v>0</v>
      </c>
      <c r="E2803" s="13" t="inlineStr">
        <is>
          <t>W</t>
        </is>
      </c>
      <c r="F2803" s="13" t="n">
        <v>2021</v>
      </c>
      <c r="G2803" s="14" t="n">
        <v>1001343.108198278</v>
      </c>
      <c r="H2803" s="14" t="n">
        <v>420541.0818973617</v>
      </c>
      <c r="I2803" s="14" t="n">
        <v>171994.9715281767</v>
      </c>
      <c r="J2803" s="14" t="n">
        <v>0</v>
      </c>
      <c r="K2803" s="14" t="n">
        <v>408807.0547727398</v>
      </c>
      <c r="L2803" s="14" t="n">
        <v>0</v>
      </c>
      <c r="M2803" s="14" t="n">
        <v>0</v>
      </c>
      <c r="N2803" s="14" t="n">
        <v>580416.2095711802</v>
      </c>
      <c r="O2803" s="14" t="n">
        <v>1001343.108198278</v>
      </c>
      <c r="P2803" s="14" t="n">
        <v>176763.3272098018</v>
      </c>
      <c r="Q2803" s="14" t="n">
        <v>6792178.125124196</v>
      </c>
      <c r="R2803" s="15">
        <f>IF(D2803=1,"Section 1","Control")</f>
        <v/>
      </c>
      <c r="S2803" s="16">
        <f>N2803/10000</f>
        <v/>
      </c>
      <c r="T2803" s="16">
        <f>P2803/10000</f>
        <v/>
      </c>
      <c r="U2803" s="15">
        <f>IF(N2803&gt;=Summary!$D$3,1,0)</f>
        <v/>
      </c>
      <c r="V2803" s="17">
        <f>IF(N2803&gt;0,P2803/N2803,"")</f>
        <v/>
      </c>
      <c r="W2803" s="17">
        <f>IF(O2803&gt;0,H2803/O2803,"")</f>
        <v/>
      </c>
    </row>
    <row r="2804">
      <c r="A2804" s="13" t="inlineStr">
        <is>
          <t>CW10_B1</t>
        </is>
      </c>
      <c r="B2804" s="13" t="inlineStr">
        <is>
          <t>CW10</t>
        </is>
      </c>
      <c r="C2804" s="13" t="inlineStr">
        <is>
          <t>B1</t>
        </is>
      </c>
      <c r="D2804" s="13" t="n">
        <v>0</v>
      </c>
      <c r="E2804" s="13" t="inlineStr">
        <is>
          <t>W</t>
        </is>
      </c>
      <c r="F2804" s="13" t="n">
        <v>2022</v>
      </c>
      <c r="G2804" s="14" t="n">
        <v>1001343.108198278</v>
      </c>
      <c r="H2804" s="14" t="n">
        <v>402656.6322362863</v>
      </c>
      <c r="I2804" s="14" t="n">
        <v>343155.3479775223</v>
      </c>
      <c r="J2804" s="14" t="n">
        <v>0</v>
      </c>
      <c r="K2804" s="14" t="n">
        <v>255531.1279844696</v>
      </c>
      <c r="L2804" s="14" t="n">
        <v>0</v>
      </c>
      <c r="M2804" s="14" t="n">
        <v>0</v>
      </c>
      <c r="N2804" s="14" t="n">
        <v>580416.2095711802</v>
      </c>
      <c r="O2804" s="14" t="n">
        <v>1001343.108198278</v>
      </c>
      <c r="P2804" s="14" t="n">
        <v>191647.220899724</v>
      </c>
      <c r="Q2804" s="14" t="n">
        <v>6792178.125124196</v>
      </c>
      <c r="R2804" s="15">
        <f>IF(D2804=1,"Section 1","Control")</f>
        <v/>
      </c>
      <c r="S2804" s="16">
        <f>N2804/10000</f>
        <v/>
      </c>
      <c r="T2804" s="16">
        <f>P2804/10000</f>
        <v/>
      </c>
      <c r="U2804" s="15">
        <f>IF(N2804&gt;=Summary!$D$3,1,0)</f>
        <v/>
      </c>
      <c r="V2804" s="17">
        <f>IF(N2804&gt;0,P2804/N2804,"")</f>
        <v/>
      </c>
      <c r="W2804" s="17">
        <f>IF(O2804&gt;0,H2804/O2804,"")</f>
        <v/>
      </c>
    </row>
    <row r="2805">
      <c r="A2805" s="13" t="inlineStr">
        <is>
          <t>CW10_B1</t>
        </is>
      </c>
      <c r="B2805" s="13" t="inlineStr">
        <is>
          <t>CW10</t>
        </is>
      </c>
      <c r="C2805" s="13" t="inlineStr">
        <is>
          <t>B1</t>
        </is>
      </c>
      <c r="D2805" s="13" t="n">
        <v>0</v>
      </c>
      <c r="E2805" s="13" t="inlineStr">
        <is>
          <t>W</t>
        </is>
      </c>
      <c r="F2805" s="13" t="n">
        <v>2023</v>
      </c>
      <c r="G2805" s="14" t="n">
        <v>1001343.108198278</v>
      </c>
      <c r="H2805" s="14" t="n">
        <v>355895.0847568287</v>
      </c>
      <c r="I2805" s="14" t="n">
        <v>388083.9564092897</v>
      </c>
      <c r="J2805" s="14" t="n">
        <v>0</v>
      </c>
      <c r="K2805" s="14" t="n">
        <v>257364.0670321596</v>
      </c>
      <c r="L2805" s="14" t="n">
        <v>0</v>
      </c>
      <c r="M2805" s="14" t="n">
        <v>0</v>
      </c>
      <c r="N2805" s="14" t="n">
        <v>580416.2095711802</v>
      </c>
      <c r="O2805" s="14" t="n">
        <v>1001343.108198278</v>
      </c>
      <c r="P2805" s="14" t="n">
        <v>232767.3901767207</v>
      </c>
      <c r="Q2805" s="14" t="n">
        <v>6792178.125124197</v>
      </c>
      <c r="R2805" s="15">
        <f>IF(D2805=1,"Section 1","Control")</f>
        <v/>
      </c>
      <c r="S2805" s="16">
        <f>N2805/10000</f>
        <v/>
      </c>
      <c r="T2805" s="16">
        <f>P2805/10000</f>
        <v/>
      </c>
      <c r="U2805" s="15">
        <f>IF(N2805&gt;=Summary!$D$3,1,0)</f>
        <v/>
      </c>
      <c r="V2805" s="17">
        <f>IF(N2805&gt;0,P2805/N2805,"")</f>
        <v/>
      </c>
      <c r="W2805" s="17">
        <f>IF(O2805&gt;0,H2805/O2805,"")</f>
        <v/>
      </c>
    </row>
    <row r="2806">
      <c r="A2806" s="13" t="inlineStr">
        <is>
          <t>CW10_B1</t>
        </is>
      </c>
      <c r="B2806" s="13" t="inlineStr">
        <is>
          <t>CW10</t>
        </is>
      </c>
      <c r="C2806" s="13" t="inlineStr">
        <is>
          <t>B1</t>
        </is>
      </c>
      <c r="D2806" s="13" t="n">
        <v>0</v>
      </c>
      <c r="E2806" s="13" t="inlineStr">
        <is>
          <t>W</t>
        </is>
      </c>
      <c r="F2806" s="13" t="n">
        <v>2024</v>
      </c>
      <c r="G2806" s="14" t="n">
        <v>1001343.108198278</v>
      </c>
      <c r="H2806" s="14" t="n">
        <v>407606.2243123672</v>
      </c>
      <c r="I2806" s="14" t="n">
        <v>414693.3909995584</v>
      </c>
      <c r="J2806" s="14" t="n">
        <v>0</v>
      </c>
      <c r="K2806" s="14" t="n">
        <v>179043.4928863526</v>
      </c>
      <c r="L2806" s="14" t="n">
        <v>0</v>
      </c>
      <c r="M2806" s="14" t="n">
        <v>0</v>
      </c>
      <c r="N2806" s="14" t="n">
        <v>580416.2095711802</v>
      </c>
      <c r="O2806" s="14" t="n">
        <v>1001343.108198278</v>
      </c>
      <c r="P2806" s="14" t="n">
        <v>198547.2822751214</v>
      </c>
      <c r="Q2806" s="14" t="n">
        <v>6792178.125124196</v>
      </c>
      <c r="R2806" s="15">
        <f>IF(D2806=1,"Section 1","Control")</f>
        <v/>
      </c>
      <c r="S2806" s="16">
        <f>N2806/10000</f>
        <v/>
      </c>
      <c r="T2806" s="16">
        <f>P2806/10000</f>
        <v/>
      </c>
      <c r="U2806" s="15">
        <f>IF(N2806&gt;=Summary!$D$3,1,0)</f>
        <v/>
      </c>
      <c r="V2806" s="17">
        <f>IF(N2806&gt;0,P2806/N2806,"")</f>
        <v/>
      </c>
      <c r="W2806" s="17">
        <f>IF(O2806&gt;0,H2806/O2806,"")</f>
        <v/>
      </c>
    </row>
    <row r="2807">
      <c r="A2807" s="13" t="inlineStr">
        <is>
          <t>CW10_B1</t>
        </is>
      </c>
      <c r="B2807" s="13" t="inlineStr">
        <is>
          <t>CW10</t>
        </is>
      </c>
      <c r="C2807" s="13" t="inlineStr">
        <is>
          <t>B1</t>
        </is>
      </c>
      <c r="D2807" s="13" t="n">
        <v>0</v>
      </c>
      <c r="E2807" s="13" t="inlineStr">
        <is>
          <t>W</t>
        </is>
      </c>
      <c r="F2807" s="13" t="n">
        <v>2025</v>
      </c>
      <c r="G2807" s="14" t="n">
        <v>1001343.108198278</v>
      </c>
      <c r="H2807" s="14" t="n">
        <v>335490.6096565695</v>
      </c>
      <c r="I2807" s="14" t="n">
        <v>571910.1114370308</v>
      </c>
      <c r="J2807" s="14" t="n">
        <v>0</v>
      </c>
      <c r="K2807" s="14" t="n">
        <v>93942.38710467768</v>
      </c>
      <c r="L2807" s="14" t="n">
        <v>0</v>
      </c>
      <c r="M2807" s="14" t="n">
        <v>0</v>
      </c>
      <c r="N2807" s="14" t="n">
        <v>580416.2095711802</v>
      </c>
      <c r="O2807" s="14" t="n">
        <v>1001343.108198278</v>
      </c>
      <c r="P2807" s="14" t="n">
        <v>254351.5500479904</v>
      </c>
      <c r="Q2807" s="14" t="n">
        <v>6792178.125124196</v>
      </c>
      <c r="R2807" s="15">
        <f>IF(D2807=1,"Section 1","Control")</f>
        <v/>
      </c>
      <c r="S2807" s="16">
        <f>N2807/10000</f>
        <v/>
      </c>
      <c r="T2807" s="16">
        <f>P2807/10000</f>
        <v/>
      </c>
      <c r="U2807" s="15">
        <f>IF(N2807&gt;=Summary!$D$3,1,0)</f>
        <v/>
      </c>
      <c r="V2807" s="17">
        <f>IF(N2807&gt;0,P2807/N2807,"")</f>
        <v/>
      </c>
      <c r="W2807" s="17">
        <f>IF(O2807&gt;0,H2807/O2807,"")</f>
        <v/>
      </c>
    </row>
    <row r="2808">
      <c r="A2808" s="13" t="inlineStr">
        <is>
          <t>CW10_B1</t>
        </is>
      </c>
      <c r="B2808" s="13" t="inlineStr">
        <is>
          <t>CW10</t>
        </is>
      </c>
      <c r="C2808" s="13" t="inlineStr">
        <is>
          <t>B1</t>
        </is>
      </c>
      <c r="D2808" s="13" t="n">
        <v>0</v>
      </c>
      <c r="E2808" s="13" t="inlineStr">
        <is>
          <t>W</t>
        </is>
      </c>
      <c r="F2808" s="13" t="n">
        <v>2026</v>
      </c>
      <c r="G2808" s="14" t="n">
        <v>1001343.108198278</v>
      </c>
      <c r="H2808" s="14" t="n">
        <v>463205.7595919442</v>
      </c>
      <c r="I2808" s="14" t="n">
        <v>282756.4352276073</v>
      </c>
      <c r="J2808" s="14" t="n">
        <v>0</v>
      </c>
      <c r="K2808" s="14" t="n">
        <v>255380.9133787268</v>
      </c>
      <c r="L2808" s="14" t="n">
        <v>0</v>
      </c>
      <c r="M2808" s="14" t="n">
        <v>0</v>
      </c>
      <c r="N2808" s="14" t="n">
        <v>580416.2095711802</v>
      </c>
      <c r="O2808" s="14" t="n">
        <v>1001343.108198278</v>
      </c>
      <c r="P2808" s="14" t="n">
        <v>171090.9460363351</v>
      </c>
      <c r="Q2808" s="14" t="n">
        <v>6792178.125124196</v>
      </c>
      <c r="R2808" s="15">
        <f>IF(D2808=1,"Section 1","Control")</f>
        <v/>
      </c>
      <c r="S2808" s="16">
        <f>N2808/10000</f>
        <v/>
      </c>
      <c r="T2808" s="16">
        <f>P2808/10000</f>
        <v/>
      </c>
      <c r="U2808" s="15">
        <f>IF(N2808&gt;=Summary!$D$3,1,0)</f>
        <v/>
      </c>
      <c r="V2808" s="17">
        <f>IF(N2808&gt;0,P2808/N2808,"")</f>
        <v/>
      </c>
      <c r="W2808" s="17">
        <f>IF(O2808&gt;0,H2808/O2808,"")</f>
        <v/>
      </c>
    </row>
    <row r="2809">
      <c r="A2809" s="13" t="inlineStr">
        <is>
          <t>CW10_B2</t>
        </is>
      </c>
      <c r="B2809" s="13" t="inlineStr">
        <is>
          <t>CW10</t>
        </is>
      </c>
      <c r="C2809" s="13" t="inlineStr">
        <is>
          <t>B2</t>
        </is>
      </c>
      <c r="D2809" s="13" t="n">
        <v>0</v>
      </c>
      <c r="E2809" s="13" t="inlineStr">
        <is>
          <t>W</t>
        </is>
      </c>
      <c r="F2809" s="13" t="n">
        <v>2020</v>
      </c>
      <c r="G2809" s="14" t="n">
        <v>1001188.236814432</v>
      </c>
      <c r="H2809" s="14" t="n">
        <v>674552.6616372799</v>
      </c>
      <c r="I2809" s="14" t="n">
        <v>284129.9609607472</v>
      </c>
      <c r="J2809" s="14" t="n">
        <v>0</v>
      </c>
      <c r="K2809" s="14" t="n">
        <v>42505.61421640434</v>
      </c>
      <c r="L2809" s="14" t="n">
        <v>0</v>
      </c>
      <c r="M2809" s="14" t="n">
        <v>0</v>
      </c>
      <c r="N2809" s="14" t="n">
        <v>674552.6616372799</v>
      </c>
      <c r="O2809" s="14" t="n">
        <v>1001188.236814432</v>
      </c>
      <c r="P2809" s="14" t="n">
        <v>0</v>
      </c>
      <c r="Q2809" s="14" t="n">
        <v>7931220.740508646</v>
      </c>
      <c r="R2809" s="15">
        <f>IF(D2809=1,"Section 1","Control")</f>
        <v/>
      </c>
      <c r="S2809" s="16">
        <f>N2809/10000</f>
        <v/>
      </c>
      <c r="T2809" s="16">
        <f>P2809/10000</f>
        <v/>
      </c>
      <c r="U2809" s="15">
        <f>IF(N2809&gt;=Summary!$D$3,1,0)</f>
        <v/>
      </c>
      <c r="V2809" s="17">
        <f>IF(N2809&gt;0,P2809/N2809,"")</f>
        <v/>
      </c>
      <c r="W2809" s="17">
        <f>IF(O2809&gt;0,H2809/O2809,"")</f>
        <v/>
      </c>
    </row>
    <row r="2810">
      <c r="A2810" s="13" t="inlineStr">
        <is>
          <t>CW10_B2</t>
        </is>
      </c>
      <c r="B2810" s="13" t="inlineStr">
        <is>
          <t>CW10</t>
        </is>
      </c>
      <c r="C2810" s="13" t="inlineStr">
        <is>
          <t>B2</t>
        </is>
      </c>
      <c r="D2810" s="13" t="n">
        <v>0</v>
      </c>
      <c r="E2810" s="13" t="inlineStr">
        <is>
          <t>W</t>
        </is>
      </c>
      <c r="F2810" s="13" t="n">
        <v>2021</v>
      </c>
      <c r="G2810" s="14" t="n">
        <v>1001188.236814432</v>
      </c>
      <c r="H2810" s="14" t="n">
        <v>591499.7040820851</v>
      </c>
      <c r="I2810" s="14" t="n">
        <v>252880.213831823</v>
      </c>
      <c r="J2810" s="14" t="n">
        <v>0</v>
      </c>
      <c r="K2810" s="14" t="n">
        <v>156808.3189005234</v>
      </c>
      <c r="L2810" s="14" t="n">
        <v>0</v>
      </c>
      <c r="M2810" s="14" t="n">
        <v>0</v>
      </c>
      <c r="N2810" s="14" t="n">
        <v>674552.6616372799</v>
      </c>
      <c r="O2810" s="14" t="n">
        <v>1001188.236814432</v>
      </c>
      <c r="P2810" s="14" t="n">
        <v>93492.66457127591</v>
      </c>
      <c r="Q2810" s="14" t="n">
        <v>7931220.740508646</v>
      </c>
      <c r="R2810" s="15">
        <f>IF(D2810=1,"Section 1","Control")</f>
        <v/>
      </c>
      <c r="S2810" s="16">
        <f>N2810/10000</f>
        <v/>
      </c>
      <c r="T2810" s="16">
        <f>P2810/10000</f>
        <v/>
      </c>
      <c r="U2810" s="15">
        <f>IF(N2810&gt;=Summary!$D$3,1,0)</f>
        <v/>
      </c>
      <c r="V2810" s="17">
        <f>IF(N2810&gt;0,P2810/N2810,"")</f>
        <v/>
      </c>
      <c r="W2810" s="17">
        <f>IF(O2810&gt;0,H2810/O2810,"")</f>
        <v/>
      </c>
    </row>
    <row r="2811">
      <c r="A2811" s="13" t="inlineStr">
        <is>
          <t>CW10_B2</t>
        </is>
      </c>
      <c r="B2811" s="13" t="inlineStr">
        <is>
          <t>CW10</t>
        </is>
      </c>
      <c r="C2811" s="13" t="inlineStr">
        <is>
          <t>B2</t>
        </is>
      </c>
      <c r="D2811" s="13" t="n">
        <v>0</v>
      </c>
      <c r="E2811" s="13" t="inlineStr">
        <is>
          <t>W</t>
        </is>
      </c>
      <c r="F2811" s="13" t="n">
        <v>2022</v>
      </c>
      <c r="G2811" s="14" t="n">
        <v>1001188.236814432</v>
      </c>
      <c r="H2811" s="14" t="n">
        <v>560985.532707663</v>
      </c>
      <c r="I2811" s="14" t="n">
        <v>294813.9794541602</v>
      </c>
      <c r="J2811" s="14" t="n">
        <v>0</v>
      </c>
      <c r="K2811" s="14" t="n">
        <v>145388.7246526081</v>
      </c>
      <c r="L2811" s="14" t="n">
        <v>0</v>
      </c>
      <c r="M2811" s="14" t="n">
        <v>0</v>
      </c>
      <c r="N2811" s="14" t="n">
        <v>674552.6616372798</v>
      </c>
      <c r="O2811" s="14" t="n">
        <v>1001188.236814432</v>
      </c>
      <c r="P2811" s="14" t="n">
        <v>116416.3220009598</v>
      </c>
      <c r="Q2811" s="14" t="n">
        <v>7931220.740508646</v>
      </c>
      <c r="R2811" s="15">
        <f>IF(D2811=1,"Section 1","Control")</f>
        <v/>
      </c>
      <c r="S2811" s="16">
        <f>N2811/10000</f>
        <v/>
      </c>
      <c r="T2811" s="16">
        <f>P2811/10000</f>
        <v/>
      </c>
      <c r="U2811" s="15">
        <f>IF(N2811&gt;=Summary!$D$3,1,0)</f>
        <v/>
      </c>
      <c r="V2811" s="17">
        <f>IF(N2811&gt;0,P2811/N2811,"")</f>
        <v/>
      </c>
      <c r="W2811" s="17">
        <f>IF(O2811&gt;0,H2811/O2811,"")</f>
        <v/>
      </c>
    </row>
    <row r="2812">
      <c r="A2812" s="13" t="inlineStr">
        <is>
          <t>CW10_B2</t>
        </is>
      </c>
      <c r="B2812" s="13" t="inlineStr">
        <is>
          <t>CW10</t>
        </is>
      </c>
      <c r="C2812" s="13" t="inlineStr">
        <is>
          <t>B2</t>
        </is>
      </c>
      <c r="D2812" s="13" t="n">
        <v>0</v>
      </c>
      <c r="E2812" s="13" t="inlineStr">
        <is>
          <t>W</t>
        </is>
      </c>
      <c r="F2812" s="13" t="n">
        <v>2023</v>
      </c>
      <c r="G2812" s="14" t="n">
        <v>1001188.236814432</v>
      </c>
      <c r="H2812" s="14" t="n">
        <v>543551.6282999375</v>
      </c>
      <c r="I2812" s="14" t="n">
        <v>304243.4892945533</v>
      </c>
      <c r="J2812" s="14" t="n">
        <v>0</v>
      </c>
      <c r="K2812" s="14" t="n">
        <v>153393.1192199407</v>
      </c>
      <c r="L2812" s="14" t="n">
        <v>0</v>
      </c>
      <c r="M2812" s="14" t="n">
        <v>0</v>
      </c>
      <c r="N2812" s="14" t="n">
        <v>674552.6616372799</v>
      </c>
      <c r="O2812" s="14" t="n">
        <v>1001188.236814432</v>
      </c>
      <c r="P2812" s="14" t="n">
        <v>132584.1807350906</v>
      </c>
      <c r="Q2812" s="14" t="n">
        <v>7931220.740508644</v>
      </c>
      <c r="R2812" s="15">
        <f>IF(D2812=1,"Section 1","Control")</f>
        <v/>
      </c>
      <c r="S2812" s="16">
        <f>N2812/10000</f>
        <v/>
      </c>
      <c r="T2812" s="16">
        <f>P2812/10000</f>
        <v/>
      </c>
      <c r="U2812" s="15">
        <f>IF(N2812&gt;=Summary!$D$3,1,0)</f>
        <v/>
      </c>
      <c r="V2812" s="17">
        <f>IF(N2812&gt;0,P2812/N2812,"")</f>
        <v/>
      </c>
      <c r="W2812" s="17">
        <f>IF(O2812&gt;0,H2812/O2812,"")</f>
        <v/>
      </c>
    </row>
    <row r="2813">
      <c r="A2813" s="13" t="inlineStr">
        <is>
          <t>CW10_B2</t>
        </is>
      </c>
      <c r="B2813" s="13" t="inlineStr">
        <is>
          <t>CW10</t>
        </is>
      </c>
      <c r="C2813" s="13" t="inlineStr">
        <is>
          <t>B2</t>
        </is>
      </c>
      <c r="D2813" s="13" t="n">
        <v>0</v>
      </c>
      <c r="E2813" s="13" t="inlineStr">
        <is>
          <t>W</t>
        </is>
      </c>
      <c r="F2813" s="13" t="n">
        <v>2024</v>
      </c>
      <c r="G2813" s="14" t="n">
        <v>1001188.236814432</v>
      </c>
      <c r="H2813" s="14" t="n">
        <v>598224.9688479853</v>
      </c>
      <c r="I2813" s="14" t="n">
        <v>303608.9196939805</v>
      </c>
      <c r="J2813" s="14" t="n">
        <v>0</v>
      </c>
      <c r="K2813" s="14" t="n">
        <v>99354.34827246572</v>
      </c>
      <c r="L2813" s="14" t="n">
        <v>0</v>
      </c>
      <c r="M2813" s="14" t="n">
        <v>0</v>
      </c>
      <c r="N2813" s="14" t="n">
        <v>674552.6616372799</v>
      </c>
      <c r="O2813" s="14" t="n">
        <v>1001188.236814432</v>
      </c>
      <c r="P2813" s="14" t="n">
        <v>99709.40815474567</v>
      </c>
      <c r="Q2813" s="14" t="n">
        <v>7931220.740508646</v>
      </c>
      <c r="R2813" s="15">
        <f>IF(D2813=1,"Section 1","Control")</f>
        <v/>
      </c>
      <c r="S2813" s="16">
        <f>N2813/10000</f>
        <v/>
      </c>
      <c r="T2813" s="16">
        <f>P2813/10000</f>
        <v/>
      </c>
      <c r="U2813" s="15">
        <f>IF(N2813&gt;=Summary!$D$3,1,0)</f>
        <v/>
      </c>
      <c r="V2813" s="17">
        <f>IF(N2813&gt;0,P2813/N2813,"")</f>
        <v/>
      </c>
      <c r="W2813" s="17">
        <f>IF(O2813&gt;0,H2813/O2813,"")</f>
        <v/>
      </c>
    </row>
    <row r="2814">
      <c r="A2814" s="13" t="inlineStr">
        <is>
          <t>CW10_B2</t>
        </is>
      </c>
      <c r="B2814" s="13" t="inlineStr">
        <is>
          <t>CW10</t>
        </is>
      </c>
      <c r="C2814" s="13" t="inlineStr">
        <is>
          <t>B2</t>
        </is>
      </c>
      <c r="D2814" s="13" t="n">
        <v>0</v>
      </c>
      <c r="E2814" s="13" t="inlineStr">
        <is>
          <t>W</t>
        </is>
      </c>
      <c r="F2814" s="13" t="n">
        <v>2025</v>
      </c>
      <c r="G2814" s="14" t="n">
        <v>1001188.236814432</v>
      </c>
      <c r="H2814" s="14" t="n">
        <v>534959.5008126949</v>
      </c>
      <c r="I2814" s="14" t="n">
        <v>410902.3923620486</v>
      </c>
      <c r="J2814" s="14" t="n">
        <v>0</v>
      </c>
      <c r="K2814" s="14" t="n">
        <v>55326.34363968793</v>
      </c>
      <c r="L2814" s="14" t="n">
        <v>0</v>
      </c>
      <c r="M2814" s="14" t="n">
        <v>0</v>
      </c>
      <c r="N2814" s="14" t="n">
        <v>674552.6616372799</v>
      </c>
      <c r="O2814" s="14" t="n">
        <v>1001188.236814432</v>
      </c>
      <c r="P2814" s="14" t="n">
        <v>140959.4873303581</v>
      </c>
      <c r="Q2814" s="14" t="n">
        <v>7931220.740508646</v>
      </c>
      <c r="R2814" s="15">
        <f>IF(D2814=1,"Section 1","Control")</f>
        <v/>
      </c>
      <c r="S2814" s="16">
        <f>N2814/10000</f>
        <v/>
      </c>
      <c r="T2814" s="16">
        <f>P2814/10000</f>
        <v/>
      </c>
      <c r="U2814" s="15">
        <f>IF(N2814&gt;=Summary!$D$3,1,0)</f>
        <v/>
      </c>
      <c r="V2814" s="17">
        <f>IF(N2814&gt;0,P2814/N2814,"")</f>
        <v/>
      </c>
      <c r="W2814" s="17">
        <f>IF(O2814&gt;0,H2814/O2814,"")</f>
        <v/>
      </c>
    </row>
    <row r="2815">
      <c r="A2815" s="13" t="inlineStr">
        <is>
          <t>CW10_B2</t>
        </is>
      </c>
      <c r="B2815" s="13" t="inlineStr">
        <is>
          <t>CW10</t>
        </is>
      </c>
      <c r="C2815" s="13" t="inlineStr">
        <is>
          <t>B2</t>
        </is>
      </c>
      <c r="D2815" s="13" t="n">
        <v>0</v>
      </c>
      <c r="E2815" s="13" t="inlineStr">
        <is>
          <t>W</t>
        </is>
      </c>
      <c r="F2815" s="13" t="n">
        <v>2026</v>
      </c>
      <c r="G2815" s="14" t="n">
        <v>1001188.236814432</v>
      </c>
      <c r="H2815" s="14" t="n">
        <v>631902.2815141864</v>
      </c>
      <c r="I2815" s="14" t="n">
        <v>249468.741396646</v>
      </c>
      <c r="J2815" s="14" t="n">
        <v>0</v>
      </c>
      <c r="K2815" s="14" t="n">
        <v>119817.2139035992</v>
      </c>
      <c r="L2815" s="14" t="n">
        <v>0</v>
      </c>
      <c r="M2815" s="14" t="n">
        <v>0</v>
      </c>
      <c r="N2815" s="14" t="n">
        <v>674552.6616372799</v>
      </c>
      <c r="O2815" s="14" t="n">
        <v>1001188.236814432</v>
      </c>
      <c r="P2815" s="14" t="n">
        <v>87079.12674814861</v>
      </c>
      <c r="Q2815" s="14" t="n">
        <v>7931220.740508646</v>
      </c>
      <c r="R2815" s="15">
        <f>IF(D2815=1,"Section 1","Control")</f>
        <v/>
      </c>
      <c r="S2815" s="16">
        <f>N2815/10000</f>
        <v/>
      </c>
      <c r="T2815" s="16">
        <f>P2815/10000</f>
        <v/>
      </c>
      <c r="U2815" s="15">
        <f>IF(N2815&gt;=Summary!$D$3,1,0)</f>
        <v/>
      </c>
      <c r="V2815" s="17">
        <f>IF(N2815&gt;0,P2815/N2815,"")</f>
        <v/>
      </c>
      <c r="W2815" s="17">
        <f>IF(O2815&gt;0,H2815/O2815,"")</f>
        <v/>
      </c>
    </row>
    <row r="2816">
      <c r="A2816" s="13" t="inlineStr">
        <is>
          <t>CW10_B3</t>
        </is>
      </c>
      <c r="B2816" s="13" t="inlineStr">
        <is>
          <t>CW10</t>
        </is>
      </c>
      <c r="C2816" s="13" t="inlineStr">
        <is>
          <t>B3</t>
        </is>
      </c>
      <c r="D2816" s="13" t="n">
        <v>0</v>
      </c>
      <c r="E2816" s="13" t="inlineStr">
        <is>
          <t>W</t>
        </is>
      </c>
      <c r="F2816" s="13" t="n">
        <v>2020</v>
      </c>
      <c r="G2816" s="14" t="n">
        <v>8008188.48837331</v>
      </c>
      <c r="H2816" s="14" t="n">
        <v>3871912.410852799</v>
      </c>
      <c r="I2816" s="14" t="n">
        <v>703413.2904716342</v>
      </c>
      <c r="J2816" s="14" t="n">
        <v>0</v>
      </c>
      <c r="K2816" s="14" t="n">
        <v>142843.5146635467</v>
      </c>
      <c r="L2816" s="14" t="n">
        <v>3290019.272385332</v>
      </c>
      <c r="M2816" s="14" t="n">
        <v>0</v>
      </c>
      <c r="N2816" s="14" t="n">
        <v>3871912.410852799</v>
      </c>
      <c r="O2816" s="14" t="n">
        <v>4718169.215987979</v>
      </c>
      <c r="P2816" s="14" t="n">
        <v>0</v>
      </c>
      <c r="Q2816" s="14" t="n">
        <v>23946418.40326241</v>
      </c>
      <c r="R2816" s="15">
        <f>IF(D2816=1,"Section 1","Control")</f>
        <v/>
      </c>
      <c r="S2816" s="16">
        <f>N2816/10000</f>
        <v/>
      </c>
      <c r="T2816" s="16">
        <f>P2816/10000</f>
        <v/>
      </c>
      <c r="U2816" s="15">
        <f>IF(N2816&gt;=Summary!$D$3,1,0)</f>
        <v/>
      </c>
      <c r="V2816" s="17">
        <f>IF(N2816&gt;0,P2816/N2816,"")</f>
        <v/>
      </c>
      <c r="W2816" s="17">
        <f>IF(O2816&gt;0,H2816/O2816,"")</f>
        <v/>
      </c>
    </row>
    <row r="2817">
      <c r="A2817" s="13" t="inlineStr">
        <is>
          <t>CW10_B3</t>
        </is>
      </c>
      <c r="B2817" s="13" t="inlineStr">
        <is>
          <t>CW10</t>
        </is>
      </c>
      <c r="C2817" s="13" t="inlineStr">
        <is>
          <t>B3</t>
        </is>
      </c>
      <c r="D2817" s="13" t="n">
        <v>0</v>
      </c>
      <c r="E2817" s="13" t="inlineStr">
        <is>
          <t>W</t>
        </is>
      </c>
      <c r="F2817" s="13" t="n">
        <v>2021</v>
      </c>
      <c r="G2817" s="14" t="n">
        <v>8008188.488373311</v>
      </c>
      <c r="H2817" s="14" t="n">
        <v>3569944.609090348</v>
      </c>
      <c r="I2817" s="14" t="n">
        <v>625020.5290224561</v>
      </c>
      <c r="J2817" s="14" t="n">
        <v>0</v>
      </c>
      <c r="K2817" s="14" t="n">
        <v>547886.9812709136</v>
      </c>
      <c r="L2817" s="14" t="n">
        <v>3265336.368989593</v>
      </c>
      <c r="M2817" s="14" t="n">
        <v>0</v>
      </c>
      <c r="N2817" s="14" t="n">
        <v>3871912.410852799</v>
      </c>
      <c r="O2817" s="14" t="n">
        <v>4718169.215987979</v>
      </c>
      <c r="P2817" s="14" t="n">
        <v>394304.7879445095</v>
      </c>
      <c r="Q2817" s="14" t="n">
        <v>23946418.40326242</v>
      </c>
      <c r="R2817" s="15">
        <f>IF(D2817=1,"Section 1","Control")</f>
        <v/>
      </c>
      <c r="S2817" s="16">
        <f>N2817/10000</f>
        <v/>
      </c>
      <c r="T2817" s="16">
        <f>P2817/10000</f>
        <v/>
      </c>
      <c r="U2817" s="15">
        <f>IF(N2817&gt;=Summary!$D$3,1,0)</f>
        <v/>
      </c>
      <c r="V2817" s="17">
        <f>IF(N2817&gt;0,P2817/N2817,"")</f>
        <v/>
      </c>
      <c r="W2817" s="17">
        <f>IF(O2817&gt;0,H2817/O2817,"")</f>
        <v/>
      </c>
    </row>
    <row r="2818">
      <c r="A2818" s="13" t="inlineStr">
        <is>
          <t>CW10_B3</t>
        </is>
      </c>
      <c r="B2818" s="13" t="inlineStr">
        <is>
          <t>CW10</t>
        </is>
      </c>
      <c r="C2818" s="13" t="inlineStr">
        <is>
          <t>B3</t>
        </is>
      </c>
      <c r="D2818" s="13" t="n">
        <v>0</v>
      </c>
      <c r="E2818" s="13" t="inlineStr">
        <is>
          <t>W</t>
        </is>
      </c>
      <c r="F2818" s="13" t="n">
        <v>2022</v>
      </c>
      <c r="G2818" s="14" t="n">
        <v>8008188.488373312</v>
      </c>
      <c r="H2818" s="14" t="n">
        <v>3641944.331844404</v>
      </c>
      <c r="I2818" s="14" t="n">
        <v>587125.2744214523</v>
      </c>
      <c r="J2818" s="14" t="n">
        <v>0</v>
      </c>
      <c r="K2818" s="14" t="n">
        <v>525037.0316051707</v>
      </c>
      <c r="L2818" s="14" t="n">
        <v>3254081.850502283</v>
      </c>
      <c r="M2818" s="14" t="n">
        <v>0</v>
      </c>
      <c r="N2818" s="14" t="n">
        <v>3871912.410852799</v>
      </c>
      <c r="O2818" s="14" t="n">
        <v>4718169.215987979</v>
      </c>
      <c r="P2818" s="14" t="n">
        <v>358419.2020341462</v>
      </c>
      <c r="Q2818" s="14" t="n">
        <v>23946418.40326242</v>
      </c>
      <c r="R2818" s="15">
        <f>IF(D2818=1,"Section 1","Control")</f>
        <v/>
      </c>
      <c r="S2818" s="16">
        <f>N2818/10000</f>
        <v/>
      </c>
      <c r="T2818" s="16">
        <f>P2818/10000</f>
        <v/>
      </c>
      <c r="U2818" s="15">
        <f>IF(N2818&gt;=Summary!$D$3,1,0)</f>
        <v/>
      </c>
      <c r="V2818" s="17">
        <f>IF(N2818&gt;0,P2818/N2818,"")</f>
        <v/>
      </c>
      <c r="W2818" s="17">
        <f>IF(O2818&gt;0,H2818/O2818,"")</f>
        <v/>
      </c>
    </row>
    <row r="2819">
      <c r="A2819" s="13" t="inlineStr">
        <is>
          <t>CW10_B3</t>
        </is>
      </c>
      <c r="B2819" s="13" t="inlineStr">
        <is>
          <t>CW10</t>
        </is>
      </c>
      <c r="C2819" s="13" t="inlineStr">
        <is>
          <t>B3</t>
        </is>
      </c>
      <c r="D2819" s="13" t="n">
        <v>0</v>
      </c>
      <c r="E2819" s="13" t="inlineStr">
        <is>
          <t>W</t>
        </is>
      </c>
      <c r="F2819" s="13" t="n">
        <v>2023</v>
      </c>
      <c r="G2819" s="14" t="n">
        <v>8008188.488373312</v>
      </c>
      <c r="H2819" s="14" t="n">
        <v>3674402.144772249</v>
      </c>
      <c r="I2819" s="14" t="n">
        <v>574113.3151367188</v>
      </c>
      <c r="J2819" s="14" t="n">
        <v>0</v>
      </c>
      <c r="K2819" s="14" t="n">
        <v>470678.7427866917</v>
      </c>
      <c r="L2819" s="14" t="n">
        <v>3288994.285677651</v>
      </c>
      <c r="M2819" s="14" t="n">
        <v>0</v>
      </c>
      <c r="N2819" s="14" t="n">
        <v>3871912.410852799</v>
      </c>
      <c r="O2819" s="14" t="n">
        <v>4718169.215987979</v>
      </c>
      <c r="P2819" s="14" t="n">
        <v>377765.0665164723</v>
      </c>
      <c r="Q2819" s="14" t="n">
        <v>23946418.40326242</v>
      </c>
      <c r="R2819" s="15">
        <f>IF(D2819=1,"Section 1","Control")</f>
        <v/>
      </c>
      <c r="S2819" s="16">
        <f>N2819/10000</f>
        <v/>
      </c>
      <c r="T2819" s="16">
        <f>P2819/10000</f>
        <v/>
      </c>
      <c r="U2819" s="15">
        <f>IF(N2819&gt;=Summary!$D$3,1,0)</f>
        <v/>
      </c>
      <c r="V2819" s="17">
        <f>IF(N2819&gt;0,P2819/N2819,"")</f>
        <v/>
      </c>
      <c r="W2819" s="17">
        <f>IF(O2819&gt;0,H2819/O2819,"")</f>
        <v/>
      </c>
    </row>
    <row r="2820">
      <c r="A2820" s="13" t="inlineStr">
        <is>
          <t>CW10_B3</t>
        </is>
      </c>
      <c r="B2820" s="13" t="inlineStr">
        <is>
          <t>CW10</t>
        </is>
      </c>
      <c r="C2820" s="13" t="inlineStr">
        <is>
          <t>B3</t>
        </is>
      </c>
      <c r="D2820" s="13" t="n">
        <v>0</v>
      </c>
      <c r="E2820" s="13" t="inlineStr">
        <is>
          <t>W</t>
        </is>
      </c>
      <c r="F2820" s="13" t="n">
        <v>2024</v>
      </c>
      <c r="G2820" s="14" t="n">
        <v>8008188.48837331</v>
      </c>
      <c r="H2820" s="14" t="n">
        <v>3730184.763015417</v>
      </c>
      <c r="I2820" s="14" t="n">
        <v>580043.6989827773</v>
      </c>
      <c r="J2820" s="14" t="n">
        <v>0</v>
      </c>
      <c r="K2820" s="14" t="n">
        <v>407221.3467814428</v>
      </c>
      <c r="L2820" s="14" t="n">
        <v>3290738.679593673</v>
      </c>
      <c r="M2820" s="14" t="n">
        <v>0</v>
      </c>
      <c r="N2820" s="14" t="n">
        <v>3871912.410852799</v>
      </c>
      <c r="O2820" s="14" t="n">
        <v>4718169.215987979</v>
      </c>
      <c r="P2820" s="14" t="n">
        <v>367454.8934877283</v>
      </c>
      <c r="Q2820" s="14" t="n">
        <v>23946418.40326242</v>
      </c>
      <c r="R2820" s="15">
        <f>IF(D2820=1,"Section 1","Control")</f>
        <v/>
      </c>
      <c r="S2820" s="16">
        <f>N2820/10000</f>
        <v/>
      </c>
      <c r="T2820" s="16">
        <f>P2820/10000</f>
        <v/>
      </c>
      <c r="U2820" s="15">
        <f>IF(N2820&gt;=Summary!$D$3,1,0)</f>
        <v/>
      </c>
      <c r="V2820" s="17">
        <f>IF(N2820&gt;0,P2820/N2820,"")</f>
        <v/>
      </c>
      <c r="W2820" s="17">
        <f>IF(O2820&gt;0,H2820/O2820,"")</f>
        <v/>
      </c>
    </row>
    <row r="2821">
      <c r="A2821" s="13" t="inlineStr">
        <is>
          <t>CW10_B3</t>
        </is>
      </c>
      <c r="B2821" s="13" t="inlineStr">
        <is>
          <t>CW10</t>
        </is>
      </c>
      <c r="C2821" s="13" t="inlineStr">
        <is>
          <t>B3</t>
        </is>
      </c>
      <c r="D2821" s="13" t="n">
        <v>0</v>
      </c>
      <c r="E2821" s="13" t="inlineStr">
        <is>
          <t>W</t>
        </is>
      </c>
      <c r="F2821" s="13" t="n">
        <v>2025</v>
      </c>
      <c r="G2821" s="14" t="n">
        <v>8008188.488373311</v>
      </c>
      <c r="H2821" s="14" t="n">
        <v>3646032.550574</v>
      </c>
      <c r="I2821" s="14" t="n">
        <v>702724.0428734871</v>
      </c>
      <c r="J2821" s="14" t="n">
        <v>0</v>
      </c>
      <c r="K2821" s="14" t="n">
        <v>377914.7567264632</v>
      </c>
      <c r="L2821" s="14" t="n">
        <v>3281517.138199361</v>
      </c>
      <c r="M2821" s="14" t="n">
        <v>0</v>
      </c>
      <c r="N2821" s="14" t="n">
        <v>3871912.410852799</v>
      </c>
      <c r="O2821" s="14" t="n">
        <v>4718169.215987979</v>
      </c>
      <c r="P2821" s="14" t="n">
        <v>428569.3813324872</v>
      </c>
      <c r="Q2821" s="14" t="n">
        <v>23946418.40326242</v>
      </c>
      <c r="R2821" s="15">
        <f>IF(D2821=1,"Section 1","Control")</f>
        <v/>
      </c>
      <c r="S2821" s="16">
        <f>N2821/10000</f>
        <v/>
      </c>
      <c r="T2821" s="16">
        <f>P2821/10000</f>
        <v/>
      </c>
      <c r="U2821" s="15">
        <f>IF(N2821&gt;=Summary!$D$3,1,0)</f>
        <v/>
      </c>
      <c r="V2821" s="17">
        <f>IF(N2821&gt;0,P2821/N2821,"")</f>
        <v/>
      </c>
      <c r="W2821" s="17">
        <f>IF(O2821&gt;0,H2821/O2821,"")</f>
        <v/>
      </c>
    </row>
    <row r="2822">
      <c r="A2822" s="13" t="inlineStr">
        <is>
          <t>CW10_B3</t>
        </is>
      </c>
      <c r="B2822" s="13" t="inlineStr">
        <is>
          <t>CW10</t>
        </is>
      </c>
      <c r="C2822" s="13" t="inlineStr">
        <is>
          <t>B3</t>
        </is>
      </c>
      <c r="D2822" s="13" t="n">
        <v>0</v>
      </c>
      <c r="E2822" s="13" t="inlineStr">
        <is>
          <t>W</t>
        </is>
      </c>
      <c r="F2822" s="13" t="n">
        <v>2026</v>
      </c>
      <c r="G2822" s="14" t="n">
        <v>8008188.48837331</v>
      </c>
      <c r="H2822" s="14" t="n">
        <v>3813932.767917618</v>
      </c>
      <c r="I2822" s="14" t="n">
        <v>405216.2802900426</v>
      </c>
      <c r="J2822" s="14" t="n">
        <v>0</v>
      </c>
      <c r="K2822" s="14" t="n">
        <v>448956.2300184362</v>
      </c>
      <c r="L2822" s="14" t="n">
        <v>3340083.210147215</v>
      </c>
      <c r="M2822" s="14" t="n">
        <v>0</v>
      </c>
      <c r="N2822" s="14" t="n">
        <v>3871912.410852799</v>
      </c>
      <c r="O2822" s="14" t="n">
        <v>4718169.215987979</v>
      </c>
      <c r="P2822" s="14" t="n">
        <v>314083.4252126058</v>
      </c>
      <c r="Q2822" s="14" t="n">
        <v>23946418.40326242</v>
      </c>
      <c r="R2822" s="15">
        <f>IF(D2822=1,"Section 1","Control")</f>
        <v/>
      </c>
      <c r="S2822" s="16">
        <f>N2822/10000</f>
        <v/>
      </c>
      <c r="T2822" s="16">
        <f>P2822/10000</f>
        <v/>
      </c>
      <c r="U2822" s="15">
        <f>IF(N2822&gt;=Summary!$D$3,1,0)</f>
        <v/>
      </c>
      <c r="V2822" s="17">
        <f>IF(N2822&gt;0,P2822/N2822,"")</f>
        <v/>
      </c>
      <c r="W2822" s="17">
        <f>IF(O2822&gt;0,H2822/O2822,"")</f>
        <v/>
      </c>
    </row>
    <row r="2823">
      <c r="A2823" s="13" t="inlineStr">
        <is>
          <t>CW10_F</t>
        </is>
      </c>
      <c r="B2823" s="13" t="inlineStr">
        <is>
          <t>CW10</t>
        </is>
      </c>
      <c r="C2823" s="13" t="inlineStr">
        <is>
          <t>F</t>
        </is>
      </c>
      <c r="D2823" s="13" t="n">
        <v>0</v>
      </c>
      <c r="E2823" s="13" t="inlineStr">
        <is>
          <t>W</t>
        </is>
      </c>
      <c r="F2823" s="13" t="n">
        <v>2020</v>
      </c>
      <c r="G2823" s="14" t="n">
        <v>69243.95863967598</v>
      </c>
      <c r="H2823" s="14" t="n">
        <v>27365.32663595162</v>
      </c>
      <c r="I2823" s="14" t="n">
        <v>35760.62307224648</v>
      </c>
      <c r="J2823" s="14" t="n">
        <v>0</v>
      </c>
      <c r="K2823" s="14" t="n">
        <v>6118.008931477864</v>
      </c>
      <c r="L2823" s="14" t="n">
        <v>0</v>
      </c>
      <c r="M2823" s="14" t="n">
        <v>0</v>
      </c>
      <c r="N2823" s="14" t="n">
        <v>27365.32663595162</v>
      </c>
      <c r="O2823" s="14" t="n">
        <v>69243.95863967598</v>
      </c>
      <c r="P2823" s="14" t="n">
        <v>0</v>
      </c>
      <c r="Q2823" s="14" t="n">
        <v>420714.5378179811</v>
      </c>
      <c r="R2823" s="15">
        <f>IF(D2823=1,"Section 1","Control")</f>
        <v/>
      </c>
      <c r="S2823" s="16">
        <f>N2823/10000</f>
        <v/>
      </c>
      <c r="T2823" s="16">
        <f>P2823/10000</f>
        <v/>
      </c>
      <c r="U2823" s="15">
        <f>IF(N2823&gt;=Summary!$D$3,1,0)</f>
        <v/>
      </c>
      <c r="V2823" s="17">
        <f>IF(N2823&gt;0,P2823/N2823,"")</f>
        <v/>
      </c>
      <c r="W2823" s="17">
        <f>IF(O2823&gt;0,H2823/O2823,"")</f>
        <v/>
      </c>
    </row>
    <row r="2824">
      <c r="A2824" s="13" t="inlineStr">
        <is>
          <t>CW10_F</t>
        </is>
      </c>
      <c r="B2824" s="13" t="inlineStr">
        <is>
          <t>CW10</t>
        </is>
      </c>
      <c r="C2824" s="13" t="inlineStr">
        <is>
          <t>F</t>
        </is>
      </c>
      <c r="D2824" s="13" t="n">
        <v>0</v>
      </c>
      <c r="E2824" s="13" t="inlineStr">
        <is>
          <t>W</t>
        </is>
      </c>
      <c r="F2824" s="13" t="n">
        <v>2021</v>
      </c>
      <c r="G2824" s="14" t="n">
        <v>69243.95863967598</v>
      </c>
      <c r="H2824" s="14" t="n">
        <v>20022.71468604593</v>
      </c>
      <c r="I2824" s="14" t="n">
        <v>18179.39440651688</v>
      </c>
      <c r="J2824" s="14" t="n">
        <v>0</v>
      </c>
      <c r="K2824" s="14" t="n">
        <v>31041.84954711316</v>
      </c>
      <c r="L2824" s="14" t="n">
        <v>0</v>
      </c>
      <c r="M2824" s="14" t="n">
        <v>0</v>
      </c>
      <c r="N2824" s="14" t="n">
        <v>27365.32663595162</v>
      </c>
      <c r="O2824" s="14" t="n">
        <v>69243.95863967598</v>
      </c>
      <c r="P2824" s="14" t="n">
        <v>8645.428108125574</v>
      </c>
      <c r="Q2824" s="14" t="n">
        <v>420714.5378179811</v>
      </c>
      <c r="R2824" s="15">
        <f>IF(D2824=1,"Section 1","Control")</f>
        <v/>
      </c>
      <c r="S2824" s="16">
        <f>N2824/10000</f>
        <v/>
      </c>
      <c r="T2824" s="16">
        <f>P2824/10000</f>
        <v/>
      </c>
      <c r="U2824" s="15">
        <f>IF(N2824&gt;=Summary!$D$3,1,0)</f>
        <v/>
      </c>
      <c r="V2824" s="17">
        <f>IF(N2824&gt;0,P2824/N2824,"")</f>
        <v/>
      </c>
      <c r="W2824" s="17">
        <f>IF(O2824&gt;0,H2824/O2824,"")</f>
        <v/>
      </c>
    </row>
    <row r="2825">
      <c r="A2825" s="13" t="inlineStr">
        <is>
          <t>CW10_F</t>
        </is>
      </c>
      <c r="B2825" s="13" t="inlineStr">
        <is>
          <t>CW10</t>
        </is>
      </c>
      <c r="C2825" s="13" t="inlineStr">
        <is>
          <t>F</t>
        </is>
      </c>
      <c r="D2825" s="13" t="n">
        <v>0</v>
      </c>
      <c r="E2825" s="13" t="inlineStr">
        <is>
          <t>W</t>
        </is>
      </c>
      <c r="F2825" s="13" t="n">
        <v>2022</v>
      </c>
      <c r="G2825" s="14" t="n">
        <v>69243.95863967598</v>
      </c>
      <c r="H2825" s="14" t="n">
        <v>19214.31066427792</v>
      </c>
      <c r="I2825" s="14" t="n">
        <v>31653.94475280164</v>
      </c>
      <c r="J2825" s="14" t="n">
        <v>0</v>
      </c>
      <c r="K2825" s="14" t="n">
        <v>18375.70322259641</v>
      </c>
      <c r="L2825" s="14" t="n">
        <v>0</v>
      </c>
      <c r="M2825" s="14" t="n">
        <v>0</v>
      </c>
      <c r="N2825" s="14" t="n">
        <v>27365.32663595162</v>
      </c>
      <c r="O2825" s="14" t="n">
        <v>69243.95863967598</v>
      </c>
      <c r="P2825" s="14" t="n">
        <v>8987.683264638863</v>
      </c>
      <c r="Q2825" s="14" t="n">
        <v>420714.5378179811</v>
      </c>
      <c r="R2825" s="15">
        <f>IF(D2825=1,"Section 1","Control")</f>
        <v/>
      </c>
      <c r="S2825" s="16">
        <f>N2825/10000</f>
        <v/>
      </c>
      <c r="T2825" s="16">
        <f>P2825/10000</f>
        <v/>
      </c>
      <c r="U2825" s="15">
        <f>IF(N2825&gt;=Summary!$D$3,1,0)</f>
        <v/>
      </c>
      <c r="V2825" s="17">
        <f>IF(N2825&gt;0,P2825/N2825,"")</f>
        <v/>
      </c>
      <c r="W2825" s="17">
        <f>IF(O2825&gt;0,H2825/O2825,"")</f>
        <v/>
      </c>
    </row>
    <row r="2826">
      <c r="A2826" s="13" t="inlineStr">
        <is>
          <t>CW10_F</t>
        </is>
      </c>
      <c r="B2826" s="13" t="inlineStr">
        <is>
          <t>CW10</t>
        </is>
      </c>
      <c r="C2826" s="13" t="inlineStr">
        <is>
          <t>F</t>
        </is>
      </c>
      <c r="D2826" s="13" t="n">
        <v>0</v>
      </c>
      <c r="E2826" s="13" t="inlineStr">
        <is>
          <t>W</t>
        </is>
      </c>
      <c r="F2826" s="13" t="n">
        <v>2023</v>
      </c>
      <c r="G2826" s="14" t="n">
        <v>69243.95863967598</v>
      </c>
      <c r="H2826" s="14" t="n">
        <v>15794.8541891659</v>
      </c>
      <c r="I2826" s="14" t="n">
        <v>32913.40144764022</v>
      </c>
      <c r="J2826" s="14" t="n">
        <v>0</v>
      </c>
      <c r="K2826" s="14" t="n">
        <v>20535.70300286985</v>
      </c>
      <c r="L2826" s="14" t="n">
        <v>0</v>
      </c>
      <c r="M2826" s="14" t="n">
        <v>0</v>
      </c>
      <c r="N2826" s="14" t="n">
        <v>27365.32663595162</v>
      </c>
      <c r="O2826" s="14" t="n">
        <v>69243.95863967598</v>
      </c>
      <c r="P2826" s="14" t="n">
        <v>11716.04714178946</v>
      </c>
      <c r="Q2826" s="14" t="n">
        <v>420714.5378179811</v>
      </c>
      <c r="R2826" s="15">
        <f>IF(D2826=1,"Section 1","Control")</f>
        <v/>
      </c>
      <c r="S2826" s="16">
        <f>N2826/10000</f>
        <v/>
      </c>
      <c r="T2826" s="16">
        <f>P2826/10000</f>
        <v/>
      </c>
      <c r="U2826" s="15">
        <f>IF(N2826&gt;=Summary!$D$3,1,0)</f>
        <v/>
      </c>
      <c r="V2826" s="17">
        <f>IF(N2826&gt;0,P2826/N2826,"")</f>
        <v/>
      </c>
      <c r="W2826" s="17">
        <f>IF(O2826&gt;0,H2826/O2826,"")</f>
        <v/>
      </c>
    </row>
    <row r="2827">
      <c r="A2827" s="13" t="inlineStr">
        <is>
          <t>CW10_F</t>
        </is>
      </c>
      <c r="B2827" s="13" t="inlineStr">
        <is>
          <t>CW10</t>
        </is>
      </c>
      <c r="C2827" s="13" t="inlineStr">
        <is>
          <t>F</t>
        </is>
      </c>
      <c r="D2827" s="13" t="n">
        <v>0</v>
      </c>
      <c r="E2827" s="13" t="inlineStr">
        <is>
          <t>W</t>
        </is>
      </c>
      <c r="F2827" s="13" t="n">
        <v>2024</v>
      </c>
      <c r="G2827" s="14" t="n">
        <v>69243.95863967598</v>
      </c>
      <c r="H2827" s="14" t="n">
        <v>16197.89439487831</v>
      </c>
      <c r="I2827" s="14" t="n">
        <v>43403.67771573536</v>
      </c>
      <c r="J2827" s="14" t="n">
        <v>0</v>
      </c>
      <c r="K2827" s="14" t="n">
        <v>9642.386529062309</v>
      </c>
      <c r="L2827" s="14" t="n">
        <v>0</v>
      </c>
      <c r="M2827" s="14" t="n">
        <v>0</v>
      </c>
      <c r="N2827" s="14" t="n">
        <v>27365.32663595162</v>
      </c>
      <c r="O2827" s="14" t="n">
        <v>69243.95863967598</v>
      </c>
      <c r="P2827" s="14" t="n">
        <v>12160.12751569561</v>
      </c>
      <c r="Q2827" s="14" t="n">
        <v>420714.5378179811</v>
      </c>
      <c r="R2827" s="15">
        <f>IF(D2827=1,"Section 1","Control")</f>
        <v/>
      </c>
      <c r="S2827" s="16">
        <f>N2827/10000</f>
        <v/>
      </c>
      <c r="T2827" s="16">
        <f>P2827/10000</f>
        <v/>
      </c>
      <c r="U2827" s="15">
        <f>IF(N2827&gt;=Summary!$D$3,1,0)</f>
        <v/>
      </c>
      <c r="V2827" s="17">
        <f>IF(N2827&gt;0,P2827/N2827,"")</f>
        <v/>
      </c>
      <c r="W2827" s="17">
        <f>IF(O2827&gt;0,H2827/O2827,"")</f>
        <v/>
      </c>
    </row>
    <row r="2828">
      <c r="A2828" s="13" t="inlineStr">
        <is>
          <t>CW10_F</t>
        </is>
      </c>
      <c r="B2828" s="13" t="inlineStr">
        <is>
          <t>CW10</t>
        </is>
      </c>
      <c r="C2828" s="13" t="inlineStr">
        <is>
          <t>F</t>
        </is>
      </c>
      <c r="D2828" s="13" t="n">
        <v>0</v>
      </c>
      <c r="E2828" s="13" t="inlineStr">
        <is>
          <t>W</t>
        </is>
      </c>
      <c r="F2828" s="13" t="n">
        <v>2025</v>
      </c>
      <c r="G2828" s="14" t="n">
        <v>69243.95863967598</v>
      </c>
      <c r="H2828" s="14" t="n">
        <v>15759.23507783179</v>
      </c>
      <c r="I2828" s="14" t="n">
        <v>45163.73618813309</v>
      </c>
      <c r="J2828" s="14" t="n">
        <v>0</v>
      </c>
      <c r="K2828" s="14" t="n">
        <v>8320.987373711081</v>
      </c>
      <c r="L2828" s="14" t="n">
        <v>0</v>
      </c>
      <c r="M2828" s="14" t="n">
        <v>0</v>
      </c>
      <c r="N2828" s="14" t="n">
        <v>27365.32663595162</v>
      </c>
      <c r="O2828" s="14" t="n">
        <v>69243.95863967598</v>
      </c>
      <c r="P2828" s="14" t="n">
        <v>12474.50698206284</v>
      </c>
      <c r="Q2828" s="14" t="n">
        <v>420714.5378179811</v>
      </c>
      <c r="R2828" s="15">
        <f>IF(D2828=1,"Section 1","Control")</f>
        <v/>
      </c>
      <c r="S2828" s="16">
        <f>N2828/10000</f>
        <v/>
      </c>
      <c r="T2828" s="16">
        <f>P2828/10000</f>
        <v/>
      </c>
      <c r="U2828" s="15">
        <f>IF(N2828&gt;=Summary!$D$3,1,0)</f>
        <v/>
      </c>
      <c r="V2828" s="17">
        <f>IF(N2828&gt;0,P2828/N2828,"")</f>
        <v/>
      </c>
      <c r="W2828" s="17">
        <f>IF(O2828&gt;0,H2828/O2828,"")</f>
        <v/>
      </c>
    </row>
    <row r="2829">
      <c r="A2829" s="13" t="inlineStr">
        <is>
          <t>CW10_F</t>
        </is>
      </c>
      <c r="B2829" s="13" t="inlineStr">
        <is>
          <t>CW10</t>
        </is>
      </c>
      <c r="C2829" s="13" t="inlineStr">
        <is>
          <t>F</t>
        </is>
      </c>
      <c r="D2829" s="13" t="n">
        <v>0</v>
      </c>
      <c r="E2829" s="13" t="inlineStr">
        <is>
          <t>W</t>
        </is>
      </c>
      <c r="F2829" s="13" t="n">
        <v>2026</v>
      </c>
      <c r="G2829" s="14" t="n">
        <v>69243.95863967598</v>
      </c>
      <c r="H2829" s="14" t="n">
        <v>18508.11840703627</v>
      </c>
      <c r="I2829" s="14" t="n">
        <v>16408.49859574262</v>
      </c>
      <c r="J2829" s="14" t="n">
        <v>0</v>
      </c>
      <c r="K2829" s="14" t="n">
        <v>34327.34163689706</v>
      </c>
      <c r="L2829" s="14" t="n">
        <v>0</v>
      </c>
      <c r="M2829" s="14" t="n">
        <v>0</v>
      </c>
      <c r="N2829" s="14" t="n">
        <v>27365.32663595162</v>
      </c>
      <c r="O2829" s="14" t="n">
        <v>69243.95863967598</v>
      </c>
      <c r="P2829" s="14" t="n">
        <v>11343.98025476792</v>
      </c>
      <c r="Q2829" s="14" t="n">
        <v>420714.5378179811</v>
      </c>
      <c r="R2829" s="15">
        <f>IF(D2829=1,"Section 1","Control")</f>
        <v/>
      </c>
      <c r="S2829" s="16">
        <f>N2829/10000</f>
        <v/>
      </c>
      <c r="T2829" s="16">
        <f>P2829/10000</f>
        <v/>
      </c>
      <c r="U2829" s="15">
        <f>IF(N2829&gt;=Summary!$D$3,1,0)</f>
        <v/>
      </c>
      <c r="V2829" s="17">
        <f>IF(N2829&gt;0,P2829/N2829,"")</f>
        <v/>
      </c>
      <c r="W2829" s="17">
        <f>IF(O2829&gt;0,H2829/O2829,"")</f>
        <v/>
      </c>
    </row>
    <row r="2830">
      <c r="A2830" s="13" t="inlineStr">
        <is>
          <t>CW11_B1</t>
        </is>
      </c>
      <c r="B2830" s="13" t="inlineStr">
        <is>
          <t>CW11</t>
        </is>
      </c>
      <c r="C2830" s="13" t="inlineStr">
        <is>
          <t>B1</t>
        </is>
      </c>
      <c r="D2830" s="13" t="n">
        <v>0</v>
      </c>
      <c r="E2830" s="13" t="inlineStr">
        <is>
          <t>W</t>
        </is>
      </c>
      <c r="F2830" s="13" t="n">
        <v>2020</v>
      </c>
      <c r="G2830" s="14" t="n">
        <v>975058.3209764964</v>
      </c>
      <c r="H2830" s="14" t="n">
        <v>598276.5954687381</v>
      </c>
      <c r="I2830" s="14" t="n">
        <v>280077.7161648321</v>
      </c>
      <c r="J2830" s="14" t="n">
        <v>0</v>
      </c>
      <c r="K2830" s="14" t="n">
        <v>96704.0093429266</v>
      </c>
      <c r="L2830" s="14" t="n">
        <v>0</v>
      </c>
      <c r="M2830" s="14" t="n">
        <v>0</v>
      </c>
      <c r="N2830" s="14" t="n">
        <v>598276.5954687381</v>
      </c>
      <c r="O2830" s="14" t="n">
        <v>975058.3209764964</v>
      </c>
      <c r="P2830" s="14" t="n">
        <v>0</v>
      </c>
      <c r="Q2830" s="14" t="n">
        <v>6740572.252338067</v>
      </c>
      <c r="R2830" s="15">
        <f>IF(D2830=1,"Section 1","Control")</f>
        <v/>
      </c>
      <c r="S2830" s="16">
        <f>N2830/10000</f>
        <v/>
      </c>
      <c r="T2830" s="16">
        <f>P2830/10000</f>
        <v/>
      </c>
      <c r="U2830" s="15">
        <f>IF(N2830&gt;=Summary!$D$3,1,0)</f>
        <v/>
      </c>
      <c r="V2830" s="17">
        <f>IF(N2830&gt;0,P2830/N2830,"")</f>
        <v/>
      </c>
      <c r="W2830" s="17">
        <f>IF(O2830&gt;0,H2830/O2830,"")</f>
        <v/>
      </c>
    </row>
    <row r="2831">
      <c r="A2831" s="13" t="inlineStr">
        <is>
          <t>CW11_B1</t>
        </is>
      </c>
      <c r="B2831" s="13" t="inlineStr">
        <is>
          <t>CW11</t>
        </is>
      </c>
      <c r="C2831" s="13" t="inlineStr">
        <is>
          <t>B1</t>
        </is>
      </c>
      <c r="D2831" s="13" t="n">
        <v>0</v>
      </c>
      <c r="E2831" s="13" t="inlineStr">
        <is>
          <t>W</t>
        </is>
      </c>
      <c r="F2831" s="13" t="n">
        <v>2021</v>
      </c>
      <c r="G2831" s="14" t="n">
        <v>975058.3209764964</v>
      </c>
      <c r="H2831" s="14" t="n">
        <v>438454.8439516853</v>
      </c>
      <c r="I2831" s="14" t="n">
        <v>225844.3216810638</v>
      </c>
      <c r="J2831" s="14" t="n">
        <v>0</v>
      </c>
      <c r="K2831" s="14" t="n">
        <v>310759.1553437476</v>
      </c>
      <c r="L2831" s="14" t="n">
        <v>0</v>
      </c>
      <c r="M2831" s="14" t="n">
        <v>0</v>
      </c>
      <c r="N2831" s="14" t="n">
        <v>598276.5954687381</v>
      </c>
      <c r="O2831" s="14" t="n">
        <v>975058.3209764964</v>
      </c>
      <c r="P2831" s="14" t="n">
        <v>170804.8818190331</v>
      </c>
      <c r="Q2831" s="14" t="n">
        <v>6740572.252338067</v>
      </c>
      <c r="R2831" s="15">
        <f>IF(D2831=1,"Section 1","Control")</f>
        <v/>
      </c>
      <c r="S2831" s="16">
        <f>N2831/10000</f>
        <v/>
      </c>
      <c r="T2831" s="16">
        <f>P2831/10000</f>
        <v/>
      </c>
      <c r="U2831" s="15">
        <f>IF(N2831&gt;=Summary!$D$3,1,0)</f>
        <v/>
      </c>
      <c r="V2831" s="17">
        <f>IF(N2831&gt;0,P2831/N2831,"")</f>
        <v/>
      </c>
      <c r="W2831" s="17">
        <f>IF(O2831&gt;0,H2831/O2831,"")</f>
        <v/>
      </c>
    </row>
    <row r="2832">
      <c r="A2832" s="13" t="inlineStr">
        <is>
          <t>CW11_B1</t>
        </is>
      </c>
      <c r="B2832" s="13" t="inlineStr">
        <is>
          <t>CW11</t>
        </is>
      </c>
      <c r="C2832" s="13" t="inlineStr">
        <is>
          <t>B1</t>
        </is>
      </c>
      <c r="D2832" s="13" t="n">
        <v>0</v>
      </c>
      <c r="E2832" s="13" t="inlineStr">
        <is>
          <t>W</t>
        </is>
      </c>
      <c r="F2832" s="13" t="n">
        <v>2022</v>
      </c>
      <c r="G2832" s="14" t="n">
        <v>975058.3209764964</v>
      </c>
      <c r="H2832" s="14" t="n">
        <v>400897.7768628587</v>
      </c>
      <c r="I2832" s="14" t="n">
        <v>454410.6354300106</v>
      </c>
      <c r="J2832" s="14" t="n">
        <v>0</v>
      </c>
      <c r="K2832" s="14" t="n">
        <v>119749.9086836272</v>
      </c>
      <c r="L2832" s="14" t="n">
        <v>0</v>
      </c>
      <c r="M2832" s="14" t="n">
        <v>0</v>
      </c>
      <c r="N2832" s="14" t="n">
        <v>598276.5954687381</v>
      </c>
      <c r="O2832" s="14" t="n">
        <v>975058.3209764964</v>
      </c>
      <c r="P2832" s="14" t="n">
        <v>200044.4540886673</v>
      </c>
      <c r="Q2832" s="14" t="n">
        <v>6740572.252338067</v>
      </c>
      <c r="R2832" s="15">
        <f>IF(D2832=1,"Section 1","Control")</f>
        <v/>
      </c>
      <c r="S2832" s="16">
        <f>N2832/10000</f>
        <v/>
      </c>
      <c r="T2832" s="16">
        <f>P2832/10000</f>
        <v/>
      </c>
      <c r="U2832" s="15">
        <f>IF(N2832&gt;=Summary!$D$3,1,0)</f>
        <v/>
      </c>
      <c r="V2832" s="17">
        <f>IF(N2832&gt;0,P2832/N2832,"")</f>
        <v/>
      </c>
      <c r="W2832" s="17">
        <f>IF(O2832&gt;0,H2832/O2832,"")</f>
        <v/>
      </c>
    </row>
    <row r="2833">
      <c r="A2833" s="13" t="inlineStr">
        <is>
          <t>CW11_B1</t>
        </is>
      </c>
      <c r="B2833" s="13" t="inlineStr">
        <is>
          <t>CW11</t>
        </is>
      </c>
      <c r="C2833" s="13" t="inlineStr">
        <is>
          <t>B1</t>
        </is>
      </c>
      <c r="D2833" s="13" t="n">
        <v>0</v>
      </c>
      <c r="E2833" s="13" t="inlineStr">
        <is>
          <t>W</t>
        </is>
      </c>
      <c r="F2833" s="13" t="n">
        <v>2023</v>
      </c>
      <c r="G2833" s="14" t="n">
        <v>975058.3209764964</v>
      </c>
      <c r="H2833" s="14" t="n">
        <v>393338.4013134227</v>
      </c>
      <c r="I2833" s="14" t="n">
        <v>460955.993136776</v>
      </c>
      <c r="J2833" s="14" t="n">
        <v>0</v>
      </c>
      <c r="K2833" s="14" t="n">
        <v>120763.9265262978</v>
      </c>
      <c r="L2833" s="14" t="n">
        <v>0</v>
      </c>
      <c r="M2833" s="14" t="n">
        <v>0</v>
      </c>
      <c r="N2833" s="14" t="n">
        <v>598276.5954687381</v>
      </c>
      <c r="O2833" s="14" t="n">
        <v>975058.3209764964</v>
      </c>
      <c r="P2833" s="14" t="n">
        <v>208801.3364255718</v>
      </c>
      <c r="Q2833" s="14" t="n">
        <v>6740572.252338067</v>
      </c>
      <c r="R2833" s="15">
        <f>IF(D2833=1,"Section 1","Control")</f>
        <v/>
      </c>
      <c r="S2833" s="16">
        <f>N2833/10000</f>
        <v/>
      </c>
      <c r="T2833" s="16">
        <f>P2833/10000</f>
        <v/>
      </c>
      <c r="U2833" s="15">
        <f>IF(N2833&gt;=Summary!$D$3,1,0)</f>
        <v/>
      </c>
      <c r="V2833" s="17">
        <f>IF(N2833&gt;0,P2833/N2833,"")</f>
        <v/>
      </c>
      <c r="W2833" s="17">
        <f>IF(O2833&gt;0,H2833/O2833,"")</f>
        <v/>
      </c>
    </row>
    <row r="2834">
      <c r="A2834" s="13" t="inlineStr">
        <is>
          <t>CW11_B1</t>
        </is>
      </c>
      <c r="B2834" s="13" t="inlineStr">
        <is>
          <t>CW11</t>
        </is>
      </c>
      <c r="C2834" s="13" t="inlineStr">
        <is>
          <t>B1</t>
        </is>
      </c>
      <c r="D2834" s="13" t="n">
        <v>0</v>
      </c>
      <c r="E2834" s="13" t="inlineStr">
        <is>
          <t>W</t>
        </is>
      </c>
      <c r="F2834" s="13" t="n">
        <v>2024</v>
      </c>
      <c r="G2834" s="14" t="n">
        <v>975058.3209764964</v>
      </c>
      <c r="H2834" s="14" t="n">
        <v>441634.2591088388</v>
      </c>
      <c r="I2834" s="14" t="n">
        <v>450175.1658128925</v>
      </c>
      <c r="J2834" s="14" t="n">
        <v>0</v>
      </c>
      <c r="K2834" s="14" t="n">
        <v>83248.89605476528</v>
      </c>
      <c r="L2834" s="14" t="n">
        <v>0</v>
      </c>
      <c r="M2834" s="14" t="n">
        <v>0</v>
      </c>
      <c r="N2834" s="14" t="n">
        <v>598276.5954687381</v>
      </c>
      <c r="O2834" s="14" t="n">
        <v>975058.3209764964</v>
      </c>
      <c r="P2834" s="14" t="n">
        <v>171983.4125243542</v>
      </c>
      <c r="Q2834" s="14" t="n">
        <v>6740572.252338067</v>
      </c>
      <c r="R2834" s="15">
        <f>IF(D2834=1,"Section 1","Control")</f>
        <v/>
      </c>
      <c r="S2834" s="16">
        <f>N2834/10000</f>
        <v/>
      </c>
      <c r="T2834" s="16">
        <f>P2834/10000</f>
        <v/>
      </c>
      <c r="U2834" s="15">
        <f>IF(N2834&gt;=Summary!$D$3,1,0)</f>
        <v/>
      </c>
      <c r="V2834" s="17">
        <f>IF(N2834&gt;0,P2834/N2834,"")</f>
        <v/>
      </c>
      <c r="W2834" s="17">
        <f>IF(O2834&gt;0,H2834/O2834,"")</f>
        <v/>
      </c>
    </row>
    <row r="2835">
      <c r="A2835" s="13" t="inlineStr">
        <is>
          <t>CW11_B1</t>
        </is>
      </c>
      <c r="B2835" s="13" t="inlineStr">
        <is>
          <t>CW11</t>
        </is>
      </c>
      <c r="C2835" s="13" t="inlineStr">
        <is>
          <t>B1</t>
        </is>
      </c>
      <c r="D2835" s="13" t="n">
        <v>0</v>
      </c>
      <c r="E2835" s="13" t="inlineStr">
        <is>
          <t>W</t>
        </is>
      </c>
      <c r="F2835" s="13" t="n">
        <v>2025</v>
      </c>
      <c r="G2835" s="14" t="n">
        <v>975058.3209764964</v>
      </c>
      <c r="H2835" s="14" t="n">
        <v>392780.051122628</v>
      </c>
      <c r="I2835" s="14" t="n">
        <v>532440.7291937135</v>
      </c>
      <c r="J2835" s="14" t="n">
        <v>0</v>
      </c>
      <c r="K2835" s="14" t="n">
        <v>49837.54066015506</v>
      </c>
      <c r="L2835" s="14" t="n">
        <v>0</v>
      </c>
      <c r="M2835" s="14" t="n">
        <v>0</v>
      </c>
      <c r="N2835" s="14" t="n">
        <v>598276.5954687381</v>
      </c>
      <c r="O2835" s="14" t="n">
        <v>975058.3209764964</v>
      </c>
      <c r="P2835" s="14" t="n">
        <v>208531.9176396688</v>
      </c>
      <c r="Q2835" s="14" t="n">
        <v>6740572.252338067</v>
      </c>
      <c r="R2835" s="15">
        <f>IF(D2835=1,"Section 1","Control")</f>
        <v/>
      </c>
      <c r="S2835" s="16">
        <f>N2835/10000</f>
        <v/>
      </c>
      <c r="T2835" s="16">
        <f>P2835/10000</f>
        <v/>
      </c>
      <c r="U2835" s="15">
        <f>IF(N2835&gt;=Summary!$D$3,1,0)</f>
        <v/>
      </c>
      <c r="V2835" s="17">
        <f>IF(N2835&gt;0,P2835/N2835,"")</f>
        <v/>
      </c>
      <c r="W2835" s="17">
        <f>IF(O2835&gt;0,H2835/O2835,"")</f>
        <v/>
      </c>
    </row>
    <row r="2836">
      <c r="A2836" s="13" t="inlineStr">
        <is>
          <t>CW11_B1</t>
        </is>
      </c>
      <c r="B2836" s="13" t="inlineStr">
        <is>
          <t>CW11</t>
        </is>
      </c>
      <c r="C2836" s="13" t="inlineStr">
        <is>
          <t>B1</t>
        </is>
      </c>
      <c r="D2836" s="13" t="n">
        <v>0</v>
      </c>
      <c r="E2836" s="13" t="inlineStr">
        <is>
          <t>W</t>
        </is>
      </c>
      <c r="F2836" s="13" t="n">
        <v>2026</v>
      </c>
      <c r="G2836" s="14" t="n">
        <v>975058.3209764964</v>
      </c>
      <c r="H2836" s="14" t="n">
        <v>461089.6315912585</v>
      </c>
      <c r="I2836" s="14" t="n">
        <v>345277.2316670435</v>
      </c>
      <c r="J2836" s="14" t="n">
        <v>0</v>
      </c>
      <c r="K2836" s="14" t="n">
        <v>168691.4577181946</v>
      </c>
      <c r="L2836" s="14" t="n">
        <v>0</v>
      </c>
      <c r="M2836" s="14" t="n">
        <v>0</v>
      </c>
      <c r="N2836" s="14" t="n">
        <v>598276.5954687381</v>
      </c>
      <c r="O2836" s="14" t="n">
        <v>975058.3209764964</v>
      </c>
      <c r="P2836" s="14" t="n">
        <v>159389.3805170994</v>
      </c>
      <c r="Q2836" s="14" t="n">
        <v>6740572.252338067</v>
      </c>
      <c r="R2836" s="15">
        <f>IF(D2836=1,"Section 1","Control")</f>
        <v/>
      </c>
      <c r="S2836" s="16">
        <f>N2836/10000</f>
        <v/>
      </c>
      <c r="T2836" s="16">
        <f>P2836/10000</f>
        <v/>
      </c>
      <c r="U2836" s="15">
        <f>IF(N2836&gt;=Summary!$D$3,1,0)</f>
        <v/>
      </c>
      <c r="V2836" s="17">
        <f>IF(N2836&gt;0,P2836/N2836,"")</f>
        <v/>
      </c>
      <c r="W2836" s="17">
        <f>IF(O2836&gt;0,H2836/O2836,"")</f>
        <v/>
      </c>
    </row>
    <row r="2837">
      <c r="A2837" s="13" t="inlineStr">
        <is>
          <t>CW11_B2</t>
        </is>
      </c>
      <c r="B2837" s="13" t="inlineStr">
        <is>
          <t>CW11</t>
        </is>
      </c>
      <c r="C2837" s="13" t="inlineStr">
        <is>
          <t>B2</t>
        </is>
      </c>
      <c r="D2837" s="13" t="n">
        <v>0</v>
      </c>
      <c r="E2837" s="13" t="inlineStr">
        <is>
          <t>W</t>
        </is>
      </c>
      <c r="F2837" s="13" t="n">
        <v>2020</v>
      </c>
      <c r="G2837" s="14" t="n">
        <v>975107.245013847</v>
      </c>
      <c r="H2837" s="14" t="n">
        <v>624618.0060578291</v>
      </c>
      <c r="I2837" s="14" t="n">
        <v>320756.8561980004</v>
      </c>
      <c r="J2837" s="14" t="n">
        <v>0</v>
      </c>
      <c r="K2837" s="14" t="n">
        <v>29732.38275801715</v>
      </c>
      <c r="L2837" s="14" t="n">
        <v>0</v>
      </c>
      <c r="M2837" s="14" t="n">
        <v>0</v>
      </c>
      <c r="N2837" s="14" t="n">
        <v>624618.0060578291</v>
      </c>
      <c r="O2837" s="14" t="n">
        <v>975107.245013847</v>
      </c>
      <c r="P2837" s="14" t="n">
        <v>0</v>
      </c>
      <c r="Q2837" s="14" t="n">
        <v>7214844.753742233</v>
      </c>
      <c r="R2837" s="15">
        <f>IF(D2837=1,"Section 1","Control")</f>
        <v/>
      </c>
      <c r="S2837" s="16">
        <f>N2837/10000</f>
        <v/>
      </c>
      <c r="T2837" s="16">
        <f>P2837/10000</f>
        <v/>
      </c>
      <c r="U2837" s="15">
        <f>IF(N2837&gt;=Summary!$D$3,1,0)</f>
        <v/>
      </c>
      <c r="V2837" s="17">
        <f>IF(N2837&gt;0,P2837/N2837,"")</f>
        <v/>
      </c>
      <c r="W2837" s="17">
        <f>IF(O2837&gt;0,H2837/O2837,"")</f>
        <v/>
      </c>
    </row>
    <row r="2838">
      <c r="A2838" s="13" t="inlineStr">
        <is>
          <t>CW11_B2</t>
        </is>
      </c>
      <c r="B2838" s="13" t="inlineStr">
        <is>
          <t>CW11</t>
        </is>
      </c>
      <c r="C2838" s="13" t="inlineStr">
        <is>
          <t>B2</t>
        </is>
      </c>
      <c r="D2838" s="13" t="n">
        <v>0</v>
      </c>
      <c r="E2838" s="13" t="inlineStr">
        <is>
          <t>W</t>
        </is>
      </c>
      <c r="F2838" s="13" t="n">
        <v>2021</v>
      </c>
      <c r="G2838" s="14" t="n">
        <v>975107.245013847</v>
      </c>
      <c r="H2838" s="14" t="n">
        <v>566932.1362207154</v>
      </c>
      <c r="I2838" s="14" t="n">
        <v>229940.5580119413</v>
      </c>
      <c r="J2838" s="14" t="n">
        <v>0</v>
      </c>
      <c r="K2838" s="14" t="n">
        <v>178234.5507811902</v>
      </c>
      <c r="L2838" s="14" t="n">
        <v>0</v>
      </c>
      <c r="M2838" s="14" t="n">
        <v>0</v>
      </c>
      <c r="N2838" s="14" t="n">
        <v>624618.0060578292</v>
      </c>
      <c r="O2838" s="14" t="n">
        <v>975107.245013847</v>
      </c>
      <c r="P2838" s="14" t="n">
        <v>68191.75973797965</v>
      </c>
      <c r="Q2838" s="14" t="n">
        <v>7214844.753742233</v>
      </c>
      <c r="R2838" s="15">
        <f>IF(D2838=1,"Section 1","Control")</f>
        <v/>
      </c>
      <c r="S2838" s="16">
        <f>N2838/10000</f>
        <v/>
      </c>
      <c r="T2838" s="16">
        <f>P2838/10000</f>
        <v/>
      </c>
      <c r="U2838" s="15">
        <f>IF(N2838&gt;=Summary!$D$3,1,0)</f>
        <v/>
      </c>
      <c r="V2838" s="17">
        <f>IF(N2838&gt;0,P2838/N2838,"")</f>
        <v/>
      </c>
      <c r="W2838" s="17">
        <f>IF(O2838&gt;0,H2838/O2838,"")</f>
        <v/>
      </c>
    </row>
    <row r="2839">
      <c r="A2839" s="13" t="inlineStr">
        <is>
          <t>CW11_B2</t>
        </is>
      </c>
      <c r="B2839" s="13" t="inlineStr">
        <is>
          <t>CW11</t>
        </is>
      </c>
      <c r="C2839" s="13" t="inlineStr">
        <is>
          <t>B2</t>
        </is>
      </c>
      <c r="D2839" s="13" t="n">
        <v>0</v>
      </c>
      <c r="E2839" s="13" t="inlineStr">
        <is>
          <t>W</t>
        </is>
      </c>
      <c r="F2839" s="13" t="n">
        <v>2022</v>
      </c>
      <c r="G2839" s="14" t="n">
        <v>975107.245013847</v>
      </c>
      <c r="H2839" s="14" t="n">
        <v>550471.1649395514</v>
      </c>
      <c r="I2839" s="14" t="n">
        <v>354762.717531451</v>
      </c>
      <c r="J2839" s="14" t="n">
        <v>0</v>
      </c>
      <c r="K2839" s="14" t="n">
        <v>69873.36254284429</v>
      </c>
      <c r="L2839" s="14" t="n">
        <v>0</v>
      </c>
      <c r="M2839" s="14" t="n">
        <v>0</v>
      </c>
      <c r="N2839" s="14" t="n">
        <v>624618.0060578291</v>
      </c>
      <c r="O2839" s="14" t="n">
        <v>975107.245013847</v>
      </c>
      <c r="P2839" s="14" t="n">
        <v>76121.41429943009</v>
      </c>
      <c r="Q2839" s="14" t="n">
        <v>7214844.753742233</v>
      </c>
      <c r="R2839" s="15">
        <f>IF(D2839=1,"Section 1","Control")</f>
        <v/>
      </c>
      <c r="S2839" s="16">
        <f>N2839/10000</f>
        <v/>
      </c>
      <c r="T2839" s="16">
        <f>P2839/10000</f>
        <v/>
      </c>
      <c r="U2839" s="15">
        <f>IF(N2839&gt;=Summary!$D$3,1,0)</f>
        <v/>
      </c>
      <c r="V2839" s="17">
        <f>IF(N2839&gt;0,P2839/N2839,"")</f>
        <v/>
      </c>
      <c r="W2839" s="17">
        <f>IF(O2839&gt;0,H2839/O2839,"")</f>
        <v/>
      </c>
    </row>
    <row r="2840">
      <c r="A2840" s="13" t="inlineStr">
        <is>
          <t>CW11_B2</t>
        </is>
      </c>
      <c r="B2840" s="13" t="inlineStr">
        <is>
          <t>CW11</t>
        </is>
      </c>
      <c r="C2840" s="13" t="inlineStr">
        <is>
          <t>B2</t>
        </is>
      </c>
      <c r="D2840" s="13" t="n">
        <v>0</v>
      </c>
      <c r="E2840" s="13" t="inlineStr">
        <is>
          <t>W</t>
        </is>
      </c>
      <c r="F2840" s="13" t="n">
        <v>2023</v>
      </c>
      <c r="G2840" s="14" t="n">
        <v>975107.245013847</v>
      </c>
      <c r="H2840" s="14" t="n">
        <v>551040.3109216429</v>
      </c>
      <c r="I2840" s="14" t="n">
        <v>336824.6745273963</v>
      </c>
      <c r="J2840" s="14" t="n">
        <v>0</v>
      </c>
      <c r="K2840" s="14" t="n">
        <v>87242.25956480738</v>
      </c>
      <c r="L2840" s="14" t="n">
        <v>0</v>
      </c>
      <c r="M2840" s="14" t="n">
        <v>0</v>
      </c>
      <c r="N2840" s="14" t="n">
        <v>624618.0060578291</v>
      </c>
      <c r="O2840" s="14" t="n">
        <v>975107.245013847</v>
      </c>
      <c r="P2840" s="14" t="n">
        <v>75749.72717201381</v>
      </c>
      <c r="Q2840" s="14" t="n">
        <v>7214844.753742233</v>
      </c>
      <c r="R2840" s="15">
        <f>IF(D2840=1,"Section 1","Control")</f>
        <v/>
      </c>
      <c r="S2840" s="16">
        <f>N2840/10000</f>
        <v/>
      </c>
      <c r="T2840" s="16">
        <f>P2840/10000</f>
        <v/>
      </c>
      <c r="U2840" s="15">
        <f>IF(N2840&gt;=Summary!$D$3,1,0)</f>
        <v/>
      </c>
      <c r="V2840" s="17">
        <f>IF(N2840&gt;0,P2840/N2840,"")</f>
        <v/>
      </c>
      <c r="W2840" s="17">
        <f>IF(O2840&gt;0,H2840/O2840,"")</f>
        <v/>
      </c>
    </row>
    <row r="2841">
      <c r="A2841" s="13" t="inlineStr">
        <is>
          <t>CW11_B2</t>
        </is>
      </c>
      <c r="B2841" s="13" t="inlineStr">
        <is>
          <t>CW11</t>
        </is>
      </c>
      <c r="C2841" s="13" t="inlineStr">
        <is>
          <t>B2</t>
        </is>
      </c>
      <c r="D2841" s="13" t="n">
        <v>0</v>
      </c>
      <c r="E2841" s="13" t="inlineStr">
        <is>
          <t>W</t>
        </is>
      </c>
      <c r="F2841" s="13" t="n">
        <v>2024</v>
      </c>
      <c r="G2841" s="14" t="n">
        <v>975107.245013847</v>
      </c>
      <c r="H2841" s="14" t="n">
        <v>569641.952558181</v>
      </c>
      <c r="I2841" s="14" t="n">
        <v>364091.2234592513</v>
      </c>
      <c r="J2841" s="14" t="n">
        <v>0</v>
      </c>
      <c r="K2841" s="14" t="n">
        <v>41374.06899641449</v>
      </c>
      <c r="L2841" s="14" t="n">
        <v>0</v>
      </c>
      <c r="M2841" s="14" t="n">
        <v>0</v>
      </c>
      <c r="N2841" s="14" t="n">
        <v>624618.0060578291</v>
      </c>
      <c r="O2841" s="14" t="n">
        <v>975107.245013847</v>
      </c>
      <c r="P2841" s="14" t="n">
        <v>68159.23415338853</v>
      </c>
      <c r="Q2841" s="14" t="n">
        <v>7214844.753742233</v>
      </c>
      <c r="R2841" s="15">
        <f>IF(D2841=1,"Section 1","Control")</f>
        <v/>
      </c>
      <c r="S2841" s="16">
        <f>N2841/10000</f>
        <v/>
      </c>
      <c r="T2841" s="16">
        <f>P2841/10000</f>
        <v/>
      </c>
      <c r="U2841" s="15">
        <f>IF(N2841&gt;=Summary!$D$3,1,0)</f>
        <v/>
      </c>
      <c r="V2841" s="17">
        <f>IF(N2841&gt;0,P2841/N2841,"")</f>
        <v/>
      </c>
      <c r="W2841" s="17">
        <f>IF(O2841&gt;0,H2841/O2841,"")</f>
        <v/>
      </c>
    </row>
    <row r="2842">
      <c r="A2842" s="13" t="inlineStr">
        <is>
          <t>CW11_B2</t>
        </is>
      </c>
      <c r="B2842" s="13" t="inlineStr">
        <is>
          <t>CW11</t>
        </is>
      </c>
      <c r="C2842" s="13" t="inlineStr">
        <is>
          <t>B2</t>
        </is>
      </c>
      <c r="D2842" s="13" t="n">
        <v>0</v>
      </c>
      <c r="E2842" s="13" t="inlineStr">
        <is>
          <t>W</t>
        </is>
      </c>
      <c r="F2842" s="13" t="n">
        <v>2025</v>
      </c>
      <c r="G2842" s="14" t="n">
        <v>975107.245013847</v>
      </c>
      <c r="H2842" s="14" t="n">
        <v>544687.5953669231</v>
      </c>
      <c r="I2842" s="14" t="n">
        <v>409202.8614810422</v>
      </c>
      <c r="J2842" s="14" t="n">
        <v>0</v>
      </c>
      <c r="K2842" s="14" t="n">
        <v>21216.78816588158</v>
      </c>
      <c r="L2842" s="14" t="n">
        <v>0</v>
      </c>
      <c r="M2842" s="14" t="n">
        <v>0</v>
      </c>
      <c r="N2842" s="14" t="n">
        <v>624618.0060578291</v>
      </c>
      <c r="O2842" s="14" t="n">
        <v>975107.245013847</v>
      </c>
      <c r="P2842" s="14" t="n">
        <v>81349.39036395503</v>
      </c>
      <c r="Q2842" s="14" t="n">
        <v>7214844.753742233</v>
      </c>
      <c r="R2842" s="15">
        <f>IF(D2842=1,"Section 1","Control")</f>
        <v/>
      </c>
      <c r="S2842" s="16">
        <f>N2842/10000</f>
        <v/>
      </c>
      <c r="T2842" s="16">
        <f>P2842/10000</f>
        <v/>
      </c>
      <c r="U2842" s="15">
        <f>IF(N2842&gt;=Summary!$D$3,1,0)</f>
        <v/>
      </c>
      <c r="V2842" s="17">
        <f>IF(N2842&gt;0,P2842/N2842,"")</f>
        <v/>
      </c>
      <c r="W2842" s="17">
        <f>IF(O2842&gt;0,H2842/O2842,"")</f>
        <v/>
      </c>
    </row>
    <row r="2843">
      <c r="A2843" s="13" t="inlineStr">
        <is>
          <t>CW11_B2</t>
        </is>
      </c>
      <c r="B2843" s="13" t="inlineStr">
        <is>
          <t>CW11</t>
        </is>
      </c>
      <c r="C2843" s="13" t="inlineStr">
        <is>
          <t>B2</t>
        </is>
      </c>
      <c r="D2843" s="13" t="n">
        <v>0</v>
      </c>
      <c r="E2843" s="13" t="inlineStr">
        <is>
          <t>W</t>
        </is>
      </c>
      <c r="F2843" s="13" t="n">
        <v>2026</v>
      </c>
      <c r="G2843" s="14" t="n">
        <v>975107.245013847</v>
      </c>
      <c r="H2843" s="14" t="n">
        <v>590972.0230582145</v>
      </c>
      <c r="I2843" s="14" t="n">
        <v>253083.6009626501</v>
      </c>
      <c r="J2843" s="14" t="n">
        <v>0</v>
      </c>
      <c r="K2843" s="14" t="n">
        <v>131051.6209929822</v>
      </c>
      <c r="L2843" s="14" t="n">
        <v>0</v>
      </c>
      <c r="M2843" s="14" t="n">
        <v>0</v>
      </c>
      <c r="N2843" s="14" t="n">
        <v>624618.0060578291</v>
      </c>
      <c r="O2843" s="14" t="n">
        <v>975107.245013847</v>
      </c>
      <c r="P2843" s="14" t="n">
        <v>64441.99222642488</v>
      </c>
      <c r="Q2843" s="14" t="n">
        <v>7214844.753742233</v>
      </c>
      <c r="R2843" s="15">
        <f>IF(D2843=1,"Section 1","Control")</f>
        <v/>
      </c>
      <c r="S2843" s="16">
        <f>N2843/10000</f>
        <v/>
      </c>
      <c r="T2843" s="16">
        <f>P2843/10000</f>
        <v/>
      </c>
      <c r="U2843" s="15">
        <f>IF(N2843&gt;=Summary!$D$3,1,0)</f>
        <v/>
      </c>
      <c r="V2843" s="17">
        <f>IF(N2843&gt;0,P2843/N2843,"")</f>
        <v/>
      </c>
      <c r="W2843" s="17">
        <f>IF(O2843&gt;0,H2843/O2843,"")</f>
        <v/>
      </c>
    </row>
    <row r="2844">
      <c r="A2844" s="13" t="inlineStr">
        <is>
          <t>CW11_B3</t>
        </is>
      </c>
      <c r="B2844" s="13" t="inlineStr">
        <is>
          <t>CW11</t>
        </is>
      </c>
      <c r="C2844" s="13" t="inlineStr">
        <is>
          <t>B3</t>
        </is>
      </c>
      <c r="D2844" s="13" t="n">
        <v>0</v>
      </c>
      <c r="E2844" s="13" t="inlineStr">
        <is>
          <t>W</t>
        </is>
      </c>
      <c r="F2844" s="13" t="n">
        <v>2020</v>
      </c>
      <c r="G2844" s="14" t="n">
        <v>7797027.199958024</v>
      </c>
      <c r="H2844" s="14" t="n">
        <v>5422000.690937026</v>
      </c>
      <c r="I2844" s="14" t="n">
        <v>647888.0758892583</v>
      </c>
      <c r="J2844" s="14" t="n">
        <v>0</v>
      </c>
      <c r="K2844" s="14" t="n">
        <v>281932.1578571096</v>
      </c>
      <c r="L2844" s="14" t="n">
        <v>1445206.275274628</v>
      </c>
      <c r="M2844" s="14" t="n">
        <v>0</v>
      </c>
      <c r="N2844" s="14" t="n">
        <v>5422000.690937026</v>
      </c>
      <c r="O2844" s="14" t="n">
        <v>6351820.924683394</v>
      </c>
      <c r="P2844" s="14" t="n">
        <v>0</v>
      </c>
      <c r="Q2844" s="14" t="n">
        <v>42258140.19311284</v>
      </c>
      <c r="R2844" s="15">
        <f>IF(D2844=1,"Section 1","Control")</f>
        <v/>
      </c>
      <c r="S2844" s="16">
        <f>N2844/10000</f>
        <v/>
      </c>
      <c r="T2844" s="16">
        <f>P2844/10000</f>
        <v/>
      </c>
      <c r="U2844" s="15">
        <f>IF(N2844&gt;=Summary!$D$3,1,0)</f>
        <v/>
      </c>
      <c r="V2844" s="17">
        <f>IF(N2844&gt;0,P2844/N2844,"")</f>
        <v/>
      </c>
      <c r="W2844" s="17">
        <f>IF(O2844&gt;0,H2844/O2844,"")</f>
        <v/>
      </c>
    </row>
    <row r="2845">
      <c r="A2845" s="13" t="inlineStr">
        <is>
          <t>CW11_B3</t>
        </is>
      </c>
      <c r="B2845" s="13" t="inlineStr">
        <is>
          <t>CW11</t>
        </is>
      </c>
      <c r="C2845" s="13" t="inlineStr">
        <is>
          <t>B3</t>
        </is>
      </c>
      <c r="D2845" s="13" t="n">
        <v>0</v>
      </c>
      <c r="E2845" s="13" t="inlineStr">
        <is>
          <t>W</t>
        </is>
      </c>
      <c r="F2845" s="13" t="n">
        <v>2021</v>
      </c>
      <c r="G2845" s="14" t="n">
        <v>7797027.199958024</v>
      </c>
      <c r="H2845" s="14" t="n">
        <v>5155231.699754213</v>
      </c>
      <c r="I2845" s="14" t="n">
        <v>455427.6199800081</v>
      </c>
      <c r="J2845" s="14" t="n">
        <v>0</v>
      </c>
      <c r="K2845" s="14" t="n">
        <v>761208.9043140187</v>
      </c>
      <c r="L2845" s="14" t="n">
        <v>1425158.975909783</v>
      </c>
      <c r="M2845" s="14" t="n">
        <v>0</v>
      </c>
      <c r="N2845" s="14" t="n">
        <v>5422000.690937027</v>
      </c>
      <c r="O2845" s="14" t="n">
        <v>6351820.924683394</v>
      </c>
      <c r="P2845" s="14" t="n">
        <v>368948.7406416949</v>
      </c>
      <c r="Q2845" s="14" t="n">
        <v>42258140.19311284</v>
      </c>
      <c r="R2845" s="15">
        <f>IF(D2845=1,"Section 1","Control")</f>
        <v/>
      </c>
      <c r="S2845" s="16">
        <f>N2845/10000</f>
        <v/>
      </c>
      <c r="T2845" s="16">
        <f>P2845/10000</f>
        <v/>
      </c>
      <c r="U2845" s="15">
        <f>IF(N2845&gt;=Summary!$D$3,1,0)</f>
        <v/>
      </c>
      <c r="V2845" s="17">
        <f>IF(N2845&gt;0,P2845/N2845,"")</f>
        <v/>
      </c>
      <c r="W2845" s="17">
        <f>IF(O2845&gt;0,H2845/O2845,"")</f>
        <v/>
      </c>
    </row>
    <row r="2846">
      <c r="A2846" s="13" t="inlineStr">
        <is>
          <t>CW11_B3</t>
        </is>
      </c>
      <c r="B2846" s="13" t="inlineStr">
        <is>
          <t>CW11</t>
        </is>
      </c>
      <c r="C2846" s="13" t="inlineStr">
        <is>
          <t>B3</t>
        </is>
      </c>
      <c r="D2846" s="13" t="n">
        <v>0</v>
      </c>
      <c r="E2846" s="13" t="inlineStr">
        <is>
          <t>W</t>
        </is>
      </c>
      <c r="F2846" s="13" t="n">
        <v>2022</v>
      </c>
      <c r="G2846" s="14" t="n">
        <v>7797027.199958024</v>
      </c>
      <c r="H2846" s="14" t="n">
        <v>5044326.137104647</v>
      </c>
      <c r="I2846" s="14" t="n">
        <v>605875.7163236731</v>
      </c>
      <c r="J2846" s="14" t="n">
        <v>0</v>
      </c>
      <c r="K2846" s="14" t="n">
        <v>697775.9393241733</v>
      </c>
      <c r="L2846" s="14" t="n">
        <v>1449049.407205529</v>
      </c>
      <c r="M2846" s="14" t="n">
        <v>0</v>
      </c>
      <c r="N2846" s="14" t="n">
        <v>5422000.690937027</v>
      </c>
      <c r="O2846" s="14" t="n">
        <v>6351820.924683394</v>
      </c>
      <c r="P2846" s="14" t="n">
        <v>456349.6956219841</v>
      </c>
      <c r="Q2846" s="14" t="n">
        <v>42258140.19311284</v>
      </c>
      <c r="R2846" s="15">
        <f>IF(D2846=1,"Section 1","Control")</f>
        <v/>
      </c>
      <c r="S2846" s="16">
        <f>N2846/10000</f>
        <v/>
      </c>
      <c r="T2846" s="16">
        <f>P2846/10000</f>
        <v/>
      </c>
      <c r="U2846" s="15">
        <f>IF(N2846&gt;=Summary!$D$3,1,0)</f>
        <v/>
      </c>
      <c r="V2846" s="17">
        <f>IF(N2846&gt;0,P2846/N2846,"")</f>
        <v/>
      </c>
      <c r="W2846" s="17">
        <f>IF(O2846&gt;0,H2846/O2846,"")</f>
        <v/>
      </c>
    </row>
    <row r="2847">
      <c r="A2847" s="13" t="inlineStr">
        <is>
          <t>CW11_B3</t>
        </is>
      </c>
      <c r="B2847" s="13" t="inlineStr">
        <is>
          <t>CW11</t>
        </is>
      </c>
      <c r="C2847" s="13" t="inlineStr">
        <is>
          <t>B3</t>
        </is>
      </c>
      <c r="D2847" s="13" t="n">
        <v>0</v>
      </c>
      <c r="E2847" s="13" t="inlineStr">
        <is>
          <t>W</t>
        </is>
      </c>
      <c r="F2847" s="13" t="n">
        <v>2023</v>
      </c>
      <c r="G2847" s="14" t="n">
        <v>7797027.199958023</v>
      </c>
      <c r="H2847" s="14" t="n">
        <v>4984674.678812004</v>
      </c>
      <c r="I2847" s="14" t="n">
        <v>639472.3706334432</v>
      </c>
      <c r="J2847" s="14" t="n">
        <v>0</v>
      </c>
      <c r="K2847" s="14" t="n">
        <v>733184.1863324333</v>
      </c>
      <c r="L2847" s="14" t="n">
        <v>1439695.964180142</v>
      </c>
      <c r="M2847" s="14" t="n">
        <v>0</v>
      </c>
      <c r="N2847" s="14" t="n">
        <v>5422000.690937026</v>
      </c>
      <c r="O2847" s="14" t="n">
        <v>6351820.924683395</v>
      </c>
      <c r="P2847" s="14" t="n">
        <v>543121.3509568457</v>
      </c>
      <c r="Q2847" s="14" t="n">
        <v>42258140.19311284</v>
      </c>
      <c r="R2847" s="15">
        <f>IF(D2847=1,"Section 1","Control")</f>
        <v/>
      </c>
      <c r="S2847" s="16">
        <f>N2847/10000</f>
        <v/>
      </c>
      <c r="T2847" s="16">
        <f>P2847/10000</f>
        <v/>
      </c>
      <c r="U2847" s="15">
        <f>IF(N2847&gt;=Summary!$D$3,1,0)</f>
        <v/>
      </c>
      <c r="V2847" s="17">
        <f>IF(N2847&gt;0,P2847/N2847,"")</f>
        <v/>
      </c>
      <c r="W2847" s="17">
        <f>IF(O2847&gt;0,H2847/O2847,"")</f>
        <v/>
      </c>
    </row>
    <row r="2848">
      <c r="A2848" s="13" t="inlineStr">
        <is>
          <t>CW11_B3</t>
        </is>
      </c>
      <c r="B2848" s="13" t="inlineStr">
        <is>
          <t>CW11</t>
        </is>
      </c>
      <c r="C2848" s="13" t="inlineStr">
        <is>
          <t>B3</t>
        </is>
      </c>
      <c r="D2848" s="13" t="n">
        <v>0</v>
      </c>
      <c r="E2848" s="13" t="inlineStr">
        <is>
          <t>W</t>
        </is>
      </c>
      <c r="F2848" s="13" t="n">
        <v>2024</v>
      </c>
      <c r="G2848" s="14" t="n">
        <v>7797027.199958024</v>
      </c>
      <c r="H2848" s="14" t="n">
        <v>5003126.949527517</v>
      </c>
      <c r="I2848" s="14" t="n">
        <v>552903.3353055469</v>
      </c>
      <c r="J2848" s="14" t="n">
        <v>0</v>
      </c>
      <c r="K2848" s="14" t="n">
        <v>793463.3122705198</v>
      </c>
      <c r="L2848" s="14" t="n">
        <v>1447533.602854441</v>
      </c>
      <c r="M2848" s="14" t="n">
        <v>0</v>
      </c>
      <c r="N2848" s="14" t="n">
        <v>5422000.690937026</v>
      </c>
      <c r="O2848" s="14" t="n">
        <v>6351820.924683396</v>
      </c>
      <c r="P2848" s="14" t="n">
        <v>608602.7226104736</v>
      </c>
      <c r="Q2848" s="14" t="n">
        <v>42258140.19311284</v>
      </c>
      <c r="R2848" s="15">
        <f>IF(D2848=1,"Section 1","Control")</f>
        <v/>
      </c>
      <c r="S2848" s="16">
        <f>N2848/10000</f>
        <v/>
      </c>
      <c r="T2848" s="16">
        <f>P2848/10000</f>
        <v/>
      </c>
      <c r="U2848" s="15">
        <f>IF(N2848&gt;=Summary!$D$3,1,0)</f>
        <v/>
      </c>
      <c r="V2848" s="17">
        <f>IF(N2848&gt;0,P2848/N2848,"")</f>
        <v/>
      </c>
      <c r="W2848" s="17">
        <f>IF(O2848&gt;0,H2848/O2848,"")</f>
        <v/>
      </c>
    </row>
    <row r="2849">
      <c r="A2849" s="13" t="inlineStr">
        <is>
          <t>CW11_B3</t>
        </is>
      </c>
      <c r="B2849" s="13" t="inlineStr">
        <is>
          <t>CW11</t>
        </is>
      </c>
      <c r="C2849" s="13" t="inlineStr">
        <is>
          <t>B3</t>
        </is>
      </c>
      <c r="D2849" s="13" t="n">
        <v>0</v>
      </c>
      <c r="E2849" s="13" t="inlineStr">
        <is>
          <t>W</t>
        </is>
      </c>
      <c r="F2849" s="13" t="n">
        <v>2025</v>
      </c>
      <c r="G2849" s="14" t="n">
        <v>7797027.199958024</v>
      </c>
      <c r="H2849" s="14" t="n">
        <v>4834686.657464959</v>
      </c>
      <c r="I2849" s="14" t="n">
        <v>688995.8197336536</v>
      </c>
      <c r="J2849" s="14" t="n">
        <v>0</v>
      </c>
      <c r="K2849" s="14" t="n">
        <v>829304.2391277238</v>
      </c>
      <c r="L2849" s="14" t="n">
        <v>1444040.483631688</v>
      </c>
      <c r="M2849" s="14" t="n">
        <v>0</v>
      </c>
      <c r="N2849" s="14" t="n">
        <v>5422000.690937026</v>
      </c>
      <c r="O2849" s="14" t="n">
        <v>6351820.924683394</v>
      </c>
      <c r="P2849" s="14" t="n">
        <v>823897.9009941249</v>
      </c>
      <c r="Q2849" s="14" t="n">
        <v>42258140.19311284</v>
      </c>
      <c r="R2849" s="15">
        <f>IF(D2849=1,"Section 1","Control")</f>
        <v/>
      </c>
      <c r="S2849" s="16">
        <f>N2849/10000</f>
        <v/>
      </c>
      <c r="T2849" s="16">
        <f>P2849/10000</f>
        <v/>
      </c>
      <c r="U2849" s="15">
        <f>IF(N2849&gt;=Summary!$D$3,1,0)</f>
        <v/>
      </c>
      <c r="V2849" s="17">
        <f>IF(N2849&gt;0,P2849/N2849,"")</f>
        <v/>
      </c>
      <c r="W2849" s="17">
        <f>IF(O2849&gt;0,H2849/O2849,"")</f>
        <v/>
      </c>
    </row>
    <row r="2850">
      <c r="A2850" s="13" t="inlineStr">
        <is>
          <t>CW11_B3</t>
        </is>
      </c>
      <c r="B2850" s="13" t="inlineStr">
        <is>
          <t>CW11</t>
        </is>
      </c>
      <c r="C2850" s="13" t="inlineStr">
        <is>
          <t>B3</t>
        </is>
      </c>
      <c r="D2850" s="13" t="n">
        <v>0</v>
      </c>
      <c r="E2850" s="13" t="inlineStr">
        <is>
          <t>W</t>
        </is>
      </c>
      <c r="F2850" s="13" t="n">
        <v>2026</v>
      </c>
      <c r="G2850" s="14" t="n">
        <v>7797027.199958023</v>
      </c>
      <c r="H2850" s="14" t="n">
        <v>4990264.278912324</v>
      </c>
      <c r="I2850" s="14" t="n">
        <v>390086.3349383187</v>
      </c>
      <c r="J2850" s="14" t="n">
        <v>0</v>
      </c>
      <c r="K2850" s="14" t="n">
        <v>944079.415270338</v>
      </c>
      <c r="L2850" s="14" t="n">
        <v>1472597.170837043</v>
      </c>
      <c r="M2850" s="14" t="n">
        <v>0</v>
      </c>
      <c r="N2850" s="14" t="n">
        <v>5422000.690937026</v>
      </c>
      <c r="O2850" s="14" t="n">
        <v>6351820.924683395</v>
      </c>
      <c r="P2850" s="14" t="n">
        <v>656718.7036299462</v>
      </c>
      <c r="Q2850" s="14" t="n">
        <v>42258140.19311284</v>
      </c>
      <c r="R2850" s="15">
        <f>IF(D2850=1,"Section 1","Control")</f>
        <v/>
      </c>
      <c r="S2850" s="16">
        <f>N2850/10000</f>
        <v/>
      </c>
      <c r="T2850" s="16">
        <f>P2850/10000</f>
        <v/>
      </c>
      <c r="U2850" s="15">
        <f>IF(N2850&gt;=Summary!$D$3,1,0)</f>
        <v/>
      </c>
      <c r="V2850" s="17">
        <f>IF(N2850&gt;0,P2850/N2850,"")</f>
        <v/>
      </c>
      <c r="W2850" s="17">
        <f>IF(O2850&gt;0,H2850/O2850,"")</f>
        <v/>
      </c>
    </row>
    <row r="2851">
      <c r="A2851" s="13" t="inlineStr">
        <is>
          <t>CW11_F</t>
        </is>
      </c>
      <c r="B2851" s="13" t="inlineStr">
        <is>
          <t>CW11</t>
        </is>
      </c>
      <c r="C2851" s="13" t="inlineStr">
        <is>
          <t>F</t>
        </is>
      </c>
      <c r="D2851" s="13" t="n">
        <v>0</v>
      </c>
      <c r="E2851" s="13" t="inlineStr">
        <is>
          <t>W</t>
        </is>
      </c>
      <c r="F2851" s="13" t="n">
        <v>2020</v>
      </c>
      <c r="G2851" s="14" t="n">
        <v>67729.21673209997</v>
      </c>
      <c r="H2851" s="14" t="n">
        <v>34931.24511494357</v>
      </c>
      <c r="I2851" s="14" t="n">
        <v>19877.0898036882</v>
      </c>
      <c r="J2851" s="14" t="n">
        <v>0</v>
      </c>
      <c r="K2851" s="14" t="n">
        <v>12920.88181346819</v>
      </c>
      <c r="L2851" s="14" t="n">
        <v>0</v>
      </c>
      <c r="M2851" s="14" t="n">
        <v>0</v>
      </c>
      <c r="N2851" s="14" t="n">
        <v>34931.24511494357</v>
      </c>
      <c r="O2851" s="14" t="n">
        <v>67729.21673209997</v>
      </c>
      <c r="P2851" s="14" t="n">
        <v>0</v>
      </c>
      <c r="Q2851" s="14" t="n">
        <v>493008.2396456849</v>
      </c>
      <c r="R2851" s="15">
        <f>IF(D2851=1,"Section 1","Control")</f>
        <v/>
      </c>
      <c r="S2851" s="16">
        <f>N2851/10000</f>
        <v/>
      </c>
      <c r="T2851" s="16">
        <f>P2851/10000</f>
        <v/>
      </c>
      <c r="U2851" s="15">
        <f>IF(N2851&gt;=Summary!$D$3,1,0)</f>
        <v/>
      </c>
      <c r="V2851" s="17">
        <f>IF(N2851&gt;0,P2851/N2851,"")</f>
        <v/>
      </c>
      <c r="W2851" s="17">
        <f>IF(O2851&gt;0,H2851/O2851,"")</f>
        <v/>
      </c>
    </row>
    <row r="2852">
      <c r="A2852" s="13" t="inlineStr">
        <is>
          <t>CW11_F</t>
        </is>
      </c>
      <c r="B2852" s="13" t="inlineStr">
        <is>
          <t>CW11</t>
        </is>
      </c>
      <c r="C2852" s="13" t="inlineStr">
        <is>
          <t>F</t>
        </is>
      </c>
      <c r="D2852" s="13" t="n">
        <v>0</v>
      </c>
      <c r="E2852" s="13" t="inlineStr">
        <is>
          <t>W</t>
        </is>
      </c>
      <c r="F2852" s="13" t="n">
        <v>2021</v>
      </c>
      <c r="G2852" s="14" t="n">
        <v>67729.21673209997</v>
      </c>
      <c r="H2852" s="14" t="n">
        <v>12651.01932067871</v>
      </c>
      <c r="I2852" s="14" t="n">
        <v>10119.73586467668</v>
      </c>
      <c r="J2852" s="14" t="n">
        <v>0</v>
      </c>
      <c r="K2852" s="14" t="n">
        <v>44958.46154674457</v>
      </c>
      <c r="L2852" s="14" t="n">
        <v>0</v>
      </c>
      <c r="M2852" s="14" t="n">
        <v>0</v>
      </c>
      <c r="N2852" s="14" t="n">
        <v>34931.24511494357</v>
      </c>
      <c r="O2852" s="14" t="n">
        <v>67729.21673209997</v>
      </c>
      <c r="P2852" s="14" t="n">
        <v>23070.04361958223</v>
      </c>
      <c r="Q2852" s="14" t="n">
        <v>493008.2396456849</v>
      </c>
      <c r="R2852" s="15">
        <f>IF(D2852=1,"Section 1","Control")</f>
        <v/>
      </c>
      <c r="S2852" s="16">
        <f>N2852/10000</f>
        <v/>
      </c>
      <c r="T2852" s="16">
        <f>P2852/10000</f>
        <v/>
      </c>
      <c r="U2852" s="15">
        <f>IF(N2852&gt;=Summary!$D$3,1,0)</f>
        <v/>
      </c>
      <c r="V2852" s="17">
        <f>IF(N2852&gt;0,P2852/N2852,"")</f>
        <v/>
      </c>
      <c r="W2852" s="17">
        <f>IF(O2852&gt;0,H2852/O2852,"")</f>
        <v/>
      </c>
    </row>
    <row r="2853">
      <c r="A2853" s="13" t="inlineStr">
        <is>
          <t>CW11_F</t>
        </is>
      </c>
      <c r="B2853" s="13" t="inlineStr">
        <is>
          <t>CW11</t>
        </is>
      </c>
      <c r="C2853" s="13" t="inlineStr">
        <is>
          <t>F</t>
        </is>
      </c>
      <c r="D2853" s="13" t="n">
        <v>0</v>
      </c>
      <c r="E2853" s="13" t="inlineStr">
        <is>
          <t>W</t>
        </is>
      </c>
      <c r="F2853" s="13" t="n">
        <v>2022</v>
      </c>
      <c r="G2853" s="14" t="n">
        <v>67729.21673209997</v>
      </c>
      <c r="H2853" s="14" t="n">
        <v>3868.16970313577</v>
      </c>
      <c r="I2853" s="14" t="n">
        <v>30276.35959391875</v>
      </c>
      <c r="J2853" s="14" t="n">
        <v>0</v>
      </c>
      <c r="K2853" s="14" t="n">
        <v>33584.68743504543</v>
      </c>
      <c r="L2853" s="14" t="n">
        <v>0</v>
      </c>
      <c r="M2853" s="14" t="n">
        <v>0</v>
      </c>
      <c r="N2853" s="14" t="n">
        <v>34931.24511494357</v>
      </c>
      <c r="O2853" s="14" t="n">
        <v>67729.21673209997</v>
      </c>
      <c r="P2853" s="14" t="n">
        <v>31161.80261517692</v>
      </c>
      <c r="Q2853" s="14" t="n">
        <v>493008.2396456849</v>
      </c>
      <c r="R2853" s="15">
        <f>IF(D2853=1,"Section 1","Control")</f>
        <v/>
      </c>
      <c r="S2853" s="16">
        <f>N2853/10000</f>
        <v/>
      </c>
      <c r="T2853" s="16">
        <f>P2853/10000</f>
        <v/>
      </c>
      <c r="U2853" s="15">
        <f>IF(N2853&gt;=Summary!$D$3,1,0)</f>
        <v/>
      </c>
      <c r="V2853" s="17">
        <f>IF(N2853&gt;0,P2853/N2853,"")</f>
        <v/>
      </c>
      <c r="W2853" s="17">
        <f>IF(O2853&gt;0,H2853/O2853,"")</f>
        <v/>
      </c>
    </row>
    <row r="2854">
      <c r="A2854" s="13" t="inlineStr">
        <is>
          <t>CW11_F</t>
        </is>
      </c>
      <c r="B2854" s="13" t="inlineStr">
        <is>
          <t>CW11</t>
        </is>
      </c>
      <c r="C2854" s="13" t="inlineStr">
        <is>
          <t>F</t>
        </is>
      </c>
      <c r="D2854" s="13" t="n">
        <v>0</v>
      </c>
      <c r="E2854" s="13" t="inlineStr">
        <is>
          <t>W</t>
        </is>
      </c>
      <c r="F2854" s="13" t="n">
        <v>2023</v>
      </c>
      <c r="G2854" s="14" t="n">
        <v>67729.21673209997</v>
      </c>
      <c r="H2854" s="14" t="n">
        <v>4769.490653453154</v>
      </c>
      <c r="I2854" s="14" t="n">
        <v>37656.51268741384</v>
      </c>
      <c r="J2854" s="14" t="n">
        <v>0</v>
      </c>
      <c r="K2854" s="14" t="n">
        <v>25303.21339123296</v>
      </c>
      <c r="L2854" s="14" t="n">
        <v>0</v>
      </c>
      <c r="M2854" s="14" t="n">
        <v>0</v>
      </c>
      <c r="N2854" s="14" t="n">
        <v>34931.24511494357</v>
      </c>
      <c r="O2854" s="14" t="n">
        <v>67729.21673209997</v>
      </c>
      <c r="P2854" s="14" t="n">
        <v>30679.7817258947</v>
      </c>
      <c r="Q2854" s="14" t="n">
        <v>493008.2396456849</v>
      </c>
      <c r="R2854" s="15">
        <f>IF(D2854=1,"Section 1","Control")</f>
        <v/>
      </c>
      <c r="S2854" s="16">
        <f>N2854/10000</f>
        <v/>
      </c>
      <c r="T2854" s="16">
        <f>P2854/10000</f>
        <v/>
      </c>
      <c r="U2854" s="15">
        <f>IF(N2854&gt;=Summary!$D$3,1,0)</f>
        <v/>
      </c>
      <c r="V2854" s="17">
        <f>IF(N2854&gt;0,P2854/N2854,"")</f>
        <v/>
      </c>
      <c r="W2854" s="17">
        <f>IF(O2854&gt;0,H2854/O2854,"")</f>
        <v/>
      </c>
    </row>
    <row r="2855">
      <c r="A2855" s="13" t="inlineStr">
        <is>
          <t>CW11_F</t>
        </is>
      </c>
      <c r="B2855" s="13" t="inlineStr">
        <is>
          <t>CW11</t>
        </is>
      </c>
      <c r="C2855" s="13" t="inlineStr">
        <is>
          <t>F</t>
        </is>
      </c>
      <c r="D2855" s="13" t="n">
        <v>0</v>
      </c>
      <c r="E2855" s="13" t="inlineStr">
        <is>
          <t>W</t>
        </is>
      </c>
      <c r="F2855" s="13" t="n">
        <v>2024</v>
      </c>
      <c r="G2855" s="14" t="n">
        <v>67729.21673209997</v>
      </c>
      <c r="H2855" s="14" t="n">
        <v>9510.719746428844</v>
      </c>
      <c r="I2855" s="14" t="n">
        <v>42933.19956892426</v>
      </c>
      <c r="J2855" s="14" t="n">
        <v>0</v>
      </c>
      <c r="K2855" s="14" t="n">
        <v>15285.29741674685</v>
      </c>
      <c r="L2855" s="14" t="n">
        <v>0</v>
      </c>
      <c r="M2855" s="14" t="n">
        <v>0</v>
      </c>
      <c r="N2855" s="14" t="n">
        <v>34931.24511494357</v>
      </c>
      <c r="O2855" s="14" t="n">
        <v>67729.21673209997</v>
      </c>
      <c r="P2855" s="14" t="n">
        <v>27441.91639206829</v>
      </c>
      <c r="Q2855" s="14" t="n">
        <v>493008.2396456849</v>
      </c>
      <c r="R2855" s="15">
        <f>IF(D2855=1,"Section 1","Control")</f>
        <v/>
      </c>
      <c r="S2855" s="16">
        <f>N2855/10000</f>
        <v/>
      </c>
      <c r="T2855" s="16">
        <f>P2855/10000</f>
        <v/>
      </c>
      <c r="U2855" s="15">
        <f>IF(N2855&gt;=Summary!$D$3,1,0)</f>
        <v/>
      </c>
      <c r="V2855" s="17">
        <f>IF(N2855&gt;0,P2855/N2855,"")</f>
        <v/>
      </c>
      <c r="W2855" s="17">
        <f>IF(O2855&gt;0,H2855/O2855,"")</f>
        <v/>
      </c>
    </row>
    <row r="2856">
      <c r="A2856" s="13" t="inlineStr">
        <is>
          <t>CW11_F</t>
        </is>
      </c>
      <c r="B2856" s="13" t="inlineStr">
        <is>
          <t>CW11</t>
        </is>
      </c>
      <c r="C2856" s="13" t="inlineStr">
        <is>
          <t>F</t>
        </is>
      </c>
      <c r="D2856" s="13" t="n">
        <v>0</v>
      </c>
      <c r="E2856" s="13" t="inlineStr">
        <is>
          <t>W</t>
        </is>
      </c>
      <c r="F2856" s="13" t="n">
        <v>2025</v>
      </c>
      <c r="G2856" s="14" t="n">
        <v>67729.21673209997</v>
      </c>
      <c r="H2856" s="14" t="n">
        <v>4318.443209090889</v>
      </c>
      <c r="I2856" s="14" t="n">
        <v>53702.20914881093</v>
      </c>
      <c r="J2856" s="14" t="n">
        <v>0</v>
      </c>
      <c r="K2856" s="14" t="n">
        <v>9708.564374198166</v>
      </c>
      <c r="L2856" s="14" t="n">
        <v>0</v>
      </c>
      <c r="M2856" s="14" t="n">
        <v>0</v>
      </c>
      <c r="N2856" s="14" t="n">
        <v>34931.24511494357</v>
      </c>
      <c r="O2856" s="14" t="n">
        <v>67729.21673209997</v>
      </c>
      <c r="P2856" s="14" t="n">
        <v>31032.10204318177</v>
      </c>
      <c r="Q2856" s="14" t="n">
        <v>493008.2396456849</v>
      </c>
      <c r="R2856" s="15">
        <f>IF(D2856=1,"Section 1","Control")</f>
        <v/>
      </c>
      <c r="S2856" s="16">
        <f>N2856/10000</f>
        <v/>
      </c>
      <c r="T2856" s="16">
        <f>P2856/10000</f>
        <v/>
      </c>
      <c r="U2856" s="15">
        <f>IF(N2856&gt;=Summary!$D$3,1,0)</f>
        <v/>
      </c>
      <c r="V2856" s="17">
        <f>IF(N2856&gt;0,P2856/N2856,"")</f>
        <v/>
      </c>
      <c r="W2856" s="17">
        <f>IF(O2856&gt;0,H2856/O2856,"")</f>
        <v/>
      </c>
    </row>
    <row r="2857">
      <c r="A2857" s="13" t="inlineStr">
        <is>
          <t>CW11_F</t>
        </is>
      </c>
      <c r="B2857" s="13" t="inlineStr">
        <is>
          <t>CW11</t>
        </is>
      </c>
      <c r="C2857" s="13" t="inlineStr">
        <is>
          <t>F</t>
        </is>
      </c>
      <c r="D2857" s="13" t="n">
        <v>0</v>
      </c>
      <c r="E2857" s="13" t="inlineStr">
        <is>
          <t>W</t>
        </is>
      </c>
      <c r="F2857" s="13" t="n">
        <v>2026</v>
      </c>
      <c r="G2857" s="14" t="n">
        <v>67729.21673209997</v>
      </c>
      <c r="H2857" s="14" t="n">
        <v>14128.05688009823</v>
      </c>
      <c r="I2857" s="14" t="n">
        <v>24291.93983749689</v>
      </c>
      <c r="J2857" s="14" t="n">
        <v>0</v>
      </c>
      <c r="K2857" s="14" t="n">
        <v>29309.22001450482</v>
      </c>
      <c r="L2857" s="14" t="n">
        <v>0</v>
      </c>
      <c r="M2857" s="14" t="n">
        <v>0</v>
      </c>
      <c r="N2857" s="14" t="n">
        <v>34931.24511494357</v>
      </c>
      <c r="O2857" s="14" t="n">
        <v>67729.21673209997</v>
      </c>
      <c r="P2857" s="14" t="n">
        <v>24796.41389531154</v>
      </c>
      <c r="Q2857" s="14" t="n">
        <v>493008.2396456849</v>
      </c>
      <c r="R2857" s="15">
        <f>IF(D2857=1,"Section 1","Control")</f>
        <v/>
      </c>
      <c r="S2857" s="16">
        <f>N2857/10000</f>
        <v/>
      </c>
      <c r="T2857" s="16">
        <f>P2857/10000</f>
        <v/>
      </c>
      <c r="U2857" s="15">
        <f>IF(N2857&gt;=Summary!$D$3,1,0)</f>
        <v/>
      </c>
      <c r="V2857" s="17">
        <f>IF(N2857&gt;0,P2857/N2857,"")</f>
        <v/>
      </c>
      <c r="W2857" s="17">
        <f>IF(O2857&gt;0,H2857/O2857,"")</f>
        <v/>
      </c>
    </row>
    <row r="2858">
      <c r="A2858" s="13" t="inlineStr">
        <is>
          <t>CW12_B1</t>
        </is>
      </c>
      <c r="B2858" s="13" t="inlineStr">
        <is>
          <t>CW12</t>
        </is>
      </c>
      <c r="C2858" s="13" t="inlineStr">
        <is>
          <t>B1</t>
        </is>
      </c>
      <c r="D2858" s="13" t="n">
        <v>0</v>
      </c>
      <c r="E2858" s="13" t="inlineStr">
        <is>
          <t>W</t>
        </is>
      </c>
      <c r="F2858" s="13" t="n">
        <v>2020</v>
      </c>
      <c r="G2858" s="14" t="n">
        <v>1026216.484549279</v>
      </c>
      <c r="H2858" s="14" t="n">
        <v>697084.6563925048</v>
      </c>
      <c r="I2858" s="14" t="n">
        <v>193824.2286907121</v>
      </c>
      <c r="J2858" s="14" t="n">
        <v>0</v>
      </c>
      <c r="K2858" s="14" t="n">
        <v>135307.599466062</v>
      </c>
      <c r="L2858" s="14" t="n">
        <v>0</v>
      </c>
      <c r="M2858" s="14" t="n">
        <v>0</v>
      </c>
      <c r="N2858" s="14" t="n">
        <v>697084.6563925048</v>
      </c>
      <c r="O2858" s="14" t="n">
        <v>1026216.484549279</v>
      </c>
      <c r="P2858" s="14" t="n">
        <v>0</v>
      </c>
      <c r="Q2858" s="14" t="n">
        <v>8193124.607443418</v>
      </c>
      <c r="R2858" s="15">
        <f>IF(D2858=1,"Section 1","Control")</f>
        <v/>
      </c>
      <c r="S2858" s="16">
        <f>N2858/10000</f>
        <v/>
      </c>
      <c r="T2858" s="16">
        <f>P2858/10000</f>
        <v/>
      </c>
      <c r="U2858" s="15">
        <f>IF(N2858&gt;=Summary!$D$3,1,0)</f>
        <v/>
      </c>
      <c r="V2858" s="17">
        <f>IF(N2858&gt;0,P2858/N2858,"")</f>
        <v/>
      </c>
      <c r="W2858" s="17">
        <f>IF(O2858&gt;0,H2858/O2858,"")</f>
        <v/>
      </c>
    </row>
    <row r="2859">
      <c r="A2859" s="13" t="inlineStr">
        <is>
          <t>CW12_B1</t>
        </is>
      </c>
      <c r="B2859" s="13" t="inlineStr">
        <is>
          <t>CW12</t>
        </is>
      </c>
      <c r="C2859" s="13" t="inlineStr">
        <is>
          <t>B1</t>
        </is>
      </c>
      <c r="D2859" s="13" t="n">
        <v>0</v>
      </c>
      <c r="E2859" s="13" t="inlineStr">
        <is>
          <t>W</t>
        </is>
      </c>
      <c r="F2859" s="13" t="n">
        <v>2021</v>
      </c>
      <c r="G2859" s="14" t="n">
        <v>1026216.484549279</v>
      </c>
      <c r="H2859" s="14" t="n">
        <v>553652.5124586214</v>
      </c>
      <c r="I2859" s="14" t="n">
        <v>93752.50083142448</v>
      </c>
      <c r="J2859" s="14" t="n">
        <v>0</v>
      </c>
      <c r="K2859" s="14" t="n">
        <v>378811.4712592332</v>
      </c>
      <c r="L2859" s="14" t="n">
        <v>0</v>
      </c>
      <c r="M2859" s="14" t="n">
        <v>0</v>
      </c>
      <c r="N2859" s="14" t="n">
        <v>697084.6563925048</v>
      </c>
      <c r="O2859" s="14" t="n">
        <v>1026216.484549279</v>
      </c>
      <c r="P2859" s="14" t="n">
        <v>164372.039502731</v>
      </c>
      <c r="Q2859" s="14" t="n">
        <v>8193124.607443418</v>
      </c>
      <c r="R2859" s="15">
        <f>IF(D2859=1,"Section 1","Control")</f>
        <v/>
      </c>
      <c r="S2859" s="16">
        <f>N2859/10000</f>
        <v/>
      </c>
      <c r="T2859" s="16">
        <f>P2859/10000</f>
        <v/>
      </c>
      <c r="U2859" s="15">
        <f>IF(N2859&gt;=Summary!$D$3,1,0)</f>
        <v/>
      </c>
      <c r="V2859" s="17">
        <f>IF(N2859&gt;0,P2859/N2859,"")</f>
        <v/>
      </c>
      <c r="W2859" s="17">
        <f>IF(O2859&gt;0,H2859/O2859,"")</f>
        <v/>
      </c>
    </row>
    <row r="2860">
      <c r="A2860" s="13" t="inlineStr">
        <is>
          <t>CW12_B1</t>
        </is>
      </c>
      <c r="B2860" s="13" t="inlineStr">
        <is>
          <t>CW12</t>
        </is>
      </c>
      <c r="C2860" s="13" t="inlineStr">
        <is>
          <t>B1</t>
        </is>
      </c>
      <c r="D2860" s="13" t="n">
        <v>0</v>
      </c>
      <c r="E2860" s="13" t="inlineStr">
        <is>
          <t>W</t>
        </is>
      </c>
      <c r="F2860" s="13" t="n">
        <v>2022</v>
      </c>
      <c r="G2860" s="14" t="n">
        <v>1026216.484549279</v>
      </c>
      <c r="H2860" s="14" t="n">
        <v>510119.4438448733</v>
      </c>
      <c r="I2860" s="14" t="n">
        <v>333585.8698287966</v>
      </c>
      <c r="J2860" s="14" t="n">
        <v>0</v>
      </c>
      <c r="K2860" s="14" t="n">
        <v>182511.1708756092</v>
      </c>
      <c r="L2860" s="14" t="n">
        <v>0</v>
      </c>
      <c r="M2860" s="14" t="n">
        <v>0</v>
      </c>
      <c r="N2860" s="14" t="n">
        <v>697084.6563925048</v>
      </c>
      <c r="O2860" s="14" t="n">
        <v>1026216.484549279</v>
      </c>
      <c r="P2860" s="14" t="n">
        <v>196705.149276524</v>
      </c>
      <c r="Q2860" s="14" t="n">
        <v>8193124.607443418</v>
      </c>
      <c r="R2860" s="15">
        <f>IF(D2860=1,"Section 1","Control")</f>
        <v/>
      </c>
      <c r="S2860" s="16">
        <f>N2860/10000</f>
        <v/>
      </c>
      <c r="T2860" s="16">
        <f>P2860/10000</f>
        <v/>
      </c>
      <c r="U2860" s="15">
        <f>IF(N2860&gt;=Summary!$D$3,1,0)</f>
        <v/>
      </c>
      <c r="V2860" s="17">
        <f>IF(N2860&gt;0,P2860/N2860,"")</f>
        <v/>
      </c>
      <c r="W2860" s="17">
        <f>IF(O2860&gt;0,H2860/O2860,"")</f>
        <v/>
      </c>
    </row>
    <row r="2861">
      <c r="A2861" s="13" t="inlineStr">
        <is>
          <t>CW12_B1</t>
        </is>
      </c>
      <c r="B2861" s="13" t="inlineStr">
        <is>
          <t>CW12</t>
        </is>
      </c>
      <c r="C2861" s="13" t="inlineStr">
        <is>
          <t>B1</t>
        </is>
      </c>
      <c r="D2861" s="13" t="n">
        <v>0</v>
      </c>
      <c r="E2861" s="13" t="inlineStr">
        <is>
          <t>W</t>
        </is>
      </c>
      <c r="F2861" s="13" t="n">
        <v>2023</v>
      </c>
      <c r="G2861" s="14" t="n">
        <v>1026216.484549279</v>
      </c>
      <c r="H2861" s="14" t="n">
        <v>518226.8862105421</v>
      </c>
      <c r="I2861" s="14" t="n">
        <v>303263.5207549452</v>
      </c>
      <c r="J2861" s="14" t="n">
        <v>0</v>
      </c>
      <c r="K2861" s="14" t="n">
        <v>204726.0775837917</v>
      </c>
      <c r="L2861" s="14" t="n">
        <v>0</v>
      </c>
      <c r="M2861" s="14" t="n">
        <v>0</v>
      </c>
      <c r="N2861" s="14" t="n">
        <v>697084.6563925048</v>
      </c>
      <c r="O2861" s="14" t="n">
        <v>1026216.484549279</v>
      </c>
      <c r="P2861" s="14" t="n">
        <v>191866.9684907202</v>
      </c>
      <c r="Q2861" s="14" t="n">
        <v>8193124.607443418</v>
      </c>
      <c r="R2861" s="15">
        <f>IF(D2861=1,"Section 1","Control")</f>
        <v/>
      </c>
      <c r="S2861" s="16">
        <f>N2861/10000</f>
        <v/>
      </c>
      <c r="T2861" s="16">
        <f>P2861/10000</f>
        <v/>
      </c>
      <c r="U2861" s="15">
        <f>IF(N2861&gt;=Summary!$D$3,1,0)</f>
        <v/>
      </c>
      <c r="V2861" s="17">
        <f>IF(N2861&gt;0,P2861/N2861,"")</f>
        <v/>
      </c>
      <c r="W2861" s="17">
        <f>IF(O2861&gt;0,H2861/O2861,"")</f>
        <v/>
      </c>
    </row>
    <row r="2862">
      <c r="A2862" s="13" t="inlineStr">
        <is>
          <t>CW12_B1</t>
        </is>
      </c>
      <c r="B2862" s="13" t="inlineStr">
        <is>
          <t>CW12</t>
        </is>
      </c>
      <c r="C2862" s="13" t="inlineStr">
        <is>
          <t>B1</t>
        </is>
      </c>
      <c r="D2862" s="13" t="n">
        <v>0</v>
      </c>
      <c r="E2862" s="13" t="inlineStr">
        <is>
          <t>W</t>
        </is>
      </c>
      <c r="F2862" s="13" t="n">
        <v>2024</v>
      </c>
      <c r="G2862" s="14" t="n">
        <v>1026216.484549279</v>
      </c>
      <c r="H2862" s="14" t="n">
        <v>526922.2079518632</v>
      </c>
      <c r="I2862" s="14" t="n">
        <v>348892.0386824666</v>
      </c>
      <c r="J2862" s="14" t="n">
        <v>0</v>
      </c>
      <c r="K2862" s="14" t="n">
        <v>150402.2379149493</v>
      </c>
      <c r="L2862" s="14" t="n">
        <v>0</v>
      </c>
      <c r="M2862" s="14" t="n">
        <v>0</v>
      </c>
      <c r="N2862" s="14" t="n">
        <v>697084.6563925048</v>
      </c>
      <c r="O2862" s="14" t="n">
        <v>1026216.484549279</v>
      </c>
      <c r="P2862" s="14" t="n">
        <v>195255.8684881771</v>
      </c>
      <c r="Q2862" s="14" t="n">
        <v>8193124.607443418</v>
      </c>
      <c r="R2862" s="15">
        <f>IF(D2862=1,"Section 1","Control")</f>
        <v/>
      </c>
      <c r="S2862" s="16">
        <f>N2862/10000</f>
        <v/>
      </c>
      <c r="T2862" s="16">
        <f>P2862/10000</f>
        <v/>
      </c>
      <c r="U2862" s="15">
        <f>IF(N2862&gt;=Summary!$D$3,1,0)</f>
        <v/>
      </c>
      <c r="V2862" s="17">
        <f>IF(N2862&gt;0,P2862/N2862,"")</f>
        <v/>
      </c>
      <c r="W2862" s="17">
        <f>IF(O2862&gt;0,H2862/O2862,"")</f>
        <v/>
      </c>
    </row>
    <row r="2863">
      <c r="A2863" s="13" t="inlineStr">
        <is>
          <t>CW12_B1</t>
        </is>
      </c>
      <c r="B2863" s="13" t="inlineStr">
        <is>
          <t>CW12</t>
        </is>
      </c>
      <c r="C2863" s="13" t="inlineStr">
        <is>
          <t>B1</t>
        </is>
      </c>
      <c r="D2863" s="13" t="n">
        <v>0</v>
      </c>
      <c r="E2863" s="13" t="inlineStr">
        <is>
          <t>W</t>
        </is>
      </c>
      <c r="F2863" s="13" t="n">
        <v>2025</v>
      </c>
      <c r="G2863" s="14" t="n">
        <v>1026216.484549279</v>
      </c>
      <c r="H2863" s="14" t="n">
        <v>457239.9757870542</v>
      </c>
      <c r="I2863" s="14" t="n">
        <v>492187.0638495349</v>
      </c>
      <c r="J2863" s="14" t="n">
        <v>0</v>
      </c>
      <c r="K2863" s="14" t="n">
        <v>76789.4449126898</v>
      </c>
      <c r="L2863" s="14" t="n">
        <v>0</v>
      </c>
      <c r="M2863" s="14" t="n">
        <v>0</v>
      </c>
      <c r="N2863" s="14" t="n">
        <v>697084.6563925048</v>
      </c>
      <c r="O2863" s="14" t="n">
        <v>1026216.484549279</v>
      </c>
      <c r="P2863" s="14" t="n">
        <v>248631.4051309024</v>
      </c>
      <c r="Q2863" s="14" t="n">
        <v>8193124.607443419</v>
      </c>
      <c r="R2863" s="15">
        <f>IF(D2863=1,"Section 1","Control")</f>
        <v/>
      </c>
      <c r="S2863" s="16">
        <f>N2863/10000</f>
        <v/>
      </c>
      <c r="T2863" s="16">
        <f>P2863/10000</f>
        <v/>
      </c>
      <c r="U2863" s="15">
        <f>IF(N2863&gt;=Summary!$D$3,1,0)</f>
        <v/>
      </c>
      <c r="V2863" s="17">
        <f>IF(N2863&gt;0,P2863/N2863,"")</f>
        <v/>
      </c>
      <c r="W2863" s="17">
        <f>IF(O2863&gt;0,H2863/O2863,"")</f>
        <v/>
      </c>
    </row>
    <row r="2864">
      <c r="A2864" s="13" t="inlineStr">
        <is>
          <t>CW12_B1</t>
        </is>
      </c>
      <c r="B2864" s="13" t="inlineStr">
        <is>
          <t>CW12</t>
        </is>
      </c>
      <c r="C2864" s="13" t="inlineStr">
        <is>
          <t>B1</t>
        </is>
      </c>
      <c r="D2864" s="13" t="n">
        <v>0</v>
      </c>
      <c r="E2864" s="13" t="inlineStr">
        <is>
          <t>W</t>
        </is>
      </c>
      <c r="F2864" s="13" t="n">
        <v>2026</v>
      </c>
      <c r="G2864" s="14" t="n">
        <v>1026216.484549279</v>
      </c>
      <c r="H2864" s="14" t="n">
        <v>535994.6035341745</v>
      </c>
      <c r="I2864" s="14" t="n">
        <v>272010.1640601367</v>
      </c>
      <c r="J2864" s="14" t="n">
        <v>0</v>
      </c>
      <c r="K2864" s="14" t="n">
        <v>218211.716954968</v>
      </c>
      <c r="L2864" s="14" t="n">
        <v>0</v>
      </c>
      <c r="M2864" s="14" t="n">
        <v>0</v>
      </c>
      <c r="N2864" s="14" t="n">
        <v>697084.6563925048</v>
      </c>
      <c r="O2864" s="14" t="n">
        <v>1026216.484549279</v>
      </c>
      <c r="P2864" s="14" t="n">
        <v>197406.2511001886</v>
      </c>
      <c r="Q2864" s="14" t="n">
        <v>8193124.607443419</v>
      </c>
      <c r="R2864" s="15">
        <f>IF(D2864=1,"Section 1","Control")</f>
        <v/>
      </c>
      <c r="S2864" s="16">
        <f>N2864/10000</f>
        <v/>
      </c>
      <c r="T2864" s="16">
        <f>P2864/10000</f>
        <v/>
      </c>
      <c r="U2864" s="15">
        <f>IF(N2864&gt;=Summary!$D$3,1,0)</f>
        <v/>
      </c>
      <c r="V2864" s="17">
        <f>IF(N2864&gt;0,P2864/N2864,"")</f>
        <v/>
      </c>
      <c r="W2864" s="17">
        <f>IF(O2864&gt;0,H2864/O2864,"")</f>
        <v/>
      </c>
    </row>
    <row r="2865">
      <c r="A2865" s="13" t="inlineStr">
        <is>
          <t>CW12_B2</t>
        </is>
      </c>
      <c r="B2865" s="13" t="inlineStr">
        <is>
          <t>CW12</t>
        </is>
      </c>
      <c r="C2865" s="13" t="inlineStr">
        <is>
          <t>B2</t>
        </is>
      </c>
      <c r="D2865" s="13" t="n">
        <v>0</v>
      </c>
      <c r="E2865" s="13" t="inlineStr">
        <is>
          <t>W</t>
        </is>
      </c>
      <c r="F2865" s="13" t="n">
        <v>2020</v>
      </c>
      <c r="G2865" s="14" t="n">
        <v>1026649.715047261</v>
      </c>
      <c r="H2865" s="14" t="n">
        <v>605854.5293335862</v>
      </c>
      <c r="I2865" s="14" t="n">
        <v>359160.3006844914</v>
      </c>
      <c r="J2865" s="14" t="n">
        <v>0</v>
      </c>
      <c r="K2865" s="14" t="n">
        <v>61634.88502918318</v>
      </c>
      <c r="L2865" s="14" t="n">
        <v>0</v>
      </c>
      <c r="M2865" s="14" t="n">
        <v>0</v>
      </c>
      <c r="N2865" s="14" t="n">
        <v>605854.5293335862</v>
      </c>
      <c r="O2865" s="14" t="n">
        <v>1026649.715047261</v>
      </c>
      <c r="P2865" s="14" t="n">
        <v>0</v>
      </c>
      <c r="Q2865" s="14" t="n">
        <v>6664192.413003542</v>
      </c>
      <c r="R2865" s="15">
        <f>IF(D2865=1,"Section 1","Control")</f>
        <v/>
      </c>
      <c r="S2865" s="16">
        <f>N2865/10000</f>
        <v/>
      </c>
      <c r="T2865" s="16">
        <f>P2865/10000</f>
        <v/>
      </c>
      <c r="U2865" s="15">
        <f>IF(N2865&gt;=Summary!$D$3,1,0)</f>
        <v/>
      </c>
      <c r="V2865" s="17">
        <f>IF(N2865&gt;0,P2865/N2865,"")</f>
        <v/>
      </c>
      <c r="W2865" s="17">
        <f>IF(O2865&gt;0,H2865/O2865,"")</f>
        <v/>
      </c>
    </row>
    <row r="2866">
      <c r="A2866" s="13" t="inlineStr">
        <is>
          <t>CW12_B2</t>
        </is>
      </c>
      <c r="B2866" s="13" t="inlineStr">
        <is>
          <t>CW12</t>
        </is>
      </c>
      <c r="C2866" s="13" t="inlineStr">
        <is>
          <t>B2</t>
        </is>
      </c>
      <c r="D2866" s="13" t="n">
        <v>0</v>
      </c>
      <c r="E2866" s="13" t="inlineStr">
        <is>
          <t>W</t>
        </is>
      </c>
      <c r="F2866" s="13" t="n">
        <v>2021</v>
      </c>
      <c r="G2866" s="14" t="n">
        <v>1026649.715047261</v>
      </c>
      <c r="H2866" s="14" t="n">
        <v>549952.1900179399</v>
      </c>
      <c r="I2866" s="14" t="n">
        <v>295049.1712523218</v>
      </c>
      <c r="J2866" s="14" t="n">
        <v>0</v>
      </c>
      <c r="K2866" s="14" t="n">
        <v>181648.3537769991</v>
      </c>
      <c r="L2866" s="14" t="n">
        <v>0</v>
      </c>
      <c r="M2866" s="14" t="n">
        <v>0</v>
      </c>
      <c r="N2866" s="14" t="n">
        <v>605854.5293335862</v>
      </c>
      <c r="O2866" s="14" t="n">
        <v>1026649.715047261</v>
      </c>
      <c r="P2866" s="14" t="n">
        <v>60727.25930585674</v>
      </c>
      <c r="Q2866" s="14" t="n">
        <v>6664192.413003542</v>
      </c>
      <c r="R2866" s="15">
        <f>IF(D2866=1,"Section 1","Control")</f>
        <v/>
      </c>
      <c r="S2866" s="16">
        <f>N2866/10000</f>
        <v/>
      </c>
      <c r="T2866" s="16">
        <f>P2866/10000</f>
        <v/>
      </c>
      <c r="U2866" s="15">
        <f>IF(N2866&gt;=Summary!$D$3,1,0)</f>
        <v/>
      </c>
      <c r="V2866" s="17">
        <f>IF(N2866&gt;0,P2866/N2866,"")</f>
        <v/>
      </c>
      <c r="W2866" s="17">
        <f>IF(O2866&gt;0,H2866/O2866,"")</f>
        <v/>
      </c>
    </row>
    <row r="2867">
      <c r="A2867" s="13" t="inlineStr">
        <is>
          <t>CW12_B2</t>
        </is>
      </c>
      <c r="B2867" s="13" t="inlineStr">
        <is>
          <t>CW12</t>
        </is>
      </c>
      <c r="C2867" s="13" t="inlineStr">
        <is>
          <t>B2</t>
        </is>
      </c>
      <c r="D2867" s="13" t="n">
        <v>0</v>
      </c>
      <c r="E2867" s="13" t="inlineStr">
        <is>
          <t>W</t>
        </is>
      </c>
      <c r="F2867" s="13" t="n">
        <v>2022</v>
      </c>
      <c r="G2867" s="14" t="n">
        <v>1026649.715047261</v>
      </c>
      <c r="H2867" s="14" t="n">
        <v>535355.0976549938</v>
      </c>
      <c r="I2867" s="14" t="n">
        <v>416098.2888425043</v>
      </c>
      <c r="J2867" s="14" t="n">
        <v>0</v>
      </c>
      <c r="K2867" s="14" t="n">
        <v>75196.32854976281</v>
      </c>
      <c r="L2867" s="14" t="n">
        <v>0</v>
      </c>
      <c r="M2867" s="14" t="n">
        <v>0</v>
      </c>
      <c r="N2867" s="14" t="n">
        <v>605854.5293335862</v>
      </c>
      <c r="O2867" s="14" t="n">
        <v>1026649.715047261</v>
      </c>
      <c r="P2867" s="14" t="n">
        <v>71634.61645082959</v>
      </c>
      <c r="Q2867" s="14" t="n">
        <v>6664192.413003542</v>
      </c>
      <c r="R2867" s="15">
        <f>IF(D2867=1,"Section 1","Control")</f>
        <v/>
      </c>
      <c r="S2867" s="16">
        <f>N2867/10000</f>
        <v/>
      </c>
      <c r="T2867" s="16">
        <f>P2867/10000</f>
        <v/>
      </c>
      <c r="U2867" s="15">
        <f>IF(N2867&gt;=Summary!$D$3,1,0)</f>
        <v/>
      </c>
      <c r="V2867" s="17">
        <f>IF(N2867&gt;0,P2867/N2867,"")</f>
        <v/>
      </c>
      <c r="W2867" s="17">
        <f>IF(O2867&gt;0,H2867/O2867,"")</f>
        <v/>
      </c>
    </row>
    <row r="2868">
      <c r="A2868" s="13" t="inlineStr">
        <is>
          <t>CW12_B2</t>
        </is>
      </c>
      <c r="B2868" s="13" t="inlineStr">
        <is>
          <t>CW12</t>
        </is>
      </c>
      <c r="C2868" s="13" t="inlineStr">
        <is>
          <t>B2</t>
        </is>
      </c>
      <c r="D2868" s="13" t="n">
        <v>0</v>
      </c>
      <c r="E2868" s="13" t="inlineStr">
        <is>
          <t>W</t>
        </is>
      </c>
      <c r="F2868" s="13" t="n">
        <v>2023</v>
      </c>
      <c r="G2868" s="14" t="n">
        <v>1026649.715047261</v>
      </c>
      <c r="H2868" s="14" t="n">
        <v>537407.8597760671</v>
      </c>
      <c r="I2868" s="14" t="n">
        <v>368745.3909865734</v>
      </c>
      <c r="J2868" s="14" t="n">
        <v>0</v>
      </c>
      <c r="K2868" s="14" t="n">
        <v>120496.4642846201</v>
      </c>
      <c r="L2868" s="14" t="n">
        <v>0</v>
      </c>
      <c r="M2868" s="14" t="n">
        <v>0</v>
      </c>
      <c r="N2868" s="14" t="n">
        <v>605854.5293335862</v>
      </c>
      <c r="O2868" s="14" t="n">
        <v>1026649.715047261</v>
      </c>
      <c r="P2868" s="14" t="n">
        <v>70050.71570168289</v>
      </c>
      <c r="Q2868" s="14" t="n">
        <v>6664192.413003542</v>
      </c>
      <c r="R2868" s="15">
        <f>IF(D2868=1,"Section 1","Control")</f>
        <v/>
      </c>
      <c r="S2868" s="16">
        <f>N2868/10000</f>
        <v/>
      </c>
      <c r="T2868" s="16">
        <f>P2868/10000</f>
        <v/>
      </c>
      <c r="U2868" s="15">
        <f>IF(N2868&gt;=Summary!$D$3,1,0)</f>
        <v/>
      </c>
      <c r="V2868" s="17">
        <f>IF(N2868&gt;0,P2868/N2868,"")</f>
        <v/>
      </c>
      <c r="W2868" s="17">
        <f>IF(O2868&gt;0,H2868/O2868,"")</f>
        <v/>
      </c>
    </row>
    <row r="2869">
      <c r="A2869" s="13" t="inlineStr">
        <is>
          <t>CW12_B2</t>
        </is>
      </c>
      <c r="B2869" s="13" t="inlineStr">
        <is>
          <t>CW12</t>
        </is>
      </c>
      <c r="C2869" s="13" t="inlineStr">
        <is>
          <t>B2</t>
        </is>
      </c>
      <c r="D2869" s="13" t="n">
        <v>0</v>
      </c>
      <c r="E2869" s="13" t="inlineStr">
        <is>
          <t>W</t>
        </is>
      </c>
      <c r="F2869" s="13" t="n">
        <v>2024</v>
      </c>
      <c r="G2869" s="14" t="n">
        <v>1026649.715047261</v>
      </c>
      <c r="H2869" s="14" t="n">
        <v>561743.8754793657</v>
      </c>
      <c r="I2869" s="14" t="n">
        <v>421541.95996004</v>
      </c>
      <c r="J2869" s="14" t="n">
        <v>0</v>
      </c>
      <c r="K2869" s="14" t="n">
        <v>43363.87960785512</v>
      </c>
      <c r="L2869" s="14" t="n">
        <v>0</v>
      </c>
      <c r="M2869" s="14" t="n">
        <v>0</v>
      </c>
      <c r="N2869" s="14" t="n">
        <v>605854.5293335862</v>
      </c>
      <c r="O2869" s="14" t="n">
        <v>1026649.715047261</v>
      </c>
      <c r="P2869" s="14" t="n">
        <v>61854.7066236309</v>
      </c>
      <c r="Q2869" s="14" t="n">
        <v>6664192.413003542</v>
      </c>
      <c r="R2869" s="15">
        <f>IF(D2869=1,"Section 1","Control")</f>
        <v/>
      </c>
      <c r="S2869" s="16">
        <f>N2869/10000</f>
        <v/>
      </c>
      <c r="T2869" s="16">
        <f>P2869/10000</f>
        <v/>
      </c>
      <c r="U2869" s="15">
        <f>IF(N2869&gt;=Summary!$D$3,1,0)</f>
        <v/>
      </c>
      <c r="V2869" s="17">
        <f>IF(N2869&gt;0,P2869/N2869,"")</f>
        <v/>
      </c>
      <c r="W2869" s="17">
        <f>IF(O2869&gt;0,H2869/O2869,"")</f>
        <v/>
      </c>
    </row>
    <row r="2870">
      <c r="A2870" s="13" t="inlineStr">
        <is>
          <t>CW12_B2</t>
        </is>
      </c>
      <c r="B2870" s="13" t="inlineStr">
        <is>
          <t>CW12</t>
        </is>
      </c>
      <c r="C2870" s="13" t="inlineStr">
        <is>
          <t>B2</t>
        </is>
      </c>
      <c r="D2870" s="13" t="n">
        <v>0</v>
      </c>
      <c r="E2870" s="13" t="inlineStr">
        <is>
          <t>W</t>
        </is>
      </c>
      <c r="F2870" s="13" t="n">
        <v>2025</v>
      </c>
      <c r="G2870" s="14" t="n">
        <v>1026649.715047261</v>
      </c>
      <c r="H2870" s="14" t="n">
        <v>530211.5214894017</v>
      </c>
      <c r="I2870" s="14" t="n">
        <v>479821.6078579472</v>
      </c>
      <c r="J2870" s="14" t="n">
        <v>0</v>
      </c>
      <c r="K2870" s="14" t="n">
        <v>16616.58569991168</v>
      </c>
      <c r="L2870" s="14" t="n">
        <v>0</v>
      </c>
      <c r="M2870" s="14" t="n">
        <v>0</v>
      </c>
      <c r="N2870" s="14" t="n">
        <v>605854.5293335862</v>
      </c>
      <c r="O2870" s="14" t="n">
        <v>1026649.715047261</v>
      </c>
      <c r="P2870" s="14" t="n">
        <v>76704.24117841534</v>
      </c>
      <c r="Q2870" s="14" t="n">
        <v>6664192.41300354</v>
      </c>
      <c r="R2870" s="15">
        <f>IF(D2870=1,"Section 1","Control")</f>
        <v/>
      </c>
      <c r="S2870" s="16">
        <f>N2870/10000</f>
        <v/>
      </c>
      <c r="T2870" s="16">
        <f>P2870/10000</f>
        <v/>
      </c>
      <c r="U2870" s="15">
        <f>IF(N2870&gt;=Summary!$D$3,1,0)</f>
        <v/>
      </c>
      <c r="V2870" s="17">
        <f>IF(N2870&gt;0,P2870/N2870,"")</f>
        <v/>
      </c>
      <c r="W2870" s="17">
        <f>IF(O2870&gt;0,H2870/O2870,"")</f>
        <v/>
      </c>
    </row>
    <row r="2871">
      <c r="A2871" s="13" t="inlineStr">
        <is>
          <t>CW12_B2</t>
        </is>
      </c>
      <c r="B2871" s="13" t="inlineStr">
        <is>
          <t>CW12</t>
        </is>
      </c>
      <c r="C2871" s="13" t="inlineStr">
        <is>
          <t>B2</t>
        </is>
      </c>
      <c r="D2871" s="13" t="n">
        <v>0</v>
      </c>
      <c r="E2871" s="13" t="inlineStr">
        <is>
          <t>W</t>
        </is>
      </c>
      <c r="F2871" s="13" t="n">
        <v>2026</v>
      </c>
      <c r="G2871" s="14" t="n">
        <v>1026649.715047261</v>
      </c>
      <c r="H2871" s="14" t="n">
        <v>563229.0873648853</v>
      </c>
      <c r="I2871" s="14" t="n">
        <v>327513.3210602705</v>
      </c>
      <c r="J2871" s="14" t="n">
        <v>0</v>
      </c>
      <c r="K2871" s="14" t="n">
        <v>135907.306622105</v>
      </c>
      <c r="L2871" s="14" t="n">
        <v>0</v>
      </c>
      <c r="M2871" s="14" t="n">
        <v>0</v>
      </c>
      <c r="N2871" s="14" t="n">
        <v>605854.5293335862</v>
      </c>
      <c r="O2871" s="14" t="n">
        <v>1026649.715047261</v>
      </c>
      <c r="P2871" s="14" t="n">
        <v>61847.33977807737</v>
      </c>
      <c r="Q2871" s="14" t="n">
        <v>6664192.413003542</v>
      </c>
      <c r="R2871" s="15">
        <f>IF(D2871=1,"Section 1","Control")</f>
        <v/>
      </c>
      <c r="S2871" s="16">
        <f>N2871/10000</f>
        <v/>
      </c>
      <c r="T2871" s="16">
        <f>P2871/10000</f>
        <v/>
      </c>
      <c r="U2871" s="15">
        <f>IF(N2871&gt;=Summary!$D$3,1,0)</f>
        <v/>
      </c>
      <c r="V2871" s="17">
        <f>IF(N2871&gt;0,P2871/N2871,"")</f>
        <v/>
      </c>
      <c r="W2871" s="17">
        <f>IF(O2871&gt;0,H2871/O2871,"")</f>
        <v/>
      </c>
    </row>
    <row r="2872">
      <c r="A2872" s="13" t="inlineStr">
        <is>
          <t>CW12_B3</t>
        </is>
      </c>
      <c r="B2872" s="13" t="inlineStr">
        <is>
          <t>CW12</t>
        </is>
      </c>
      <c r="C2872" s="13" t="inlineStr">
        <is>
          <t>B3</t>
        </is>
      </c>
      <c r="D2872" s="13" t="n">
        <v>0</v>
      </c>
      <c r="E2872" s="13" t="inlineStr">
        <is>
          <t>W</t>
        </is>
      </c>
      <c r="F2872" s="13" t="n">
        <v>2020</v>
      </c>
      <c r="G2872" s="14" t="n">
        <v>8210691.37644707</v>
      </c>
      <c r="H2872" s="14" t="n">
        <v>2709809.822188703</v>
      </c>
      <c r="I2872" s="14" t="n">
        <v>1192490.859396901</v>
      </c>
      <c r="J2872" s="14" t="n">
        <v>0</v>
      </c>
      <c r="K2872" s="14" t="n">
        <v>922107.1925149654</v>
      </c>
      <c r="L2872" s="14" t="n">
        <v>3386283.502346503</v>
      </c>
      <c r="M2872" s="14" t="n">
        <v>0</v>
      </c>
      <c r="N2872" s="14" t="n">
        <v>2709809.822188703</v>
      </c>
      <c r="O2872" s="14" t="n">
        <v>4824407.874100569</v>
      </c>
      <c r="P2872" s="14" t="n">
        <v>0</v>
      </c>
      <c r="Q2872" s="14" t="n">
        <v>28174594.61744205</v>
      </c>
      <c r="R2872" s="15">
        <f>IF(D2872=1,"Section 1","Control")</f>
        <v/>
      </c>
      <c r="S2872" s="16">
        <f>N2872/10000</f>
        <v/>
      </c>
      <c r="T2872" s="16">
        <f>P2872/10000</f>
        <v/>
      </c>
      <c r="U2872" s="15">
        <f>IF(N2872&gt;=Summary!$D$3,1,0)</f>
        <v/>
      </c>
      <c r="V2872" s="17">
        <f>IF(N2872&gt;0,P2872/N2872,"")</f>
        <v/>
      </c>
      <c r="W2872" s="17">
        <f>IF(O2872&gt;0,H2872/O2872,"")</f>
        <v/>
      </c>
    </row>
    <row r="2873">
      <c r="A2873" s="13" t="inlineStr">
        <is>
          <t>CW12_B3</t>
        </is>
      </c>
      <c r="B2873" s="13" t="inlineStr">
        <is>
          <t>CW12</t>
        </is>
      </c>
      <c r="C2873" s="13" t="inlineStr">
        <is>
          <t>B3</t>
        </is>
      </c>
      <c r="D2873" s="13" t="n">
        <v>0</v>
      </c>
      <c r="E2873" s="13" t="inlineStr">
        <is>
          <t>W</t>
        </is>
      </c>
      <c r="F2873" s="13" t="n">
        <v>2021</v>
      </c>
      <c r="G2873" s="14" t="n">
        <v>8210691.376447072</v>
      </c>
      <c r="H2873" s="14" t="n">
        <v>2339724.95282138</v>
      </c>
      <c r="I2873" s="14" t="n">
        <v>577375.0174628163</v>
      </c>
      <c r="J2873" s="14" t="n">
        <v>0</v>
      </c>
      <c r="K2873" s="14" t="n">
        <v>1926298.038954881</v>
      </c>
      <c r="L2873" s="14" t="n">
        <v>3367293.367207995</v>
      </c>
      <c r="M2873" s="14" t="n">
        <v>0</v>
      </c>
      <c r="N2873" s="14" t="n">
        <v>2709809.822188703</v>
      </c>
      <c r="O2873" s="14" t="n">
        <v>4824407.874100569</v>
      </c>
      <c r="P2873" s="14" t="n">
        <v>442787.5827378517</v>
      </c>
      <c r="Q2873" s="14" t="n">
        <v>28174594.61744205</v>
      </c>
      <c r="R2873" s="15">
        <f>IF(D2873=1,"Section 1","Control")</f>
        <v/>
      </c>
      <c r="S2873" s="16">
        <f>N2873/10000</f>
        <v/>
      </c>
      <c r="T2873" s="16">
        <f>P2873/10000</f>
        <v/>
      </c>
      <c r="U2873" s="15">
        <f>IF(N2873&gt;=Summary!$D$3,1,0)</f>
        <v/>
      </c>
      <c r="V2873" s="17">
        <f>IF(N2873&gt;0,P2873/N2873,"")</f>
        <v/>
      </c>
      <c r="W2873" s="17">
        <f>IF(O2873&gt;0,H2873/O2873,"")</f>
        <v/>
      </c>
    </row>
    <row r="2874">
      <c r="A2874" s="13" t="inlineStr">
        <is>
          <t>CW12_B3</t>
        </is>
      </c>
      <c r="B2874" s="13" t="inlineStr">
        <is>
          <t>CW12</t>
        </is>
      </c>
      <c r="C2874" s="13" t="inlineStr">
        <is>
          <t>B3</t>
        </is>
      </c>
      <c r="D2874" s="13" t="n">
        <v>0</v>
      </c>
      <c r="E2874" s="13" t="inlineStr">
        <is>
          <t>W</t>
        </is>
      </c>
      <c r="F2874" s="13" t="n">
        <v>2022</v>
      </c>
      <c r="G2874" s="14" t="n">
        <v>8210691.376447072</v>
      </c>
      <c r="H2874" s="14" t="n">
        <v>2221939.481946399</v>
      </c>
      <c r="I2874" s="14" t="n">
        <v>1165813.112010582</v>
      </c>
      <c r="J2874" s="14" t="n">
        <v>0</v>
      </c>
      <c r="K2874" s="14" t="n">
        <v>1452154.282402218</v>
      </c>
      <c r="L2874" s="14" t="n">
        <v>3370784.500087873</v>
      </c>
      <c r="M2874" s="14" t="n">
        <v>0</v>
      </c>
      <c r="N2874" s="14" t="n">
        <v>2709809.822188703</v>
      </c>
      <c r="O2874" s="14" t="n">
        <v>4824407.87410057</v>
      </c>
      <c r="P2874" s="14" t="n">
        <v>530725.6722109028</v>
      </c>
      <c r="Q2874" s="14" t="n">
        <v>28174594.61744205</v>
      </c>
      <c r="R2874" s="15">
        <f>IF(D2874=1,"Section 1","Control")</f>
        <v/>
      </c>
      <c r="S2874" s="16">
        <f>N2874/10000</f>
        <v/>
      </c>
      <c r="T2874" s="16">
        <f>P2874/10000</f>
        <v/>
      </c>
      <c r="U2874" s="15">
        <f>IF(N2874&gt;=Summary!$D$3,1,0)</f>
        <v/>
      </c>
      <c r="V2874" s="17">
        <f>IF(N2874&gt;0,P2874/N2874,"")</f>
        <v/>
      </c>
      <c r="W2874" s="17">
        <f>IF(O2874&gt;0,H2874/O2874,"")</f>
        <v/>
      </c>
    </row>
    <row r="2875">
      <c r="A2875" s="13" t="inlineStr">
        <is>
          <t>CW12_B3</t>
        </is>
      </c>
      <c r="B2875" s="13" t="inlineStr">
        <is>
          <t>CW12</t>
        </is>
      </c>
      <c r="C2875" s="13" t="inlineStr">
        <is>
          <t>B3</t>
        </is>
      </c>
      <c r="D2875" s="13" t="n">
        <v>0</v>
      </c>
      <c r="E2875" s="13" t="inlineStr">
        <is>
          <t>W</t>
        </is>
      </c>
      <c r="F2875" s="13" t="n">
        <v>2023</v>
      </c>
      <c r="G2875" s="14" t="n">
        <v>8210691.376447072</v>
      </c>
      <c r="H2875" s="14" t="n">
        <v>2356111.483857847</v>
      </c>
      <c r="I2875" s="14" t="n">
        <v>1012960.698646336</v>
      </c>
      <c r="J2875" s="14" t="n">
        <v>0</v>
      </c>
      <c r="K2875" s="14" t="n">
        <v>1452648.624434766</v>
      </c>
      <c r="L2875" s="14" t="n">
        <v>3388970.569508123</v>
      </c>
      <c r="M2875" s="14" t="n">
        <v>0</v>
      </c>
      <c r="N2875" s="14" t="n">
        <v>2709809.822188703</v>
      </c>
      <c r="O2875" s="14" t="n">
        <v>4824407.874100569</v>
      </c>
      <c r="P2875" s="14" t="n">
        <v>564536.5539154353</v>
      </c>
      <c r="Q2875" s="14" t="n">
        <v>28174594.61744205</v>
      </c>
      <c r="R2875" s="15">
        <f>IF(D2875=1,"Section 1","Control")</f>
        <v/>
      </c>
      <c r="S2875" s="16">
        <f>N2875/10000</f>
        <v/>
      </c>
      <c r="T2875" s="16">
        <f>P2875/10000</f>
        <v/>
      </c>
      <c r="U2875" s="15">
        <f>IF(N2875&gt;=Summary!$D$3,1,0)</f>
        <v/>
      </c>
      <c r="V2875" s="17">
        <f>IF(N2875&gt;0,P2875/N2875,"")</f>
        <v/>
      </c>
      <c r="W2875" s="17">
        <f>IF(O2875&gt;0,H2875/O2875,"")</f>
        <v/>
      </c>
    </row>
    <row r="2876">
      <c r="A2876" s="13" t="inlineStr">
        <is>
          <t>CW12_B3</t>
        </is>
      </c>
      <c r="B2876" s="13" t="inlineStr">
        <is>
          <t>CW12</t>
        </is>
      </c>
      <c r="C2876" s="13" t="inlineStr">
        <is>
          <t>B3</t>
        </is>
      </c>
      <c r="D2876" s="13" t="n">
        <v>0</v>
      </c>
      <c r="E2876" s="13" t="inlineStr">
        <is>
          <t>W</t>
        </is>
      </c>
      <c r="F2876" s="13" t="n">
        <v>2024</v>
      </c>
      <c r="G2876" s="14" t="n">
        <v>8210691.37644707</v>
      </c>
      <c r="H2876" s="14" t="n">
        <v>2461297.629047439</v>
      </c>
      <c r="I2876" s="14" t="n">
        <v>887047.2937000648</v>
      </c>
      <c r="J2876" s="14" t="n">
        <v>0</v>
      </c>
      <c r="K2876" s="14" t="n">
        <v>1449219.170969196</v>
      </c>
      <c r="L2876" s="14" t="n">
        <v>3413127.282730372</v>
      </c>
      <c r="M2876" s="14" t="n">
        <v>0</v>
      </c>
      <c r="N2876" s="14" t="n">
        <v>2709809.822188704</v>
      </c>
      <c r="O2876" s="14" t="n">
        <v>4824407.87410057</v>
      </c>
      <c r="P2876" s="14" t="n">
        <v>583783.8385918112</v>
      </c>
      <c r="Q2876" s="14" t="n">
        <v>28174594.61744205</v>
      </c>
      <c r="R2876" s="15">
        <f>IF(D2876=1,"Section 1","Control")</f>
        <v/>
      </c>
      <c r="S2876" s="16">
        <f>N2876/10000</f>
        <v/>
      </c>
      <c r="T2876" s="16">
        <f>P2876/10000</f>
        <v/>
      </c>
      <c r="U2876" s="15">
        <f>IF(N2876&gt;=Summary!$D$3,1,0)</f>
        <v/>
      </c>
      <c r="V2876" s="17">
        <f>IF(N2876&gt;0,P2876/N2876,"")</f>
        <v/>
      </c>
      <c r="W2876" s="17">
        <f>IF(O2876&gt;0,H2876/O2876,"")</f>
        <v/>
      </c>
    </row>
    <row r="2877">
      <c r="A2877" s="13" t="inlineStr">
        <is>
          <t>CW12_B3</t>
        </is>
      </c>
      <c r="B2877" s="13" t="inlineStr">
        <is>
          <t>CW12</t>
        </is>
      </c>
      <c r="C2877" s="13" t="inlineStr">
        <is>
          <t>B3</t>
        </is>
      </c>
      <c r="D2877" s="13" t="n">
        <v>0</v>
      </c>
      <c r="E2877" s="13" t="inlineStr">
        <is>
          <t>W</t>
        </is>
      </c>
      <c r="F2877" s="13" t="n">
        <v>2025</v>
      </c>
      <c r="G2877" s="14" t="n">
        <v>8210691.376447072</v>
      </c>
      <c r="H2877" s="14" t="n">
        <v>2414435.301115118</v>
      </c>
      <c r="I2877" s="14" t="n">
        <v>1006515.435976365</v>
      </c>
      <c r="J2877" s="14" t="n">
        <v>0</v>
      </c>
      <c r="K2877" s="14" t="n">
        <v>1404473.039183045</v>
      </c>
      <c r="L2877" s="14" t="n">
        <v>3385267.600172544</v>
      </c>
      <c r="M2877" s="14" t="n">
        <v>0</v>
      </c>
      <c r="N2877" s="14" t="n">
        <v>2709809.822188704</v>
      </c>
      <c r="O2877" s="14" t="n">
        <v>4824407.87410057</v>
      </c>
      <c r="P2877" s="14" t="n">
        <v>616720.8835462383</v>
      </c>
      <c r="Q2877" s="14" t="n">
        <v>28174594.61744205</v>
      </c>
      <c r="R2877" s="15">
        <f>IF(D2877=1,"Section 1","Control")</f>
        <v/>
      </c>
      <c r="S2877" s="16">
        <f>N2877/10000</f>
        <v/>
      </c>
      <c r="T2877" s="16">
        <f>P2877/10000</f>
        <v/>
      </c>
      <c r="U2877" s="15">
        <f>IF(N2877&gt;=Summary!$D$3,1,0)</f>
        <v/>
      </c>
      <c r="V2877" s="17">
        <f>IF(N2877&gt;0,P2877/N2877,"")</f>
        <v/>
      </c>
      <c r="W2877" s="17">
        <f>IF(O2877&gt;0,H2877/O2877,"")</f>
        <v/>
      </c>
    </row>
    <row r="2878">
      <c r="A2878" s="13" t="inlineStr">
        <is>
          <t>CW12_B3</t>
        </is>
      </c>
      <c r="B2878" s="13" t="inlineStr">
        <is>
          <t>CW12</t>
        </is>
      </c>
      <c r="C2878" s="13" t="inlineStr">
        <is>
          <t>B3</t>
        </is>
      </c>
      <c r="D2878" s="13" t="n">
        <v>0</v>
      </c>
      <c r="E2878" s="13" t="inlineStr">
        <is>
          <t>W</t>
        </is>
      </c>
      <c r="F2878" s="13" t="n">
        <v>2026</v>
      </c>
      <c r="G2878" s="14" t="n">
        <v>8210691.376447072</v>
      </c>
      <c r="H2878" s="14" t="n">
        <v>2676112.139283991</v>
      </c>
      <c r="I2878" s="14" t="n">
        <v>594864.1333306105</v>
      </c>
      <c r="J2878" s="14" t="n">
        <v>0</v>
      </c>
      <c r="K2878" s="14" t="n">
        <v>1523828.824057156</v>
      </c>
      <c r="L2878" s="14" t="n">
        <v>3415886.279775313</v>
      </c>
      <c r="M2878" s="14" t="n">
        <v>0</v>
      </c>
      <c r="N2878" s="14" t="n">
        <v>2709809.822188703</v>
      </c>
      <c r="O2878" s="14" t="n">
        <v>4824407.87410057</v>
      </c>
      <c r="P2878" s="14" t="n">
        <v>556853.4309016209</v>
      </c>
      <c r="Q2878" s="14" t="n">
        <v>28174594.61744205</v>
      </c>
      <c r="R2878" s="15">
        <f>IF(D2878=1,"Section 1","Control")</f>
        <v/>
      </c>
      <c r="S2878" s="16">
        <f>N2878/10000</f>
        <v/>
      </c>
      <c r="T2878" s="16">
        <f>P2878/10000</f>
        <v/>
      </c>
      <c r="U2878" s="15">
        <f>IF(N2878&gt;=Summary!$D$3,1,0)</f>
        <v/>
      </c>
      <c r="V2878" s="17">
        <f>IF(N2878&gt;0,P2878/N2878,"")</f>
        <v/>
      </c>
      <c r="W2878" s="17">
        <f>IF(O2878&gt;0,H2878/O2878,"")</f>
        <v/>
      </c>
    </row>
    <row r="2879">
      <c r="A2879" s="13" t="inlineStr">
        <is>
          <t>CW12_F</t>
        </is>
      </c>
      <c r="B2879" s="13" t="inlineStr">
        <is>
          <t>CW12</t>
        </is>
      </c>
      <c r="C2879" s="13" t="inlineStr">
        <is>
          <t>F</t>
        </is>
      </c>
      <c r="D2879" s="13" t="n">
        <v>0</v>
      </c>
      <c r="E2879" s="13" t="inlineStr">
        <is>
          <t>W</t>
        </is>
      </c>
      <c r="F2879" s="13" t="n">
        <v>2020</v>
      </c>
      <c r="G2879" s="14" t="n">
        <v>71333.32518729425</v>
      </c>
      <c r="H2879" s="14" t="n">
        <v>33511.89170050526</v>
      </c>
      <c r="I2879" s="14" t="n">
        <v>31375.51230408912</v>
      </c>
      <c r="J2879" s="14" t="n">
        <v>0</v>
      </c>
      <c r="K2879" s="14" t="n">
        <v>6445.921182699765</v>
      </c>
      <c r="L2879" s="14" t="n">
        <v>0</v>
      </c>
      <c r="M2879" s="14" t="n">
        <v>0</v>
      </c>
      <c r="N2879" s="14" t="n">
        <v>33511.89170050526</v>
      </c>
      <c r="O2879" s="14" t="n">
        <v>71333.32518729425</v>
      </c>
      <c r="P2879" s="14" t="n">
        <v>0</v>
      </c>
      <c r="Q2879" s="14" t="n">
        <v>634355.3324036845</v>
      </c>
      <c r="R2879" s="15">
        <f>IF(D2879=1,"Section 1","Control")</f>
        <v/>
      </c>
      <c r="S2879" s="16">
        <f>N2879/10000</f>
        <v/>
      </c>
      <c r="T2879" s="16">
        <f>P2879/10000</f>
        <v/>
      </c>
      <c r="U2879" s="15">
        <f>IF(N2879&gt;=Summary!$D$3,1,0)</f>
        <v/>
      </c>
      <c r="V2879" s="17">
        <f>IF(N2879&gt;0,P2879/N2879,"")</f>
        <v/>
      </c>
      <c r="W2879" s="17">
        <f>IF(O2879&gt;0,H2879/O2879,"")</f>
        <v/>
      </c>
    </row>
    <row r="2880">
      <c r="A2880" s="13" t="inlineStr">
        <is>
          <t>CW12_F</t>
        </is>
      </c>
      <c r="B2880" s="13" t="inlineStr">
        <is>
          <t>CW12</t>
        </is>
      </c>
      <c r="C2880" s="13" t="inlineStr">
        <is>
          <t>F</t>
        </is>
      </c>
      <c r="D2880" s="13" t="n">
        <v>0</v>
      </c>
      <c r="E2880" s="13" t="inlineStr">
        <is>
          <t>W</t>
        </is>
      </c>
      <c r="F2880" s="13" t="n">
        <v>2021</v>
      </c>
      <c r="G2880" s="14" t="n">
        <v>71333.32518729425</v>
      </c>
      <c r="H2880" s="14" t="n">
        <v>28980.50509625603</v>
      </c>
      <c r="I2880" s="14" t="n">
        <v>13463.29692786722</v>
      </c>
      <c r="J2880" s="14" t="n">
        <v>0</v>
      </c>
      <c r="K2880" s="14" t="n">
        <v>28889.5231631709</v>
      </c>
      <c r="L2880" s="14" t="n">
        <v>0</v>
      </c>
      <c r="M2880" s="14" t="n">
        <v>0</v>
      </c>
      <c r="N2880" s="14" t="n">
        <v>33511.89170050526</v>
      </c>
      <c r="O2880" s="14" t="n">
        <v>71333.32518729425</v>
      </c>
      <c r="P2880" s="14" t="n">
        <v>7776.221302286784</v>
      </c>
      <c r="Q2880" s="14" t="n">
        <v>634355.3324036845</v>
      </c>
      <c r="R2880" s="15">
        <f>IF(D2880=1,"Section 1","Control")</f>
        <v/>
      </c>
      <c r="S2880" s="16">
        <f>N2880/10000</f>
        <v/>
      </c>
      <c r="T2880" s="16">
        <f>P2880/10000</f>
        <v/>
      </c>
      <c r="U2880" s="15">
        <f>IF(N2880&gt;=Summary!$D$3,1,0)</f>
        <v/>
      </c>
      <c r="V2880" s="17">
        <f>IF(N2880&gt;0,P2880/N2880,"")</f>
        <v/>
      </c>
      <c r="W2880" s="17">
        <f>IF(O2880&gt;0,H2880/O2880,"")</f>
        <v/>
      </c>
    </row>
    <row r="2881">
      <c r="A2881" s="13" t="inlineStr">
        <is>
          <t>CW12_F</t>
        </is>
      </c>
      <c r="B2881" s="13" t="inlineStr">
        <is>
          <t>CW12</t>
        </is>
      </c>
      <c r="C2881" s="13" t="inlineStr">
        <is>
          <t>F</t>
        </is>
      </c>
      <c r="D2881" s="13" t="n">
        <v>0</v>
      </c>
      <c r="E2881" s="13" t="inlineStr">
        <is>
          <t>W</t>
        </is>
      </c>
      <c r="F2881" s="13" t="n">
        <v>2022</v>
      </c>
      <c r="G2881" s="14" t="n">
        <v>71333.32518729425</v>
      </c>
      <c r="H2881" s="14" t="n">
        <v>24911.39449573592</v>
      </c>
      <c r="I2881" s="14" t="n">
        <v>26473.22374788173</v>
      </c>
      <c r="J2881" s="14" t="n">
        <v>0</v>
      </c>
      <c r="K2881" s="14" t="n">
        <v>19948.70694367652</v>
      </c>
      <c r="L2881" s="14" t="n">
        <v>0</v>
      </c>
      <c r="M2881" s="14" t="n">
        <v>0</v>
      </c>
      <c r="N2881" s="14" t="n">
        <v>33511.89170050526</v>
      </c>
      <c r="O2881" s="14" t="n">
        <v>71333.32518729425</v>
      </c>
      <c r="P2881" s="14" t="n">
        <v>10303.6386280733</v>
      </c>
      <c r="Q2881" s="14" t="n">
        <v>634355.3324036845</v>
      </c>
      <c r="R2881" s="15">
        <f>IF(D2881=1,"Section 1","Control")</f>
        <v/>
      </c>
      <c r="S2881" s="16">
        <f>N2881/10000</f>
        <v/>
      </c>
      <c r="T2881" s="16">
        <f>P2881/10000</f>
        <v/>
      </c>
      <c r="U2881" s="15">
        <f>IF(N2881&gt;=Summary!$D$3,1,0)</f>
        <v/>
      </c>
      <c r="V2881" s="17">
        <f>IF(N2881&gt;0,P2881/N2881,"")</f>
        <v/>
      </c>
      <c r="W2881" s="17">
        <f>IF(O2881&gt;0,H2881/O2881,"")</f>
        <v/>
      </c>
    </row>
    <row r="2882">
      <c r="A2882" s="13" t="inlineStr">
        <is>
          <t>CW12_F</t>
        </is>
      </c>
      <c r="B2882" s="13" t="inlineStr">
        <is>
          <t>CW12</t>
        </is>
      </c>
      <c r="C2882" s="13" t="inlineStr">
        <is>
          <t>F</t>
        </is>
      </c>
      <c r="D2882" s="13" t="n">
        <v>0</v>
      </c>
      <c r="E2882" s="13" t="inlineStr">
        <is>
          <t>W</t>
        </is>
      </c>
      <c r="F2882" s="13" t="n">
        <v>2023</v>
      </c>
      <c r="G2882" s="14" t="n">
        <v>71333.32518729425</v>
      </c>
      <c r="H2882" s="14" t="n">
        <v>22526.45468070834</v>
      </c>
      <c r="I2882" s="14" t="n">
        <v>29202.74127966189</v>
      </c>
      <c r="J2882" s="14" t="n">
        <v>0</v>
      </c>
      <c r="K2882" s="14" t="n">
        <v>19604.12922692393</v>
      </c>
      <c r="L2882" s="14" t="n">
        <v>0</v>
      </c>
      <c r="M2882" s="14" t="n">
        <v>0</v>
      </c>
      <c r="N2882" s="14" t="n">
        <v>33511.89170050526</v>
      </c>
      <c r="O2882" s="14" t="n">
        <v>71333.32518729425</v>
      </c>
      <c r="P2882" s="14" t="n">
        <v>12268.89083144244</v>
      </c>
      <c r="Q2882" s="14" t="n">
        <v>634355.3324036845</v>
      </c>
      <c r="R2882" s="15">
        <f>IF(D2882=1,"Section 1","Control")</f>
        <v/>
      </c>
      <c r="S2882" s="16">
        <f>N2882/10000</f>
        <v/>
      </c>
      <c r="T2882" s="16">
        <f>P2882/10000</f>
        <v/>
      </c>
      <c r="U2882" s="15">
        <f>IF(N2882&gt;=Summary!$D$3,1,0)</f>
        <v/>
      </c>
      <c r="V2882" s="17">
        <f>IF(N2882&gt;0,P2882/N2882,"")</f>
        <v/>
      </c>
      <c r="W2882" s="17">
        <f>IF(O2882&gt;0,H2882/O2882,"")</f>
        <v/>
      </c>
    </row>
    <row r="2883">
      <c r="A2883" s="13" t="inlineStr">
        <is>
          <t>CW12_F</t>
        </is>
      </c>
      <c r="B2883" s="13" t="inlineStr">
        <is>
          <t>CW12</t>
        </is>
      </c>
      <c r="C2883" s="13" t="inlineStr">
        <is>
          <t>F</t>
        </is>
      </c>
      <c r="D2883" s="13" t="n">
        <v>0</v>
      </c>
      <c r="E2883" s="13" t="inlineStr">
        <is>
          <t>W</t>
        </is>
      </c>
      <c r="F2883" s="13" t="n">
        <v>2024</v>
      </c>
      <c r="G2883" s="14" t="n">
        <v>71333.32518729425</v>
      </c>
      <c r="H2883" s="14" t="n">
        <v>25041.86923828125</v>
      </c>
      <c r="I2883" s="14" t="n">
        <v>30535.36478047091</v>
      </c>
      <c r="J2883" s="14" t="n">
        <v>0</v>
      </c>
      <c r="K2883" s="14" t="n">
        <v>15756.091168542</v>
      </c>
      <c r="L2883" s="14" t="n">
        <v>0</v>
      </c>
      <c r="M2883" s="14" t="n">
        <v>0</v>
      </c>
      <c r="N2883" s="14" t="n">
        <v>33511.89170050526</v>
      </c>
      <c r="O2883" s="14" t="n">
        <v>71333.32518729425</v>
      </c>
      <c r="P2883" s="14" t="n">
        <v>12196.4913024304</v>
      </c>
      <c r="Q2883" s="14" t="n">
        <v>634355.3324036845</v>
      </c>
      <c r="R2883" s="15">
        <f>IF(D2883=1,"Section 1","Control")</f>
        <v/>
      </c>
      <c r="S2883" s="16">
        <f>N2883/10000</f>
        <v/>
      </c>
      <c r="T2883" s="16">
        <f>P2883/10000</f>
        <v/>
      </c>
      <c r="U2883" s="15">
        <f>IF(N2883&gt;=Summary!$D$3,1,0)</f>
        <v/>
      </c>
      <c r="V2883" s="17">
        <f>IF(N2883&gt;0,P2883/N2883,"")</f>
        <v/>
      </c>
      <c r="W2883" s="17">
        <f>IF(O2883&gt;0,H2883/O2883,"")</f>
        <v/>
      </c>
    </row>
    <row r="2884">
      <c r="A2884" s="13" t="inlineStr">
        <is>
          <t>CW12_F</t>
        </is>
      </c>
      <c r="B2884" s="13" t="inlineStr">
        <is>
          <t>CW12</t>
        </is>
      </c>
      <c r="C2884" s="13" t="inlineStr">
        <is>
          <t>F</t>
        </is>
      </c>
      <c r="D2884" s="13" t="n">
        <v>0</v>
      </c>
      <c r="E2884" s="13" t="inlineStr">
        <is>
          <t>W</t>
        </is>
      </c>
      <c r="F2884" s="13" t="n">
        <v>2025</v>
      </c>
      <c r="G2884" s="14" t="n">
        <v>71333.32518729425</v>
      </c>
      <c r="H2884" s="14" t="n">
        <v>22639.12004340678</v>
      </c>
      <c r="I2884" s="14" t="n">
        <v>37581.39146297679</v>
      </c>
      <c r="J2884" s="14" t="n">
        <v>0</v>
      </c>
      <c r="K2884" s="14" t="n">
        <v>11112.8136809106</v>
      </c>
      <c r="L2884" s="14" t="n">
        <v>0</v>
      </c>
      <c r="M2884" s="14" t="n">
        <v>0</v>
      </c>
      <c r="N2884" s="14" t="n">
        <v>33511.89170050527</v>
      </c>
      <c r="O2884" s="14" t="n">
        <v>71333.32518729425</v>
      </c>
      <c r="P2884" s="14" t="n">
        <v>13637.13435088513</v>
      </c>
      <c r="Q2884" s="14" t="n">
        <v>634355.3324036846</v>
      </c>
      <c r="R2884" s="15">
        <f>IF(D2884=1,"Section 1","Control")</f>
        <v/>
      </c>
      <c r="S2884" s="16">
        <f>N2884/10000</f>
        <v/>
      </c>
      <c r="T2884" s="16">
        <f>P2884/10000</f>
        <v/>
      </c>
      <c r="U2884" s="15">
        <f>IF(N2884&gt;=Summary!$D$3,1,0)</f>
        <v/>
      </c>
      <c r="V2884" s="17">
        <f>IF(N2884&gt;0,P2884/N2884,"")</f>
        <v/>
      </c>
      <c r="W2884" s="17">
        <f>IF(O2884&gt;0,H2884/O2884,"")</f>
        <v/>
      </c>
    </row>
    <row r="2885">
      <c r="A2885" s="13" t="inlineStr">
        <is>
          <t>CW12_F</t>
        </is>
      </c>
      <c r="B2885" s="13" t="inlineStr">
        <is>
          <t>CW12</t>
        </is>
      </c>
      <c r="C2885" s="13" t="inlineStr">
        <is>
          <t>F</t>
        </is>
      </c>
      <c r="D2885" s="13" t="n">
        <v>0</v>
      </c>
      <c r="E2885" s="13" t="inlineStr">
        <is>
          <t>W</t>
        </is>
      </c>
      <c r="F2885" s="13" t="n">
        <v>2026</v>
      </c>
      <c r="G2885" s="14" t="n">
        <v>71333.32518729425</v>
      </c>
      <c r="H2885" s="14" t="n">
        <v>26959.88757153679</v>
      </c>
      <c r="I2885" s="14" t="n">
        <v>25877.37576500389</v>
      </c>
      <c r="J2885" s="14" t="n">
        <v>0</v>
      </c>
      <c r="K2885" s="14" t="n">
        <v>18496.06185075349</v>
      </c>
      <c r="L2885" s="14" t="n">
        <v>0</v>
      </c>
      <c r="M2885" s="14" t="n">
        <v>0</v>
      </c>
      <c r="N2885" s="14" t="n">
        <v>33511.89170050527</v>
      </c>
      <c r="O2885" s="14" t="n">
        <v>71333.32518729425</v>
      </c>
      <c r="P2885" s="14" t="n">
        <v>10923.8779689714</v>
      </c>
      <c r="Q2885" s="14" t="n">
        <v>634355.3324036846</v>
      </c>
      <c r="R2885" s="15">
        <f>IF(D2885=1,"Section 1","Control")</f>
        <v/>
      </c>
      <c r="S2885" s="16">
        <f>N2885/10000</f>
        <v/>
      </c>
      <c r="T2885" s="16">
        <f>P2885/10000</f>
        <v/>
      </c>
      <c r="U2885" s="15">
        <f>IF(N2885&gt;=Summary!$D$3,1,0)</f>
        <v/>
      </c>
      <c r="V2885" s="17">
        <f>IF(N2885&gt;0,P2885/N2885,"")</f>
        <v/>
      </c>
      <c r="W2885" s="17">
        <f>IF(O2885&gt;0,H2885/O2885,"")</f>
        <v/>
      </c>
    </row>
    <row r="2886">
      <c r="A2886" s="13" t="inlineStr">
        <is>
          <t>CW13_B1</t>
        </is>
      </c>
      <c r="B2886" s="13" t="inlineStr">
        <is>
          <t>CW13</t>
        </is>
      </c>
      <c r="C2886" s="13" t="inlineStr">
        <is>
          <t>B1</t>
        </is>
      </c>
      <c r="D2886" s="13" t="n">
        <v>0</v>
      </c>
      <c r="E2886" s="13" t="inlineStr">
        <is>
          <t>W</t>
        </is>
      </c>
      <c r="F2886" s="13" t="n">
        <v>2020</v>
      </c>
      <c r="G2886" s="14" t="n">
        <v>1000082.212714102</v>
      </c>
      <c r="H2886" s="14" t="n">
        <v>721299.9799893851</v>
      </c>
      <c r="I2886" s="14" t="n">
        <v>203458.8229234584</v>
      </c>
      <c r="J2886" s="14" t="n">
        <v>0</v>
      </c>
      <c r="K2886" s="14" t="n">
        <v>75323.40980125876</v>
      </c>
      <c r="L2886" s="14" t="n">
        <v>0</v>
      </c>
      <c r="M2886" s="14" t="n">
        <v>0</v>
      </c>
      <c r="N2886" s="14" t="n">
        <v>721299.9799893851</v>
      </c>
      <c r="O2886" s="14" t="n">
        <v>1000082.212714102</v>
      </c>
      <c r="P2886" s="14" t="n">
        <v>0</v>
      </c>
      <c r="Q2886" s="14" t="n">
        <v>8264128.091226254</v>
      </c>
      <c r="R2886" s="15">
        <f>IF(D2886=1,"Section 1","Control")</f>
        <v/>
      </c>
      <c r="S2886" s="16">
        <f>N2886/10000</f>
        <v/>
      </c>
      <c r="T2886" s="16">
        <f>P2886/10000</f>
        <v/>
      </c>
      <c r="U2886" s="15">
        <f>IF(N2886&gt;=Summary!$D$3,1,0)</f>
        <v/>
      </c>
      <c r="V2886" s="17">
        <f>IF(N2886&gt;0,P2886/N2886,"")</f>
        <v/>
      </c>
      <c r="W2886" s="17">
        <f>IF(O2886&gt;0,H2886/O2886,"")</f>
        <v/>
      </c>
    </row>
    <row r="2887">
      <c r="A2887" s="13" t="inlineStr">
        <is>
          <t>CW13_B1</t>
        </is>
      </c>
      <c r="B2887" s="13" t="inlineStr">
        <is>
          <t>CW13</t>
        </is>
      </c>
      <c r="C2887" s="13" t="inlineStr">
        <is>
          <t>B1</t>
        </is>
      </c>
      <c r="D2887" s="13" t="n">
        <v>0</v>
      </c>
      <c r="E2887" s="13" t="inlineStr">
        <is>
          <t>W</t>
        </is>
      </c>
      <c r="F2887" s="13" t="n">
        <v>2021</v>
      </c>
      <c r="G2887" s="14" t="n">
        <v>1000082.212714102</v>
      </c>
      <c r="H2887" s="14" t="n">
        <v>644532.6941881073</v>
      </c>
      <c r="I2887" s="14" t="n">
        <v>59995.87934133492</v>
      </c>
      <c r="J2887" s="14" t="n">
        <v>0</v>
      </c>
      <c r="K2887" s="14" t="n">
        <v>295553.6391846601</v>
      </c>
      <c r="L2887" s="14" t="n">
        <v>0</v>
      </c>
      <c r="M2887" s="14" t="n">
        <v>0</v>
      </c>
      <c r="N2887" s="14" t="n">
        <v>721299.9799893851</v>
      </c>
      <c r="O2887" s="14" t="n">
        <v>1000082.212714102</v>
      </c>
      <c r="P2887" s="14" t="n">
        <v>113446.3069373636</v>
      </c>
      <c r="Q2887" s="14" t="n">
        <v>8264128.091226254</v>
      </c>
      <c r="R2887" s="15">
        <f>IF(D2887=1,"Section 1","Control")</f>
        <v/>
      </c>
      <c r="S2887" s="16">
        <f>N2887/10000</f>
        <v/>
      </c>
      <c r="T2887" s="16">
        <f>P2887/10000</f>
        <v/>
      </c>
      <c r="U2887" s="15">
        <f>IF(N2887&gt;=Summary!$D$3,1,0)</f>
        <v/>
      </c>
      <c r="V2887" s="17">
        <f>IF(N2887&gt;0,P2887/N2887,"")</f>
        <v/>
      </c>
      <c r="W2887" s="17">
        <f>IF(O2887&gt;0,H2887/O2887,"")</f>
        <v/>
      </c>
    </row>
    <row r="2888">
      <c r="A2888" s="13" t="inlineStr">
        <is>
          <t>CW13_B1</t>
        </is>
      </c>
      <c r="B2888" s="13" t="inlineStr">
        <is>
          <t>CW13</t>
        </is>
      </c>
      <c r="C2888" s="13" t="inlineStr">
        <is>
          <t>B1</t>
        </is>
      </c>
      <c r="D2888" s="13" t="n">
        <v>0</v>
      </c>
      <c r="E2888" s="13" t="inlineStr">
        <is>
          <t>W</t>
        </is>
      </c>
      <c r="F2888" s="13" t="n">
        <v>2022</v>
      </c>
      <c r="G2888" s="14" t="n">
        <v>1000082.212714102</v>
      </c>
      <c r="H2888" s="14" t="n">
        <v>583805.9815974521</v>
      </c>
      <c r="I2888" s="14" t="n">
        <v>234067.1479455686</v>
      </c>
      <c r="J2888" s="14" t="n">
        <v>0</v>
      </c>
      <c r="K2888" s="14" t="n">
        <v>182209.0831710815</v>
      </c>
      <c r="L2888" s="14" t="n">
        <v>0</v>
      </c>
      <c r="M2888" s="14" t="n">
        <v>0</v>
      </c>
      <c r="N2888" s="14" t="n">
        <v>721299.9799893851</v>
      </c>
      <c r="O2888" s="14" t="n">
        <v>1000082.212714102</v>
      </c>
      <c r="P2888" s="14" t="n">
        <v>154667.9568892535</v>
      </c>
      <c r="Q2888" s="14" t="n">
        <v>8264128.091226254</v>
      </c>
      <c r="R2888" s="15">
        <f>IF(D2888=1,"Section 1","Control")</f>
        <v/>
      </c>
      <c r="S2888" s="16">
        <f>N2888/10000</f>
        <v/>
      </c>
      <c r="T2888" s="16">
        <f>P2888/10000</f>
        <v/>
      </c>
      <c r="U2888" s="15">
        <f>IF(N2888&gt;=Summary!$D$3,1,0)</f>
        <v/>
      </c>
      <c r="V2888" s="17">
        <f>IF(N2888&gt;0,P2888/N2888,"")</f>
        <v/>
      </c>
      <c r="W2888" s="17">
        <f>IF(O2888&gt;0,H2888/O2888,"")</f>
        <v/>
      </c>
    </row>
    <row r="2889">
      <c r="A2889" s="13" t="inlineStr">
        <is>
          <t>CW13_B1</t>
        </is>
      </c>
      <c r="B2889" s="13" t="inlineStr">
        <is>
          <t>CW13</t>
        </is>
      </c>
      <c r="C2889" s="13" t="inlineStr">
        <is>
          <t>B1</t>
        </is>
      </c>
      <c r="D2889" s="13" t="n">
        <v>0</v>
      </c>
      <c r="E2889" s="13" t="inlineStr">
        <is>
          <t>W</t>
        </is>
      </c>
      <c r="F2889" s="13" t="n">
        <v>2023</v>
      </c>
      <c r="G2889" s="14" t="n">
        <v>1000082.212714102</v>
      </c>
      <c r="H2889" s="14" t="n">
        <v>599964.0611197083</v>
      </c>
      <c r="I2889" s="14" t="n">
        <v>199483.4091934204</v>
      </c>
      <c r="J2889" s="14" t="n">
        <v>0</v>
      </c>
      <c r="K2889" s="14" t="n">
        <v>200634.7424009734</v>
      </c>
      <c r="L2889" s="14" t="n">
        <v>0</v>
      </c>
      <c r="M2889" s="14" t="n">
        <v>0</v>
      </c>
      <c r="N2889" s="14" t="n">
        <v>721299.9799893851</v>
      </c>
      <c r="O2889" s="14" t="n">
        <v>1000082.212714102</v>
      </c>
      <c r="P2889" s="14" t="n">
        <v>150134.9931199616</v>
      </c>
      <c r="Q2889" s="14" t="n">
        <v>8264128.091226254</v>
      </c>
      <c r="R2889" s="15">
        <f>IF(D2889=1,"Section 1","Control")</f>
        <v/>
      </c>
      <c r="S2889" s="16">
        <f>N2889/10000</f>
        <v/>
      </c>
      <c r="T2889" s="16">
        <f>P2889/10000</f>
        <v/>
      </c>
      <c r="U2889" s="15">
        <f>IF(N2889&gt;=Summary!$D$3,1,0)</f>
        <v/>
      </c>
      <c r="V2889" s="17">
        <f>IF(N2889&gt;0,P2889/N2889,"")</f>
        <v/>
      </c>
      <c r="W2889" s="17">
        <f>IF(O2889&gt;0,H2889/O2889,"")</f>
        <v/>
      </c>
    </row>
    <row r="2890">
      <c r="A2890" s="13" t="inlineStr">
        <is>
          <t>CW13_B1</t>
        </is>
      </c>
      <c r="B2890" s="13" t="inlineStr">
        <is>
          <t>CW13</t>
        </is>
      </c>
      <c r="C2890" s="13" t="inlineStr">
        <is>
          <t>B1</t>
        </is>
      </c>
      <c r="D2890" s="13" t="n">
        <v>0</v>
      </c>
      <c r="E2890" s="13" t="inlineStr">
        <is>
          <t>W</t>
        </is>
      </c>
      <c r="F2890" s="13" t="n">
        <v>2024</v>
      </c>
      <c r="G2890" s="14" t="n">
        <v>1000082.212714102</v>
      </c>
      <c r="H2890" s="14" t="n">
        <v>630135.5897451667</v>
      </c>
      <c r="I2890" s="14" t="n">
        <v>202496.0150115968</v>
      </c>
      <c r="J2890" s="14" t="n">
        <v>0</v>
      </c>
      <c r="K2890" s="14" t="n">
        <v>167450.6079573388</v>
      </c>
      <c r="L2890" s="14" t="n">
        <v>0</v>
      </c>
      <c r="M2890" s="14" t="n">
        <v>0</v>
      </c>
      <c r="N2890" s="14" t="n">
        <v>721299.9799893851</v>
      </c>
      <c r="O2890" s="14" t="n">
        <v>1000082.212714102</v>
      </c>
      <c r="P2890" s="14" t="n">
        <v>141788.4440611895</v>
      </c>
      <c r="Q2890" s="14" t="n">
        <v>8264128.091226254</v>
      </c>
      <c r="R2890" s="15">
        <f>IF(D2890=1,"Section 1","Control")</f>
        <v/>
      </c>
      <c r="S2890" s="16">
        <f>N2890/10000</f>
        <v/>
      </c>
      <c r="T2890" s="16">
        <f>P2890/10000</f>
        <v/>
      </c>
      <c r="U2890" s="15">
        <f>IF(N2890&gt;=Summary!$D$3,1,0)</f>
        <v/>
      </c>
      <c r="V2890" s="17">
        <f>IF(N2890&gt;0,P2890/N2890,"")</f>
        <v/>
      </c>
      <c r="W2890" s="17">
        <f>IF(O2890&gt;0,H2890/O2890,"")</f>
        <v/>
      </c>
    </row>
    <row r="2891">
      <c r="A2891" s="13" t="inlineStr">
        <is>
          <t>CW13_B1</t>
        </is>
      </c>
      <c r="B2891" s="13" t="inlineStr">
        <is>
          <t>CW13</t>
        </is>
      </c>
      <c r="C2891" s="13" t="inlineStr">
        <is>
          <t>B1</t>
        </is>
      </c>
      <c r="D2891" s="13" t="n">
        <v>0</v>
      </c>
      <c r="E2891" s="13" t="inlineStr">
        <is>
          <t>W</t>
        </is>
      </c>
      <c r="F2891" s="13" t="n">
        <v>2025</v>
      </c>
      <c r="G2891" s="14" t="n">
        <v>1000082.212714102</v>
      </c>
      <c r="H2891" s="14" t="n">
        <v>563782.9548753027</v>
      </c>
      <c r="I2891" s="14" t="n">
        <v>342750.3872666006</v>
      </c>
      <c r="J2891" s="14" t="n">
        <v>0</v>
      </c>
      <c r="K2891" s="14" t="n">
        <v>93548.87057219862</v>
      </c>
      <c r="L2891" s="14" t="n">
        <v>0</v>
      </c>
      <c r="M2891" s="14" t="n">
        <v>0</v>
      </c>
      <c r="N2891" s="14" t="n">
        <v>721299.9799893851</v>
      </c>
      <c r="O2891" s="14" t="n">
        <v>1000082.212714102</v>
      </c>
      <c r="P2891" s="14" t="n">
        <v>184604.0301475674</v>
      </c>
      <c r="Q2891" s="14" t="n">
        <v>8264128.091226254</v>
      </c>
      <c r="R2891" s="15">
        <f>IF(D2891=1,"Section 1","Control")</f>
        <v/>
      </c>
      <c r="S2891" s="16">
        <f>N2891/10000</f>
        <v/>
      </c>
      <c r="T2891" s="16">
        <f>P2891/10000</f>
        <v/>
      </c>
      <c r="U2891" s="15">
        <f>IF(N2891&gt;=Summary!$D$3,1,0)</f>
        <v/>
      </c>
      <c r="V2891" s="17">
        <f>IF(N2891&gt;0,P2891/N2891,"")</f>
        <v/>
      </c>
      <c r="W2891" s="17">
        <f>IF(O2891&gt;0,H2891/O2891,"")</f>
        <v/>
      </c>
    </row>
    <row r="2892">
      <c r="A2892" s="13" t="inlineStr">
        <is>
          <t>CW13_B1</t>
        </is>
      </c>
      <c r="B2892" s="13" t="inlineStr">
        <is>
          <t>CW13</t>
        </is>
      </c>
      <c r="C2892" s="13" t="inlineStr">
        <is>
          <t>B1</t>
        </is>
      </c>
      <c r="D2892" s="13" t="n">
        <v>0</v>
      </c>
      <c r="E2892" s="13" t="inlineStr">
        <is>
          <t>W</t>
        </is>
      </c>
      <c r="F2892" s="13" t="n">
        <v>2026</v>
      </c>
      <c r="G2892" s="14" t="n">
        <v>1000082.212714102</v>
      </c>
      <c r="H2892" s="14" t="n">
        <v>644586.5442572505</v>
      </c>
      <c r="I2892" s="14" t="n">
        <v>152437.9702366549</v>
      </c>
      <c r="J2892" s="14" t="n">
        <v>0</v>
      </c>
      <c r="K2892" s="14" t="n">
        <v>203057.6982201968</v>
      </c>
      <c r="L2892" s="14" t="n">
        <v>0</v>
      </c>
      <c r="M2892" s="14" t="n">
        <v>0</v>
      </c>
      <c r="N2892" s="14" t="n">
        <v>721299.9799893851</v>
      </c>
      <c r="O2892" s="14" t="n">
        <v>1000082.212714102</v>
      </c>
      <c r="P2892" s="14" t="n">
        <v>138228.8268453261</v>
      </c>
      <c r="Q2892" s="14" t="n">
        <v>8264128.091226254</v>
      </c>
      <c r="R2892" s="15">
        <f>IF(D2892=1,"Section 1","Control")</f>
        <v/>
      </c>
      <c r="S2892" s="16">
        <f>N2892/10000</f>
        <v/>
      </c>
      <c r="T2892" s="16">
        <f>P2892/10000</f>
        <v/>
      </c>
      <c r="U2892" s="15">
        <f>IF(N2892&gt;=Summary!$D$3,1,0)</f>
        <v/>
      </c>
      <c r="V2892" s="17">
        <f>IF(N2892&gt;0,P2892/N2892,"")</f>
        <v/>
      </c>
      <c r="W2892" s="17">
        <f>IF(O2892&gt;0,H2892/O2892,"")</f>
        <v/>
      </c>
    </row>
    <row r="2893">
      <c r="A2893" s="13" t="inlineStr">
        <is>
          <t>CW13_B2</t>
        </is>
      </c>
      <c r="B2893" s="13" t="inlineStr">
        <is>
          <t>CW13</t>
        </is>
      </c>
      <c r="C2893" s="13" t="inlineStr">
        <is>
          <t>B2</t>
        </is>
      </c>
      <c r="D2893" s="13" t="n">
        <v>0</v>
      </c>
      <c r="E2893" s="13" t="inlineStr">
        <is>
          <t>W</t>
        </is>
      </c>
      <c r="F2893" s="13" t="n">
        <v>2020</v>
      </c>
      <c r="G2893" s="14" t="n">
        <v>1000529.77663679</v>
      </c>
      <c r="H2893" s="14" t="n">
        <v>588147.0725848927</v>
      </c>
      <c r="I2893" s="14" t="n">
        <v>378763.1207108442</v>
      </c>
      <c r="J2893" s="14" t="n">
        <v>0</v>
      </c>
      <c r="K2893" s="14" t="n">
        <v>33619.58334105249</v>
      </c>
      <c r="L2893" s="14" t="n">
        <v>0</v>
      </c>
      <c r="M2893" s="14" t="n">
        <v>0</v>
      </c>
      <c r="N2893" s="14" t="n">
        <v>588147.0725848927</v>
      </c>
      <c r="O2893" s="14" t="n">
        <v>1000529.77663679</v>
      </c>
      <c r="P2893" s="14" t="n">
        <v>0</v>
      </c>
      <c r="Q2893" s="14" t="n">
        <v>6272010.139081976</v>
      </c>
      <c r="R2893" s="15">
        <f>IF(D2893=1,"Section 1","Control")</f>
        <v/>
      </c>
      <c r="S2893" s="16">
        <f>N2893/10000</f>
        <v/>
      </c>
      <c r="T2893" s="16">
        <f>P2893/10000</f>
        <v/>
      </c>
      <c r="U2893" s="15">
        <f>IF(N2893&gt;=Summary!$D$3,1,0)</f>
        <v/>
      </c>
      <c r="V2893" s="17">
        <f>IF(N2893&gt;0,P2893/N2893,"")</f>
        <v/>
      </c>
      <c r="W2893" s="17">
        <f>IF(O2893&gt;0,H2893/O2893,"")</f>
        <v/>
      </c>
    </row>
    <row r="2894">
      <c r="A2894" s="13" t="inlineStr">
        <is>
          <t>CW13_B2</t>
        </is>
      </c>
      <c r="B2894" s="13" t="inlineStr">
        <is>
          <t>CW13</t>
        </is>
      </c>
      <c r="C2894" s="13" t="inlineStr">
        <is>
          <t>B2</t>
        </is>
      </c>
      <c r="D2894" s="13" t="n">
        <v>0</v>
      </c>
      <c r="E2894" s="13" t="inlineStr">
        <is>
          <t>W</t>
        </is>
      </c>
      <c r="F2894" s="13" t="n">
        <v>2021</v>
      </c>
      <c r="G2894" s="14" t="n">
        <v>1000529.77663679</v>
      </c>
      <c r="H2894" s="14" t="n">
        <v>573899.1096014584</v>
      </c>
      <c r="I2894" s="14" t="n">
        <v>274003.7213953654</v>
      </c>
      <c r="J2894" s="14" t="n">
        <v>0</v>
      </c>
      <c r="K2894" s="14" t="n">
        <v>152626.9456399656</v>
      </c>
      <c r="L2894" s="14" t="n">
        <v>0</v>
      </c>
      <c r="M2894" s="14" t="n">
        <v>0</v>
      </c>
      <c r="N2894" s="14" t="n">
        <v>588147.0725848927</v>
      </c>
      <c r="O2894" s="14" t="n">
        <v>1000529.77663679</v>
      </c>
      <c r="P2894" s="14" t="n">
        <v>31462.60865978166</v>
      </c>
      <c r="Q2894" s="14" t="n">
        <v>6272010.139081976</v>
      </c>
      <c r="R2894" s="15">
        <f>IF(D2894=1,"Section 1","Control")</f>
        <v/>
      </c>
      <c r="S2894" s="16">
        <f>N2894/10000</f>
        <v/>
      </c>
      <c r="T2894" s="16">
        <f>P2894/10000</f>
        <v/>
      </c>
      <c r="U2894" s="15">
        <f>IF(N2894&gt;=Summary!$D$3,1,0)</f>
        <v/>
      </c>
      <c r="V2894" s="17">
        <f>IF(N2894&gt;0,P2894/N2894,"")</f>
        <v/>
      </c>
      <c r="W2894" s="17">
        <f>IF(O2894&gt;0,H2894/O2894,"")</f>
        <v/>
      </c>
    </row>
    <row r="2895">
      <c r="A2895" s="13" t="inlineStr">
        <is>
          <t>CW13_B2</t>
        </is>
      </c>
      <c r="B2895" s="13" t="inlineStr">
        <is>
          <t>CW13</t>
        </is>
      </c>
      <c r="C2895" s="13" t="inlineStr">
        <is>
          <t>B2</t>
        </is>
      </c>
      <c r="D2895" s="13" t="n">
        <v>0</v>
      </c>
      <c r="E2895" s="13" t="inlineStr">
        <is>
          <t>W</t>
        </is>
      </c>
      <c r="F2895" s="13" t="n">
        <v>2022</v>
      </c>
      <c r="G2895" s="14" t="n">
        <v>1000529.77663679</v>
      </c>
      <c r="H2895" s="14" t="n">
        <v>554688.1874820786</v>
      </c>
      <c r="I2895" s="14" t="n">
        <v>360367.8622359332</v>
      </c>
      <c r="J2895" s="14" t="n">
        <v>0</v>
      </c>
      <c r="K2895" s="14" t="n">
        <v>85473.72691877776</v>
      </c>
      <c r="L2895" s="14" t="n">
        <v>0</v>
      </c>
      <c r="M2895" s="14" t="n">
        <v>0</v>
      </c>
      <c r="N2895" s="14" t="n">
        <v>588147.0725848927</v>
      </c>
      <c r="O2895" s="14" t="n">
        <v>1000529.77663679</v>
      </c>
      <c r="P2895" s="14" t="n">
        <v>43565.89861662621</v>
      </c>
      <c r="Q2895" s="14" t="n">
        <v>6272010.139081976</v>
      </c>
      <c r="R2895" s="15">
        <f>IF(D2895=1,"Section 1","Control")</f>
        <v/>
      </c>
      <c r="S2895" s="16">
        <f>N2895/10000</f>
        <v/>
      </c>
      <c r="T2895" s="16">
        <f>P2895/10000</f>
        <v/>
      </c>
      <c r="U2895" s="15">
        <f>IF(N2895&gt;=Summary!$D$3,1,0)</f>
        <v/>
      </c>
      <c r="V2895" s="17">
        <f>IF(N2895&gt;0,P2895/N2895,"")</f>
        <v/>
      </c>
      <c r="W2895" s="17">
        <f>IF(O2895&gt;0,H2895/O2895,"")</f>
        <v/>
      </c>
    </row>
    <row r="2896">
      <c r="A2896" s="13" t="inlineStr">
        <is>
          <t>CW13_B2</t>
        </is>
      </c>
      <c r="B2896" s="13" t="inlineStr">
        <is>
          <t>CW13</t>
        </is>
      </c>
      <c r="C2896" s="13" t="inlineStr">
        <is>
          <t>B2</t>
        </is>
      </c>
      <c r="D2896" s="13" t="n">
        <v>0</v>
      </c>
      <c r="E2896" s="13" t="inlineStr">
        <is>
          <t>W</t>
        </is>
      </c>
      <c r="F2896" s="13" t="n">
        <v>2023</v>
      </c>
      <c r="G2896" s="14" t="n">
        <v>1000529.77663679</v>
      </c>
      <c r="H2896" s="14" t="n">
        <v>554338.1061356489</v>
      </c>
      <c r="I2896" s="14" t="n">
        <v>332325.4980990242</v>
      </c>
      <c r="J2896" s="14" t="n">
        <v>0</v>
      </c>
      <c r="K2896" s="14" t="n">
        <v>113866.1724021163</v>
      </c>
      <c r="L2896" s="14" t="n">
        <v>0</v>
      </c>
      <c r="M2896" s="14" t="n">
        <v>0</v>
      </c>
      <c r="N2896" s="14" t="n">
        <v>588147.0725848927</v>
      </c>
      <c r="O2896" s="14" t="n">
        <v>1000529.77663679</v>
      </c>
      <c r="P2896" s="14" t="n">
        <v>45766.21717499378</v>
      </c>
      <c r="Q2896" s="14" t="n">
        <v>6272010.139081976</v>
      </c>
      <c r="R2896" s="15">
        <f>IF(D2896=1,"Section 1","Control")</f>
        <v/>
      </c>
      <c r="S2896" s="16">
        <f>N2896/10000</f>
        <v/>
      </c>
      <c r="T2896" s="16">
        <f>P2896/10000</f>
        <v/>
      </c>
      <c r="U2896" s="15">
        <f>IF(N2896&gt;=Summary!$D$3,1,0)</f>
        <v/>
      </c>
      <c r="V2896" s="17">
        <f>IF(N2896&gt;0,P2896/N2896,"")</f>
        <v/>
      </c>
      <c r="W2896" s="17">
        <f>IF(O2896&gt;0,H2896/O2896,"")</f>
        <v/>
      </c>
    </row>
    <row r="2897">
      <c r="A2897" s="13" t="inlineStr">
        <is>
          <t>CW13_B2</t>
        </is>
      </c>
      <c r="B2897" s="13" t="inlineStr">
        <is>
          <t>CW13</t>
        </is>
      </c>
      <c r="C2897" s="13" t="inlineStr">
        <is>
          <t>B2</t>
        </is>
      </c>
      <c r="D2897" s="13" t="n">
        <v>0</v>
      </c>
      <c r="E2897" s="13" t="inlineStr">
        <is>
          <t>W</t>
        </is>
      </c>
      <c r="F2897" s="13" t="n">
        <v>2024</v>
      </c>
      <c r="G2897" s="14" t="n">
        <v>1000529.77663679</v>
      </c>
      <c r="H2897" s="14" t="n">
        <v>593765.2631650439</v>
      </c>
      <c r="I2897" s="14" t="n">
        <v>335901.8367292517</v>
      </c>
      <c r="J2897" s="14" t="n">
        <v>0</v>
      </c>
      <c r="K2897" s="14" t="n">
        <v>70862.67674249386</v>
      </c>
      <c r="L2897" s="14" t="n">
        <v>0</v>
      </c>
      <c r="M2897" s="14" t="n">
        <v>0</v>
      </c>
      <c r="N2897" s="14" t="n">
        <v>588147.0725848927</v>
      </c>
      <c r="O2897" s="14" t="n">
        <v>1000529.77663679</v>
      </c>
      <c r="P2897" s="14" t="n">
        <v>39527.7581466974</v>
      </c>
      <c r="Q2897" s="14" t="n">
        <v>6272010.139081976</v>
      </c>
      <c r="R2897" s="15">
        <f>IF(D2897=1,"Section 1","Control")</f>
        <v/>
      </c>
      <c r="S2897" s="16">
        <f>N2897/10000</f>
        <v/>
      </c>
      <c r="T2897" s="16">
        <f>P2897/10000</f>
        <v/>
      </c>
      <c r="U2897" s="15">
        <f>IF(N2897&gt;=Summary!$D$3,1,0)</f>
        <v/>
      </c>
      <c r="V2897" s="17">
        <f>IF(N2897&gt;0,P2897/N2897,"")</f>
        <v/>
      </c>
      <c r="W2897" s="17">
        <f>IF(O2897&gt;0,H2897/O2897,"")</f>
        <v/>
      </c>
    </row>
    <row r="2898">
      <c r="A2898" s="13" t="inlineStr">
        <is>
          <t>CW13_B2</t>
        </is>
      </c>
      <c r="B2898" s="13" t="inlineStr">
        <is>
          <t>CW13</t>
        </is>
      </c>
      <c r="C2898" s="13" t="inlineStr">
        <is>
          <t>B2</t>
        </is>
      </c>
      <c r="D2898" s="13" t="n">
        <v>0</v>
      </c>
      <c r="E2898" s="13" t="inlineStr">
        <is>
          <t>W</t>
        </is>
      </c>
      <c r="F2898" s="13" t="n">
        <v>2025</v>
      </c>
      <c r="G2898" s="14" t="n">
        <v>1000529.77663679</v>
      </c>
      <c r="H2898" s="14" t="n">
        <v>534142.1538289988</v>
      </c>
      <c r="I2898" s="14" t="n">
        <v>427757.6949295942</v>
      </c>
      <c r="J2898" s="14" t="n">
        <v>0</v>
      </c>
      <c r="K2898" s="14" t="n">
        <v>38629.92787819657</v>
      </c>
      <c r="L2898" s="14" t="n">
        <v>0</v>
      </c>
      <c r="M2898" s="14" t="n">
        <v>0</v>
      </c>
      <c r="N2898" s="14" t="n">
        <v>588147.0725848927</v>
      </c>
      <c r="O2898" s="14" t="n">
        <v>1000529.77663679</v>
      </c>
      <c r="P2898" s="14" t="n">
        <v>63437.42868918624</v>
      </c>
      <c r="Q2898" s="14" t="n">
        <v>6272010.139081976</v>
      </c>
      <c r="R2898" s="15">
        <f>IF(D2898=1,"Section 1","Control")</f>
        <v/>
      </c>
      <c r="S2898" s="16">
        <f>N2898/10000</f>
        <v/>
      </c>
      <c r="T2898" s="16">
        <f>P2898/10000</f>
        <v/>
      </c>
      <c r="U2898" s="15">
        <f>IF(N2898&gt;=Summary!$D$3,1,0)</f>
        <v/>
      </c>
      <c r="V2898" s="17">
        <f>IF(N2898&gt;0,P2898/N2898,"")</f>
        <v/>
      </c>
      <c r="W2898" s="17">
        <f>IF(O2898&gt;0,H2898/O2898,"")</f>
        <v/>
      </c>
    </row>
    <row r="2899">
      <c r="A2899" s="13" t="inlineStr">
        <is>
          <t>CW13_B2</t>
        </is>
      </c>
      <c r="B2899" s="13" t="inlineStr">
        <is>
          <t>CW13</t>
        </is>
      </c>
      <c r="C2899" s="13" t="inlineStr">
        <is>
          <t>B2</t>
        </is>
      </c>
      <c r="D2899" s="13" t="n">
        <v>0</v>
      </c>
      <c r="E2899" s="13" t="inlineStr">
        <is>
          <t>W</t>
        </is>
      </c>
      <c r="F2899" s="13" t="n">
        <v>2026</v>
      </c>
      <c r="G2899" s="14" t="n">
        <v>1000529.77663679</v>
      </c>
      <c r="H2899" s="14" t="n">
        <v>604814.0155870625</v>
      </c>
      <c r="I2899" s="14" t="n">
        <v>318700.9508107802</v>
      </c>
      <c r="J2899" s="14" t="n">
        <v>0</v>
      </c>
      <c r="K2899" s="14" t="n">
        <v>77014.81023894665</v>
      </c>
      <c r="L2899" s="14" t="n">
        <v>0</v>
      </c>
      <c r="M2899" s="14" t="n">
        <v>0</v>
      </c>
      <c r="N2899" s="14" t="n">
        <v>588147.0725848927</v>
      </c>
      <c r="O2899" s="14" t="n">
        <v>1000529.77663679</v>
      </c>
      <c r="P2899" s="14" t="n">
        <v>39530.46236488492</v>
      </c>
      <c r="Q2899" s="14" t="n">
        <v>6272010.139081976</v>
      </c>
      <c r="R2899" s="15">
        <f>IF(D2899=1,"Section 1","Control")</f>
        <v/>
      </c>
      <c r="S2899" s="16">
        <f>N2899/10000</f>
        <v/>
      </c>
      <c r="T2899" s="16">
        <f>P2899/10000</f>
        <v/>
      </c>
      <c r="U2899" s="15">
        <f>IF(N2899&gt;=Summary!$D$3,1,0)</f>
        <v/>
      </c>
      <c r="V2899" s="17">
        <f>IF(N2899&gt;0,P2899/N2899,"")</f>
        <v/>
      </c>
      <c r="W2899" s="17">
        <f>IF(O2899&gt;0,H2899/O2899,"")</f>
        <v/>
      </c>
    </row>
    <row r="2900">
      <c r="A2900" s="13" t="inlineStr">
        <is>
          <t>CW13_B3</t>
        </is>
      </c>
      <c r="B2900" s="13" t="inlineStr">
        <is>
          <t>CW13</t>
        </is>
      </c>
      <c r="C2900" s="13" t="inlineStr">
        <is>
          <t>B3</t>
        </is>
      </c>
      <c r="D2900" s="13" t="n">
        <v>0</v>
      </c>
      <c r="E2900" s="13" t="inlineStr">
        <is>
          <t>W</t>
        </is>
      </c>
      <c r="F2900" s="13" t="n">
        <v>2020</v>
      </c>
      <c r="G2900" s="14" t="n">
        <v>8003089.193317461</v>
      </c>
      <c r="H2900" s="14" t="n">
        <v>2305273.609962284</v>
      </c>
      <c r="I2900" s="14" t="n">
        <v>950405.8983593812</v>
      </c>
      <c r="J2900" s="14" t="n">
        <v>0</v>
      </c>
      <c r="K2900" s="14" t="n">
        <v>868881.5916918587</v>
      </c>
      <c r="L2900" s="14" t="n">
        <v>3878528.093303935</v>
      </c>
      <c r="M2900" s="14" t="n">
        <v>0</v>
      </c>
      <c r="N2900" s="14" t="n">
        <v>2305273.609962284</v>
      </c>
      <c r="O2900" s="14" t="n">
        <v>4124561.100013524</v>
      </c>
      <c r="P2900" s="14" t="n">
        <v>0</v>
      </c>
      <c r="Q2900" s="14" t="n">
        <v>22437131.66257172</v>
      </c>
      <c r="R2900" s="15">
        <f>IF(D2900=1,"Section 1","Control")</f>
        <v/>
      </c>
      <c r="S2900" s="16">
        <f>N2900/10000</f>
        <v/>
      </c>
      <c r="T2900" s="16">
        <f>P2900/10000</f>
        <v/>
      </c>
      <c r="U2900" s="15">
        <f>IF(N2900&gt;=Summary!$D$3,1,0)</f>
        <v/>
      </c>
      <c r="V2900" s="17">
        <f>IF(N2900&gt;0,P2900/N2900,"")</f>
        <v/>
      </c>
      <c r="W2900" s="17">
        <f>IF(O2900&gt;0,H2900/O2900,"")</f>
        <v/>
      </c>
    </row>
    <row r="2901">
      <c r="A2901" s="13" t="inlineStr">
        <is>
          <t>CW13_B3</t>
        </is>
      </c>
      <c r="B2901" s="13" t="inlineStr">
        <is>
          <t>CW13</t>
        </is>
      </c>
      <c r="C2901" s="13" t="inlineStr">
        <is>
          <t>B3</t>
        </is>
      </c>
      <c r="D2901" s="13" t="n">
        <v>0</v>
      </c>
      <c r="E2901" s="13" t="inlineStr">
        <is>
          <t>W</t>
        </is>
      </c>
      <c r="F2901" s="13" t="n">
        <v>2021</v>
      </c>
      <c r="G2901" s="14" t="n">
        <v>8003089.193317461</v>
      </c>
      <c r="H2901" s="14" t="n">
        <v>2030424.247976685</v>
      </c>
      <c r="I2901" s="14" t="n">
        <v>446569.959446148</v>
      </c>
      <c r="J2901" s="14" t="n">
        <v>0</v>
      </c>
      <c r="K2901" s="14" t="n">
        <v>1703495.414372134</v>
      </c>
      <c r="L2901" s="14" t="n">
        <v>3822599.571522492</v>
      </c>
      <c r="M2901" s="14" t="n">
        <v>0</v>
      </c>
      <c r="N2901" s="14" t="n">
        <v>2305273.609962284</v>
      </c>
      <c r="O2901" s="14" t="n">
        <v>4124561.100013524</v>
      </c>
      <c r="P2901" s="14" t="n">
        <v>352046.1388107599</v>
      </c>
      <c r="Q2901" s="14" t="n">
        <v>22437131.66257172</v>
      </c>
      <c r="R2901" s="15">
        <f>IF(D2901=1,"Section 1","Control")</f>
        <v/>
      </c>
      <c r="S2901" s="16">
        <f>N2901/10000</f>
        <v/>
      </c>
      <c r="T2901" s="16">
        <f>P2901/10000</f>
        <v/>
      </c>
      <c r="U2901" s="15">
        <f>IF(N2901&gt;=Summary!$D$3,1,0)</f>
        <v/>
      </c>
      <c r="V2901" s="17">
        <f>IF(N2901&gt;0,P2901/N2901,"")</f>
        <v/>
      </c>
      <c r="W2901" s="17">
        <f>IF(O2901&gt;0,H2901/O2901,"")</f>
        <v/>
      </c>
    </row>
    <row r="2902">
      <c r="A2902" s="13" t="inlineStr">
        <is>
          <t>CW13_B3</t>
        </is>
      </c>
      <c r="B2902" s="13" t="inlineStr">
        <is>
          <t>CW13</t>
        </is>
      </c>
      <c r="C2902" s="13" t="inlineStr">
        <is>
          <t>B3</t>
        </is>
      </c>
      <c r="D2902" s="13" t="n">
        <v>0</v>
      </c>
      <c r="E2902" s="13" t="inlineStr">
        <is>
          <t>W</t>
        </is>
      </c>
      <c r="F2902" s="13" t="n">
        <v>2022</v>
      </c>
      <c r="G2902" s="14" t="n">
        <v>8003089.193317461</v>
      </c>
      <c r="H2902" s="14" t="n">
        <v>1870502.621427678</v>
      </c>
      <c r="I2902" s="14" t="n">
        <v>898207.7360788682</v>
      </c>
      <c r="J2902" s="14" t="n">
        <v>0</v>
      </c>
      <c r="K2902" s="14" t="n">
        <v>1440090.807734231</v>
      </c>
      <c r="L2902" s="14" t="n">
        <v>3794288.02807668</v>
      </c>
      <c r="M2902" s="14" t="n">
        <v>0</v>
      </c>
      <c r="N2902" s="14" t="n">
        <v>2305273.609962284</v>
      </c>
      <c r="O2902" s="14" t="n">
        <v>4124561.100013524</v>
      </c>
      <c r="P2902" s="14" t="n">
        <v>474879.9471105239</v>
      </c>
      <c r="Q2902" s="14" t="n">
        <v>22437131.66257172</v>
      </c>
      <c r="R2902" s="15">
        <f>IF(D2902=1,"Section 1","Control")</f>
        <v/>
      </c>
      <c r="S2902" s="16">
        <f>N2902/10000</f>
        <v/>
      </c>
      <c r="T2902" s="16">
        <f>P2902/10000</f>
        <v/>
      </c>
      <c r="U2902" s="15">
        <f>IF(N2902&gt;=Summary!$D$3,1,0)</f>
        <v/>
      </c>
      <c r="V2902" s="17">
        <f>IF(N2902&gt;0,P2902/N2902,"")</f>
        <v/>
      </c>
      <c r="W2902" s="17">
        <f>IF(O2902&gt;0,H2902/O2902,"")</f>
        <v/>
      </c>
    </row>
    <row r="2903">
      <c r="A2903" s="13" t="inlineStr">
        <is>
          <t>CW13_B3</t>
        </is>
      </c>
      <c r="B2903" s="13" t="inlineStr">
        <is>
          <t>CW13</t>
        </is>
      </c>
      <c r="C2903" s="13" t="inlineStr">
        <is>
          <t>B3</t>
        </is>
      </c>
      <c r="D2903" s="13" t="n">
        <v>0</v>
      </c>
      <c r="E2903" s="13" t="inlineStr">
        <is>
          <t>W</t>
        </is>
      </c>
      <c r="F2903" s="13" t="n">
        <v>2023</v>
      </c>
      <c r="G2903" s="14" t="n">
        <v>8003089.193317461</v>
      </c>
      <c r="H2903" s="14" t="n">
        <v>2103906.665781985</v>
      </c>
      <c r="I2903" s="14" t="n">
        <v>658803.161952329</v>
      </c>
      <c r="J2903" s="14" t="n">
        <v>0</v>
      </c>
      <c r="K2903" s="14" t="n">
        <v>1286022.29990384</v>
      </c>
      <c r="L2903" s="14" t="n">
        <v>3954357.065679302</v>
      </c>
      <c r="M2903" s="14" t="n">
        <v>0</v>
      </c>
      <c r="N2903" s="14" t="n">
        <v>2305273.609962284</v>
      </c>
      <c r="O2903" s="14" t="n">
        <v>4124561.100013524</v>
      </c>
      <c r="P2903" s="14" t="n">
        <v>453621.9436740352</v>
      </c>
      <c r="Q2903" s="14" t="n">
        <v>22437131.66257172</v>
      </c>
      <c r="R2903" s="15">
        <f>IF(D2903=1,"Section 1","Control")</f>
        <v/>
      </c>
      <c r="S2903" s="16">
        <f>N2903/10000</f>
        <v/>
      </c>
      <c r="T2903" s="16">
        <f>P2903/10000</f>
        <v/>
      </c>
      <c r="U2903" s="15">
        <f>IF(N2903&gt;=Summary!$D$3,1,0)</f>
        <v/>
      </c>
      <c r="V2903" s="17">
        <f>IF(N2903&gt;0,P2903/N2903,"")</f>
        <v/>
      </c>
      <c r="W2903" s="17">
        <f>IF(O2903&gt;0,H2903/O2903,"")</f>
        <v/>
      </c>
    </row>
    <row r="2904">
      <c r="A2904" s="13" t="inlineStr">
        <is>
          <t>CW13_B3</t>
        </is>
      </c>
      <c r="B2904" s="13" t="inlineStr">
        <is>
          <t>CW13</t>
        </is>
      </c>
      <c r="C2904" s="13" t="inlineStr">
        <is>
          <t>B3</t>
        </is>
      </c>
      <c r="D2904" s="13" t="n">
        <v>0</v>
      </c>
      <c r="E2904" s="13" t="inlineStr">
        <is>
          <t>W</t>
        </is>
      </c>
      <c r="F2904" s="13" t="n">
        <v>2024</v>
      </c>
      <c r="G2904" s="14" t="n">
        <v>8003089.193317461</v>
      </c>
      <c r="H2904" s="14" t="n">
        <v>1974218.503768442</v>
      </c>
      <c r="I2904" s="14" t="n">
        <v>831508.8701429479</v>
      </c>
      <c r="J2904" s="14" t="n">
        <v>0</v>
      </c>
      <c r="K2904" s="14" t="n">
        <v>1293670.656054119</v>
      </c>
      <c r="L2904" s="14" t="n">
        <v>3903691.163351949</v>
      </c>
      <c r="M2904" s="14" t="n">
        <v>0</v>
      </c>
      <c r="N2904" s="14" t="n">
        <v>2305273.609962284</v>
      </c>
      <c r="O2904" s="14" t="n">
        <v>4124561.100013524</v>
      </c>
      <c r="P2904" s="14" t="n">
        <v>468076.1054869708</v>
      </c>
      <c r="Q2904" s="14" t="n">
        <v>22437131.66257172</v>
      </c>
      <c r="R2904" s="15">
        <f>IF(D2904=1,"Section 1","Control")</f>
        <v/>
      </c>
      <c r="S2904" s="16">
        <f>N2904/10000</f>
        <v/>
      </c>
      <c r="T2904" s="16">
        <f>P2904/10000</f>
        <v/>
      </c>
      <c r="U2904" s="15">
        <f>IF(N2904&gt;=Summary!$D$3,1,0)</f>
        <v/>
      </c>
      <c r="V2904" s="17">
        <f>IF(N2904&gt;0,P2904/N2904,"")</f>
        <v/>
      </c>
      <c r="W2904" s="17">
        <f>IF(O2904&gt;0,H2904/O2904,"")</f>
        <v/>
      </c>
    </row>
    <row r="2905">
      <c r="A2905" s="13" t="inlineStr">
        <is>
          <t>CW13_B3</t>
        </is>
      </c>
      <c r="B2905" s="13" t="inlineStr">
        <is>
          <t>CW13</t>
        </is>
      </c>
      <c r="C2905" s="13" t="inlineStr">
        <is>
          <t>B3</t>
        </is>
      </c>
      <c r="D2905" s="13" t="n">
        <v>0</v>
      </c>
      <c r="E2905" s="13" t="inlineStr">
        <is>
          <t>W</t>
        </is>
      </c>
      <c r="F2905" s="13" t="n">
        <v>2025</v>
      </c>
      <c r="G2905" s="14" t="n">
        <v>8003089.193317461</v>
      </c>
      <c r="H2905" s="14" t="n">
        <v>2237633.222914991</v>
      </c>
      <c r="I2905" s="14" t="n">
        <v>653941.5782226264</v>
      </c>
      <c r="J2905" s="14" t="n">
        <v>0</v>
      </c>
      <c r="K2905" s="14" t="n">
        <v>1210375.835438178</v>
      </c>
      <c r="L2905" s="14" t="n">
        <v>3901138.556741661</v>
      </c>
      <c r="M2905" s="14" t="n">
        <v>0</v>
      </c>
      <c r="N2905" s="14" t="n">
        <v>2305273.609962284</v>
      </c>
      <c r="O2905" s="14" t="n">
        <v>4124561.100013524</v>
      </c>
      <c r="P2905" s="14" t="n">
        <v>445614.6296235925</v>
      </c>
      <c r="Q2905" s="14" t="n">
        <v>22437131.66257172</v>
      </c>
      <c r="R2905" s="15">
        <f>IF(D2905=1,"Section 1","Control")</f>
        <v/>
      </c>
      <c r="S2905" s="16">
        <f>N2905/10000</f>
        <v/>
      </c>
      <c r="T2905" s="16">
        <f>P2905/10000</f>
        <v/>
      </c>
      <c r="U2905" s="15">
        <f>IF(N2905&gt;=Summary!$D$3,1,0)</f>
        <v/>
      </c>
      <c r="V2905" s="17">
        <f>IF(N2905&gt;0,P2905/N2905,"")</f>
        <v/>
      </c>
      <c r="W2905" s="17">
        <f>IF(O2905&gt;0,H2905/O2905,"")</f>
        <v/>
      </c>
    </row>
    <row r="2906">
      <c r="A2906" s="13" t="inlineStr">
        <is>
          <t>CW13_B3</t>
        </is>
      </c>
      <c r="B2906" s="13" t="inlineStr">
        <is>
          <t>CW13</t>
        </is>
      </c>
      <c r="C2906" s="13" t="inlineStr">
        <is>
          <t>B3</t>
        </is>
      </c>
      <c r="D2906" s="13" t="n">
        <v>0</v>
      </c>
      <c r="E2906" s="13" t="inlineStr">
        <is>
          <t>W</t>
        </is>
      </c>
      <c r="F2906" s="13" t="n">
        <v>2026</v>
      </c>
      <c r="G2906" s="14" t="n">
        <v>8003089.193317461</v>
      </c>
      <c r="H2906" s="14" t="n">
        <v>2161120.52757335</v>
      </c>
      <c r="I2906" s="14" t="n">
        <v>523726.5859696332</v>
      </c>
      <c r="J2906" s="14" t="n">
        <v>0</v>
      </c>
      <c r="K2906" s="14" t="n">
        <v>1347668.918619343</v>
      </c>
      <c r="L2906" s="14" t="n">
        <v>3970573.161155132</v>
      </c>
      <c r="M2906" s="14" t="n">
        <v>0</v>
      </c>
      <c r="N2906" s="14" t="n">
        <v>2305273.609962284</v>
      </c>
      <c r="O2906" s="14" t="n">
        <v>4124561.100013524</v>
      </c>
      <c r="P2906" s="14" t="n">
        <v>452687.5740506041</v>
      </c>
      <c r="Q2906" s="14" t="n">
        <v>22437131.66257172</v>
      </c>
      <c r="R2906" s="15">
        <f>IF(D2906=1,"Section 1","Control")</f>
        <v/>
      </c>
      <c r="S2906" s="16">
        <f>N2906/10000</f>
        <v/>
      </c>
      <c r="T2906" s="16">
        <f>P2906/10000</f>
        <v/>
      </c>
      <c r="U2906" s="15">
        <f>IF(N2906&gt;=Summary!$D$3,1,0)</f>
        <v/>
      </c>
      <c r="V2906" s="17">
        <f>IF(N2906&gt;0,P2906/N2906,"")</f>
        <v/>
      </c>
      <c r="W2906" s="17">
        <f>IF(O2906&gt;0,H2906/O2906,"")</f>
        <v/>
      </c>
    </row>
    <row r="2907">
      <c r="A2907" s="13" t="inlineStr">
        <is>
          <t>CW13_F</t>
        </is>
      </c>
      <c r="B2907" s="13" t="inlineStr">
        <is>
          <t>CW13</t>
        </is>
      </c>
      <c r="C2907" s="13" t="inlineStr">
        <is>
          <t>F</t>
        </is>
      </c>
      <c r="D2907" s="13" t="n">
        <v>0</v>
      </c>
      <c r="E2907" s="13" t="inlineStr">
        <is>
          <t>W</t>
        </is>
      </c>
      <c r="F2907" s="13" t="n">
        <v>2020</v>
      </c>
      <c r="G2907" s="14" t="n">
        <v>69502.04445064772</v>
      </c>
      <c r="H2907" s="14" t="n">
        <v>52053.64713568598</v>
      </c>
      <c r="I2907" s="14" t="n">
        <v>13532.99095677394</v>
      </c>
      <c r="J2907" s="14" t="n">
        <v>0</v>
      </c>
      <c r="K2907" s="14" t="n">
        <v>3915.406358187806</v>
      </c>
      <c r="L2907" s="14" t="n">
        <v>0</v>
      </c>
      <c r="M2907" s="14" t="n">
        <v>0</v>
      </c>
      <c r="N2907" s="14" t="n">
        <v>52053.64713568598</v>
      </c>
      <c r="O2907" s="14" t="n">
        <v>69502.04445064772</v>
      </c>
      <c r="P2907" s="14" t="n">
        <v>0</v>
      </c>
      <c r="Q2907" s="14" t="n">
        <v>696630.6572394883</v>
      </c>
      <c r="R2907" s="15">
        <f>IF(D2907=1,"Section 1","Control")</f>
        <v/>
      </c>
      <c r="S2907" s="16">
        <f>N2907/10000</f>
        <v/>
      </c>
      <c r="T2907" s="16">
        <f>P2907/10000</f>
        <v/>
      </c>
      <c r="U2907" s="15">
        <f>IF(N2907&gt;=Summary!$D$3,1,0)</f>
        <v/>
      </c>
      <c r="V2907" s="17">
        <f>IF(N2907&gt;0,P2907/N2907,"")</f>
        <v/>
      </c>
      <c r="W2907" s="17">
        <f>IF(O2907&gt;0,H2907/O2907,"")</f>
        <v/>
      </c>
    </row>
    <row r="2908">
      <c r="A2908" s="13" t="inlineStr">
        <is>
          <t>CW13_F</t>
        </is>
      </c>
      <c r="B2908" s="13" t="inlineStr">
        <is>
          <t>CW13</t>
        </is>
      </c>
      <c r="C2908" s="13" t="inlineStr">
        <is>
          <t>F</t>
        </is>
      </c>
      <c r="D2908" s="13" t="n">
        <v>0</v>
      </c>
      <c r="E2908" s="13" t="inlineStr">
        <is>
          <t>W</t>
        </is>
      </c>
      <c r="F2908" s="13" t="n">
        <v>2021</v>
      </c>
      <c r="G2908" s="14" t="n">
        <v>69502.04445064772</v>
      </c>
      <c r="H2908" s="14" t="n">
        <v>57395.75982312973</v>
      </c>
      <c r="I2908" s="14" t="n">
        <v>2398.879055217668</v>
      </c>
      <c r="J2908" s="14" t="n">
        <v>0</v>
      </c>
      <c r="K2908" s="14" t="n">
        <v>9707.405572300331</v>
      </c>
      <c r="L2908" s="14" t="n">
        <v>0</v>
      </c>
      <c r="M2908" s="14" t="n">
        <v>0</v>
      </c>
      <c r="N2908" s="14" t="n">
        <v>52053.64713568598</v>
      </c>
      <c r="O2908" s="14" t="n">
        <v>69502.04445064772</v>
      </c>
      <c r="P2908" s="14" t="n">
        <v>2260.660439973719</v>
      </c>
      <c r="Q2908" s="14" t="n">
        <v>696630.6572394883</v>
      </c>
      <c r="R2908" s="15">
        <f>IF(D2908=1,"Section 1","Control")</f>
        <v/>
      </c>
      <c r="S2908" s="16">
        <f>N2908/10000</f>
        <v/>
      </c>
      <c r="T2908" s="16">
        <f>P2908/10000</f>
        <v/>
      </c>
      <c r="U2908" s="15">
        <f>IF(N2908&gt;=Summary!$D$3,1,0)</f>
        <v/>
      </c>
      <c r="V2908" s="17">
        <f>IF(N2908&gt;0,P2908/N2908,"")</f>
        <v/>
      </c>
      <c r="W2908" s="17">
        <f>IF(O2908&gt;0,H2908/O2908,"")</f>
        <v/>
      </c>
    </row>
    <row r="2909">
      <c r="A2909" s="13" t="inlineStr">
        <is>
          <t>CW13_F</t>
        </is>
      </c>
      <c r="B2909" s="13" t="inlineStr">
        <is>
          <t>CW13</t>
        </is>
      </c>
      <c r="C2909" s="13" t="inlineStr">
        <is>
          <t>F</t>
        </is>
      </c>
      <c r="D2909" s="13" t="n">
        <v>0</v>
      </c>
      <c r="E2909" s="13" t="inlineStr">
        <is>
          <t>W</t>
        </is>
      </c>
      <c r="F2909" s="13" t="n">
        <v>2022</v>
      </c>
      <c r="G2909" s="14" t="n">
        <v>69502.04445064772</v>
      </c>
      <c r="H2909" s="14" t="n">
        <v>55375.1424801696</v>
      </c>
      <c r="I2909" s="14" t="n">
        <v>4996.760524196252</v>
      </c>
      <c r="J2909" s="14" t="n">
        <v>0</v>
      </c>
      <c r="K2909" s="14" t="n">
        <v>9130.141446281879</v>
      </c>
      <c r="L2909" s="14" t="n">
        <v>0</v>
      </c>
      <c r="M2909" s="14" t="n">
        <v>0</v>
      </c>
      <c r="N2909" s="14" t="n">
        <v>52053.64713568598</v>
      </c>
      <c r="O2909" s="14" t="n">
        <v>69502.04445064772</v>
      </c>
      <c r="P2909" s="14" t="n">
        <v>3595.994711094277</v>
      </c>
      <c r="Q2909" s="14" t="n">
        <v>696630.6572394883</v>
      </c>
      <c r="R2909" s="15">
        <f>IF(D2909=1,"Section 1","Control")</f>
        <v/>
      </c>
      <c r="S2909" s="16">
        <f>N2909/10000</f>
        <v/>
      </c>
      <c r="T2909" s="16">
        <f>P2909/10000</f>
        <v/>
      </c>
      <c r="U2909" s="15">
        <f>IF(N2909&gt;=Summary!$D$3,1,0)</f>
        <v/>
      </c>
      <c r="V2909" s="17">
        <f>IF(N2909&gt;0,P2909/N2909,"")</f>
        <v/>
      </c>
      <c r="W2909" s="17">
        <f>IF(O2909&gt;0,H2909/O2909,"")</f>
        <v/>
      </c>
    </row>
    <row r="2910">
      <c r="A2910" s="13" t="inlineStr">
        <is>
          <t>CW13_F</t>
        </is>
      </c>
      <c r="B2910" s="13" t="inlineStr">
        <is>
          <t>CW13</t>
        </is>
      </c>
      <c r="C2910" s="13" t="inlineStr">
        <is>
          <t>F</t>
        </is>
      </c>
      <c r="D2910" s="13" t="n">
        <v>0</v>
      </c>
      <c r="E2910" s="13" t="inlineStr">
        <is>
          <t>W</t>
        </is>
      </c>
      <c r="F2910" s="13" t="n">
        <v>2023</v>
      </c>
      <c r="G2910" s="14" t="n">
        <v>69502.04445064772</v>
      </c>
      <c r="H2910" s="14" t="n">
        <v>50613.39039429314</v>
      </c>
      <c r="I2910" s="14" t="n">
        <v>8348.454735969095</v>
      </c>
      <c r="J2910" s="14" t="n">
        <v>0</v>
      </c>
      <c r="K2910" s="14" t="n">
        <v>10540.1993203855</v>
      </c>
      <c r="L2910" s="14" t="n">
        <v>0</v>
      </c>
      <c r="M2910" s="14" t="n">
        <v>0</v>
      </c>
      <c r="N2910" s="14" t="n">
        <v>52053.64713568598</v>
      </c>
      <c r="O2910" s="14" t="n">
        <v>69502.04445064772</v>
      </c>
      <c r="P2910" s="14" t="n">
        <v>5268.163713522517</v>
      </c>
      <c r="Q2910" s="14" t="n">
        <v>696630.6572394883</v>
      </c>
      <c r="R2910" s="15">
        <f>IF(D2910=1,"Section 1","Control")</f>
        <v/>
      </c>
      <c r="S2910" s="16">
        <f>N2910/10000</f>
        <v/>
      </c>
      <c r="T2910" s="16">
        <f>P2910/10000</f>
        <v/>
      </c>
      <c r="U2910" s="15">
        <f>IF(N2910&gt;=Summary!$D$3,1,0)</f>
        <v/>
      </c>
      <c r="V2910" s="17">
        <f>IF(N2910&gt;0,P2910/N2910,"")</f>
        <v/>
      </c>
      <c r="W2910" s="17">
        <f>IF(O2910&gt;0,H2910/O2910,"")</f>
        <v/>
      </c>
    </row>
    <row r="2911">
      <c r="A2911" s="13" t="inlineStr">
        <is>
          <t>CW13_F</t>
        </is>
      </c>
      <c r="B2911" s="13" t="inlineStr">
        <is>
          <t>CW13</t>
        </is>
      </c>
      <c r="C2911" s="13" t="inlineStr">
        <is>
          <t>F</t>
        </is>
      </c>
      <c r="D2911" s="13" t="n">
        <v>0</v>
      </c>
      <c r="E2911" s="13" t="inlineStr">
        <is>
          <t>W</t>
        </is>
      </c>
      <c r="F2911" s="13" t="n">
        <v>2024</v>
      </c>
      <c r="G2911" s="14" t="n">
        <v>69502.04445064772</v>
      </c>
      <c r="H2911" s="14" t="n">
        <v>52993.29797387221</v>
      </c>
      <c r="I2911" s="14" t="n">
        <v>7020.089395560471</v>
      </c>
      <c r="J2911" s="14" t="n">
        <v>0</v>
      </c>
      <c r="K2911" s="14" t="n">
        <v>9488.657081215057</v>
      </c>
      <c r="L2911" s="14" t="n">
        <v>0</v>
      </c>
      <c r="M2911" s="14" t="n">
        <v>0</v>
      </c>
      <c r="N2911" s="14" t="n">
        <v>52053.64713568598</v>
      </c>
      <c r="O2911" s="14" t="n">
        <v>69502.04445064772</v>
      </c>
      <c r="P2911" s="14" t="n">
        <v>5059.481321686389</v>
      </c>
      <c r="Q2911" s="14" t="n">
        <v>696630.6572394883</v>
      </c>
      <c r="R2911" s="15">
        <f>IF(D2911=1,"Section 1","Control")</f>
        <v/>
      </c>
      <c r="S2911" s="16">
        <f>N2911/10000</f>
        <v/>
      </c>
      <c r="T2911" s="16">
        <f>P2911/10000</f>
        <v/>
      </c>
      <c r="U2911" s="15">
        <f>IF(N2911&gt;=Summary!$D$3,1,0)</f>
        <v/>
      </c>
      <c r="V2911" s="17">
        <f>IF(N2911&gt;0,P2911/N2911,"")</f>
        <v/>
      </c>
      <c r="W2911" s="17">
        <f>IF(O2911&gt;0,H2911/O2911,"")</f>
        <v/>
      </c>
    </row>
    <row r="2912">
      <c r="A2912" s="13" t="inlineStr">
        <is>
          <t>CW13_F</t>
        </is>
      </c>
      <c r="B2912" s="13" t="inlineStr">
        <is>
          <t>CW13</t>
        </is>
      </c>
      <c r="C2912" s="13" t="inlineStr">
        <is>
          <t>F</t>
        </is>
      </c>
      <c r="D2912" s="13" t="n">
        <v>0</v>
      </c>
      <c r="E2912" s="13" t="inlineStr">
        <is>
          <t>W</t>
        </is>
      </c>
      <c r="F2912" s="13" t="n">
        <v>2025</v>
      </c>
      <c r="G2912" s="14" t="n">
        <v>69502.04445064772</v>
      </c>
      <c r="H2912" s="14" t="n">
        <v>46358.05314115639</v>
      </c>
      <c r="I2912" s="14" t="n">
        <v>15897.79820685294</v>
      </c>
      <c r="J2912" s="14" t="n">
        <v>0</v>
      </c>
      <c r="K2912" s="14" t="n">
        <v>7246.193102638394</v>
      </c>
      <c r="L2912" s="14" t="n">
        <v>0</v>
      </c>
      <c r="M2912" s="14" t="n">
        <v>0</v>
      </c>
      <c r="N2912" s="14" t="n">
        <v>52053.64713568598</v>
      </c>
      <c r="O2912" s="14" t="n">
        <v>69502.04445064772</v>
      </c>
      <c r="P2912" s="14" t="n">
        <v>8980.307955783024</v>
      </c>
      <c r="Q2912" s="14" t="n">
        <v>696630.6572394883</v>
      </c>
      <c r="R2912" s="15">
        <f>IF(D2912=1,"Section 1","Control")</f>
        <v/>
      </c>
      <c r="S2912" s="16">
        <f>N2912/10000</f>
        <v/>
      </c>
      <c r="T2912" s="16">
        <f>P2912/10000</f>
        <v/>
      </c>
      <c r="U2912" s="15">
        <f>IF(N2912&gt;=Summary!$D$3,1,0)</f>
        <v/>
      </c>
      <c r="V2912" s="17">
        <f>IF(N2912&gt;0,P2912/N2912,"")</f>
        <v/>
      </c>
      <c r="W2912" s="17">
        <f>IF(O2912&gt;0,H2912/O2912,"")</f>
        <v/>
      </c>
    </row>
    <row r="2913">
      <c r="A2913" s="13" t="inlineStr">
        <is>
          <t>CW13_F</t>
        </is>
      </c>
      <c r="B2913" s="13" t="inlineStr">
        <is>
          <t>CW13</t>
        </is>
      </c>
      <c r="C2913" s="13" t="inlineStr">
        <is>
          <t>F</t>
        </is>
      </c>
      <c r="D2913" s="13" t="n">
        <v>0</v>
      </c>
      <c r="E2913" s="13" t="inlineStr">
        <is>
          <t>W</t>
        </is>
      </c>
      <c r="F2913" s="13" t="n">
        <v>2026</v>
      </c>
      <c r="G2913" s="14" t="n">
        <v>69502.04445064772</v>
      </c>
      <c r="H2913" s="14" t="n">
        <v>53843.90186698767</v>
      </c>
      <c r="I2913" s="14" t="n">
        <v>6573.686750045476</v>
      </c>
      <c r="J2913" s="14" t="n">
        <v>0</v>
      </c>
      <c r="K2913" s="14" t="n">
        <v>9084.455833614576</v>
      </c>
      <c r="L2913" s="14" t="n">
        <v>0</v>
      </c>
      <c r="M2913" s="14" t="n">
        <v>0</v>
      </c>
      <c r="N2913" s="14" t="n">
        <v>52053.64713568598</v>
      </c>
      <c r="O2913" s="14" t="n">
        <v>69502.04445064772</v>
      </c>
      <c r="P2913" s="14" t="n">
        <v>8100.280648773791</v>
      </c>
      <c r="Q2913" s="14" t="n">
        <v>696630.6572394883</v>
      </c>
      <c r="R2913" s="15">
        <f>IF(D2913=1,"Section 1","Control")</f>
        <v/>
      </c>
      <c r="S2913" s="16">
        <f>N2913/10000</f>
        <v/>
      </c>
      <c r="T2913" s="16">
        <f>P2913/10000</f>
        <v/>
      </c>
      <c r="U2913" s="15">
        <f>IF(N2913&gt;=Summary!$D$3,1,0)</f>
        <v/>
      </c>
      <c r="V2913" s="17">
        <f>IF(N2913&gt;0,P2913/N2913,"")</f>
        <v/>
      </c>
      <c r="W2913" s="17">
        <f>IF(O2913&gt;0,H2913/O2913,"")</f>
        <v/>
      </c>
    </row>
    <row r="2914">
      <c r="A2914" s="13" t="inlineStr">
        <is>
          <t>CW14_B1</t>
        </is>
      </c>
      <c r="B2914" s="13" t="inlineStr">
        <is>
          <t>CW14</t>
        </is>
      </c>
      <c r="C2914" s="13" t="inlineStr">
        <is>
          <t>B1</t>
        </is>
      </c>
      <c r="D2914" s="13" t="n">
        <v>0</v>
      </c>
      <c r="E2914" s="13" t="inlineStr">
        <is>
          <t>W</t>
        </is>
      </c>
      <c r="F2914" s="13" t="n">
        <v>2020</v>
      </c>
      <c r="G2914" s="14" t="n">
        <v>975439.684496232</v>
      </c>
      <c r="H2914" s="14" t="n">
        <v>786623.2235885917</v>
      </c>
      <c r="I2914" s="14" t="n">
        <v>158032.0282050339</v>
      </c>
      <c r="J2914" s="14" t="n">
        <v>0</v>
      </c>
      <c r="K2914" s="14" t="n">
        <v>30784.4327026068</v>
      </c>
      <c r="L2914" s="14" t="n">
        <v>0</v>
      </c>
      <c r="M2914" s="14" t="n">
        <v>0</v>
      </c>
      <c r="N2914" s="14" t="n">
        <v>786623.2235885917</v>
      </c>
      <c r="O2914" s="14" t="n">
        <v>975439.684496232</v>
      </c>
      <c r="P2914" s="14" t="n">
        <v>0</v>
      </c>
      <c r="Q2914" s="14" t="n">
        <v>7532732.175785024</v>
      </c>
      <c r="R2914" s="15">
        <f>IF(D2914=1,"Section 1","Control")</f>
        <v/>
      </c>
      <c r="S2914" s="16">
        <f>N2914/10000</f>
        <v/>
      </c>
      <c r="T2914" s="16">
        <f>P2914/10000</f>
        <v/>
      </c>
      <c r="U2914" s="15">
        <f>IF(N2914&gt;=Summary!$D$3,1,0)</f>
        <v/>
      </c>
      <c r="V2914" s="17">
        <f>IF(N2914&gt;0,P2914/N2914,"")</f>
        <v/>
      </c>
      <c r="W2914" s="17">
        <f>IF(O2914&gt;0,H2914/O2914,"")</f>
        <v/>
      </c>
    </row>
    <row r="2915">
      <c r="A2915" s="13" t="inlineStr">
        <is>
          <t>CW14_B1</t>
        </is>
      </c>
      <c r="B2915" s="13" t="inlineStr">
        <is>
          <t>CW14</t>
        </is>
      </c>
      <c r="C2915" s="13" t="inlineStr">
        <is>
          <t>B1</t>
        </is>
      </c>
      <c r="D2915" s="13" t="n">
        <v>0</v>
      </c>
      <c r="E2915" s="13" t="inlineStr">
        <is>
          <t>W</t>
        </is>
      </c>
      <c r="F2915" s="13" t="n">
        <v>2021</v>
      </c>
      <c r="G2915" s="14" t="n">
        <v>975439.684496232</v>
      </c>
      <c r="H2915" s="14" t="n">
        <v>590252.089464913</v>
      </c>
      <c r="I2915" s="14" t="n">
        <v>61478.1225265503</v>
      </c>
      <c r="J2915" s="14" t="n">
        <v>0</v>
      </c>
      <c r="K2915" s="14" t="n">
        <v>323709.4725047693</v>
      </c>
      <c r="L2915" s="14" t="n">
        <v>0</v>
      </c>
      <c r="M2915" s="14" t="n">
        <v>0</v>
      </c>
      <c r="N2915" s="14" t="n">
        <v>786623.2235885917</v>
      </c>
      <c r="O2915" s="14" t="n">
        <v>975439.684496232</v>
      </c>
      <c r="P2915" s="14" t="n">
        <v>206051.8791482664</v>
      </c>
      <c r="Q2915" s="14" t="n">
        <v>7532732.175785024</v>
      </c>
      <c r="R2915" s="15">
        <f>IF(D2915=1,"Section 1","Control")</f>
        <v/>
      </c>
      <c r="S2915" s="16">
        <f>N2915/10000</f>
        <v/>
      </c>
      <c r="T2915" s="16">
        <f>P2915/10000</f>
        <v/>
      </c>
      <c r="U2915" s="15">
        <f>IF(N2915&gt;=Summary!$D$3,1,0)</f>
        <v/>
      </c>
      <c r="V2915" s="17">
        <f>IF(N2915&gt;0,P2915/N2915,"")</f>
        <v/>
      </c>
      <c r="W2915" s="17">
        <f>IF(O2915&gt;0,H2915/O2915,"")</f>
        <v/>
      </c>
    </row>
    <row r="2916">
      <c r="A2916" s="13" t="inlineStr">
        <is>
          <t>CW14_B1</t>
        </is>
      </c>
      <c r="B2916" s="13" t="inlineStr">
        <is>
          <t>CW14</t>
        </is>
      </c>
      <c r="C2916" s="13" t="inlineStr">
        <is>
          <t>B1</t>
        </is>
      </c>
      <c r="D2916" s="13" t="n">
        <v>0</v>
      </c>
      <c r="E2916" s="13" t="inlineStr">
        <is>
          <t>W</t>
        </is>
      </c>
      <c r="F2916" s="13" t="n">
        <v>2022</v>
      </c>
      <c r="G2916" s="14" t="n">
        <v>975439.684496232</v>
      </c>
      <c r="H2916" s="14" t="n">
        <v>507550.3648491054</v>
      </c>
      <c r="I2916" s="14" t="n">
        <v>308701.0387222888</v>
      </c>
      <c r="J2916" s="14" t="n">
        <v>0</v>
      </c>
      <c r="K2916" s="14" t="n">
        <v>159188.2809248382</v>
      </c>
      <c r="L2916" s="14" t="n">
        <v>0</v>
      </c>
      <c r="M2916" s="14" t="n">
        <v>0</v>
      </c>
      <c r="N2916" s="14" t="n">
        <v>786623.2235885917</v>
      </c>
      <c r="O2916" s="14" t="n">
        <v>975439.684496232</v>
      </c>
      <c r="P2916" s="14" t="n">
        <v>280948.6886955411</v>
      </c>
      <c r="Q2916" s="14" t="n">
        <v>7532732.175785024</v>
      </c>
      <c r="R2916" s="15">
        <f>IF(D2916=1,"Section 1","Control")</f>
        <v/>
      </c>
      <c r="S2916" s="16">
        <f>N2916/10000</f>
        <v/>
      </c>
      <c r="T2916" s="16">
        <f>P2916/10000</f>
        <v/>
      </c>
      <c r="U2916" s="15">
        <f>IF(N2916&gt;=Summary!$D$3,1,0)</f>
        <v/>
      </c>
      <c r="V2916" s="17">
        <f>IF(N2916&gt;0,P2916/N2916,"")</f>
        <v/>
      </c>
      <c r="W2916" s="17">
        <f>IF(O2916&gt;0,H2916/O2916,"")</f>
        <v/>
      </c>
    </row>
    <row r="2917">
      <c r="A2917" s="13" t="inlineStr">
        <is>
          <t>CW14_B1</t>
        </is>
      </c>
      <c r="B2917" s="13" t="inlineStr">
        <is>
          <t>CW14</t>
        </is>
      </c>
      <c r="C2917" s="13" t="inlineStr">
        <is>
          <t>B1</t>
        </is>
      </c>
      <c r="D2917" s="13" t="n">
        <v>0</v>
      </c>
      <c r="E2917" s="13" t="inlineStr">
        <is>
          <t>W</t>
        </is>
      </c>
      <c r="F2917" s="13" t="n">
        <v>2023</v>
      </c>
      <c r="G2917" s="14" t="n">
        <v>975439.684496232</v>
      </c>
      <c r="H2917" s="14" t="n">
        <v>496465.4666736676</v>
      </c>
      <c r="I2917" s="14" t="n">
        <v>267176.8077961042</v>
      </c>
      <c r="J2917" s="14" t="n">
        <v>0</v>
      </c>
      <c r="K2917" s="14" t="n">
        <v>211797.4100264605</v>
      </c>
      <c r="L2917" s="14" t="n">
        <v>0</v>
      </c>
      <c r="M2917" s="14" t="n">
        <v>0</v>
      </c>
      <c r="N2917" s="14" t="n">
        <v>786623.2235885917</v>
      </c>
      <c r="O2917" s="14" t="n">
        <v>975439.684496232</v>
      </c>
      <c r="P2917" s="14" t="n">
        <v>293825.7788047342</v>
      </c>
      <c r="Q2917" s="14" t="n">
        <v>7532732.175785024</v>
      </c>
      <c r="R2917" s="15">
        <f>IF(D2917=1,"Section 1","Control")</f>
        <v/>
      </c>
      <c r="S2917" s="16">
        <f>N2917/10000</f>
        <v/>
      </c>
      <c r="T2917" s="16">
        <f>P2917/10000</f>
        <v/>
      </c>
      <c r="U2917" s="15">
        <f>IF(N2917&gt;=Summary!$D$3,1,0)</f>
        <v/>
      </c>
      <c r="V2917" s="17">
        <f>IF(N2917&gt;0,P2917/N2917,"")</f>
        <v/>
      </c>
      <c r="W2917" s="17">
        <f>IF(O2917&gt;0,H2917/O2917,"")</f>
        <v/>
      </c>
    </row>
    <row r="2918">
      <c r="A2918" s="13" t="inlineStr">
        <is>
          <t>CW14_B1</t>
        </is>
      </c>
      <c r="B2918" s="13" t="inlineStr">
        <is>
          <t>CW14</t>
        </is>
      </c>
      <c r="C2918" s="13" t="inlineStr">
        <is>
          <t>B1</t>
        </is>
      </c>
      <c r="D2918" s="13" t="n">
        <v>0</v>
      </c>
      <c r="E2918" s="13" t="inlineStr">
        <is>
          <t>W</t>
        </is>
      </c>
      <c r="F2918" s="13" t="n">
        <v>2024</v>
      </c>
      <c r="G2918" s="14" t="n">
        <v>975439.684496232</v>
      </c>
      <c r="H2918" s="14" t="n">
        <v>548486.4940700155</v>
      </c>
      <c r="I2918" s="14" t="n">
        <v>224141.1935557945</v>
      </c>
      <c r="J2918" s="14" t="n">
        <v>0</v>
      </c>
      <c r="K2918" s="14" t="n">
        <v>202811.9968704224</v>
      </c>
      <c r="L2918" s="14" t="n">
        <v>0</v>
      </c>
      <c r="M2918" s="14" t="n">
        <v>0</v>
      </c>
      <c r="N2918" s="14" t="n">
        <v>786623.2235885917</v>
      </c>
      <c r="O2918" s="14" t="n">
        <v>975439.684496232</v>
      </c>
      <c r="P2918" s="14" t="n">
        <v>254538.6976127177</v>
      </c>
      <c r="Q2918" s="14" t="n">
        <v>7532732.175785024</v>
      </c>
      <c r="R2918" s="15">
        <f>IF(D2918=1,"Section 1","Control")</f>
        <v/>
      </c>
      <c r="S2918" s="16">
        <f>N2918/10000</f>
        <v/>
      </c>
      <c r="T2918" s="16">
        <f>P2918/10000</f>
        <v/>
      </c>
      <c r="U2918" s="15">
        <f>IF(N2918&gt;=Summary!$D$3,1,0)</f>
        <v/>
      </c>
      <c r="V2918" s="17">
        <f>IF(N2918&gt;0,P2918/N2918,"")</f>
        <v/>
      </c>
      <c r="W2918" s="17">
        <f>IF(O2918&gt;0,H2918/O2918,"")</f>
        <v/>
      </c>
    </row>
    <row r="2919">
      <c r="A2919" s="13" t="inlineStr">
        <is>
          <t>CW14_B1</t>
        </is>
      </c>
      <c r="B2919" s="13" t="inlineStr">
        <is>
          <t>CW14</t>
        </is>
      </c>
      <c r="C2919" s="13" t="inlineStr">
        <is>
          <t>B1</t>
        </is>
      </c>
      <c r="D2919" s="13" t="n">
        <v>0</v>
      </c>
      <c r="E2919" s="13" t="inlineStr">
        <is>
          <t>W</t>
        </is>
      </c>
      <c r="F2919" s="13" t="n">
        <v>2025</v>
      </c>
      <c r="G2919" s="14" t="n">
        <v>975439.684496232</v>
      </c>
      <c r="H2919" s="14" t="n">
        <v>460433.7613046384</v>
      </c>
      <c r="I2919" s="14" t="n">
        <v>453446.8169496426</v>
      </c>
      <c r="J2919" s="14" t="n">
        <v>0</v>
      </c>
      <c r="K2919" s="14" t="n">
        <v>61559.10624195176</v>
      </c>
      <c r="L2919" s="14" t="n">
        <v>0</v>
      </c>
      <c r="M2919" s="14" t="n">
        <v>0</v>
      </c>
      <c r="N2919" s="14" t="n">
        <v>786623.2235885917</v>
      </c>
      <c r="O2919" s="14" t="n">
        <v>975439.684496232</v>
      </c>
      <c r="P2919" s="14" t="n">
        <v>329743.6565970028</v>
      </c>
      <c r="Q2919" s="14" t="n">
        <v>7532732.175785024</v>
      </c>
      <c r="R2919" s="15">
        <f>IF(D2919=1,"Section 1","Control")</f>
        <v/>
      </c>
      <c r="S2919" s="16">
        <f>N2919/10000</f>
        <v/>
      </c>
      <c r="T2919" s="16">
        <f>P2919/10000</f>
        <v/>
      </c>
      <c r="U2919" s="15">
        <f>IF(N2919&gt;=Summary!$D$3,1,0)</f>
        <v/>
      </c>
      <c r="V2919" s="17">
        <f>IF(N2919&gt;0,P2919/N2919,"")</f>
        <v/>
      </c>
      <c r="W2919" s="17">
        <f>IF(O2919&gt;0,H2919/O2919,"")</f>
        <v/>
      </c>
    </row>
    <row r="2920">
      <c r="A2920" s="13" t="inlineStr">
        <is>
          <t>CW14_B1</t>
        </is>
      </c>
      <c r="B2920" s="13" t="inlineStr">
        <is>
          <t>CW14</t>
        </is>
      </c>
      <c r="C2920" s="13" t="inlineStr">
        <is>
          <t>B1</t>
        </is>
      </c>
      <c r="D2920" s="13" t="n">
        <v>0</v>
      </c>
      <c r="E2920" s="13" t="inlineStr">
        <is>
          <t>W</t>
        </is>
      </c>
      <c r="F2920" s="13" t="n">
        <v>2026</v>
      </c>
      <c r="G2920" s="14" t="n">
        <v>975439.684496232</v>
      </c>
      <c r="H2920" s="14" t="n">
        <v>516984.5306986788</v>
      </c>
      <c r="I2920" s="14" t="n">
        <v>256717.4771478989</v>
      </c>
      <c r="J2920" s="14" t="n">
        <v>0</v>
      </c>
      <c r="K2920" s="14" t="n">
        <v>201737.6766496546</v>
      </c>
      <c r="L2920" s="14" t="n">
        <v>0</v>
      </c>
      <c r="M2920" s="14" t="n">
        <v>0</v>
      </c>
      <c r="N2920" s="14" t="n">
        <v>786623.2235885917</v>
      </c>
      <c r="O2920" s="14" t="n">
        <v>975439.684496232</v>
      </c>
      <c r="P2920" s="14" t="n">
        <v>283611.9584137263</v>
      </c>
      <c r="Q2920" s="14" t="n">
        <v>7532732.175785024</v>
      </c>
      <c r="R2920" s="15">
        <f>IF(D2920=1,"Section 1","Control")</f>
        <v/>
      </c>
      <c r="S2920" s="16">
        <f>N2920/10000</f>
        <v/>
      </c>
      <c r="T2920" s="16">
        <f>P2920/10000</f>
        <v/>
      </c>
      <c r="U2920" s="15">
        <f>IF(N2920&gt;=Summary!$D$3,1,0)</f>
        <v/>
      </c>
      <c r="V2920" s="17">
        <f>IF(N2920&gt;0,P2920/N2920,"")</f>
        <v/>
      </c>
      <c r="W2920" s="17">
        <f>IF(O2920&gt;0,H2920/O2920,"")</f>
        <v/>
      </c>
    </row>
    <row r="2921">
      <c r="A2921" s="13" t="inlineStr">
        <is>
          <t>CW14_B2</t>
        </is>
      </c>
      <c r="B2921" s="13" t="inlineStr">
        <is>
          <t>CW14</t>
        </is>
      </c>
      <c r="C2921" s="13" t="inlineStr">
        <is>
          <t>B2</t>
        </is>
      </c>
      <c r="D2921" s="13" t="n">
        <v>0</v>
      </c>
      <c r="E2921" s="13" t="inlineStr">
        <is>
          <t>W</t>
        </is>
      </c>
      <c r="F2921" s="13" t="n">
        <v>2020</v>
      </c>
      <c r="G2921" s="14" t="n">
        <v>975978.9993775917</v>
      </c>
      <c r="H2921" s="14" t="n">
        <v>704849.4866430548</v>
      </c>
      <c r="I2921" s="14" t="n">
        <v>234294.0758021636</v>
      </c>
      <c r="J2921" s="14" t="n">
        <v>0</v>
      </c>
      <c r="K2921" s="14" t="n">
        <v>36835.43693237305</v>
      </c>
      <c r="L2921" s="14" t="n">
        <v>0</v>
      </c>
      <c r="M2921" s="14" t="n">
        <v>0</v>
      </c>
      <c r="N2921" s="14" t="n">
        <v>704849.4866430548</v>
      </c>
      <c r="O2921" s="14" t="n">
        <v>975978.9993775917</v>
      </c>
      <c r="P2921" s="14" t="n">
        <v>0</v>
      </c>
      <c r="Q2921" s="14" t="n">
        <v>6354826.963119656</v>
      </c>
      <c r="R2921" s="15">
        <f>IF(D2921=1,"Section 1","Control")</f>
        <v/>
      </c>
      <c r="S2921" s="16">
        <f>N2921/10000</f>
        <v/>
      </c>
      <c r="T2921" s="16">
        <f>P2921/10000</f>
        <v/>
      </c>
      <c r="U2921" s="15">
        <f>IF(N2921&gt;=Summary!$D$3,1,0)</f>
        <v/>
      </c>
      <c r="V2921" s="17">
        <f>IF(N2921&gt;0,P2921/N2921,"")</f>
        <v/>
      </c>
      <c r="W2921" s="17">
        <f>IF(O2921&gt;0,H2921/O2921,"")</f>
        <v/>
      </c>
    </row>
    <row r="2922">
      <c r="A2922" s="13" t="inlineStr">
        <is>
          <t>CW14_B2</t>
        </is>
      </c>
      <c r="B2922" s="13" t="inlineStr">
        <is>
          <t>CW14</t>
        </is>
      </c>
      <c r="C2922" s="13" t="inlineStr">
        <is>
          <t>B2</t>
        </is>
      </c>
      <c r="D2922" s="13" t="n">
        <v>0</v>
      </c>
      <c r="E2922" s="13" t="inlineStr">
        <is>
          <t>W</t>
        </is>
      </c>
      <c r="F2922" s="13" t="n">
        <v>2021</v>
      </c>
      <c r="G2922" s="14" t="n">
        <v>975978.9993775914</v>
      </c>
      <c r="H2922" s="14" t="n">
        <v>705240.473307681</v>
      </c>
      <c r="I2922" s="14" t="n">
        <v>131122.0688940609</v>
      </c>
      <c r="J2922" s="14" t="n">
        <v>0</v>
      </c>
      <c r="K2922" s="14" t="n">
        <v>139616.4571758494</v>
      </c>
      <c r="L2922" s="14" t="n">
        <v>0</v>
      </c>
      <c r="M2922" s="14" t="n">
        <v>0</v>
      </c>
      <c r="N2922" s="14" t="n">
        <v>704849.4866430548</v>
      </c>
      <c r="O2922" s="14" t="n">
        <v>975978.9993775914</v>
      </c>
      <c r="P2922" s="14" t="n">
        <v>60898.95760414274</v>
      </c>
      <c r="Q2922" s="14" t="n">
        <v>6354826.963119656</v>
      </c>
      <c r="R2922" s="15">
        <f>IF(D2922=1,"Section 1","Control")</f>
        <v/>
      </c>
      <c r="S2922" s="16">
        <f>N2922/10000</f>
        <v/>
      </c>
      <c r="T2922" s="16">
        <f>P2922/10000</f>
        <v/>
      </c>
      <c r="U2922" s="15">
        <f>IF(N2922&gt;=Summary!$D$3,1,0)</f>
        <v/>
      </c>
      <c r="V2922" s="17">
        <f>IF(N2922&gt;0,P2922/N2922,"")</f>
        <v/>
      </c>
      <c r="W2922" s="17">
        <f>IF(O2922&gt;0,H2922/O2922,"")</f>
        <v/>
      </c>
    </row>
    <row r="2923">
      <c r="A2923" s="13" t="inlineStr">
        <is>
          <t>CW14_B2</t>
        </is>
      </c>
      <c r="B2923" s="13" t="inlineStr">
        <is>
          <t>CW14</t>
        </is>
      </c>
      <c r="C2923" s="13" t="inlineStr">
        <is>
          <t>B2</t>
        </is>
      </c>
      <c r="D2923" s="13" t="n">
        <v>0</v>
      </c>
      <c r="E2923" s="13" t="inlineStr">
        <is>
          <t>W</t>
        </is>
      </c>
      <c r="F2923" s="13" t="n">
        <v>2022</v>
      </c>
      <c r="G2923" s="14" t="n">
        <v>975978.9993775917</v>
      </c>
      <c r="H2923" s="14" t="n">
        <v>604995.9790607829</v>
      </c>
      <c r="I2923" s="14" t="n">
        <v>287393.9874752269</v>
      </c>
      <c r="J2923" s="14" t="n">
        <v>0</v>
      </c>
      <c r="K2923" s="14" t="n">
        <v>83589.03284158147</v>
      </c>
      <c r="L2923" s="14" t="n">
        <v>0</v>
      </c>
      <c r="M2923" s="14" t="n">
        <v>0</v>
      </c>
      <c r="N2923" s="14" t="n">
        <v>704849.4866430548</v>
      </c>
      <c r="O2923" s="14" t="n">
        <v>975978.9993775917</v>
      </c>
      <c r="P2923" s="14" t="n">
        <v>118768.492072341</v>
      </c>
      <c r="Q2923" s="14" t="n">
        <v>6354826.963119656</v>
      </c>
      <c r="R2923" s="15">
        <f>IF(D2923=1,"Section 1","Control")</f>
        <v/>
      </c>
      <c r="S2923" s="16">
        <f>N2923/10000</f>
        <v/>
      </c>
      <c r="T2923" s="16">
        <f>P2923/10000</f>
        <v/>
      </c>
      <c r="U2923" s="15">
        <f>IF(N2923&gt;=Summary!$D$3,1,0)</f>
        <v/>
      </c>
      <c r="V2923" s="17">
        <f>IF(N2923&gt;0,P2923/N2923,"")</f>
        <v/>
      </c>
      <c r="W2923" s="17">
        <f>IF(O2923&gt;0,H2923/O2923,"")</f>
        <v/>
      </c>
    </row>
    <row r="2924">
      <c r="A2924" s="13" t="inlineStr">
        <is>
          <t>CW14_B2</t>
        </is>
      </c>
      <c r="B2924" s="13" t="inlineStr">
        <is>
          <t>CW14</t>
        </is>
      </c>
      <c r="C2924" s="13" t="inlineStr">
        <is>
          <t>B2</t>
        </is>
      </c>
      <c r="D2924" s="13" t="n">
        <v>0</v>
      </c>
      <c r="E2924" s="13" t="inlineStr">
        <is>
          <t>W</t>
        </is>
      </c>
      <c r="F2924" s="13" t="n">
        <v>2023</v>
      </c>
      <c r="G2924" s="14" t="n">
        <v>975978.9993775917</v>
      </c>
      <c r="H2924" s="14" t="n">
        <v>591449.2940017703</v>
      </c>
      <c r="I2924" s="14" t="n">
        <v>265451.8710232005</v>
      </c>
      <c r="J2924" s="14" t="n">
        <v>0</v>
      </c>
      <c r="K2924" s="14" t="n">
        <v>119077.8343526204</v>
      </c>
      <c r="L2924" s="14" t="n">
        <v>0</v>
      </c>
      <c r="M2924" s="14" t="n">
        <v>0</v>
      </c>
      <c r="N2924" s="14" t="n">
        <v>704849.4866430548</v>
      </c>
      <c r="O2924" s="14" t="n">
        <v>975978.9993775917</v>
      </c>
      <c r="P2924" s="14" t="n">
        <v>133197.1725424673</v>
      </c>
      <c r="Q2924" s="14" t="n">
        <v>6354826.963119656</v>
      </c>
      <c r="R2924" s="15">
        <f>IF(D2924=1,"Section 1","Control")</f>
        <v/>
      </c>
      <c r="S2924" s="16">
        <f>N2924/10000</f>
        <v/>
      </c>
      <c r="T2924" s="16">
        <f>P2924/10000</f>
        <v/>
      </c>
      <c r="U2924" s="15">
        <f>IF(N2924&gt;=Summary!$D$3,1,0)</f>
        <v/>
      </c>
      <c r="V2924" s="17">
        <f>IF(N2924&gt;0,P2924/N2924,"")</f>
        <v/>
      </c>
      <c r="W2924" s="17">
        <f>IF(O2924&gt;0,H2924/O2924,"")</f>
        <v/>
      </c>
    </row>
    <row r="2925">
      <c r="A2925" s="13" t="inlineStr">
        <is>
          <t>CW14_B2</t>
        </is>
      </c>
      <c r="B2925" s="13" t="inlineStr">
        <is>
          <t>CW14</t>
        </is>
      </c>
      <c r="C2925" s="13" t="inlineStr">
        <is>
          <t>B2</t>
        </is>
      </c>
      <c r="D2925" s="13" t="n">
        <v>0</v>
      </c>
      <c r="E2925" s="13" t="inlineStr">
        <is>
          <t>W</t>
        </is>
      </c>
      <c r="F2925" s="13" t="n">
        <v>2024</v>
      </c>
      <c r="G2925" s="14" t="n">
        <v>975978.9993775917</v>
      </c>
      <c r="H2925" s="14" t="n">
        <v>674404.662719697</v>
      </c>
      <c r="I2925" s="14" t="n">
        <v>195438.8123472625</v>
      </c>
      <c r="J2925" s="14" t="n">
        <v>0</v>
      </c>
      <c r="K2925" s="14" t="n">
        <v>106135.5243106318</v>
      </c>
      <c r="L2925" s="14" t="n">
        <v>0</v>
      </c>
      <c r="M2925" s="14" t="n">
        <v>0</v>
      </c>
      <c r="N2925" s="14" t="n">
        <v>704849.4866430548</v>
      </c>
      <c r="O2925" s="14" t="n">
        <v>975978.9993775917</v>
      </c>
      <c r="P2925" s="14" t="n">
        <v>98107.45752889596</v>
      </c>
      <c r="Q2925" s="14" t="n">
        <v>6354826.963119656</v>
      </c>
      <c r="R2925" s="15">
        <f>IF(D2925=1,"Section 1","Control")</f>
        <v/>
      </c>
      <c r="S2925" s="16">
        <f>N2925/10000</f>
        <v/>
      </c>
      <c r="T2925" s="16">
        <f>P2925/10000</f>
        <v/>
      </c>
      <c r="U2925" s="15">
        <f>IF(N2925&gt;=Summary!$D$3,1,0)</f>
        <v/>
      </c>
      <c r="V2925" s="17">
        <f>IF(N2925&gt;0,P2925/N2925,"")</f>
        <v/>
      </c>
      <c r="W2925" s="17">
        <f>IF(O2925&gt;0,H2925/O2925,"")</f>
        <v/>
      </c>
    </row>
    <row r="2926">
      <c r="A2926" s="13" t="inlineStr">
        <is>
          <t>CW14_B2</t>
        </is>
      </c>
      <c r="B2926" s="13" t="inlineStr">
        <is>
          <t>CW14</t>
        </is>
      </c>
      <c r="C2926" s="13" t="inlineStr">
        <is>
          <t>B2</t>
        </is>
      </c>
      <c r="D2926" s="13" t="n">
        <v>0</v>
      </c>
      <c r="E2926" s="13" t="inlineStr">
        <is>
          <t>W</t>
        </is>
      </c>
      <c r="F2926" s="13" t="n">
        <v>2025</v>
      </c>
      <c r="G2926" s="14" t="n">
        <v>975978.9993775917</v>
      </c>
      <c r="H2926" s="14" t="n">
        <v>558879.0215483725</v>
      </c>
      <c r="I2926" s="14" t="n">
        <v>342070.4824082917</v>
      </c>
      <c r="J2926" s="14" t="n">
        <v>0</v>
      </c>
      <c r="K2926" s="14" t="n">
        <v>75029.49542092715</v>
      </c>
      <c r="L2926" s="14" t="n">
        <v>0</v>
      </c>
      <c r="M2926" s="14" t="n">
        <v>0</v>
      </c>
      <c r="N2926" s="14" t="n">
        <v>704849.4866430548</v>
      </c>
      <c r="O2926" s="14" t="n">
        <v>975978.9993775917</v>
      </c>
      <c r="P2926" s="14" t="n">
        <v>168414.1362905765</v>
      </c>
      <c r="Q2926" s="14" t="n">
        <v>6354826.963119656</v>
      </c>
      <c r="R2926" s="15">
        <f>IF(D2926=1,"Section 1","Control")</f>
        <v/>
      </c>
      <c r="S2926" s="16">
        <f>N2926/10000</f>
        <v/>
      </c>
      <c r="T2926" s="16">
        <f>P2926/10000</f>
        <v/>
      </c>
      <c r="U2926" s="15">
        <f>IF(N2926&gt;=Summary!$D$3,1,0)</f>
        <v/>
      </c>
      <c r="V2926" s="17">
        <f>IF(N2926&gt;0,P2926/N2926,"")</f>
        <v/>
      </c>
      <c r="W2926" s="17">
        <f>IF(O2926&gt;0,H2926/O2926,"")</f>
        <v/>
      </c>
    </row>
    <row r="2927">
      <c r="A2927" s="13" t="inlineStr">
        <is>
          <t>CW14_B2</t>
        </is>
      </c>
      <c r="B2927" s="13" t="inlineStr">
        <is>
          <t>CW14</t>
        </is>
      </c>
      <c r="C2927" s="13" t="inlineStr">
        <is>
          <t>B2</t>
        </is>
      </c>
      <c r="D2927" s="13" t="n">
        <v>0</v>
      </c>
      <c r="E2927" s="13" t="inlineStr">
        <is>
          <t>W</t>
        </is>
      </c>
      <c r="F2927" s="13" t="n">
        <v>2026</v>
      </c>
      <c r="G2927" s="14" t="n">
        <v>975978.9993775917</v>
      </c>
      <c r="H2927" s="14" t="n">
        <v>707539.9726526299</v>
      </c>
      <c r="I2927" s="14" t="n">
        <v>132115.4417932249</v>
      </c>
      <c r="J2927" s="14" t="n">
        <v>0</v>
      </c>
      <c r="K2927" s="14" t="n">
        <v>136323.5849317364</v>
      </c>
      <c r="L2927" s="14" t="n">
        <v>0</v>
      </c>
      <c r="M2927" s="14" t="n">
        <v>0</v>
      </c>
      <c r="N2927" s="14" t="n">
        <v>704849.4866430548</v>
      </c>
      <c r="O2927" s="14" t="n">
        <v>975978.9993775917</v>
      </c>
      <c r="P2927" s="14" t="n">
        <v>98079.17485127167</v>
      </c>
      <c r="Q2927" s="14" t="n">
        <v>6354826.963119656</v>
      </c>
      <c r="R2927" s="15">
        <f>IF(D2927=1,"Section 1","Control")</f>
        <v/>
      </c>
      <c r="S2927" s="16">
        <f>N2927/10000</f>
        <v/>
      </c>
      <c r="T2927" s="16">
        <f>P2927/10000</f>
        <v/>
      </c>
      <c r="U2927" s="15">
        <f>IF(N2927&gt;=Summary!$D$3,1,0)</f>
        <v/>
      </c>
      <c r="V2927" s="17">
        <f>IF(N2927&gt;0,P2927/N2927,"")</f>
        <v/>
      </c>
      <c r="W2927" s="17">
        <f>IF(O2927&gt;0,H2927/O2927,"")</f>
        <v/>
      </c>
    </row>
    <row r="2928">
      <c r="A2928" s="13" t="inlineStr">
        <is>
          <t>CW14_B3</t>
        </is>
      </c>
      <c r="B2928" s="13" t="inlineStr">
        <is>
          <t>CW14</t>
        </is>
      </c>
      <c r="C2928" s="13" t="inlineStr">
        <is>
          <t>B3</t>
        </is>
      </c>
      <c r="D2928" s="13" t="n">
        <v>0</v>
      </c>
      <c r="E2928" s="13" t="inlineStr">
        <is>
          <t>W</t>
        </is>
      </c>
      <c r="F2928" s="13" t="n">
        <v>2020</v>
      </c>
      <c r="G2928" s="14" t="n">
        <v>7805341.956489054</v>
      </c>
      <c r="H2928" s="14" t="n">
        <v>2474700.039508954</v>
      </c>
      <c r="I2928" s="14" t="n">
        <v>834377.7864286536</v>
      </c>
      <c r="J2928" s="14" t="n">
        <v>0</v>
      </c>
      <c r="K2928" s="14" t="n">
        <v>249885.8753207637</v>
      </c>
      <c r="L2928" s="14" t="n">
        <v>4246378.255230683</v>
      </c>
      <c r="M2928" s="14" t="n">
        <v>0</v>
      </c>
      <c r="N2928" s="14" t="n">
        <v>2474700.039508954</v>
      </c>
      <c r="O2928" s="14" t="n">
        <v>3558963.701258372</v>
      </c>
      <c r="P2928" s="14" t="n">
        <v>0</v>
      </c>
      <c r="Q2928" s="14" t="n">
        <v>16911884.16291202</v>
      </c>
      <c r="R2928" s="15">
        <f>IF(D2928=1,"Section 1","Control")</f>
        <v/>
      </c>
      <c r="S2928" s="16">
        <f>N2928/10000</f>
        <v/>
      </c>
      <c r="T2928" s="16">
        <f>P2928/10000</f>
        <v/>
      </c>
      <c r="U2928" s="15">
        <f>IF(N2928&gt;=Summary!$D$3,1,0)</f>
        <v/>
      </c>
      <c r="V2928" s="17">
        <f>IF(N2928&gt;0,P2928/N2928,"")</f>
        <v/>
      </c>
      <c r="W2928" s="17">
        <f>IF(O2928&gt;0,H2928/O2928,"")</f>
        <v/>
      </c>
    </row>
    <row r="2929">
      <c r="A2929" s="13" t="inlineStr">
        <is>
          <t>CW14_B3</t>
        </is>
      </c>
      <c r="B2929" s="13" t="inlineStr">
        <is>
          <t>CW14</t>
        </is>
      </c>
      <c r="C2929" s="13" t="inlineStr">
        <is>
          <t>B3</t>
        </is>
      </c>
      <c r="D2929" s="13" t="n">
        <v>0</v>
      </c>
      <c r="E2929" s="13" t="inlineStr">
        <is>
          <t>W</t>
        </is>
      </c>
      <c r="F2929" s="13" t="n">
        <v>2021</v>
      </c>
      <c r="G2929" s="14" t="n">
        <v>7805341.956489053</v>
      </c>
      <c r="H2929" s="14" t="n">
        <v>2488751.850262272</v>
      </c>
      <c r="I2929" s="14" t="n">
        <v>524992.2434107163</v>
      </c>
      <c r="J2929" s="14" t="n">
        <v>0</v>
      </c>
      <c r="K2929" s="14" t="n">
        <v>627886.8254181807</v>
      </c>
      <c r="L2929" s="14" t="n">
        <v>4163711.037397886</v>
      </c>
      <c r="M2929" s="14" t="n">
        <v>0</v>
      </c>
      <c r="N2929" s="14" t="n">
        <v>2474700.039508954</v>
      </c>
      <c r="O2929" s="14" t="n">
        <v>3558963.701258372</v>
      </c>
      <c r="P2929" s="14" t="n">
        <v>121903.6793067783</v>
      </c>
      <c r="Q2929" s="14" t="n">
        <v>16911884.16291202</v>
      </c>
      <c r="R2929" s="15">
        <f>IF(D2929=1,"Section 1","Control")</f>
        <v/>
      </c>
      <c r="S2929" s="16">
        <f>N2929/10000</f>
        <v/>
      </c>
      <c r="T2929" s="16">
        <f>P2929/10000</f>
        <v/>
      </c>
      <c r="U2929" s="15">
        <f>IF(N2929&gt;=Summary!$D$3,1,0)</f>
        <v/>
      </c>
      <c r="V2929" s="17">
        <f>IF(N2929&gt;0,P2929/N2929,"")</f>
        <v/>
      </c>
      <c r="W2929" s="17">
        <f>IF(O2929&gt;0,H2929/O2929,"")</f>
        <v/>
      </c>
    </row>
    <row r="2930">
      <c r="A2930" s="13" t="inlineStr">
        <is>
          <t>CW14_B3</t>
        </is>
      </c>
      <c r="B2930" s="13" t="inlineStr">
        <is>
          <t>CW14</t>
        </is>
      </c>
      <c r="C2930" s="13" t="inlineStr">
        <is>
          <t>B3</t>
        </is>
      </c>
      <c r="D2930" s="13" t="n">
        <v>0</v>
      </c>
      <c r="E2930" s="13" t="inlineStr">
        <is>
          <t>W</t>
        </is>
      </c>
      <c r="F2930" s="13" t="n">
        <v>2022</v>
      </c>
      <c r="G2930" s="14" t="n">
        <v>7805341.956489054</v>
      </c>
      <c r="H2930" s="14" t="n">
        <v>2428443.424461514</v>
      </c>
      <c r="I2930" s="14" t="n">
        <v>748811.8303356994</v>
      </c>
      <c r="J2930" s="14" t="n">
        <v>0</v>
      </c>
      <c r="K2930" s="14" t="n">
        <v>521158.702242324</v>
      </c>
      <c r="L2930" s="14" t="n">
        <v>4106927.999449517</v>
      </c>
      <c r="M2930" s="14" t="n">
        <v>0</v>
      </c>
      <c r="N2930" s="14" t="n">
        <v>2474700.039508954</v>
      </c>
      <c r="O2930" s="14" t="n">
        <v>3558963.701258373</v>
      </c>
      <c r="P2930" s="14" t="n">
        <v>163352.2816469978</v>
      </c>
      <c r="Q2930" s="14" t="n">
        <v>16911884.16291202</v>
      </c>
      <c r="R2930" s="15">
        <f>IF(D2930=1,"Section 1","Control")</f>
        <v/>
      </c>
      <c r="S2930" s="16">
        <f>N2930/10000</f>
        <v/>
      </c>
      <c r="T2930" s="16">
        <f>P2930/10000</f>
        <v/>
      </c>
      <c r="U2930" s="15">
        <f>IF(N2930&gt;=Summary!$D$3,1,0)</f>
        <v/>
      </c>
      <c r="V2930" s="17">
        <f>IF(N2930&gt;0,P2930/N2930,"")</f>
        <v/>
      </c>
      <c r="W2930" s="17">
        <f>IF(O2930&gt;0,H2930/O2930,"")</f>
        <v/>
      </c>
    </row>
    <row r="2931">
      <c r="A2931" s="13" t="inlineStr">
        <is>
          <t>CW14_B3</t>
        </is>
      </c>
      <c r="B2931" s="13" t="inlineStr">
        <is>
          <t>CW14</t>
        </is>
      </c>
      <c r="C2931" s="13" t="inlineStr">
        <is>
          <t>B3</t>
        </is>
      </c>
      <c r="D2931" s="13" t="n">
        <v>0</v>
      </c>
      <c r="E2931" s="13" t="inlineStr">
        <is>
          <t>W</t>
        </is>
      </c>
      <c r="F2931" s="13" t="n">
        <v>2023</v>
      </c>
      <c r="G2931" s="14" t="n">
        <v>7805341.956489054</v>
      </c>
      <c r="H2931" s="14" t="n">
        <v>2570074.760720286</v>
      </c>
      <c r="I2931" s="14" t="n">
        <v>584643.3835576377</v>
      </c>
      <c r="J2931" s="14" t="n">
        <v>0</v>
      </c>
      <c r="K2931" s="14" t="n">
        <v>355060.444803036</v>
      </c>
      <c r="L2931" s="14" t="n">
        <v>4295563.367408094</v>
      </c>
      <c r="M2931" s="14" t="n">
        <v>0</v>
      </c>
      <c r="N2931" s="14" t="n">
        <v>2474700.039508954</v>
      </c>
      <c r="O2931" s="14" t="n">
        <v>3558963.701258372</v>
      </c>
      <c r="P2931" s="14" t="n">
        <v>159272.3149616316</v>
      </c>
      <c r="Q2931" s="14" t="n">
        <v>16911884.16291202</v>
      </c>
      <c r="R2931" s="15">
        <f>IF(D2931=1,"Section 1","Control")</f>
        <v/>
      </c>
      <c r="S2931" s="16">
        <f>N2931/10000</f>
        <v/>
      </c>
      <c r="T2931" s="16">
        <f>P2931/10000</f>
        <v/>
      </c>
      <c r="U2931" s="15">
        <f>IF(N2931&gt;=Summary!$D$3,1,0)</f>
        <v/>
      </c>
      <c r="V2931" s="17">
        <f>IF(N2931&gt;0,P2931/N2931,"")</f>
        <v/>
      </c>
      <c r="W2931" s="17">
        <f>IF(O2931&gt;0,H2931/O2931,"")</f>
        <v/>
      </c>
    </row>
    <row r="2932">
      <c r="A2932" s="13" t="inlineStr">
        <is>
          <t>CW14_B3</t>
        </is>
      </c>
      <c r="B2932" s="13" t="inlineStr">
        <is>
          <t>CW14</t>
        </is>
      </c>
      <c r="C2932" s="13" t="inlineStr">
        <is>
          <t>B3</t>
        </is>
      </c>
      <c r="D2932" s="13" t="n">
        <v>0</v>
      </c>
      <c r="E2932" s="13" t="inlineStr">
        <is>
          <t>W</t>
        </is>
      </c>
      <c r="F2932" s="13" t="n">
        <v>2024</v>
      </c>
      <c r="G2932" s="14" t="n">
        <v>7805341.956489054</v>
      </c>
      <c r="H2932" s="14" t="n">
        <v>2597198.078149085</v>
      </c>
      <c r="I2932" s="14" t="n">
        <v>546827.2124282836</v>
      </c>
      <c r="J2932" s="14" t="n">
        <v>0</v>
      </c>
      <c r="K2932" s="14" t="n">
        <v>384770.0900936352</v>
      </c>
      <c r="L2932" s="14" t="n">
        <v>4276546.575818051</v>
      </c>
      <c r="M2932" s="14" t="n">
        <v>0</v>
      </c>
      <c r="N2932" s="14" t="n">
        <v>2474700.039508954</v>
      </c>
      <c r="O2932" s="14" t="n">
        <v>3558963.701258372</v>
      </c>
      <c r="P2932" s="14" t="n">
        <v>178443.1474022061</v>
      </c>
      <c r="Q2932" s="14" t="n">
        <v>16911884.16291202</v>
      </c>
      <c r="R2932" s="15">
        <f>IF(D2932=1,"Section 1","Control")</f>
        <v/>
      </c>
      <c r="S2932" s="16">
        <f>N2932/10000</f>
        <v/>
      </c>
      <c r="T2932" s="16">
        <f>P2932/10000</f>
        <v/>
      </c>
      <c r="U2932" s="15">
        <f>IF(N2932&gt;=Summary!$D$3,1,0)</f>
        <v/>
      </c>
      <c r="V2932" s="17">
        <f>IF(N2932&gt;0,P2932/N2932,"")</f>
        <v/>
      </c>
      <c r="W2932" s="17">
        <f>IF(O2932&gt;0,H2932/O2932,"")</f>
        <v/>
      </c>
    </row>
    <row r="2933">
      <c r="A2933" s="13" t="inlineStr">
        <is>
          <t>CW14_B3</t>
        </is>
      </c>
      <c r="B2933" s="13" t="inlineStr">
        <is>
          <t>CW14</t>
        </is>
      </c>
      <c r="C2933" s="13" t="inlineStr">
        <is>
          <t>B3</t>
        </is>
      </c>
      <c r="D2933" s="13" t="n">
        <v>0</v>
      </c>
      <c r="E2933" s="13" t="inlineStr">
        <is>
          <t>W</t>
        </is>
      </c>
      <c r="F2933" s="13" t="n">
        <v>2025</v>
      </c>
      <c r="G2933" s="14" t="n">
        <v>7805341.956489054</v>
      </c>
      <c r="H2933" s="14" t="n">
        <v>2702391.437882277</v>
      </c>
      <c r="I2933" s="14" t="n">
        <v>467239.9799652101</v>
      </c>
      <c r="J2933" s="14" t="n">
        <v>0</v>
      </c>
      <c r="K2933" s="14" t="n">
        <v>369166.8288675047</v>
      </c>
      <c r="L2933" s="14" t="n">
        <v>4266543.709774062</v>
      </c>
      <c r="M2933" s="14" t="n">
        <v>0</v>
      </c>
      <c r="N2933" s="14" t="n">
        <v>2474700.039508954</v>
      </c>
      <c r="O2933" s="14" t="n">
        <v>3558963.701258372</v>
      </c>
      <c r="P2933" s="14" t="n">
        <v>189381.434046218</v>
      </c>
      <c r="Q2933" s="14" t="n">
        <v>16911884.16291201</v>
      </c>
      <c r="R2933" s="15">
        <f>IF(D2933=1,"Section 1","Control")</f>
        <v/>
      </c>
      <c r="S2933" s="16">
        <f>N2933/10000</f>
        <v/>
      </c>
      <c r="T2933" s="16">
        <f>P2933/10000</f>
        <v/>
      </c>
      <c r="U2933" s="15">
        <f>IF(N2933&gt;=Summary!$D$3,1,0)</f>
        <v/>
      </c>
      <c r="V2933" s="17">
        <f>IF(N2933&gt;0,P2933/N2933,"")</f>
        <v/>
      </c>
      <c r="W2933" s="17">
        <f>IF(O2933&gt;0,H2933/O2933,"")</f>
        <v/>
      </c>
    </row>
    <row r="2934">
      <c r="A2934" s="13" t="inlineStr">
        <is>
          <t>CW14_B3</t>
        </is>
      </c>
      <c r="B2934" s="13" t="inlineStr">
        <is>
          <t>CW14</t>
        </is>
      </c>
      <c r="C2934" s="13" t="inlineStr">
        <is>
          <t>B3</t>
        </is>
      </c>
      <c r="D2934" s="13" t="n">
        <v>0</v>
      </c>
      <c r="E2934" s="13" t="inlineStr">
        <is>
          <t>W</t>
        </is>
      </c>
      <c r="F2934" s="13" t="n">
        <v>2026</v>
      </c>
      <c r="G2934" s="14" t="n">
        <v>7805341.956489054</v>
      </c>
      <c r="H2934" s="14" t="n">
        <v>2546997.436050145</v>
      </c>
      <c r="I2934" s="14" t="n">
        <v>493375.6671895944</v>
      </c>
      <c r="J2934" s="14" t="n">
        <v>0</v>
      </c>
      <c r="K2934" s="14" t="n">
        <v>458122.8937827016</v>
      </c>
      <c r="L2934" s="14" t="n">
        <v>4306845.959466612</v>
      </c>
      <c r="M2934" s="14" t="n">
        <v>0</v>
      </c>
      <c r="N2934" s="14" t="n">
        <v>2474700.039508954</v>
      </c>
      <c r="O2934" s="14" t="n">
        <v>3558963.701258372</v>
      </c>
      <c r="P2934" s="14" t="n">
        <v>218366.829795239</v>
      </c>
      <c r="Q2934" s="14" t="n">
        <v>16911884.16291202</v>
      </c>
      <c r="R2934" s="15">
        <f>IF(D2934=1,"Section 1","Control")</f>
        <v/>
      </c>
      <c r="S2934" s="16">
        <f>N2934/10000</f>
        <v/>
      </c>
      <c r="T2934" s="16">
        <f>P2934/10000</f>
        <v/>
      </c>
      <c r="U2934" s="15">
        <f>IF(N2934&gt;=Summary!$D$3,1,0)</f>
        <v/>
      </c>
      <c r="V2934" s="17">
        <f>IF(N2934&gt;0,P2934/N2934,"")</f>
        <v/>
      </c>
      <c r="W2934" s="17">
        <f>IF(O2934&gt;0,H2934/O2934,"")</f>
        <v/>
      </c>
    </row>
    <row r="2935">
      <c r="A2935" s="13" t="inlineStr">
        <is>
          <t>CW14_F</t>
        </is>
      </c>
      <c r="B2935" s="13" t="inlineStr">
        <is>
          <t>CW14</t>
        </is>
      </c>
      <c r="C2935" s="13" t="inlineStr">
        <is>
          <t>F</t>
        </is>
      </c>
      <c r="D2935" s="13" t="n">
        <v>0</v>
      </c>
      <c r="E2935" s="13" t="inlineStr">
        <is>
          <t>W</t>
        </is>
      </c>
      <c r="F2935" s="13" t="n">
        <v>2020</v>
      </c>
      <c r="G2935" s="14" t="n">
        <v>67791.17212850536</v>
      </c>
      <c r="H2935" s="14" t="n">
        <v>30634.1021496941</v>
      </c>
      <c r="I2935" s="14" t="n">
        <v>33221.14327401554</v>
      </c>
      <c r="J2935" s="14" t="n">
        <v>0</v>
      </c>
      <c r="K2935" s="14" t="n">
        <v>3935.926704795689</v>
      </c>
      <c r="L2935" s="14" t="n">
        <v>0</v>
      </c>
      <c r="M2935" s="14" t="n">
        <v>0</v>
      </c>
      <c r="N2935" s="14" t="n">
        <v>30634.1021496941</v>
      </c>
      <c r="O2935" s="14" t="n">
        <v>67791.17212850536</v>
      </c>
      <c r="P2935" s="14" t="n">
        <v>0</v>
      </c>
      <c r="Q2935" s="14" t="n">
        <v>480666.261750943</v>
      </c>
      <c r="R2935" s="15">
        <f>IF(D2935=1,"Section 1","Control")</f>
        <v/>
      </c>
      <c r="S2935" s="16">
        <f>N2935/10000</f>
        <v/>
      </c>
      <c r="T2935" s="16">
        <f>P2935/10000</f>
        <v/>
      </c>
      <c r="U2935" s="15">
        <f>IF(N2935&gt;=Summary!$D$3,1,0)</f>
        <v/>
      </c>
      <c r="V2935" s="17">
        <f>IF(N2935&gt;0,P2935/N2935,"")</f>
        <v/>
      </c>
      <c r="W2935" s="17">
        <f>IF(O2935&gt;0,H2935/O2935,"")</f>
        <v/>
      </c>
    </row>
    <row r="2936">
      <c r="A2936" s="13" t="inlineStr">
        <is>
          <t>CW14_F</t>
        </is>
      </c>
      <c r="B2936" s="13" t="inlineStr">
        <is>
          <t>CW14</t>
        </is>
      </c>
      <c r="C2936" s="13" t="inlineStr">
        <is>
          <t>F</t>
        </is>
      </c>
      <c r="D2936" s="13" t="n">
        <v>0</v>
      </c>
      <c r="E2936" s="13" t="inlineStr">
        <is>
          <t>W</t>
        </is>
      </c>
      <c r="F2936" s="13" t="n">
        <v>2021</v>
      </c>
      <c r="G2936" s="14" t="n">
        <v>67791.17212850536</v>
      </c>
      <c r="H2936" s="14" t="n">
        <v>23124.24856767841</v>
      </c>
      <c r="I2936" s="14" t="n">
        <v>20195.72589335722</v>
      </c>
      <c r="J2936" s="14" t="n">
        <v>0</v>
      </c>
      <c r="K2936" s="14" t="n">
        <v>24471.1976674697</v>
      </c>
      <c r="L2936" s="14" t="n">
        <v>0</v>
      </c>
      <c r="M2936" s="14" t="n">
        <v>0</v>
      </c>
      <c r="N2936" s="14" t="n">
        <v>30634.1021496941</v>
      </c>
      <c r="O2936" s="14" t="n">
        <v>67791.17212850536</v>
      </c>
      <c r="P2936" s="14" t="n">
        <v>7608.580854049384</v>
      </c>
      <c r="Q2936" s="14" t="n">
        <v>480666.261750943</v>
      </c>
      <c r="R2936" s="15">
        <f>IF(D2936=1,"Section 1","Control")</f>
        <v/>
      </c>
      <c r="S2936" s="16">
        <f>N2936/10000</f>
        <v/>
      </c>
      <c r="T2936" s="16">
        <f>P2936/10000</f>
        <v/>
      </c>
      <c r="U2936" s="15">
        <f>IF(N2936&gt;=Summary!$D$3,1,0)</f>
        <v/>
      </c>
      <c r="V2936" s="17">
        <f>IF(N2936&gt;0,P2936/N2936,"")</f>
        <v/>
      </c>
      <c r="W2936" s="17">
        <f>IF(O2936&gt;0,H2936/O2936,"")</f>
        <v/>
      </c>
    </row>
    <row r="2937">
      <c r="A2937" s="13" t="inlineStr">
        <is>
          <t>CW14_F</t>
        </is>
      </c>
      <c r="B2937" s="13" t="inlineStr">
        <is>
          <t>CW14</t>
        </is>
      </c>
      <c r="C2937" s="13" t="inlineStr">
        <is>
          <t>F</t>
        </is>
      </c>
      <c r="D2937" s="13" t="n">
        <v>0</v>
      </c>
      <c r="E2937" s="13" t="inlineStr">
        <is>
          <t>W</t>
        </is>
      </c>
      <c r="F2937" s="13" t="n">
        <v>2022</v>
      </c>
      <c r="G2937" s="14" t="n">
        <v>67791.17212850536</v>
      </c>
      <c r="H2937" s="14" t="n">
        <v>21766.45855982164</v>
      </c>
      <c r="I2937" s="14" t="n">
        <v>37327.03523254395</v>
      </c>
      <c r="J2937" s="14" t="n">
        <v>0</v>
      </c>
      <c r="K2937" s="14" t="n">
        <v>8697.678336139754</v>
      </c>
      <c r="L2937" s="14" t="n">
        <v>0</v>
      </c>
      <c r="M2937" s="14" t="n">
        <v>0</v>
      </c>
      <c r="N2937" s="14" t="n">
        <v>30634.1021496941</v>
      </c>
      <c r="O2937" s="14" t="n">
        <v>67791.17212850536</v>
      </c>
      <c r="P2937" s="14" t="n">
        <v>8867.643589872472</v>
      </c>
      <c r="Q2937" s="14" t="n">
        <v>480666.261750943</v>
      </c>
      <c r="R2937" s="15">
        <f>IF(D2937=1,"Section 1","Control")</f>
        <v/>
      </c>
      <c r="S2937" s="16">
        <f>N2937/10000</f>
        <v/>
      </c>
      <c r="T2937" s="16">
        <f>P2937/10000</f>
        <v/>
      </c>
      <c r="U2937" s="15">
        <f>IF(N2937&gt;=Summary!$D$3,1,0)</f>
        <v/>
      </c>
      <c r="V2937" s="17">
        <f>IF(N2937&gt;0,P2937/N2937,"")</f>
        <v/>
      </c>
      <c r="W2937" s="17">
        <f>IF(O2937&gt;0,H2937/O2937,"")</f>
        <v/>
      </c>
    </row>
    <row r="2938">
      <c r="A2938" s="13" t="inlineStr">
        <is>
          <t>CW14_F</t>
        </is>
      </c>
      <c r="B2938" s="13" t="inlineStr">
        <is>
          <t>CW14</t>
        </is>
      </c>
      <c r="C2938" s="13" t="inlineStr">
        <is>
          <t>F</t>
        </is>
      </c>
      <c r="D2938" s="13" t="n">
        <v>0</v>
      </c>
      <c r="E2938" s="13" t="inlineStr">
        <is>
          <t>W</t>
        </is>
      </c>
      <c r="F2938" s="13" t="n">
        <v>2023</v>
      </c>
      <c r="G2938" s="14" t="n">
        <v>67791.17212850536</v>
      </c>
      <c r="H2938" s="14" t="n">
        <v>8574.172826430377</v>
      </c>
      <c r="I2938" s="14" t="n">
        <v>51162.78945545876</v>
      </c>
      <c r="J2938" s="14" t="n">
        <v>0</v>
      </c>
      <c r="K2938" s="14" t="n">
        <v>8054.209846616257</v>
      </c>
      <c r="L2938" s="14" t="n">
        <v>0</v>
      </c>
      <c r="M2938" s="14" t="n">
        <v>0</v>
      </c>
      <c r="N2938" s="14" t="n">
        <v>30634.1021496941</v>
      </c>
      <c r="O2938" s="14" t="n">
        <v>67791.17212850536</v>
      </c>
      <c r="P2938" s="14" t="n">
        <v>22257.38392073687</v>
      </c>
      <c r="Q2938" s="14" t="n">
        <v>480666.261750943</v>
      </c>
      <c r="R2938" s="15">
        <f>IF(D2938=1,"Section 1","Control")</f>
        <v/>
      </c>
      <c r="S2938" s="16">
        <f>N2938/10000</f>
        <v/>
      </c>
      <c r="T2938" s="16">
        <f>P2938/10000</f>
        <v/>
      </c>
      <c r="U2938" s="15">
        <f>IF(N2938&gt;=Summary!$D$3,1,0)</f>
        <v/>
      </c>
      <c r="V2938" s="17">
        <f>IF(N2938&gt;0,P2938/N2938,"")</f>
        <v/>
      </c>
      <c r="W2938" s="17">
        <f>IF(O2938&gt;0,H2938/O2938,"")</f>
        <v/>
      </c>
    </row>
    <row r="2939">
      <c r="A2939" s="13" t="inlineStr">
        <is>
          <t>CW14_F</t>
        </is>
      </c>
      <c r="B2939" s="13" t="inlineStr">
        <is>
          <t>CW14</t>
        </is>
      </c>
      <c r="C2939" s="13" t="inlineStr">
        <is>
          <t>F</t>
        </is>
      </c>
      <c r="D2939" s="13" t="n">
        <v>0</v>
      </c>
      <c r="E2939" s="13" t="inlineStr">
        <is>
          <t>W</t>
        </is>
      </c>
      <c r="F2939" s="13" t="n">
        <v>2024</v>
      </c>
      <c r="G2939" s="14" t="n">
        <v>67791.17212850536</v>
      </c>
      <c r="H2939" s="14" t="n">
        <v>8532.745351035923</v>
      </c>
      <c r="I2939" s="14" t="n">
        <v>46112.60188945696</v>
      </c>
      <c r="J2939" s="14" t="n">
        <v>0</v>
      </c>
      <c r="K2939" s="14" t="n">
        <v>13145.82488801246</v>
      </c>
      <c r="L2939" s="14" t="n">
        <v>0</v>
      </c>
      <c r="M2939" s="14" t="n">
        <v>0</v>
      </c>
      <c r="N2939" s="14" t="n">
        <v>30634.1021496941</v>
      </c>
      <c r="O2939" s="14" t="n">
        <v>67791.17212850536</v>
      </c>
      <c r="P2939" s="14" t="n">
        <v>22372.76009871539</v>
      </c>
      <c r="Q2939" s="14" t="n">
        <v>480666.261750943</v>
      </c>
      <c r="R2939" s="15">
        <f>IF(D2939=1,"Section 1","Control")</f>
        <v/>
      </c>
      <c r="S2939" s="16">
        <f>N2939/10000</f>
        <v/>
      </c>
      <c r="T2939" s="16">
        <f>P2939/10000</f>
        <v/>
      </c>
      <c r="U2939" s="15">
        <f>IF(N2939&gt;=Summary!$D$3,1,0)</f>
        <v/>
      </c>
      <c r="V2939" s="17">
        <f>IF(N2939&gt;0,P2939/N2939,"")</f>
        <v/>
      </c>
      <c r="W2939" s="17">
        <f>IF(O2939&gt;0,H2939/O2939,"")</f>
        <v/>
      </c>
    </row>
    <row r="2940">
      <c r="A2940" s="13" t="inlineStr">
        <is>
          <t>CW14_F</t>
        </is>
      </c>
      <c r="B2940" s="13" t="inlineStr">
        <is>
          <t>CW14</t>
        </is>
      </c>
      <c r="C2940" s="13" t="inlineStr">
        <is>
          <t>F</t>
        </is>
      </c>
      <c r="D2940" s="13" t="n">
        <v>0</v>
      </c>
      <c r="E2940" s="13" t="inlineStr">
        <is>
          <t>W</t>
        </is>
      </c>
      <c r="F2940" s="13" t="n">
        <v>2025</v>
      </c>
      <c r="G2940" s="14" t="n">
        <v>67791.17212850536</v>
      </c>
      <c r="H2940" s="14" t="n">
        <v>6656.540247300092</v>
      </c>
      <c r="I2940" s="14" t="n">
        <v>57050.0337623447</v>
      </c>
      <c r="J2940" s="14" t="n">
        <v>0</v>
      </c>
      <c r="K2940" s="14" t="n">
        <v>4084.598118860582</v>
      </c>
      <c r="L2940" s="14" t="n">
        <v>0</v>
      </c>
      <c r="M2940" s="14" t="n">
        <v>0</v>
      </c>
      <c r="N2940" s="14" t="n">
        <v>30634.1021496941</v>
      </c>
      <c r="O2940" s="14" t="n">
        <v>67791.17212850536</v>
      </c>
      <c r="P2940" s="14" t="n">
        <v>23977.56190239401</v>
      </c>
      <c r="Q2940" s="14" t="n">
        <v>480666.261750943</v>
      </c>
      <c r="R2940" s="15">
        <f>IF(D2940=1,"Section 1","Control")</f>
        <v/>
      </c>
      <c r="S2940" s="16">
        <f>N2940/10000</f>
        <v/>
      </c>
      <c r="T2940" s="16">
        <f>P2940/10000</f>
        <v/>
      </c>
      <c r="U2940" s="15">
        <f>IF(N2940&gt;=Summary!$D$3,1,0)</f>
        <v/>
      </c>
      <c r="V2940" s="17">
        <f>IF(N2940&gt;0,P2940/N2940,"")</f>
        <v/>
      </c>
      <c r="W2940" s="17">
        <f>IF(O2940&gt;0,H2940/O2940,"")</f>
        <v/>
      </c>
    </row>
    <row r="2941">
      <c r="A2941" s="13" t="inlineStr">
        <is>
          <t>CW14_F</t>
        </is>
      </c>
      <c r="B2941" s="13" t="inlineStr">
        <is>
          <t>CW14</t>
        </is>
      </c>
      <c r="C2941" s="13" t="inlineStr">
        <is>
          <t>F</t>
        </is>
      </c>
      <c r="D2941" s="13" t="n">
        <v>0</v>
      </c>
      <c r="E2941" s="13" t="inlineStr">
        <is>
          <t>W</t>
        </is>
      </c>
      <c r="F2941" s="13" t="n">
        <v>2026</v>
      </c>
      <c r="G2941" s="14" t="n">
        <v>67791.17212850536</v>
      </c>
      <c r="H2941" s="14" t="n">
        <v>8199.395701509364</v>
      </c>
      <c r="I2941" s="14" t="n">
        <v>49467.77930863322</v>
      </c>
      <c r="J2941" s="14" t="n">
        <v>0</v>
      </c>
      <c r="K2941" s="14" t="n">
        <v>10123.99711836272</v>
      </c>
      <c r="L2941" s="14" t="n">
        <v>0</v>
      </c>
      <c r="M2941" s="14" t="n">
        <v>0</v>
      </c>
      <c r="N2941" s="14" t="n">
        <v>30634.1021496941</v>
      </c>
      <c r="O2941" s="14" t="n">
        <v>67791.17212850536</v>
      </c>
      <c r="P2941" s="14" t="n">
        <v>22619.77172088622</v>
      </c>
      <c r="Q2941" s="14" t="n">
        <v>480666.261750943</v>
      </c>
      <c r="R2941" s="15">
        <f>IF(D2941=1,"Section 1","Control")</f>
        <v/>
      </c>
      <c r="S2941" s="16">
        <f>N2941/10000</f>
        <v/>
      </c>
      <c r="T2941" s="16">
        <f>P2941/10000</f>
        <v/>
      </c>
      <c r="U2941" s="15">
        <f>IF(N2941&gt;=Summary!$D$3,1,0)</f>
        <v/>
      </c>
      <c r="V2941" s="17">
        <f>IF(N2941&gt;0,P2941/N2941,"")</f>
        <v/>
      </c>
      <c r="W2941" s="17">
        <f>IF(O2941&gt;0,H2941/O2941,"")</f>
        <v/>
      </c>
    </row>
    <row r="2942">
      <c r="A2942" s="13" t="inlineStr">
        <is>
          <t>CW15_B1</t>
        </is>
      </c>
      <c r="B2942" s="13" t="inlineStr">
        <is>
          <t>CW15</t>
        </is>
      </c>
      <c r="C2942" s="13" t="inlineStr">
        <is>
          <t>B1</t>
        </is>
      </c>
      <c r="D2942" s="13" t="n">
        <v>0</v>
      </c>
      <c r="E2942" s="13" t="inlineStr">
        <is>
          <t>W</t>
        </is>
      </c>
      <c r="F2942" s="13" t="n">
        <v>2020</v>
      </c>
      <c r="G2942" s="14" t="n">
        <v>1000323.009412728</v>
      </c>
      <c r="H2942" s="14" t="n">
        <v>729200.7224121097</v>
      </c>
      <c r="I2942" s="14" t="n">
        <v>171703.6200527117</v>
      </c>
      <c r="J2942" s="14" t="n">
        <v>0</v>
      </c>
      <c r="K2942" s="14" t="n">
        <v>99418.66694790708</v>
      </c>
      <c r="L2942" s="14" t="n">
        <v>0</v>
      </c>
      <c r="M2942" s="14" t="n">
        <v>0</v>
      </c>
      <c r="N2942" s="14" t="n">
        <v>729200.7224121097</v>
      </c>
      <c r="O2942" s="14" t="n">
        <v>1000323.009412728</v>
      </c>
      <c r="P2942" s="14" t="n">
        <v>0</v>
      </c>
      <c r="Q2942" s="14" t="n">
        <v>7493606.007595886</v>
      </c>
      <c r="R2942" s="15">
        <f>IF(D2942=1,"Section 1","Control")</f>
        <v/>
      </c>
      <c r="S2942" s="16">
        <f>N2942/10000</f>
        <v/>
      </c>
      <c r="T2942" s="16">
        <f>P2942/10000</f>
        <v/>
      </c>
      <c r="U2942" s="15">
        <f>IF(N2942&gt;=Summary!$D$3,1,0)</f>
        <v/>
      </c>
      <c r="V2942" s="17">
        <f>IF(N2942&gt;0,P2942/N2942,"")</f>
        <v/>
      </c>
      <c r="W2942" s="17">
        <f>IF(O2942&gt;0,H2942/O2942,"")</f>
        <v/>
      </c>
    </row>
    <row r="2943">
      <c r="A2943" s="13" t="inlineStr">
        <is>
          <t>CW15_B1</t>
        </is>
      </c>
      <c r="B2943" s="13" t="inlineStr">
        <is>
          <t>CW15</t>
        </is>
      </c>
      <c r="C2943" s="13" t="inlineStr">
        <is>
          <t>B1</t>
        </is>
      </c>
      <c r="D2943" s="13" t="n">
        <v>0</v>
      </c>
      <c r="E2943" s="13" t="inlineStr">
        <is>
          <t>W</t>
        </is>
      </c>
      <c r="F2943" s="13" t="n">
        <v>2021</v>
      </c>
      <c r="G2943" s="14" t="n">
        <v>1000323.009412728</v>
      </c>
      <c r="H2943" s="14" t="n">
        <v>515484.676501196</v>
      </c>
      <c r="I2943" s="14" t="n">
        <v>54932.2744642669</v>
      </c>
      <c r="J2943" s="14" t="n">
        <v>0</v>
      </c>
      <c r="K2943" s="14" t="n">
        <v>429906.0584472658</v>
      </c>
      <c r="L2943" s="14" t="n">
        <v>0</v>
      </c>
      <c r="M2943" s="14" t="n">
        <v>0</v>
      </c>
      <c r="N2943" s="14" t="n">
        <v>729200.7224121098</v>
      </c>
      <c r="O2943" s="14" t="n">
        <v>1000323.009412728</v>
      </c>
      <c r="P2943" s="14" t="n">
        <v>237563.9839137659</v>
      </c>
      <c r="Q2943" s="14" t="n">
        <v>7493606.007595887</v>
      </c>
      <c r="R2943" s="15">
        <f>IF(D2943=1,"Section 1","Control")</f>
        <v/>
      </c>
      <c r="S2943" s="16">
        <f>N2943/10000</f>
        <v/>
      </c>
      <c r="T2943" s="16">
        <f>P2943/10000</f>
        <v/>
      </c>
      <c r="U2943" s="15">
        <f>IF(N2943&gt;=Summary!$D$3,1,0)</f>
        <v/>
      </c>
      <c r="V2943" s="17">
        <f>IF(N2943&gt;0,P2943/N2943,"")</f>
        <v/>
      </c>
      <c r="W2943" s="17">
        <f>IF(O2943&gt;0,H2943/O2943,"")</f>
        <v/>
      </c>
    </row>
    <row r="2944">
      <c r="A2944" s="13" t="inlineStr">
        <is>
          <t>CW15_B1</t>
        </is>
      </c>
      <c r="B2944" s="13" t="inlineStr">
        <is>
          <t>CW15</t>
        </is>
      </c>
      <c r="C2944" s="13" t="inlineStr">
        <is>
          <t>B1</t>
        </is>
      </c>
      <c r="D2944" s="13" t="n">
        <v>0</v>
      </c>
      <c r="E2944" s="13" t="inlineStr">
        <is>
          <t>W</t>
        </is>
      </c>
      <c r="F2944" s="13" t="n">
        <v>2022</v>
      </c>
      <c r="G2944" s="14" t="n">
        <v>1000323.009412728</v>
      </c>
      <c r="H2944" s="14" t="n">
        <v>389184.1223243568</v>
      </c>
      <c r="I2944" s="14" t="n">
        <v>361837.5479355757</v>
      </c>
      <c r="J2944" s="14" t="n">
        <v>0</v>
      </c>
      <c r="K2944" s="14" t="n">
        <v>249301.3391527962</v>
      </c>
      <c r="L2944" s="14" t="n">
        <v>0</v>
      </c>
      <c r="M2944" s="14" t="n">
        <v>0</v>
      </c>
      <c r="N2944" s="14" t="n">
        <v>729200.7224121097</v>
      </c>
      <c r="O2944" s="14" t="n">
        <v>1000323.009412728</v>
      </c>
      <c r="P2944" s="14" t="n">
        <v>345051.6964546354</v>
      </c>
      <c r="Q2944" s="14" t="n">
        <v>7493606.007595886</v>
      </c>
      <c r="R2944" s="15">
        <f>IF(D2944=1,"Section 1","Control")</f>
        <v/>
      </c>
      <c r="S2944" s="16">
        <f>N2944/10000</f>
        <v/>
      </c>
      <c r="T2944" s="16">
        <f>P2944/10000</f>
        <v/>
      </c>
      <c r="U2944" s="15">
        <f>IF(N2944&gt;=Summary!$D$3,1,0)</f>
        <v/>
      </c>
      <c r="V2944" s="17">
        <f>IF(N2944&gt;0,P2944/N2944,"")</f>
        <v/>
      </c>
      <c r="W2944" s="17">
        <f>IF(O2944&gt;0,H2944/O2944,"")</f>
        <v/>
      </c>
    </row>
    <row r="2945">
      <c r="A2945" s="13" t="inlineStr">
        <is>
          <t>CW15_B1</t>
        </is>
      </c>
      <c r="B2945" s="13" t="inlineStr">
        <is>
          <t>CW15</t>
        </is>
      </c>
      <c r="C2945" s="13" t="inlineStr">
        <is>
          <t>B1</t>
        </is>
      </c>
      <c r="D2945" s="13" t="n">
        <v>0</v>
      </c>
      <c r="E2945" s="13" t="inlineStr">
        <is>
          <t>W</t>
        </is>
      </c>
      <c r="F2945" s="13" t="n">
        <v>2023</v>
      </c>
      <c r="G2945" s="14" t="n">
        <v>1000323.009412728</v>
      </c>
      <c r="H2945" s="14" t="n">
        <v>414556.7762493063</v>
      </c>
      <c r="I2945" s="14" t="n">
        <v>371022.2716047998</v>
      </c>
      <c r="J2945" s="14" t="n">
        <v>0</v>
      </c>
      <c r="K2945" s="14" t="n">
        <v>214743.9615586225</v>
      </c>
      <c r="L2945" s="14" t="n">
        <v>0</v>
      </c>
      <c r="M2945" s="14" t="n">
        <v>0</v>
      </c>
      <c r="N2945" s="14" t="n">
        <v>729200.7224121098</v>
      </c>
      <c r="O2945" s="14" t="n">
        <v>1000323.009412728</v>
      </c>
      <c r="P2945" s="14" t="n">
        <v>326401.4232125974</v>
      </c>
      <c r="Q2945" s="14" t="n">
        <v>7493606.007595887</v>
      </c>
      <c r="R2945" s="15">
        <f>IF(D2945=1,"Section 1","Control")</f>
        <v/>
      </c>
      <c r="S2945" s="16">
        <f>N2945/10000</f>
        <v/>
      </c>
      <c r="T2945" s="16">
        <f>P2945/10000</f>
        <v/>
      </c>
      <c r="U2945" s="15">
        <f>IF(N2945&gt;=Summary!$D$3,1,0)</f>
        <v/>
      </c>
      <c r="V2945" s="17">
        <f>IF(N2945&gt;0,P2945/N2945,"")</f>
        <v/>
      </c>
      <c r="W2945" s="17">
        <f>IF(O2945&gt;0,H2945/O2945,"")</f>
        <v/>
      </c>
    </row>
    <row r="2946">
      <c r="A2946" s="13" t="inlineStr">
        <is>
          <t>CW15_B1</t>
        </is>
      </c>
      <c r="B2946" s="13" t="inlineStr">
        <is>
          <t>CW15</t>
        </is>
      </c>
      <c r="C2946" s="13" t="inlineStr">
        <is>
          <t>B1</t>
        </is>
      </c>
      <c r="D2946" s="13" t="n">
        <v>0</v>
      </c>
      <c r="E2946" s="13" t="inlineStr">
        <is>
          <t>W</t>
        </is>
      </c>
      <c r="F2946" s="13" t="n">
        <v>2024</v>
      </c>
      <c r="G2946" s="14" t="n">
        <v>1000323.009412728</v>
      </c>
      <c r="H2946" s="14" t="n">
        <v>556499.5507688039</v>
      </c>
      <c r="I2946" s="14" t="n">
        <v>236950.558661158</v>
      </c>
      <c r="J2946" s="14" t="n">
        <v>0</v>
      </c>
      <c r="K2946" s="14" t="n">
        <v>206872.8999827666</v>
      </c>
      <c r="L2946" s="14" t="n">
        <v>0</v>
      </c>
      <c r="M2946" s="14" t="n">
        <v>0</v>
      </c>
      <c r="N2946" s="14" t="n">
        <v>729200.7224121097</v>
      </c>
      <c r="O2946" s="14" t="n">
        <v>1000323.009412728</v>
      </c>
      <c r="P2946" s="14" t="n">
        <v>222287.1460859411</v>
      </c>
      <c r="Q2946" s="14" t="n">
        <v>7493606.007595886</v>
      </c>
      <c r="R2946" s="15">
        <f>IF(D2946=1,"Section 1","Control")</f>
        <v/>
      </c>
      <c r="S2946" s="16">
        <f>N2946/10000</f>
        <v/>
      </c>
      <c r="T2946" s="16">
        <f>P2946/10000</f>
        <v/>
      </c>
      <c r="U2946" s="15">
        <f>IF(N2946&gt;=Summary!$D$3,1,0)</f>
        <v/>
      </c>
      <c r="V2946" s="17">
        <f>IF(N2946&gt;0,P2946/N2946,"")</f>
        <v/>
      </c>
      <c r="W2946" s="17">
        <f>IF(O2946&gt;0,H2946/O2946,"")</f>
        <v/>
      </c>
    </row>
    <row r="2947">
      <c r="A2947" s="13" t="inlineStr">
        <is>
          <t>CW15_B1</t>
        </is>
      </c>
      <c r="B2947" s="13" t="inlineStr">
        <is>
          <t>CW15</t>
        </is>
      </c>
      <c r="C2947" s="13" t="inlineStr">
        <is>
          <t>B1</t>
        </is>
      </c>
      <c r="D2947" s="13" t="n">
        <v>0</v>
      </c>
      <c r="E2947" s="13" t="inlineStr">
        <is>
          <t>W</t>
        </is>
      </c>
      <c r="F2947" s="13" t="n">
        <v>2025</v>
      </c>
      <c r="G2947" s="14" t="n">
        <v>1000323.009412728</v>
      </c>
      <c r="H2947" s="14" t="n">
        <v>317447.2201029759</v>
      </c>
      <c r="I2947" s="14" t="n">
        <v>626679.6669151448</v>
      </c>
      <c r="J2947" s="14" t="n">
        <v>0</v>
      </c>
      <c r="K2947" s="14" t="n">
        <v>56196.12239460665</v>
      </c>
      <c r="L2947" s="14" t="n">
        <v>0</v>
      </c>
      <c r="M2947" s="14" t="n">
        <v>0</v>
      </c>
      <c r="N2947" s="14" t="n">
        <v>729200.7224121097</v>
      </c>
      <c r="O2947" s="14" t="n">
        <v>1000323.009412728</v>
      </c>
      <c r="P2947" s="14" t="n">
        <v>417514.539652716</v>
      </c>
      <c r="Q2947" s="14" t="n">
        <v>7493606.007595886</v>
      </c>
      <c r="R2947" s="15">
        <f>IF(D2947=1,"Section 1","Control")</f>
        <v/>
      </c>
      <c r="S2947" s="16">
        <f>N2947/10000</f>
        <v/>
      </c>
      <c r="T2947" s="16">
        <f>P2947/10000</f>
        <v/>
      </c>
      <c r="U2947" s="15">
        <f>IF(N2947&gt;=Summary!$D$3,1,0)</f>
        <v/>
      </c>
      <c r="V2947" s="17">
        <f>IF(N2947&gt;0,P2947/N2947,"")</f>
        <v/>
      </c>
      <c r="W2947" s="17">
        <f>IF(O2947&gt;0,H2947/O2947,"")</f>
        <v/>
      </c>
    </row>
    <row r="2948">
      <c r="A2948" s="13" t="inlineStr">
        <is>
          <t>CW15_B1</t>
        </is>
      </c>
      <c r="B2948" s="13" t="inlineStr">
        <is>
          <t>CW15</t>
        </is>
      </c>
      <c r="C2948" s="13" t="inlineStr">
        <is>
          <t>B1</t>
        </is>
      </c>
      <c r="D2948" s="13" t="n">
        <v>0</v>
      </c>
      <c r="E2948" s="13" t="inlineStr">
        <is>
          <t>W</t>
        </is>
      </c>
      <c r="F2948" s="13" t="n">
        <v>2026</v>
      </c>
      <c r="G2948" s="14" t="n">
        <v>1000323.009412728</v>
      </c>
      <c r="H2948" s="14" t="n">
        <v>455733.0534543808</v>
      </c>
      <c r="I2948" s="14" t="n">
        <v>414576.6979920931</v>
      </c>
      <c r="J2948" s="14" t="n">
        <v>0</v>
      </c>
      <c r="K2948" s="14" t="n">
        <v>130013.2579662547</v>
      </c>
      <c r="L2948" s="14" t="n">
        <v>0</v>
      </c>
      <c r="M2948" s="14" t="n">
        <v>0</v>
      </c>
      <c r="N2948" s="14" t="n">
        <v>729200.7224121097</v>
      </c>
      <c r="O2948" s="14" t="n">
        <v>1000323.009412728</v>
      </c>
      <c r="P2948" s="14" t="n">
        <v>319362.0588818419</v>
      </c>
      <c r="Q2948" s="14" t="n">
        <v>7493606.007595886</v>
      </c>
      <c r="R2948" s="15">
        <f>IF(D2948=1,"Section 1","Control")</f>
        <v/>
      </c>
      <c r="S2948" s="16">
        <f>N2948/10000</f>
        <v/>
      </c>
      <c r="T2948" s="16">
        <f>P2948/10000</f>
        <v/>
      </c>
      <c r="U2948" s="15">
        <f>IF(N2948&gt;=Summary!$D$3,1,0)</f>
        <v/>
      </c>
      <c r="V2948" s="17">
        <f>IF(N2948&gt;0,P2948/N2948,"")</f>
        <v/>
      </c>
      <c r="W2948" s="17">
        <f>IF(O2948&gt;0,H2948/O2948,"")</f>
        <v/>
      </c>
    </row>
    <row r="2949">
      <c r="A2949" s="13" t="inlineStr">
        <is>
          <t>CW15_B2</t>
        </is>
      </c>
      <c r="B2949" s="13" t="inlineStr">
        <is>
          <t>CW15</t>
        </is>
      </c>
      <c r="C2949" s="13" t="inlineStr">
        <is>
          <t>B2</t>
        </is>
      </c>
      <c r="D2949" s="13" t="n">
        <v>0</v>
      </c>
      <c r="E2949" s="13" t="inlineStr">
        <is>
          <t>W</t>
        </is>
      </c>
      <c r="F2949" s="13" t="n">
        <v>2020</v>
      </c>
      <c r="G2949" s="14" t="n">
        <v>1000783.719819312</v>
      </c>
      <c r="H2949" s="14" t="n">
        <v>680320.9920347029</v>
      </c>
      <c r="I2949" s="14" t="n">
        <v>258253.6082069546</v>
      </c>
      <c r="J2949" s="14" t="n">
        <v>0</v>
      </c>
      <c r="K2949" s="14" t="n">
        <v>62209.11957765466</v>
      </c>
      <c r="L2949" s="14" t="n">
        <v>0</v>
      </c>
      <c r="M2949" s="14" t="n">
        <v>0</v>
      </c>
      <c r="N2949" s="14" t="n">
        <v>680320.9920347029</v>
      </c>
      <c r="O2949" s="14" t="n">
        <v>1000783.719819312</v>
      </c>
      <c r="P2949" s="14" t="n">
        <v>0</v>
      </c>
      <c r="Q2949" s="14" t="n">
        <v>6465189.016506212</v>
      </c>
      <c r="R2949" s="15">
        <f>IF(D2949=1,"Section 1","Control")</f>
        <v/>
      </c>
      <c r="S2949" s="16">
        <f>N2949/10000</f>
        <v/>
      </c>
      <c r="T2949" s="16">
        <f>P2949/10000</f>
        <v/>
      </c>
      <c r="U2949" s="15">
        <f>IF(N2949&gt;=Summary!$D$3,1,0)</f>
        <v/>
      </c>
      <c r="V2949" s="17">
        <f>IF(N2949&gt;0,P2949/N2949,"")</f>
        <v/>
      </c>
      <c r="W2949" s="17">
        <f>IF(O2949&gt;0,H2949/O2949,"")</f>
        <v/>
      </c>
    </row>
    <row r="2950">
      <c r="A2950" s="13" t="inlineStr">
        <is>
          <t>CW15_B2</t>
        </is>
      </c>
      <c r="B2950" s="13" t="inlineStr">
        <is>
          <t>CW15</t>
        </is>
      </c>
      <c r="C2950" s="13" t="inlineStr">
        <is>
          <t>B2</t>
        </is>
      </c>
      <c r="D2950" s="13" t="n">
        <v>0</v>
      </c>
      <c r="E2950" s="13" t="inlineStr">
        <is>
          <t>W</t>
        </is>
      </c>
      <c r="F2950" s="13" t="n">
        <v>2021</v>
      </c>
      <c r="G2950" s="14" t="n">
        <v>1000783.719819312</v>
      </c>
      <c r="H2950" s="14" t="n">
        <v>666734.054546132</v>
      </c>
      <c r="I2950" s="14" t="n">
        <v>110851.3539257573</v>
      </c>
      <c r="J2950" s="14" t="n">
        <v>0</v>
      </c>
      <c r="K2950" s="14" t="n">
        <v>223198.3113474229</v>
      </c>
      <c r="L2950" s="14" t="n">
        <v>0</v>
      </c>
      <c r="M2950" s="14" t="n">
        <v>0</v>
      </c>
      <c r="N2950" s="14" t="n">
        <v>680320.9920347029</v>
      </c>
      <c r="O2950" s="14" t="n">
        <v>1000783.719819312</v>
      </c>
      <c r="P2950" s="14" t="n">
        <v>53843.44026964973</v>
      </c>
      <c r="Q2950" s="14" t="n">
        <v>6465189.016506212</v>
      </c>
      <c r="R2950" s="15">
        <f>IF(D2950=1,"Section 1","Control")</f>
        <v/>
      </c>
      <c r="S2950" s="16">
        <f>N2950/10000</f>
        <v/>
      </c>
      <c r="T2950" s="16">
        <f>P2950/10000</f>
        <v/>
      </c>
      <c r="U2950" s="15">
        <f>IF(N2950&gt;=Summary!$D$3,1,0)</f>
        <v/>
      </c>
      <c r="V2950" s="17">
        <f>IF(N2950&gt;0,P2950/N2950,"")</f>
        <v/>
      </c>
      <c r="W2950" s="17">
        <f>IF(O2950&gt;0,H2950/O2950,"")</f>
        <v/>
      </c>
    </row>
    <row r="2951">
      <c r="A2951" s="13" t="inlineStr">
        <is>
          <t>CW15_B2</t>
        </is>
      </c>
      <c r="B2951" s="13" t="inlineStr">
        <is>
          <t>CW15</t>
        </is>
      </c>
      <c r="C2951" s="13" t="inlineStr">
        <is>
          <t>B2</t>
        </is>
      </c>
      <c r="D2951" s="13" t="n">
        <v>0</v>
      </c>
      <c r="E2951" s="13" t="inlineStr">
        <is>
          <t>W</t>
        </is>
      </c>
      <c r="F2951" s="13" t="n">
        <v>2022</v>
      </c>
      <c r="G2951" s="14" t="n">
        <v>1000783.719819312</v>
      </c>
      <c r="H2951" s="14" t="n">
        <v>580782.0634899365</v>
      </c>
      <c r="I2951" s="14" t="n">
        <v>291762.0549148859</v>
      </c>
      <c r="J2951" s="14" t="n">
        <v>0</v>
      </c>
      <c r="K2951" s="14" t="n">
        <v>128239.6014144898</v>
      </c>
      <c r="L2951" s="14" t="n">
        <v>0</v>
      </c>
      <c r="M2951" s="14" t="n">
        <v>0</v>
      </c>
      <c r="N2951" s="14" t="n">
        <v>680320.9920347029</v>
      </c>
      <c r="O2951" s="14" t="n">
        <v>1000783.719819312</v>
      </c>
      <c r="P2951" s="14" t="n">
        <v>106627.2595428766</v>
      </c>
      <c r="Q2951" s="14" t="n">
        <v>6465189.016506212</v>
      </c>
      <c r="R2951" s="15">
        <f>IF(D2951=1,"Section 1","Control")</f>
        <v/>
      </c>
      <c r="S2951" s="16">
        <f>N2951/10000</f>
        <v/>
      </c>
      <c r="T2951" s="16">
        <f>P2951/10000</f>
        <v/>
      </c>
      <c r="U2951" s="15">
        <f>IF(N2951&gt;=Summary!$D$3,1,0)</f>
        <v/>
      </c>
      <c r="V2951" s="17">
        <f>IF(N2951&gt;0,P2951/N2951,"")</f>
        <v/>
      </c>
      <c r="W2951" s="17">
        <f>IF(O2951&gt;0,H2951/O2951,"")</f>
        <v/>
      </c>
    </row>
    <row r="2952">
      <c r="A2952" s="13" t="inlineStr">
        <is>
          <t>CW15_B2</t>
        </is>
      </c>
      <c r="B2952" s="13" t="inlineStr">
        <is>
          <t>CW15</t>
        </is>
      </c>
      <c r="C2952" s="13" t="inlineStr">
        <is>
          <t>B2</t>
        </is>
      </c>
      <c r="D2952" s="13" t="n">
        <v>0</v>
      </c>
      <c r="E2952" s="13" t="inlineStr">
        <is>
          <t>W</t>
        </is>
      </c>
      <c r="F2952" s="13" t="n">
        <v>2023</v>
      </c>
      <c r="G2952" s="14" t="n">
        <v>1000783.719819312</v>
      </c>
      <c r="H2952" s="14" t="n">
        <v>624171.599523896</v>
      </c>
      <c r="I2952" s="14" t="n">
        <v>250649.1099765852</v>
      </c>
      <c r="J2952" s="14" t="n">
        <v>0</v>
      </c>
      <c r="K2952" s="14" t="n">
        <v>125963.0103188309</v>
      </c>
      <c r="L2952" s="14" t="n">
        <v>0</v>
      </c>
      <c r="M2952" s="14" t="n">
        <v>0</v>
      </c>
      <c r="N2952" s="14" t="n">
        <v>680320.9920347029</v>
      </c>
      <c r="O2952" s="14" t="n">
        <v>1000783.719819312</v>
      </c>
      <c r="P2952" s="14" t="n">
        <v>79819.11130694221</v>
      </c>
      <c r="Q2952" s="14" t="n">
        <v>6465189.016506212</v>
      </c>
      <c r="R2952" s="15">
        <f>IF(D2952=1,"Section 1","Control")</f>
        <v/>
      </c>
      <c r="S2952" s="16">
        <f>N2952/10000</f>
        <v/>
      </c>
      <c r="T2952" s="16">
        <f>P2952/10000</f>
        <v/>
      </c>
      <c r="U2952" s="15">
        <f>IF(N2952&gt;=Summary!$D$3,1,0)</f>
        <v/>
      </c>
      <c r="V2952" s="17">
        <f>IF(N2952&gt;0,P2952/N2952,"")</f>
        <v/>
      </c>
      <c r="W2952" s="17">
        <f>IF(O2952&gt;0,H2952/O2952,"")</f>
        <v/>
      </c>
    </row>
    <row r="2953">
      <c r="A2953" s="13" t="inlineStr">
        <is>
          <t>CW15_B2</t>
        </is>
      </c>
      <c r="B2953" s="13" t="inlineStr">
        <is>
          <t>CW15</t>
        </is>
      </c>
      <c r="C2953" s="13" t="inlineStr">
        <is>
          <t>B2</t>
        </is>
      </c>
      <c r="D2953" s="13" t="n">
        <v>0</v>
      </c>
      <c r="E2953" s="13" t="inlineStr">
        <is>
          <t>W</t>
        </is>
      </c>
      <c r="F2953" s="13" t="n">
        <v>2024</v>
      </c>
      <c r="G2953" s="14" t="n">
        <v>1000783.719819312</v>
      </c>
      <c r="H2953" s="14" t="n">
        <v>714988.7586316279</v>
      </c>
      <c r="I2953" s="14" t="n">
        <v>179943.9404773488</v>
      </c>
      <c r="J2953" s="14" t="n">
        <v>0</v>
      </c>
      <c r="K2953" s="14" t="n">
        <v>105851.0207103355</v>
      </c>
      <c r="L2953" s="14" t="n">
        <v>0</v>
      </c>
      <c r="M2953" s="14" t="n">
        <v>0</v>
      </c>
      <c r="N2953" s="14" t="n">
        <v>680320.9920347029</v>
      </c>
      <c r="O2953" s="14" t="n">
        <v>1000783.719819312</v>
      </c>
      <c r="P2953" s="14" t="n">
        <v>51312.88947293151</v>
      </c>
      <c r="Q2953" s="14" t="n">
        <v>6465189.016506212</v>
      </c>
      <c r="R2953" s="15">
        <f>IF(D2953=1,"Section 1","Control")</f>
        <v/>
      </c>
      <c r="S2953" s="16">
        <f>N2953/10000</f>
        <v/>
      </c>
      <c r="T2953" s="16">
        <f>P2953/10000</f>
        <v/>
      </c>
      <c r="U2953" s="15">
        <f>IF(N2953&gt;=Summary!$D$3,1,0)</f>
        <v/>
      </c>
      <c r="V2953" s="17">
        <f>IF(N2953&gt;0,P2953/N2953,"")</f>
        <v/>
      </c>
      <c r="W2953" s="17">
        <f>IF(O2953&gt;0,H2953/O2953,"")</f>
        <v/>
      </c>
    </row>
    <row r="2954">
      <c r="A2954" s="13" t="inlineStr">
        <is>
          <t>CW15_B2</t>
        </is>
      </c>
      <c r="B2954" s="13" t="inlineStr">
        <is>
          <t>CW15</t>
        </is>
      </c>
      <c r="C2954" s="13" t="inlineStr">
        <is>
          <t>B2</t>
        </is>
      </c>
      <c r="D2954" s="13" t="n">
        <v>0</v>
      </c>
      <c r="E2954" s="13" t="inlineStr">
        <is>
          <t>W</t>
        </is>
      </c>
      <c r="F2954" s="13" t="n">
        <v>2025</v>
      </c>
      <c r="G2954" s="14" t="n">
        <v>1000783.719819312</v>
      </c>
      <c r="H2954" s="14" t="n">
        <v>591105.6449927238</v>
      </c>
      <c r="I2954" s="14" t="n">
        <v>323636.6377419565</v>
      </c>
      <c r="J2954" s="14" t="n">
        <v>0</v>
      </c>
      <c r="K2954" s="14" t="n">
        <v>86041.43708463183</v>
      </c>
      <c r="L2954" s="14" t="n">
        <v>0</v>
      </c>
      <c r="M2954" s="14" t="n">
        <v>0</v>
      </c>
      <c r="N2954" s="14" t="n">
        <v>680320.9920347029</v>
      </c>
      <c r="O2954" s="14" t="n">
        <v>1000783.719819312</v>
      </c>
      <c r="P2954" s="14" t="n">
        <v>105604.7013854382</v>
      </c>
      <c r="Q2954" s="14" t="n">
        <v>6465189.016506212</v>
      </c>
      <c r="R2954" s="15">
        <f>IF(D2954=1,"Section 1","Control")</f>
        <v/>
      </c>
      <c r="S2954" s="16">
        <f>N2954/10000</f>
        <v/>
      </c>
      <c r="T2954" s="16">
        <f>P2954/10000</f>
        <v/>
      </c>
      <c r="U2954" s="15">
        <f>IF(N2954&gt;=Summary!$D$3,1,0)</f>
        <v/>
      </c>
      <c r="V2954" s="17">
        <f>IF(N2954&gt;0,P2954/N2954,"")</f>
        <v/>
      </c>
      <c r="W2954" s="17">
        <f>IF(O2954&gt;0,H2954/O2954,"")</f>
        <v/>
      </c>
    </row>
    <row r="2955">
      <c r="A2955" s="13" t="inlineStr">
        <is>
          <t>CW15_B2</t>
        </is>
      </c>
      <c r="B2955" s="13" t="inlineStr">
        <is>
          <t>CW15</t>
        </is>
      </c>
      <c r="C2955" s="13" t="inlineStr">
        <is>
          <t>B2</t>
        </is>
      </c>
      <c r="D2955" s="13" t="n">
        <v>0</v>
      </c>
      <c r="E2955" s="13" t="inlineStr">
        <is>
          <t>W</t>
        </is>
      </c>
      <c r="F2955" s="13" t="n">
        <v>2026</v>
      </c>
      <c r="G2955" s="14" t="n">
        <v>1000783.719819312</v>
      </c>
      <c r="H2955" s="14" t="n">
        <v>747086.8536479876</v>
      </c>
      <c r="I2955" s="14" t="n">
        <v>139282.7898717245</v>
      </c>
      <c r="J2955" s="14" t="n">
        <v>0</v>
      </c>
      <c r="K2955" s="14" t="n">
        <v>114414.0762996001</v>
      </c>
      <c r="L2955" s="14" t="n">
        <v>0</v>
      </c>
      <c r="M2955" s="14" t="n">
        <v>0</v>
      </c>
      <c r="N2955" s="14" t="n">
        <v>680320.9920347029</v>
      </c>
      <c r="O2955" s="14" t="n">
        <v>1000783.719819312</v>
      </c>
      <c r="P2955" s="14" t="n">
        <v>48747.47645138011</v>
      </c>
      <c r="Q2955" s="14" t="n">
        <v>6465189.016506212</v>
      </c>
      <c r="R2955" s="15">
        <f>IF(D2955=1,"Section 1","Control")</f>
        <v/>
      </c>
      <c r="S2955" s="16">
        <f>N2955/10000</f>
        <v/>
      </c>
      <c r="T2955" s="16">
        <f>P2955/10000</f>
        <v/>
      </c>
      <c r="U2955" s="15">
        <f>IF(N2955&gt;=Summary!$D$3,1,0)</f>
        <v/>
      </c>
      <c r="V2955" s="17">
        <f>IF(N2955&gt;0,P2955/N2955,"")</f>
        <v/>
      </c>
      <c r="W2955" s="17">
        <f>IF(O2955&gt;0,H2955/O2955,"")</f>
        <v/>
      </c>
    </row>
    <row r="2956">
      <c r="A2956" s="13" t="inlineStr">
        <is>
          <t>CW15_B3</t>
        </is>
      </c>
      <c r="B2956" s="13" t="inlineStr">
        <is>
          <t>CW15</t>
        </is>
      </c>
      <c r="C2956" s="13" t="inlineStr">
        <is>
          <t>B3</t>
        </is>
      </c>
      <c r="D2956" s="13" t="n">
        <v>0</v>
      </c>
      <c r="E2956" s="13" t="inlineStr">
        <is>
          <t>W</t>
        </is>
      </c>
      <c r="F2956" s="13" t="n">
        <v>2020</v>
      </c>
      <c r="G2956" s="14" t="n">
        <v>8003141.668377804</v>
      </c>
      <c r="H2956" s="14" t="n">
        <v>2605267.641390572</v>
      </c>
      <c r="I2956" s="14" t="n">
        <v>777636.4761707082</v>
      </c>
      <c r="J2956" s="14" t="n">
        <v>0</v>
      </c>
      <c r="K2956" s="14" t="n">
        <v>214999.6288013832</v>
      </c>
      <c r="L2956" s="14" t="n">
        <v>4405237.922015142</v>
      </c>
      <c r="M2956" s="14" t="n">
        <v>0</v>
      </c>
      <c r="N2956" s="14" t="n">
        <v>2605267.641390572</v>
      </c>
      <c r="O2956" s="14" t="n">
        <v>3597903.746362664</v>
      </c>
      <c r="P2956" s="14" t="n">
        <v>0</v>
      </c>
      <c r="Q2956" s="14" t="n">
        <v>13410644.61714612</v>
      </c>
      <c r="R2956" s="15">
        <f>IF(D2956=1,"Section 1","Control")</f>
        <v/>
      </c>
      <c r="S2956" s="16">
        <f>N2956/10000</f>
        <v/>
      </c>
      <c r="T2956" s="16">
        <f>P2956/10000</f>
        <v/>
      </c>
      <c r="U2956" s="15">
        <f>IF(N2956&gt;=Summary!$D$3,1,0)</f>
        <v/>
      </c>
      <c r="V2956" s="17">
        <f>IF(N2956&gt;0,P2956/N2956,"")</f>
        <v/>
      </c>
      <c r="W2956" s="17">
        <f>IF(O2956&gt;0,H2956/O2956,"")</f>
        <v/>
      </c>
    </row>
    <row r="2957">
      <c r="A2957" s="13" t="inlineStr">
        <is>
          <t>CW15_B3</t>
        </is>
      </c>
      <c r="B2957" s="13" t="inlineStr">
        <is>
          <t>CW15</t>
        </is>
      </c>
      <c r="C2957" s="13" t="inlineStr">
        <is>
          <t>B3</t>
        </is>
      </c>
      <c r="D2957" s="13" t="n">
        <v>0</v>
      </c>
      <c r="E2957" s="13" t="inlineStr">
        <is>
          <t>W</t>
        </is>
      </c>
      <c r="F2957" s="13" t="n">
        <v>2021</v>
      </c>
      <c r="G2957" s="14" t="n">
        <v>8003141.668377804</v>
      </c>
      <c r="H2957" s="14" t="n">
        <v>2530011.567731222</v>
      </c>
      <c r="I2957" s="14" t="n">
        <v>562518.7277391921</v>
      </c>
      <c r="J2957" s="14" t="n">
        <v>0</v>
      </c>
      <c r="K2957" s="14" t="n">
        <v>622667.3360468847</v>
      </c>
      <c r="L2957" s="14" t="n">
        <v>4287944.036860508</v>
      </c>
      <c r="M2957" s="14" t="n">
        <v>0</v>
      </c>
      <c r="N2957" s="14" t="n">
        <v>2605267.641390572</v>
      </c>
      <c r="O2957" s="14" t="n">
        <v>3597903.746362663</v>
      </c>
      <c r="P2957" s="14" t="n">
        <v>221070.5076923744</v>
      </c>
      <c r="Q2957" s="14" t="n">
        <v>13410644.61714612</v>
      </c>
      <c r="R2957" s="15">
        <f>IF(D2957=1,"Section 1","Control")</f>
        <v/>
      </c>
      <c r="S2957" s="16">
        <f>N2957/10000</f>
        <v/>
      </c>
      <c r="T2957" s="16">
        <f>P2957/10000</f>
        <v/>
      </c>
      <c r="U2957" s="15">
        <f>IF(N2957&gt;=Summary!$D$3,1,0)</f>
        <v/>
      </c>
      <c r="V2957" s="17">
        <f>IF(N2957&gt;0,P2957/N2957,"")</f>
        <v/>
      </c>
      <c r="W2957" s="17">
        <f>IF(O2957&gt;0,H2957/O2957,"")</f>
        <v/>
      </c>
    </row>
    <row r="2958">
      <c r="A2958" s="13" t="inlineStr">
        <is>
          <t>CW15_B3</t>
        </is>
      </c>
      <c r="B2958" s="13" t="inlineStr">
        <is>
          <t>CW15</t>
        </is>
      </c>
      <c r="C2958" s="13" t="inlineStr">
        <is>
          <t>B3</t>
        </is>
      </c>
      <c r="D2958" s="13" t="n">
        <v>0</v>
      </c>
      <c r="E2958" s="13" t="inlineStr">
        <is>
          <t>W</t>
        </is>
      </c>
      <c r="F2958" s="13" t="n">
        <v>2022</v>
      </c>
      <c r="G2958" s="14" t="n">
        <v>8003141.668377804</v>
      </c>
      <c r="H2958" s="14" t="n">
        <v>2390337.355826464</v>
      </c>
      <c r="I2958" s="14" t="n">
        <v>866821.8294354009</v>
      </c>
      <c r="J2958" s="14" t="n">
        <v>0</v>
      </c>
      <c r="K2958" s="14" t="n">
        <v>572267.8544110167</v>
      </c>
      <c r="L2958" s="14" t="n">
        <v>4173714.628704924</v>
      </c>
      <c r="M2958" s="14" t="n">
        <v>0</v>
      </c>
      <c r="N2958" s="14" t="n">
        <v>2605267.641390572</v>
      </c>
      <c r="O2958" s="14" t="n">
        <v>3597903.746362664</v>
      </c>
      <c r="P2958" s="14" t="n">
        <v>281945.5349213843</v>
      </c>
      <c r="Q2958" s="14" t="n">
        <v>13410644.61714612</v>
      </c>
      <c r="R2958" s="15">
        <f>IF(D2958=1,"Section 1","Control")</f>
        <v/>
      </c>
      <c r="S2958" s="16">
        <f>N2958/10000</f>
        <v/>
      </c>
      <c r="T2958" s="16">
        <f>P2958/10000</f>
        <v/>
      </c>
      <c r="U2958" s="15">
        <f>IF(N2958&gt;=Summary!$D$3,1,0)</f>
        <v/>
      </c>
      <c r="V2958" s="17">
        <f>IF(N2958&gt;0,P2958/N2958,"")</f>
        <v/>
      </c>
      <c r="W2958" s="17">
        <f>IF(O2958&gt;0,H2958/O2958,"")</f>
        <v/>
      </c>
    </row>
    <row r="2959">
      <c r="A2959" s="13" t="inlineStr">
        <is>
          <t>CW15_B3</t>
        </is>
      </c>
      <c r="B2959" s="13" t="inlineStr">
        <is>
          <t>CW15</t>
        </is>
      </c>
      <c r="C2959" s="13" t="inlineStr">
        <is>
          <t>B3</t>
        </is>
      </c>
      <c r="D2959" s="13" t="n">
        <v>0</v>
      </c>
      <c r="E2959" s="13" t="inlineStr">
        <is>
          <t>W</t>
        </is>
      </c>
      <c r="F2959" s="13" t="n">
        <v>2023</v>
      </c>
      <c r="G2959" s="14" t="n">
        <v>8003141.668377805</v>
      </c>
      <c r="H2959" s="14" t="n">
        <v>2444220.267877855</v>
      </c>
      <c r="I2959" s="14" t="n">
        <v>775244.9253668992</v>
      </c>
      <c r="J2959" s="14" t="n">
        <v>0</v>
      </c>
      <c r="K2959" s="14" t="n">
        <v>328325.6337204877</v>
      </c>
      <c r="L2959" s="14" t="n">
        <v>4455350.841412564</v>
      </c>
      <c r="M2959" s="14" t="n">
        <v>0</v>
      </c>
      <c r="N2959" s="14" t="n">
        <v>2605267.641390572</v>
      </c>
      <c r="O2959" s="14" t="n">
        <v>3597903.746362664</v>
      </c>
      <c r="P2959" s="14" t="n">
        <v>294743.2030984317</v>
      </c>
      <c r="Q2959" s="14" t="n">
        <v>13410644.61714612</v>
      </c>
      <c r="R2959" s="15">
        <f>IF(D2959=1,"Section 1","Control")</f>
        <v/>
      </c>
      <c r="S2959" s="16">
        <f>N2959/10000</f>
        <v/>
      </c>
      <c r="T2959" s="16">
        <f>P2959/10000</f>
        <v/>
      </c>
      <c r="U2959" s="15">
        <f>IF(N2959&gt;=Summary!$D$3,1,0)</f>
        <v/>
      </c>
      <c r="V2959" s="17">
        <f>IF(N2959&gt;0,P2959/N2959,"")</f>
        <v/>
      </c>
      <c r="W2959" s="17">
        <f>IF(O2959&gt;0,H2959/O2959,"")</f>
        <v/>
      </c>
    </row>
    <row r="2960">
      <c r="A2960" s="13" t="inlineStr">
        <is>
          <t>CW15_B3</t>
        </is>
      </c>
      <c r="B2960" s="13" t="inlineStr">
        <is>
          <t>CW15</t>
        </is>
      </c>
      <c r="C2960" s="13" t="inlineStr">
        <is>
          <t>B3</t>
        </is>
      </c>
      <c r="D2960" s="13" t="n">
        <v>0</v>
      </c>
      <c r="E2960" s="13" t="inlineStr">
        <is>
          <t>W</t>
        </is>
      </c>
      <c r="F2960" s="13" t="n">
        <v>2024</v>
      </c>
      <c r="G2960" s="14" t="n">
        <v>8003141.668377805</v>
      </c>
      <c r="H2960" s="14" t="n">
        <v>2762439.307980227</v>
      </c>
      <c r="I2960" s="14" t="n">
        <v>458125.1456052593</v>
      </c>
      <c r="J2960" s="14" t="n">
        <v>0</v>
      </c>
      <c r="K2960" s="14" t="n">
        <v>336261.7633055743</v>
      </c>
      <c r="L2960" s="14" t="n">
        <v>4446315.451486745</v>
      </c>
      <c r="M2960" s="14" t="n">
        <v>0</v>
      </c>
      <c r="N2960" s="14" t="n">
        <v>2605267.641390572</v>
      </c>
      <c r="O2960" s="14" t="n">
        <v>3597903.746362664</v>
      </c>
      <c r="P2960" s="14" t="n">
        <v>159376.3268120261</v>
      </c>
      <c r="Q2960" s="14" t="n">
        <v>13410644.61714612</v>
      </c>
      <c r="R2960" s="15">
        <f>IF(D2960=1,"Section 1","Control")</f>
        <v/>
      </c>
      <c r="S2960" s="16">
        <f>N2960/10000</f>
        <v/>
      </c>
      <c r="T2960" s="16">
        <f>P2960/10000</f>
        <v/>
      </c>
      <c r="U2960" s="15">
        <f>IF(N2960&gt;=Summary!$D$3,1,0)</f>
        <v/>
      </c>
      <c r="V2960" s="17">
        <f>IF(N2960&gt;0,P2960/N2960,"")</f>
        <v/>
      </c>
      <c r="W2960" s="17">
        <f>IF(O2960&gt;0,H2960/O2960,"")</f>
        <v/>
      </c>
    </row>
    <row r="2961">
      <c r="A2961" s="13" t="inlineStr">
        <is>
          <t>CW15_B3</t>
        </is>
      </c>
      <c r="B2961" s="13" t="inlineStr">
        <is>
          <t>CW15</t>
        </is>
      </c>
      <c r="C2961" s="13" t="inlineStr">
        <is>
          <t>B3</t>
        </is>
      </c>
      <c r="D2961" s="13" t="n">
        <v>0</v>
      </c>
      <c r="E2961" s="13" t="inlineStr">
        <is>
          <t>W</t>
        </is>
      </c>
      <c r="F2961" s="13" t="n">
        <v>2025</v>
      </c>
      <c r="G2961" s="14" t="n">
        <v>8003141.668377804</v>
      </c>
      <c r="H2961" s="14" t="n">
        <v>2564924.243254687</v>
      </c>
      <c r="I2961" s="14" t="n">
        <v>690561.8268078374</v>
      </c>
      <c r="J2961" s="14" t="n">
        <v>0</v>
      </c>
      <c r="K2961" s="14" t="n">
        <v>324353.732943546</v>
      </c>
      <c r="L2961" s="14" t="n">
        <v>4423301.865371734</v>
      </c>
      <c r="M2961" s="14" t="n">
        <v>0</v>
      </c>
      <c r="N2961" s="14" t="n">
        <v>2605267.641390572</v>
      </c>
      <c r="O2961" s="14" t="n">
        <v>3597903.746362664</v>
      </c>
      <c r="P2961" s="14" t="n">
        <v>248153.2503899967</v>
      </c>
      <c r="Q2961" s="14" t="n">
        <v>13410644.61714612</v>
      </c>
      <c r="R2961" s="15">
        <f>IF(D2961=1,"Section 1","Control")</f>
        <v/>
      </c>
      <c r="S2961" s="16">
        <f>N2961/10000</f>
        <v/>
      </c>
      <c r="T2961" s="16">
        <f>P2961/10000</f>
        <v/>
      </c>
      <c r="U2961" s="15">
        <f>IF(N2961&gt;=Summary!$D$3,1,0)</f>
        <v/>
      </c>
      <c r="V2961" s="17">
        <f>IF(N2961&gt;0,P2961/N2961,"")</f>
        <v/>
      </c>
      <c r="W2961" s="17">
        <f>IF(O2961&gt;0,H2961/O2961,"")</f>
        <v/>
      </c>
    </row>
    <row r="2962">
      <c r="A2962" s="13" t="inlineStr">
        <is>
          <t>CW15_B3</t>
        </is>
      </c>
      <c r="B2962" s="13" t="inlineStr">
        <is>
          <t>CW15</t>
        </is>
      </c>
      <c r="C2962" s="13" t="inlineStr">
        <is>
          <t>B3</t>
        </is>
      </c>
      <c r="D2962" s="13" t="n">
        <v>0</v>
      </c>
      <c r="E2962" s="13" t="inlineStr">
        <is>
          <t>W</t>
        </is>
      </c>
      <c r="F2962" s="13" t="n">
        <v>2026</v>
      </c>
      <c r="G2962" s="14" t="n">
        <v>8003141.668377804</v>
      </c>
      <c r="H2962" s="14" t="n">
        <v>2542494.823463021</v>
      </c>
      <c r="I2962" s="14" t="n">
        <v>618454.1050111359</v>
      </c>
      <c r="J2962" s="14" t="n">
        <v>0</v>
      </c>
      <c r="K2962" s="14" t="n">
        <v>359391.4782007255</v>
      </c>
      <c r="L2962" s="14" t="n">
        <v>4482801.261702923</v>
      </c>
      <c r="M2962" s="14" t="n">
        <v>0</v>
      </c>
      <c r="N2962" s="14" t="n">
        <v>2605267.641390572</v>
      </c>
      <c r="O2962" s="14" t="n">
        <v>3597903.746362664</v>
      </c>
      <c r="P2962" s="14" t="n">
        <v>253557.6236748191</v>
      </c>
      <c r="Q2962" s="14" t="n">
        <v>13410644.61714612</v>
      </c>
      <c r="R2962" s="15">
        <f>IF(D2962=1,"Section 1","Control")</f>
        <v/>
      </c>
      <c r="S2962" s="16">
        <f>N2962/10000</f>
        <v/>
      </c>
      <c r="T2962" s="16">
        <f>P2962/10000</f>
        <v/>
      </c>
      <c r="U2962" s="15">
        <f>IF(N2962&gt;=Summary!$D$3,1,0)</f>
        <v/>
      </c>
      <c r="V2962" s="17">
        <f>IF(N2962&gt;0,P2962/N2962,"")</f>
        <v/>
      </c>
      <c r="W2962" s="17">
        <f>IF(O2962&gt;0,H2962/O2962,"")</f>
        <v/>
      </c>
    </row>
    <row r="2963">
      <c r="A2963" s="13" t="inlineStr">
        <is>
          <t>CW15_F</t>
        </is>
      </c>
      <c r="B2963" s="13" t="inlineStr">
        <is>
          <t>CW15</t>
        </is>
      </c>
      <c r="C2963" s="13" t="inlineStr">
        <is>
          <t>F</t>
        </is>
      </c>
      <c r="D2963" s="13" t="n">
        <v>0</v>
      </c>
      <c r="E2963" s="13" t="inlineStr">
        <is>
          <t>W</t>
        </is>
      </c>
      <c r="F2963" s="13" t="n">
        <v>2020</v>
      </c>
      <c r="G2963" s="14" t="n">
        <v>69525.30058363377</v>
      </c>
      <c r="H2963" s="14" t="n">
        <v>23516.45481390859</v>
      </c>
      <c r="I2963" s="14" t="n">
        <v>28080.74726350073</v>
      </c>
      <c r="J2963" s="14" t="n">
        <v>0</v>
      </c>
      <c r="K2963" s="14" t="n">
        <v>17928.09850622438</v>
      </c>
      <c r="L2963" s="14" t="n">
        <v>0</v>
      </c>
      <c r="M2963" s="14" t="n">
        <v>0</v>
      </c>
      <c r="N2963" s="14" t="n">
        <v>23516.45481390859</v>
      </c>
      <c r="O2963" s="14" t="n">
        <v>69525.30058363377</v>
      </c>
      <c r="P2963" s="14" t="n">
        <v>0</v>
      </c>
      <c r="Q2963" s="14" t="n">
        <v>491682.7727997425</v>
      </c>
      <c r="R2963" s="15">
        <f>IF(D2963=1,"Section 1","Control")</f>
        <v/>
      </c>
      <c r="S2963" s="16">
        <f>N2963/10000</f>
        <v/>
      </c>
      <c r="T2963" s="16">
        <f>P2963/10000</f>
        <v/>
      </c>
      <c r="U2963" s="15">
        <f>IF(N2963&gt;=Summary!$D$3,1,0)</f>
        <v/>
      </c>
      <c r="V2963" s="17">
        <f>IF(N2963&gt;0,P2963/N2963,"")</f>
        <v/>
      </c>
      <c r="W2963" s="17">
        <f>IF(O2963&gt;0,H2963/O2963,"")</f>
        <v/>
      </c>
    </row>
    <row r="2964">
      <c r="A2964" s="13" t="inlineStr">
        <is>
          <t>CW15_F</t>
        </is>
      </c>
      <c r="B2964" s="13" t="inlineStr">
        <is>
          <t>CW15</t>
        </is>
      </c>
      <c r="C2964" s="13" t="inlineStr">
        <is>
          <t>F</t>
        </is>
      </c>
      <c r="D2964" s="13" t="n">
        <v>0</v>
      </c>
      <c r="E2964" s="13" t="inlineStr">
        <is>
          <t>W</t>
        </is>
      </c>
      <c r="F2964" s="13" t="n">
        <v>2021</v>
      </c>
      <c r="G2964" s="14" t="n">
        <v>69525.30058363377</v>
      </c>
      <c r="H2964" s="14" t="n">
        <v>4567.396191107058</v>
      </c>
      <c r="I2964" s="14" t="n">
        <v>10180.13589492499</v>
      </c>
      <c r="J2964" s="14" t="n">
        <v>0</v>
      </c>
      <c r="K2964" s="14" t="n">
        <v>54777.76849760168</v>
      </c>
      <c r="L2964" s="14" t="n">
        <v>0</v>
      </c>
      <c r="M2964" s="14" t="n">
        <v>0</v>
      </c>
      <c r="N2964" s="14" t="n">
        <v>23516.45481390859</v>
      </c>
      <c r="O2964" s="14" t="n">
        <v>69525.30058363377</v>
      </c>
      <c r="P2964" s="14" t="n">
        <v>19507.73898821064</v>
      </c>
      <c r="Q2964" s="14" t="n">
        <v>491682.7727997425</v>
      </c>
      <c r="R2964" s="15">
        <f>IF(D2964=1,"Section 1","Control")</f>
        <v/>
      </c>
      <c r="S2964" s="16">
        <f>N2964/10000</f>
        <v/>
      </c>
      <c r="T2964" s="16">
        <f>P2964/10000</f>
        <v/>
      </c>
      <c r="U2964" s="15">
        <f>IF(N2964&gt;=Summary!$D$3,1,0)</f>
        <v/>
      </c>
      <c r="V2964" s="17">
        <f>IF(N2964&gt;0,P2964/N2964,"")</f>
        <v/>
      </c>
      <c r="W2964" s="17">
        <f>IF(O2964&gt;0,H2964/O2964,"")</f>
        <v/>
      </c>
    </row>
    <row r="2965">
      <c r="A2965" s="13" t="inlineStr">
        <is>
          <t>CW15_F</t>
        </is>
      </c>
      <c r="B2965" s="13" t="inlineStr">
        <is>
          <t>CW15</t>
        </is>
      </c>
      <c r="C2965" s="13" t="inlineStr">
        <is>
          <t>F</t>
        </is>
      </c>
      <c r="D2965" s="13" t="n">
        <v>0</v>
      </c>
      <c r="E2965" s="13" t="inlineStr">
        <is>
          <t>W</t>
        </is>
      </c>
      <c r="F2965" s="13" t="n">
        <v>2022</v>
      </c>
      <c r="G2965" s="14" t="n">
        <v>69525.30058363377</v>
      </c>
      <c r="H2965" s="14" t="n">
        <v>775.8804581586053</v>
      </c>
      <c r="I2965" s="14" t="n">
        <v>54330.20239607868</v>
      </c>
      <c r="J2965" s="14" t="n">
        <v>0</v>
      </c>
      <c r="K2965" s="14" t="n">
        <v>14419.21772939645</v>
      </c>
      <c r="L2965" s="14" t="n">
        <v>0</v>
      </c>
      <c r="M2965" s="14" t="n">
        <v>0</v>
      </c>
      <c r="N2965" s="14" t="n">
        <v>23516.45481390859</v>
      </c>
      <c r="O2965" s="14" t="n">
        <v>69525.30058363377</v>
      </c>
      <c r="P2965" s="14" t="n">
        <v>22740.57435574998</v>
      </c>
      <c r="Q2965" s="14" t="n">
        <v>491682.7727997425</v>
      </c>
      <c r="R2965" s="15">
        <f>IF(D2965=1,"Section 1","Control")</f>
        <v/>
      </c>
      <c r="S2965" s="16">
        <f>N2965/10000</f>
        <v/>
      </c>
      <c r="T2965" s="16">
        <f>P2965/10000</f>
        <v/>
      </c>
      <c r="U2965" s="15">
        <f>IF(N2965&gt;=Summary!$D$3,1,0)</f>
        <v/>
      </c>
      <c r="V2965" s="17">
        <f>IF(N2965&gt;0,P2965/N2965,"")</f>
        <v/>
      </c>
      <c r="W2965" s="17">
        <f>IF(O2965&gt;0,H2965/O2965,"")</f>
        <v/>
      </c>
    </row>
    <row r="2966">
      <c r="A2966" s="13" t="inlineStr">
        <is>
          <t>CW15_F</t>
        </is>
      </c>
      <c r="B2966" s="13" t="inlineStr">
        <is>
          <t>CW15</t>
        </is>
      </c>
      <c r="C2966" s="13" t="inlineStr">
        <is>
          <t>F</t>
        </is>
      </c>
      <c r="D2966" s="13" t="n">
        <v>0</v>
      </c>
      <c r="E2966" s="13" t="inlineStr">
        <is>
          <t>W</t>
        </is>
      </c>
      <c r="F2966" s="13" t="n">
        <v>2023</v>
      </c>
      <c r="G2966" s="14" t="n">
        <v>69525.30058363377</v>
      </c>
      <c r="H2966" s="14" t="n">
        <v>2245.56208262724</v>
      </c>
      <c r="I2966" s="14" t="n">
        <v>51826.40083803664</v>
      </c>
      <c r="J2966" s="14" t="n">
        <v>0</v>
      </c>
      <c r="K2966" s="14" t="n">
        <v>15453.33766296985</v>
      </c>
      <c r="L2966" s="14" t="n">
        <v>0</v>
      </c>
      <c r="M2966" s="14" t="n">
        <v>0</v>
      </c>
      <c r="N2966" s="14" t="n">
        <v>23516.45481390859</v>
      </c>
      <c r="O2966" s="14" t="n">
        <v>69525.30058363377</v>
      </c>
      <c r="P2966" s="14" t="n">
        <v>21468.34731349571</v>
      </c>
      <c r="Q2966" s="14" t="n">
        <v>491682.7727997425</v>
      </c>
      <c r="R2966" s="15">
        <f>IF(D2966=1,"Section 1","Control")</f>
        <v/>
      </c>
      <c r="S2966" s="16">
        <f>N2966/10000</f>
        <v/>
      </c>
      <c r="T2966" s="16">
        <f>P2966/10000</f>
        <v/>
      </c>
      <c r="U2966" s="15">
        <f>IF(N2966&gt;=Summary!$D$3,1,0)</f>
        <v/>
      </c>
      <c r="V2966" s="17">
        <f>IF(N2966&gt;0,P2966/N2966,"")</f>
        <v/>
      </c>
      <c r="W2966" s="17">
        <f>IF(O2966&gt;0,H2966/O2966,"")</f>
        <v/>
      </c>
    </row>
    <row r="2967">
      <c r="A2967" s="13" t="inlineStr">
        <is>
          <t>CW15_F</t>
        </is>
      </c>
      <c r="B2967" s="13" t="inlineStr">
        <is>
          <t>CW15</t>
        </is>
      </c>
      <c r="C2967" s="13" t="inlineStr">
        <is>
          <t>F</t>
        </is>
      </c>
      <c r="D2967" s="13" t="n">
        <v>0</v>
      </c>
      <c r="E2967" s="13" t="inlineStr">
        <is>
          <t>W</t>
        </is>
      </c>
      <c r="F2967" s="13" t="n">
        <v>2024</v>
      </c>
      <c r="G2967" s="14" t="n">
        <v>69525.30058363377</v>
      </c>
      <c r="H2967" s="14" t="n">
        <v>9676.823205895518</v>
      </c>
      <c r="I2967" s="14" t="n">
        <v>42807.37427990483</v>
      </c>
      <c r="J2967" s="14" t="n">
        <v>0</v>
      </c>
      <c r="K2967" s="14" t="n">
        <v>17041.10309783337</v>
      </c>
      <c r="L2967" s="14" t="n">
        <v>0</v>
      </c>
      <c r="M2967" s="14" t="n">
        <v>0</v>
      </c>
      <c r="N2967" s="14" t="n">
        <v>23516.45481390859</v>
      </c>
      <c r="O2967" s="14" t="n">
        <v>69525.30058363377</v>
      </c>
      <c r="P2967" s="14" t="n">
        <v>17605.98027478386</v>
      </c>
      <c r="Q2967" s="14" t="n">
        <v>491682.7727997425</v>
      </c>
      <c r="R2967" s="15">
        <f>IF(D2967=1,"Section 1","Control")</f>
        <v/>
      </c>
      <c r="S2967" s="16">
        <f>N2967/10000</f>
        <v/>
      </c>
      <c r="T2967" s="16">
        <f>P2967/10000</f>
        <v/>
      </c>
      <c r="U2967" s="15">
        <f>IF(N2967&gt;=Summary!$D$3,1,0)</f>
        <v/>
      </c>
      <c r="V2967" s="17">
        <f>IF(N2967&gt;0,P2967/N2967,"")</f>
        <v/>
      </c>
      <c r="W2967" s="17">
        <f>IF(O2967&gt;0,H2967/O2967,"")</f>
        <v/>
      </c>
    </row>
    <row r="2968">
      <c r="A2968" s="13" t="inlineStr">
        <is>
          <t>CW15_F</t>
        </is>
      </c>
      <c r="B2968" s="13" t="inlineStr">
        <is>
          <t>CW15</t>
        </is>
      </c>
      <c r="C2968" s="13" t="inlineStr">
        <is>
          <t>F</t>
        </is>
      </c>
      <c r="D2968" s="13" t="n">
        <v>0</v>
      </c>
      <c r="E2968" s="13" t="inlineStr">
        <is>
          <t>W</t>
        </is>
      </c>
      <c r="F2968" s="13" t="n">
        <v>2025</v>
      </c>
      <c r="G2968" s="14" t="n">
        <v>69525.30058363377</v>
      </c>
      <c r="H2968" s="14" t="n">
        <v>98.72732543945312</v>
      </c>
      <c r="I2968" s="14" t="n">
        <v>67887.97650326003</v>
      </c>
      <c r="J2968" s="14" t="n">
        <v>0</v>
      </c>
      <c r="K2968" s="14" t="n">
        <v>1538.596754934274</v>
      </c>
      <c r="L2968" s="14" t="n">
        <v>0</v>
      </c>
      <c r="M2968" s="14" t="n">
        <v>0</v>
      </c>
      <c r="N2968" s="14" t="n">
        <v>23516.45481390859</v>
      </c>
      <c r="O2968" s="14" t="n">
        <v>69525.30058363377</v>
      </c>
      <c r="P2968" s="14" t="n">
        <v>23417.72748846914</v>
      </c>
      <c r="Q2968" s="14" t="n">
        <v>491682.7727997425</v>
      </c>
      <c r="R2968" s="15">
        <f>IF(D2968=1,"Section 1","Control")</f>
        <v/>
      </c>
      <c r="S2968" s="16">
        <f>N2968/10000</f>
        <v/>
      </c>
      <c r="T2968" s="16">
        <f>P2968/10000</f>
        <v/>
      </c>
      <c r="U2968" s="15">
        <f>IF(N2968&gt;=Summary!$D$3,1,0)</f>
        <v/>
      </c>
      <c r="V2968" s="17">
        <f>IF(N2968&gt;0,P2968/N2968,"")</f>
        <v/>
      </c>
      <c r="W2968" s="17">
        <f>IF(O2968&gt;0,H2968/O2968,"")</f>
        <v/>
      </c>
    </row>
    <row r="2969">
      <c r="A2969" s="13" t="inlineStr">
        <is>
          <t>CW15_F</t>
        </is>
      </c>
      <c r="B2969" s="13" t="inlineStr">
        <is>
          <t>CW15</t>
        </is>
      </c>
      <c r="C2969" s="13" t="inlineStr">
        <is>
          <t>F</t>
        </is>
      </c>
      <c r="D2969" s="13" t="n">
        <v>0</v>
      </c>
      <c r="E2969" s="13" t="inlineStr">
        <is>
          <t>W</t>
        </is>
      </c>
      <c r="F2969" s="13" t="n">
        <v>2026</v>
      </c>
      <c r="G2969" s="14" t="n">
        <v>69525.30058363377</v>
      </c>
      <c r="H2969" s="14" t="n">
        <v>2243.626347171559</v>
      </c>
      <c r="I2969" s="14" t="n">
        <v>48996.60426417332</v>
      </c>
      <c r="J2969" s="14" t="n">
        <v>0</v>
      </c>
      <c r="K2969" s="14" t="n">
        <v>18285.06997228884</v>
      </c>
      <c r="L2969" s="14" t="n">
        <v>0</v>
      </c>
      <c r="M2969" s="14" t="n">
        <v>0</v>
      </c>
      <c r="N2969" s="14" t="n">
        <v>23516.45481390859</v>
      </c>
      <c r="O2969" s="14" t="n">
        <v>69525.30058363377</v>
      </c>
      <c r="P2969" s="14" t="n">
        <v>21949.20717961928</v>
      </c>
      <c r="Q2969" s="14" t="n">
        <v>491682.7727997425</v>
      </c>
      <c r="R2969" s="15">
        <f>IF(D2969=1,"Section 1","Control")</f>
        <v/>
      </c>
      <c r="S2969" s="16">
        <f>N2969/10000</f>
        <v/>
      </c>
      <c r="T2969" s="16">
        <f>P2969/10000</f>
        <v/>
      </c>
      <c r="U2969" s="15">
        <f>IF(N2969&gt;=Summary!$D$3,1,0)</f>
        <v/>
      </c>
      <c r="V2969" s="17">
        <f>IF(N2969&gt;0,P2969/N2969,"")</f>
        <v/>
      </c>
      <c r="W2969" s="17">
        <f>IF(O2969&gt;0,H2969/O2969,"")</f>
        <v/>
      </c>
    </row>
    <row r="2970">
      <c r="A2970" s="13" t="inlineStr">
        <is>
          <t>CW16_B1</t>
        </is>
      </c>
      <c r="B2970" s="13" t="inlineStr">
        <is>
          <t>CW16</t>
        </is>
      </c>
      <c r="C2970" s="13" t="inlineStr">
        <is>
          <t>B1</t>
        </is>
      </c>
      <c r="D2970" s="13" t="n">
        <v>0</v>
      </c>
      <c r="E2970" s="13" t="inlineStr">
        <is>
          <t>W</t>
        </is>
      </c>
      <c r="F2970" s="13" t="n">
        <v>2020</v>
      </c>
      <c r="G2970" s="14" t="n">
        <v>1000775.78925518</v>
      </c>
      <c r="H2970" s="14" t="n">
        <v>710735.4310469386</v>
      </c>
      <c r="I2970" s="14" t="n">
        <v>183955.8255699906</v>
      </c>
      <c r="J2970" s="14" t="n">
        <v>0</v>
      </c>
      <c r="K2970" s="14" t="n">
        <v>106084.5326382506</v>
      </c>
      <c r="L2970" s="14" t="n">
        <v>0</v>
      </c>
      <c r="M2970" s="14" t="n">
        <v>0</v>
      </c>
      <c r="N2970" s="14" t="n">
        <v>710735.4310469386</v>
      </c>
      <c r="O2970" s="14" t="n">
        <v>1000775.78925518</v>
      </c>
      <c r="P2970" s="14" t="n">
        <v>0</v>
      </c>
      <c r="Q2970" s="14" t="n">
        <v>7053753.822324334</v>
      </c>
      <c r="R2970" s="15">
        <f>IF(D2970=1,"Section 1","Control")</f>
        <v/>
      </c>
      <c r="S2970" s="16">
        <f>N2970/10000</f>
        <v/>
      </c>
      <c r="T2970" s="16">
        <f>P2970/10000</f>
        <v/>
      </c>
      <c r="U2970" s="15">
        <f>IF(N2970&gt;=Summary!$D$3,1,0)</f>
        <v/>
      </c>
      <c r="V2970" s="17">
        <f>IF(N2970&gt;0,P2970/N2970,"")</f>
        <v/>
      </c>
      <c r="W2970" s="17">
        <f>IF(O2970&gt;0,H2970/O2970,"")</f>
        <v/>
      </c>
    </row>
    <row r="2971">
      <c r="A2971" s="13" t="inlineStr">
        <is>
          <t>CW16_B1</t>
        </is>
      </c>
      <c r="B2971" s="13" t="inlineStr">
        <is>
          <t>CW16</t>
        </is>
      </c>
      <c r="C2971" s="13" t="inlineStr">
        <is>
          <t>B1</t>
        </is>
      </c>
      <c r="D2971" s="13" t="n">
        <v>0</v>
      </c>
      <c r="E2971" s="13" t="inlineStr">
        <is>
          <t>W</t>
        </is>
      </c>
      <c r="F2971" s="13" t="n">
        <v>2021</v>
      </c>
      <c r="G2971" s="14" t="n">
        <v>1000775.78925518</v>
      </c>
      <c r="H2971" s="14" t="n">
        <v>663886.7235484705</v>
      </c>
      <c r="I2971" s="14" t="n">
        <v>57186.12402149274</v>
      </c>
      <c r="J2971" s="14" t="n">
        <v>0</v>
      </c>
      <c r="K2971" s="14" t="n">
        <v>279702.9416852165</v>
      </c>
      <c r="L2971" s="14" t="n">
        <v>0</v>
      </c>
      <c r="M2971" s="14" t="n">
        <v>0</v>
      </c>
      <c r="N2971" s="14" t="n">
        <v>710735.4310469385</v>
      </c>
      <c r="O2971" s="14" t="n">
        <v>1000775.78925518</v>
      </c>
      <c r="P2971" s="14" t="n">
        <v>69402.74222720275</v>
      </c>
      <c r="Q2971" s="14" t="n">
        <v>7053753.822324333</v>
      </c>
      <c r="R2971" s="15">
        <f>IF(D2971=1,"Section 1","Control")</f>
        <v/>
      </c>
      <c r="S2971" s="16">
        <f>N2971/10000</f>
        <v/>
      </c>
      <c r="T2971" s="16">
        <f>P2971/10000</f>
        <v/>
      </c>
      <c r="U2971" s="15">
        <f>IF(N2971&gt;=Summary!$D$3,1,0)</f>
        <v/>
      </c>
      <c r="V2971" s="17">
        <f>IF(N2971&gt;0,P2971/N2971,"")</f>
        <v/>
      </c>
      <c r="W2971" s="17">
        <f>IF(O2971&gt;0,H2971/O2971,"")</f>
        <v/>
      </c>
    </row>
    <row r="2972">
      <c r="A2972" s="13" t="inlineStr">
        <is>
          <t>CW16_B1</t>
        </is>
      </c>
      <c r="B2972" s="13" t="inlineStr">
        <is>
          <t>CW16</t>
        </is>
      </c>
      <c r="C2972" s="13" t="inlineStr">
        <is>
          <t>B1</t>
        </is>
      </c>
      <c r="D2972" s="13" t="n">
        <v>0</v>
      </c>
      <c r="E2972" s="13" t="inlineStr">
        <is>
          <t>W</t>
        </is>
      </c>
      <c r="F2972" s="13" t="n">
        <v>2022</v>
      </c>
      <c r="G2972" s="14" t="n">
        <v>1000775.78925518</v>
      </c>
      <c r="H2972" s="14" t="n">
        <v>610937.7009481394</v>
      </c>
      <c r="I2972" s="14" t="n">
        <v>158922.7837031346</v>
      </c>
      <c r="J2972" s="14" t="n">
        <v>0</v>
      </c>
      <c r="K2972" s="14" t="n">
        <v>230915.3046039057</v>
      </c>
      <c r="L2972" s="14" t="n">
        <v>0</v>
      </c>
      <c r="M2972" s="14" t="n">
        <v>0</v>
      </c>
      <c r="N2972" s="14" t="n">
        <v>710735.4310469385</v>
      </c>
      <c r="O2972" s="14" t="n">
        <v>1000775.78925518</v>
      </c>
      <c r="P2972" s="14" t="n">
        <v>107992.1070366654</v>
      </c>
      <c r="Q2972" s="14" t="n">
        <v>7053753.822324333</v>
      </c>
      <c r="R2972" s="15">
        <f>IF(D2972=1,"Section 1","Control")</f>
        <v/>
      </c>
      <c r="S2972" s="16">
        <f>N2972/10000</f>
        <v/>
      </c>
      <c r="T2972" s="16">
        <f>P2972/10000</f>
        <v/>
      </c>
      <c r="U2972" s="15">
        <f>IF(N2972&gt;=Summary!$D$3,1,0)</f>
        <v/>
      </c>
      <c r="V2972" s="17">
        <f>IF(N2972&gt;0,P2972/N2972,"")</f>
        <v/>
      </c>
      <c r="W2972" s="17">
        <f>IF(O2972&gt;0,H2972/O2972,"")</f>
        <v/>
      </c>
    </row>
    <row r="2973">
      <c r="A2973" s="13" t="inlineStr">
        <is>
          <t>CW16_B1</t>
        </is>
      </c>
      <c r="B2973" s="13" t="inlineStr">
        <is>
          <t>CW16</t>
        </is>
      </c>
      <c r="C2973" s="13" t="inlineStr">
        <is>
          <t>B1</t>
        </is>
      </c>
      <c r="D2973" s="13" t="n">
        <v>0</v>
      </c>
      <c r="E2973" s="13" t="inlineStr">
        <is>
          <t>W</t>
        </is>
      </c>
      <c r="F2973" s="13" t="n">
        <v>2023</v>
      </c>
      <c r="G2973" s="14" t="n">
        <v>1000775.78925518</v>
      </c>
      <c r="H2973" s="14" t="n">
        <v>630470.2982435041</v>
      </c>
      <c r="I2973" s="14" t="n">
        <v>154557.1132517497</v>
      </c>
      <c r="J2973" s="14" t="n">
        <v>0</v>
      </c>
      <c r="K2973" s="14" t="n">
        <v>215748.377759926</v>
      </c>
      <c r="L2973" s="14" t="n">
        <v>0</v>
      </c>
      <c r="M2973" s="14" t="n">
        <v>0</v>
      </c>
      <c r="N2973" s="14" t="n">
        <v>710735.4310469386</v>
      </c>
      <c r="O2973" s="14" t="n">
        <v>1000775.78925518</v>
      </c>
      <c r="P2973" s="14" t="n">
        <v>99026.45611970194</v>
      </c>
      <c r="Q2973" s="14" t="n">
        <v>7053753.822324334</v>
      </c>
      <c r="R2973" s="15">
        <f>IF(D2973=1,"Section 1","Control")</f>
        <v/>
      </c>
      <c r="S2973" s="16">
        <f>N2973/10000</f>
        <v/>
      </c>
      <c r="T2973" s="16">
        <f>P2973/10000</f>
        <v/>
      </c>
      <c r="U2973" s="15">
        <f>IF(N2973&gt;=Summary!$D$3,1,0)</f>
        <v/>
      </c>
      <c r="V2973" s="17">
        <f>IF(N2973&gt;0,P2973/N2973,"")</f>
        <v/>
      </c>
      <c r="W2973" s="17">
        <f>IF(O2973&gt;0,H2973/O2973,"")</f>
        <v/>
      </c>
    </row>
    <row r="2974">
      <c r="A2974" s="13" t="inlineStr">
        <is>
          <t>CW16_B1</t>
        </is>
      </c>
      <c r="B2974" s="13" t="inlineStr">
        <is>
          <t>CW16</t>
        </is>
      </c>
      <c r="C2974" s="13" t="inlineStr">
        <is>
          <t>B1</t>
        </is>
      </c>
      <c r="D2974" s="13" t="n">
        <v>0</v>
      </c>
      <c r="E2974" s="13" t="inlineStr">
        <is>
          <t>W</t>
        </is>
      </c>
      <c r="F2974" s="13" t="n">
        <v>2024</v>
      </c>
      <c r="G2974" s="14" t="n">
        <v>1000775.78925518</v>
      </c>
      <c r="H2974" s="14" t="n">
        <v>665027.2792545696</v>
      </c>
      <c r="I2974" s="14" t="n">
        <v>139221.8269275441</v>
      </c>
      <c r="J2974" s="14" t="n">
        <v>0</v>
      </c>
      <c r="K2974" s="14" t="n">
        <v>196526.6830730662</v>
      </c>
      <c r="L2974" s="14" t="n">
        <v>0</v>
      </c>
      <c r="M2974" s="14" t="n">
        <v>0</v>
      </c>
      <c r="N2974" s="14" t="n">
        <v>710735.4310469385</v>
      </c>
      <c r="O2974" s="14" t="n">
        <v>1000775.78925518</v>
      </c>
      <c r="P2974" s="14" t="n">
        <v>86888.36484805838</v>
      </c>
      <c r="Q2974" s="14" t="n">
        <v>7053753.822324333</v>
      </c>
      <c r="R2974" s="15">
        <f>IF(D2974=1,"Section 1","Control")</f>
        <v/>
      </c>
      <c r="S2974" s="16">
        <f>N2974/10000</f>
        <v/>
      </c>
      <c r="T2974" s="16">
        <f>P2974/10000</f>
        <v/>
      </c>
      <c r="U2974" s="15">
        <f>IF(N2974&gt;=Summary!$D$3,1,0)</f>
        <v/>
      </c>
      <c r="V2974" s="17">
        <f>IF(N2974&gt;0,P2974/N2974,"")</f>
        <v/>
      </c>
      <c r="W2974" s="17">
        <f>IF(O2974&gt;0,H2974/O2974,"")</f>
        <v/>
      </c>
    </row>
    <row r="2975">
      <c r="A2975" s="13" t="inlineStr">
        <is>
          <t>CW16_B1</t>
        </is>
      </c>
      <c r="B2975" s="13" t="inlineStr">
        <is>
          <t>CW16</t>
        </is>
      </c>
      <c r="C2975" s="13" t="inlineStr">
        <is>
          <t>B1</t>
        </is>
      </c>
      <c r="D2975" s="13" t="n">
        <v>0</v>
      </c>
      <c r="E2975" s="13" t="inlineStr">
        <is>
          <t>W</t>
        </is>
      </c>
      <c r="F2975" s="13" t="n">
        <v>2025</v>
      </c>
      <c r="G2975" s="14" t="n">
        <v>1000775.78925518</v>
      </c>
      <c r="H2975" s="14" t="n">
        <v>590503.4749714872</v>
      </c>
      <c r="I2975" s="14" t="n">
        <v>261799.1761884502</v>
      </c>
      <c r="J2975" s="14" t="n">
        <v>0</v>
      </c>
      <c r="K2975" s="14" t="n">
        <v>148473.1380952423</v>
      </c>
      <c r="L2975" s="14" t="n">
        <v>0</v>
      </c>
      <c r="M2975" s="14" t="n">
        <v>0</v>
      </c>
      <c r="N2975" s="14" t="n">
        <v>710735.4310469385</v>
      </c>
      <c r="O2975" s="14" t="n">
        <v>1000775.78925518</v>
      </c>
      <c r="P2975" s="14" t="n">
        <v>132539.2125864066</v>
      </c>
      <c r="Q2975" s="14" t="n">
        <v>7053753.822324333</v>
      </c>
      <c r="R2975" s="15">
        <f>IF(D2975=1,"Section 1","Control")</f>
        <v/>
      </c>
      <c r="S2975" s="16">
        <f>N2975/10000</f>
        <v/>
      </c>
      <c r="T2975" s="16">
        <f>P2975/10000</f>
        <v/>
      </c>
      <c r="U2975" s="15">
        <f>IF(N2975&gt;=Summary!$D$3,1,0)</f>
        <v/>
      </c>
      <c r="V2975" s="17">
        <f>IF(N2975&gt;0,P2975/N2975,"")</f>
        <v/>
      </c>
      <c r="W2975" s="17">
        <f>IF(O2975&gt;0,H2975/O2975,"")</f>
        <v/>
      </c>
    </row>
    <row r="2976">
      <c r="A2976" s="13" t="inlineStr">
        <is>
          <t>CW16_B1</t>
        </is>
      </c>
      <c r="B2976" s="13" t="inlineStr">
        <is>
          <t>CW16</t>
        </is>
      </c>
      <c r="C2976" s="13" t="inlineStr">
        <is>
          <t>B1</t>
        </is>
      </c>
      <c r="D2976" s="13" t="n">
        <v>0</v>
      </c>
      <c r="E2976" s="13" t="inlineStr">
        <is>
          <t>W</t>
        </is>
      </c>
      <c r="F2976" s="13" t="n">
        <v>2026</v>
      </c>
      <c r="G2976" s="14" t="n">
        <v>1000775.78925518</v>
      </c>
      <c r="H2976" s="14" t="n">
        <v>666155.5044685515</v>
      </c>
      <c r="I2976" s="14" t="n">
        <v>128547.5798473583</v>
      </c>
      <c r="J2976" s="14" t="n">
        <v>0</v>
      </c>
      <c r="K2976" s="14" t="n">
        <v>206072.70493927</v>
      </c>
      <c r="L2976" s="14" t="n">
        <v>0</v>
      </c>
      <c r="M2976" s="14" t="n">
        <v>0</v>
      </c>
      <c r="N2976" s="14" t="n">
        <v>710735.4310469385</v>
      </c>
      <c r="O2976" s="14" t="n">
        <v>1000775.78925518</v>
      </c>
      <c r="P2976" s="14" t="n">
        <v>89582.63925000362</v>
      </c>
      <c r="Q2976" s="14" t="n">
        <v>7053753.822324333</v>
      </c>
      <c r="R2976" s="15">
        <f>IF(D2976=1,"Section 1","Control")</f>
        <v/>
      </c>
      <c r="S2976" s="16">
        <f>N2976/10000</f>
        <v/>
      </c>
      <c r="T2976" s="16">
        <f>P2976/10000</f>
        <v/>
      </c>
      <c r="U2976" s="15">
        <f>IF(N2976&gt;=Summary!$D$3,1,0)</f>
        <v/>
      </c>
      <c r="V2976" s="17">
        <f>IF(N2976&gt;0,P2976/N2976,"")</f>
        <v/>
      </c>
      <c r="W2976" s="17">
        <f>IF(O2976&gt;0,H2976/O2976,"")</f>
        <v/>
      </c>
    </row>
    <row r="2977">
      <c r="A2977" s="13" t="inlineStr">
        <is>
          <t>CW16_B2</t>
        </is>
      </c>
      <c r="B2977" s="13" t="inlineStr">
        <is>
          <t>CW16</t>
        </is>
      </c>
      <c r="C2977" s="13" t="inlineStr">
        <is>
          <t>B2</t>
        </is>
      </c>
      <c r="D2977" s="13" t="n">
        <v>0</v>
      </c>
      <c r="E2977" s="13" t="inlineStr">
        <is>
          <t>W</t>
        </is>
      </c>
      <c r="F2977" s="13" t="n">
        <v>2020</v>
      </c>
      <c r="G2977" s="14" t="n">
        <v>1001305.416653024</v>
      </c>
      <c r="H2977" s="14" t="n">
        <v>768566.2367264093</v>
      </c>
      <c r="I2977" s="14" t="n">
        <v>134228.8989453185</v>
      </c>
      <c r="J2977" s="14" t="n">
        <v>0</v>
      </c>
      <c r="K2977" s="14" t="n">
        <v>98510.28098129571</v>
      </c>
      <c r="L2977" s="14" t="n">
        <v>0</v>
      </c>
      <c r="M2977" s="14" t="n">
        <v>0</v>
      </c>
      <c r="N2977" s="14" t="n">
        <v>768566.2367264093</v>
      </c>
      <c r="O2977" s="14" t="n">
        <v>1001305.416653024</v>
      </c>
      <c r="P2977" s="14" t="n">
        <v>0</v>
      </c>
      <c r="Q2977" s="14" t="n">
        <v>7578074.120882217</v>
      </c>
      <c r="R2977" s="15">
        <f>IF(D2977=1,"Section 1","Control")</f>
        <v/>
      </c>
      <c r="S2977" s="16">
        <f>N2977/10000</f>
        <v/>
      </c>
      <c r="T2977" s="16">
        <f>P2977/10000</f>
        <v/>
      </c>
      <c r="U2977" s="15">
        <f>IF(N2977&gt;=Summary!$D$3,1,0)</f>
        <v/>
      </c>
      <c r="V2977" s="17">
        <f>IF(N2977&gt;0,P2977/N2977,"")</f>
        <v/>
      </c>
      <c r="W2977" s="17">
        <f>IF(O2977&gt;0,H2977/O2977,"")</f>
        <v/>
      </c>
    </row>
    <row r="2978">
      <c r="A2978" s="13" t="inlineStr">
        <is>
          <t>CW16_B2</t>
        </is>
      </c>
      <c r="B2978" s="13" t="inlineStr">
        <is>
          <t>CW16</t>
        </is>
      </c>
      <c r="C2978" s="13" t="inlineStr">
        <is>
          <t>B2</t>
        </is>
      </c>
      <c r="D2978" s="13" t="n">
        <v>0</v>
      </c>
      <c r="E2978" s="13" t="inlineStr">
        <is>
          <t>W</t>
        </is>
      </c>
      <c r="F2978" s="13" t="n">
        <v>2021</v>
      </c>
      <c r="G2978" s="14" t="n">
        <v>1001305.416653024</v>
      </c>
      <c r="H2978" s="14" t="n">
        <v>739274.7815985885</v>
      </c>
      <c r="I2978" s="14" t="n">
        <v>58826.87112881529</v>
      </c>
      <c r="J2978" s="14" t="n">
        <v>0</v>
      </c>
      <c r="K2978" s="14" t="n">
        <v>203203.7639256197</v>
      </c>
      <c r="L2978" s="14" t="n">
        <v>0</v>
      </c>
      <c r="M2978" s="14" t="n">
        <v>0</v>
      </c>
      <c r="N2978" s="14" t="n">
        <v>768566.2367264093</v>
      </c>
      <c r="O2978" s="14" t="n">
        <v>1001305.416653024</v>
      </c>
      <c r="P2978" s="14" t="n">
        <v>47445.90641087551</v>
      </c>
      <c r="Q2978" s="14" t="n">
        <v>7578074.120882217</v>
      </c>
      <c r="R2978" s="15">
        <f>IF(D2978=1,"Section 1","Control")</f>
        <v/>
      </c>
      <c r="S2978" s="16">
        <f>N2978/10000</f>
        <v/>
      </c>
      <c r="T2978" s="16">
        <f>P2978/10000</f>
        <v/>
      </c>
      <c r="U2978" s="15">
        <f>IF(N2978&gt;=Summary!$D$3,1,0)</f>
        <v/>
      </c>
      <c r="V2978" s="17">
        <f>IF(N2978&gt;0,P2978/N2978,"")</f>
        <v/>
      </c>
      <c r="W2978" s="17">
        <f>IF(O2978&gt;0,H2978/O2978,"")</f>
        <v/>
      </c>
    </row>
    <row r="2979">
      <c r="A2979" s="13" t="inlineStr">
        <is>
          <t>CW16_B2</t>
        </is>
      </c>
      <c r="B2979" s="13" t="inlineStr">
        <is>
          <t>CW16</t>
        </is>
      </c>
      <c r="C2979" s="13" t="inlineStr">
        <is>
          <t>B2</t>
        </is>
      </c>
      <c r="D2979" s="13" t="n">
        <v>0</v>
      </c>
      <c r="E2979" s="13" t="inlineStr">
        <is>
          <t>W</t>
        </is>
      </c>
      <c r="F2979" s="13" t="n">
        <v>2022</v>
      </c>
      <c r="G2979" s="14" t="n">
        <v>1001305.416653024</v>
      </c>
      <c r="H2979" s="14" t="n">
        <v>686503.7642293593</v>
      </c>
      <c r="I2979" s="14" t="n">
        <v>155371.5487895292</v>
      </c>
      <c r="J2979" s="14" t="n">
        <v>0</v>
      </c>
      <c r="K2979" s="14" t="n">
        <v>159430.103634135</v>
      </c>
      <c r="L2979" s="14" t="n">
        <v>0</v>
      </c>
      <c r="M2979" s="14" t="n">
        <v>0</v>
      </c>
      <c r="N2979" s="14" t="n">
        <v>768566.2367264093</v>
      </c>
      <c r="O2979" s="14" t="n">
        <v>1001305.416653024</v>
      </c>
      <c r="P2979" s="14" t="n">
        <v>89820.99354316859</v>
      </c>
      <c r="Q2979" s="14" t="n">
        <v>7578074.120882217</v>
      </c>
      <c r="R2979" s="15">
        <f>IF(D2979=1,"Section 1","Control")</f>
        <v/>
      </c>
      <c r="S2979" s="16">
        <f>N2979/10000</f>
        <v/>
      </c>
      <c r="T2979" s="16">
        <f>P2979/10000</f>
        <v/>
      </c>
      <c r="U2979" s="15">
        <f>IF(N2979&gt;=Summary!$D$3,1,0)</f>
        <v/>
      </c>
      <c r="V2979" s="17">
        <f>IF(N2979&gt;0,P2979/N2979,"")</f>
        <v/>
      </c>
      <c r="W2979" s="17">
        <f>IF(O2979&gt;0,H2979/O2979,"")</f>
        <v/>
      </c>
    </row>
    <row r="2980">
      <c r="A2980" s="13" t="inlineStr">
        <is>
          <t>CW16_B2</t>
        </is>
      </c>
      <c r="B2980" s="13" t="inlineStr">
        <is>
          <t>CW16</t>
        </is>
      </c>
      <c r="C2980" s="13" t="inlineStr">
        <is>
          <t>B2</t>
        </is>
      </c>
      <c r="D2980" s="13" t="n">
        <v>0</v>
      </c>
      <c r="E2980" s="13" t="inlineStr">
        <is>
          <t>W</t>
        </is>
      </c>
      <c r="F2980" s="13" t="n">
        <v>2023</v>
      </c>
      <c r="G2980" s="14" t="n">
        <v>1001305.416653024</v>
      </c>
      <c r="H2980" s="14" t="n">
        <v>719937.1687444949</v>
      </c>
      <c r="I2980" s="14" t="n">
        <v>121392.6416525747</v>
      </c>
      <c r="J2980" s="14" t="n">
        <v>0</v>
      </c>
      <c r="K2980" s="14" t="n">
        <v>159975.6062559539</v>
      </c>
      <c r="L2980" s="14" t="n">
        <v>0</v>
      </c>
      <c r="M2980" s="14" t="n">
        <v>0</v>
      </c>
      <c r="N2980" s="14" t="n">
        <v>768566.2367264093</v>
      </c>
      <c r="O2980" s="14" t="n">
        <v>1001305.416653024</v>
      </c>
      <c r="P2980" s="14" t="n">
        <v>68964.85541205312</v>
      </c>
      <c r="Q2980" s="14" t="n">
        <v>7578074.120882217</v>
      </c>
      <c r="R2980" s="15">
        <f>IF(D2980=1,"Section 1","Control")</f>
        <v/>
      </c>
      <c r="S2980" s="16">
        <f>N2980/10000</f>
        <v/>
      </c>
      <c r="T2980" s="16">
        <f>P2980/10000</f>
        <v/>
      </c>
      <c r="U2980" s="15">
        <f>IF(N2980&gt;=Summary!$D$3,1,0)</f>
        <v/>
      </c>
      <c r="V2980" s="17">
        <f>IF(N2980&gt;0,P2980/N2980,"")</f>
        <v/>
      </c>
      <c r="W2980" s="17">
        <f>IF(O2980&gt;0,H2980/O2980,"")</f>
        <v/>
      </c>
    </row>
    <row r="2981">
      <c r="A2981" s="13" t="inlineStr">
        <is>
          <t>CW16_B2</t>
        </is>
      </c>
      <c r="B2981" s="13" t="inlineStr">
        <is>
          <t>CW16</t>
        </is>
      </c>
      <c r="C2981" s="13" t="inlineStr">
        <is>
          <t>B2</t>
        </is>
      </c>
      <c r="D2981" s="13" t="n">
        <v>0</v>
      </c>
      <c r="E2981" s="13" t="inlineStr">
        <is>
          <t>W</t>
        </is>
      </c>
      <c r="F2981" s="13" t="n">
        <v>2024</v>
      </c>
      <c r="G2981" s="14" t="n">
        <v>1001305.416653024</v>
      </c>
      <c r="H2981" s="14" t="n">
        <v>760399.6840829588</v>
      </c>
      <c r="I2981" s="14" t="n">
        <v>91653.99242110904</v>
      </c>
      <c r="J2981" s="14" t="n">
        <v>0</v>
      </c>
      <c r="K2981" s="14" t="n">
        <v>149251.7401489557</v>
      </c>
      <c r="L2981" s="14" t="n">
        <v>0</v>
      </c>
      <c r="M2981" s="14" t="n">
        <v>0</v>
      </c>
      <c r="N2981" s="14" t="n">
        <v>768566.2367264093</v>
      </c>
      <c r="O2981" s="14" t="n">
        <v>1001305.416653024</v>
      </c>
      <c r="P2981" s="14" t="n">
        <v>52700.95057627358</v>
      </c>
      <c r="Q2981" s="14" t="n">
        <v>7578074.120882217</v>
      </c>
      <c r="R2981" s="15">
        <f>IF(D2981=1,"Section 1","Control")</f>
        <v/>
      </c>
      <c r="S2981" s="16">
        <f>N2981/10000</f>
        <v/>
      </c>
      <c r="T2981" s="16">
        <f>P2981/10000</f>
        <v/>
      </c>
      <c r="U2981" s="15">
        <f>IF(N2981&gt;=Summary!$D$3,1,0)</f>
        <v/>
      </c>
      <c r="V2981" s="17">
        <f>IF(N2981&gt;0,P2981/N2981,"")</f>
        <v/>
      </c>
      <c r="W2981" s="17">
        <f>IF(O2981&gt;0,H2981/O2981,"")</f>
        <v/>
      </c>
    </row>
    <row r="2982">
      <c r="A2982" s="13" t="inlineStr">
        <is>
          <t>CW16_B2</t>
        </is>
      </c>
      <c r="B2982" s="13" t="inlineStr">
        <is>
          <t>CW16</t>
        </is>
      </c>
      <c r="C2982" s="13" t="inlineStr">
        <is>
          <t>B2</t>
        </is>
      </c>
      <c r="D2982" s="13" t="n">
        <v>0</v>
      </c>
      <c r="E2982" s="13" t="inlineStr">
        <is>
          <t>W</t>
        </is>
      </c>
      <c r="F2982" s="13" t="n">
        <v>2025</v>
      </c>
      <c r="G2982" s="14" t="n">
        <v>1001305.416653024</v>
      </c>
      <c r="H2982" s="14" t="n">
        <v>691983.1441950779</v>
      </c>
      <c r="I2982" s="14" t="n">
        <v>186934.4147444781</v>
      </c>
      <c r="J2982" s="14" t="n">
        <v>0</v>
      </c>
      <c r="K2982" s="14" t="n">
        <v>122387.8577134675</v>
      </c>
      <c r="L2982" s="14" t="n">
        <v>0</v>
      </c>
      <c r="M2982" s="14" t="n">
        <v>0</v>
      </c>
      <c r="N2982" s="14" t="n">
        <v>768566.2367264093</v>
      </c>
      <c r="O2982" s="14" t="n">
        <v>1001305.416653024</v>
      </c>
      <c r="P2982" s="14" t="n">
        <v>94017.04718493292</v>
      </c>
      <c r="Q2982" s="14" t="n">
        <v>7578074.120882217</v>
      </c>
      <c r="R2982" s="15">
        <f>IF(D2982=1,"Section 1","Control")</f>
        <v/>
      </c>
      <c r="S2982" s="16">
        <f>N2982/10000</f>
        <v/>
      </c>
      <c r="T2982" s="16">
        <f>P2982/10000</f>
        <v/>
      </c>
      <c r="U2982" s="15">
        <f>IF(N2982&gt;=Summary!$D$3,1,0)</f>
        <v/>
      </c>
      <c r="V2982" s="17">
        <f>IF(N2982&gt;0,P2982/N2982,"")</f>
        <v/>
      </c>
      <c r="W2982" s="17">
        <f>IF(O2982&gt;0,H2982/O2982,"")</f>
        <v/>
      </c>
    </row>
    <row r="2983">
      <c r="A2983" s="13" t="inlineStr">
        <is>
          <t>CW16_B2</t>
        </is>
      </c>
      <c r="B2983" s="13" t="inlineStr">
        <is>
          <t>CW16</t>
        </is>
      </c>
      <c r="C2983" s="13" t="inlineStr">
        <is>
          <t>B2</t>
        </is>
      </c>
      <c r="D2983" s="13" t="n">
        <v>0</v>
      </c>
      <c r="E2983" s="13" t="inlineStr">
        <is>
          <t>W</t>
        </is>
      </c>
      <c r="F2983" s="13" t="n">
        <v>2026</v>
      </c>
      <c r="G2983" s="14" t="n">
        <v>1001305.416653024</v>
      </c>
      <c r="H2983" s="14" t="n">
        <v>796871.6614234776</v>
      </c>
      <c r="I2983" s="14" t="n">
        <v>52417.9951015996</v>
      </c>
      <c r="J2983" s="14" t="n">
        <v>0</v>
      </c>
      <c r="K2983" s="14" t="n">
        <v>152015.7601279464</v>
      </c>
      <c r="L2983" s="14" t="n">
        <v>0</v>
      </c>
      <c r="M2983" s="14" t="n">
        <v>0</v>
      </c>
      <c r="N2983" s="14" t="n">
        <v>768566.2367264093</v>
      </c>
      <c r="O2983" s="14" t="n">
        <v>1001305.416653024</v>
      </c>
      <c r="P2983" s="14" t="n">
        <v>40829.50832268212</v>
      </c>
      <c r="Q2983" s="14" t="n">
        <v>7578074.120882217</v>
      </c>
      <c r="R2983" s="15">
        <f>IF(D2983=1,"Section 1","Control")</f>
        <v/>
      </c>
      <c r="S2983" s="16">
        <f>N2983/10000</f>
        <v/>
      </c>
      <c r="T2983" s="16">
        <f>P2983/10000</f>
        <v/>
      </c>
      <c r="U2983" s="15">
        <f>IF(N2983&gt;=Summary!$D$3,1,0)</f>
        <v/>
      </c>
      <c r="V2983" s="17">
        <f>IF(N2983&gt;0,P2983/N2983,"")</f>
        <v/>
      </c>
      <c r="W2983" s="17">
        <f>IF(O2983&gt;0,H2983/O2983,"")</f>
        <v/>
      </c>
    </row>
    <row r="2984">
      <c r="A2984" s="13" t="inlineStr">
        <is>
          <t>CW16_B3</t>
        </is>
      </c>
      <c r="B2984" s="13" t="inlineStr">
        <is>
          <t>CW16</t>
        </is>
      </c>
      <c r="C2984" s="13" t="inlineStr">
        <is>
          <t>B3</t>
        </is>
      </c>
      <c r="D2984" s="13" t="n">
        <v>0</v>
      </c>
      <c r="E2984" s="13" t="inlineStr">
        <is>
          <t>W</t>
        </is>
      </c>
      <c r="F2984" s="13" t="n">
        <v>2020</v>
      </c>
      <c r="G2984" s="14" t="n">
        <v>8008065.62242713</v>
      </c>
      <c r="H2984" s="14" t="n">
        <v>1877357.677001385</v>
      </c>
      <c r="I2984" s="14" t="n">
        <v>455264.7068995158</v>
      </c>
      <c r="J2984" s="14" t="n">
        <v>0</v>
      </c>
      <c r="K2984" s="14" t="n">
        <v>254454.6585657756</v>
      </c>
      <c r="L2984" s="14" t="n">
        <v>5420988.579960454</v>
      </c>
      <c r="M2984" s="14" t="n">
        <v>0</v>
      </c>
      <c r="N2984" s="14" t="n">
        <v>1877357.677001385</v>
      </c>
      <c r="O2984" s="14" t="n">
        <v>2587077.042466675</v>
      </c>
      <c r="P2984" s="14" t="n">
        <v>0</v>
      </c>
      <c r="Q2984" s="14" t="n">
        <v>9848881.119199565</v>
      </c>
      <c r="R2984" s="15">
        <f>IF(D2984=1,"Section 1","Control")</f>
        <v/>
      </c>
      <c r="S2984" s="16">
        <f>N2984/10000</f>
        <v/>
      </c>
      <c r="T2984" s="16">
        <f>P2984/10000</f>
        <v/>
      </c>
      <c r="U2984" s="15">
        <f>IF(N2984&gt;=Summary!$D$3,1,0)</f>
        <v/>
      </c>
      <c r="V2984" s="17">
        <f>IF(N2984&gt;0,P2984/N2984,"")</f>
        <v/>
      </c>
      <c r="W2984" s="17">
        <f>IF(O2984&gt;0,H2984/O2984,"")</f>
        <v/>
      </c>
    </row>
    <row r="2985">
      <c r="A2985" s="13" t="inlineStr">
        <is>
          <t>CW16_B3</t>
        </is>
      </c>
      <c r="B2985" s="13" t="inlineStr">
        <is>
          <t>CW16</t>
        </is>
      </c>
      <c r="C2985" s="13" t="inlineStr">
        <is>
          <t>B3</t>
        </is>
      </c>
      <c r="D2985" s="13" t="n">
        <v>0</v>
      </c>
      <c r="E2985" s="13" t="inlineStr">
        <is>
          <t>W</t>
        </is>
      </c>
      <c r="F2985" s="13" t="n">
        <v>2021</v>
      </c>
      <c r="G2985" s="14" t="n">
        <v>8008065.62242713</v>
      </c>
      <c r="H2985" s="14" t="n">
        <v>1670112.843925626</v>
      </c>
      <c r="I2985" s="14" t="n">
        <v>344741.8564868403</v>
      </c>
      <c r="J2985" s="14" t="n">
        <v>0</v>
      </c>
      <c r="K2985" s="14" t="n">
        <v>734014.2963011798</v>
      </c>
      <c r="L2985" s="14" t="n">
        <v>5259196.625713483</v>
      </c>
      <c r="M2985" s="14" t="n">
        <v>0</v>
      </c>
      <c r="N2985" s="14" t="n">
        <v>1877357.677001385</v>
      </c>
      <c r="O2985" s="14" t="n">
        <v>2587077.042466675</v>
      </c>
      <c r="P2985" s="14" t="n">
        <v>290611.7687468285</v>
      </c>
      <c r="Q2985" s="14" t="n">
        <v>9848881.119199565</v>
      </c>
      <c r="R2985" s="15">
        <f>IF(D2985=1,"Section 1","Control")</f>
        <v/>
      </c>
      <c r="S2985" s="16">
        <f>N2985/10000</f>
        <v/>
      </c>
      <c r="T2985" s="16">
        <f>P2985/10000</f>
        <v/>
      </c>
      <c r="U2985" s="15">
        <f>IF(N2985&gt;=Summary!$D$3,1,0)</f>
        <v/>
      </c>
      <c r="V2985" s="17">
        <f>IF(N2985&gt;0,P2985/N2985,"")</f>
        <v/>
      </c>
      <c r="W2985" s="17">
        <f>IF(O2985&gt;0,H2985/O2985,"")</f>
        <v/>
      </c>
    </row>
    <row r="2986">
      <c r="A2986" s="13" t="inlineStr">
        <is>
          <t>CW16_B3</t>
        </is>
      </c>
      <c r="B2986" s="13" t="inlineStr">
        <is>
          <t>CW16</t>
        </is>
      </c>
      <c r="C2986" s="13" t="inlineStr">
        <is>
          <t>B3</t>
        </is>
      </c>
      <c r="D2986" s="13" t="n">
        <v>0</v>
      </c>
      <c r="E2986" s="13" t="inlineStr">
        <is>
          <t>W</t>
        </is>
      </c>
      <c r="F2986" s="13" t="n">
        <v>2022</v>
      </c>
      <c r="G2986" s="14" t="n">
        <v>8008065.62242713</v>
      </c>
      <c r="H2986" s="14" t="n">
        <v>1648172.781832227</v>
      </c>
      <c r="I2986" s="14" t="n">
        <v>469615.7668866625</v>
      </c>
      <c r="J2986" s="14" t="n">
        <v>0</v>
      </c>
      <c r="K2986" s="14" t="n">
        <v>942585.5808016011</v>
      </c>
      <c r="L2986" s="14" t="n">
        <v>4947691.492906638</v>
      </c>
      <c r="M2986" s="14" t="n">
        <v>0</v>
      </c>
      <c r="N2986" s="14" t="n">
        <v>1877357.677001385</v>
      </c>
      <c r="O2986" s="14" t="n">
        <v>2587077.042466675</v>
      </c>
      <c r="P2986" s="14" t="n">
        <v>321901.4856621537</v>
      </c>
      <c r="Q2986" s="14" t="n">
        <v>9848881.119199565</v>
      </c>
      <c r="R2986" s="15">
        <f>IF(D2986=1,"Section 1","Control")</f>
        <v/>
      </c>
      <c r="S2986" s="16">
        <f>N2986/10000</f>
        <v/>
      </c>
      <c r="T2986" s="16">
        <f>P2986/10000</f>
        <v/>
      </c>
      <c r="U2986" s="15">
        <f>IF(N2986&gt;=Summary!$D$3,1,0)</f>
        <v/>
      </c>
      <c r="V2986" s="17">
        <f>IF(N2986&gt;0,P2986/N2986,"")</f>
        <v/>
      </c>
      <c r="W2986" s="17">
        <f>IF(O2986&gt;0,H2986/O2986,"")</f>
        <v/>
      </c>
    </row>
    <row r="2987">
      <c r="A2987" s="13" t="inlineStr">
        <is>
          <t>CW16_B3</t>
        </is>
      </c>
      <c r="B2987" s="13" t="inlineStr">
        <is>
          <t>CW16</t>
        </is>
      </c>
      <c r="C2987" s="13" t="inlineStr">
        <is>
          <t>B3</t>
        </is>
      </c>
      <c r="D2987" s="13" t="n">
        <v>0</v>
      </c>
      <c r="E2987" s="13" t="inlineStr">
        <is>
          <t>W</t>
        </is>
      </c>
      <c r="F2987" s="13" t="n">
        <v>2023</v>
      </c>
      <c r="G2987" s="14" t="n">
        <v>8008065.622427131</v>
      </c>
      <c r="H2987" s="14" t="n">
        <v>1655256.513111339</v>
      </c>
      <c r="I2987" s="14" t="n">
        <v>393964.8584114225</v>
      </c>
      <c r="J2987" s="14" t="n">
        <v>0</v>
      </c>
      <c r="K2987" s="14" t="n">
        <v>465673.843972898</v>
      </c>
      <c r="L2987" s="14" t="n">
        <v>5493170.406931471</v>
      </c>
      <c r="M2987" s="14" t="n">
        <v>0</v>
      </c>
      <c r="N2987" s="14" t="n">
        <v>1877357.677001385</v>
      </c>
      <c r="O2987" s="14" t="n">
        <v>2587077.042466675</v>
      </c>
      <c r="P2987" s="14" t="n">
        <v>319112.6770903044</v>
      </c>
      <c r="Q2987" s="14" t="n">
        <v>9848881.119199565</v>
      </c>
      <c r="R2987" s="15">
        <f>IF(D2987=1,"Section 1","Control")</f>
        <v/>
      </c>
      <c r="S2987" s="16">
        <f>N2987/10000</f>
        <v/>
      </c>
      <c r="T2987" s="16">
        <f>P2987/10000</f>
        <v/>
      </c>
      <c r="U2987" s="15">
        <f>IF(N2987&gt;=Summary!$D$3,1,0)</f>
        <v/>
      </c>
      <c r="V2987" s="17">
        <f>IF(N2987&gt;0,P2987/N2987,"")</f>
        <v/>
      </c>
      <c r="W2987" s="17">
        <f>IF(O2987&gt;0,H2987/O2987,"")</f>
        <v/>
      </c>
    </row>
    <row r="2988">
      <c r="A2988" s="13" t="inlineStr">
        <is>
          <t>CW16_B3</t>
        </is>
      </c>
      <c r="B2988" s="13" t="inlineStr">
        <is>
          <t>CW16</t>
        </is>
      </c>
      <c r="C2988" s="13" t="inlineStr">
        <is>
          <t>B3</t>
        </is>
      </c>
      <c r="D2988" s="13" t="n">
        <v>0</v>
      </c>
      <c r="E2988" s="13" t="inlineStr">
        <is>
          <t>W</t>
        </is>
      </c>
      <c r="F2988" s="13" t="n">
        <v>2024</v>
      </c>
      <c r="G2988" s="14" t="n">
        <v>8008065.62242713</v>
      </c>
      <c r="H2988" s="14" t="n">
        <v>1752958.91341059</v>
      </c>
      <c r="I2988" s="14" t="n">
        <v>327040.3958782121</v>
      </c>
      <c r="J2988" s="14" t="n">
        <v>0</v>
      </c>
      <c r="K2988" s="14" t="n">
        <v>442038.8164726706</v>
      </c>
      <c r="L2988" s="14" t="n">
        <v>5486027.496665657</v>
      </c>
      <c r="M2988" s="14" t="n">
        <v>0</v>
      </c>
      <c r="N2988" s="14" t="n">
        <v>1877357.677001385</v>
      </c>
      <c r="O2988" s="14" t="n">
        <v>2587077.042466675</v>
      </c>
      <c r="P2988" s="14" t="n">
        <v>276041.7708566703</v>
      </c>
      <c r="Q2988" s="14" t="n">
        <v>9848881.119199565</v>
      </c>
      <c r="R2988" s="15">
        <f>IF(D2988=1,"Section 1","Control")</f>
        <v/>
      </c>
      <c r="S2988" s="16">
        <f>N2988/10000</f>
        <v/>
      </c>
      <c r="T2988" s="16">
        <f>P2988/10000</f>
        <v/>
      </c>
      <c r="U2988" s="15">
        <f>IF(N2988&gt;=Summary!$D$3,1,0)</f>
        <v/>
      </c>
      <c r="V2988" s="17">
        <f>IF(N2988&gt;0,P2988/N2988,"")</f>
        <v/>
      </c>
      <c r="W2988" s="17">
        <f>IF(O2988&gt;0,H2988/O2988,"")</f>
        <v/>
      </c>
    </row>
    <row r="2989">
      <c r="A2989" s="13" t="inlineStr">
        <is>
          <t>CW16_B3</t>
        </is>
      </c>
      <c r="B2989" s="13" t="inlineStr">
        <is>
          <t>CW16</t>
        </is>
      </c>
      <c r="C2989" s="13" t="inlineStr">
        <is>
          <t>B3</t>
        </is>
      </c>
      <c r="D2989" s="13" t="n">
        <v>0</v>
      </c>
      <c r="E2989" s="13" t="inlineStr">
        <is>
          <t>W</t>
        </is>
      </c>
      <c r="F2989" s="13" t="n">
        <v>2025</v>
      </c>
      <c r="G2989" s="14" t="n">
        <v>8008065.622427129</v>
      </c>
      <c r="H2989" s="14" t="n">
        <v>1617739.92827301</v>
      </c>
      <c r="I2989" s="14" t="n">
        <v>526982.4648562863</v>
      </c>
      <c r="J2989" s="14" t="n">
        <v>0</v>
      </c>
      <c r="K2989" s="14" t="n">
        <v>431556.4866565779</v>
      </c>
      <c r="L2989" s="14" t="n">
        <v>5431786.742641256</v>
      </c>
      <c r="M2989" s="14" t="n">
        <v>0</v>
      </c>
      <c r="N2989" s="14" t="n">
        <v>1877357.677001385</v>
      </c>
      <c r="O2989" s="14" t="n">
        <v>2587077.042466675</v>
      </c>
      <c r="P2989" s="14" t="n">
        <v>403183.9269513298</v>
      </c>
      <c r="Q2989" s="14" t="n">
        <v>9848881.119199565</v>
      </c>
      <c r="R2989" s="15">
        <f>IF(D2989=1,"Section 1","Control")</f>
        <v/>
      </c>
      <c r="S2989" s="16">
        <f>N2989/10000</f>
        <v/>
      </c>
      <c r="T2989" s="16">
        <f>P2989/10000</f>
        <v/>
      </c>
      <c r="U2989" s="15">
        <f>IF(N2989&gt;=Summary!$D$3,1,0)</f>
        <v/>
      </c>
      <c r="V2989" s="17">
        <f>IF(N2989&gt;0,P2989/N2989,"")</f>
        <v/>
      </c>
      <c r="W2989" s="17">
        <f>IF(O2989&gt;0,H2989/O2989,"")</f>
        <v/>
      </c>
    </row>
    <row r="2990">
      <c r="A2990" s="13" t="inlineStr">
        <is>
          <t>CW16_B3</t>
        </is>
      </c>
      <c r="B2990" s="13" t="inlineStr">
        <is>
          <t>CW16</t>
        </is>
      </c>
      <c r="C2990" s="13" t="inlineStr">
        <is>
          <t>B3</t>
        </is>
      </c>
      <c r="D2990" s="13" t="n">
        <v>0</v>
      </c>
      <c r="E2990" s="13" t="inlineStr">
        <is>
          <t>W</t>
        </is>
      </c>
      <c r="F2990" s="13" t="n">
        <v>2026</v>
      </c>
      <c r="G2990" s="14" t="n">
        <v>8008065.622427129</v>
      </c>
      <c r="H2990" s="14" t="n">
        <v>1764608.530125188</v>
      </c>
      <c r="I2990" s="14" t="n">
        <v>292846.5393529556</v>
      </c>
      <c r="J2990" s="14" t="n">
        <v>0</v>
      </c>
      <c r="K2990" s="14" t="n">
        <v>447456.0419137095</v>
      </c>
      <c r="L2990" s="14" t="n">
        <v>5503154.511035278</v>
      </c>
      <c r="M2990" s="14" t="n">
        <v>0</v>
      </c>
      <c r="N2990" s="14" t="n">
        <v>1877357.677001385</v>
      </c>
      <c r="O2990" s="14" t="n">
        <v>2587077.042466675</v>
      </c>
      <c r="P2990" s="14" t="n">
        <v>283538.5434280994</v>
      </c>
      <c r="Q2990" s="14" t="n">
        <v>9848881.119199565</v>
      </c>
      <c r="R2990" s="15">
        <f>IF(D2990=1,"Section 1","Control")</f>
        <v/>
      </c>
      <c r="S2990" s="16">
        <f>N2990/10000</f>
        <v/>
      </c>
      <c r="T2990" s="16">
        <f>P2990/10000</f>
        <v/>
      </c>
      <c r="U2990" s="15">
        <f>IF(N2990&gt;=Summary!$D$3,1,0)</f>
        <v/>
      </c>
      <c r="V2990" s="17">
        <f>IF(N2990&gt;0,P2990/N2990,"")</f>
        <v/>
      </c>
      <c r="W2990" s="17">
        <f>IF(O2990&gt;0,H2990/O2990,"")</f>
        <v/>
      </c>
    </row>
    <row r="2991">
      <c r="A2991" s="13" t="inlineStr">
        <is>
          <t>CW16_F</t>
        </is>
      </c>
      <c r="B2991" s="13" t="inlineStr">
        <is>
          <t>CW16</t>
        </is>
      </c>
      <c r="C2991" s="13" t="inlineStr">
        <is>
          <t>F</t>
        </is>
      </c>
      <c r="D2991" s="13" t="n">
        <v>0</v>
      </c>
      <c r="E2991" s="13" t="inlineStr">
        <is>
          <t>W</t>
        </is>
      </c>
      <c r="F2991" s="13" t="n">
        <v>2020</v>
      </c>
      <c r="G2991" s="14" t="n">
        <v>69556.2865523394</v>
      </c>
      <c r="H2991" s="14" t="n">
        <v>42185.98228550331</v>
      </c>
      <c r="I2991" s="14" t="n">
        <v>15018.93848978679</v>
      </c>
      <c r="J2991" s="14" t="n">
        <v>0</v>
      </c>
      <c r="K2991" s="14" t="n">
        <v>12351.36577704935</v>
      </c>
      <c r="L2991" s="14" t="n">
        <v>0</v>
      </c>
      <c r="M2991" s="14" t="n">
        <v>0</v>
      </c>
      <c r="N2991" s="14" t="n">
        <v>42185.98228550331</v>
      </c>
      <c r="O2991" s="14" t="n">
        <v>69556.2865523394</v>
      </c>
      <c r="P2991" s="14" t="n">
        <v>0</v>
      </c>
      <c r="Q2991" s="14" t="n">
        <v>349533.3563063676</v>
      </c>
      <c r="R2991" s="15">
        <f>IF(D2991=1,"Section 1","Control")</f>
        <v/>
      </c>
      <c r="S2991" s="16">
        <f>N2991/10000</f>
        <v/>
      </c>
      <c r="T2991" s="16">
        <f>P2991/10000</f>
        <v/>
      </c>
      <c r="U2991" s="15">
        <f>IF(N2991&gt;=Summary!$D$3,1,0)</f>
        <v/>
      </c>
      <c r="V2991" s="17">
        <f>IF(N2991&gt;0,P2991/N2991,"")</f>
        <v/>
      </c>
      <c r="W2991" s="17">
        <f>IF(O2991&gt;0,H2991/O2991,"")</f>
        <v/>
      </c>
    </row>
    <row r="2992">
      <c r="A2992" s="13" t="inlineStr">
        <is>
          <t>CW16_F</t>
        </is>
      </c>
      <c r="B2992" s="13" t="inlineStr">
        <is>
          <t>CW16</t>
        </is>
      </c>
      <c r="C2992" s="13" t="inlineStr">
        <is>
          <t>F</t>
        </is>
      </c>
      <c r="D2992" s="13" t="n">
        <v>0</v>
      </c>
      <c r="E2992" s="13" t="inlineStr">
        <is>
          <t>W</t>
        </is>
      </c>
      <c r="F2992" s="13" t="n">
        <v>2021</v>
      </c>
      <c r="G2992" s="14" t="n">
        <v>69556.2865523394</v>
      </c>
      <c r="H2992" s="14" t="n">
        <v>36456.31446835386</v>
      </c>
      <c r="I2992" s="14" t="n">
        <v>3990.518779859356</v>
      </c>
      <c r="J2992" s="14" t="n">
        <v>0</v>
      </c>
      <c r="K2992" s="14" t="n">
        <v>29109.45330412621</v>
      </c>
      <c r="L2992" s="14" t="n">
        <v>0</v>
      </c>
      <c r="M2992" s="14" t="n">
        <v>0</v>
      </c>
      <c r="N2992" s="14" t="n">
        <v>42185.98228550331</v>
      </c>
      <c r="O2992" s="14" t="n">
        <v>69556.2865523394</v>
      </c>
      <c r="P2992" s="14" t="n">
        <v>7556.316775871721</v>
      </c>
      <c r="Q2992" s="14" t="n">
        <v>349533.3563063676</v>
      </c>
      <c r="R2992" s="15">
        <f>IF(D2992=1,"Section 1","Control")</f>
        <v/>
      </c>
      <c r="S2992" s="16">
        <f>N2992/10000</f>
        <v/>
      </c>
      <c r="T2992" s="16">
        <f>P2992/10000</f>
        <v/>
      </c>
      <c r="U2992" s="15">
        <f>IF(N2992&gt;=Summary!$D$3,1,0)</f>
        <v/>
      </c>
      <c r="V2992" s="17">
        <f>IF(N2992&gt;0,P2992/N2992,"")</f>
        <v/>
      </c>
      <c r="W2992" s="17">
        <f>IF(O2992&gt;0,H2992/O2992,"")</f>
        <v/>
      </c>
    </row>
    <row r="2993">
      <c r="A2993" s="13" t="inlineStr">
        <is>
          <t>CW16_F</t>
        </is>
      </c>
      <c r="B2993" s="13" t="inlineStr">
        <is>
          <t>CW16</t>
        </is>
      </c>
      <c r="C2993" s="13" t="inlineStr">
        <is>
          <t>F</t>
        </is>
      </c>
      <c r="D2993" s="13" t="n">
        <v>0</v>
      </c>
      <c r="E2993" s="13" t="inlineStr">
        <is>
          <t>W</t>
        </is>
      </c>
      <c r="F2993" s="13" t="n">
        <v>2022</v>
      </c>
      <c r="G2993" s="14" t="n">
        <v>69556.2865523394</v>
      </c>
      <c r="H2993" s="14" t="n">
        <v>32680.28498415478</v>
      </c>
      <c r="I2993" s="14" t="n">
        <v>13611.97784603344</v>
      </c>
      <c r="J2993" s="14" t="n">
        <v>0</v>
      </c>
      <c r="K2993" s="14" t="n">
        <v>23264.02372215122</v>
      </c>
      <c r="L2993" s="14" t="n">
        <v>0</v>
      </c>
      <c r="M2993" s="14" t="n">
        <v>0</v>
      </c>
      <c r="N2993" s="14" t="n">
        <v>42185.98228550331</v>
      </c>
      <c r="O2993" s="14" t="n">
        <v>69556.2865523394</v>
      </c>
      <c r="P2993" s="14" t="n">
        <v>9801.879224261111</v>
      </c>
      <c r="Q2993" s="14" t="n">
        <v>349533.3563063676</v>
      </c>
      <c r="R2993" s="15">
        <f>IF(D2993=1,"Section 1","Control")</f>
        <v/>
      </c>
      <c r="S2993" s="16">
        <f>N2993/10000</f>
        <v/>
      </c>
      <c r="T2993" s="16">
        <f>P2993/10000</f>
        <v/>
      </c>
      <c r="U2993" s="15">
        <f>IF(N2993&gt;=Summary!$D$3,1,0)</f>
        <v/>
      </c>
      <c r="V2993" s="17">
        <f>IF(N2993&gt;0,P2993/N2993,"")</f>
        <v/>
      </c>
      <c r="W2993" s="17">
        <f>IF(O2993&gt;0,H2993/O2993,"")</f>
        <v/>
      </c>
    </row>
    <row r="2994">
      <c r="A2994" s="13" t="inlineStr">
        <is>
          <t>CW16_F</t>
        </is>
      </c>
      <c r="B2994" s="13" t="inlineStr">
        <is>
          <t>CW16</t>
        </is>
      </c>
      <c r="C2994" s="13" t="inlineStr">
        <is>
          <t>F</t>
        </is>
      </c>
      <c r="D2994" s="13" t="n">
        <v>0</v>
      </c>
      <c r="E2994" s="13" t="inlineStr">
        <is>
          <t>W</t>
        </is>
      </c>
      <c r="F2994" s="13" t="n">
        <v>2023</v>
      </c>
      <c r="G2994" s="14" t="n">
        <v>69556.2865523394</v>
      </c>
      <c r="H2994" s="14" t="n">
        <v>34293.9927358889</v>
      </c>
      <c r="I2994" s="14" t="n">
        <v>8607.08460187725</v>
      </c>
      <c r="J2994" s="14" t="n">
        <v>0</v>
      </c>
      <c r="K2994" s="14" t="n">
        <v>26655.20921457328</v>
      </c>
      <c r="L2994" s="14" t="n">
        <v>0</v>
      </c>
      <c r="M2994" s="14" t="n">
        <v>0</v>
      </c>
      <c r="N2994" s="14" t="n">
        <v>42185.98228550331</v>
      </c>
      <c r="O2994" s="14" t="n">
        <v>69556.2865523394</v>
      </c>
      <c r="P2994" s="14" t="n">
        <v>9234.293734292418</v>
      </c>
      <c r="Q2994" s="14" t="n">
        <v>349533.3563063676</v>
      </c>
      <c r="R2994" s="15">
        <f>IF(D2994=1,"Section 1","Control")</f>
        <v/>
      </c>
      <c r="S2994" s="16">
        <f>N2994/10000</f>
        <v/>
      </c>
      <c r="T2994" s="16">
        <f>P2994/10000</f>
        <v/>
      </c>
      <c r="U2994" s="15">
        <f>IF(N2994&gt;=Summary!$D$3,1,0)</f>
        <v/>
      </c>
      <c r="V2994" s="17">
        <f>IF(N2994&gt;0,P2994/N2994,"")</f>
        <v/>
      </c>
      <c r="W2994" s="17">
        <f>IF(O2994&gt;0,H2994/O2994,"")</f>
        <v/>
      </c>
    </row>
    <row r="2995">
      <c r="A2995" s="13" t="inlineStr">
        <is>
          <t>CW16_F</t>
        </is>
      </c>
      <c r="B2995" s="13" t="inlineStr">
        <is>
          <t>CW16</t>
        </is>
      </c>
      <c r="C2995" s="13" t="inlineStr">
        <is>
          <t>F</t>
        </is>
      </c>
      <c r="D2995" s="13" t="n">
        <v>0</v>
      </c>
      <c r="E2995" s="13" t="inlineStr">
        <is>
          <t>W</t>
        </is>
      </c>
      <c r="F2995" s="13" t="n">
        <v>2024</v>
      </c>
      <c r="G2995" s="14" t="n">
        <v>69556.2865523394</v>
      </c>
      <c r="H2995" s="14" t="n">
        <v>35902.66724392759</v>
      </c>
      <c r="I2995" s="14" t="n">
        <v>9343.86176341936</v>
      </c>
      <c r="J2995" s="14" t="n">
        <v>0</v>
      </c>
      <c r="K2995" s="14" t="n">
        <v>24309.75754499249</v>
      </c>
      <c r="L2995" s="14" t="n">
        <v>0</v>
      </c>
      <c r="M2995" s="14" t="n">
        <v>0</v>
      </c>
      <c r="N2995" s="14" t="n">
        <v>42185.98228550331</v>
      </c>
      <c r="O2995" s="14" t="n">
        <v>69556.2865523394</v>
      </c>
      <c r="P2995" s="14" t="n">
        <v>8987.281925605319</v>
      </c>
      <c r="Q2995" s="14" t="n">
        <v>349533.3563063676</v>
      </c>
      <c r="R2995" s="15">
        <f>IF(D2995=1,"Section 1","Control")</f>
        <v/>
      </c>
      <c r="S2995" s="16">
        <f>N2995/10000</f>
        <v/>
      </c>
      <c r="T2995" s="16">
        <f>P2995/10000</f>
        <v/>
      </c>
      <c r="U2995" s="15">
        <f>IF(N2995&gt;=Summary!$D$3,1,0)</f>
        <v/>
      </c>
      <c r="V2995" s="17">
        <f>IF(N2995&gt;0,P2995/N2995,"")</f>
        <v/>
      </c>
      <c r="W2995" s="17">
        <f>IF(O2995&gt;0,H2995/O2995,"")</f>
        <v/>
      </c>
    </row>
    <row r="2996">
      <c r="A2996" s="13" t="inlineStr">
        <is>
          <t>CW16_F</t>
        </is>
      </c>
      <c r="B2996" s="13" t="inlineStr">
        <is>
          <t>CW16</t>
        </is>
      </c>
      <c r="C2996" s="13" t="inlineStr">
        <is>
          <t>F</t>
        </is>
      </c>
      <c r="D2996" s="13" t="n">
        <v>0</v>
      </c>
      <c r="E2996" s="13" t="inlineStr">
        <is>
          <t>W</t>
        </is>
      </c>
      <c r="F2996" s="13" t="n">
        <v>2025</v>
      </c>
      <c r="G2996" s="14" t="n">
        <v>69556.2865523394</v>
      </c>
      <c r="H2996" s="14" t="n">
        <v>30687.1547896142</v>
      </c>
      <c r="I2996" s="14" t="n">
        <v>21439.31120602478</v>
      </c>
      <c r="J2996" s="14" t="n">
        <v>0</v>
      </c>
      <c r="K2996" s="14" t="n">
        <v>17429.82055670046</v>
      </c>
      <c r="L2996" s="14" t="n">
        <v>0</v>
      </c>
      <c r="M2996" s="14" t="n">
        <v>0</v>
      </c>
      <c r="N2996" s="14" t="n">
        <v>42185.98228550331</v>
      </c>
      <c r="O2996" s="14" t="n">
        <v>69556.2865523394</v>
      </c>
      <c r="P2996" s="14" t="n">
        <v>11927.42014528162</v>
      </c>
      <c r="Q2996" s="14" t="n">
        <v>349533.3563063676</v>
      </c>
      <c r="R2996" s="15">
        <f>IF(D2996=1,"Section 1","Control")</f>
        <v/>
      </c>
      <c r="S2996" s="16">
        <f>N2996/10000</f>
        <v/>
      </c>
      <c r="T2996" s="16">
        <f>P2996/10000</f>
        <v/>
      </c>
      <c r="U2996" s="15">
        <f>IF(N2996&gt;=Summary!$D$3,1,0)</f>
        <v/>
      </c>
      <c r="V2996" s="17">
        <f>IF(N2996&gt;0,P2996/N2996,"")</f>
        <v/>
      </c>
      <c r="W2996" s="17">
        <f>IF(O2996&gt;0,H2996/O2996,"")</f>
        <v/>
      </c>
    </row>
    <row r="2997">
      <c r="A2997" s="13" t="inlineStr">
        <is>
          <t>CW16_F</t>
        </is>
      </c>
      <c r="B2997" s="13" t="inlineStr">
        <is>
          <t>CW16</t>
        </is>
      </c>
      <c r="C2997" s="13" t="inlineStr">
        <is>
          <t>F</t>
        </is>
      </c>
      <c r="D2997" s="13" t="n">
        <v>0</v>
      </c>
      <c r="E2997" s="13" t="inlineStr">
        <is>
          <t>W</t>
        </is>
      </c>
      <c r="F2997" s="13" t="n">
        <v>2026</v>
      </c>
      <c r="G2997" s="14" t="n">
        <v>69556.2865523394</v>
      </c>
      <c r="H2997" s="14" t="n">
        <v>34569.26780281813</v>
      </c>
      <c r="I2997" s="14" t="n">
        <v>8312.451287542608</v>
      </c>
      <c r="J2997" s="14" t="n">
        <v>0</v>
      </c>
      <c r="K2997" s="14" t="n">
        <v>26674.56746197868</v>
      </c>
      <c r="L2997" s="14" t="n">
        <v>0</v>
      </c>
      <c r="M2997" s="14" t="n">
        <v>0</v>
      </c>
      <c r="N2997" s="14" t="n">
        <v>42185.98228550331</v>
      </c>
      <c r="O2997" s="14" t="n">
        <v>69556.2865523394</v>
      </c>
      <c r="P2997" s="14" t="n">
        <v>10024.49935132194</v>
      </c>
      <c r="Q2997" s="14" t="n">
        <v>349533.3563063676</v>
      </c>
      <c r="R2997" s="15">
        <f>IF(D2997=1,"Section 1","Control")</f>
        <v/>
      </c>
      <c r="S2997" s="16">
        <f>N2997/10000</f>
        <v/>
      </c>
      <c r="T2997" s="16">
        <f>P2997/10000</f>
        <v/>
      </c>
      <c r="U2997" s="15">
        <f>IF(N2997&gt;=Summary!$D$3,1,0)</f>
        <v/>
      </c>
      <c r="V2997" s="17">
        <f>IF(N2997&gt;0,P2997/N2997,"")</f>
        <v/>
      </c>
      <c r="W2997" s="17">
        <f>IF(O2997&gt;0,H2997/O2997,"")</f>
        <v/>
      </c>
    </row>
    <row r="2998">
      <c r="A2998" s="13" t="inlineStr">
        <is>
          <t>CW17_B1</t>
        </is>
      </c>
      <c r="B2998" s="13" t="inlineStr">
        <is>
          <t>CW17</t>
        </is>
      </c>
      <c r="C2998" s="13" t="inlineStr">
        <is>
          <t>B1</t>
        </is>
      </c>
      <c r="D2998" s="13" t="n">
        <v>0</v>
      </c>
      <c r="E2998" s="13" t="inlineStr">
        <is>
          <t>W</t>
        </is>
      </c>
      <c r="F2998" s="13" t="n">
        <v>2020</v>
      </c>
      <c r="G2998" s="14" t="n">
        <v>1000329.859087686</v>
      </c>
      <c r="H2998" s="14" t="n">
        <v>981075.7257900168</v>
      </c>
      <c r="I2998" s="14" t="n">
        <v>16584.61500393736</v>
      </c>
      <c r="J2998" s="14" t="n">
        <v>0</v>
      </c>
      <c r="K2998" s="14" t="n">
        <v>2669.518293732288</v>
      </c>
      <c r="L2998" s="14" t="n">
        <v>0</v>
      </c>
      <c r="M2998" s="14" t="n">
        <v>0</v>
      </c>
      <c r="N2998" s="14" t="n">
        <v>981075.7257900168</v>
      </c>
      <c r="O2998" s="14" t="n">
        <v>1000329.859087686</v>
      </c>
      <c r="P2998" s="14" t="n">
        <v>0</v>
      </c>
      <c r="Q2998" s="14" t="n">
        <v>4939408.132249181</v>
      </c>
      <c r="R2998" s="15">
        <f>IF(D2998=1,"Section 1","Control")</f>
        <v/>
      </c>
      <c r="S2998" s="16">
        <f>N2998/10000</f>
        <v/>
      </c>
      <c r="T2998" s="16">
        <f>P2998/10000</f>
        <v/>
      </c>
      <c r="U2998" s="15">
        <f>IF(N2998&gt;=Summary!$D$3,1,0)</f>
        <v/>
      </c>
      <c r="V2998" s="17">
        <f>IF(N2998&gt;0,P2998/N2998,"")</f>
        <v/>
      </c>
      <c r="W2998" s="17">
        <f>IF(O2998&gt;0,H2998/O2998,"")</f>
        <v/>
      </c>
    </row>
    <row r="2999">
      <c r="A2999" s="13" t="inlineStr">
        <is>
          <t>CW17_B1</t>
        </is>
      </c>
      <c r="B2999" s="13" t="inlineStr">
        <is>
          <t>CW17</t>
        </is>
      </c>
      <c r="C2999" s="13" t="inlineStr">
        <is>
          <t>B1</t>
        </is>
      </c>
      <c r="D2999" s="13" t="n">
        <v>0</v>
      </c>
      <c r="E2999" s="13" t="inlineStr">
        <is>
          <t>W</t>
        </is>
      </c>
      <c r="F2999" s="13" t="n">
        <v>2021</v>
      </c>
      <c r="G2999" s="14" t="n">
        <v>1000329.859087686</v>
      </c>
      <c r="H2999" s="14" t="n">
        <v>971245.6479417094</v>
      </c>
      <c r="I2999" s="14" t="n">
        <v>4146.549263000488</v>
      </c>
      <c r="J2999" s="14" t="n">
        <v>0</v>
      </c>
      <c r="K2999" s="14" t="n">
        <v>24937.66188297646</v>
      </c>
      <c r="L2999" s="14" t="n">
        <v>0</v>
      </c>
      <c r="M2999" s="14" t="n">
        <v>0</v>
      </c>
      <c r="N2999" s="14" t="n">
        <v>981075.7257900168</v>
      </c>
      <c r="O2999" s="14" t="n">
        <v>1000329.859087686</v>
      </c>
      <c r="P2999" s="14" t="n">
        <v>21500.02031923182</v>
      </c>
      <c r="Q2999" s="14" t="n">
        <v>4939408.132249181</v>
      </c>
      <c r="R2999" s="15">
        <f>IF(D2999=1,"Section 1","Control")</f>
        <v/>
      </c>
      <c r="S2999" s="16">
        <f>N2999/10000</f>
        <v/>
      </c>
      <c r="T2999" s="16">
        <f>P2999/10000</f>
        <v/>
      </c>
      <c r="U2999" s="15">
        <f>IF(N2999&gt;=Summary!$D$3,1,0)</f>
        <v/>
      </c>
      <c r="V2999" s="17">
        <f>IF(N2999&gt;0,P2999/N2999,"")</f>
        <v/>
      </c>
      <c r="W2999" s="17">
        <f>IF(O2999&gt;0,H2999/O2999,"")</f>
        <v/>
      </c>
    </row>
    <row r="3000">
      <c r="A3000" s="13" t="inlineStr">
        <is>
          <t>CW17_B1</t>
        </is>
      </c>
      <c r="B3000" s="13" t="inlineStr">
        <is>
          <t>CW17</t>
        </is>
      </c>
      <c r="C3000" s="13" t="inlineStr">
        <is>
          <t>B1</t>
        </is>
      </c>
      <c r="D3000" s="13" t="n">
        <v>0</v>
      </c>
      <c r="E3000" s="13" t="inlineStr">
        <is>
          <t>W</t>
        </is>
      </c>
      <c r="F3000" s="13" t="n">
        <v>2022</v>
      </c>
      <c r="G3000" s="14" t="n">
        <v>1000329.859087686</v>
      </c>
      <c r="H3000" s="14" t="n">
        <v>944679.4417689906</v>
      </c>
      <c r="I3000" s="14" t="n">
        <v>28686.31555965648</v>
      </c>
      <c r="J3000" s="14" t="n">
        <v>0</v>
      </c>
      <c r="K3000" s="14" t="n">
        <v>26964.10175903919</v>
      </c>
      <c r="L3000" s="14" t="n">
        <v>0</v>
      </c>
      <c r="M3000" s="14" t="n">
        <v>0</v>
      </c>
      <c r="N3000" s="14" t="n">
        <v>981075.7257900168</v>
      </c>
      <c r="O3000" s="14" t="n">
        <v>1000329.859087686</v>
      </c>
      <c r="P3000" s="14" t="n">
        <v>46152.08363087972</v>
      </c>
      <c r="Q3000" s="14" t="n">
        <v>4939408.132249181</v>
      </c>
      <c r="R3000" s="15">
        <f>IF(D3000=1,"Section 1","Control")</f>
        <v/>
      </c>
      <c r="S3000" s="16">
        <f>N3000/10000</f>
        <v/>
      </c>
      <c r="T3000" s="16">
        <f>P3000/10000</f>
        <v/>
      </c>
      <c r="U3000" s="15">
        <f>IF(N3000&gt;=Summary!$D$3,1,0)</f>
        <v/>
      </c>
      <c r="V3000" s="17">
        <f>IF(N3000&gt;0,P3000/N3000,"")</f>
        <v/>
      </c>
      <c r="W3000" s="17">
        <f>IF(O3000&gt;0,H3000/O3000,"")</f>
        <v/>
      </c>
    </row>
    <row r="3001">
      <c r="A3001" s="13" t="inlineStr">
        <is>
          <t>CW17_B1</t>
        </is>
      </c>
      <c r="B3001" s="13" t="inlineStr">
        <is>
          <t>CW17</t>
        </is>
      </c>
      <c r="C3001" s="13" t="inlineStr">
        <is>
          <t>B1</t>
        </is>
      </c>
      <c r="D3001" s="13" t="n">
        <v>0</v>
      </c>
      <c r="E3001" s="13" t="inlineStr">
        <is>
          <t>W</t>
        </is>
      </c>
      <c r="F3001" s="13" t="n">
        <v>2023</v>
      </c>
      <c r="G3001" s="14" t="n">
        <v>1000329.859087686</v>
      </c>
      <c r="H3001" s="14" t="n">
        <v>958741.6527391028</v>
      </c>
      <c r="I3001" s="14" t="n">
        <v>15500.26029968262</v>
      </c>
      <c r="J3001" s="14" t="n">
        <v>0</v>
      </c>
      <c r="K3001" s="14" t="n">
        <v>26087.94604890113</v>
      </c>
      <c r="L3001" s="14" t="n">
        <v>0</v>
      </c>
      <c r="M3001" s="14" t="n">
        <v>0</v>
      </c>
      <c r="N3001" s="14" t="n">
        <v>981075.7257900168</v>
      </c>
      <c r="O3001" s="14" t="n">
        <v>1000329.859087686</v>
      </c>
      <c r="P3001" s="14" t="n">
        <v>34498.81136289111</v>
      </c>
      <c r="Q3001" s="14" t="n">
        <v>4939408.132249181</v>
      </c>
      <c r="R3001" s="15">
        <f>IF(D3001=1,"Section 1","Control")</f>
        <v/>
      </c>
      <c r="S3001" s="16">
        <f>N3001/10000</f>
        <v/>
      </c>
      <c r="T3001" s="16">
        <f>P3001/10000</f>
        <v/>
      </c>
      <c r="U3001" s="15">
        <f>IF(N3001&gt;=Summary!$D$3,1,0)</f>
        <v/>
      </c>
      <c r="V3001" s="17">
        <f>IF(N3001&gt;0,P3001/N3001,"")</f>
        <v/>
      </c>
      <c r="W3001" s="17">
        <f>IF(O3001&gt;0,H3001/O3001,"")</f>
        <v/>
      </c>
    </row>
    <row r="3002">
      <c r="A3002" s="13" t="inlineStr">
        <is>
          <t>CW17_B1</t>
        </is>
      </c>
      <c r="B3002" s="13" t="inlineStr">
        <is>
          <t>CW17</t>
        </is>
      </c>
      <c r="C3002" s="13" t="inlineStr">
        <is>
          <t>B1</t>
        </is>
      </c>
      <c r="D3002" s="13" t="n">
        <v>0</v>
      </c>
      <c r="E3002" s="13" t="inlineStr">
        <is>
          <t>W</t>
        </is>
      </c>
      <c r="F3002" s="13" t="n">
        <v>2024</v>
      </c>
      <c r="G3002" s="14" t="n">
        <v>1000329.859087686</v>
      </c>
      <c r="H3002" s="14" t="n">
        <v>971675.0015931675</v>
      </c>
      <c r="I3002" s="14" t="n">
        <v>2962.591100924623</v>
      </c>
      <c r="J3002" s="14" t="n">
        <v>0</v>
      </c>
      <c r="K3002" s="14" t="n">
        <v>25692.26639359418</v>
      </c>
      <c r="L3002" s="14" t="n">
        <v>0</v>
      </c>
      <c r="M3002" s="14" t="n">
        <v>0</v>
      </c>
      <c r="N3002" s="14" t="n">
        <v>981075.7257900168</v>
      </c>
      <c r="O3002" s="14" t="n">
        <v>1000329.859087686</v>
      </c>
      <c r="P3002" s="14" t="n">
        <v>22059.10270658007</v>
      </c>
      <c r="Q3002" s="14" t="n">
        <v>4939408.132249181</v>
      </c>
      <c r="R3002" s="15">
        <f>IF(D3002=1,"Section 1","Control")</f>
        <v/>
      </c>
      <c r="S3002" s="16">
        <f>N3002/10000</f>
        <v/>
      </c>
      <c r="T3002" s="16">
        <f>P3002/10000</f>
        <v/>
      </c>
      <c r="U3002" s="15">
        <f>IF(N3002&gt;=Summary!$D$3,1,0)</f>
        <v/>
      </c>
      <c r="V3002" s="17">
        <f>IF(N3002&gt;0,P3002/N3002,"")</f>
        <v/>
      </c>
      <c r="W3002" s="17">
        <f>IF(O3002&gt;0,H3002/O3002,"")</f>
        <v/>
      </c>
    </row>
    <row r="3003">
      <c r="A3003" s="13" t="inlineStr">
        <is>
          <t>CW17_B1</t>
        </is>
      </c>
      <c r="B3003" s="13" t="inlineStr">
        <is>
          <t>CW17</t>
        </is>
      </c>
      <c r="C3003" s="13" t="inlineStr">
        <is>
          <t>B1</t>
        </is>
      </c>
      <c r="D3003" s="13" t="n">
        <v>0</v>
      </c>
      <c r="E3003" s="13" t="inlineStr">
        <is>
          <t>W</t>
        </is>
      </c>
      <c r="F3003" s="13" t="n">
        <v>2025</v>
      </c>
      <c r="G3003" s="14" t="n">
        <v>1000329.859087686</v>
      </c>
      <c r="H3003" s="14" t="n">
        <v>930891.7500088864</v>
      </c>
      <c r="I3003" s="14" t="n">
        <v>53243.38785690607</v>
      </c>
      <c r="J3003" s="14" t="n">
        <v>0</v>
      </c>
      <c r="K3003" s="14" t="n">
        <v>16194.72122189391</v>
      </c>
      <c r="L3003" s="14" t="n">
        <v>0</v>
      </c>
      <c r="M3003" s="14" t="n">
        <v>0</v>
      </c>
      <c r="N3003" s="14" t="n">
        <v>981075.7257900168</v>
      </c>
      <c r="O3003" s="14" t="n">
        <v>1000329.859087686</v>
      </c>
      <c r="P3003" s="14" t="n">
        <v>58627.67710209267</v>
      </c>
      <c r="Q3003" s="14" t="n">
        <v>4939408.132249181</v>
      </c>
      <c r="R3003" s="15">
        <f>IF(D3003=1,"Section 1","Control")</f>
        <v/>
      </c>
      <c r="S3003" s="16">
        <f>N3003/10000</f>
        <v/>
      </c>
      <c r="T3003" s="16">
        <f>P3003/10000</f>
        <v/>
      </c>
      <c r="U3003" s="15">
        <f>IF(N3003&gt;=Summary!$D$3,1,0)</f>
        <v/>
      </c>
      <c r="V3003" s="17">
        <f>IF(N3003&gt;0,P3003/N3003,"")</f>
        <v/>
      </c>
      <c r="W3003" s="17">
        <f>IF(O3003&gt;0,H3003/O3003,"")</f>
        <v/>
      </c>
    </row>
    <row r="3004">
      <c r="A3004" s="13" t="inlineStr">
        <is>
          <t>CW17_B1</t>
        </is>
      </c>
      <c r="B3004" s="13" t="inlineStr">
        <is>
          <t>CW17</t>
        </is>
      </c>
      <c r="C3004" s="13" t="inlineStr">
        <is>
          <t>B1</t>
        </is>
      </c>
      <c r="D3004" s="13" t="n">
        <v>0</v>
      </c>
      <c r="E3004" s="13" t="inlineStr">
        <is>
          <t>W</t>
        </is>
      </c>
      <c r="F3004" s="13" t="n">
        <v>2026</v>
      </c>
      <c r="G3004" s="14" t="n">
        <v>1000329.859087686</v>
      </c>
      <c r="H3004" s="14" t="n">
        <v>979176.7027098116</v>
      </c>
      <c r="I3004" s="14" t="n">
        <v>3119.400739034017</v>
      </c>
      <c r="J3004" s="14" t="n">
        <v>0</v>
      </c>
      <c r="K3004" s="14" t="n">
        <v>18033.75563884062</v>
      </c>
      <c r="L3004" s="14" t="n">
        <v>0</v>
      </c>
      <c r="M3004" s="14" t="n">
        <v>0</v>
      </c>
      <c r="N3004" s="14" t="n">
        <v>981075.7257900168</v>
      </c>
      <c r="O3004" s="14" t="n">
        <v>1000329.859087686</v>
      </c>
      <c r="P3004" s="14" t="n">
        <v>16866.44725784601</v>
      </c>
      <c r="Q3004" s="14" t="n">
        <v>4939408.132249181</v>
      </c>
      <c r="R3004" s="15">
        <f>IF(D3004=1,"Section 1","Control")</f>
        <v/>
      </c>
      <c r="S3004" s="16">
        <f>N3004/10000</f>
        <v/>
      </c>
      <c r="T3004" s="16">
        <f>P3004/10000</f>
        <v/>
      </c>
      <c r="U3004" s="15">
        <f>IF(N3004&gt;=Summary!$D$3,1,0)</f>
        <v/>
      </c>
      <c r="V3004" s="17">
        <f>IF(N3004&gt;0,P3004/N3004,"")</f>
        <v/>
      </c>
      <c r="W3004" s="17">
        <f>IF(O3004&gt;0,H3004/O3004,"")</f>
        <v/>
      </c>
    </row>
    <row r="3005">
      <c r="A3005" s="13" t="inlineStr">
        <is>
          <t>CW17_B2</t>
        </is>
      </c>
      <c r="B3005" s="13" t="inlineStr">
        <is>
          <t>CW17</t>
        </is>
      </c>
      <c r="C3005" s="13" t="inlineStr">
        <is>
          <t>B2</t>
        </is>
      </c>
      <c r="D3005" s="13" t="n">
        <v>0</v>
      </c>
      <c r="E3005" s="13" t="inlineStr">
        <is>
          <t>W</t>
        </is>
      </c>
      <c r="F3005" s="13" t="n">
        <v>2020</v>
      </c>
      <c r="G3005" s="14" t="n">
        <v>1000561.878809671</v>
      </c>
      <c r="H3005" s="14" t="n">
        <v>762186.7796249391</v>
      </c>
      <c r="I3005" s="14" t="n">
        <v>192266.9430447149</v>
      </c>
      <c r="J3005" s="14" t="n">
        <v>0</v>
      </c>
      <c r="K3005" s="14" t="n">
        <v>46108.15614001704</v>
      </c>
      <c r="L3005" s="14" t="n">
        <v>0</v>
      </c>
      <c r="M3005" s="14" t="n">
        <v>0</v>
      </c>
      <c r="N3005" s="14" t="n">
        <v>762186.7796249391</v>
      </c>
      <c r="O3005" s="14" t="n">
        <v>1000561.878809671</v>
      </c>
      <c r="P3005" s="14" t="n">
        <v>0</v>
      </c>
      <c r="Q3005" s="14" t="n">
        <v>6203418.339302272</v>
      </c>
      <c r="R3005" s="15">
        <f>IF(D3005=1,"Section 1","Control")</f>
        <v/>
      </c>
      <c r="S3005" s="16">
        <f>N3005/10000</f>
        <v/>
      </c>
      <c r="T3005" s="16">
        <f>P3005/10000</f>
        <v/>
      </c>
      <c r="U3005" s="15">
        <f>IF(N3005&gt;=Summary!$D$3,1,0)</f>
        <v/>
      </c>
      <c r="V3005" s="17">
        <f>IF(N3005&gt;0,P3005/N3005,"")</f>
        <v/>
      </c>
      <c r="W3005" s="17">
        <f>IF(O3005&gt;0,H3005/O3005,"")</f>
        <v/>
      </c>
    </row>
    <row r="3006">
      <c r="A3006" s="13" t="inlineStr">
        <is>
          <t>CW17_B2</t>
        </is>
      </c>
      <c r="B3006" s="13" t="inlineStr">
        <is>
          <t>CW17</t>
        </is>
      </c>
      <c r="C3006" s="13" t="inlineStr">
        <is>
          <t>B2</t>
        </is>
      </c>
      <c r="D3006" s="13" t="n">
        <v>0</v>
      </c>
      <c r="E3006" s="13" t="inlineStr">
        <is>
          <t>W</t>
        </is>
      </c>
      <c r="F3006" s="13" t="n">
        <v>2021</v>
      </c>
      <c r="G3006" s="14" t="n">
        <v>1000561.878809671</v>
      </c>
      <c r="H3006" s="14" t="n">
        <v>765920.0447724884</v>
      </c>
      <c r="I3006" s="14" t="n">
        <v>71914.31429889155</v>
      </c>
      <c r="J3006" s="14" t="n">
        <v>0</v>
      </c>
      <c r="K3006" s="14" t="n">
        <v>162727.5197382908</v>
      </c>
      <c r="L3006" s="14" t="n">
        <v>0</v>
      </c>
      <c r="M3006" s="14" t="n">
        <v>0</v>
      </c>
      <c r="N3006" s="14" t="n">
        <v>762186.7796249391</v>
      </c>
      <c r="O3006" s="14" t="n">
        <v>1000561.878809671</v>
      </c>
      <c r="P3006" s="14" t="n">
        <v>41176.69344269995</v>
      </c>
      <c r="Q3006" s="14" t="n">
        <v>6203418.339302272</v>
      </c>
      <c r="R3006" s="15">
        <f>IF(D3006=1,"Section 1","Control")</f>
        <v/>
      </c>
      <c r="S3006" s="16">
        <f>N3006/10000</f>
        <v/>
      </c>
      <c r="T3006" s="16">
        <f>P3006/10000</f>
        <v/>
      </c>
      <c r="U3006" s="15">
        <f>IF(N3006&gt;=Summary!$D$3,1,0)</f>
        <v/>
      </c>
      <c r="V3006" s="17">
        <f>IF(N3006&gt;0,P3006/N3006,"")</f>
        <v/>
      </c>
      <c r="W3006" s="17">
        <f>IF(O3006&gt;0,H3006/O3006,"")</f>
        <v/>
      </c>
    </row>
    <row r="3007">
      <c r="A3007" s="13" t="inlineStr">
        <is>
          <t>CW17_B2</t>
        </is>
      </c>
      <c r="B3007" s="13" t="inlineStr">
        <is>
          <t>CW17</t>
        </is>
      </c>
      <c r="C3007" s="13" t="inlineStr">
        <is>
          <t>B2</t>
        </is>
      </c>
      <c r="D3007" s="13" t="n">
        <v>0</v>
      </c>
      <c r="E3007" s="13" t="inlineStr">
        <is>
          <t>W</t>
        </is>
      </c>
      <c r="F3007" s="13" t="n">
        <v>2022</v>
      </c>
      <c r="G3007" s="14" t="n">
        <v>1000561.878809671</v>
      </c>
      <c r="H3007" s="14" t="n">
        <v>693773.7737523696</v>
      </c>
      <c r="I3007" s="14" t="n">
        <v>217804.4400061215</v>
      </c>
      <c r="J3007" s="14" t="n">
        <v>0</v>
      </c>
      <c r="K3007" s="14" t="n">
        <v>88983.66505117976</v>
      </c>
      <c r="L3007" s="14" t="n">
        <v>0</v>
      </c>
      <c r="M3007" s="14" t="n">
        <v>0</v>
      </c>
      <c r="N3007" s="14" t="n">
        <v>762186.7796249391</v>
      </c>
      <c r="O3007" s="14" t="n">
        <v>1000561.878809671</v>
      </c>
      <c r="P3007" s="14" t="n">
        <v>82694.58551441267</v>
      </c>
      <c r="Q3007" s="14" t="n">
        <v>6203418.339302272</v>
      </c>
      <c r="R3007" s="15">
        <f>IF(D3007=1,"Section 1","Control")</f>
        <v/>
      </c>
      <c r="S3007" s="16">
        <f>N3007/10000</f>
        <v/>
      </c>
      <c r="T3007" s="16">
        <f>P3007/10000</f>
        <v/>
      </c>
      <c r="U3007" s="15">
        <f>IF(N3007&gt;=Summary!$D$3,1,0)</f>
        <v/>
      </c>
      <c r="V3007" s="17">
        <f>IF(N3007&gt;0,P3007/N3007,"")</f>
        <v/>
      </c>
      <c r="W3007" s="17">
        <f>IF(O3007&gt;0,H3007/O3007,"")</f>
        <v/>
      </c>
    </row>
    <row r="3008">
      <c r="A3008" s="13" t="inlineStr">
        <is>
          <t>CW17_B2</t>
        </is>
      </c>
      <c r="B3008" s="13" t="inlineStr">
        <is>
          <t>CW17</t>
        </is>
      </c>
      <c r="C3008" s="13" t="inlineStr">
        <is>
          <t>B2</t>
        </is>
      </c>
      <c r="D3008" s="13" t="n">
        <v>0</v>
      </c>
      <c r="E3008" s="13" t="inlineStr">
        <is>
          <t>W</t>
        </is>
      </c>
      <c r="F3008" s="13" t="n">
        <v>2023</v>
      </c>
      <c r="G3008" s="14" t="n">
        <v>1000561.878809671</v>
      </c>
      <c r="H3008" s="14" t="n">
        <v>759003.2447183348</v>
      </c>
      <c r="I3008" s="14" t="n">
        <v>154460.1168212293</v>
      </c>
      <c r="J3008" s="14" t="n">
        <v>0</v>
      </c>
      <c r="K3008" s="14" t="n">
        <v>87098.51727010688</v>
      </c>
      <c r="L3008" s="14" t="n">
        <v>0</v>
      </c>
      <c r="M3008" s="14" t="n">
        <v>0</v>
      </c>
      <c r="N3008" s="14" t="n">
        <v>762186.7796249391</v>
      </c>
      <c r="O3008" s="14" t="n">
        <v>1000561.878809671</v>
      </c>
      <c r="P3008" s="14" t="n">
        <v>51057.66376022638</v>
      </c>
      <c r="Q3008" s="14" t="n">
        <v>6203418.339302272</v>
      </c>
      <c r="R3008" s="15">
        <f>IF(D3008=1,"Section 1","Control")</f>
        <v/>
      </c>
      <c r="S3008" s="16">
        <f>N3008/10000</f>
        <v/>
      </c>
      <c r="T3008" s="16">
        <f>P3008/10000</f>
        <v/>
      </c>
      <c r="U3008" s="15">
        <f>IF(N3008&gt;=Summary!$D$3,1,0)</f>
        <v/>
      </c>
      <c r="V3008" s="17">
        <f>IF(N3008&gt;0,P3008/N3008,"")</f>
        <v/>
      </c>
      <c r="W3008" s="17">
        <f>IF(O3008&gt;0,H3008/O3008,"")</f>
        <v/>
      </c>
    </row>
    <row r="3009">
      <c r="A3009" s="13" t="inlineStr">
        <is>
          <t>CW17_B2</t>
        </is>
      </c>
      <c r="B3009" s="13" t="inlineStr">
        <is>
          <t>CW17</t>
        </is>
      </c>
      <c r="C3009" s="13" t="inlineStr">
        <is>
          <t>B2</t>
        </is>
      </c>
      <c r="D3009" s="13" t="n">
        <v>0</v>
      </c>
      <c r="E3009" s="13" t="inlineStr">
        <is>
          <t>W</t>
        </is>
      </c>
      <c r="F3009" s="13" t="n">
        <v>2024</v>
      </c>
      <c r="G3009" s="14" t="n">
        <v>1000561.878809671</v>
      </c>
      <c r="H3009" s="14" t="n">
        <v>765339.211518471</v>
      </c>
      <c r="I3009" s="14" t="n">
        <v>156988.3979029038</v>
      </c>
      <c r="J3009" s="14" t="n">
        <v>0</v>
      </c>
      <c r="K3009" s="14" t="n">
        <v>78234.26938829609</v>
      </c>
      <c r="L3009" s="14" t="n">
        <v>0</v>
      </c>
      <c r="M3009" s="14" t="n">
        <v>0</v>
      </c>
      <c r="N3009" s="14" t="n">
        <v>762186.7796249391</v>
      </c>
      <c r="O3009" s="14" t="n">
        <v>1000561.878809671</v>
      </c>
      <c r="P3009" s="14" t="n">
        <v>64925.43749365713</v>
      </c>
      <c r="Q3009" s="14" t="n">
        <v>6203418.339302272</v>
      </c>
      <c r="R3009" s="15">
        <f>IF(D3009=1,"Section 1","Control")</f>
        <v/>
      </c>
      <c r="S3009" s="16">
        <f>N3009/10000</f>
        <v/>
      </c>
      <c r="T3009" s="16">
        <f>P3009/10000</f>
        <v/>
      </c>
      <c r="U3009" s="15">
        <f>IF(N3009&gt;=Summary!$D$3,1,0)</f>
        <v/>
      </c>
      <c r="V3009" s="17">
        <f>IF(N3009&gt;0,P3009/N3009,"")</f>
        <v/>
      </c>
      <c r="W3009" s="17">
        <f>IF(O3009&gt;0,H3009/O3009,"")</f>
        <v/>
      </c>
    </row>
    <row r="3010">
      <c r="A3010" s="13" t="inlineStr">
        <is>
          <t>CW17_B2</t>
        </is>
      </c>
      <c r="B3010" s="13" t="inlineStr">
        <is>
          <t>CW17</t>
        </is>
      </c>
      <c r="C3010" s="13" t="inlineStr">
        <is>
          <t>B2</t>
        </is>
      </c>
      <c r="D3010" s="13" t="n">
        <v>0</v>
      </c>
      <c r="E3010" s="13" t="inlineStr">
        <is>
          <t>W</t>
        </is>
      </c>
      <c r="F3010" s="13" t="n">
        <v>2025</v>
      </c>
      <c r="G3010" s="14" t="n">
        <v>1000561.878809671</v>
      </c>
      <c r="H3010" s="14" t="n">
        <v>707558.705699846</v>
      </c>
      <c r="I3010" s="14" t="n">
        <v>228944.0578390383</v>
      </c>
      <c r="J3010" s="14" t="n">
        <v>0</v>
      </c>
      <c r="K3010" s="14" t="n">
        <v>64059.11527078666</v>
      </c>
      <c r="L3010" s="14" t="n">
        <v>0</v>
      </c>
      <c r="M3010" s="14" t="n">
        <v>0</v>
      </c>
      <c r="N3010" s="14" t="n">
        <v>762186.7796249391</v>
      </c>
      <c r="O3010" s="14" t="n">
        <v>1000561.878809671</v>
      </c>
      <c r="P3010" s="14" t="n">
        <v>83662.0496584724</v>
      </c>
      <c r="Q3010" s="14" t="n">
        <v>6203418.339302272</v>
      </c>
      <c r="R3010" s="15">
        <f>IF(D3010=1,"Section 1","Control")</f>
        <v/>
      </c>
      <c r="S3010" s="16">
        <f>N3010/10000</f>
        <v/>
      </c>
      <c r="T3010" s="16">
        <f>P3010/10000</f>
        <v/>
      </c>
      <c r="U3010" s="15">
        <f>IF(N3010&gt;=Summary!$D$3,1,0)</f>
        <v/>
      </c>
      <c r="V3010" s="17">
        <f>IF(N3010&gt;0,P3010/N3010,"")</f>
        <v/>
      </c>
      <c r="W3010" s="17">
        <f>IF(O3010&gt;0,H3010/O3010,"")</f>
        <v/>
      </c>
    </row>
    <row r="3011">
      <c r="A3011" s="13" t="inlineStr">
        <is>
          <t>CW17_B2</t>
        </is>
      </c>
      <c r="B3011" s="13" t="inlineStr">
        <is>
          <t>CW17</t>
        </is>
      </c>
      <c r="C3011" s="13" t="inlineStr">
        <is>
          <t>B2</t>
        </is>
      </c>
      <c r="D3011" s="13" t="n">
        <v>0</v>
      </c>
      <c r="E3011" s="13" t="inlineStr">
        <is>
          <t>W</t>
        </is>
      </c>
      <c r="F3011" s="13" t="n">
        <v>2026</v>
      </c>
      <c r="G3011" s="14" t="n">
        <v>1000561.878809671</v>
      </c>
      <c r="H3011" s="14" t="n">
        <v>872031.8897444481</v>
      </c>
      <c r="I3011" s="14" t="n">
        <v>48309.63199878768</v>
      </c>
      <c r="J3011" s="14" t="n">
        <v>0</v>
      </c>
      <c r="K3011" s="14" t="n">
        <v>80220.35706643498</v>
      </c>
      <c r="L3011" s="14" t="n">
        <v>0</v>
      </c>
      <c r="M3011" s="14" t="n">
        <v>0</v>
      </c>
      <c r="N3011" s="14" t="n">
        <v>762186.7796249391</v>
      </c>
      <c r="O3011" s="14" t="n">
        <v>1000561.878809671</v>
      </c>
      <c r="P3011" s="14" t="n">
        <v>27073.48716296028</v>
      </c>
      <c r="Q3011" s="14" t="n">
        <v>6203418.339302272</v>
      </c>
      <c r="R3011" s="15">
        <f>IF(D3011=1,"Section 1","Control")</f>
        <v/>
      </c>
      <c r="S3011" s="16">
        <f>N3011/10000</f>
        <v/>
      </c>
      <c r="T3011" s="16">
        <f>P3011/10000</f>
        <v/>
      </c>
      <c r="U3011" s="15">
        <f>IF(N3011&gt;=Summary!$D$3,1,0)</f>
        <v/>
      </c>
      <c r="V3011" s="17">
        <f>IF(N3011&gt;0,P3011/N3011,"")</f>
        <v/>
      </c>
      <c r="W3011" s="17">
        <f>IF(O3011&gt;0,H3011/O3011,"")</f>
        <v/>
      </c>
    </row>
    <row r="3012">
      <c r="A3012" s="13" t="inlineStr">
        <is>
          <t>CW17_B3</t>
        </is>
      </c>
      <c r="B3012" s="13" t="inlineStr">
        <is>
          <t>CW17</t>
        </is>
      </c>
      <c r="C3012" s="13" t="inlineStr">
        <is>
          <t>B3</t>
        </is>
      </c>
      <c r="D3012" s="13" t="n">
        <v>0</v>
      </c>
      <c r="E3012" s="13" t="inlineStr">
        <is>
          <t>W</t>
        </is>
      </c>
      <c r="F3012" s="13" t="n">
        <v>2020</v>
      </c>
      <c r="G3012" s="14" t="n">
        <v>8004211.069631091</v>
      </c>
      <c r="H3012" s="14" t="n">
        <v>3230324.924671278</v>
      </c>
      <c r="I3012" s="14" t="n">
        <v>643900.9610665115</v>
      </c>
      <c r="J3012" s="14" t="n">
        <v>0</v>
      </c>
      <c r="K3012" s="14" t="n">
        <v>479331.2289245006</v>
      </c>
      <c r="L3012" s="14" t="n">
        <v>3650653.9549688</v>
      </c>
      <c r="M3012" s="14" t="n">
        <v>0</v>
      </c>
      <c r="N3012" s="14" t="n">
        <v>3230324.924671278</v>
      </c>
      <c r="O3012" s="14" t="n">
        <v>4353557.114662291</v>
      </c>
      <c r="P3012" s="14" t="n">
        <v>0</v>
      </c>
      <c r="Q3012" s="14" t="n">
        <v>19228401.78647269</v>
      </c>
      <c r="R3012" s="15">
        <f>IF(D3012=1,"Section 1","Control")</f>
        <v/>
      </c>
      <c r="S3012" s="16">
        <f>N3012/10000</f>
        <v/>
      </c>
      <c r="T3012" s="16">
        <f>P3012/10000</f>
        <v/>
      </c>
      <c r="U3012" s="15">
        <f>IF(N3012&gt;=Summary!$D$3,1,0)</f>
        <v/>
      </c>
      <c r="V3012" s="17">
        <f>IF(N3012&gt;0,P3012/N3012,"")</f>
        <v/>
      </c>
      <c r="W3012" s="17">
        <f>IF(O3012&gt;0,H3012/O3012,"")</f>
        <v/>
      </c>
    </row>
    <row r="3013">
      <c r="A3013" s="13" t="inlineStr">
        <is>
          <t>CW17_B3</t>
        </is>
      </c>
      <c r="B3013" s="13" t="inlineStr">
        <is>
          <t>CW17</t>
        </is>
      </c>
      <c r="C3013" s="13" t="inlineStr">
        <is>
          <t>B3</t>
        </is>
      </c>
      <c r="D3013" s="13" t="n">
        <v>0</v>
      </c>
      <c r="E3013" s="13" t="inlineStr">
        <is>
          <t>W</t>
        </is>
      </c>
      <c r="F3013" s="13" t="n">
        <v>2021</v>
      </c>
      <c r="G3013" s="14" t="n">
        <v>8004211.069631091</v>
      </c>
      <c r="H3013" s="14" t="n">
        <v>2858712.31002661</v>
      </c>
      <c r="I3013" s="14" t="n">
        <v>602888.173704499</v>
      </c>
      <c r="J3013" s="14" t="n">
        <v>0</v>
      </c>
      <c r="K3013" s="14" t="n">
        <v>981622.2131583418</v>
      </c>
      <c r="L3013" s="14" t="n">
        <v>3560988.372741639</v>
      </c>
      <c r="M3013" s="14" t="n">
        <v>0</v>
      </c>
      <c r="N3013" s="14" t="n">
        <v>3230324.924671278</v>
      </c>
      <c r="O3013" s="14" t="n">
        <v>4353557.114662291</v>
      </c>
      <c r="P3013" s="14" t="n">
        <v>462085.9069750917</v>
      </c>
      <c r="Q3013" s="14" t="n">
        <v>19228401.7864727</v>
      </c>
      <c r="R3013" s="15">
        <f>IF(D3013=1,"Section 1","Control")</f>
        <v/>
      </c>
      <c r="S3013" s="16">
        <f>N3013/10000</f>
        <v/>
      </c>
      <c r="T3013" s="16">
        <f>P3013/10000</f>
        <v/>
      </c>
      <c r="U3013" s="15">
        <f>IF(N3013&gt;=Summary!$D$3,1,0)</f>
        <v/>
      </c>
      <c r="V3013" s="17">
        <f>IF(N3013&gt;0,P3013/N3013,"")</f>
        <v/>
      </c>
      <c r="W3013" s="17">
        <f>IF(O3013&gt;0,H3013/O3013,"")</f>
        <v/>
      </c>
    </row>
    <row r="3014">
      <c r="A3014" s="13" t="inlineStr">
        <is>
          <t>CW17_B3</t>
        </is>
      </c>
      <c r="B3014" s="13" t="inlineStr">
        <is>
          <t>CW17</t>
        </is>
      </c>
      <c r="C3014" s="13" t="inlineStr">
        <is>
          <t>B3</t>
        </is>
      </c>
      <c r="D3014" s="13" t="n">
        <v>0</v>
      </c>
      <c r="E3014" s="13" t="inlineStr">
        <is>
          <t>W</t>
        </is>
      </c>
      <c r="F3014" s="13" t="n">
        <v>2022</v>
      </c>
      <c r="G3014" s="14" t="n">
        <v>8004211.069631092</v>
      </c>
      <c r="H3014" s="14" t="n">
        <v>2868187.397297369</v>
      </c>
      <c r="I3014" s="14" t="n">
        <v>602130.5062875187</v>
      </c>
      <c r="J3014" s="14" t="n">
        <v>0</v>
      </c>
      <c r="K3014" s="14" t="n">
        <v>1196367.43923292</v>
      </c>
      <c r="L3014" s="14" t="n">
        <v>3337525.726813282</v>
      </c>
      <c r="M3014" s="14" t="n">
        <v>0</v>
      </c>
      <c r="N3014" s="14" t="n">
        <v>3230324.924671278</v>
      </c>
      <c r="O3014" s="14" t="n">
        <v>4353557.11466229</v>
      </c>
      <c r="P3014" s="14" t="n">
        <v>482818.95888627</v>
      </c>
      <c r="Q3014" s="14" t="n">
        <v>19228401.78647269</v>
      </c>
      <c r="R3014" s="15">
        <f>IF(D3014=1,"Section 1","Control")</f>
        <v/>
      </c>
      <c r="S3014" s="16">
        <f>N3014/10000</f>
        <v/>
      </c>
      <c r="T3014" s="16">
        <f>P3014/10000</f>
        <v/>
      </c>
      <c r="U3014" s="15">
        <f>IF(N3014&gt;=Summary!$D$3,1,0)</f>
        <v/>
      </c>
      <c r="V3014" s="17">
        <f>IF(N3014&gt;0,P3014/N3014,"")</f>
        <v/>
      </c>
      <c r="W3014" s="17">
        <f>IF(O3014&gt;0,H3014/O3014,"")</f>
        <v/>
      </c>
    </row>
    <row r="3015">
      <c r="A3015" s="13" t="inlineStr">
        <is>
          <t>CW17_B3</t>
        </is>
      </c>
      <c r="B3015" s="13" t="inlineStr">
        <is>
          <t>CW17</t>
        </is>
      </c>
      <c r="C3015" s="13" t="inlineStr">
        <is>
          <t>B3</t>
        </is>
      </c>
      <c r="D3015" s="13" t="n">
        <v>0</v>
      </c>
      <c r="E3015" s="13" t="inlineStr">
        <is>
          <t>W</t>
        </is>
      </c>
      <c r="F3015" s="13" t="n">
        <v>2023</v>
      </c>
      <c r="G3015" s="14" t="n">
        <v>8004211.069631091</v>
      </c>
      <c r="H3015" s="14" t="n">
        <v>2943596.307222852</v>
      </c>
      <c r="I3015" s="14" t="n">
        <v>497316.1244847018</v>
      </c>
      <c r="J3015" s="14" t="n">
        <v>0</v>
      </c>
      <c r="K3015" s="14" t="n">
        <v>863498.7406353818</v>
      </c>
      <c r="L3015" s="14" t="n">
        <v>3699799.897288153</v>
      </c>
      <c r="M3015" s="14" t="n">
        <v>0</v>
      </c>
      <c r="N3015" s="14" t="n">
        <v>3230324.924671278</v>
      </c>
      <c r="O3015" s="14" t="n">
        <v>4353557.114662292</v>
      </c>
      <c r="P3015" s="14" t="n">
        <v>437714.044324987</v>
      </c>
      <c r="Q3015" s="14" t="n">
        <v>19228401.7864727</v>
      </c>
      <c r="R3015" s="15">
        <f>IF(D3015=1,"Section 1","Control")</f>
        <v/>
      </c>
      <c r="S3015" s="16">
        <f>N3015/10000</f>
        <v/>
      </c>
      <c r="T3015" s="16">
        <f>P3015/10000</f>
        <v/>
      </c>
      <c r="U3015" s="15">
        <f>IF(N3015&gt;=Summary!$D$3,1,0)</f>
        <v/>
      </c>
      <c r="V3015" s="17">
        <f>IF(N3015&gt;0,P3015/N3015,"")</f>
        <v/>
      </c>
      <c r="W3015" s="17">
        <f>IF(O3015&gt;0,H3015/O3015,"")</f>
        <v/>
      </c>
    </row>
    <row r="3016">
      <c r="A3016" s="13" t="inlineStr">
        <is>
          <t>CW17_B3</t>
        </is>
      </c>
      <c r="B3016" s="13" t="inlineStr">
        <is>
          <t>CW17</t>
        </is>
      </c>
      <c r="C3016" s="13" t="inlineStr">
        <is>
          <t>B3</t>
        </is>
      </c>
      <c r="D3016" s="13" t="n">
        <v>0</v>
      </c>
      <c r="E3016" s="13" t="inlineStr">
        <is>
          <t>W</t>
        </is>
      </c>
      <c r="F3016" s="13" t="n">
        <v>2024</v>
      </c>
      <c r="G3016" s="14" t="n">
        <v>8004211.069631092</v>
      </c>
      <c r="H3016" s="14" t="n">
        <v>3048692.263253336</v>
      </c>
      <c r="I3016" s="14" t="n">
        <v>455135.5520790848</v>
      </c>
      <c r="J3016" s="14" t="n">
        <v>0</v>
      </c>
      <c r="K3016" s="14" t="n">
        <v>853124.941287112</v>
      </c>
      <c r="L3016" s="14" t="n">
        <v>3647258.313011558</v>
      </c>
      <c r="M3016" s="14" t="n">
        <v>0</v>
      </c>
      <c r="N3016" s="14" t="n">
        <v>3230324.924671278</v>
      </c>
      <c r="O3016" s="14" t="n">
        <v>4353557.114662291</v>
      </c>
      <c r="P3016" s="14" t="n">
        <v>389980.0259250417</v>
      </c>
      <c r="Q3016" s="14" t="n">
        <v>19228401.78647269</v>
      </c>
      <c r="R3016" s="15">
        <f>IF(D3016=1,"Section 1","Control")</f>
        <v/>
      </c>
      <c r="S3016" s="16">
        <f>N3016/10000</f>
        <v/>
      </c>
      <c r="T3016" s="16">
        <f>P3016/10000</f>
        <v/>
      </c>
      <c r="U3016" s="15">
        <f>IF(N3016&gt;=Summary!$D$3,1,0)</f>
        <v/>
      </c>
      <c r="V3016" s="17">
        <f>IF(N3016&gt;0,P3016/N3016,"")</f>
        <v/>
      </c>
      <c r="W3016" s="17">
        <f>IF(O3016&gt;0,H3016/O3016,"")</f>
        <v/>
      </c>
    </row>
    <row r="3017">
      <c r="A3017" s="13" t="inlineStr">
        <is>
          <t>CW17_B3</t>
        </is>
      </c>
      <c r="B3017" s="13" t="inlineStr">
        <is>
          <t>CW17</t>
        </is>
      </c>
      <c r="C3017" s="13" t="inlineStr">
        <is>
          <t>B3</t>
        </is>
      </c>
      <c r="D3017" s="13" t="n">
        <v>0</v>
      </c>
      <c r="E3017" s="13" t="inlineStr">
        <is>
          <t>W</t>
        </is>
      </c>
      <c r="F3017" s="13" t="n">
        <v>2025</v>
      </c>
      <c r="G3017" s="14" t="n">
        <v>8004211.06963109</v>
      </c>
      <c r="H3017" s="14" t="n">
        <v>2926316.234621295</v>
      </c>
      <c r="I3017" s="14" t="n">
        <v>682574.659764189</v>
      </c>
      <c r="J3017" s="14" t="n">
        <v>0</v>
      </c>
      <c r="K3017" s="14" t="n">
        <v>771498.2256085862</v>
      </c>
      <c r="L3017" s="14" t="n">
        <v>3623821.94963702</v>
      </c>
      <c r="M3017" s="14" t="n">
        <v>0</v>
      </c>
      <c r="N3017" s="14" t="n">
        <v>3230324.924671278</v>
      </c>
      <c r="O3017" s="14" t="n">
        <v>4353557.114662291</v>
      </c>
      <c r="P3017" s="14" t="n">
        <v>521708.2517659805</v>
      </c>
      <c r="Q3017" s="14" t="n">
        <v>19228401.78647269</v>
      </c>
      <c r="R3017" s="15">
        <f>IF(D3017=1,"Section 1","Control")</f>
        <v/>
      </c>
      <c r="S3017" s="16">
        <f>N3017/10000</f>
        <v/>
      </c>
      <c r="T3017" s="16">
        <f>P3017/10000</f>
        <v/>
      </c>
      <c r="U3017" s="15">
        <f>IF(N3017&gt;=Summary!$D$3,1,0)</f>
        <v/>
      </c>
      <c r="V3017" s="17">
        <f>IF(N3017&gt;0,P3017/N3017,"")</f>
        <v/>
      </c>
      <c r="W3017" s="17">
        <f>IF(O3017&gt;0,H3017/O3017,"")</f>
        <v/>
      </c>
    </row>
    <row r="3018">
      <c r="A3018" s="13" t="inlineStr">
        <is>
          <t>CW17_B3</t>
        </is>
      </c>
      <c r="B3018" s="13" t="inlineStr">
        <is>
          <t>CW17</t>
        </is>
      </c>
      <c r="C3018" s="13" t="inlineStr">
        <is>
          <t>B3</t>
        </is>
      </c>
      <c r="D3018" s="13" t="n">
        <v>0</v>
      </c>
      <c r="E3018" s="13" t="inlineStr">
        <is>
          <t>W</t>
        </is>
      </c>
      <c r="F3018" s="13" t="n">
        <v>2026</v>
      </c>
      <c r="G3018" s="14" t="n">
        <v>8004211.069631091</v>
      </c>
      <c r="H3018" s="14" t="n">
        <v>3145814.048952979</v>
      </c>
      <c r="I3018" s="14" t="n">
        <v>298360.8425428802</v>
      </c>
      <c r="J3018" s="14" t="n">
        <v>0</v>
      </c>
      <c r="K3018" s="14" t="n">
        <v>849028.2298686006</v>
      </c>
      <c r="L3018" s="14" t="n">
        <v>3711007.948266631</v>
      </c>
      <c r="M3018" s="14" t="n">
        <v>0</v>
      </c>
      <c r="N3018" s="14" t="n">
        <v>3230324.924671278</v>
      </c>
      <c r="O3018" s="14" t="n">
        <v>4353557.114662291</v>
      </c>
      <c r="P3018" s="14" t="n">
        <v>361470.5942351697</v>
      </c>
      <c r="Q3018" s="14" t="n">
        <v>19228401.7864727</v>
      </c>
      <c r="R3018" s="15">
        <f>IF(D3018=1,"Section 1","Control")</f>
        <v/>
      </c>
      <c r="S3018" s="16">
        <f>N3018/10000</f>
        <v/>
      </c>
      <c r="T3018" s="16">
        <f>P3018/10000</f>
        <v/>
      </c>
      <c r="U3018" s="15">
        <f>IF(N3018&gt;=Summary!$D$3,1,0)</f>
        <v/>
      </c>
      <c r="V3018" s="17">
        <f>IF(N3018&gt;0,P3018/N3018,"")</f>
        <v/>
      </c>
      <c r="W3018" s="17">
        <f>IF(O3018&gt;0,H3018/O3018,"")</f>
        <v/>
      </c>
    </row>
    <row r="3019">
      <c r="A3019" s="13" t="inlineStr">
        <is>
          <t>CW17_F</t>
        </is>
      </c>
      <c r="B3019" s="13" t="inlineStr">
        <is>
          <t>CW17</t>
        </is>
      </c>
      <c r="C3019" s="13" t="inlineStr">
        <is>
          <t>F</t>
        </is>
      </c>
      <c r="D3019" s="13" t="n">
        <v>0</v>
      </c>
      <c r="E3019" s="13" t="inlineStr">
        <is>
          <t>W</t>
        </is>
      </c>
      <c r="F3019" s="13" t="n">
        <v>2020</v>
      </c>
      <c r="G3019" s="14" t="n">
        <v>69507.5176887362</v>
      </c>
      <c r="H3019" s="14" t="n">
        <v>69397.94966248151</v>
      </c>
      <c r="I3019" s="14" t="n">
        <v>109.5680262546913</v>
      </c>
      <c r="J3019" s="14" t="n">
        <v>0</v>
      </c>
      <c r="K3019" s="14" t="n">
        <v>0</v>
      </c>
      <c r="L3019" s="14" t="n">
        <v>0</v>
      </c>
      <c r="M3019" s="14" t="n">
        <v>0</v>
      </c>
      <c r="N3019" s="14" t="n">
        <v>69397.94966248151</v>
      </c>
      <c r="O3019" s="14" t="n">
        <v>69507.5176887362</v>
      </c>
      <c r="P3019" s="14" t="n">
        <v>0</v>
      </c>
      <c r="Q3019" s="14" t="n">
        <v>356383.1869441018</v>
      </c>
      <c r="R3019" s="15">
        <f>IF(D3019=1,"Section 1","Control")</f>
        <v/>
      </c>
      <c r="S3019" s="16">
        <f>N3019/10000</f>
        <v/>
      </c>
      <c r="T3019" s="16">
        <f>P3019/10000</f>
        <v/>
      </c>
      <c r="U3019" s="15">
        <f>IF(N3019&gt;=Summary!$D$3,1,0)</f>
        <v/>
      </c>
      <c r="V3019" s="17">
        <f>IF(N3019&gt;0,P3019/N3019,"")</f>
        <v/>
      </c>
      <c r="W3019" s="17">
        <f>IF(O3019&gt;0,H3019/O3019,"")</f>
        <v/>
      </c>
    </row>
    <row r="3020">
      <c r="A3020" s="13" t="inlineStr">
        <is>
          <t>CW17_F</t>
        </is>
      </c>
      <c r="B3020" s="13" t="inlineStr">
        <is>
          <t>CW17</t>
        </is>
      </c>
      <c r="C3020" s="13" t="inlineStr">
        <is>
          <t>F</t>
        </is>
      </c>
      <c r="D3020" s="13" t="n">
        <v>0</v>
      </c>
      <c r="E3020" s="13" t="inlineStr">
        <is>
          <t>W</t>
        </is>
      </c>
      <c r="F3020" s="13" t="n">
        <v>2021</v>
      </c>
      <c r="G3020" s="14" t="n">
        <v>69507.5176887362</v>
      </c>
      <c r="H3020" s="14" t="n">
        <v>69100.21921386712</v>
      </c>
      <c r="I3020" s="14" t="n">
        <v>0</v>
      </c>
      <c r="J3020" s="14" t="n">
        <v>0</v>
      </c>
      <c r="K3020" s="14" t="n">
        <v>407.2984748690736</v>
      </c>
      <c r="L3020" s="14" t="n">
        <v>0</v>
      </c>
      <c r="M3020" s="14" t="n">
        <v>0</v>
      </c>
      <c r="N3020" s="14" t="n">
        <v>69397.94966248151</v>
      </c>
      <c r="O3020" s="14" t="n">
        <v>69507.5176887362</v>
      </c>
      <c r="P3020" s="14" t="n">
        <v>407.2984748690736</v>
      </c>
      <c r="Q3020" s="14" t="n">
        <v>356383.1869441018</v>
      </c>
      <c r="R3020" s="15">
        <f>IF(D3020=1,"Section 1","Control")</f>
        <v/>
      </c>
      <c r="S3020" s="16">
        <f>N3020/10000</f>
        <v/>
      </c>
      <c r="T3020" s="16">
        <f>P3020/10000</f>
        <v/>
      </c>
      <c r="U3020" s="15">
        <f>IF(N3020&gt;=Summary!$D$3,1,0)</f>
        <v/>
      </c>
      <c r="V3020" s="17">
        <f>IF(N3020&gt;0,P3020/N3020,"")</f>
        <v/>
      </c>
      <c r="W3020" s="17">
        <f>IF(O3020&gt;0,H3020/O3020,"")</f>
        <v/>
      </c>
    </row>
    <row r="3021">
      <c r="A3021" s="13" t="inlineStr">
        <is>
          <t>CW17_F</t>
        </is>
      </c>
      <c r="B3021" s="13" t="inlineStr">
        <is>
          <t>CW17</t>
        </is>
      </c>
      <c r="C3021" s="13" t="inlineStr">
        <is>
          <t>F</t>
        </is>
      </c>
      <c r="D3021" s="13" t="n">
        <v>0</v>
      </c>
      <c r="E3021" s="13" t="inlineStr">
        <is>
          <t>W</t>
        </is>
      </c>
      <c r="F3021" s="13" t="n">
        <v>2022</v>
      </c>
      <c r="G3021" s="14" t="n">
        <v>69507.5176887362</v>
      </c>
      <c r="H3021" s="14" t="n">
        <v>68705.30989685052</v>
      </c>
      <c r="I3021" s="14" t="n">
        <v>296.1819763183594</v>
      </c>
      <c r="J3021" s="14" t="n">
        <v>0</v>
      </c>
      <c r="K3021" s="14" t="n">
        <v>506.0258155673158</v>
      </c>
      <c r="L3021" s="14" t="n">
        <v>0</v>
      </c>
      <c r="M3021" s="14" t="n">
        <v>0</v>
      </c>
      <c r="N3021" s="14" t="n">
        <v>69397.94966248151</v>
      </c>
      <c r="O3021" s="14" t="n">
        <v>69507.5176887362</v>
      </c>
      <c r="P3021" s="14" t="n">
        <v>802.2077918856752</v>
      </c>
      <c r="Q3021" s="14" t="n">
        <v>356383.1869441018</v>
      </c>
      <c r="R3021" s="15">
        <f>IF(D3021=1,"Section 1","Control")</f>
        <v/>
      </c>
      <c r="S3021" s="16">
        <f>N3021/10000</f>
        <v/>
      </c>
      <c r="T3021" s="16">
        <f>P3021/10000</f>
        <v/>
      </c>
      <c r="U3021" s="15">
        <f>IF(N3021&gt;=Summary!$D$3,1,0)</f>
        <v/>
      </c>
      <c r="V3021" s="17">
        <f>IF(N3021&gt;0,P3021/N3021,"")</f>
        <v/>
      </c>
      <c r="W3021" s="17">
        <f>IF(O3021&gt;0,H3021/O3021,"")</f>
        <v/>
      </c>
    </row>
    <row r="3022">
      <c r="A3022" s="13" t="inlineStr">
        <is>
          <t>CW17_F</t>
        </is>
      </c>
      <c r="B3022" s="13" t="inlineStr">
        <is>
          <t>CW17</t>
        </is>
      </c>
      <c r="C3022" s="13" t="inlineStr">
        <is>
          <t>F</t>
        </is>
      </c>
      <c r="D3022" s="13" t="n">
        <v>0</v>
      </c>
      <c r="E3022" s="13" t="inlineStr">
        <is>
          <t>W</t>
        </is>
      </c>
      <c r="F3022" s="13" t="n">
        <v>2023</v>
      </c>
      <c r="G3022" s="14" t="n">
        <v>69507.5176887362</v>
      </c>
      <c r="H3022" s="14" t="n">
        <v>69001.49187316888</v>
      </c>
      <c r="I3022" s="14" t="n">
        <v>0</v>
      </c>
      <c r="J3022" s="14" t="n">
        <v>0</v>
      </c>
      <c r="K3022" s="14" t="n">
        <v>506.0258155673158</v>
      </c>
      <c r="L3022" s="14" t="n">
        <v>0</v>
      </c>
      <c r="M3022" s="14" t="n">
        <v>0</v>
      </c>
      <c r="N3022" s="14" t="n">
        <v>69397.94966248151</v>
      </c>
      <c r="O3022" s="14" t="n">
        <v>69507.5176887362</v>
      </c>
      <c r="P3022" s="14" t="n">
        <v>506.0258155673158</v>
      </c>
      <c r="Q3022" s="14" t="n">
        <v>356383.1869441018</v>
      </c>
      <c r="R3022" s="15">
        <f>IF(D3022=1,"Section 1","Control")</f>
        <v/>
      </c>
      <c r="S3022" s="16">
        <f>N3022/10000</f>
        <v/>
      </c>
      <c r="T3022" s="16">
        <f>P3022/10000</f>
        <v/>
      </c>
      <c r="U3022" s="15">
        <f>IF(N3022&gt;=Summary!$D$3,1,0)</f>
        <v/>
      </c>
      <c r="V3022" s="17">
        <f>IF(N3022&gt;0,P3022/N3022,"")</f>
        <v/>
      </c>
      <c r="W3022" s="17">
        <f>IF(O3022&gt;0,H3022/O3022,"")</f>
        <v/>
      </c>
    </row>
    <row r="3023">
      <c r="A3023" s="13" t="inlineStr">
        <is>
          <t>CW17_F</t>
        </is>
      </c>
      <c r="B3023" s="13" t="inlineStr">
        <is>
          <t>CW17</t>
        </is>
      </c>
      <c r="C3023" s="13" t="inlineStr">
        <is>
          <t>F</t>
        </is>
      </c>
      <c r="D3023" s="13" t="n">
        <v>0</v>
      </c>
      <c r="E3023" s="13" t="inlineStr">
        <is>
          <t>W</t>
        </is>
      </c>
      <c r="F3023" s="13" t="n">
        <v>2024</v>
      </c>
      <c r="G3023" s="14" t="n">
        <v>69507.5176887362</v>
      </c>
      <c r="H3023" s="14" t="n">
        <v>69001.49187316888</v>
      </c>
      <c r="I3023" s="14" t="n">
        <v>0</v>
      </c>
      <c r="J3023" s="14" t="n">
        <v>0</v>
      </c>
      <c r="K3023" s="14" t="n">
        <v>506.0258155673158</v>
      </c>
      <c r="L3023" s="14" t="n">
        <v>0</v>
      </c>
      <c r="M3023" s="14" t="n">
        <v>0</v>
      </c>
      <c r="N3023" s="14" t="n">
        <v>69397.94966248151</v>
      </c>
      <c r="O3023" s="14" t="n">
        <v>69507.5176887362</v>
      </c>
      <c r="P3023" s="14" t="n">
        <v>506.0258155673158</v>
      </c>
      <c r="Q3023" s="14" t="n">
        <v>356383.1869441018</v>
      </c>
      <c r="R3023" s="15">
        <f>IF(D3023=1,"Section 1","Control")</f>
        <v/>
      </c>
      <c r="S3023" s="16">
        <f>N3023/10000</f>
        <v/>
      </c>
      <c r="T3023" s="16">
        <f>P3023/10000</f>
        <v/>
      </c>
      <c r="U3023" s="15">
        <f>IF(N3023&gt;=Summary!$D$3,1,0)</f>
        <v/>
      </c>
      <c r="V3023" s="17">
        <f>IF(N3023&gt;0,P3023/N3023,"")</f>
        <v/>
      </c>
      <c r="W3023" s="17">
        <f>IF(O3023&gt;0,H3023/O3023,"")</f>
        <v/>
      </c>
    </row>
    <row r="3024">
      <c r="A3024" s="13" t="inlineStr">
        <is>
          <t>CW17_F</t>
        </is>
      </c>
      <c r="B3024" s="13" t="inlineStr">
        <is>
          <t>CW17</t>
        </is>
      </c>
      <c r="C3024" s="13" t="inlineStr">
        <is>
          <t>F</t>
        </is>
      </c>
      <c r="D3024" s="13" t="n">
        <v>0</v>
      </c>
      <c r="E3024" s="13" t="inlineStr">
        <is>
          <t>W</t>
        </is>
      </c>
      <c r="F3024" s="13" t="n">
        <v>2025</v>
      </c>
      <c r="G3024" s="14" t="n">
        <v>69507.5176887362</v>
      </c>
      <c r="H3024" s="14" t="n">
        <v>67400.56035850369</v>
      </c>
      <c r="I3024" s="14" t="n">
        <v>1699.658855363434</v>
      </c>
      <c r="J3024" s="14" t="n">
        <v>0</v>
      </c>
      <c r="K3024" s="14" t="n">
        <v>407.2984748690736</v>
      </c>
      <c r="L3024" s="14" t="n">
        <v>0</v>
      </c>
      <c r="M3024" s="14" t="n">
        <v>0</v>
      </c>
      <c r="N3024" s="14" t="n">
        <v>69397.94966248151</v>
      </c>
      <c r="O3024" s="14" t="n">
        <v>69507.5176887362</v>
      </c>
      <c r="P3024" s="14" t="n">
        <v>2106.957330232508</v>
      </c>
      <c r="Q3024" s="14" t="n">
        <v>356383.1869441018</v>
      </c>
      <c r="R3024" s="15">
        <f>IF(D3024=1,"Section 1","Control")</f>
        <v/>
      </c>
      <c r="S3024" s="16">
        <f>N3024/10000</f>
        <v/>
      </c>
      <c r="T3024" s="16">
        <f>P3024/10000</f>
        <v/>
      </c>
      <c r="U3024" s="15">
        <f>IF(N3024&gt;=Summary!$D$3,1,0)</f>
        <v/>
      </c>
      <c r="V3024" s="17">
        <f>IF(N3024&gt;0,P3024/N3024,"")</f>
        <v/>
      </c>
      <c r="W3024" s="17">
        <f>IF(O3024&gt;0,H3024/O3024,"")</f>
        <v/>
      </c>
    </row>
    <row r="3025">
      <c r="A3025" s="13" t="inlineStr">
        <is>
          <t>CW17_F</t>
        </is>
      </c>
      <c r="B3025" s="13" t="inlineStr">
        <is>
          <t>CW17</t>
        </is>
      </c>
      <c r="C3025" s="13" t="inlineStr">
        <is>
          <t>F</t>
        </is>
      </c>
      <c r="D3025" s="13" t="n">
        <v>0</v>
      </c>
      <c r="E3025" s="13" t="inlineStr">
        <is>
          <t>W</t>
        </is>
      </c>
      <c r="F3025" s="13" t="n">
        <v>2026</v>
      </c>
      <c r="G3025" s="14" t="n">
        <v>69507.5176887362</v>
      </c>
      <c r="H3025" s="14" t="n">
        <v>69100.21921386712</v>
      </c>
      <c r="I3025" s="14" t="n">
        <v>0</v>
      </c>
      <c r="J3025" s="14" t="n">
        <v>0</v>
      </c>
      <c r="K3025" s="14" t="n">
        <v>407.2984748690736</v>
      </c>
      <c r="L3025" s="14" t="n">
        <v>0</v>
      </c>
      <c r="M3025" s="14" t="n">
        <v>0</v>
      </c>
      <c r="N3025" s="14" t="n">
        <v>69397.94966248151</v>
      </c>
      <c r="O3025" s="14" t="n">
        <v>69507.5176887362</v>
      </c>
      <c r="P3025" s="14" t="n">
        <v>407.2984748690736</v>
      </c>
      <c r="Q3025" s="14" t="n">
        <v>356383.1869441018</v>
      </c>
      <c r="R3025" s="15">
        <f>IF(D3025=1,"Section 1","Control")</f>
        <v/>
      </c>
      <c r="S3025" s="16">
        <f>N3025/10000</f>
        <v/>
      </c>
      <c r="T3025" s="16">
        <f>P3025/10000</f>
        <v/>
      </c>
      <c r="U3025" s="15">
        <f>IF(N3025&gt;=Summary!$D$3,1,0)</f>
        <v/>
      </c>
      <c r="V3025" s="17">
        <f>IF(N3025&gt;0,P3025/N3025,"")</f>
        <v/>
      </c>
      <c r="W3025" s="17">
        <f>IF(O3025&gt;0,H3025/O3025,"")</f>
        <v/>
      </c>
    </row>
    <row r="3026">
      <c r="A3026" s="13" t="inlineStr">
        <is>
          <t>CW18_B1</t>
        </is>
      </c>
      <c r="B3026" s="13" t="inlineStr">
        <is>
          <t>CW18</t>
        </is>
      </c>
      <c r="C3026" s="13" t="inlineStr">
        <is>
          <t>B1</t>
        </is>
      </c>
      <c r="D3026" s="13" t="n">
        <v>0</v>
      </c>
      <c r="E3026" s="13" t="inlineStr">
        <is>
          <t>W</t>
        </is>
      </c>
      <c r="F3026" s="13" t="n">
        <v>2020</v>
      </c>
      <c r="G3026" s="14" t="n">
        <v>1001121.604611266</v>
      </c>
      <c r="H3026" s="14" t="n">
        <v>734365.0987454583</v>
      </c>
      <c r="I3026" s="14" t="n">
        <v>257061.4606103336</v>
      </c>
      <c r="J3026" s="14" t="n">
        <v>0</v>
      </c>
      <c r="K3026" s="14" t="n">
        <v>9695.045255474017</v>
      </c>
      <c r="L3026" s="14" t="n">
        <v>0</v>
      </c>
      <c r="M3026" s="14" t="n">
        <v>0</v>
      </c>
      <c r="N3026" s="14" t="n">
        <v>734365.0987454583</v>
      </c>
      <c r="O3026" s="14" t="n">
        <v>1001121.604611266</v>
      </c>
      <c r="P3026" s="14" t="n">
        <v>0</v>
      </c>
      <c r="Q3026" s="14" t="n">
        <v>6492916.702191849</v>
      </c>
      <c r="R3026" s="15">
        <f>IF(D3026=1,"Section 1","Control")</f>
        <v/>
      </c>
      <c r="S3026" s="16">
        <f>N3026/10000</f>
        <v/>
      </c>
      <c r="T3026" s="16">
        <f>P3026/10000</f>
        <v/>
      </c>
      <c r="U3026" s="15">
        <f>IF(N3026&gt;=Summary!$D$3,1,0)</f>
        <v/>
      </c>
      <c r="V3026" s="17">
        <f>IF(N3026&gt;0,P3026/N3026,"")</f>
        <v/>
      </c>
      <c r="W3026" s="17">
        <f>IF(O3026&gt;0,H3026/O3026,"")</f>
        <v/>
      </c>
    </row>
    <row r="3027">
      <c r="A3027" s="13" t="inlineStr">
        <is>
          <t>CW18_B1</t>
        </is>
      </c>
      <c r="B3027" s="13" t="inlineStr">
        <is>
          <t>CW18</t>
        </is>
      </c>
      <c r="C3027" s="13" t="inlineStr">
        <is>
          <t>B1</t>
        </is>
      </c>
      <c r="D3027" s="13" t="n">
        <v>0</v>
      </c>
      <c r="E3027" s="13" t="inlineStr">
        <is>
          <t>W</t>
        </is>
      </c>
      <c r="F3027" s="13" t="n">
        <v>2021</v>
      </c>
      <c r="G3027" s="14" t="n">
        <v>1001121.604611266</v>
      </c>
      <c r="H3027" s="14" t="n">
        <v>763043.9672239716</v>
      </c>
      <c r="I3027" s="14" t="n">
        <v>46309.85892660104</v>
      </c>
      <c r="J3027" s="14" t="n">
        <v>0</v>
      </c>
      <c r="K3027" s="14" t="n">
        <v>191767.7784606933</v>
      </c>
      <c r="L3027" s="14" t="n">
        <v>0</v>
      </c>
      <c r="M3027" s="14" t="n">
        <v>0</v>
      </c>
      <c r="N3027" s="14" t="n">
        <v>734365.0987454583</v>
      </c>
      <c r="O3027" s="14" t="n">
        <v>1001121.604611266</v>
      </c>
      <c r="P3027" s="14" t="n">
        <v>99681.80179033466</v>
      </c>
      <c r="Q3027" s="14" t="n">
        <v>6492916.702191849</v>
      </c>
      <c r="R3027" s="15">
        <f>IF(D3027=1,"Section 1","Control")</f>
        <v/>
      </c>
      <c r="S3027" s="16">
        <f>N3027/10000</f>
        <v/>
      </c>
      <c r="T3027" s="16">
        <f>P3027/10000</f>
        <v/>
      </c>
      <c r="U3027" s="15">
        <f>IF(N3027&gt;=Summary!$D$3,1,0)</f>
        <v/>
      </c>
      <c r="V3027" s="17">
        <f>IF(N3027&gt;0,P3027/N3027,"")</f>
        <v/>
      </c>
      <c r="W3027" s="17">
        <f>IF(O3027&gt;0,H3027/O3027,"")</f>
        <v/>
      </c>
    </row>
    <row r="3028">
      <c r="A3028" s="13" t="inlineStr">
        <is>
          <t>CW18_B1</t>
        </is>
      </c>
      <c r="B3028" s="13" t="inlineStr">
        <is>
          <t>CW18</t>
        </is>
      </c>
      <c r="C3028" s="13" t="inlineStr">
        <is>
          <t>B1</t>
        </is>
      </c>
      <c r="D3028" s="13" t="n">
        <v>0</v>
      </c>
      <c r="E3028" s="13" t="inlineStr">
        <is>
          <t>W</t>
        </is>
      </c>
      <c r="F3028" s="13" t="n">
        <v>2022</v>
      </c>
      <c r="G3028" s="14" t="n">
        <v>1001121.604611266</v>
      </c>
      <c r="H3028" s="14" t="n">
        <v>595250.5223385082</v>
      </c>
      <c r="I3028" s="14" t="n">
        <v>286649.3150789448</v>
      </c>
      <c r="J3028" s="14" t="n">
        <v>0</v>
      </c>
      <c r="K3028" s="14" t="n">
        <v>119221.767193813</v>
      </c>
      <c r="L3028" s="14" t="n">
        <v>0</v>
      </c>
      <c r="M3028" s="14" t="n">
        <v>0</v>
      </c>
      <c r="N3028" s="14" t="n">
        <v>734365.0987454583</v>
      </c>
      <c r="O3028" s="14" t="n">
        <v>1001121.604611266</v>
      </c>
      <c r="P3028" s="14" t="n">
        <v>183685.110084773</v>
      </c>
      <c r="Q3028" s="14" t="n">
        <v>6492916.702191849</v>
      </c>
      <c r="R3028" s="15">
        <f>IF(D3028=1,"Section 1","Control")</f>
        <v/>
      </c>
      <c r="S3028" s="16">
        <f>N3028/10000</f>
        <v/>
      </c>
      <c r="T3028" s="16">
        <f>P3028/10000</f>
        <v/>
      </c>
      <c r="U3028" s="15">
        <f>IF(N3028&gt;=Summary!$D$3,1,0)</f>
        <v/>
      </c>
      <c r="V3028" s="17">
        <f>IF(N3028&gt;0,P3028/N3028,"")</f>
        <v/>
      </c>
      <c r="W3028" s="17">
        <f>IF(O3028&gt;0,H3028/O3028,"")</f>
        <v/>
      </c>
    </row>
    <row r="3029">
      <c r="A3029" s="13" t="inlineStr">
        <is>
          <t>CW18_B1</t>
        </is>
      </c>
      <c r="B3029" s="13" t="inlineStr">
        <is>
          <t>CW18</t>
        </is>
      </c>
      <c r="C3029" s="13" t="inlineStr">
        <is>
          <t>B1</t>
        </is>
      </c>
      <c r="D3029" s="13" t="n">
        <v>0</v>
      </c>
      <c r="E3029" s="13" t="inlineStr">
        <is>
          <t>W</t>
        </is>
      </c>
      <c r="F3029" s="13" t="n">
        <v>2023</v>
      </c>
      <c r="G3029" s="14" t="n">
        <v>1001121.604611266</v>
      </c>
      <c r="H3029" s="14" t="n">
        <v>781134.7897441491</v>
      </c>
      <c r="I3029" s="14" t="n">
        <v>82953.86671684115</v>
      </c>
      <c r="J3029" s="14" t="n">
        <v>0</v>
      </c>
      <c r="K3029" s="14" t="n">
        <v>137032.9481502757</v>
      </c>
      <c r="L3029" s="14" t="n">
        <v>0</v>
      </c>
      <c r="M3029" s="14" t="n">
        <v>0</v>
      </c>
      <c r="N3029" s="14" t="n">
        <v>734365.0987454583</v>
      </c>
      <c r="O3029" s="14" t="n">
        <v>1001121.604611266</v>
      </c>
      <c r="P3029" s="14" t="n">
        <v>90078.62075368845</v>
      </c>
      <c r="Q3029" s="14" t="n">
        <v>6492916.702191849</v>
      </c>
      <c r="R3029" s="15">
        <f>IF(D3029=1,"Section 1","Control")</f>
        <v/>
      </c>
      <c r="S3029" s="16">
        <f>N3029/10000</f>
        <v/>
      </c>
      <c r="T3029" s="16">
        <f>P3029/10000</f>
        <v/>
      </c>
      <c r="U3029" s="15">
        <f>IF(N3029&gt;=Summary!$D$3,1,0)</f>
        <v/>
      </c>
      <c r="V3029" s="17">
        <f>IF(N3029&gt;0,P3029/N3029,"")</f>
        <v/>
      </c>
      <c r="W3029" s="17">
        <f>IF(O3029&gt;0,H3029/O3029,"")</f>
        <v/>
      </c>
    </row>
    <row r="3030">
      <c r="A3030" s="13" t="inlineStr">
        <is>
          <t>CW18_B1</t>
        </is>
      </c>
      <c r="B3030" s="13" t="inlineStr">
        <is>
          <t>CW18</t>
        </is>
      </c>
      <c r="C3030" s="13" t="inlineStr">
        <is>
          <t>B1</t>
        </is>
      </c>
      <c r="D3030" s="13" t="n">
        <v>0</v>
      </c>
      <c r="E3030" s="13" t="inlineStr">
        <is>
          <t>W</t>
        </is>
      </c>
      <c r="F3030" s="13" t="n">
        <v>2024</v>
      </c>
      <c r="G3030" s="14" t="n">
        <v>1001121.604611266</v>
      </c>
      <c r="H3030" s="14" t="n">
        <v>746820.6114986644</v>
      </c>
      <c r="I3030" s="14" t="n">
        <v>123279.2018447278</v>
      </c>
      <c r="J3030" s="14" t="n">
        <v>0</v>
      </c>
      <c r="K3030" s="14" t="n">
        <v>131021.7912678737</v>
      </c>
      <c r="L3030" s="14" t="n">
        <v>0</v>
      </c>
      <c r="M3030" s="14" t="n">
        <v>0</v>
      </c>
      <c r="N3030" s="14" t="n">
        <v>734365.0987454583</v>
      </c>
      <c r="O3030" s="14" t="n">
        <v>1001121.604611266</v>
      </c>
      <c r="P3030" s="14" t="n">
        <v>111048.7191188438</v>
      </c>
      <c r="Q3030" s="14" t="n">
        <v>6492916.702191849</v>
      </c>
      <c r="R3030" s="15">
        <f>IF(D3030=1,"Section 1","Control")</f>
        <v/>
      </c>
      <c r="S3030" s="16">
        <f>N3030/10000</f>
        <v/>
      </c>
      <c r="T3030" s="16">
        <f>P3030/10000</f>
        <v/>
      </c>
      <c r="U3030" s="15">
        <f>IF(N3030&gt;=Summary!$D$3,1,0)</f>
        <v/>
      </c>
      <c r="V3030" s="17">
        <f>IF(N3030&gt;0,P3030/N3030,"")</f>
        <v/>
      </c>
      <c r="W3030" s="17">
        <f>IF(O3030&gt;0,H3030/O3030,"")</f>
        <v/>
      </c>
    </row>
    <row r="3031">
      <c r="A3031" s="13" t="inlineStr">
        <is>
          <t>CW18_B1</t>
        </is>
      </c>
      <c r="B3031" s="13" t="inlineStr">
        <is>
          <t>CW18</t>
        </is>
      </c>
      <c r="C3031" s="13" t="inlineStr">
        <is>
          <t>B1</t>
        </is>
      </c>
      <c r="D3031" s="13" t="n">
        <v>0</v>
      </c>
      <c r="E3031" s="13" t="inlineStr">
        <is>
          <t>W</t>
        </is>
      </c>
      <c r="F3031" s="13" t="n">
        <v>2025</v>
      </c>
      <c r="G3031" s="14" t="n">
        <v>1001121.604611266</v>
      </c>
      <c r="H3031" s="14" t="n">
        <v>512786.8605584837</v>
      </c>
      <c r="I3031" s="14" t="n">
        <v>455965.2745967192</v>
      </c>
      <c r="J3031" s="14" t="n">
        <v>0</v>
      </c>
      <c r="K3031" s="14" t="n">
        <v>32369.46945606306</v>
      </c>
      <c r="L3031" s="14" t="n">
        <v>0</v>
      </c>
      <c r="M3031" s="14" t="n">
        <v>0</v>
      </c>
      <c r="N3031" s="14" t="n">
        <v>734365.0987454583</v>
      </c>
      <c r="O3031" s="14" t="n">
        <v>1001121.604611266</v>
      </c>
      <c r="P3031" s="14" t="n">
        <v>242973.8050499112</v>
      </c>
      <c r="Q3031" s="14" t="n">
        <v>6492916.702191849</v>
      </c>
      <c r="R3031" s="15">
        <f>IF(D3031=1,"Section 1","Control")</f>
        <v/>
      </c>
      <c r="S3031" s="16">
        <f>N3031/10000</f>
        <v/>
      </c>
      <c r="T3031" s="16">
        <f>P3031/10000</f>
        <v/>
      </c>
      <c r="U3031" s="15">
        <f>IF(N3031&gt;=Summary!$D$3,1,0)</f>
        <v/>
      </c>
      <c r="V3031" s="17">
        <f>IF(N3031&gt;0,P3031/N3031,"")</f>
        <v/>
      </c>
      <c r="W3031" s="17">
        <f>IF(O3031&gt;0,H3031/O3031,"")</f>
        <v/>
      </c>
    </row>
    <row r="3032">
      <c r="A3032" s="13" t="inlineStr">
        <is>
          <t>CW18_B1</t>
        </is>
      </c>
      <c r="B3032" s="13" t="inlineStr">
        <is>
          <t>CW18</t>
        </is>
      </c>
      <c r="C3032" s="13" t="inlineStr">
        <is>
          <t>B1</t>
        </is>
      </c>
      <c r="D3032" s="13" t="n">
        <v>0</v>
      </c>
      <c r="E3032" s="13" t="inlineStr">
        <is>
          <t>W</t>
        </is>
      </c>
      <c r="F3032" s="13" t="n">
        <v>2026</v>
      </c>
      <c r="G3032" s="14" t="n">
        <v>1001121.604611266</v>
      </c>
      <c r="H3032" s="14" t="n">
        <v>899568.8923076256</v>
      </c>
      <c r="I3032" s="14" t="n">
        <v>44248.91487280154</v>
      </c>
      <c r="J3032" s="14" t="n">
        <v>0</v>
      </c>
      <c r="K3032" s="14" t="n">
        <v>57303.79743083879</v>
      </c>
      <c r="L3032" s="14" t="n">
        <v>0</v>
      </c>
      <c r="M3032" s="14" t="n">
        <v>0</v>
      </c>
      <c r="N3032" s="14" t="n">
        <v>734365.0987454583</v>
      </c>
      <c r="O3032" s="14" t="n">
        <v>1001121.604611266</v>
      </c>
      <c r="P3032" s="14" t="n">
        <v>35680.91565476959</v>
      </c>
      <c r="Q3032" s="14" t="n">
        <v>6492916.702191849</v>
      </c>
      <c r="R3032" s="15">
        <f>IF(D3032=1,"Section 1","Control")</f>
        <v/>
      </c>
      <c r="S3032" s="16">
        <f>N3032/10000</f>
        <v/>
      </c>
      <c r="T3032" s="16">
        <f>P3032/10000</f>
        <v/>
      </c>
      <c r="U3032" s="15">
        <f>IF(N3032&gt;=Summary!$D$3,1,0)</f>
        <v/>
      </c>
      <c r="V3032" s="17">
        <f>IF(N3032&gt;0,P3032/N3032,"")</f>
        <v/>
      </c>
      <c r="W3032" s="17">
        <f>IF(O3032&gt;0,H3032/O3032,"")</f>
        <v/>
      </c>
    </row>
    <row r="3033">
      <c r="A3033" s="13" t="inlineStr">
        <is>
          <t>CW18_B2</t>
        </is>
      </c>
      <c r="B3033" s="13" t="inlineStr">
        <is>
          <t>CW18</t>
        </is>
      </c>
      <c r="C3033" s="13" t="inlineStr">
        <is>
          <t>B2</t>
        </is>
      </c>
      <c r="D3033" s="13" t="n">
        <v>0</v>
      </c>
      <c r="E3033" s="13" t="inlineStr">
        <is>
          <t>W</t>
        </is>
      </c>
      <c r="F3033" s="13" t="n">
        <v>2020</v>
      </c>
      <c r="G3033" s="14" t="n">
        <v>1001123.148476216</v>
      </c>
      <c r="H3033" s="14" t="n">
        <v>615131.9622507133</v>
      </c>
      <c r="I3033" s="14" t="n">
        <v>329288.6542199526</v>
      </c>
      <c r="J3033" s="14" t="n">
        <v>0</v>
      </c>
      <c r="K3033" s="14" t="n">
        <v>56702.53200554941</v>
      </c>
      <c r="L3033" s="14" t="n">
        <v>0</v>
      </c>
      <c r="M3033" s="14" t="n">
        <v>0</v>
      </c>
      <c r="N3033" s="14" t="n">
        <v>615131.9622507133</v>
      </c>
      <c r="O3033" s="14" t="n">
        <v>1001123.148476216</v>
      </c>
      <c r="P3033" s="14" t="n">
        <v>0</v>
      </c>
      <c r="Q3033" s="14" t="n">
        <v>8072272.382021915</v>
      </c>
      <c r="R3033" s="15">
        <f>IF(D3033=1,"Section 1","Control")</f>
        <v/>
      </c>
      <c r="S3033" s="16">
        <f>N3033/10000</f>
        <v/>
      </c>
      <c r="T3033" s="16">
        <f>P3033/10000</f>
        <v/>
      </c>
      <c r="U3033" s="15">
        <f>IF(N3033&gt;=Summary!$D$3,1,0)</f>
        <v/>
      </c>
      <c r="V3033" s="17">
        <f>IF(N3033&gt;0,P3033/N3033,"")</f>
        <v/>
      </c>
      <c r="W3033" s="17">
        <f>IF(O3033&gt;0,H3033/O3033,"")</f>
        <v/>
      </c>
    </row>
    <row r="3034">
      <c r="A3034" s="13" t="inlineStr">
        <is>
          <t>CW18_B2</t>
        </is>
      </c>
      <c r="B3034" s="13" t="inlineStr">
        <is>
          <t>CW18</t>
        </is>
      </c>
      <c r="C3034" s="13" t="inlineStr">
        <is>
          <t>B2</t>
        </is>
      </c>
      <c r="D3034" s="13" t="n">
        <v>0</v>
      </c>
      <c r="E3034" s="13" t="inlineStr">
        <is>
          <t>W</t>
        </is>
      </c>
      <c r="F3034" s="13" t="n">
        <v>2021</v>
      </c>
      <c r="G3034" s="14" t="n">
        <v>1001123.148476216</v>
      </c>
      <c r="H3034" s="14" t="n">
        <v>622739.4207137763</v>
      </c>
      <c r="I3034" s="14" t="n">
        <v>216229.6049627865</v>
      </c>
      <c r="J3034" s="14" t="n">
        <v>0</v>
      </c>
      <c r="K3034" s="14" t="n">
        <v>162154.1227996527</v>
      </c>
      <c r="L3034" s="14" t="n">
        <v>0</v>
      </c>
      <c r="M3034" s="14" t="n">
        <v>0</v>
      </c>
      <c r="N3034" s="14" t="n">
        <v>615131.9622507133</v>
      </c>
      <c r="O3034" s="14" t="n">
        <v>1001123.148476216</v>
      </c>
      <c r="P3034" s="14" t="n">
        <v>30419.27872446097</v>
      </c>
      <c r="Q3034" s="14" t="n">
        <v>8072272.382021915</v>
      </c>
      <c r="R3034" s="15">
        <f>IF(D3034=1,"Section 1","Control")</f>
        <v/>
      </c>
      <c r="S3034" s="16">
        <f>N3034/10000</f>
        <v/>
      </c>
      <c r="T3034" s="16">
        <f>P3034/10000</f>
        <v/>
      </c>
      <c r="U3034" s="15">
        <f>IF(N3034&gt;=Summary!$D$3,1,0)</f>
        <v/>
      </c>
      <c r="V3034" s="17">
        <f>IF(N3034&gt;0,P3034/N3034,"")</f>
        <v/>
      </c>
      <c r="W3034" s="17">
        <f>IF(O3034&gt;0,H3034/O3034,"")</f>
        <v/>
      </c>
    </row>
    <row r="3035">
      <c r="A3035" s="13" t="inlineStr">
        <is>
          <t>CW18_B2</t>
        </is>
      </c>
      <c r="B3035" s="13" t="inlineStr">
        <is>
          <t>CW18</t>
        </is>
      </c>
      <c r="C3035" s="13" t="inlineStr">
        <is>
          <t>B2</t>
        </is>
      </c>
      <c r="D3035" s="13" t="n">
        <v>0</v>
      </c>
      <c r="E3035" s="13" t="inlineStr">
        <is>
          <t>W</t>
        </is>
      </c>
      <c r="F3035" s="13" t="n">
        <v>2022</v>
      </c>
      <c r="G3035" s="14" t="n">
        <v>1001123.148476216</v>
      </c>
      <c r="H3035" s="14" t="n">
        <v>548157.9294875201</v>
      </c>
      <c r="I3035" s="14" t="n">
        <v>317638.1858906165</v>
      </c>
      <c r="J3035" s="14" t="n">
        <v>0</v>
      </c>
      <c r="K3035" s="14" t="n">
        <v>135327.0330980787</v>
      </c>
      <c r="L3035" s="14" t="n">
        <v>0</v>
      </c>
      <c r="M3035" s="14" t="n">
        <v>0</v>
      </c>
      <c r="N3035" s="14" t="n">
        <v>615131.9622507133</v>
      </c>
      <c r="O3035" s="14" t="n">
        <v>1001123.148476216</v>
      </c>
      <c r="P3035" s="14" t="n">
        <v>72215.93587616565</v>
      </c>
      <c r="Q3035" s="14" t="n">
        <v>8072272.382021915</v>
      </c>
      <c r="R3035" s="15">
        <f>IF(D3035=1,"Section 1","Control")</f>
        <v/>
      </c>
      <c r="S3035" s="16">
        <f>N3035/10000</f>
        <v/>
      </c>
      <c r="T3035" s="16">
        <f>P3035/10000</f>
        <v/>
      </c>
      <c r="U3035" s="15">
        <f>IF(N3035&gt;=Summary!$D$3,1,0)</f>
        <v/>
      </c>
      <c r="V3035" s="17">
        <f>IF(N3035&gt;0,P3035/N3035,"")</f>
        <v/>
      </c>
      <c r="W3035" s="17">
        <f>IF(O3035&gt;0,H3035/O3035,"")</f>
        <v/>
      </c>
    </row>
    <row r="3036">
      <c r="A3036" s="13" t="inlineStr">
        <is>
          <t>CW18_B2</t>
        </is>
      </c>
      <c r="B3036" s="13" t="inlineStr">
        <is>
          <t>CW18</t>
        </is>
      </c>
      <c r="C3036" s="13" t="inlineStr">
        <is>
          <t>B2</t>
        </is>
      </c>
      <c r="D3036" s="13" t="n">
        <v>0</v>
      </c>
      <c r="E3036" s="13" t="inlineStr">
        <is>
          <t>W</t>
        </is>
      </c>
      <c r="F3036" s="13" t="n">
        <v>2023</v>
      </c>
      <c r="G3036" s="14" t="n">
        <v>1001123.148476215</v>
      </c>
      <c r="H3036" s="14" t="n">
        <v>604211.3924728693</v>
      </c>
      <c r="I3036" s="14" t="n">
        <v>279283.1070663751</v>
      </c>
      <c r="J3036" s="14" t="n">
        <v>0</v>
      </c>
      <c r="K3036" s="14" t="n">
        <v>117628.648936971</v>
      </c>
      <c r="L3036" s="14" t="n">
        <v>0</v>
      </c>
      <c r="M3036" s="14" t="n">
        <v>0</v>
      </c>
      <c r="N3036" s="14" t="n">
        <v>615131.9622507131</v>
      </c>
      <c r="O3036" s="14" t="n">
        <v>1001123.148476215</v>
      </c>
      <c r="P3036" s="14" t="n">
        <v>49462.28031840605</v>
      </c>
      <c r="Q3036" s="14" t="n">
        <v>8072272.382021915</v>
      </c>
      <c r="R3036" s="15">
        <f>IF(D3036=1,"Section 1","Control")</f>
        <v/>
      </c>
      <c r="S3036" s="16">
        <f>N3036/10000</f>
        <v/>
      </c>
      <c r="T3036" s="16">
        <f>P3036/10000</f>
        <v/>
      </c>
      <c r="U3036" s="15">
        <f>IF(N3036&gt;=Summary!$D$3,1,0)</f>
        <v/>
      </c>
      <c r="V3036" s="17">
        <f>IF(N3036&gt;0,P3036/N3036,"")</f>
        <v/>
      </c>
      <c r="W3036" s="17">
        <f>IF(O3036&gt;0,H3036/O3036,"")</f>
        <v/>
      </c>
    </row>
    <row r="3037">
      <c r="A3037" s="13" t="inlineStr">
        <is>
          <t>CW18_B2</t>
        </is>
      </c>
      <c r="B3037" s="13" t="inlineStr">
        <is>
          <t>CW18</t>
        </is>
      </c>
      <c r="C3037" s="13" t="inlineStr">
        <is>
          <t>B2</t>
        </is>
      </c>
      <c r="D3037" s="13" t="n">
        <v>0</v>
      </c>
      <c r="E3037" s="13" t="inlineStr">
        <is>
          <t>W</t>
        </is>
      </c>
      <c r="F3037" s="13" t="n">
        <v>2024</v>
      </c>
      <c r="G3037" s="14" t="n">
        <v>1001123.148476216</v>
      </c>
      <c r="H3037" s="14" t="n">
        <v>603832.2339252547</v>
      </c>
      <c r="I3037" s="14" t="n">
        <v>283181.6705175661</v>
      </c>
      <c r="J3037" s="14" t="n">
        <v>0</v>
      </c>
      <c r="K3037" s="14" t="n">
        <v>114109.2440333946</v>
      </c>
      <c r="L3037" s="14" t="n">
        <v>0</v>
      </c>
      <c r="M3037" s="14" t="n">
        <v>0</v>
      </c>
      <c r="N3037" s="14" t="n">
        <v>615131.9622507133</v>
      </c>
      <c r="O3037" s="14" t="n">
        <v>1001123.148476216</v>
      </c>
      <c r="P3037" s="14" t="n">
        <v>82028.5310528026</v>
      </c>
      <c r="Q3037" s="14" t="n">
        <v>8072272.382021915</v>
      </c>
      <c r="R3037" s="15">
        <f>IF(D3037=1,"Section 1","Control")</f>
        <v/>
      </c>
      <c r="S3037" s="16">
        <f>N3037/10000</f>
        <v/>
      </c>
      <c r="T3037" s="16">
        <f>P3037/10000</f>
        <v/>
      </c>
      <c r="U3037" s="15">
        <f>IF(N3037&gt;=Summary!$D$3,1,0)</f>
        <v/>
      </c>
      <c r="V3037" s="17">
        <f>IF(N3037&gt;0,P3037/N3037,"")</f>
        <v/>
      </c>
      <c r="W3037" s="17">
        <f>IF(O3037&gt;0,H3037/O3037,"")</f>
        <v/>
      </c>
    </row>
    <row r="3038">
      <c r="A3038" s="13" t="inlineStr">
        <is>
          <t>CW18_B2</t>
        </is>
      </c>
      <c r="B3038" s="13" t="inlineStr">
        <is>
          <t>CW18</t>
        </is>
      </c>
      <c r="C3038" s="13" t="inlineStr">
        <is>
          <t>B2</t>
        </is>
      </c>
      <c r="D3038" s="13" t="n">
        <v>0</v>
      </c>
      <c r="E3038" s="13" t="inlineStr">
        <is>
          <t>W</t>
        </is>
      </c>
      <c r="F3038" s="13" t="n">
        <v>2025</v>
      </c>
      <c r="G3038" s="14" t="n">
        <v>1001123.148476216</v>
      </c>
      <c r="H3038" s="14" t="n">
        <v>540895.4257893581</v>
      </c>
      <c r="I3038" s="14" t="n">
        <v>358949.324615658</v>
      </c>
      <c r="J3038" s="14" t="n">
        <v>0</v>
      </c>
      <c r="K3038" s="14" t="n">
        <v>101278.3980711993</v>
      </c>
      <c r="L3038" s="14" t="n">
        <v>0</v>
      </c>
      <c r="M3038" s="14" t="n">
        <v>0</v>
      </c>
      <c r="N3038" s="14" t="n">
        <v>615131.9622507133</v>
      </c>
      <c r="O3038" s="14" t="n">
        <v>1001123.148476216</v>
      </c>
      <c r="P3038" s="14" t="n">
        <v>81388.7492647358</v>
      </c>
      <c r="Q3038" s="14" t="n">
        <v>8072272.382021915</v>
      </c>
      <c r="R3038" s="15">
        <f>IF(D3038=1,"Section 1","Control")</f>
        <v/>
      </c>
      <c r="S3038" s="16">
        <f>N3038/10000</f>
        <v/>
      </c>
      <c r="T3038" s="16">
        <f>P3038/10000</f>
        <v/>
      </c>
      <c r="U3038" s="15">
        <f>IF(N3038&gt;=Summary!$D$3,1,0)</f>
        <v/>
      </c>
      <c r="V3038" s="17">
        <f>IF(N3038&gt;0,P3038/N3038,"")</f>
        <v/>
      </c>
      <c r="W3038" s="17">
        <f>IF(O3038&gt;0,H3038/O3038,"")</f>
        <v/>
      </c>
    </row>
    <row r="3039">
      <c r="A3039" s="13" t="inlineStr">
        <is>
          <t>CW18_B2</t>
        </is>
      </c>
      <c r="B3039" s="13" t="inlineStr">
        <is>
          <t>CW18</t>
        </is>
      </c>
      <c r="C3039" s="13" t="inlineStr">
        <is>
          <t>B2</t>
        </is>
      </c>
      <c r="D3039" s="13" t="n">
        <v>0</v>
      </c>
      <c r="E3039" s="13" t="inlineStr">
        <is>
          <t>W</t>
        </is>
      </c>
      <c r="F3039" s="13" t="n">
        <v>2026</v>
      </c>
      <c r="G3039" s="14" t="n">
        <v>1001123.148476216</v>
      </c>
      <c r="H3039" s="14" t="n">
        <v>708983.8279103297</v>
      </c>
      <c r="I3039" s="14" t="n">
        <v>170515.8452435661</v>
      </c>
      <c r="J3039" s="14" t="n">
        <v>0</v>
      </c>
      <c r="K3039" s="14" t="n">
        <v>121623.4753223195</v>
      </c>
      <c r="L3039" s="14" t="n">
        <v>0</v>
      </c>
      <c r="M3039" s="14" t="n">
        <v>0</v>
      </c>
      <c r="N3039" s="14" t="n">
        <v>615131.9622507133</v>
      </c>
      <c r="O3039" s="14" t="n">
        <v>1001123.148476216</v>
      </c>
      <c r="P3039" s="14" t="n">
        <v>35526.41087526808</v>
      </c>
      <c r="Q3039" s="14" t="n">
        <v>8072272.382021915</v>
      </c>
      <c r="R3039" s="15">
        <f>IF(D3039=1,"Section 1","Control")</f>
        <v/>
      </c>
      <c r="S3039" s="16">
        <f>N3039/10000</f>
        <v/>
      </c>
      <c r="T3039" s="16">
        <f>P3039/10000</f>
        <v/>
      </c>
      <c r="U3039" s="15">
        <f>IF(N3039&gt;=Summary!$D$3,1,0)</f>
        <v/>
      </c>
      <c r="V3039" s="17">
        <f>IF(N3039&gt;0,P3039/N3039,"")</f>
        <v/>
      </c>
      <c r="W3039" s="17">
        <f>IF(O3039&gt;0,H3039/O3039,"")</f>
        <v/>
      </c>
    </row>
    <row r="3040">
      <c r="A3040" s="13" t="inlineStr">
        <is>
          <t>CW18_B3</t>
        </is>
      </c>
      <c r="B3040" s="13" t="inlineStr">
        <is>
          <t>CW18</t>
        </is>
      </c>
      <c r="C3040" s="13" t="inlineStr">
        <is>
          <t>B3</t>
        </is>
      </c>
      <c r="D3040" s="13" t="n">
        <v>0</v>
      </c>
      <c r="E3040" s="13" t="inlineStr">
        <is>
          <t>W</t>
        </is>
      </c>
      <c r="F3040" s="13" t="n">
        <v>2020</v>
      </c>
      <c r="G3040" s="14" t="n">
        <v>8008322.959314863</v>
      </c>
      <c r="H3040" s="14" t="n">
        <v>2666970.939194982</v>
      </c>
      <c r="I3040" s="14" t="n">
        <v>586607.8254389744</v>
      </c>
      <c r="J3040" s="14" t="n">
        <v>0</v>
      </c>
      <c r="K3040" s="14" t="n">
        <v>428262.9178871305</v>
      </c>
      <c r="L3040" s="14" t="n">
        <v>4326481.276793775</v>
      </c>
      <c r="M3040" s="14" t="n">
        <v>0</v>
      </c>
      <c r="N3040" s="14" t="n">
        <v>2666970.939194982</v>
      </c>
      <c r="O3040" s="14" t="n">
        <v>3681841.682521087</v>
      </c>
      <c r="P3040" s="14" t="n">
        <v>0</v>
      </c>
      <c r="Q3040" s="14" t="n">
        <v>21576013.18655719</v>
      </c>
      <c r="R3040" s="15">
        <f>IF(D3040=1,"Section 1","Control")</f>
        <v/>
      </c>
      <c r="S3040" s="16">
        <f>N3040/10000</f>
        <v/>
      </c>
      <c r="T3040" s="16">
        <f>P3040/10000</f>
        <v/>
      </c>
      <c r="U3040" s="15">
        <f>IF(N3040&gt;=Summary!$D$3,1,0)</f>
        <v/>
      </c>
      <c r="V3040" s="17">
        <f>IF(N3040&gt;0,P3040/N3040,"")</f>
        <v/>
      </c>
      <c r="W3040" s="17">
        <f>IF(O3040&gt;0,H3040/O3040,"")</f>
        <v/>
      </c>
    </row>
    <row r="3041">
      <c r="A3041" s="13" t="inlineStr">
        <is>
          <t>CW18_B3</t>
        </is>
      </c>
      <c r="B3041" s="13" t="inlineStr">
        <is>
          <t>CW18</t>
        </is>
      </c>
      <c r="C3041" s="13" t="inlineStr">
        <is>
          <t>B3</t>
        </is>
      </c>
      <c r="D3041" s="13" t="n">
        <v>0</v>
      </c>
      <c r="E3041" s="13" t="inlineStr">
        <is>
          <t>W</t>
        </is>
      </c>
      <c r="F3041" s="13" t="n">
        <v>2021</v>
      </c>
      <c r="G3041" s="14" t="n">
        <v>8008322.959314863</v>
      </c>
      <c r="H3041" s="14" t="n">
        <v>2366784.737939991</v>
      </c>
      <c r="I3041" s="14" t="n">
        <v>512079.966392936</v>
      </c>
      <c r="J3041" s="14" t="n">
        <v>0</v>
      </c>
      <c r="K3041" s="14" t="n">
        <v>864911.3967900592</v>
      </c>
      <c r="L3041" s="14" t="n">
        <v>4264546.858191876</v>
      </c>
      <c r="M3041" s="14" t="n">
        <v>0</v>
      </c>
      <c r="N3041" s="14" t="n">
        <v>2666970.939194982</v>
      </c>
      <c r="O3041" s="14" t="n">
        <v>3681841.682521087</v>
      </c>
      <c r="P3041" s="14" t="n">
        <v>388283.6099946863</v>
      </c>
      <c r="Q3041" s="14" t="n">
        <v>21576013.18655719</v>
      </c>
      <c r="R3041" s="15">
        <f>IF(D3041=1,"Section 1","Control")</f>
        <v/>
      </c>
      <c r="S3041" s="16">
        <f>N3041/10000</f>
        <v/>
      </c>
      <c r="T3041" s="16">
        <f>P3041/10000</f>
        <v/>
      </c>
      <c r="U3041" s="15">
        <f>IF(N3041&gt;=Summary!$D$3,1,0)</f>
        <v/>
      </c>
      <c r="V3041" s="17">
        <f>IF(N3041&gt;0,P3041/N3041,"")</f>
        <v/>
      </c>
      <c r="W3041" s="17">
        <f>IF(O3041&gt;0,H3041/O3041,"")</f>
        <v/>
      </c>
    </row>
    <row r="3042">
      <c r="A3042" s="13" t="inlineStr">
        <is>
          <t>CW18_B3</t>
        </is>
      </c>
      <c r="B3042" s="13" t="inlineStr">
        <is>
          <t>CW18</t>
        </is>
      </c>
      <c r="C3042" s="13" t="inlineStr">
        <is>
          <t>B3</t>
        </is>
      </c>
      <c r="D3042" s="13" t="n">
        <v>0</v>
      </c>
      <c r="E3042" s="13" t="inlineStr">
        <is>
          <t>W</t>
        </is>
      </c>
      <c r="F3042" s="13" t="n">
        <v>2022</v>
      </c>
      <c r="G3042" s="14" t="n">
        <v>8008322.959314862</v>
      </c>
      <c r="H3042" s="14" t="n">
        <v>2334398.708409388</v>
      </c>
      <c r="I3042" s="14" t="n">
        <v>533598.9652598661</v>
      </c>
      <c r="J3042" s="14" t="n">
        <v>0</v>
      </c>
      <c r="K3042" s="14" t="n">
        <v>926121.2307437076</v>
      </c>
      <c r="L3042" s="14" t="n">
        <v>4214204.054901902</v>
      </c>
      <c r="M3042" s="14" t="n">
        <v>0</v>
      </c>
      <c r="N3042" s="14" t="n">
        <v>2666970.939194982</v>
      </c>
      <c r="O3042" s="14" t="n">
        <v>3681841.682521087</v>
      </c>
      <c r="P3042" s="14" t="n">
        <v>457796.7977863387</v>
      </c>
      <c r="Q3042" s="14" t="n">
        <v>21576013.18655719</v>
      </c>
      <c r="R3042" s="15">
        <f>IF(D3042=1,"Section 1","Control")</f>
        <v/>
      </c>
      <c r="S3042" s="16">
        <f>N3042/10000</f>
        <v/>
      </c>
      <c r="T3042" s="16">
        <f>P3042/10000</f>
        <v/>
      </c>
      <c r="U3042" s="15">
        <f>IF(N3042&gt;=Summary!$D$3,1,0)</f>
        <v/>
      </c>
      <c r="V3042" s="17">
        <f>IF(N3042&gt;0,P3042/N3042,"")</f>
        <v/>
      </c>
      <c r="W3042" s="17">
        <f>IF(O3042&gt;0,H3042/O3042,"")</f>
        <v/>
      </c>
    </row>
    <row r="3043">
      <c r="A3043" s="13" t="inlineStr">
        <is>
          <t>CW18_B3</t>
        </is>
      </c>
      <c r="B3043" s="13" t="inlineStr">
        <is>
          <t>CW18</t>
        </is>
      </c>
      <c r="C3043" s="13" t="inlineStr">
        <is>
          <t>B3</t>
        </is>
      </c>
      <c r="D3043" s="13" t="n">
        <v>0</v>
      </c>
      <c r="E3043" s="13" t="inlineStr">
        <is>
          <t>W</t>
        </is>
      </c>
      <c r="F3043" s="13" t="n">
        <v>2023</v>
      </c>
      <c r="G3043" s="14" t="n">
        <v>8008322.959314863</v>
      </c>
      <c r="H3043" s="14" t="n">
        <v>2344297.073247722</v>
      </c>
      <c r="I3043" s="14" t="n">
        <v>418084.1666008146</v>
      </c>
      <c r="J3043" s="14" t="n">
        <v>0</v>
      </c>
      <c r="K3043" s="14" t="n">
        <v>862756.7326266421</v>
      </c>
      <c r="L3043" s="14" t="n">
        <v>4383184.986839684</v>
      </c>
      <c r="M3043" s="14" t="n">
        <v>0</v>
      </c>
      <c r="N3043" s="14" t="n">
        <v>2666970.939194982</v>
      </c>
      <c r="O3043" s="14" t="n">
        <v>3681841.682521087</v>
      </c>
      <c r="P3043" s="14" t="n">
        <v>454799.1570735857</v>
      </c>
      <c r="Q3043" s="14" t="n">
        <v>21576013.18655718</v>
      </c>
      <c r="R3043" s="15">
        <f>IF(D3043=1,"Section 1","Control")</f>
        <v/>
      </c>
      <c r="S3043" s="16">
        <f>N3043/10000</f>
        <v/>
      </c>
      <c r="T3043" s="16">
        <f>P3043/10000</f>
        <v/>
      </c>
      <c r="U3043" s="15">
        <f>IF(N3043&gt;=Summary!$D$3,1,0)</f>
        <v/>
      </c>
      <c r="V3043" s="17">
        <f>IF(N3043&gt;0,P3043/N3043,"")</f>
        <v/>
      </c>
      <c r="W3043" s="17">
        <f>IF(O3043&gt;0,H3043/O3043,"")</f>
        <v/>
      </c>
    </row>
    <row r="3044">
      <c r="A3044" s="13" t="inlineStr">
        <is>
          <t>CW18_B3</t>
        </is>
      </c>
      <c r="B3044" s="13" t="inlineStr">
        <is>
          <t>CW18</t>
        </is>
      </c>
      <c r="C3044" s="13" t="inlineStr">
        <is>
          <t>B3</t>
        </is>
      </c>
      <c r="D3044" s="13" t="n">
        <v>0</v>
      </c>
      <c r="E3044" s="13" t="inlineStr">
        <is>
          <t>W</t>
        </is>
      </c>
      <c r="F3044" s="13" t="n">
        <v>2024</v>
      </c>
      <c r="G3044" s="14" t="n">
        <v>8008322.959314863</v>
      </c>
      <c r="H3044" s="14" t="n">
        <v>2348396.252378875</v>
      </c>
      <c r="I3044" s="14" t="n">
        <v>466420.9335939893</v>
      </c>
      <c r="J3044" s="14" t="n">
        <v>0</v>
      </c>
      <c r="K3044" s="14" t="n">
        <v>868638.4278693706</v>
      </c>
      <c r="L3044" s="14" t="n">
        <v>4324867.345472628</v>
      </c>
      <c r="M3044" s="14" t="n">
        <v>0</v>
      </c>
      <c r="N3044" s="14" t="n">
        <v>2666970.939194982</v>
      </c>
      <c r="O3044" s="14" t="n">
        <v>3681841.682521086</v>
      </c>
      <c r="P3044" s="14" t="n">
        <v>489648.201746533</v>
      </c>
      <c r="Q3044" s="14" t="n">
        <v>21576013.18655718</v>
      </c>
      <c r="R3044" s="15">
        <f>IF(D3044=1,"Section 1","Control")</f>
        <v/>
      </c>
      <c r="S3044" s="16">
        <f>N3044/10000</f>
        <v/>
      </c>
      <c r="T3044" s="16">
        <f>P3044/10000</f>
        <v/>
      </c>
      <c r="U3044" s="15">
        <f>IF(N3044&gt;=Summary!$D$3,1,0)</f>
        <v/>
      </c>
      <c r="V3044" s="17">
        <f>IF(N3044&gt;0,P3044/N3044,"")</f>
        <v/>
      </c>
      <c r="W3044" s="17">
        <f>IF(O3044&gt;0,H3044/O3044,"")</f>
        <v/>
      </c>
    </row>
    <row r="3045">
      <c r="A3045" s="13" t="inlineStr">
        <is>
          <t>CW18_B3</t>
        </is>
      </c>
      <c r="B3045" s="13" t="inlineStr">
        <is>
          <t>CW18</t>
        </is>
      </c>
      <c r="C3045" s="13" t="inlineStr">
        <is>
          <t>B3</t>
        </is>
      </c>
      <c r="D3045" s="13" t="n">
        <v>0</v>
      </c>
      <c r="E3045" s="13" t="inlineStr">
        <is>
          <t>W</t>
        </is>
      </c>
      <c r="F3045" s="13" t="n">
        <v>2025</v>
      </c>
      <c r="G3045" s="14" t="n">
        <v>8008322.959314863</v>
      </c>
      <c r="H3045" s="14" t="n">
        <v>2218397.471432555</v>
      </c>
      <c r="I3045" s="14" t="n">
        <v>732119.5007705688</v>
      </c>
      <c r="J3045" s="14" t="n">
        <v>0</v>
      </c>
      <c r="K3045" s="14" t="n">
        <v>760570.3589571484</v>
      </c>
      <c r="L3045" s="14" t="n">
        <v>4297235.62815459</v>
      </c>
      <c r="M3045" s="14" t="n">
        <v>0</v>
      </c>
      <c r="N3045" s="14" t="n">
        <v>2666970.939194982</v>
      </c>
      <c r="O3045" s="14" t="n">
        <v>3681841.682521086</v>
      </c>
      <c r="P3045" s="14" t="n">
        <v>632523.5703846351</v>
      </c>
      <c r="Q3045" s="14" t="n">
        <v>21576013.18655718</v>
      </c>
      <c r="R3045" s="15">
        <f>IF(D3045=1,"Section 1","Control")</f>
        <v/>
      </c>
      <c r="S3045" s="16">
        <f>N3045/10000</f>
        <v/>
      </c>
      <c r="T3045" s="16">
        <f>P3045/10000</f>
        <v/>
      </c>
      <c r="U3045" s="15">
        <f>IF(N3045&gt;=Summary!$D$3,1,0)</f>
        <v/>
      </c>
      <c r="V3045" s="17">
        <f>IF(N3045&gt;0,P3045/N3045,"")</f>
        <v/>
      </c>
      <c r="W3045" s="17">
        <f>IF(O3045&gt;0,H3045/O3045,"")</f>
        <v/>
      </c>
    </row>
    <row r="3046">
      <c r="A3046" s="13" t="inlineStr">
        <is>
          <t>CW18_B3</t>
        </is>
      </c>
      <c r="B3046" s="13" t="inlineStr">
        <is>
          <t>CW18</t>
        </is>
      </c>
      <c r="C3046" s="13" t="inlineStr">
        <is>
          <t>B3</t>
        </is>
      </c>
      <c r="D3046" s="13" t="n">
        <v>0</v>
      </c>
      <c r="E3046" s="13" t="inlineStr">
        <is>
          <t>W</t>
        </is>
      </c>
      <c r="F3046" s="13" t="n">
        <v>2026</v>
      </c>
      <c r="G3046" s="14" t="n">
        <v>8008322.959314863</v>
      </c>
      <c r="H3046" s="14" t="n">
        <v>2431544.245913337</v>
      </c>
      <c r="I3046" s="14" t="n">
        <v>302379.3884214514</v>
      </c>
      <c r="J3046" s="14" t="n">
        <v>0</v>
      </c>
      <c r="K3046" s="14" t="n">
        <v>866916.9039750942</v>
      </c>
      <c r="L3046" s="14" t="n">
        <v>4407482.42100498</v>
      </c>
      <c r="M3046" s="14" t="n">
        <v>0</v>
      </c>
      <c r="N3046" s="14" t="n">
        <v>2666970.939194982</v>
      </c>
      <c r="O3046" s="14" t="n">
        <v>3681841.682521087</v>
      </c>
      <c r="P3046" s="14" t="n">
        <v>454330.4233622233</v>
      </c>
      <c r="Q3046" s="14" t="n">
        <v>21576013.18655718</v>
      </c>
      <c r="R3046" s="15">
        <f>IF(D3046=1,"Section 1","Control")</f>
        <v/>
      </c>
      <c r="S3046" s="16">
        <f>N3046/10000</f>
        <v/>
      </c>
      <c r="T3046" s="16">
        <f>P3046/10000</f>
        <v/>
      </c>
      <c r="U3046" s="15">
        <f>IF(N3046&gt;=Summary!$D$3,1,0)</f>
        <v/>
      </c>
      <c r="V3046" s="17">
        <f>IF(N3046&gt;0,P3046/N3046,"")</f>
        <v/>
      </c>
      <c r="W3046" s="17">
        <f>IF(O3046&gt;0,H3046/O3046,"")</f>
        <v/>
      </c>
    </row>
    <row r="3047">
      <c r="A3047" s="13" t="inlineStr">
        <is>
          <t>CW18_F</t>
        </is>
      </c>
      <c r="B3047" s="13" t="inlineStr">
        <is>
          <t>CW18</t>
        </is>
      </c>
      <c r="C3047" s="13" t="inlineStr">
        <is>
          <t>F</t>
        </is>
      </c>
      <c r="D3047" s="13" t="n">
        <v>0</v>
      </c>
      <c r="E3047" s="13" t="inlineStr">
        <is>
          <t>W</t>
        </is>
      </c>
      <c r="F3047" s="13" t="n">
        <v>2020</v>
      </c>
      <c r="G3047" s="14" t="n">
        <v>69293.87318222944</v>
      </c>
      <c r="H3047" s="14" t="n">
        <v>46847.9068830004</v>
      </c>
      <c r="I3047" s="14" t="n">
        <v>21900.44907947616</v>
      </c>
      <c r="J3047" s="14" t="n">
        <v>0</v>
      </c>
      <c r="K3047" s="14" t="n">
        <v>545.5172197528914</v>
      </c>
      <c r="L3047" s="14" t="n">
        <v>0</v>
      </c>
      <c r="M3047" s="14" t="n">
        <v>0</v>
      </c>
      <c r="N3047" s="14" t="n">
        <v>46847.9068830004</v>
      </c>
      <c r="O3047" s="14" t="n">
        <v>69293.87318222944</v>
      </c>
      <c r="P3047" s="14" t="n">
        <v>0</v>
      </c>
      <c r="Q3047" s="14" t="n">
        <v>337025.5611728744</v>
      </c>
      <c r="R3047" s="15">
        <f>IF(D3047=1,"Section 1","Control")</f>
        <v/>
      </c>
      <c r="S3047" s="16">
        <f>N3047/10000</f>
        <v/>
      </c>
      <c r="T3047" s="16">
        <f>P3047/10000</f>
        <v/>
      </c>
      <c r="U3047" s="15">
        <f>IF(N3047&gt;=Summary!$D$3,1,0)</f>
        <v/>
      </c>
      <c r="V3047" s="17">
        <f>IF(N3047&gt;0,P3047/N3047,"")</f>
        <v/>
      </c>
      <c r="W3047" s="17">
        <f>IF(O3047&gt;0,H3047/O3047,"")</f>
        <v/>
      </c>
    </row>
    <row r="3048">
      <c r="A3048" s="13" t="inlineStr">
        <is>
          <t>CW18_F</t>
        </is>
      </c>
      <c r="B3048" s="13" t="inlineStr">
        <is>
          <t>CW18</t>
        </is>
      </c>
      <c r="C3048" s="13" t="inlineStr">
        <is>
          <t>F</t>
        </is>
      </c>
      <c r="D3048" s="13" t="n">
        <v>0</v>
      </c>
      <c r="E3048" s="13" t="inlineStr">
        <is>
          <t>W</t>
        </is>
      </c>
      <c r="F3048" s="13" t="n">
        <v>2021</v>
      </c>
      <c r="G3048" s="14" t="n">
        <v>69293.87318222944</v>
      </c>
      <c r="H3048" s="14" t="n">
        <v>36332.08088980282</v>
      </c>
      <c r="I3048" s="14" t="n">
        <v>6855.553536568436</v>
      </c>
      <c r="J3048" s="14" t="n">
        <v>0</v>
      </c>
      <c r="K3048" s="14" t="n">
        <v>26106.23875585818</v>
      </c>
      <c r="L3048" s="14" t="n">
        <v>0</v>
      </c>
      <c r="M3048" s="14" t="n">
        <v>0</v>
      </c>
      <c r="N3048" s="14" t="n">
        <v>46847.9068830004</v>
      </c>
      <c r="O3048" s="14" t="n">
        <v>69293.87318222944</v>
      </c>
      <c r="P3048" s="14" t="n">
        <v>16013.58871735218</v>
      </c>
      <c r="Q3048" s="14" t="n">
        <v>337025.5611728744</v>
      </c>
      <c r="R3048" s="15">
        <f>IF(D3048=1,"Section 1","Control")</f>
        <v/>
      </c>
      <c r="S3048" s="16">
        <f>N3048/10000</f>
        <v/>
      </c>
      <c r="T3048" s="16">
        <f>P3048/10000</f>
        <v/>
      </c>
      <c r="U3048" s="15">
        <f>IF(N3048&gt;=Summary!$D$3,1,0)</f>
        <v/>
      </c>
      <c r="V3048" s="17">
        <f>IF(N3048&gt;0,P3048/N3048,"")</f>
        <v/>
      </c>
      <c r="W3048" s="17">
        <f>IF(O3048&gt;0,H3048/O3048,"")</f>
        <v/>
      </c>
    </row>
    <row r="3049">
      <c r="A3049" s="13" t="inlineStr">
        <is>
          <t>CW18_F</t>
        </is>
      </c>
      <c r="B3049" s="13" t="inlineStr">
        <is>
          <t>CW18</t>
        </is>
      </c>
      <c r="C3049" s="13" t="inlineStr">
        <is>
          <t>F</t>
        </is>
      </c>
      <c r="D3049" s="13" t="n">
        <v>0</v>
      </c>
      <c r="E3049" s="13" t="inlineStr">
        <is>
          <t>W</t>
        </is>
      </c>
      <c r="F3049" s="13" t="n">
        <v>2022</v>
      </c>
      <c r="G3049" s="14" t="n">
        <v>69293.87318222944</v>
      </c>
      <c r="H3049" s="14" t="n">
        <v>26870.50866777009</v>
      </c>
      <c r="I3049" s="14" t="n">
        <v>27857.00323399563</v>
      </c>
      <c r="J3049" s="14" t="n">
        <v>0</v>
      </c>
      <c r="K3049" s="14" t="n">
        <v>14566.36128046372</v>
      </c>
      <c r="L3049" s="14" t="n">
        <v>0</v>
      </c>
      <c r="M3049" s="14" t="n">
        <v>0</v>
      </c>
      <c r="N3049" s="14" t="n">
        <v>46847.9068830004</v>
      </c>
      <c r="O3049" s="14" t="n">
        <v>69293.87318222944</v>
      </c>
      <c r="P3049" s="14" t="n">
        <v>23255.53629955217</v>
      </c>
      <c r="Q3049" s="14" t="n">
        <v>337025.5611728744</v>
      </c>
      <c r="R3049" s="15">
        <f>IF(D3049=1,"Section 1","Control")</f>
        <v/>
      </c>
      <c r="S3049" s="16">
        <f>N3049/10000</f>
        <v/>
      </c>
      <c r="T3049" s="16">
        <f>P3049/10000</f>
        <v/>
      </c>
      <c r="U3049" s="15">
        <f>IF(N3049&gt;=Summary!$D$3,1,0)</f>
        <v/>
      </c>
      <c r="V3049" s="17">
        <f>IF(N3049&gt;0,P3049/N3049,"")</f>
        <v/>
      </c>
      <c r="W3049" s="17">
        <f>IF(O3049&gt;0,H3049/O3049,"")</f>
        <v/>
      </c>
    </row>
    <row r="3050">
      <c r="A3050" s="13" t="inlineStr">
        <is>
          <t>CW18_F</t>
        </is>
      </c>
      <c r="B3050" s="13" t="inlineStr">
        <is>
          <t>CW18</t>
        </is>
      </c>
      <c r="C3050" s="13" t="inlineStr">
        <is>
          <t>F</t>
        </is>
      </c>
      <c r="D3050" s="13" t="n">
        <v>0</v>
      </c>
      <c r="E3050" s="13" t="inlineStr">
        <is>
          <t>W</t>
        </is>
      </c>
      <c r="F3050" s="13" t="n">
        <v>2023</v>
      </c>
      <c r="G3050" s="14" t="n">
        <v>69293.87318222944</v>
      </c>
      <c r="H3050" s="14" t="n">
        <v>48760.1178248686</v>
      </c>
      <c r="I3050" s="14" t="n">
        <v>3655.624338636212</v>
      </c>
      <c r="J3050" s="14" t="n">
        <v>0</v>
      </c>
      <c r="K3050" s="14" t="n">
        <v>16878.13101872463</v>
      </c>
      <c r="L3050" s="14" t="n">
        <v>0</v>
      </c>
      <c r="M3050" s="14" t="n">
        <v>0</v>
      </c>
      <c r="N3050" s="14" t="n">
        <v>46847.9068830004</v>
      </c>
      <c r="O3050" s="14" t="n">
        <v>69293.87318222944</v>
      </c>
      <c r="P3050" s="14" t="n">
        <v>12484.18046435188</v>
      </c>
      <c r="Q3050" s="14" t="n">
        <v>337025.5611728744</v>
      </c>
      <c r="R3050" s="15">
        <f>IF(D3050=1,"Section 1","Control")</f>
        <v/>
      </c>
      <c r="S3050" s="16">
        <f>N3050/10000</f>
        <v/>
      </c>
      <c r="T3050" s="16">
        <f>P3050/10000</f>
        <v/>
      </c>
      <c r="U3050" s="15">
        <f>IF(N3050&gt;=Summary!$D$3,1,0)</f>
        <v/>
      </c>
      <c r="V3050" s="17">
        <f>IF(N3050&gt;0,P3050/N3050,"")</f>
        <v/>
      </c>
      <c r="W3050" s="17">
        <f>IF(O3050&gt;0,H3050/O3050,"")</f>
        <v/>
      </c>
    </row>
    <row r="3051">
      <c r="A3051" s="13" t="inlineStr">
        <is>
          <t>CW18_F</t>
        </is>
      </c>
      <c r="B3051" s="13" t="inlineStr">
        <is>
          <t>CW18</t>
        </is>
      </c>
      <c r="C3051" s="13" t="inlineStr">
        <is>
          <t>F</t>
        </is>
      </c>
      <c r="D3051" s="13" t="n">
        <v>0</v>
      </c>
      <c r="E3051" s="13" t="inlineStr">
        <is>
          <t>W</t>
        </is>
      </c>
      <c r="F3051" s="13" t="n">
        <v>2024</v>
      </c>
      <c r="G3051" s="14" t="n">
        <v>69293.87318222944</v>
      </c>
      <c r="H3051" s="14" t="n">
        <v>41574.69747499953</v>
      </c>
      <c r="I3051" s="14" t="n">
        <v>11127.54784734389</v>
      </c>
      <c r="J3051" s="14" t="n">
        <v>0</v>
      </c>
      <c r="K3051" s="14" t="n">
        <v>16591.62785988602</v>
      </c>
      <c r="L3051" s="14" t="n">
        <v>0</v>
      </c>
      <c r="M3051" s="14" t="n">
        <v>0</v>
      </c>
      <c r="N3051" s="14" t="n">
        <v>46847.9068830004</v>
      </c>
      <c r="O3051" s="14" t="n">
        <v>69293.87318222944</v>
      </c>
      <c r="P3051" s="14" t="n">
        <v>17277.68769923192</v>
      </c>
      <c r="Q3051" s="14" t="n">
        <v>337025.5611728744</v>
      </c>
      <c r="R3051" s="15">
        <f>IF(D3051=1,"Section 1","Control")</f>
        <v/>
      </c>
      <c r="S3051" s="16">
        <f>N3051/10000</f>
        <v/>
      </c>
      <c r="T3051" s="16">
        <f>P3051/10000</f>
        <v/>
      </c>
      <c r="U3051" s="15">
        <f>IF(N3051&gt;=Summary!$D$3,1,0)</f>
        <v/>
      </c>
      <c r="V3051" s="17">
        <f>IF(N3051&gt;0,P3051/N3051,"")</f>
        <v/>
      </c>
      <c r="W3051" s="17">
        <f>IF(O3051&gt;0,H3051/O3051,"")</f>
        <v/>
      </c>
    </row>
    <row r="3052">
      <c r="A3052" s="13" t="inlineStr">
        <is>
          <t>CW18_F</t>
        </is>
      </c>
      <c r="B3052" s="13" t="inlineStr">
        <is>
          <t>CW18</t>
        </is>
      </c>
      <c r="C3052" s="13" t="inlineStr">
        <is>
          <t>F</t>
        </is>
      </c>
      <c r="D3052" s="13" t="n">
        <v>0</v>
      </c>
      <c r="E3052" s="13" t="inlineStr">
        <is>
          <t>W</t>
        </is>
      </c>
      <c r="F3052" s="13" t="n">
        <v>2025</v>
      </c>
      <c r="G3052" s="14" t="n">
        <v>69293.87318222944</v>
      </c>
      <c r="H3052" s="14" t="n">
        <v>15113.81118451287</v>
      </c>
      <c r="I3052" s="14" t="n">
        <v>51498.93460124894</v>
      </c>
      <c r="J3052" s="14" t="n">
        <v>0</v>
      </c>
      <c r="K3052" s="14" t="n">
        <v>2681.12739646762</v>
      </c>
      <c r="L3052" s="14" t="n">
        <v>0</v>
      </c>
      <c r="M3052" s="14" t="n">
        <v>0</v>
      </c>
      <c r="N3052" s="14" t="n">
        <v>46847.9068830004</v>
      </c>
      <c r="O3052" s="14" t="n">
        <v>69293.87318222944</v>
      </c>
      <c r="P3052" s="14" t="n">
        <v>32969.93090820312</v>
      </c>
      <c r="Q3052" s="14" t="n">
        <v>337025.5611728744</v>
      </c>
      <c r="R3052" s="15">
        <f>IF(D3052=1,"Section 1","Control")</f>
        <v/>
      </c>
      <c r="S3052" s="16">
        <f>N3052/10000</f>
        <v/>
      </c>
      <c r="T3052" s="16">
        <f>P3052/10000</f>
        <v/>
      </c>
      <c r="U3052" s="15">
        <f>IF(N3052&gt;=Summary!$D$3,1,0)</f>
        <v/>
      </c>
      <c r="V3052" s="17">
        <f>IF(N3052&gt;0,P3052/N3052,"")</f>
        <v/>
      </c>
      <c r="W3052" s="17">
        <f>IF(O3052&gt;0,H3052/O3052,"")</f>
        <v/>
      </c>
    </row>
    <row r="3053">
      <c r="A3053" s="13" t="inlineStr">
        <is>
          <t>CW18_F</t>
        </is>
      </c>
      <c r="B3053" s="13" t="inlineStr">
        <is>
          <t>CW18</t>
        </is>
      </c>
      <c r="C3053" s="13" t="inlineStr">
        <is>
          <t>F</t>
        </is>
      </c>
      <c r="D3053" s="13" t="n">
        <v>0</v>
      </c>
      <c r="E3053" s="13" t="inlineStr">
        <is>
          <t>W</t>
        </is>
      </c>
      <c r="F3053" s="13" t="n">
        <v>2026</v>
      </c>
      <c r="G3053" s="14" t="n">
        <v>69293.87318222944</v>
      </c>
      <c r="H3053" s="14" t="n">
        <v>61428.58832092287</v>
      </c>
      <c r="I3053" s="14" t="n">
        <v>2460.829160084444</v>
      </c>
      <c r="J3053" s="14" t="n">
        <v>0</v>
      </c>
      <c r="K3053" s="14" t="n">
        <v>5404.455701222139</v>
      </c>
      <c r="L3053" s="14" t="n">
        <v>0</v>
      </c>
      <c r="M3053" s="14" t="n">
        <v>0</v>
      </c>
      <c r="N3053" s="14" t="n">
        <v>46847.9068830004</v>
      </c>
      <c r="O3053" s="14" t="n">
        <v>69293.87318222944</v>
      </c>
      <c r="P3053" s="14" t="n">
        <v>4699.425772304161</v>
      </c>
      <c r="Q3053" s="14" t="n">
        <v>337025.5611728744</v>
      </c>
      <c r="R3053" s="15">
        <f>IF(D3053=1,"Section 1","Control")</f>
        <v/>
      </c>
      <c r="S3053" s="16">
        <f>N3053/10000</f>
        <v/>
      </c>
      <c r="T3053" s="16">
        <f>P3053/10000</f>
        <v/>
      </c>
      <c r="U3053" s="15">
        <f>IF(N3053&gt;=Summary!$D$3,1,0)</f>
        <v/>
      </c>
      <c r="V3053" s="17">
        <f>IF(N3053&gt;0,P3053/N3053,"")</f>
        <v/>
      </c>
      <c r="W3053" s="17">
        <f>IF(O3053&gt;0,H3053/O3053,"")</f>
        <v/>
      </c>
    </row>
    <row r="3054">
      <c r="A3054" s="13" t="inlineStr">
        <is>
          <t>CW19_B1</t>
        </is>
      </c>
      <c r="B3054" s="13" t="inlineStr">
        <is>
          <t>CW19</t>
        </is>
      </c>
      <c r="C3054" s="13" t="inlineStr">
        <is>
          <t>B1</t>
        </is>
      </c>
      <c r="D3054" s="13" t="n">
        <v>0</v>
      </c>
      <c r="E3054" s="13" t="inlineStr">
        <is>
          <t>W</t>
        </is>
      </c>
      <c r="F3054" s="13" t="n">
        <v>2020</v>
      </c>
      <c r="G3054" s="14" t="n">
        <v>1000352.168781774</v>
      </c>
      <c r="H3054" s="14" t="n">
        <v>703882.6805956372</v>
      </c>
      <c r="I3054" s="14" t="n">
        <v>275636.7387210921</v>
      </c>
      <c r="J3054" s="14" t="n">
        <v>0</v>
      </c>
      <c r="K3054" s="14" t="n">
        <v>20832.74946504481</v>
      </c>
      <c r="L3054" s="14" t="n">
        <v>0</v>
      </c>
      <c r="M3054" s="14" t="n">
        <v>0</v>
      </c>
      <c r="N3054" s="14" t="n">
        <v>703882.6805956372</v>
      </c>
      <c r="O3054" s="14" t="n">
        <v>1000352.168781774</v>
      </c>
      <c r="P3054" s="14" t="n">
        <v>0</v>
      </c>
      <c r="Q3054" s="14" t="n">
        <v>5506048.356383467</v>
      </c>
      <c r="R3054" s="15">
        <f>IF(D3054=1,"Section 1","Control")</f>
        <v/>
      </c>
      <c r="S3054" s="16">
        <f>N3054/10000</f>
        <v/>
      </c>
      <c r="T3054" s="16">
        <f>P3054/10000</f>
        <v/>
      </c>
      <c r="U3054" s="15">
        <f>IF(N3054&gt;=Summary!$D$3,1,0)</f>
        <v/>
      </c>
      <c r="V3054" s="17">
        <f>IF(N3054&gt;0,P3054/N3054,"")</f>
        <v/>
      </c>
      <c r="W3054" s="17">
        <f>IF(O3054&gt;0,H3054/O3054,"")</f>
        <v/>
      </c>
    </row>
    <row r="3055">
      <c r="A3055" s="13" t="inlineStr">
        <is>
          <t>CW19_B1</t>
        </is>
      </c>
      <c r="B3055" s="13" t="inlineStr">
        <is>
          <t>CW19</t>
        </is>
      </c>
      <c r="C3055" s="13" t="inlineStr">
        <is>
          <t>B1</t>
        </is>
      </c>
      <c r="D3055" s="13" t="n">
        <v>0</v>
      </c>
      <c r="E3055" s="13" t="inlineStr">
        <is>
          <t>W</t>
        </is>
      </c>
      <c r="F3055" s="13" t="n">
        <v>2021</v>
      </c>
      <c r="G3055" s="14" t="n">
        <v>1000352.168781774</v>
      </c>
      <c r="H3055" s="14" t="n">
        <v>654578.657105988</v>
      </c>
      <c r="I3055" s="14" t="n">
        <v>215317.3907108382</v>
      </c>
      <c r="J3055" s="14" t="n">
        <v>0</v>
      </c>
      <c r="K3055" s="14" t="n">
        <v>130456.1209649479</v>
      </c>
      <c r="L3055" s="14" t="n">
        <v>0</v>
      </c>
      <c r="M3055" s="14" t="n">
        <v>0</v>
      </c>
      <c r="N3055" s="14" t="n">
        <v>703882.6805956372</v>
      </c>
      <c r="O3055" s="14" t="n">
        <v>1000352.168781774</v>
      </c>
      <c r="P3055" s="14" t="n">
        <v>106302.1416872212</v>
      </c>
      <c r="Q3055" s="14" t="n">
        <v>5506048.356383467</v>
      </c>
      <c r="R3055" s="15">
        <f>IF(D3055=1,"Section 1","Control")</f>
        <v/>
      </c>
      <c r="S3055" s="16">
        <f>N3055/10000</f>
        <v/>
      </c>
      <c r="T3055" s="16">
        <f>P3055/10000</f>
        <v/>
      </c>
      <c r="U3055" s="15">
        <f>IF(N3055&gt;=Summary!$D$3,1,0)</f>
        <v/>
      </c>
      <c r="V3055" s="17">
        <f>IF(N3055&gt;0,P3055/N3055,"")</f>
        <v/>
      </c>
      <c r="W3055" s="17">
        <f>IF(O3055&gt;0,H3055/O3055,"")</f>
        <v/>
      </c>
    </row>
    <row r="3056">
      <c r="A3056" s="13" t="inlineStr">
        <is>
          <t>CW19_B1</t>
        </is>
      </c>
      <c r="B3056" s="13" t="inlineStr">
        <is>
          <t>CW19</t>
        </is>
      </c>
      <c r="C3056" s="13" t="inlineStr">
        <is>
          <t>B1</t>
        </is>
      </c>
      <c r="D3056" s="13" t="n">
        <v>0</v>
      </c>
      <c r="E3056" s="13" t="inlineStr">
        <is>
          <t>W</t>
        </is>
      </c>
      <c r="F3056" s="13" t="n">
        <v>2022</v>
      </c>
      <c r="G3056" s="14" t="n">
        <v>1000352.168781774</v>
      </c>
      <c r="H3056" s="14" t="n">
        <v>578095.0791456036</v>
      </c>
      <c r="I3056" s="14" t="n">
        <v>322720.8674274819</v>
      </c>
      <c r="J3056" s="14" t="n">
        <v>0</v>
      </c>
      <c r="K3056" s="14" t="n">
        <v>99536.22220868881</v>
      </c>
      <c r="L3056" s="14" t="n">
        <v>0</v>
      </c>
      <c r="M3056" s="14" t="n">
        <v>0</v>
      </c>
      <c r="N3056" s="14" t="n">
        <v>703882.6805956372</v>
      </c>
      <c r="O3056" s="14" t="n">
        <v>1000352.168781774</v>
      </c>
      <c r="P3056" s="14" t="n">
        <v>148511.6209691066</v>
      </c>
      <c r="Q3056" s="14" t="n">
        <v>5506048.356383467</v>
      </c>
      <c r="R3056" s="15">
        <f>IF(D3056=1,"Section 1","Control")</f>
        <v/>
      </c>
      <c r="S3056" s="16">
        <f>N3056/10000</f>
        <v/>
      </c>
      <c r="T3056" s="16">
        <f>P3056/10000</f>
        <v/>
      </c>
      <c r="U3056" s="15">
        <f>IF(N3056&gt;=Summary!$D$3,1,0)</f>
        <v/>
      </c>
      <c r="V3056" s="17">
        <f>IF(N3056&gt;0,P3056/N3056,"")</f>
        <v/>
      </c>
      <c r="W3056" s="17">
        <f>IF(O3056&gt;0,H3056/O3056,"")</f>
        <v/>
      </c>
    </row>
    <row r="3057">
      <c r="A3057" s="13" t="inlineStr">
        <is>
          <t>CW19_B1</t>
        </is>
      </c>
      <c r="B3057" s="13" t="inlineStr">
        <is>
          <t>CW19</t>
        </is>
      </c>
      <c r="C3057" s="13" t="inlineStr">
        <is>
          <t>B1</t>
        </is>
      </c>
      <c r="D3057" s="13" t="n">
        <v>0</v>
      </c>
      <c r="E3057" s="13" t="inlineStr">
        <is>
          <t>W</t>
        </is>
      </c>
      <c r="F3057" s="13" t="n">
        <v>2023</v>
      </c>
      <c r="G3057" s="14" t="n">
        <v>1000352.168781774</v>
      </c>
      <c r="H3057" s="14" t="n">
        <v>639322.9021475997</v>
      </c>
      <c r="I3057" s="14" t="n">
        <v>277926.7760440004</v>
      </c>
      <c r="J3057" s="14" t="n">
        <v>0</v>
      </c>
      <c r="K3057" s="14" t="n">
        <v>83102.49059017407</v>
      </c>
      <c r="L3057" s="14" t="n">
        <v>0</v>
      </c>
      <c r="M3057" s="14" t="n">
        <v>0</v>
      </c>
      <c r="N3057" s="14" t="n">
        <v>703882.6805956372</v>
      </c>
      <c r="O3057" s="14" t="n">
        <v>1000352.168781774</v>
      </c>
      <c r="P3057" s="14" t="n">
        <v>114361.1775672165</v>
      </c>
      <c r="Q3057" s="14" t="n">
        <v>5506048.356383467</v>
      </c>
      <c r="R3057" s="15">
        <f>IF(D3057=1,"Section 1","Control")</f>
        <v/>
      </c>
      <c r="S3057" s="16">
        <f>N3057/10000</f>
        <v/>
      </c>
      <c r="T3057" s="16">
        <f>P3057/10000</f>
        <v/>
      </c>
      <c r="U3057" s="15">
        <f>IF(N3057&gt;=Summary!$D$3,1,0)</f>
        <v/>
      </c>
      <c r="V3057" s="17">
        <f>IF(N3057&gt;0,P3057/N3057,"")</f>
        <v/>
      </c>
      <c r="W3057" s="17">
        <f>IF(O3057&gt;0,H3057/O3057,"")</f>
        <v/>
      </c>
    </row>
    <row r="3058">
      <c r="A3058" s="13" t="inlineStr">
        <is>
          <t>CW19_B1</t>
        </is>
      </c>
      <c r="B3058" s="13" t="inlineStr">
        <is>
          <t>CW19</t>
        </is>
      </c>
      <c r="C3058" s="13" t="inlineStr">
        <is>
          <t>B1</t>
        </is>
      </c>
      <c r="D3058" s="13" t="n">
        <v>0</v>
      </c>
      <c r="E3058" s="13" t="inlineStr">
        <is>
          <t>W</t>
        </is>
      </c>
      <c r="F3058" s="13" t="n">
        <v>2024</v>
      </c>
      <c r="G3058" s="14" t="n">
        <v>1000352.168781774</v>
      </c>
      <c r="H3058" s="14" t="n">
        <v>709036.0943424897</v>
      </c>
      <c r="I3058" s="14" t="n">
        <v>204518.4389086256</v>
      </c>
      <c r="J3058" s="14" t="n">
        <v>0</v>
      </c>
      <c r="K3058" s="14" t="n">
        <v>86797.63553065879</v>
      </c>
      <c r="L3058" s="14" t="n">
        <v>0</v>
      </c>
      <c r="M3058" s="14" t="n">
        <v>0</v>
      </c>
      <c r="N3058" s="14" t="n">
        <v>703882.6805956372</v>
      </c>
      <c r="O3058" s="14" t="n">
        <v>1000352.168781774</v>
      </c>
      <c r="P3058" s="14" t="n">
        <v>73084.72210501877</v>
      </c>
      <c r="Q3058" s="14" t="n">
        <v>5506048.356383467</v>
      </c>
      <c r="R3058" s="15">
        <f>IF(D3058=1,"Section 1","Control")</f>
        <v/>
      </c>
      <c r="S3058" s="16">
        <f>N3058/10000</f>
        <v/>
      </c>
      <c r="T3058" s="16">
        <f>P3058/10000</f>
        <v/>
      </c>
      <c r="U3058" s="15">
        <f>IF(N3058&gt;=Summary!$D$3,1,0)</f>
        <v/>
      </c>
      <c r="V3058" s="17">
        <f>IF(N3058&gt;0,P3058/N3058,"")</f>
        <v/>
      </c>
      <c r="W3058" s="17">
        <f>IF(O3058&gt;0,H3058/O3058,"")</f>
        <v/>
      </c>
    </row>
    <row r="3059">
      <c r="A3059" s="13" t="inlineStr">
        <is>
          <t>CW19_B1</t>
        </is>
      </c>
      <c r="B3059" s="13" t="inlineStr">
        <is>
          <t>CW19</t>
        </is>
      </c>
      <c r="C3059" s="13" t="inlineStr">
        <is>
          <t>B1</t>
        </is>
      </c>
      <c r="D3059" s="13" t="n">
        <v>0</v>
      </c>
      <c r="E3059" s="13" t="inlineStr">
        <is>
          <t>W</t>
        </is>
      </c>
      <c r="F3059" s="13" t="n">
        <v>2025</v>
      </c>
      <c r="G3059" s="14" t="n">
        <v>1000352.168781774</v>
      </c>
      <c r="H3059" s="14" t="n">
        <v>606778.5579404942</v>
      </c>
      <c r="I3059" s="14" t="n">
        <v>330365.3517000087</v>
      </c>
      <c r="J3059" s="14" t="n">
        <v>0</v>
      </c>
      <c r="K3059" s="14" t="n">
        <v>63208.25914127125</v>
      </c>
      <c r="L3059" s="14" t="n">
        <v>0</v>
      </c>
      <c r="M3059" s="14" t="n">
        <v>0</v>
      </c>
      <c r="N3059" s="14" t="n">
        <v>703882.6805956372</v>
      </c>
      <c r="O3059" s="14" t="n">
        <v>1000352.168781774</v>
      </c>
      <c r="P3059" s="14" t="n">
        <v>129774.517157491</v>
      </c>
      <c r="Q3059" s="14" t="n">
        <v>5506048.356383467</v>
      </c>
      <c r="R3059" s="15">
        <f>IF(D3059=1,"Section 1","Control")</f>
        <v/>
      </c>
      <c r="S3059" s="16">
        <f>N3059/10000</f>
        <v/>
      </c>
      <c r="T3059" s="16">
        <f>P3059/10000</f>
        <v/>
      </c>
      <c r="U3059" s="15">
        <f>IF(N3059&gt;=Summary!$D$3,1,0)</f>
        <v/>
      </c>
      <c r="V3059" s="17">
        <f>IF(N3059&gt;0,P3059/N3059,"")</f>
        <v/>
      </c>
      <c r="W3059" s="17">
        <f>IF(O3059&gt;0,H3059/O3059,"")</f>
        <v/>
      </c>
    </row>
    <row r="3060">
      <c r="A3060" s="13" t="inlineStr">
        <is>
          <t>CW19_B1</t>
        </is>
      </c>
      <c r="B3060" s="13" t="inlineStr">
        <is>
          <t>CW19</t>
        </is>
      </c>
      <c r="C3060" s="13" t="inlineStr">
        <is>
          <t>B1</t>
        </is>
      </c>
      <c r="D3060" s="13" t="n">
        <v>0</v>
      </c>
      <c r="E3060" s="13" t="inlineStr">
        <is>
          <t>W</t>
        </is>
      </c>
      <c r="F3060" s="13" t="n">
        <v>2026</v>
      </c>
      <c r="G3060" s="14" t="n">
        <v>1000352.168781774</v>
      </c>
      <c r="H3060" s="14" t="n">
        <v>784185.9841059963</v>
      </c>
      <c r="I3060" s="14" t="n">
        <v>132172.7589408426</v>
      </c>
      <c r="J3060" s="14" t="n">
        <v>0</v>
      </c>
      <c r="K3060" s="14" t="n">
        <v>83993.4257349351</v>
      </c>
      <c r="L3060" s="14" t="n">
        <v>0</v>
      </c>
      <c r="M3060" s="14" t="n">
        <v>0</v>
      </c>
      <c r="N3060" s="14" t="n">
        <v>703882.6805956373</v>
      </c>
      <c r="O3060" s="14" t="n">
        <v>1000352.168781774</v>
      </c>
      <c r="P3060" s="14" t="n">
        <v>61764.30154071881</v>
      </c>
      <c r="Q3060" s="14" t="n">
        <v>5506048.356383467</v>
      </c>
      <c r="R3060" s="15">
        <f>IF(D3060=1,"Section 1","Control")</f>
        <v/>
      </c>
      <c r="S3060" s="16">
        <f>N3060/10000</f>
        <v/>
      </c>
      <c r="T3060" s="16">
        <f>P3060/10000</f>
        <v/>
      </c>
      <c r="U3060" s="15">
        <f>IF(N3060&gt;=Summary!$D$3,1,0)</f>
        <v/>
      </c>
      <c r="V3060" s="17">
        <f>IF(N3060&gt;0,P3060/N3060,"")</f>
        <v/>
      </c>
      <c r="W3060" s="17">
        <f>IF(O3060&gt;0,H3060/O3060,"")</f>
        <v/>
      </c>
    </row>
    <row r="3061">
      <c r="A3061" s="13" t="inlineStr">
        <is>
          <t>CW19_B2</t>
        </is>
      </c>
      <c r="B3061" s="13" t="inlineStr">
        <is>
          <t>CW19</t>
        </is>
      </c>
      <c r="C3061" s="13" t="inlineStr">
        <is>
          <t>B2</t>
        </is>
      </c>
      <c r="D3061" s="13" t="n">
        <v>0</v>
      </c>
      <c r="E3061" s="13" t="inlineStr">
        <is>
          <t>W</t>
        </is>
      </c>
      <c r="F3061" s="13" t="n">
        <v>2020</v>
      </c>
      <c r="G3061" s="14" t="n">
        <v>1000544.970487617</v>
      </c>
      <c r="H3061" s="14" t="n">
        <v>491875.8497629502</v>
      </c>
      <c r="I3061" s="14" t="n">
        <v>304545.7548893348</v>
      </c>
      <c r="J3061" s="14" t="n">
        <v>0</v>
      </c>
      <c r="K3061" s="14" t="n">
        <v>38539.41914900237</v>
      </c>
      <c r="L3061" s="14" t="n">
        <v>165583.9466863296</v>
      </c>
      <c r="M3061" s="14" t="n">
        <v>0</v>
      </c>
      <c r="N3061" s="14" t="n">
        <v>491875.8497629502</v>
      </c>
      <c r="O3061" s="14" t="n">
        <v>834961.0238012876</v>
      </c>
      <c r="P3061" s="14" t="n">
        <v>0</v>
      </c>
      <c r="Q3061" s="14" t="n">
        <v>5947748.004992047</v>
      </c>
      <c r="R3061" s="15">
        <f>IF(D3061=1,"Section 1","Control")</f>
        <v/>
      </c>
      <c r="S3061" s="16">
        <f>N3061/10000</f>
        <v/>
      </c>
      <c r="T3061" s="16">
        <f>P3061/10000</f>
        <v/>
      </c>
      <c r="U3061" s="15">
        <f>IF(N3061&gt;=Summary!$D$3,1,0)</f>
        <v/>
      </c>
      <c r="V3061" s="17">
        <f>IF(N3061&gt;0,P3061/N3061,"")</f>
        <v/>
      </c>
      <c r="W3061" s="17">
        <f>IF(O3061&gt;0,H3061/O3061,"")</f>
        <v/>
      </c>
    </row>
    <row r="3062">
      <c r="A3062" s="13" t="inlineStr">
        <is>
          <t>CW19_B2</t>
        </is>
      </c>
      <c r="B3062" s="13" t="inlineStr">
        <is>
          <t>CW19</t>
        </is>
      </c>
      <c r="C3062" s="13" t="inlineStr">
        <is>
          <t>B2</t>
        </is>
      </c>
      <c r="D3062" s="13" t="n">
        <v>0</v>
      </c>
      <c r="E3062" s="13" t="inlineStr">
        <is>
          <t>W</t>
        </is>
      </c>
      <c r="F3062" s="13" t="n">
        <v>2021</v>
      </c>
      <c r="G3062" s="14" t="n">
        <v>1000544.970487617</v>
      </c>
      <c r="H3062" s="14" t="n">
        <v>448959.5717423981</v>
      </c>
      <c r="I3062" s="14" t="n">
        <v>307734.4672451842</v>
      </c>
      <c r="J3062" s="14" t="n">
        <v>0</v>
      </c>
      <c r="K3062" s="14" t="n">
        <v>118078.1545722513</v>
      </c>
      <c r="L3062" s="14" t="n">
        <v>125772.7769277834</v>
      </c>
      <c r="M3062" s="14" t="n">
        <v>0</v>
      </c>
      <c r="N3062" s="14" t="n">
        <v>491875.8497629502</v>
      </c>
      <c r="O3062" s="14" t="n">
        <v>834961.0238012876</v>
      </c>
      <c r="P3062" s="14" t="n">
        <v>68445.04616214527</v>
      </c>
      <c r="Q3062" s="14" t="n">
        <v>5947748.004992047</v>
      </c>
      <c r="R3062" s="15">
        <f>IF(D3062=1,"Section 1","Control")</f>
        <v/>
      </c>
      <c r="S3062" s="16">
        <f>N3062/10000</f>
        <v/>
      </c>
      <c r="T3062" s="16">
        <f>P3062/10000</f>
        <v/>
      </c>
      <c r="U3062" s="15">
        <f>IF(N3062&gt;=Summary!$D$3,1,0)</f>
        <v/>
      </c>
      <c r="V3062" s="17">
        <f>IF(N3062&gt;0,P3062/N3062,"")</f>
        <v/>
      </c>
      <c r="W3062" s="17">
        <f>IF(O3062&gt;0,H3062/O3062,"")</f>
        <v/>
      </c>
    </row>
    <row r="3063">
      <c r="A3063" s="13" t="inlineStr">
        <is>
          <t>CW19_B2</t>
        </is>
      </c>
      <c r="B3063" s="13" t="inlineStr">
        <is>
          <t>CW19</t>
        </is>
      </c>
      <c r="C3063" s="13" t="inlineStr">
        <is>
          <t>B2</t>
        </is>
      </c>
      <c r="D3063" s="13" t="n">
        <v>0</v>
      </c>
      <c r="E3063" s="13" t="inlineStr">
        <is>
          <t>W</t>
        </is>
      </c>
      <c r="F3063" s="13" t="n">
        <v>2022</v>
      </c>
      <c r="G3063" s="14" t="n">
        <v>1000544.970487617</v>
      </c>
      <c r="H3063" s="14" t="n">
        <v>416924.1085149429</v>
      </c>
      <c r="I3063" s="14" t="n">
        <v>357079.1632180308</v>
      </c>
      <c r="J3063" s="14" t="n">
        <v>0</v>
      </c>
      <c r="K3063" s="14" t="n">
        <v>113011.3344054876</v>
      </c>
      <c r="L3063" s="14" t="n">
        <v>113530.3643491558</v>
      </c>
      <c r="M3063" s="14" t="n">
        <v>0</v>
      </c>
      <c r="N3063" s="14" t="n">
        <v>491875.8497629502</v>
      </c>
      <c r="O3063" s="14" t="n">
        <v>834961.0238012876</v>
      </c>
      <c r="P3063" s="14" t="n">
        <v>86892.68937479655</v>
      </c>
      <c r="Q3063" s="14" t="n">
        <v>5947748.004992047</v>
      </c>
      <c r="R3063" s="15">
        <f>IF(D3063=1,"Section 1","Control")</f>
        <v/>
      </c>
      <c r="S3063" s="16">
        <f>N3063/10000</f>
        <v/>
      </c>
      <c r="T3063" s="16">
        <f>P3063/10000</f>
        <v/>
      </c>
      <c r="U3063" s="15">
        <f>IF(N3063&gt;=Summary!$D$3,1,0)</f>
        <v/>
      </c>
      <c r="V3063" s="17">
        <f>IF(N3063&gt;0,P3063/N3063,"")</f>
        <v/>
      </c>
      <c r="W3063" s="17">
        <f>IF(O3063&gt;0,H3063/O3063,"")</f>
        <v/>
      </c>
    </row>
    <row r="3064">
      <c r="A3064" s="13" t="inlineStr">
        <is>
          <t>CW19_B2</t>
        </is>
      </c>
      <c r="B3064" s="13" t="inlineStr">
        <is>
          <t>CW19</t>
        </is>
      </c>
      <c r="C3064" s="13" t="inlineStr">
        <is>
          <t>B2</t>
        </is>
      </c>
      <c r="D3064" s="13" t="n">
        <v>0</v>
      </c>
      <c r="E3064" s="13" t="inlineStr">
        <is>
          <t>W</t>
        </is>
      </c>
      <c r="F3064" s="13" t="n">
        <v>2023</v>
      </c>
      <c r="G3064" s="14" t="n">
        <v>1000544.970487617</v>
      </c>
      <c r="H3064" s="14" t="n">
        <v>451719.2371218812</v>
      </c>
      <c r="I3064" s="14" t="n">
        <v>302493.6735789281</v>
      </c>
      <c r="J3064" s="14" t="n">
        <v>0</v>
      </c>
      <c r="K3064" s="14" t="n">
        <v>62062.17660366879</v>
      </c>
      <c r="L3064" s="14" t="n">
        <v>184269.883183139</v>
      </c>
      <c r="M3064" s="14" t="n">
        <v>0</v>
      </c>
      <c r="N3064" s="14" t="n">
        <v>491875.8497629502</v>
      </c>
      <c r="O3064" s="14" t="n">
        <v>834961.0238012876</v>
      </c>
      <c r="P3064" s="14" t="n">
        <v>74524.13857101739</v>
      </c>
      <c r="Q3064" s="14" t="n">
        <v>5947748.004992047</v>
      </c>
      <c r="R3064" s="15">
        <f>IF(D3064=1,"Section 1","Control")</f>
        <v/>
      </c>
      <c r="S3064" s="16">
        <f>N3064/10000</f>
        <v/>
      </c>
      <c r="T3064" s="16">
        <f>P3064/10000</f>
        <v/>
      </c>
      <c r="U3064" s="15">
        <f>IF(N3064&gt;=Summary!$D$3,1,0)</f>
        <v/>
      </c>
      <c r="V3064" s="17">
        <f>IF(N3064&gt;0,P3064/N3064,"")</f>
        <v/>
      </c>
      <c r="W3064" s="17">
        <f>IF(O3064&gt;0,H3064/O3064,"")</f>
        <v/>
      </c>
    </row>
    <row r="3065">
      <c r="A3065" s="13" t="inlineStr">
        <is>
          <t>CW19_B2</t>
        </is>
      </c>
      <c r="B3065" s="13" t="inlineStr">
        <is>
          <t>CW19</t>
        </is>
      </c>
      <c r="C3065" s="13" t="inlineStr">
        <is>
          <t>B2</t>
        </is>
      </c>
      <c r="D3065" s="13" t="n">
        <v>0</v>
      </c>
      <c r="E3065" s="13" t="inlineStr">
        <is>
          <t>W</t>
        </is>
      </c>
      <c r="F3065" s="13" t="n">
        <v>2024</v>
      </c>
      <c r="G3065" s="14" t="n">
        <v>1000544.970487617</v>
      </c>
      <c r="H3065" s="14" t="n">
        <v>512365.2344142839</v>
      </c>
      <c r="I3065" s="14" t="n">
        <v>267311.5958226821</v>
      </c>
      <c r="J3065" s="14" t="n">
        <v>0</v>
      </c>
      <c r="K3065" s="14" t="n">
        <v>69446.45191267425</v>
      </c>
      <c r="L3065" s="14" t="n">
        <v>151421.6883379768</v>
      </c>
      <c r="M3065" s="14" t="n">
        <v>0</v>
      </c>
      <c r="N3065" s="14" t="n">
        <v>491875.8497629502</v>
      </c>
      <c r="O3065" s="14" t="n">
        <v>834961.0238012875</v>
      </c>
      <c r="P3065" s="14" t="n">
        <v>47985.3584383497</v>
      </c>
      <c r="Q3065" s="14" t="n">
        <v>5947748.004992047</v>
      </c>
      <c r="R3065" s="15">
        <f>IF(D3065=1,"Section 1","Control")</f>
        <v/>
      </c>
      <c r="S3065" s="16">
        <f>N3065/10000</f>
        <v/>
      </c>
      <c r="T3065" s="16">
        <f>P3065/10000</f>
        <v/>
      </c>
      <c r="U3065" s="15">
        <f>IF(N3065&gt;=Summary!$D$3,1,0)</f>
        <v/>
      </c>
      <c r="V3065" s="17">
        <f>IF(N3065&gt;0,P3065/N3065,"")</f>
        <v/>
      </c>
      <c r="W3065" s="17">
        <f>IF(O3065&gt;0,H3065/O3065,"")</f>
        <v/>
      </c>
    </row>
    <row r="3066">
      <c r="A3066" s="13" t="inlineStr">
        <is>
          <t>CW19_B2</t>
        </is>
      </c>
      <c r="B3066" s="13" t="inlineStr">
        <is>
          <t>CW19</t>
        </is>
      </c>
      <c r="C3066" s="13" t="inlineStr">
        <is>
          <t>B2</t>
        </is>
      </c>
      <c r="D3066" s="13" t="n">
        <v>0</v>
      </c>
      <c r="E3066" s="13" t="inlineStr">
        <is>
          <t>W</t>
        </is>
      </c>
      <c r="F3066" s="13" t="n">
        <v>2025</v>
      </c>
      <c r="G3066" s="14" t="n">
        <v>1000544.970487617</v>
      </c>
      <c r="H3066" s="14" t="n">
        <v>475171.4328416113</v>
      </c>
      <c r="I3066" s="14" t="n">
        <v>314842.8634914025</v>
      </c>
      <c r="J3066" s="14" t="n">
        <v>0</v>
      </c>
      <c r="K3066" s="14" t="n">
        <v>68622.84092356364</v>
      </c>
      <c r="L3066" s="14" t="n">
        <v>141907.8332310396</v>
      </c>
      <c r="M3066" s="14" t="n">
        <v>0</v>
      </c>
      <c r="N3066" s="14" t="n">
        <v>491875.8497629502</v>
      </c>
      <c r="O3066" s="14" t="n">
        <v>834961.0238012876</v>
      </c>
      <c r="P3066" s="14" t="n">
        <v>55365.07582376517</v>
      </c>
      <c r="Q3066" s="14" t="n">
        <v>5947748.004992047</v>
      </c>
      <c r="R3066" s="15">
        <f>IF(D3066=1,"Section 1","Control")</f>
        <v/>
      </c>
      <c r="S3066" s="16">
        <f>N3066/10000</f>
        <v/>
      </c>
      <c r="T3066" s="16">
        <f>P3066/10000</f>
        <v/>
      </c>
      <c r="U3066" s="15">
        <f>IF(N3066&gt;=Summary!$D$3,1,0)</f>
        <v/>
      </c>
      <c r="V3066" s="17">
        <f>IF(N3066&gt;0,P3066/N3066,"")</f>
        <v/>
      </c>
      <c r="W3066" s="17">
        <f>IF(O3066&gt;0,H3066/O3066,"")</f>
        <v/>
      </c>
    </row>
    <row r="3067">
      <c r="A3067" s="13" t="inlineStr">
        <is>
          <t>CW19_B2</t>
        </is>
      </c>
      <c r="B3067" s="13" t="inlineStr">
        <is>
          <t>CW19</t>
        </is>
      </c>
      <c r="C3067" s="13" t="inlineStr">
        <is>
          <t>B2</t>
        </is>
      </c>
      <c r="D3067" s="13" t="n">
        <v>0</v>
      </c>
      <c r="E3067" s="13" t="inlineStr">
        <is>
          <t>W</t>
        </is>
      </c>
      <c r="F3067" s="13" t="n">
        <v>2026</v>
      </c>
      <c r="G3067" s="14" t="n">
        <v>1000544.970487617</v>
      </c>
      <c r="H3067" s="14" t="n">
        <v>555637.7990100937</v>
      </c>
      <c r="I3067" s="14" t="n">
        <v>192123.3087045109</v>
      </c>
      <c r="J3067" s="14" t="n">
        <v>0</v>
      </c>
      <c r="K3067" s="14" t="n">
        <v>59353.56406806497</v>
      </c>
      <c r="L3067" s="14" t="n">
        <v>193430.2987049477</v>
      </c>
      <c r="M3067" s="14" t="n">
        <v>0</v>
      </c>
      <c r="N3067" s="14" t="n">
        <v>491875.8497629502</v>
      </c>
      <c r="O3067" s="14" t="n">
        <v>834961.0238012875</v>
      </c>
      <c r="P3067" s="14" t="n">
        <v>45334.83429870605</v>
      </c>
      <c r="Q3067" s="14" t="n">
        <v>5947748.004992047</v>
      </c>
      <c r="R3067" s="15">
        <f>IF(D3067=1,"Section 1","Control")</f>
        <v/>
      </c>
      <c r="S3067" s="16">
        <f>N3067/10000</f>
        <v/>
      </c>
      <c r="T3067" s="16">
        <f>P3067/10000</f>
        <v/>
      </c>
      <c r="U3067" s="15">
        <f>IF(N3067&gt;=Summary!$D$3,1,0)</f>
        <v/>
      </c>
      <c r="V3067" s="17">
        <f>IF(N3067&gt;0,P3067/N3067,"")</f>
        <v/>
      </c>
      <c r="W3067" s="17">
        <f>IF(O3067&gt;0,H3067/O3067,"")</f>
        <v/>
      </c>
    </row>
    <row r="3068">
      <c r="A3068" s="13" t="inlineStr">
        <is>
          <t>CW19_B3</t>
        </is>
      </c>
      <c r="B3068" s="13" t="inlineStr">
        <is>
          <t>CW19</t>
        </is>
      </c>
      <c r="C3068" s="13" t="inlineStr">
        <is>
          <t>B3</t>
        </is>
      </c>
      <c r="D3068" s="13" t="n">
        <v>0</v>
      </c>
      <c r="E3068" s="13" t="inlineStr">
        <is>
          <t>W</t>
        </is>
      </c>
      <c r="F3068" s="13" t="n">
        <v>2020</v>
      </c>
      <c r="G3068" s="14" t="n">
        <v>8002983.192021417</v>
      </c>
      <c r="H3068" s="14" t="n">
        <v>1697766.906935629</v>
      </c>
      <c r="I3068" s="14" t="n">
        <v>352865.4796075859</v>
      </c>
      <c r="J3068" s="14" t="n">
        <v>0</v>
      </c>
      <c r="K3068" s="14" t="n">
        <v>1636201.578571005</v>
      </c>
      <c r="L3068" s="14" t="n">
        <v>4316149.226907199</v>
      </c>
      <c r="M3068" s="14" t="n">
        <v>0</v>
      </c>
      <c r="N3068" s="14" t="n">
        <v>1697766.906935629</v>
      </c>
      <c r="O3068" s="14" t="n">
        <v>3686833.96511422</v>
      </c>
      <c r="P3068" s="14" t="n">
        <v>0</v>
      </c>
      <c r="Q3068" s="14" t="n">
        <v>22381341.8743577</v>
      </c>
      <c r="R3068" s="15">
        <f>IF(D3068=1,"Section 1","Control")</f>
        <v/>
      </c>
      <c r="S3068" s="16">
        <f>N3068/10000</f>
        <v/>
      </c>
      <c r="T3068" s="16">
        <f>P3068/10000</f>
        <v/>
      </c>
      <c r="U3068" s="15">
        <f>IF(N3068&gt;=Summary!$D$3,1,0)</f>
        <v/>
      </c>
      <c r="V3068" s="17">
        <f>IF(N3068&gt;0,P3068/N3068,"")</f>
        <v/>
      </c>
      <c r="W3068" s="17">
        <f>IF(O3068&gt;0,H3068/O3068,"")</f>
        <v/>
      </c>
    </row>
    <row r="3069">
      <c r="A3069" s="13" t="inlineStr">
        <is>
          <t>CW19_B3</t>
        </is>
      </c>
      <c r="B3069" s="13" t="inlineStr">
        <is>
          <t>CW19</t>
        </is>
      </c>
      <c r="C3069" s="13" t="inlineStr">
        <is>
          <t>B3</t>
        </is>
      </c>
      <c r="D3069" s="13" t="n">
        <v>0</v>
      </c>
      <c r="E3069" s="13" t="inlineStr">
        <is>
          <t>W</t>
        </is>
      </c>
      <c r="F3069" s="13" t="n">
        <v>2021</v>
      </c>
      <c r="G3069" s="14" t="n">
        <v>8002983.192021416</v>
      </c>
      <c r="H3069" s="14" t="n">
        <v>1442597.109217326</v>
      </c>
      <c r="I3069" s="14" t="n">
        <v>120859.1904858159</v>
      </c>
      <c r="J3069" s="14" t="n">
        <v>0</v>
      </c>
      <c r="K3069" s="14" t="n">
        <v>2168189.39836333</v>
      </c>
      <c r="L3069" s="14" t="n">
        <v>4271337.493954947</v>
      </c>
      <c r="M3069" s="14" t="n">
        <v>0</v>
      </c>
      <c r="N3069" s="14" t="n">
        <v>1697766.906935629</v>
      </c>
      <c r="O3069" s="14" t="n">
        <v>3686833.96511422</v>
      </c>
      <c r="P3069" s="14" t="n">
        <v>304306.6142795638</v>
      </c>
      <c r="Q3069" s="14" t="n">
        <v>22381341.8743577</v>
      </c>
      <c r="R3069" s="15">
        <f>IF(D3069=1,"Section 1","Control")</f>
        <v/>
      </c>
      <c r="S3069" s="16">
        <f>N3069/10000</f>
        <v/>
      </c>
      <c r="T3069" s="16">
        <f>P3069/10000</f>
        <v/>
      </c>
      <c r="U3069" s="15">
        <f>IF(N3069&gt;=Summary!$D$3,1,0)</f>
        <v/>
      </c>
      <c r="V3069" s="17">
        <f>IF(N3069&gt;0,P3069/N3069,"")</f>
        <v/>
      </c>
      <c r="W3069" s="17">
        <f>IF(O3069&gt;0,H3069/O3069,"")</f>
        <v/>
      </c>
    </row>
    <row r="3070">
      <c r="A3070" s="13" t="inlineStr">
        <is>
          <t>CW19_B3</t>
        </is>
      </c>
      <c r="B3070" s="13" t="inlineStr">
        <is>
          <t>CW19</t>
        </is>
      </c>
      <c r="C3070" s="13" t="inlineStr">
        <is>
          <t>B3</t>
        </is>
      </c>
      <c r="D3070" s="13" t="n">
        <v>0</v>
      </c>
      <c r="E3070" s="13" t="inlineStr">
        <is>
          <t>W</t>
        </is>
      </c>
      <c r="F3070" s="13" t="n">
        <v>2022</v>
      </c>
      <c r="G3070" s="14" t="n">
        <v>8002983.192021417</v>
      </c>
      <c r="H3070" s="14" t="n">
        <v>1321981.165629847</v>
      </c>
      <c r="I3070" s="14" t="n">
        <v>195800.4164398792</v>
      </c>
      <c r="J3070" s="14" t="n">
        <v>0</v>
      </c>
      <c r="K3070" s="14" t="n">
        <v>2226363.972659541</v>
      </c>
      <c r="L3070" s="14" t="n">
        <v>4258837.637292152</v>
      </c>
      <c r="M3070" s="14" t="n">
        <v>0</v>
      </c>
      <c r="N3070" s="14" t="n">
        <v>1697766.906935628</v>
      </c>
      <c r="O3070" s="14" t="n">
        <v>3686833.96511422</v>
      </c>
      <c r="P3070" s="14" t="n">
        <v>409851.3974669512</v>
      </c>
      <c r="Q3070" s="14" t="n">
        <v>22381341.8743577</v>
      </c>
      <c r="R3070" s="15">
        <f>IF(D3070=1,"Section 1","Control")</f>
        <v/>
      </c>
      <c r="S3070" s="16">
        <f>N3070/10000</f>
        <v/>
      </c>
      <c r="T3070" s="16">
        <f>P3070/10000</f>
        <v/>
      </c>
      <c r="U3070" s="15">
        <f>IF(N3070&gt;=Summary!$D$3,1,0)</f>
        <v/>
      </c>
      <c r="V3070" s="17">
        <f>IF(N3070&gt;0,P3070/N3070,"")</f>
        <v/>
      </c>
      <c r="W3070" s="17">
        <f>IF(O3070&gt;0,H3070/O3070,"")</f>
        <v/>
      </c>
    </row>
    <row r="3071">
      <c r="A3071" s="13" t="inlineStr">
        <is>
          <t>CW19_B3</t>
        </is>
      </c>
      <c r="B3071" s="13" t="inlineStr">
        <is>
          <t>CW19</t>
        </is>
      </c>
      <c r="C3071" s="13" t="inlineStr">
        <is>
          <t>B3</t>
        </is>
      </c>
      <c r="D3071" s="13" t="n">
        <v>0</v>
      </c>
      <c r="E3071" s="13" t="inlineStr">
        <is>
          <t>W</t>
        </is>
      </c>
      <c r="F3071" s="13" t="n">
        <v>2023</v>
      </c>
      <c r="G3071" s="14" t="n">
        <v>8002983.192021417</v>
      </c>
      <c r="H3071" s="14" t="n">
        <v>1334688.677557463</v>
      </c>
      <c r="I3071" s="14" t="n">
        <v>143423.924915957</v>
      </c>
      <c r="J3071" s="14" t="n">
        <v>0</v>
      </c>
      <c r="K3071" s="14" t="n">
        <v>2177694.617733525</v>
      </c>
      <c r="L3071" s="14" t="n">
        <v>4347175.971814474</v>
      </c>
      <c r="M3071" s="14" t="n">
        <v>0</v>
      </c>
      <c r="N3071" s="14" t="n">
        <v>1697766.906935629</v>
      </c>
      <c r="O3071" s="14" t="n">
        <v>3686833.96511422</v>
      </c>
      <c r="P3071" s="14" t="n">
        <v>423403.360365834</v>
      </c>
      <c r="Q3071" s="14" t="n">
        <v>22381341.8743577</v>
      </c>
      <c r="R3071" s="15">
        <f>IF(D3071=1,"Section 1","Control")</f>
        <v/>
      </c>
      <c r="S3071" s="16">
        <f>N3071/10000</f>
        <v/>
      </c>
      <c r="T3071" s="16">
        <f>P3071/10000</f>
        <v/>
      </c>
      <c r="U3071" s="15">
        <f>IF(N3071&gt;=Summary!$D$3,1,0)</f>
        <v/>
      </c>
      <c r="V3071" s="17">
        <f>IF(N3071&gt;0,P3071/N3071,"")</f>
        <v/>
      </c>
      <c r="W3071" s="17">
        <f>IF(O3071&gt;0,H3071/O3071,"")</f>
        <v/>
      </c>
    </row>
    <row r="3072">
      <c r="A3072" s="13" t="inlineStr">
        <is>
          <t>CW19_B3</t>
        </is>
      </c>
      <c r="B3072" s="13" t="inlineStr">
        <is>
          <t>CW19</t>
        </is>
      </c>
      <c r="C3072" s="13" t="inlineStr">
        <is>
          <t>B3</t>
        </is>
      </c>
      <c r="D3072" s="13" t="n">
        <v>0</v>
      </c>
      <c r="E3072" s="13" t="inlineStr">
        <is>
          <t>W</t>
        </is>
      </c>
      <c r="F3072" s="13" t="n">
        <v>2024</v>
      </c>
      <c r="G3072" s="14" t="n">
        <v>8002983.192021417</v>
      </c>
      <c r="H3072" s="14" t="n">
        <v>1337611.003761052</v>
      </c>
      <c r="I3072" s="14" t="n">
        <v>203745.5601713292</v>
      </c>
      <c r="J3072" s="14" t="n">
        <v>0</v>
      </c>
      <c r="K3072" s="14" t="n">
        <v>2144926.52212668</v>
      </c>
      <c r="L3072" s="14" t="n">
        <v>4316700.105962357</v>
      </c>
      <c r="M3072" s="14" t="n">
        <v>0</v>
      </c>
      <c r="N3072" s="14" t="n">
        <v>1697766.906935628</v>
      </c>
      <c r="O3072" s="14" t="n">
        <v>3686833.96511422</v>
      </c>
      <c r="P3072" s="14" t="n">
        <v>428361.4475135354</v>
      </c>
      <c r="Q3072" s="14" t="n">
        <v>22381341.87435769</v>
      </c>
      <c r="R3072" s="15">
        <f>IF(D3072=1,"Section 1","Control")</f>
        <v/>
      </c>
      <c r="S3072" s="16">
        <f>N3072/10000</f>
        <v/>
      </c>
      <c r="T3072" s="16">
        <f>P3072/10000</f>
        <v/>
      </c>
      <c r="U3072" s="15">
        <f>IF(N3072&gt;=Summary!$D$3,1,0)</f>
        <v/>
      </c>
      <c r="V3072" s="17">
        <f>IF(N3072&gt;0,P3072/N3072,"")</f>
        <v/>
      </c>
      <c r="W3072" s="17">
        <f>IF(O3072&gt;0,H3072/O3072,"")</f>
        <v/>
      </c>
    </row>
    <row r="3073">
      <c r="A3073" s="13" t="inlineStr">
        <is>
          <t>CW19_B3</t>
        </is>
      </c>
      <c r="B3073" s="13" t="inlineStr">
        <is>
          <t>CW19</t>
        </is>
      </c>
      <c r="C3073" s="13" t="inlineStr">
        <is>
          <t>B3</t>
        </is>
      </c>
      <c r="D3073" s="13" t="n">
        <v>0</v>
      </c>
      <c r="E3073" s="13" t="inlineStr">
        <is>
          <t>W</t>
        </is>
      </c>
      <c r="F3073" s="13" t="n">
        <v>2025</v>
      </c>
      <c r="G3073" s="14" t="n">
        <v>8002983.192021417</v>
      </c>
      <c r="H3073" s="14" t="n">
        <v>1302052.198437081</v>
      </c>
      <c r="I3073" s="14" t="n">
        <v>328465.7601236082</v>
      </c>
      <c r="J3073" s="14" t="n">
        <v>0</v>
      </c>
      <c r="K3073" s="14" t="n">
        <v>2049540.85686448</v>
      </c>
      <c r="L3073" s="14" t="n">
        <v>4322924.37659625</v>
      </c>
      <c r="M3073" s="14" t="n">
        <v>0</v>
      </c>
      <c r="N3073" s="14" t="n">
        <v>1697766.906935628</v>
      </c>
      <c r="O3073" s="14" t="n">
        <v>3686833.96511422</v>
      </c>
      <c r="P3073" s="14" t="n">
        <v>458333.6333485024</v>
      </c>
      <c r="Q3073" s="14" t="n">
        <v>22381341.8743577</v>
      </c>
      <c r="R3073" s="15">
        <f>IF(D3073=1,"Section 1","Control")</f>
        <v/>
      </c>
      <c r="S3073" s="16">
        <f>N3073/10000</f>
        <v/>
      </c>
      <c r="T3073" s="16">
        <f>P3073/10000</f>
        <v/>
      </c>
      <c r="U3073" s="15">
        <f>IF(N3073&gt;=Summary!$D$3,1,0)</f>
        <v/>
      </c>
      <c r="V3073" s="17">
        <f>IF(N3073&gt;0,P3073/N3073,"")</f>
        <v/>
      </c>
      <c r="W3073" s="17">
        <f>IF(O3073&gt;0,H3073/O3073,"")</f>
        <v/>
      </c>
    </row>
    <row r="3074">
      <c r="A3074" s="13" t="inlineStr">
        <is>
          <t>CW19_B3</t>
        </is>
      </c>
      <c r="B3074" s="13" t="inlineStr">
        <is>
          <t>CW19</t>
        </is>
      </c>
      <c r="C3074" s="13" t="inlineStr">
        <is>
          <t>B3</t>
        </is>
      </c>
      <c r="D3074" s="13" t="n">
        <v>0</v>
      </c>
      <c r="E3074" s="13" t="inlineStr">
        <is>
          <t>W</t>
        </is>
      </c>
      <c r="F3074" s="13" t="n">
        <v>2026</v>
      </c>
      <c r="G3074" s="14" t="n">
        <v>8002983.192021417</v>
      </c>
      <c r="H3074" s="14" t="n">
        <v>1340042.571390429</v>
      </c>
      <c r="I3074" s="14" t="n">
        <v>142908.9079745125</v>
      </c>
      <c r="J3074" s="14" t="n">
        <v>0</v>
      </c>
      <c r="K3074" s="14" t="n">
        <v>2159647.290095371</v>
      </c>
      <c r="L3074" s="14" t="n">
        <v>4360384.422561107</v>
      </c>
      <c r="M3074" s="14" t="n">
        <v>0</v>
      </c>
      <c r="N3074" s="14" t="n">
        <v>1697766.906935628</v>
      </c>
      <c r="O3074" s="14" t="n">
        <v>3686833.96511422</v>
      </c>
      <c r="P3074" s="14" t="n">
        <v>450960.8659532734</v>
      </c>
      <c r="Q3074" s="14" t="n">
        <v>22381341.8743577</v>
      </c>
      <c r="R3074" s="15">
        <f>IF(D3074=1,"Section 1","Control")</f>
        <v/>
      </c>
      <c r="S3074" s="16">
        <f>N3074/10000</f>
        <v/>
      </c>
      <c r="T3074" s="16">
        <f>P3074/10000</f>
        <v/>
      </c>
      <c r="U3074" s="15">
        <f>IF(N3074&gt;=Summary!$D$3,1,0)</f>
        <v/>
      </c>
      <c r="V3074" s="17">
        <f>IF(N3074&gt;0,P3074/N3074,"")</f>
        <v/>
      </c>
      <c r="W3074" s="17">
        <f>IF(O3074&gt;0,H3074/O3074,"")</f>
        <v/>
      </c>
    </row>
    <row r="3075">
      <c r="A3075" s="13" t="inlineStr">
        <is>
          <t>CW19_F</t>
        </is>
      </c>
      <c r="B3075" s="13" t="inlineStr">
        <is>
          <t>CW19</t>
        </is>
      </c>
      <c r="C3075" s="13" t="inlineStr">
        <is>
          <t>F</t>
        </is>
      </c>
      <c r="D3075" s="13" t="n">
        <v>0</v>
      </c>
      <c r="E3075" s="13" t="inlineStr">
        <is>
          <t>W</t>
        </is>
      </c>
      <c r="F3075" s="13" t="n">
        <v>2020</v>
      </c>
      <c r="G3075" s="14" t="n">
        <v>69513.49511320824</v>
      </c>
      <c r="H3075" s="14" t="n">
        <v>62382.65749643363</v>
      </c>
      <c r="I3075" s="14" t="n">
        <v>6735.927246901568</v>
      </c>
      <c r="J3075" s="14" t="n">
        <v>0</v>
      </c>
      <c r="K3075" s="14" t="n">
        <v>394.9103698730469</v>
      </c>
      <c r="L3075" s="14" t="n">
        <v>0</v>
      </c>
      <c r="M3075" s="14" t="n">
        <v>0</v>
      </c>
      <c r="N3075" s="14" t="n">
        <v>62382.65749643363</v>
      </c>
      <c r="O3075" s="14" t="n">
        <v>69513.49511320824</v>
      </c>
      <c r="P3075" s="14" t="n">
        <v>0</v>
      </c>
      <c r="Q3075" s="14" t="n">
        <v>396681.5420211792</v>
      </c>
      <c r="R3075" s="15">
        <f>IF(D3075=1,"Section 1","Control")</f>
        <v/>
      </c>
      <c r="S3075" s="16">
        <f>N3075/10000</f>
        <v/>
      </c>
      <c r="T3075" s="16">
        <f>P3075/10000</f>
        <v/>
      </c>
      <c r="U3075" s="15">
        <f>IF(N3075&gt;=Summary!$D$3,1,0)</f>
        <v/>
      </c>
      <c r="V3075" s="17">
        <f>IF(N3075&gt;0,P3075/N3075,"")</f>
        <v/>
      </c>
      <c r="W3075" s="17">
        <f>IF(O3075&gt;0,H3075/O3075,"")</f>
        <v/>
      </c>
    </row>
    <row r="3076">
      <c r="A3076" s="13" t="inlineStr">
        <is>
          <t>CW19_F</t>
        </is>
      </c>
      <c r="B3076" s="13" t="inlineStr">
        <is>
          <t>CW19</t>
        </is>
      </c>
      <c r="C3076" s="13" t="inlineStr">
        <is>
          <t>F</t>
        </is>
      </c>
      <c r="D3076" s="13" t="n">
        <v>0</v>
      </c>
      <c r="E3076" s="13" t="inlineStr">
        <is>
          <t>W</t>
        </is>
      </c>
      <c r="F3076" s="13" t="n">
        <v>2021</v>
      </c>
      <c r="G3076" s="14" t="n">
        <v>69513.49511320824</v>
      </c>
      <c r="H3076" s="14" t="n">
        <v>61516.17760006773</v>
      </c>
      <c r="I3076" s="14" t="n">
        <v>1303.977302222158</v>
      </c>
      <c r="J3076" s="14" t="n">
        <v>0</v>
      </c>
      <c r="K3076" s="14" t="n">
        <v>6693.340210918352</v>
      </c>
      <c r="L3076" s="14" t="n">
        <v>0</v>
      </c>
      <c r="M3076" s="14" t="n">
        <v>0</v>
      </c>
      <c r="N3076" s="14" t="n">
        <v>62382.65749643363</v>
      </c>
      <c r="O3076" s="14" t="n">
        <v>69513.49511320824</v>
      </c>
      <c r="P3076" s="14" t="n">
        <v>5062.980722674201</v>
      </c>
      <c r="Q3076" s="14" t="n">
        <v>396681.5420211792</v>
      </c>
      <c r="R3076" s="15">
        <f>IF(D3076=1,"Section 1","Control")</f>
        <v/>
      </c>
      <c r="S3076" s="16">
        <f>N3076/10000</f>
        <v/>
      </c>
      <c r="T3076" s="16">
        <f>P3076/10000</f>
        <v/>
      </c>
      <c r="U3076" s="15">
        <f>IF(N3076&gt;=Summary!$D$3,1,0)</f>
        <v/>
      </c>
      <c r="V3076" s="17">
        <f>IF(N3076&gt;0,P3076/N3076,"")</f>
        <v/>
      </c>
      <c r="W3076" s="17">
        <f>IF(O3076&gt;0,H3076/O3076,"")</f>
        <v/>
      </c>
    </row>
    <row r="3077">
      <c r="A3077" s="13" t="inlineStr">
        <is>
          <t>CW19_F</t>
        </is>
      </c>
      <c r="B3077" s="13" t="inlineStr">
        <is>
          <t>CW19</t>
        </is>
      </c>
      <c r="C3077" s="13" t="inlineStr">
        <is>
          <t>F</t>
        </is>
      </c>
      <c r="D3077" s="13" t="n">
        <v>0</v>
      </c>
      <c r="E3077" s="13" t="inlineStr">
        <is>
          <t>W</t>
        </is>
      </c>
      <c r="F3077" s="13" t="n">
        <v>2022</v>
      </c>
      <c r="G3077" s="14" t="n">
        <v>69513.49511320824</v>
      </c>
      <c r="H3077" s="14" t="n">
        <v>50494.31004309561</v>
      </c>
      <c r="I3077" s="14" t="n">
        <v>12987.89906278124</v>
      </c>
      <c r="J3077" s="14" t="n">
        <v>0</v>
      </c>
      <c r="K3077" s="14" t="n">
        <v>6031.2860073314</v>
      </c>
      <c r="L3077" s="14" t="n">
        <v>0</v>
      </c>
      <c r="M3077" s="14" t="n">
        <v>0</v>
      </c>
      <c r="N3077" s="14" t="n">
        <v>62382.65749643363</v>
      </c>
      <c r="O3077" s="14" t="n">
        <v>69513.49511320824</v>
      </c>
      <c r="P3077" s="14" t="n">
        <v>14374.7317263435</v>
      </c>
      <c r="Q3077" s="14" t="n">
        <v>396681.5420211792</v>
      </c>
      <c r="R3077" s="15">
        <f>IF(D3077=1,"Section 1","Control")</f>
        <v/>
      </c>
      <c r="S3077" s="16">
        <f>N3077/10000</f>
        <v/>
      </c>
      <c r="T3077" s="16">
        <f>P3077/10000</f>
        <v/>
      </c>
      <c r="U3077" s="15">
        <f>IF(N3077&gt;=Summary!$D$3,1,0)</f>
        <v/>
      </c>
      <c r="V3077" s="17">
        <f>IF(N3077&gt;0,P3077/N3077,"")</f>
        <v/>
      </c>
      <c r="W3077" s="17">
        <f>IF(O3077&gt;0,H3077/O3077,"")</f>
        <v/>
      </c>
    </row>
    <row r="3078">
      <c r="A3078" s="13" t="inlineStr">
        <is>
          <t>CW19_F</t>
        </is>
      </c>
      <c r="B3078" s="13" t="inlineStr">
        <is>
          <t>CW19</t>
        </is>
      </c>
      <c r="C3078" s="13" t="inlineStr">
        <is>
          <t>F</t>
        </is>
      </c>
      <c r="D3078" s="13" t="n">
        <v>0</v>
      </c>
      <c r="E3078" s="13" t="inlineStr">
        <is>
          <t>W</t>
        </is>
      </c>
      <c r="F3078" s="13" t="n">
        <v>2023</v>
      </c>
      <c r="G3078" s="14" t="n">
        <v>69513.49511320824</v>
      </c>
      <c r="H3078" s="14" t="n">
        <v>61220.3796491735</v>
      </c>
      <c r="I3078" s="14" t="n">
        <v>2459.284321205289</v>
      </c>
      <c r="J3078" s="14" t="n">
        <v>0</v>
      </c>
      <c r="K3078" s="14" t="n">
        <v>5833.831142829447</v>
      </c>
      <c r="L3078" s="14" t="n">
        <v>0</v>
      </c>
      <c r="M3078" s="14" t="n">
        <v>0</v>
      </c>
      <c r="N3078" s="14" t="n">
        <v>62382.65749643363</v>
      </c>
      <c r="O3078" s="14" t="n">
        <v>69513.49511320824</v>
      </c>
      <c r="P3078" s="14" t="n">
        <v>5719.229632807714</v>
      </c>
      <c r="Q3078" s="14" t="n">
        <v>396681.5420211792</v>
      </c>
      <c r="R3078" s="15">
        <f>IF(D3078=1,"Section 1","Control")</f>
        <v/>
      </c>
      <c r="S3078" s="16">
        <f>N3078/10000</f>
        <v/>
      </c>
      <c r="T3078" s="16">
        <f>P3078/10000</f>
        <v/>
      </c>
      <c r="U3078" s="15">
        <f>IF(N3078&gt;=Summary!$D$3,1,0)</f>
        <v/>
      </c>
      <c r="V3078" s="17">
        <f>IF(N3078&gt;0,P3078/N3078,"")</f>
        <v/>
      </c>
      <c r="W3078" s="17">
        <f>IF(O3078&gt;0,H3078/O3078,"")</f>
        <v/>
      </c>
    </row>
    <row r="3079">
      <c r="A3079" s="13" t="inlineStr">
        <is>
          <t>CW19_F</t>
        </is>
      </c>
      <c r="B3079" s="13" t="inlineStr">
        <is>
          <t>CW19</t>
        </is>
      </c>
      <c r="C3079" s="13" t="inlineStr">
        <is>
          <t>F</t>
        </is>
      </c>
      <c r="D3079" s="13" t="n">
        <v>0</v>
      </c>
      <c r="E3079" s="13" t="inlineStr">
        <is>
          <t>W</t>
        </is>
      </c>
      <c r="F3079" s="13" t="n">
        <v>2024</v>
      </c>
      <c r="G3079" s="14" t="n">
        <v>69513.49511320824</v>
      </c>
      <c r="H3079" s="14" t="n">
        <v>60825.08444423301</v>
      </c>
      <c r="I3079" s="14" t="n">
        <v>3393.90266194063</v>
      </c>
      <c r="J3079" s="14" t="n">
        <v>0</v>
      </c>
      <c r="K3079" s="14" t="n">
        <v>5294.508007034602</v>
      </c>
      <c r="L3079" s="14" t="n">
        <v>0</v>
      </c>
      <c r="M3079" s="14" t="n">
        <v>0</v>
      </c>
      <c r="N3079" s="14" t="n">
        <v>62382.65749643363</v>
      </c>
      <c r="O3079" s="14" t="n">
        <v>69513.49511320824</v>
      </c>
      <c r="P3079" s="14" t="n">
        <v>5594.174068944594</v>
      </c>
      <c r="Q3079" s="14" t="n">
        <v>396681.5420211792</v>
      </c>
      <c r="R3079" s="15">
        <f>IF(D3079=1,"Section 1","Control")</f>
        <v/>
      </c>
      <c r="S3079" s="16">
        <f>N3079/10000</f>
        <v/>
      </c>
      <c r="T3079" s="16">
        <f>P3079/10000</f>
        <v/>
      </c>
      <c r="U3079" s="15">
        <f>IF(N3079&gt;=Summary!$D$3,1,0)</f>
        <v/>
      </c>
      <c r="V3079" s="17">
        <f>IF(N3079&gt;0,P3079/N3079,"")</f>
        <v/>
      </c>
      <c r="W3079" s="17">
        <f>IF(O3079&gt;0,H3079/O3079,"")</f>
        <v/>
      </c>
    </row>
    <row r="3080">
      <c r="A3080" s="13" t="inlineStr">
        <is>
          <t>CW19_F</t>
        </is>
      </c>
      <c r="B3080" s="13" t="inlineStr">
        <is>
          <t>CW19</t>
        </is>
      </c>
      <c r="C3080" s="13" t="inlineStr">
        <is>
          <t>F</t>
        </is>
      </c>
      <c r="D3080" s="13" t="n">
        <v>0</v>
      </c>
      <c r="E3080" s="13" t="inlineStr">
        <is>
          <t>W</t>
        </is>
      </c>
      <c r="F3080" s="13" t="n">
        <v>2025</v>
      </c>
      <c r="G3080" s="14" t="n">
        <v>69513.49511320824</v>
      </c>
      <c r="H3080" s="14" t="n">
        <v>45095.27066572602</v>
      </c>
      <c r="I3080" s="14" t="n">
        <v>21018.89783723121</v>
      </c>
      <c r="J3080" s="14" t="n">
        <v>0</v>
      </c>
      <c r="K3080" s="14" t="n">
        <v>3399.326610251035</v>
      </c>
      <c r="L3080" s="14" t="n">
        <v>0</v>
      </c>
      <c r="M3080" s="14" t="n">
        <v>0</v>
      </c>
      <c r="N3080" s="14" t="n">
        <v>62382.65749643363</v>
      </c>
      <c r="O3080" s="14" t="n">
        <v>69513.49511320824</v>
      </c>
      <c r="P3080" s="14" t="n">
        <v>17765.53776861453</v>
      </c>
      <c r="Q3080" s="14" t="n">
        <v>396681.5420211792</v>
      </c>
      <c r="R3080" s="15">
        <f>IF(D3080=1,"Section 1","Control")</f>
        <v/>
      </c>
      <c r="S3080" s="16">
        <f>N3080/10000</f>
        <v/>
      </c>
      <c r="T3080" s="16">
        <f>P3080/10000</f>
        <v/>
      </c>
      <c r="U3080" s="15">
        <f>IF(N3080&gt;=Summary!$D$3,1,0)</f>
        <v/>
      </c>
      <c r="V3080" s="17">
        <f>IF(N3080&gt;0,P3080/N3080,"")</f>
        <v/>
      </c>
      <c r="W3080" s="17">
        <f>IF(O3080&gt;0,H3080/O3080,"")</f>
        <v/>
      </c>
    </row>
    <row r="3081">
      <c r="A3081" s="13" t="inlineStr">
        <is>
          <t>CW19_F</t>
        </is>
      </c>
      <c r="B3081" s="13" t="inlineStr">
        <is>
          <t>CW19</t>
        </is>
      </c>
      <c r="C3081" s="13" t="inlineStr">
        <is>
          <t>F</t>
        </is>
      </c>
      <c r="D3081" s="13" t="n">
        <v>0</v>
      </c>
      <c r="E3081" s="13" t="inlineStr">
        <is>
          <t>W</t>
        </is>
      </c>
      <c r="F3081" s="13" t="n">
        <v>2026</v>
      </c>
      <c r="G3081" s="14" t="n">
        <v>69513.49511320824</v>
      </c>
      <c r="H3081" s="14" t="n">
        <v>66015.44089523015</v>
      </c>
      <c r="I3081" s="14" t="n">
        <v>197.4552001953125</v>
      </c>
      <c r="J3081" s="14" t="n">
        <v>0</v>
      </c>
      <c r="K3081" s="14" t="n">
        <v>3300.599017782773</v>
      </c>
      <c r="L3081" s="14" t="n">
        <v>0</v>
      </c>
      <c r="M3081" s="14" t="n">
        <v>0</v>
      </c>
      <c r="N3081" s="14" t="n">
        <v>62382.65749643363</v>
      </c>
      <c r="O3081" s="14" t="n">
        <v>69513.49511320824</v>
      </c>
      <c r="P3081" s="14" t="n">
        <v>2662.93492754768</v>
      </c>
      <c r="Q3081" s="14" t="n">
        <v>396681.5420211792</v>
      </c>
      <c r="R3081" s="15">
        <f>IF(D3081=1,"Section 1","Control")</f>
        <v/>
      </c>
      <c r="S3081" s="16">
        <f>N3081/10000</f>
        <v/>
      </c>
      <c r="T3081" s="16">
        <f>P3081/10000</f>
        <v/>
      </c>
      <c r="U3081" s="15">
        <f>IF(N3081&gt;=Summary!$D$3,1,0)</f>
        <v/>
      </c>
      <c r="V3081" s="17">
        <f>IF(N3081&gt;0,P3081/N3081,"")</f>
        <v/>
      </c>
      <c r="W3081" s="17">
        <f>IF(O3081&gt;0,H3081/O3081,"")</f>
        <v/>
      </c>
    </row>
    <row r="3082">
      <c r="A3082" s="13" t="inlineStr">
        <is>
          <t>CW20_B1</t>
        </is>
      </c>
      <c r="B3082" s="13" t="inlineStr">
        <is>
          <t>CW20</t>
        </is>
      </c>
      <c r="C3082" s="13" t="inlineStr">
        <is>
          <t>B1</t>
        </is>
      </c>
      <c r="D3082" s="13" t="n">
        <v>0</v>
      </c>
      <c r="E3082" s="13" t="inlineStr">
        <is>
          <t>W</t>
        </is>
      </c>
      <c r="F3082" s="13" t="n">
        <v>2020</v>
      </c>
      <c r="G3082" s="14" t="n">
        <v>1001014.865590832</v>
      </c>
      <c r="H3082" s="14" t="n">
        <v>488084.4157871023</v>
      </c>
      <c r="I3082" s="14" t="n">
        <v>432547.9467491598</v>
      </c>
      <c r="J3082" s="14" t="n">
        <v>0</v>
      </c>
      <c r="K3082" s="14" t="n">
        <v>32122.86883087158</v>
      </c>
      <c r="L3082" s="14" t="n">
        <v>48259.63422369863</v>
      </c>
      <c r="M3082" s="14" t="n">
        <v>0</v>
      </c>
      <c r="N3082" s="14" t="n">
        <v>488084.4157871023</v>
      </c>
      <c r="O3082" s="14" t="n">
        <v>952755.2313671332</v>
      </c>
      <c r="P3082" s="14" t="n">
        <v>0</v>
      </c>
      <c r="Q3082" s="14" t="n">
        <v>5326359.805873138</v>
      </c>
      <c r="R3082" s="15">
        <f>IF(D3082=1,"Section 1","Control")</f>
        <v/>
      </c>
      <c r="S3082" s="16">
        <f>N3082/10000</f>
        <v/>
      </c>
      <c r="T3082" s="16">
        <f>P3082/10000</f>
        <v/>
      </c>
      <c r="U3082" s="15">
        <f>IF(N3082&gt;=Summary!$D$3,1,0)</f>
        <v/>
      </c>
      <c r="V3082" s="17">
        <f>IF(N3082&gt;0,P3082/N3082,"")</f>
        <v/>
      </c>
      <c r="W3082" s="17">
        <f>IF(O3082&gt;0,H3082/O3082,"")</f>
        <v/>
      </c>
    </row>
    <row r="3083">
      <c r="A3083" s="13" t="inlineStr">
        <is>
          <t>CW20_B1</t>
        </is>
      </c>
      <c r="B3083" s="13" t="inlineStr">
        <is>
          <t>CW20</t>
        </is>
      </c>
      <c r="C3083" s="13" t="inlineStr">
        <is>
          <t>B1</t>
        </is>
      </c>
      <c r="D3083" s="13" t="n">
        <v>0</v>
      </c>
      <c r="E3083" s="13" t="inlineStr">
        <is>
          <t>W</t>
        </is>
      </c>
      <c r="F3083" s="13" t="n">
        <v>2021</v>
      </c>
      <c r="G3083" s="14" t="n">
        <v>1001014.865590832</v>
      </c>
      <c r="H3083" s="14" t="n">
        <v>458968.1912064796</v>
      </c>
      <c r="I3083" s="14" t="n">
        <v>287319.1786818859</v>
      </c>
      <c r="J3083" s="14" t="n">
        <v>0</v>
      </c>
      <c r="K3083" s="14" t="n">
        <v>219080.8973757277</v>
      </c>
      <c r="L3083" s="14" t="n">
        <v>35646.59832673913</v>
      </c>
      <c r="M3083" s="14" t="n">
        <v>0</v>
      </c>
      <c r="N3083" s="14" t="n">
        <v>488084.4157871023</v>
      </c>
      <c r="O3083" s="14" t="n">
        <v>952755.2313671332</v>
      </c>
      <c r="P3083" s="14" t="n">
        <v>87077.70012871237</v>
      </c>
      <c r="Q3083" s="14" t="n">
        <v>5326359.805873138</v>
      </c>
      <c r="R3083" s="15">
        <f>IF(D3083=1,"Section 1","Control")</f>
        <v/>
      </c>
      <c r="S3083" s="16">
        <f>N3083/10000</f>
        <v/>
      </c>
      <c r="T3083" s="16">
        <f>P3083/10000</f>
        <v/>
      </c>
      <c r="U3083" s="15">
        <f>IF(N3083&gt;=Summary!$D$3,1,0)</f>
        <v/>
      </c>
      <c r="V3083" s="17">
        <f>IF(N3083&gt;0,P3083/N3083,"")</f>
        <v/>
      </c>
      <c r="W3083" s="17">
        <f>IF(O3083&gt;0,H3083/O3083,"")</f>
        <v/>
      </c>
    </row>
    <row r="3084">
      <c r="A3084" s="13" t="inlineStr">
        <is>
          <t>CW20_B1</t>
        </is>
      </c>
      <c r="B3084" s="13" t="inlineStr">
        <is>
          <t>CW20</t>
        </is>
      </c>
      <c r="C3084" s="13" t="inlineStr">
        <is>
          <t>B1</t>
        </is>
      </c>
      <c r="D3084" s="13" t="n">
        <v>0</v>
      </c>
      <c r="E3084" s="13" t="inlineStr">
        <is>
          <t>W</t>
        </is>
      </c>
      <c r="F3084" s="13" t="n">
        <v>2022</v>
      </c>
      <c r="G3084" s="14" t="n">
        <v>1001014.865590832</v>
      </c>
      <c r="H3084" s="14" t="n">
        <v>415262.0146245321</v>
      </c>
      <c r="I3084" s="14" t="n">
        <v>401694.6148935356</v>
      </c>
      <c r="J3084" s="14" t="n">
        <v>0</v>
      </c>
      <c r="K3084" s="14" t="n">
        <v>160359.1389019237</v>
      </c>
      <c r="L3084" s="14" t="n">
        <v>23699.09717084099</v>
      </c>
      <c r="M3084" s="14" t="n">
        <v>0</v>
      </c>
      <c r="N3084" s="14" t="n">
        <v>488084.4157871023</v>
      </c>
      <c r="O3084" s="14" t="n">
        <v>952755.2313671332</v>
      </c>
      <c r="P3084" s="14" t="n">
        <v>120034.9235551423</v>
      </c>
      <c r="Q3084" s="14" t="n">
        <v>5326359.805873138</v>
      </c>
      <c r="R3084" s="15">
        <f>IF(D3084=1,"Section 1","Control")</f>
        <v/>
      </c>
      <c r="S3084" s="16">
        <f>N3084/10000</f>
        <v/>
      </c>
      <c r="T3084" s="16">
        <f>P3084/10000</f>
        <v/>
      </c>
      <c r="U3084" s="15">
        <f>IF(N3084&gt;=Summary!$D$3,1,0)</f>
        <v/>
      </c>
      <c r="V3084" s="17">
        <f>IF(N3084&gt;0,P3084/N3084,"")</f>
        <v/>
      </c>
      <c r="W3084" s="17">
        <f>IF(O3084&gt;0,H3084/O3084,"")</f>
        <v/>
      </c>
    </row>
    <row r="3085">
      <c r="A3085" s="13" t="inlineStr">
        <is>
          <t>CW20_B1</t>
        </is>
      </c>
      <c r="B3085" s="13" t="inlineStr">
        <is>
          <t>CW20</t>
        </is>
      </c>
      <c r="C3085" s="13" t="inlineStr">
        <is>
          <t>B1</t>
        </is>
      </c>
      <c r="D3085" s="13" t="n">
        <v>0</v>
      </c>
      <c r="E3085" s="13" t="inlineStr">
        <is>
          <t>W</t>
        </is>
      </c>
      <c r="F3085" s="13" t="n">
        <v>2023</v>
      </c>
      <c r="G3085" s="14" t="n">
        <v>1001014.865590832</v>
      </c>
      <c r="H3085" s="14" t="n">
        <v>525207.9184968837</v>
      </c>
      <c r="I3085" s="14" t="n">
        <v>289447.0177422318</v>
      </c>
      <c r="J3085" s="14" t="n">
        <v>0</v>
      </c>
      <c r="K3085" s="14" t="n">
        <v>133131.0406393911</v>
      </c>
      <c r="L3085" s="14" t="n">
        <v>53228.88871232573</v>
      </c>
      <c r="M3085" s="14" t="n">
        <v>0</v>
      </c>
      <c r="N3085" s="14" t="n">
        <v>488084.4157871023</v>
      </c>
      <c r="O3085" s="14" t="n">
        <v>952755.2313671332</v>
      </c>
      <c r="P3085" s="14" t="n">
        <v>69211.11386243036</v>
      </c>
      <c r="Q3085" s="14" t="n">
        <v>5326359.805873138</v>
      </c>
      <c r="R3085" s="15">
        <f>IF(D3085=1,"Section 1","Control")</f>
        <v/>
      </c>
      <c r="S3085" s="16">
        <f>N3085/10000</f>
        <v/>
      </c>
      <c r="T3085" s="16">
        <f>P3085/10000</f>
        <v/>
      </c>
      <c r="U3085" s="15">
        <f>IF(N3085&gt;=Summary!$D$3,1,0)</f>
        <v/>
      </c>
      <c r="V3085" s="17">
        <f>IF(N3085&gt;0,P3085/N3085,"")</f>
        <v/>
      </c>
      <c r="W3085" s="17">
        <f>IF(O3085&gt;0,H3085/O3085,"")</f>
        <v/>
      </c>
    </row>
    <row r="3086">
      <c r="A3086" s="13" t="inlineStr">
        <is>
          <t>CW20_B1</t>
        </is>
      </c>
      <c r="B3086" s="13" t="inlineStr">
        <is>
          <t>CW20</t>
        </is>
      </c>
      <c r="C3086" s="13" t="inlineStr">
        <is>
          <t>B1</t>
        </is>
      </c>
      <c r="D3086" s="13" t="n">
        <v>0</v>
      </c>
      <c r="E3086" s="13" t="inlineStr">
        <is>
          <t>W</t>
        </is>
      </c>
      <c r="F3086" s="13" t="n">
        <v>2024</v>
      </c>
      <c r="G3086" s="14" t="n">
        <v>1001014.865590832</v>
      </c>
      <c r="H3086" s="14" t="n">
        <v>561196.4225927914</v>
      </c>
      <c r="I3086" s="14" t="n">
        <v>261488.7444440954</v>
      </c>
      <c r="J3086" s="14" t="n">
        <v>0</v>
      </c>
      <c r="K3086" s="14" t="n">
        <v>129146.6761394725</v>
      </c>
      <c r="L3086" s="14" t="n">
        <v>49183.02241447299</v>
      </c>
      <c r="M3086" s="14" t="n">
        <v>0</v>
      </c>
      <c r="N3086" s="14" t="n">
        <v>488084.4157871023</v>
      </c>
      <c r="O3086" s="14" t="n">
        <v>952755.2313671332</v>
      </c>
      <c r="P3086" s="14" t="n">
        <v>69782.95819965437</v>
      </c>
      <c r="Q3086" s="14" t="n">
        <v>5326359.805873138</v>
      </c>
      <c r="R3086" s="15">
        <f>IF(D3086=1,"Section 1","Control")</f>
        <v/>
      </c>
      <c r="S3086" s="16">
        <f>N3086/10000</f>
        <v/>
      </c>
      <c r="T3086" s="16">
        <f>P3086/10000</f>
        <v/>
      </c>
      <c r="U3086" s="15">
        <f>IF(N3086&gt;=Summary!$D$3,1,0)</f>
        <v/>
      </c>
      <c r="V3086" s="17">
        <f>IF(N3086&gt;0,P3086/N3086,"")</f>
        <v/>
      </c>
      <c r="W3086" s="17">
        <f>IF(O3086&gt;0,H3086/O3086,"")</f>
        <v/>
      </c>
    </row>
    <row r="3087">
      <c r="A3087" s="13" t="inlineStr">
        <is>
          <t>CW20_B1</t>
        </is>
      </c>
      <c r="B3087" s="13" t="inlineStr">
        <is>
          <t>CW20</t>
        </is>
      </c>
      <c r="C3087" s="13" t="inlineStr">
        <is>
          <t>B1</t>
        </is>
      </c>
      <c r="D3087" s="13" t="n">
        <v>0</v>
      </c>
      <c r="E3087" s="13" t="inlineStr">
        <is>
          <t>W</t>
        </is>
      </c>
      <c r="F3087" s="13" t="n">
        <v>2025</v>
      </c>
      <c r="G3087" s="14" t="n">
        <v>1001014.865590832</v>
      </c>
      <c r="H3087" s="14" t="n">
        <v>452727.036825382</v>
      </c>
      <c r="I3087" s="14" t="n">
        <v>391297.2163898842</v>
      </c>
      <c r="J3087" s="14" t="n">
        <v>0</v>
      </c>
      <c r="K3087" s="14" t="n">
        <v>122602.2991953233</v>
      </c>
      <c r="L3087" s="14" t="n">
        <v>34388.31318024279</v>
      </c>
      <c r="M3087" s="14" t="n">
        <v>0</v>
      </c>
      <c r="N3087" s="14" t="n">
        <v>488084.4157871023</v>
      </c>
      <c r="O3087" s="14" t="n">
        <v>952755.2313671332</v>
      </c>
      <c r="P3087" s="14" t="n">
        <v>112327.2374298993</v>
      </c>
      <c r="Q3087" s="14" t="n">
        <v>5326359.805873138</v>
      </c>
      <c r="R3087" s="15">
        <f>IF(D3087=1,"Section 1","Control")</f>
        <v/>
      </c>
      <c r="S3087" s="16">
        <f>N3087/10000</f>
        <v/>
      </c>
      <c r="T3087" s="16">
        <f>P3087/10000</f>
        <v/>
      </c>
      <c r="U3087" s="15">
        <f>IF(N3087&gt;=Summary!$D$3,1,0)</f>
        <v/>
      </c>
      <c r="V3087" s="17">
        <f>IF(N3087&gt;0,P3087/N3087,"")</f>
        <v/>
      </c>
      <c r="W3087" s="17">
        <f>IF(O3087&gt;0,H3087/O3087,"")</f>
        <v/>
      </c>
    </row>
    <row r="3088">
      <c r="A3088" s="13" t="inlineStr">
        <is>
          <t>CW20_B1</t>
        </is>
      </c>
      <c r="B3088" s="13" t="inlineStr">
        <is>
          <t>CW20</t>
        </is>
      </c>
      <c r="C3088" s="13" t="inlineStr">
        <is>
          <t>B1</t>
        </is>
      </c>
      <c r="D3088" s="13" t="n">
        <v>0</v>
      </c>
      <c r="E3088" s="13" t="inlineStr">
        <is>
          <t>W</t>
        </is>
      </c>
      <c r="F3088" s="13" t="n">
        <v>2026</v>
      </c>
      <c r="G3088" s="14" t="n">
        <v>1001014.865590832</v>
      </c>
      <c r="H3088" s="14" t="n">
        <v>627379.5185227338</v>
      </c>
      <c r="I3088" s="14" t="n">
        <v>181786.8681532916</v>
      </c>
      <c r="J3088" s="14" t="n">
        <v>0</v>
      </c>
      <c r="K3088" s="14" t="n">
        <v>132188.7875978358</v>
      </c>
      <c r="L3088" s="14" t="n">
        <v>59659.69131697112</v>
      </c>
      <c r="M3088" s="14" t="n">
        <v>0</v>
      </c>
      <c r="N3088" s="14" t="n">
        <v>488084.4157871023</v>
      </c>
      <c r="O3088" s="14" t="n">
        <v>952755.2313671332</v>
      </c>
      <c r="P3088" s="14" t="n">
        <v>67291.90545127718</v>
      </c>
      <c r="Q3088" s="14" t="n">
        <v>5326359.805873138</v>
      </c>
      <c r="R3088" s="15">
        <f>IF(D3088=1,"Section 1","Control")</f>
        <v/>
      </c>
      <c r="S3088" s="16">
        <f>N3088/10000</f>
        <v/>
      </c>
      <c r="T3088" s="16">
        <f>P3088/10000</f>
        <v/>
      </c>
      <c r="U3088" s="15">
        <f>IF(N3088&gt;=Summary!$D$3,1,0)</f>
        <v/>
      </c>
      <c r="V3088" s="17">
        <f>IF(N3088&gt;0,P3088/N3088,"")</f>
        <v/>
      </c>
      <c r="W3088" s="17">
        <f>IF(O3088&gt;0,H3088/O3088,"")</f>
        <v/>
      </c>
    </row>
    <row r="3089">
      <c r="A3089" s="13" t="inlineStr">
        <is>
          <t>CW20_B2</t>
        </is>
      </c>
      <c r="B3089" s="13" t="inlineStr">
        <is>
          <t>CW20</t>
        </is>
      </c>
      <c r="C3089" s="13" t="inlineStr">
        <is>
          <t>B2</t>
        </is>
      </c>
      <c r="D3089" s="13" t="n">
        <v>0</v>
      </c>
      <c r="E3089" s="13" t="inlineStr">
        <is>
          <t>W</t>
        </is>
      </c>
      <c r="F3089" s="13" t="n">
        <v>2020</v>
      </c>
      <c r="G3089" s="14" t="n">
        <v>1001223.92866187</v>
      </c>
      <c r="H3089" s="14" t="n">
        <v>186363.5198499193</v>
      </c>
      <c r="I3089" s="14" t="n">
        <v>147901.4270346549</v>
      </c>
      <c r="J3089" s="14" t="n">
        <v>0</v>
      </c>
      <c r="K3089" s="14" t="n">
        <v>25031.00479407217</v>
      </c>
      <c r="L3089" s="14" t="n">
        <v>641927.9769832237</v>
      </c>
      <c r="M3089" s="14" t="n">
        <v>0</v>
      </c>
      <c r="N3089" s="14" t="n">
        <v>186363.5198499193</v>
      </c>
      <c r="O3089" s="14" t="n">
        <v>359295.9516786462</v>
      </c>
      <c r="P3089" s="14" t="n">
        <v>0</v>
      </c>
      <c r="Q3089" s="14" t="n">
        <v>3283900.181360281</v>
      </c>
      <c r="R3089" s="15">
        <f>IF(D3089=1,"Section 1","Control")</f>
        <v/>
      </c>
      <c r="S3089" s="16">
        <f>N3089/10000</f>
        <v/>
      </c>
      <c r="T3089" s="16">
        <f>P3089/10000</f>
        <v/>
      </c>
      <c r="U3089" s="15">
        <f>IF(N3089&gt;=Summary!$D$3,1,0)</f>
        <v/>
      </c>
      <c r="V3089" s="17">
        <f>IF(N3089&gt;0,P3089/N3089,"")</f>
        <v/>
      </c>
      <c r="W3089" s="17">
        <f>IF(O3089&gt;0,H3089/O3089,"")</f>
        <v/>
      </c>
    </row>
    <row r="3090">
      <c r="A3090" s="13" t="inlineStr">
        <is>
          <t>CW20_B2</t>
        </is>
      </c>
      <c r="B3090" s="13" t="inlineStr">
        <is>
          <t>CW20</t>
        </is>
      </c>
      <c r="C3090" s="13" t="inlineStr">
        <is>
          <t>B2</t>
        </is>
      </c>
      <c r="D3090" s="13" t="n">
        <v>0</v>
      </c>
      <c r="E3090" s="13" t="inlineStr">
        <is>
          <t>W</t>
        </is>
      </c>
      <c r="F3090" s="13" t="n">
        <v>2021</v>
      </c>
      <c r="G3090" s="14" t="n">
        <v>1001223.92866187</v>
      </c>
      <c r="H3090" s="14" t="n">
        <v>187215.6917895747</v>
      </c>
      <c r="I3090" s="14" t="n">
        <v>177840.0374010274</v>
      </c>
      <c r="J3090" s="14" t="n">
        <v>0</v>
      </c>
      <c r="K3090" s="14" t="n">
        <v>117773.7329563814</v>
      </c>
      <c r="L3090" s="14" t="n">
        <v>518394.4665148865</v>
      </c>
      <c r="M3090" s="14" t="n">
        <v>0</v>
      </c>
      <c r="N3090" s="14" t="n">
        <v>186363.5198499193</v>
      </c>
      <c r="O3090" s="14" t="n">
        <v>359295.9516786461</v>
      </c>
      <c r="P3090" s="14" t="n">
        <v>7276.868930771771</v>
      </c>
      <c r="Q3090" s="14" t="n">
        <v>3283900.181360281</v>
      </c>
      <c r="R3090" s="15">
        <f>IF(D3090=1,"Section 1","Control")</f>
        <v/>
      </c>
      <c r="S3090" s="16">
        <f>N3090/10000</f>
        <v/>
      </c>
      <c r="T3090" s="16">
        <f>P3090/10000</f>
        <v/>
      </c>
      <c r="U3090" s="15">
        <f>IF(N3090&gt;=Summary!$D$3,1,0)</f>
        <v/>
      </c>
      <c r="V3090" s="17">
        <f>IF(N3090&gt;0,P3090/N3090,"")</f>
        <v/>
      </c>
      <c r="W3090" s="17">
        <f>IF(O3090&gt;0,H3090/O3090,"")</f>
        <v/>
      </c>
    </row>
    <row r="3091">
      <c r="A3091" s="13" t="inlineStr">
        <is>
          <t>CW20_B2</t>
        </is>
      </c>
      <c r="B3091" s="13" t="inlineStr">
        <is>
          <t>CW20</t>
        </is>
      </c>
      <c r="C3091" s="13" t="inlineStr">
        <is>
          <t>B2</t>
        </is>
      </c>
      <c r="D3091" s="13" t="n">
        <v>0</v>
      </c>
      <c r="E3091" s="13" t="inlineStr">
        <is>
          <t>W</t>
        </is>
      </c>
      <c r="F3091" s="13" t="n">
        <v>2022</v>
      </c>
      <c r="G3091" s="14" t="n">
        <v>1001223.92866187</v>
      </c>
      <c r="H3091" s="14" t="n">
        <v>173745.9890951119</v>
      </c>
      <c r="I3091" s="14" t="n">
        <v>193347.3749317843</v>
      </c>
      <c r="J3091" s="14" t="n">
        <v>0</v>
      </c>
      <c r="K3091" s="14" t="n">
        <v>70077.99591815425</v>
      </c>
      <c r="L3091" s="14" t="n">
        <v>564052.5687168196</v>
      </c>
      <c r="M3091" s="14" t="n">
        <v>0</v>
      </c>
      <c r="N3091" s="14" t="n">
        <v>186363.5198499193</v>
      </c>
      <c r="O3091" s="14" t="n">
        <v>359295.9516786462</v>
      </c>
      <c r="P3091" s="14" t="n">
        <v>15524.01652796128</v>
      </c>
      <c r="Q3091" s="14" t="n">
        <v>3283900.181360281</v>
      </c>
      <c r="R3091" s="15">
        <f>IF(D3091=1,"Section 1","Control")</f>
        <v/>
      </c>
      <c r="S3091" s="16">
        <f>N3091/10000</f>
        <v/>
      </c>
      <c r="T3091" s="16">
        <f>P3091/10000</f>
        <v/>
      </c>
      <c r="U3091" s="15">
        <f>IF(N3091&gt;=Summary!$D$3,1,0)</f>
        <v/>
      </c>
      <c r="V3091" s="17">
        <f>IF(N3091&gt;0,P3091/N3091,"")</f>
        <v/>
      </c>
      <c r="W3091" s="17">
        <f>IF(O3091&gt;0,H3091/O3091,"")</f>
        <v/>
      </c>
    </row>
    <row r="3092">
      <c r="A3092" s="13" t="inlineStr">
        <is>
          <t>CW20_B2</t>
        </is>
      </c>
      <c r="B3092" s="13" t="inlineStr">
        <is>
          <t>CW20</t>
        </is>
      </c>
      <c r="C3092" s="13" t="inlineStr">
        <is>
          <t>B2</t>
        </is>
      </c>
      <c r="D3092" s="13" t="n">
        <v>0</v>
      </c>
      <c r="E3092" s="13" t="inlineStr">
        <is>
          <t>W</t>
        </is>
      </c>
      <c r="F3092" s="13" t="n">
        <v>2023</v>
      </c>
      <c r="G3092" s="14" t="n">
        <v>1001223.92866187</v>
      </c>
      <c r="H3092" s="14" t="n">
        <v>174318.6109804939</v>
      </c>
      <c r="I3092" s="14" t="n">
        <v>154267.7098224715</v>
      </c>
      <c r="J3092" s="14" t="n">
        <v>0</v>
      </c>
      <c r="K3092" s="14" t="n">
        <v>27213.83074254054</v>
      </c>
      <c r="L3092" s="14" t="n">
        <v>645423.7771163641</v>
      </c>
      <c r="M3092" s="14" t="n">
        <v>0</v>
      </c>
      <c r="N3092" s="14" t="n">
        <v>186363.5198499193</v>
      </c>
      <c r="O3092" s="14" t="n">
        <v>359295.9516786462</v>
      </c>
      <c r="P3092" s="14" t="n">
        <v>20409.74549784941</v>
      </c>
      <c r="Q3092" s="14" t="n">
        <v>3283900.181360281</v>
      </c>
      <c r="R3092" s="15">
        <f>IF(D3092=1,"Section 1","Control")</f>
        <v/>
      </c>
      <c r="S3092" s="16">
        <f>N3092/10000</f>
        <v/>
      </c>
      <c r="T3092" s="16">
        <f>P3092/10000</f>
        <v/>
      </c>
      <c r="U3092" s="15">
        <f>IF(N3092&gt;=Summary!$D$3,1,0)</f>
        <v/>
      </c>
      <c r="V3092" s="17">
        <f>IF(N3092&gt;0,P3092/N3092,"")</f>
        <v/>
      </c>
      <c r="W3092" s="17">
        <f>IF(O3092&gt;0,H3092/O3092,"")</f>
        <v/>
      </c>
    </row>
    <row r="3093">
      <c r="A3093" s="13" t="inlineStr">
        <is>
          <t>CW20_B2</t>
        </is>
      </c>
      <c r="B3093" s="13" t="inlineStr">
        <is>
          <t>CW20</t>
        </is>
      </c>
      <c r="C3093" s="13" t="inlineStr">
        <is>
          <t>B2</t>
        </is>
      </c>
      <c r="D3093" s="13" t="n">
        <v>0</v>
      </c>
      <c r="E3093" s="13" t="inlineStr">
        <is>
          <t>W</t>
        </is>
      </c>
      <c r="F3093" s="13" t="n">
        <v>2024</v>
      </c>
      <c r="G3093" s="14" t="n">
        <v>1001223.92866187</v>
      </c>
      <c r="H3093" s="14" t="n">
        <v>204042.9234264298</v>
      </c>
      <c r="I3093" s="14" t="n">
        <v>146723.3918429506</v>
      </c>
      <c r="J3093" s="14" t="n">
        <v>0</v>
      </c>
      <c r="K3093" s="14" t="n">
        <v>33128.4811243693</v>
      </c>
      <c r="L3093" s="14" t="n">
        <v>617329.1322681203</v>
      </c>
      <c r="M3093" s="14" t="n">
        <v>0</v>
      </c>
      <c r="N3093" s="14" t="n">
        <v>186363.5198499193</v>
      </c>
      <c r="O3093" s="14" t="n">
        <v>359295.9516786462</v>
      </c>
      <c r="P3093" s="14" t="n">
        <v>13526.59933007932</v>
      </c>
      <c r="Q3093" s="14" t="n">
        <v>3283900.181360281</v>
      </c>
      <c r="R3093" s="15">
        <f>IF(D3093=1,"Section 1","Control")</f>
        <v/>
      </c>
      <c r="S3093" s="16">
        <f>N3093/10000</f>
        <v/>
      </c>
      <c r="T3093" s="16">
        <f>P3093/10000</f>
        <v/>
      </c>
      <c r="U3093" s="15">
        <f>IF(N3093&gt;=Summary!$D$3,1,0)</f>
        <v/>
      </c>
      <c r="V3093" s="17">
        <f>IF(N3093&gt;0,P3093/N3093,"")</f>
        <v/>
      </c>
      <c r="W3093" s="17">
        <f>IF(O3093&gt;0,H3093/O3093,"")</f>
        <v/>
      </c>
    </row>
    <row r="3094">
      <c r="A3094" s="13" t="inlineStr">
        <is>
          <t>CW20_B2</t>
        </is>
      </c>
      <c r="B3094" s="13" t="inlineStr">
        <is>
          <t>CW20</t>
        </is>
      </c>
      <c r="C3094" s="13" t="inlineStr">
        <is>
          <t>B2</t>
        </is>
      </c>
      <c r="D3094" s="13" t="n">
        <v>0</v>
      </c>
      <c r="E3094" s="13" t="inlineStr">
        <is>
          <t>W</t>
        </is>
      </c>
      <c r="F3094" s="13" t="n">
        <v>2025</v>
      </c>
      <c r="G3094" s="14" t="n">
        <v>1001223.92866187</v>
      </c>
      <c r="H3094" s="14" t="n">
        <v>180737.5173788632</v>
      </c>
      <c r="I3094" s="14" t="n">
        <v>181635.842423742</v>
      </c>
      <c r="J3094" s="14" t="n">
        <v>0</v>
      </c>
      <c r="K3094" s="14" t="n">
        <v>31862.42457547655</v>
      </c>
      <c r="L3094" s="14" t="n">
        <v>606988.1442837883</v>
      </c>
      <c r="M3094" s="14" t="n">
        <v>0</v>
      </c>
      <c r="N3094" s="14" t="n">
        <v>186363.5198499193</v>
      </c>
      <c r="O3094" s="14" t="n">
        <v>359295.9516786462</v>
      </c>
      <c r="P3094" s="14" t="n">
        <v>15865.13500031116</v>
      </c>
      <c r="Q3094" s="14" t="n">
        <v>3283900.181360281</v>
      </c>
      <c r="R3094" s="15">
        <f>IF(D3094=1,"Section 1","Control")</f>
        <v/>
      </c>
      <c r="S3094" s="16">
        <f>N3094/10000</f>
        <v/>
      </c>
      <c r="T3094" s="16">
        <f>P3094/10000</f>
        <v/>
      </c>
      <c r="U3094" s="15">
        <f>IF(N3094&gt;=Summary!$D$3,1,0)</f>
        <v/>
      </c>
      <c r="V3094" s="17">
        <f>IF(N3094&gt;0,P3094/N3094,"")</f>
        <v/>
      </c>
      <c r="W3094" s="17">
        <f>IF(O3094&gt;0,H3094/O3094,"")</f>
        <v/>
      </c>
    </row>
    <row r="3095">
      <c r="A3095" s="13" t="inlineStr">
        <is>
          <t>CW20_B2</t>
        </is>
      </c>
      <c r="B3095" s="13" t="inlineStr">
        <is>
          <t>CW20</t>
        </is>
      </c>
      <c r="C3095" s="13" t="inlineStr">
        <is>
          <t>B2</t>
        </is>
      </c>
      <c r="D3095" s="13" t="n">
        <v>0</v>
      </c>
      <c r="E3095" s="13" t="inlineStr">
        <is>
          <t>W</t>
        </is>
      </c>
      <c r="F3095" s="13" t="n">
        <v>2026</v>
      </c>
      <c r="G3095" s="14" t="n">
        <v>1001223.92866187</v>
      </c>
      <c r="H3095" s="14" t="n">
        <v>211349.2455940097</v>
      </c>
      <c r="I3095" s="14" t="n">
        <v>121841.7257791557</v>
      </c>
      <c r="J3095" s="14" t="n">
        <v>0</v>
      </c>
      <c r="K3095" s="14" t="n">
        <v>23242.64706660252</v>
      </c>
      <c r="L3095" s="14" t="n">
        <v>644790.3102221021</v>
      </c>
      <c r="M3095" s="14" t="n">
        <v>0</v>
      </c>
      <c r="N3095" s="14" t="n">
        <v>186363.5198499193</v>
      </c>
      <c r="O3095" s="14" t="n">
        <v>359295.9516786462</v>
      </c>
      <c r="P3095" s="14" t="n">
        <v>10063.7268775192</v>
      </c>
      <c r="Q3095" s="14" t="n">
        <v>3283900.181360281</v>
      </c>
      <c r="R3095" s="15">
        <f>IF(D3095=1,"Section 1","Control")</f>
        <v/>
      </c>
      <c r="S3095" s="16">
        <f>N3095/10000</f>
        <v/>
      </c>
      <c r="T3095" s="16">
        <f>P3095/10000</f>
        <v/>
      </c>
      <c r="U3095" s="15">
        <f>IF(N3095&gt;=Summary!$D$3,1,0)</f>
        <v/>
      </c>
      <c r="V3095" s="17">
        <f>IF(N3095&gt;0,P3095/N3095,"")</f>
        <v/>
      </c>
      <c r="W3095" s="17">
        <f>IF(O3095&gt;0,H3095/O3095,"")</f>
        <v/>
      </c>
    </row>
    <row r="3096">
      <c r="A3096" s="13" t="inlineStr">
        <is>
          <t>CW20_B3</t>
        </is>
      </c>
      <c r="B3096" s="13" t="inlineStr">
        <is>
          <t>CW20</t>
        </is>
      </c>
      <c r="C3096" s="13" t="inlineStr">
        <is>
          <t>B3</t>
        </is>
      </c>
      <c r="D3096" s="13" t="n">
        <v>0</v>
      </c>
      <c r="E3096" s="13" t="inlineStr">
        <is>
          <t>W</t>
        </is>
      </c>
      <c r="F3096" s="13" t="n">
        <v>2020</v>
      </c>
      <c r="G3096" s="14" t="n">
        <v>8008435.727891629</v>
      </c>
      <c r="H3096" s="14" t="n">
        <v>1495479.162590356</v>
      </c>
      <c r="I3096" s="14" t="n">
        <v>298991.422818083</v>
      </c>
      <c r="J3096" s="14" t="n">
        <v>0</v>
      </c>
      <c r="K3096" s="14" t="n">
        <v>2188774.065160893</v>
      </c>
      <c r="L3096" s="14" t="n">
        <v>4025191.077322298</v>
      </c>
      <c r="M3096" s="14" t="n">
        <v>0</v>
      </c>
      <c r="N3096" s="14" t="n">
        <v>1495479.162590356</v>
      </c>
      <c r="O3096" s="14" t="n">
        <v>3983244.650569332</v>
      </c>
      <c r="P3096" s="14" t="n">
        <v>0</v>
      </c>
      <c r="Q3096" s="14" t="n">
        <v>23983445.35886443</v>
      </c>
      <c r="R3096" s="15">
        <f>IF(D3096=1,"Section 1","Control")</f>
        <v/>
      </c>
      <c r="S3096" s="16">
        <f>N3096/10000</f>
        <v/>
      </c>
      <c r="T3096" s="16">
        <f>P3096/10000</f>
        <v/>
      </c>
      <c r="U3096" s="15">
        <f>IF(N3096&gt;=Summary!$D$3,1,0)</f>
        <v/>
      </c>
      <c r="V3096" s="17">
        <f>IF(N3096&gt;0,P3096/N3096,"")</f>
        <v/>
      </c>
      <c r="W3096" s="17">
        <f>IF(O3096&gt;0,H3096/O3096,"")</f>
        <v/>
      </c>
    </row>
    <row r="3097">
      <c r="A3097" s="13" t="inlineStr">
        <is>
          <t>CW20_B3</t>
        </is>
      </c>
      <c r="B3097" s="13" t="inlineStr">
        <is>
          <t>CW20</t>
        </is>
      </c>
      <c r="C3097" s="13" t="inlineStr">
        <is>
          <t>B3</t>
        </is>
      </c>
      <c r="D3097" s="13" t="n">
        <v>0</v>
      </c>
      <c r="E3097" s="13" t="inlineStr">
        <is>
          <t>W</t>
        </is>
      </c>
      <c r="F3097" s="13" t="n">
        <v>2021</v>
      </c>
      <c r="G3097" s="14" t="n">
        <v>8008435.72789163</v>
      </c>
      <c r="H3097" s="14" t="n">
        <v>1258482.530413549</v>
      </c>
      <c r="I3097" s="14" t="n">
        <v>118202.4558384914</v>
      </c>
      <c r="J3097" s="14" t="n">
        <v>0</v>
      </c>
      <c r="K3097" s="14" t="n">
        <v>2626413.636096371</v>
      </c>
      <c r="L3097" s="14" t="n">
        <v>4005337.105543219</v>
      </c>
      <c r="M3097" s="14" t="n">
        <v>0</v>
      </c>
      <c r="N3097" s="14" t="n">
        <v>1495479.162590356</v>
      </c>
      <c r="O3097" s="14" t="n">
        <v>3983244.650569332</v>
      </c>
      <c r="P3097" s="14" t="n">
        <v>260307.8784549788</v>
      </c>
      <c r="Q3097" s="14" t="n">
        <v>23983445.35886443</v>
      </c>
      <c r="R3097" s="15">
        <f>IF(D3097=1,"Section 1","Control")</f>
        <v/>
      </c>
      <c r="S3097" s="16">
        <f>N3097/10000</f>
        <v/>
      </c>
      <c r="T3097" s="16">
        <f>P3097/10000</f>
        <v/>
      </c>
      <c r="U3097" s="15">
        <f>IF(N3097&gt;=Summary!$D$3,1,0)</f>
        <v/>
      </c>
      <c r="V3097" s="17">
        <f>IF(N3097&gt;0,P3097/N3097,"")</f>
        <v/>
      </c>
      <c r="W3097" s="17">
        <f>IF(O3097&gt;0,H3097/O3097,"")</f>
        <v/>
      </c>
    </row>
    <row r="3098">
      <c r="A3098" s="13" t="inlineStr">
        <is>
          <t>CW20_B3</t>
        </is>
      </c>
      <c r="B3098" s="13" t="inlineStr">
        <is>
          <t>CW20</t>
        </is>
      </c>
      <c r="C3098" s="13" t="inlineStr">
        <is>
          <t>B3</t>
        </is>
      </c>
      <c r="D3098" s="13" t="n">
        <v>0</v>
      </c>
      <c r="E3098" s="13" t="inlineStr">
        <is>
          <t>W</t>
        </is>
      </c>
      <c r="F3098" s="13" t="n">
        <v>2022</v>
      </c>
      <c r="G3098" s="14" t="n">
        <v>8008435.72789163</v>
      </c>
      <c r="H3098" s="14" t="n">
        <v>1173738.794757439</v>
      </c>
      <c r="I3098" s="14" t="n">
        <v>157614.1426454731</v>
      </c>
      <c r="J3098" s="14" t="n">
        <v>0</v>
      </c>
      <c r="K3098" s="14" t="n">
        <v>2669187.329211515</v>
      </c>
      <c r="L3098" s="14" t="n">
        <v>4007895.461277202</v>
      </c>
      <c r="M3098" s="14" t="n">
        <v>0</v>
      </c>
      <c r="N3098" s="14" t="n">
        <v>1495479.162590356</v>
      </c>
      <c r="O3098" s="14" t="n">
        <v>3983244.650569332</v>
      </c>
      <c r="P3098" s="14" t="n">
        <v>334341.2844003116</v>
      </c>
      <c r="Q3098" s="14" t="n">
        <v>23983445.35886443</v>
      </c>
      <c r="R3098" s="15">
        <f>IF(D3098=1,"Section 1","Control")</f>
        <v/>
      </c>
      <c r="S3098" s="16">
        <f>N3098/10000</f>
        <v/>
      </c>
      <c r="T3098" s="16">
        <f>P3098/10000</f>
        <v/>
      </c>
      <c r="U3098" s="15">
        <f>IF(N3098&gt;=Summary!$D$3,1,0)</f>
        <v/>
      </c>
      <c r="V3098" s="17">
        <f>IF(N3098&gt;0,P3098/N3098,"")</f>
        <v/>
      </c>
      <c r="W3098" s="17">
        <f>IF(O3098&gt;0,H3098/O3098,"")</f>
        <v/>
      </c>
    </row>
    <row r="3099">
      <c r="A3099" s="13" t="inlineStr">
        <is>
          <t>CW20_B3</t>
        </is>
      </c>
      <c r="B3099" s="13" t="inlineStr">
        <is>
          <t>CW20</t>
        </is>
      </c>
      <c r="C3099" s="13" t="inlineStr">
        <is>
          <t>B3</t>
        </is>
      </c>
      <c r="D3099" s="13" t="n">
        <v>0</v>
      </c>
      <c r="E3099" s="13" t="inlineStr">
        <is>
          <t>W</t>
        </is>
      </c>
      <c r="F3099" s="13" t="n">
        <v>2023</v>
      </c>
      <c r="G3099" s="14" t="n">
        <v>8008435.72789163</v>
      </c>
      <c r="H3099" s="14" t="n">
        <v>1182128.419225177</v>
      </c>
      <c r="I3099" s="14" t="n">
        <v>157416.7721881343</v>
      </c>
      <c r="J3099" s="14" t="n">
        <v>0</v>
      </c>
      <c r="K3099" s="14" t="n">
        <v>2637965.226141358</v>
      </c>
      <c r="L3099" s="14" t="n">
        <v>4030925.310336961</v>
      </c>
      <c r="M3099" s="14" t="n">
        <v>0</v>
      </c>
      <c r="N3099" s="14" t="n">
        <v>1495479.162590356</v>
      </c>
      <c r="O3099" s="14" t="n">
        <v>3983244.650569332</v>
      </c>
      <c r="P3099" s="14" t="n">
        <v>337218.1089771944</v>
      </c>
      <c r="Q3099" s="14" t="n">
        <v>23983445.35886443</v>
      </c>
      <c r="R3099" s="15">
        <f>IF(D3099=1,"Section 1","Control")</f>
        <v/>
      </c>
      <c r="S3099" s="16">
        <f>N3099/10000</f>
        <v/>
      </c>
      <c r="T3099" s="16">
        <f>P3099/10000</f>
        <v/>
      </c>
      <c r="U3099" s="15">
        <f>IF(N3099&gt;=Summary!$D$3,1,0)</f>
        <v/>
      </c>
      <c r="V3099" s="17">
        <f>IF(N3099&gt;0,P3099/N3099,"")</f>
        <v/>
      </c>
      <c r="W3099" s="17">
        <f>IF(O3099&gt;0,H3099/O3099,"")</f>
        <v/>
      </c>
    </row>
    <row r="3100">
      <c r="A3100" s="13" t="inlineStr">
        <is>
          <t>CW20_B3</t>
        </is>
      </c>
      <c r="B3100" s="13" t="inlineStr">
        <is>
          <t>CW20</t>
        </is>
      </c>
      <c r="C3100" s="13" t="inlineStr">
        <is>
          <t>B3</t>
        </is>
      </c>
      <c r="D3100" s="13" t="n">
        <v>0</v>
      </c>
      <c r="E3100" s="13" t="inlineStr">
        <is>
          <t>W</t>
        </is>
      </c>
      <c r="F3100" s="13" t="n">
        <v>2024</v>
      </c>
      <c r="G3100" s="14" t="n">
        <v>8008435.72789163</v>
      </c>
      <c r="H3100" s="14" t="n">
        <v>1180428.441142752</v>
      </c>
      <c r="I3100" s="14" t="n">
        <v>243649.6264517989</v>
      </c>
      <c r="J3100" s="14" t="n">
        <v>0</v>
      </c>
      <c r="K3100" s="14" t="n">
        <v>2565874.524634806</v>
      </c>
      <c r="L3100" s="14" t="n">
        <v>4018483.135662274</v>
      </c>
      <c r="M3100" s="14" t="n">
        <v>0</v>
      </c>
      <c r="N3100" s="14" t="n">
        <v>1495479.162590356</v>
      </c>
      <c r="O3100" s="14" t="n">
        <v>3983244.650569332</v>
      </c>
      <c r="P3100" s="14" t="n">
        <v>343192.9454962637</v>
      </c>
      <c r="Q3100" s="14" t="n">
        <v>23983445.35886443</v>
      </c>
      <c r="R3100" s="15">
        <f>IF(D3100=1,"Section 1","Control")</f>
        <v/>
      </c>
      <c r="S3100" s="16">
        <f>N3100/10000</f>
        <v/>
      </c>
      <c r="T3100" s="16">
        <f>P3100/10000</f>
        <v/>
      </c>
      <c r="U3100" s="15">
        <f>IF(N3100&gt;=Summary!$D$3,1,0)</f>
        <v/>
      </c>
      <c r="V3100" s="17">
        <f>IF(N3100&gt;0,P3100/N3100,"")</f>
        <v/>
      </c>
      <c r="W3100" s="17">
        <f>IF(O3100&gt;0,H3100/O3100,"")</f>
        <v/>
      </c>
    </row>
    <row r="3101">
      <c r="A3101" s="13" t="inlineStr">
        <is>
          <t>CW20_B3</t>
        </is>
      </c>
      <c r="B3101" s="13" t="inlineStr">
        <is>
          <t>CW20</t>
        </is>
      </c>
      <c r="C3101" s="13" t="inlineStr">
        <is>
          <t>B3</t>
        </is>
      </c>
      <c r="D3101" s="13" t="n">
        <v>0</v>
      </c>
      <c r="E3101" s="13" t="inlineStr">
        <is>
          <t>W</t>
        </is>
      </c>
      <c r="F3101" s="13" t="n">
        <v>2025</v>
      </c>
      <c r="G3101" s="14" t="n">
        <v>8008435.72789163</v>
      </c>
      <c r="H3101" s="14" t="n">
        <v>1148698.754958718</v>
      </c>
      <c r="I3101" s="14" t="n">
        <v>406639.2169921277</v>
      </c>
      <c r="J3101" s="14" t="n">
        <v>0</v>
      </c>
      <c r="K3101" s="14" t="n">
        <v>2427585.724112896</v>
      </c>
      <c r="L3101" s="14" t="n">
        <v>4025512.031827889</v>
      </c>
      <c r="M3101" s="14" t="n">
        <v>0</v>
      </c>
      <c r="N3101" s="14" t="n">
        <v>1495479.162590356</v>
      </c>
      <c r="O3101" s="14" t="n">
        <v>3983244.650569332</v>
      </c>
      <c r="P3101" s="14" t="n">
        <v>372539.8916333366</v>
      </c>
      <c r="Q3101" s="14" t="n">
        <v>23983445.35886443</v>
      </c>
      <c r="R3101" s="15">
        <f>IF(D3101=1,"Section 1","Control")</f>
        <v/>
      </c>
      <c r="S3101" s="16">
        <f>N3101/10000</f>
        <v/>
      </c>
      <c r="T3101" s="16">
        <f>P3101/10000</f>
        <v/>
      </c>
      <c r="U3101" s="15">
        <f>IF(N3101&gt;=Summary!$D$3,1,0)</f>
        <v/>
      </c>
      <c r="V3101" s="17">
        <f>IF(N3101&gt;0,P3101/N3101,"")</f>
        <v/>
      </c>
      <c r="W3101" s="17">
        <f>IF(O3101&gt;0,H3101/O3101,"")</f>
        <v/>
      </c>
    </row>
    <row r="3102">
      <c r="A3102" s="13" t="inlineStr">
        <is>
          <t>CW20_B3</t>
        </is>
      </c>
      <c r="B3102" s="13" t="inlineStr">
        <is>
          <t>CW20</t>
        </is>
      </c>
      <c r="C3102" s="13" t="inlineStr">
        <is>
          <t>B3</t>
        </is>
      </c>
      <c r="D3102" s="13" t="n">
        <v>0</v>
      </c>
      <c r="E3102" s="13" t="inlineStr">
        <is>
          <t>W</t>
        </is>
      </c>
      <c r="F3102" s="13" t="n">
        <v>2026</v>
      </c>
      <c r="G3102" s="14" t="n">
        <v>8008435.72789163</v>
      </c>
      <c r="H3102" s="14" t="n">
        <v>1222937.547017505</v>
      </c>
      <c r="I3102" s="14" t="n">
        <v>163087.0911530439</v>
      </c>
      <c r="J3102" s="14" t="n">
        <v>0</v>
      </c>
      <c r="K3102" s="14" t="n">
        <v>2589091.190348098</v>
      </c>
      <c r="L3102" s="14" t="n">
        <v>4033319.899372984</v>
      </c>
      <c r="M3102" s="14" t="n">
        <v>0</v>
      </c>
      <c r="N3102" s="14" t="n">
        <v>1495479.162590356</v>
      </c>
      <c r="O3102" s="14" t="n">
        <v>3983244.650569332</v>
      </c>
      <c r="P3102" s="14" t="n">
        <v>350867.5031068989</v>
      </c>
      <c r="Q3102" s="14" t="n">
        <v>23983445.35886443</v>
      </c>
      <c r="R3102" s="15">
        <f>IF(D3102=1,"Section 1","Control")</f>
        <v/>
      </c>
      <c r="S3102" s="16">
        <f>N3102/10000</f>
        <v/>
      </c>
      <c r="T3102" s="16">
        <f>P3102/10000</f>
        <v/>
      </c>
      <c r="U3102" s="15">
        <f>IF(N3102&gt;=Summary!$D$3,1,0)</f>
        <v/>
      </c>
      <c r="V3102" s="17">
        <f>IF(N3102&gt;0,P3102/N3102,"")</f>
        <v/>
      </c>
      <c r="W3102" s="17">
        <f>IF(O3102&gt;0,H3102/O3102,"")</f>
        <v/>
      </c>
    </row>
    <row r="3103">
      <c r="A3103" s="13" t="inlineStr">
        <is>
          <t>CW20_F</t>
        </is>
      </c>
      <c r="B3103" s="13" t="inlineStr">
        <is>
          <t>CW20</t>
        </is>
      </c>
      <c r="C3103" s="13" t="inlineStr">
        <is>
          <t>F</t>
        </is>
      </c>
      <c r="D3103" s="13" t="n">
        <v>0</v>
      </c>
      <c r="E3103" s="13" t="inlineStr">
        <is>
          <t>W</t>
        </is>
      </c>
      <c r="F3103" s="13" t="n">
        <v>2020</v>
      </c>
      <c r="G3103" s="14" t="n">
        <v>69547.66421852859</v>
      </c>
      <c r="H3103" s="14" t="n">
        <v>43948.16146703983</v>
      </c>
      <c r="I3103" s="14" t="n">
        <v>24190.98805117139</v>
      </c>
      <c r="J3103" s="14" t="n">
        <v>0</v>
      </c>
      <c r="K3103" s="14" t="n">
        <v>1408.514700317383</v>
      </c>
      <c r="L3103" s="14" t="n">
        <v>0</v>
      </c>
      <c r="M3103" s="14" t="n">
        <v>0</v>
      </c>
      <c r="N3103" s="14" t="n">
        <v>43948.16146703983</v>
      </c>
      <c r="O3103" s="14" t="n">
        <v>69547.66421852859</v>
      </c>
      <c r="P3103" s="14" t="n">
        <v>0</v>
      </c>
      <c r="Q3103" s="14" t="n">
        <v>330110.1851408116</v>
      </c>
      <c r="R3103" s="15">
        <f>IF(D3103=1,"Section 1","Control")</f>
        <v/>
      </c>
      <c r="S3103" s="16">
        <f>N3103/10000</f>
        <v/>
      </c>
      <c r="T3103" s="16">
        <f>P3103/10000</f>
        <v/>
      </c>
      <c r="U3103" s="15">
        <f>IF(N3103&gt;=Summary!$D$3,1,0)</f>
        <v/>
      </c>
      <c r="V3103" s="17">
        <f>IF(N3103&gt;0,P3103/N3103,"")</f>
        <v/>
      </c>
      <c r="W3103" s="17">
        <f>IF(O3103&gt;0,H3103/O3103,"")</f>
        <v/>
      </c>
    </row>
    <row r="3104">
      <c r="A3104" s="13" t="inlineStr">
        <is>
          <t>CW20_F</t>
        </is>
      </c>
      <c r="B3104" s="13" t="inlineStr">
        <is>
          <t>CW20</t>
        </is>
      </c>
      <c r="C3104" s="13" t="inlineStr">
        <is>
          <t>F</t>
        </is>
      </c>
      <c r="D3104" s="13" t="n">
        <v>0</v>
      </c>
      <c r="E3104" s="13" t="inlineStr">
        <is>
          <t>W</t>
        </is>
      </c>
      <c r="F3104" s="13" t="n">
        <v>2021</v>
      </c>
      <c r="G3104" s="14" t="n">
        <v>69547.66421852859</v>
      </c>
      <c r="H3104" s="14" t="n">
        <v>39442.30752674177</v>
      </c>
      <c r="I3104" s="14" t="n">
        <v>11205.78285746854</v>
      </c>
      <c r="J3104" s="14" t="n">
        <v>0</v>
      </c>
      <c r="K3104" s="14" t="n">
        <v>18899.57383431827</v>
      </c>
      <c r="L3104" s="14" t="n">
        <v>0</v>
      </c>
      <c r="M3104" s="14" t="n">
        <v>0</v>
      </c>
      <c r="N3104" s="14" t="n">
        <v>43948.16146703983</v>
      </c>
      <c r="O3104" s="14" t="n">
        <v>69547.66421852859</v>
      </c>
      <c r="P3104" s="14" t="n">
        <v>6390.198081192315</v>
      </c>
      <c r="Q3104" s="14" t="n">
        <v>330110.1851408116</v>
      </c>
      <c r="R3104" s="15">
        <f>IF(D3104=1,"Section 1","Control")</f>
        <v/>
      </c>
      <c r="S3104" s="16">
        <f>N3104/10000</f>
        <v/>
      </c>
      <c r="T3104" s="16">
        <f>P3104/10000</f>
        <v/>
      </c>
      <c r="U3104" s="15">
        <f>IF(N3104&gt;=Summary!$D$3,1,0)</f>
        <v/>
      </c>
      <c r="V3104" s="17">
        <f>IF(N3104&gt;0,P3104/N3104,"")</f>
        <v/>
      </c>
      <c r="W3104" s="17">
        <f>IF(O3104&gt;0,H3104/O3104,"")</f>
        <v/>
      </c>
    </row>
    <row r="3105">
      <c r="A3105" s="13" t="inlineStr">
        <is>
          <t>CW20_F</t>
        </is>
      </c>
      <c r="B3105" s="13" t="inlineStr">
        <is>
          <t>CW20</t>
        </is>
      </c>
      <c r="C3105" s="13" t="inlineStr">
        <is>
          <t>F</t>
        </is>
      </c>
      <c r="D3105" s="13" t="n">
        <v>0</v>
      </c>
      <c r="E3105" s="13" t="inlineStr">
        <is>
          <t>W</t>
        </is>
      </c>
      <c r="F3105" s="13" t="n">
        <v>2022</v>
      </c>
      <c r="G3105" s="14" t="n">
        <v>69547.66421852859</v>
      </c>
      <c r="H3105" s="14" t="n">
        <v>31675.33800730987</v>
      </c>
      <c r="I3105" s="14" t="n">
        <v>23736.45895020728</v>
      </c>
      <c r="J3105" s="14" t="n">
        <v>0</v>
      </c>
      <c r="K3105" s="14" t="n">
        <v>14135.86726101146</v>
      </c>
      <c r="L3105" s="14" t="n">
        <v>0</v>
      </c>
      <c r="M3105" s="14" t="n">
        <v>0</v>
      </c>
      <c r="N3105" s="14" t="n">
        <v>43948.16146703983</v>
      </c>
      <c r="O3105" s="14" t="n">
        <v>69547.66421852859</v>
      </c>
      <c r="P3105" s="14" t="n">
        <v>13474.59110403622</v>
      </c>
      <c r="Q3105" s="14" t="n">
        <v>330110.1851408116</v>
      </c>
      <c r="R3105" s="15">
        <f>IF(D3105=1,"Section 1","Control")</f>
        <v/>
      </c>
      <c r="S3105" s="16">
        <f>N3105/10000</f>
        <v/>
      </c>
      <c r="T3105" s="16">
        <f>P3105/10000</f>
        <v/>
      </c>
      <c r="U3105" s="15">
        <f>IF(N3105&gt;=Summary!$D$3,1,0)</f>
        <v/>
      </c>
      <c r="V3105" s="17">
        <f>IF(N3105&gt;0,P3105/N3105,"")</f>
        <v/>
      </c>
      <c r="W3105" s="17">
        <f>IF(O3105&gt;0,H3105/O3105,"")</f>
        <v/>
      </c>
    </row>
    <row r="3106">
      <c r="A3106" s="13" t="inlineStr">
        <is>
          <t>CW20_F</t>
        </is>
      </c>
      <c r="B3106" s="13" t="inlineStr">
        <is>
          <t>CW20</t>
        </is>
      </c>
      <c r="C3106" s="13" t="inlineStr">
        <is>
          <t>F</t>
        </is>
      </c>
      <c r="D3106" s="13" t="n">
        <v>0</v>
      </c>
      <c r="E3106" s="13" t="inlineStr">
        <is>
          <t>W</t>
        </is>
      </c>
      <c r="F3106" s="13" t="n">
        <v>2023</v>
      </c>
      <c r="G3106" s="14" t="n">
        <v>69547.66421852859</v>
      </c>
      <c r="H3106" s="14" t="n">
        <v>42459.11582414216</v>
      </c>
      <c r="I3106" s="14" t="n">
        <v>12385.48069718305</v>
      </c>
      <c r="J3106" s="14" t="n">
        <v>0</v>
      </c>
      <c r="K3106" s="14" t="n">
        <v>14703.06769720339</v>
      </c>
      <c r="L3106" s="14" t="n">
        <v>0</v>
      </c>
      <c r="M3106" s="14" t="n">
        <v>0</v>
      </c>
      <c r="N3106" s="14" t="n">
        <v>43948.16146703982</v>
      </c>
      <c r="O3106" s="14" t="n">
        <v>69547.66421852859</v>
      </c>
      <c r="P3106" s="14" t="n">
        <v>6588.815110748889</v>
      </c>
      <c r="Q3106" s="14" t="n">
        <v>330110.1851408116</v>
      </c>
      <c r="R3106" s="15">
        <f>IF(D3106=1,"Section 1","Control")</f>
        <v/>
      </c>
      <c r="S3106" s="16">
        <f>N3106/10000</f>
        <v/>
      </c>
      <c r="T3106" s="16">
        <f>P3106/10000</f>
        <v/>
      </c>
      <c r="U3106" s="15">
        <f>IF(N3106&gt;=Summary!$D$3,1,0)</f>
        <v/>
      </c>
      <c r="V3106" s="17">
        <f>IF(N3106&gt;0,P3106/N3106,"")</f>
        <v/>
      </c>
      <c r="W3106" s="17">
        <f>IF(O3106&gt;0,H3106/O3106,"")</f>
        <v/>
      </c>
    </row>
    <row r="3107">
      <c r="A3107" s="13" t="inlineStr">
        <is>
          <t>CW20_F</t>
        </is>
      </c>
      <c r="B3107" s="13" t="inlineStr">
        <is>
          <t>CW20</t>
        </is>
      </c>
      <c r="C3107" s="13" t="inlineStr">
        <is>
          <t>F</t>
        </is>
      </c>
      <c r="D3107" s="13" t="n">
        <v>0</v>
      </c>
      <c r="E3107" s="13" t="inlineStr">
        <is>
          <t>W</t>
        </is>
      </c>
      <c r="F3107" s="13" t="n">
        <v>2024</v>
      </c>
      <c r="G3107" s="14" t="n">
        <v>69547.66421852859</v>
      </c>
      <c r="H3107" s="14" t="n">
        <v>41648.77347077015</v>
      </c>
      <c r="I3107" s="14" t="n">
        <v>12429.61968955245</v>
      </c>
      <c r="J3107" s="14" t="n">
        <v>0</v>
      </c>
      <c r="K3107" s="14" t="n">
        <v>15469.271058206</v>
      </c>
      <c r="L3107" s="14" t="n">
        <v>0</v>
      </c>
      <c r="M3107" s="14" t="n">
        <v>0</v>
      </c>
      <c r="N3107" s="14" t="n">
        <v>43948.16146703983</v>
      </c>
      <c r="O3107" s="14" t="n">
        <v>69547.66421852859</v>
      </c>
      <c r="P3107" s="14" t="n">
        <v>7053.416147568647</v>
      </c>
      <c r="Q3107" s="14" t="n">
        <v>330110.1851408116</v>
      </c>
      <c r="R3107" s="15">
        <f>IF(D3107=1,"Section 1","Control")</f>
        <v/>
      </c>
      <c r="S3107" s="16">
        <f>N3107/10000</f>
        <v/>
      </c>
      <c r="T3107" s="16">
        <f>P3107/10000</f>
        <v/>
      </c>
      <c r="U3107" s="15">
        <f>IF(N3107&gt;=Summary!$D$3,1,0)</f>
        <v/>
      </c>
      <c r="V3107" s="17">
        <f>IF(N3107&gt;0,P3107/N3107,"")</f>
        <v/>
      </c>
      <c r="W3107" s="17">
        <f>IF(O3107&gt;0,H3107/O3107,"")</f>
        <v/>
      </c>
    </row>
    <row r="3108">
      <c r="A3108" s="13" t="inlineStr">
        <is>
          <t>CW20_F</t>
        </is>
      </c>
      <c r="B3108" s="13" t="inlineStr">
        <is>
          <t>CW20</t>
        </is>
      </c>
      <c r="C3108" s="13" t="inlineStr">
        <is>
          <t>F</t>
        </is>
      </c>
      <c r="D3108" s="13" t="n">
        <v>0</v>
      </c>
      <c r="E3108" s="13" t="inlineStr">
        <is>
          <t>W</t>
        </is>
      </c>
      <c r="F3108" s="13" t="n">
        <v>2025</v>
      </c>
      <c r="G3108" s="14" t="n">
        <v>69547.66421852859</v>
      </c>
      <c r="H3108" s="14" t="n">
        <v>33880.25754574047</v>
      </c>
      <c r="I3108" s="14" t="n">
        <v>26882.57965186624</v>
      </c>
      <c r="J3108" s="14" t="n">
        <v>0</v>
      </c>
      <c r="K3108" s="14" t="n">
        <v>8784.827020921895</v>
      </c>
      <c r="L3108" s="14" t="n">
        <v>0</v>
      </c>
      <c r="M3108" s="14" t="n">
        <v>0</v>
      </c>
      <c r="N3108" s="14" t="n">
        <v>43948.16146703983</v>
      </c>
      <c r="O3108" s="14" t="n">
        <v>69547.66421852859</v>
      </c>
      <c r="P3108" s="14" t="n">
        <v>11762.92286801806</v>
      </c>
      <c r="Q3108" s="14" t="n">
        <v>330110.1851408116</v>
      </c>
      <c r="R3108" s="15">
        <f>IF(D3108=1,"Section 1","Control")</f>
        <v/>
      </c>
      <c r="S3108" s="16">
        <f>N3108/10000</f>
        <v/>
      </c>
      <c r="T3108" s="16">
        <f>P3108/10000</f>
        <v/>
      </c>
      <c r="U3108" s="15">
        <f>IF(N3108&gt;=Summary!$D$3,1,0)</f>
        <v/>
      </c>
      <c r="V3108" s="17">
        <f>IF(N3108&gt;0,P3108/N3108,"")</f>
        <v/>
      </c>
      <c r="W3108" s="17">
        <f>IF(O3108&gt;0,H3108/O3108,"")</f>
        <v/>
      </c>
    </row>
    <row r="3109">
      <c r="A3109" s="13" t="inlineStr">
        <is>
          <t>CW20_F</t>
        </is>
      </c>
      <c r="B3109" s="13" t="inlineStr">
        <is>
          <t>CW20</t>
        </is>
      </c>
      <c r="C3109" s="13" t="inlineStr">
        <is>
          <t>F</t>
        </is>
      </c>
      <c r="D3109" s="13" t="n">
        <v>0</v>
      </c>
      <c r="E3109" s="13" t="inlineStr">
        <is>
          <t>W</t>
        </is>
      </c>
      <c r="F3109" s="13" t="n">
        <v>2026</v>
      </c>
      <c r="G3109" s="14" t="n">
        <v>69547.66421852859</v>
      </c>
      <c r="H3109" s="14" t="n">
        <v>46873.59724028344</v>
      </c>
      <c r="I3109" s="14" t="n">
        <v>11862.03138323017</v>
      </c>
      <c r="J3109" s="14" t="n">
        <v>0</v>
      </c>
      <c r="K3109" s="14" t="n">
        <v>10812.03559501499</v>
      </c>
      <c r="L3109" s="14" t="n">
        <v>0</v>
      </c>
      <c r="M3109" s="14" t="n">
        <v>0</v>
      </c>
      <c r="N3109" s="14" t="n">
        <v>43948.16146703983</v>
      </c>
      <c r="O3109" s="14" t="n">
        <v>69547.66421852859</v>
      </c>
      <c r="P3109" s="14" t="n">
        <v>6301.923978409112</v>
      </c>
      <c r="Q3109" s="14" t="n">
        <v>330110.1851408116</v>
      </c>
      <c r="R3109" s="15">
        <f>IF(D3109=1,"Section 1","Control")</f>
        <v/>
      </c>
      <c r="S3109" s="16">
        <f>N3109/10000</f>
        <v/>
      </c>
      <c r="T3109" s="16">
        <f>P3109/10000</f>
        <v/>
      </c>
      <c r="U3109" s="15">
        <f>IF(N3109&gt;=Summary!$D$3,1,0)</f>
        <v/>
      </c>
      <c r="V3109" s="17">
        <f>IF(N3109&gt;0,P3109/N3109,"")</f>
        <v/>
      </c>
      <c r="W3109" s="17">
        <f>IF(O3109&gt;0,H3109/O3109,"")</f>
        <v/>
      </c>
    </row>
    <row r="3110">
      <c r="A3110" s="13" t="inlineStr">
        <is>
          <t>CW21_B1</t>
        </is>
      </c>
      <c r="B3110" s="13" t="inlineStr">
        <is>
          <t>CW21</t>
        </is>
      </c>
      <c r="C3110" s="13" t="inlineStr">
        <is>
          <t>B1</t>
        </is>
      </c>
      <c r="D3110" s="13" t="n">
        <v>0</v>
      </c>
      <c r="E3110" s="13" t="inlineStr">
        <is>
          <t>W</t>
        </is>
      </c>
      <c r="F3110" s="13" t="n">
        <v>2020</v>
      </c>
      <c r="G3110" s="14" t="n">
        <v>1000355.587624703</v>
      </c>
      <c r="H3110" s="14" t="n">
        <v>681021.2088450713</v>
      </c>
      <c r="I3110" s="14" t="n">
        <v>156357.3485567878</v>
      </c>
      <c r="J3110" s="14" t="n">
        <v>0</v>
      </c>
      <c r="K3110" s="14" t="n">
        <v>68561.12149233351</v>
      </c>
      <c r="L3110" s="14" t="n">
        <v>94415.90873051068</v>
      </c>
      <c r="M3110" s="14" t="n">
        <v>0</v>
      </c>
      <c r="N3110" s="14" t="n">
        <v>681021.2088450713</v>
      </c>
      <c r="O3110" s="14" t="n">
        <v>905939.6788941924</v>
      </c>
      <c r="P3110" s="14" t="n">
        <v>0</v>
      </c>
      <c r="Q3110" s="14" t="n">
        <v>5403748.3798575</v>
      </c>
      <c r="R3110" s="15">
        <f>IF(D3110=1,"Section 1","Control")</f>
        <v/>
      </c>
      <c r="S3110" s="16">
        <f>N3110/10000</f>
        <v/>
      </c>
      <c r="T3110" s="16">
        <f>P3110/10000</f>
        <v/>
      </c>
      <c r="U3110" s="15">
        <f>IF(N3110&gt;=Summary!$D$3,1,0)</f>
        <v/>
      </c>
      <c r="V3110" s="17">
        <f>IF(N3110&gt;0,P3110/N3110,"")</f>
        <v/>
      </c>
      <c r="W3110" s="17">
        <f>IF(O3110&gt;0,H3110/O3110,"")</f>
        <v/>
      </c>
    </row>
    <row r="3111">
      <c r="A3111" s="13" t="inlineStr">
        <is>
          <t>CW21_B1</t>
        </is>
      </c>
      <c r="B3111" s="13" t="inlineStr">
        <is>
          <t>CW21</t>
        </is>
      </c>
      <c r="C3111" s="13" t="inlineStr">
        <is>
          <t>B1</t>
        </is>
      </c>
      <c r="D3111" s="13" t="n">
        <v>0</v>
      </c>
      <c r="E3111" s="13" t="inlineStr">
        <is>
          <t>W</t>
        </is>
      </c>
      <c r="F3111" s="13" t="n">
        <v>2021</v>
      </c>
      <c r="G3111" s="14" t="n">
        <v>1000355.587624703</v>
      </c>
      <c r="H3111" s="14" t="n">
        <v>575862.1058349608</v>
      </c>
      <c r="I3111" s="14" t="n">
        <v>104560.542015704</v>
      </c>
      <c r="J3111" s="14" t="n">
        <v>0</v>
      </c>
      <c r="K3111" s="14" t="n">
        <v>239039.5408187268</v>
      </c>
      <c r="L3111" s="14" t="n">
        <v>80893.39895531152</v>
      </c>
      <c r="M3111" s="14" t="n">
        <v>0</v>
      </c>
      <c r="N3111" s="14" t="n">
        <v>681021.2088450711</v>
      </c>
      <c r="O3111" s="14" t="n">
        <v>905939.6788941926</v>
      </c>
      <c r="P3111" s="14" t="n">
        <v>124068.0797172397</v>
      </c>
      <c r="Q3111" s="14" t="n">
        <v>5403748.3798575</v>
      </c>
      <c r="R3111" s="15">
        <f>IF(D3111=1,"Section 1","Control")</f>
        <v/>
      </c>
      <c r="S3111" s="16">
        <f>N3111/10000</f>
        <v/>
      </c>
      <c r="T3111" s="16">
        <f>P3111/10000</f>
        <v/>
      </c>
      <c r="U3111" s="15">
        <f>IF(N3111&gt;=Summary!$D$3,1,0)</f>
        <v/>
      </c>
      <c r="V3111" s="17">
        <f>IF(N3111&gt;0,P3111/N3111,"")</f>
        <v/>
      </c>
      <c r="W3111" s="17">
        <f>IF(O3111&gt;0,H3111/O3111,"")</f>
        <v/>
      </c>
    </row>
    <row r="3112">
      <c r="A3112" s="13" t="inlineStr">
        <is>
          <t>CW21_B1</t>
        </is>
      </c>
      <c r="B3112" s="13" t="inlineStr">
        <is>
          <t>CW21</t>
        </is>
      </c>
      <c r="C3112" s="13" t="inlineStr">
        <is>
          <t>B1</t>
        </is>
      </c>
      <c r="D3112" s="13" t="n">
        <v>0</v>
      </c>
      <c r="E3112" s="13" t="inlineStr">
        <is>
          <t>W</t>
        </is>
      </c>
      <c r="F3112" s="13" t="n">
        <v>2022</v>
      </c>
      <c r="G3112" s="14" t="n">
        <v>1000355.587624703</v>
      </c>
      <c r="H3112" s="14" t="n">
        <v>550718.6056190341</v>
      </c>
      <c r="I3112" s="14" t="n">
        <v>156092.3492315554</v>
      </c>
      <c r="J3112" s="14" t="n">
        <v>0</v>
      </c>
      <c r="K3112" s="14" t="n">
        <v>236587.6978004605</v>
      </c>
      <c r="L3112" s="14" t="n">
        <v>56956.9349736532</v>
      </c>
      <c r="M3112" s="14" t="n">
        <v>0</v>
      </c>
      <c r="N3112" s="14" t="n">
        <v>681021.2088450713</v>
      </c>
      <c r="O3112" s="14" t="n">
        <v>905939.6788941924</v>
      </c>
      <c r="P3112" s="14" t="n">
        <v>148230.4984490189</v>
      </c>
      <c r="Q3112" s="14" t="n">
        <v>5403748.379857501</v>
      </c>
      <c r="R3112" s="15">
        <f>IF(D3112=1,"Section 1","Control")</f>
        <v/>
      </c>
      <c r="S3112" s="16">
        <f>N3112/10000</f>
        <v/>
      </c>
      <c r="T3112" s="16">
        <f>P3112/10000</f>
        <v/>
      </c>
      <c r="U3112" s="15">
        <f>IF(N3112&gt;=Summary!$D$3,1,0)</f>
        <v/>
      </c>
      <c r="V3112" s="17">
        <f>IF(N3112&gt;0,P3112/N3112,"")</f>
        <v/>
      </c>
      <c r="W3112" s="17">
        <f>IF(O3112&gt;0,H3112/O3112,"")</f>
        <v/>
      </c>
    </row>
    <row r="3113">
      <c r="A3113" s="13" t="inlineStr">
        <is>
          <t>CW21_B1</t>
        </is>
      </c>
      <c r="B3113" s="13" t="inlineStr">
        <is>
          <t>CW21</t>
        </is>
      </c>
      <c r="C3113" s="13" t="inlineStr">
        <is>
          <t>B1</t>
        </is>
      </c>
      <c r="D3113" s="13" t="n">
        <v>0</v>
      </c>
      <c r="E3113" s="13" t="inlineStr">
        <is>
          <t>W</t>
        </is>
      </c>
      <c r="F3113" s="13" t="n">
        <v>2023</v>
      </c>
      <c r="G3113" s="14" t="n">
        <v>1000355.587624703</v>
      </c>
      <c r="H3113" s="14" t="n">
        <v>596763.3594792385</v>
      </c>
      <c r="I3113" s="14" t="n">
        <v>102724.3188782337</v>
      </c>
      <c r="J3113" s="14" t="n">
        <v>0</v>
      </c>
      <c r="K3113" s="14" t="n">
        <v>202823.8751479205</v>
      </c>
      <c r="L3113" s="14" t="n">
        <v>98044.03411931054</v>
      </c>
      <c r="M3113" s="14" t="n">
        <v>0</v>
      </c>
      <c r="N3113" s="14" t="n">
        <v>681021.2088450711</v>
      </c>
      <c r="O3113" s="14" t="n">
        <v>905939.6788941924</v>
      </c>
      <c r="P3113" s="14" t="n">
        <v>122371.9443150539</v>
      </c>
      <c r="Q3113" s="14" t="n">
        <v>5403748.3798575</v>
      </c>
      <c r="R3113" s="15">
        <f>IF(D3113=1,"Section 1","Control")</f>
        <v/>
      </c>
      <c r="S3113" s="16">
        <f>N3113/10000</f>
        <v/>
      </c>
      <c r="T3113" s="16">
        <f>P3113/10000</f>
        <v/>
      </c>
      <c r="U3113" s="15">
        <f>IF(N3113&gt;=Summary!$D$3,1,0)</f>
        <v/>
      </c>
      <c r="V3113" s="17">
        <f>IF(N3113&gt;0,P3113/N3113,"")</f>
        <v/>
      </c>
      <c r="W3113" s="17">
        <f>IF(O3113&gt;0,H3113/O3113,"")</f>
        <v/>
      </c>
    </row>
    <row r="3114">
      <c r="A3114" s="13" t="inlineStr">
        <is>
          <t>CW21_B1</t>
        </is>
      </c>
      <c r="B3114" s="13" t="inlineStr">
        <is>
          <t>CW21</t>
        </is>
      </c>
      <c r="C3114" s="13" t="inlineStr">
        <is>
          <t>B1</t>
        </is>
      </c>
      <c r="D3114" s="13" t="n">
        <v>0</v>
      </c>
      <c r="E3114" s="13" t="inlineStr">
        <is>
          <t>W</t>
        </is>
      </c>
      <c r="F3114" s="13" t="n">
        <v>2024</v>
      </c>
      <c r="G3114" s="14" t="n">
        <v>1000355.587624703</v>
      </c>
      <c r="H3114" s="14" t="n">
        <v>605152.1801985198</v>
      </c>
      <c r="I3114" s="14" t="n">
        <v>91722.89695614084</v>
      </c>
      <c r="J3114" s="14" t="n">
        <v>0</v>
      </c>
      <c r="K3114" s="14" t="n">
        <v>206162.7980853211</v>
      </c>
      <c r="L3114" s="14" t="n">
        <v>97317.71238472137</v>
      </c>
      <c r="M3114" s="14" t="n">
        <v>0</v>
      </c>
      <c r="N3114" s="14" t="n">
        <v>681021.2088450711</v>
      </c>
      <c r="O3114" s="14" t="n">
        <v>905939.6788941926</v>
      </c>
      <c r="P3114" s="14" t="n">
        <v>120626.953334943</v>
      </c>
      <c r="Q3114" s="14" t="n">
        <v>5403748.3798575</v>
      </c>
      <c r="R3114" s="15">
        <f>IF(D3114=1,"Section 1","Control")</f>
        <v/>
      </c>
      <c r="S3114" s="16">
        <f>N3114/10000</f>
        <v/>
      </c>
      <c r="T3114" s="16">
        <f>P3114/10000</f>
        <v/>
      </c>
      <c r="U3114" s="15">
        <f>IF(N3114&gt;=Summary!$D$3,1,0)</f>
        <v/>
      </c>
      <c r="V3114" s="17">
        <f>IF(N3114&gt;0,P3114/N3114,"")</f>
        <v/>
      </c>
      <c r="W3114" s="17">
        <f>IF(O3114&gt;0,H3114/O3114,"")</f>
        <v/>
      </c>
    </row>
    <row r="3115">
      <c r="A3115" s="13" t="inlineStr">
        <is>
          <t>CW21_B1</t>
        </is>
      </c>
      <c r="B3115" s="13" t="inlineStr">
        <is>
          <t>CW21</t>
        </is>
      </c>
      <c r="C3115" s="13" t="inlineStr">
        <is>
          <t>B1</t>
        </is>
      </c>
      <c r="D3115" s="13" t="n">
        <v>0</v>
      </c>
      <c r="E3115" s="13" t="inlineStr">
        <is>
          <t>W</t>
        </is>
      </c>
      <c r="F3115" s="13" t="n">
        <v>2025</v>
      </c>
      <c r="G3115" s="14" t="n">
        <v>1000355.587624703</v>
      </c>
      <c r="H3115" s="14" t="n">
        <v>580146.0997849408</v>
      </c>
      <c r="I3115" s="14" t="n">
        <v>129040.559290209</v>
      </c>
      <c r="J3115" s="14" t="n">
        <v>0</v>
      </c>
      <c r="K3115" s="14" t="n">
        <v>211480.3833156511</v>
      </c>
      <c r="L3115" s="14" t="n">
        <v>79688.54523390232</v>
      </c>
      <c r="M3115" s="14" t="n">
        <v>0</v>
      </c>
      <c r="N3115" s="14" t="n">
        <v>681021.2088450711</v>
      </c>
      <c r="O3115" s="14" t="n">
        <v>905939.6788941926</v>
      </c>
      <c r="P3115" s="14" t="n">
        <v>133549.8698835485</v>
      </c>
      <c r="Q3115" s="14" t="n">
        <v>5403748.3798575</v>
      </c>
      <c r="R3115" s="15">
        <f>IF(D3115=1,"Section 1","Control")</f>
        <v/>
      </c>
      <c r="S3115" s="16">
        <f>N3115/10000</f>
        <v/>
      </c>
      <c r="T3115" s="16">
        <f>P3115/10000</f>
        <v/>
      </c>
      <c r="U3115" s="15">
        <f>IF(N3115&gt;=Summary!$D$3,1,0)</f>
        <v/>
      </c>
      <c r="V3115" s="17">
        <f>IF(N3115&gt;0,P3115/N3115,"")</f>
        <v/>
      </c>
      <c r="W3115" s="17">
        <f>IF(O3115&gt;0,H3115/O3115,"")</f>
        <v/>
      </c>
    </row>
    <row r="3116">
      <c r="A3116" s="13" t="inlineStr">
        <is>
          <t>CW21_B1</t>
        </is>
      </c>
      <c r="B3116" s="13" t="inlineStr">
        <is>
          <t>CW21</t>
        </is>
      </c>
      <c r="C3116" s="13" t="inlineStr">
        <is>
          <t>B1</t>
        </is>
      </c>
      <c r="D3116" s="13" t="n">
        <v>0</v>
      </c>
      <c r="E3116" s="13" t="inlineStr">
        <is>
          <t>W</t>
        </is>
      </c>
      <c r="F3116" s="13" t="n">
        <v>2026</v>
      </c>
      <c r="G3116" s="14" t="n">
        <v>1000355.587624703</v>
      </c>
      <c r="H3116" s="14" t="n">
        <v>606092.332488894</v>
      </c>
      <c r="I3116" s="14" t="n">
        <v>85046.90992542342</v>
      </c>
      <c r="J3116" s="14" t="n">
        <v>0</v>
      </c>
      <c r="K3116" s="14" t="n">
        <v>193993.0239261402</v>
      </c>
      <c r="L3116" s="14" t="n">
        <v>115223.3212842455</v>
      </c>
      <c r="M3116" s="14" t="n">
        <v>0</v>
      </c>
      <c r="N3116" s="14" t="n">
        <v>681021.2088450713</v>
      </c>
      <c r="O3116" s="14" t="n">
        <v>905939.6788941924</v>
      </c>
      <c r="P3116" s="14" t="n">
        <v>128645.9458078123</v>
      </c>
      <c r="Q3116" s="14" t="n">
        <v>5403748.3798575</v>
      </c>
      <c r="R3116" s="15">
        <f>IF(D3116=1,"Section 1","Control")</f>
        <v/>
      </c>
      <c r="S3116" s="16">
        <f>N3116/10000</f>
        <v/>
      </c>
      <c r="T3116" s="16">
        <f>P3116/10000</f>
        <v/>
      </c>
      <c r="U3116" s="15">
        <f>IF(N3116&gt;=Summary!$D$3,1,0)</f>
        <v/>
      </c>
      <c r="V3116" s="17">
        <f>IF(N3116&gt;0,P3116/N3116,"")</f>
        <v/>
      </c>
      <c r="W3116" s="17">
        <f>IF(O3116&gt;0,H3116/O3116,"")</f>
        <v/>
      </c>
    </row>
    <row r="3117">
      <c r="A3117" s="13" t="inlineStr">
        <is>
          <t>CW21_B2</t>
        </is>
      </c>
      <c r="B3117" s="13" t="inlineStr">
        <is>
          <t>CW21</t>
        </is>
      </c>
      <c r="C3117" s="13" t="inlineStr">
        <is>
          <t>B2</t>
        </is>
      </c>
      <c r="D3117" s="13" t="n">
        <v>0</v>
      </c>
      <c r="E3117" s="13" t="inlineStr">
        <is>
          <t>W</t>
        </is>
      </c>
      <c r="F3117" s="13" t="n">
        <v>2020</v>
      </c>
      <c r="G3117" s="14" t="n">
        <v>1000473.781544554</v>
      </c>
      <c r="H3117" s="14" t="n">
        <v>75649.42924439676</v>
      </c>
      <c r="I3117" s="14" t="n">
        <v>179603.5887665094</v>
      </c>
      <c r="J3117" s="14" t="n">
        <v>0</v>
      </c>
      <c r="K3117" s="14" t="n">
        <v>34507.4043197931</v>
      </c>
      <c r="L3117" s="14" t="n">
        <v>710713.3592138551</v>
      </c>
      <c r="M3117" s="14" t="n">
        <v>0</v>
      </c>
      <c r="N3117" s="14" t="n">
        <v>75649.42924439676</v>
      </c>
      <c r="O3117" s="14" t="n">
        <v>289760.4223306992</v>
      </c>
      <c r="P3117" s="14" t="n">
        <v>0</v>
      </c>
      <c r="Q3117" s="14" t="n">
        <v>2233461.408032436</v>
      </c>
      <c r="R3117" s="15">
        <f>IF(D3117=1,"Section 1","Control")</f>
        <v/>
      </c>
      <c r="S3117" s="16">
        <f>N3117/10000</f>
        <v/>
      </c>
      <c r="T3117" s="16">
        <f>P3117/10000</f>
        <v/>
      </c>
      <c r="U3117" s="15">
        <f>IF(N3117&gt;=Summary!$D$3,1,0)</f>
        <v/>
      </c>
      <c r="V3117" s="17">
        <f>IF(N3117&gt;0,P3117/N3117,"")</f>
        <v/>
      </c>
      <c r="W3117" s="17">
        <f>IF(O3117&gt;0,H3117/O3117,"")</f>
        <v/>
      </c>
    </row>
    <row r="3118">
      <c r="A3118" s="13" t="inlineStr">
        <is>
          <t>CW21_B2</t>
        </is>
      </c>
      <c r="B3118" s="13" t="inlineStr">
        <is>
          <t>CW21</t>
        </is>
      </c>
      <c r="C3118" s="13" t="inlineStr">
        <is>
          <t>B2</t>
        </is>
      </c>
      <c r="D3118" s="13" t="n">
        <v>0</v>
      </c>
      <c r="E3118" s="13" t="inlineStr">
        <is>
          <t>W</t>
        </is>
      </c>
      <c r="F3118" s="13" t="n">
        <v>2021</v>
      </c>
      <c r="G3118" s="14" t="n">
        <v>1000473.781544554</v>
      </c>
      <c r="H3118" s="14" t="n">
        <v>67705.08675949994</v>
      </c>
      <c r="I3118" s="14" t="n">
        <v>170752.8347465365</v>
      </c>
      <c r="J3118" s="14" t="n">
        <v>0</v>
      </c>
      <c r="K3118" s="14" t="n">
        <v>86734.85437463498</v>
      </c>
      <c r="L3118" s="14" t="n">
        <v>675281.0056638829</v>
      </c>
      <c r="M3118" s="14" t="n">
        <v>0</v>
      </c>
      <c r="N3118" s="14" t="n">
        <v>75649.42924439676</v>
      </c>
      <c r="O3118" s="14" t="n">
        <v>289760.4223306992</v>
      </c>
      <c r="P3118" s="14" t="n">
        <v>8672.999503221699</v>
      </c>
      <c r="Q3118" s="14" t="n">
        <v>2233461.408032436</v>
      </c>
      <c r="R3118" s="15">
        <f>IF(D3118=1,"Section 1","Control")</f>
        <v/>
      </c>
      <c r="S3118" s="16">
        <f>N3118/10000</f>
        <v/>
      </c>
      <c r="T3118" s="16">
        <f>P3118/10000</f>
        <v/>
      </c>
      <c r="U3118" s="15">
        <f>IF(N3118&gt;=Summary!$D$3,1,0)</f>
        <v/>
      </c>
      <c r="V3118" s="17">
        <f>IF(N3118&gt;0,P3118/N3118,"")</f>
        <v/>
      </c>
      <c r="W3118" s="17">
        <f>IF(O3118&gt;0,H3118/O3118,"")</f>
        <v/>
      </c>
    </row>
    <row r="3119">
      <c r="A3119" s="13" t="inlineStr">
        <is>
          <t>CW21_B2</t>
        </is>
      </c>
      <c r="B3119" s="13" t="inlineStr">
        <is>
          <t>CW21</t>
        </is>
      </c>
      <c r="C3119" s="13" t="inlineStr">
        <is>
          <t>B2</t>
        </is>
      </c>
      <c r="D3119" s="13" t="n">
        <v>0</v>
      </c>
      <c r="E3119" s="13" t="inlineStr">
        <is>
          <t>W</t>
        </is>
      </c>
      <c r="F3119" s="13" t="n">
        <v>2022</v>
      </c>
      <c r="G3119" s="14" t="n">
        <v>1000473.781544554</v>
      </c>
      <c r="H3119" s="14" t="n">
        <v>59022.75698412727</v>
      </c>
      <c r="I3119" s="14" t="n">
        <v>185070.4940004536</v>
      </c>
      <c r="J3119" s="14" t="n">
        <v>0</v>
      </c>
      <c r="K3119" s="14" t="n">
        <v>88746.96129763735</v>
      </c>
      <c r="L3119" s="14" t="n">
        <v>667633.5692623362</v>
      </c>
      <c r="M3119" s="14" t="n">
        <v>0</v>
      </c>
      <c r="N3119" s="14" t="n">
        <v>75649.42924439674</v>
      </c>
      <c r="O3119" s="14" t="n">
        <v>289760.4223306992</v>
      </c>
      <c r="P3119" s="14" t="n">
        <v>17515.23174665862</v>
      </c>
      <c r="Q3119" s="14" t="n">
        <v>2233461.408032436</v>
      </c>
      <c r="R3119" s="15">
        <f>IF(D3119=1,"Section 1","Control")</f>
        <v/>
      </c>
      <c r="S3119" s="16">
        <f>N3119/10000</f>
        <v/>
      </c>
      <c r="T3119" s="16">
        <f>P3119/10000</f>
        <v/>
      </c>
      <c r="U3119" s="15">
        <f>IF(N3119&gt;=Summary!$D$3,1,0)</f>
        <v/>
      </c>
      <c r="V3119" s="17">
        <f>IF(N3119&gt;0,P3119/N3119,"")</f>
        <v/>
      </c>
      <c r="W3119" s="17">
        <f>IF(O3119&gt;0,H3119/O3119,"")</f>
        <v/>
      </c>
    </row>
    <row r="3120">
      <c r="A3120" s="13" t="inlineStr">
        <is>
          <t>CW21_B2</t>
        </is>
      </c>
      <c r="B3120" s="13" t="inlineStr">
        <is>
          <t>CW21</t>
        </is>
      </c>
      <c r="C3120" s="13" t="inlineStr">
        <is>
          <t>B2</t>
        </is>
      </c>
      <c r="D3120" s="13" t="n">
        <v>0</v>
      </c>
      <c r="E3120" s="13" t="inlineStr">
        <is>
          <t>W</t>
        </is>
      </c>
      <c r="F3120" s="13" t="n">
        <v>2023</v>
      </c>
      <c r="G3120" s="14" t="n">
        <v>1000473.781544554</v>
      </c>
      <c r="H3120" s="14" t="n">
        <v>55872.73241490384</v>
      </c>
      <c r="I3120" s="14" t="n">
        <v>178324.366947578</v>
      </c>
      <c r="J3120" s="14" t="n">
        <v>0</v>
      </c>
      <c r="K3120" s="14" t="n">
        <v>51189.4734016568</v>
      </c>
      <c r="L3120" s="14" t="n">
        <v>715087.2087804157</v>
      </c>
      <c r="M3120" s="14" t="n">
        <v>0</v>
      </c>
      <c r="N3120" s="14" t="n">
        <v>75649.42924439676</v>
      </c>
      <c r="O3120" s="14" t="n">
        <v>289760.4223306992</v>
      </c>
      <c r="P3120" s="14" t="n">
        <v>20359.77731909658</v>
      </c>
      <c r="Q3120" s="14" t="n">
        <v>2233461.408032436</v>
      </c>
      <c r="R3120" s="15">
        <f>IF(D3120=1,"Section 1","Control")</f>
        <v/>
      </c>
      <c r="S3120" s="16">
        <f>N3120/10000</f>
        <v/>
      </c>
      <c r="T3120" s="16">
        <f>P3120/10000</f>
        <v/>
      </c>
      <c r="U3120" s="15">
        <f>IF(N3120&gt;=Summary!$D$3,1,0)</f>
        <v/>
      </c>
      <c r="V3120" s="17">
        <f>IF(N3120&gt;0,P3120/N3120,"")</f>
        <v/>
      </c>
      <c r="W3120" s="17">
        <f>IF(O3120&gt;0,H3120/O3120,"")</f>
        <v/>
      </c>
    </row>
    <row r="3121">
      <c r="A3121" s="13" t="inlineStr">
        <is>
          <t>CW21_B2</t>
        </is>
      </c>
      <c r="B3121" s="13" t="inlineStr">
        <is>
          <t>CW21</t>
        </is>
      </c>
      <c r="C3121" s="13" t="inlineStr">
        <is>
          <t>B2</t>
        </is>
      </c>
      <c r="D3121" s="13" t="n">
        <v>0</v>
      </c>
      <c r="E3121" s="13" t="inlineStr">
        <is>
          <t>W</t>
        </is>
      </c>
      <c r="F3121" s="13" t="n">
        <v>2024</v>
      </c>
      <c r="G3121" s="14" t="n">
        <v>1000473.781544554</v>
      </c>
      <c r="H3121" s="14" t="n">
        <v>56520.47547224457</v>
      </c>
      <c r="I3121" s="14" t="n">
        <v>175365.9765929278</v>
      </c>
      <c r="J3121" s="14" t="n">
        <v>0</v>
      </c>
      <c r="K3121" s="14" t="n">
        <v>53328.8939637128</v>
      </c>
      <c r="L3121" s="14" t="n">
        <v>715258.4355156691</v>
      </c>
      <c r="M3121" s="14" t="n">
        <v>0</v>
      </c>
      <c r="N3121" s="14" t="n">
        <v>75649.42924439676</v>
      </c>
      <c r="O3121" s="14" t="n">
        <v>289760.4223306992</v>
      </c>
      <c r="P3121" s="14" t="n">
        <v>21131.01933222752</v>
      </c>
      <c r="Q3121" s="14" t="n">
        <v>2233461.408032436</v>
      </c>
      <c r="R3121" s="15">
        <f>IF(D3121=1,"Section 1","Control")</f>
        <v/>
      </c>
      <c r="S3121" s="16">
        <f>N3121/10000</f>
        <v/>
      </c>
      <c r="T3121" s="16">
        <f>P3121/10000</f>
        <v/>
      </c>
      <c r="U3121" s="15">
        <f>IF(N3121&gt;=Summary!$D$3,1,0)</f>
        <v/>
      </c>
      <c r="V3121" s="17">
        <f>IF(N3121&gt;0,P3121/N3121,"")</f>
        <v/>
      </c>
      <c r="W3121" s="17">
        <f>IF(O3121&gt;0,H3121/O3121,"")</f>
        <v/>
      </c>
    </row>
    <row r="3122">
      <c r="A3122" s="13" t="inlineStr">
        <is>
          <t>CW21_B2</t>
        </is>
      </c>
      <c r="B3122" s="13" t="inlineStr">
        <is>
          <t>CW21</t>
        </is>
      </c>
      <c r="C3122" s="13" t="inlineStr">
        <is>
          <t>B2</t>
        </is>
      </c>
      <c r="D3122" s="13" t="n">
        <v>0</v>
      </c>
      <c r="E3122" s="13" t="inlineStr">
        <is>
          <t>W</t>
        </is>
      </c>
      <c r="F3122" s="13" t="n">
        <v>2025</v>
      </c>
      <c r="G3122" s="14" t="n">
        <v>1000473.781544554</v>
      </c>
      <c r="H3122" s="14" t="n">
        <v>50664.8882667392</v>
      </c>
      <c r="I3122" s="14" t="n">
        <v>185940.8181248684</v>
      </c>
      <c r="J3122" s="14" t="n">
        <v>0</v>
      </c>
      <c r="K3122" s="14" t="n">
        <v>57373.24997268377</v>
      </c>
      <c r="L3122" s="14" t="n">
        <v>706494.8251802629</v>
      </c>
      <c r="M3122" s="14" t="n">
        <v>0</v>
      </c>
      <c r="N3122" s="14" t="n">
        <v>75649.42924439676</v>
      </c>
      <c r="O3122" s="14" t="n">
        <v>289760.4223306992</v>
      </c>
      <c r="P3122" s="14" t="n">
        <v>25888.19989070519</v>
      </c>
      <c r="Q3122" s="14" t="n">
        <v>2233461.408032436</v>
      </c>
      <c r="R3122" s="15">
        <f>IF(D3122=1,"Section 1","Control")</f>
        <v/>
      </c>
      <c r="S3122" s="16">
        <f>N3122/10000</f>
        <v/>
      </c>
      <c r="T3122" s="16">
        <f>P3122/10000</f>
        <v/>
      </c>
      <c r="U3122" s="15">
        <f>IF(N3122&gt;=Summary!$D$3,1,0)</f>
        <v/>
      </c>
      <c r="V3122" s="17">
        <f>IF(N3122&gt;0,P3122/N3122,"")</f>
        <v/>
      </c>
      <c r="W3122" s="17">
        <f>IF(O3122&gt;0,H3122/O3122,"")</f>
        <v/>
      </c>
    </row>
    <row r="3123">
      <c r="A3123" s="13" t="inlineStr">
        <is>
          <t>CW21_B2</t>
        </is>
      </c>
      <c r="B3123" s="13" t="inlineStr">
        <is>
          <t>CW21</t>
        </is>
      </c>
      <c r="C3123" s="13" t="inlineStr">
        <is>
          <t>B2</t>
        </is>
      </c>
      <c r="D3123" s="13" t="n">
        <v>0</v>
      </c>
      <c r="E3123" s="13" t="inlineStr">
        <is>
          <t>W</t>
        </is>
      </c>
      <c r="F3123" s="13" t="n">
        <v>2026</v>
      </c>
      <c r="G3123" s="14" t="n">
        <v>1000473.781544554</v>
      </c>
      <c r="H3123" s="14" t="n">
        <v>55017.0874577541</v>
      </c>
      <c r="I3123" s="14" t="n">
        <v>159384.6258670583</v>
      </c>
      <c r="J3123" s="14" t="n">
        <v>0</v>
      </c>
      <c r="K3123" s="14" t="n">
        <v>46647.94298245299</v>
      </c>
      <c r="L3123" s="14" t="n">
        <v>739424.1252372891</v>
      </c>
      <c r="M3123" s="14" t="n">
        <v>0</v>
      </c>
      <c r="N3123" s="14" t="n">
        <v>75649.42924439676</v>
      </c>
      <c r="O3123" s="14" t="n">
        <v>289760.4223306992</v>
      </c>
      <c r="P3123" s="14" t="n">
        <v>26617.24366401224</v>
      </c>
      <c r="Q3123" s="14" t="n">
        <v>2233461.408032436</v>
      </c>
      <c r="R3123" s="15">
        <f>IF(D3123=1,"Section 1","Control")</f>
        <v/>
      </c>
      <c r="S3123" s="16">
        <f>N3123/10000</f>
        <v/>
      </c>
      <c r="T3123" s="16">
        <f>P3123/10000</f>
        <v/>
      </c>
      <c r="U3123" s="15">
        <f>IF(N3123&gt;=Summary!$D$3,1,0)</f>
        <v/>
      </c>
      <c r="V3123" s="17">
        <f>IF(N3123&gt;0,P3123/N3123,"")</f>
        <v/>
      </c>
      <c r="W3123" s="17">
        <f>IF(O3123&gt;0,H3123/O3123,"")</f>
        <v/>
      </c>
    </row>
    <row r="3124">
      <c r="A3124" s="13" t="inlineStr">
        <is>
          <t>CW21_B3</t>
        </is>
      </c>
      <c r="B3124" s="13" t="inlineStr">
        <is>
          <t>CW21</t>
        </is>
      </c>
      <c r="C3124" s="13" t="inlineStr">
        <is>
          <t>B3</t>
        </is>
      </c>
      <c r="D3124" s="13" t="n">
        <v>0</v>
      </c>
      <c r="E3124" s="13" t="inlineStr">
        <is>
          <t>W</t>
        </is>
      </c>
      <c r="F3124" s="13" t="n">
        <v>2020</v>
      </c>
      <c r="G3124" s="14" t="n">
        <v>8004245.173510533</v>
      </c>
      <c r="H3124" s="14" t="n">
        <v>1478379.331152673</v>
      </c>
      <c r="I3124" s="14" t="n">
        <v>366376.204160982</v>
      </c>
      <c r="J3124" s="14" t="n">
        <v>0</v>
      </c>
      <c r="K3124" s="14" t="n">
        <v>1479814.331340685</v>
      </c>
      <c r="L3124" s="14" t="n">
        <v>4679675.306856192</v>
      </c>
      <c r="M3124" s="14" t="n">
        <v>0</v>
      </c>
      <c r="N3124" s="14" t="n">
        <v>1478379.331152673</v>
      </c>
      <c r="O3124" s="14" t="n">
        <v>3324569.86665434</v>
      </c>
      <c r="P3124" s="14" t="n">
        <v>0</v>
      </c>
      <c r="Q3124" s="14" t="n">
        <v>19838195.30307153</v>
      </c>
      <c r="R3124" s="15">
        <f>IF(D3124=1,"Section 1","Control")</f>
        <v/>
      </c>
      <c r="S3124" s="16">
        <f>N3124/10000</f>
        <v/>
      </c>
      <c r="T3124" s="16">
        <f>P3124/10000</f>
        <v/>
      </c>
      <c r="U3124" s="15">
        <f>IF(N3124&gt;=Summary!$D$3,1,0)</f>
        <v/>
      </c>
      <c r="V3124" s="17">
        <f>IF(N3124&gt;0,P3124/N3124,"")</f>
        <v/>
      </c>
      <c r="W3124" s="17">
        <f>IF(O3124&gt;0,H3124/O3124,"")</f>
        <v/>
      </c>
    </row>
    <row r="3125">
      <c r="A3125" s="13" t="inlineStr">
        <is>
          <t>CW21_B3</t>
        </is>
      </c>
      <c r="B3125" s="13" t="inlineStr">
        <is>
          <t>CW21</t>
        </is>
      </c>
      <c r="C3125" s="13" t="inlineStr">
        <is>
          <t>B3</t>
        </is>
      </c>
      <c r="D3125" s="13" t="n">
        <v>0</v>
      </c>
      <c r="E3125" s="13" t="inlineStr">
        <is>
          <t>W</t>
        </is>
      </c>
      <c r="F3125" s="13" t="n">
        <v>2021</v>
      </c>
      <c r="G3125" s="14" t="n">
        <v>8004245.173510533</v>
      </c>
      <c r="H3125" s="14" t="n">
        <v>1144211.665381996</v>
      </c>
      <c r="I3125" s="14" t="n">
        <v>179797.6711146037</v>
      </c>
      <c r="J3125" s="14" t="n">
        <v>0</v>
      </c>
      <c r="K3125" s="14" t="n">
        <v>2018128.341645274</v>
      </c>
      <c r="L3125" s="14" t="n">
        <v>4662107.495368658</v>
      </c>
      <c r="M3125" s="14" t="n">
        <v>0</v>
      </c>
      <c r="N3125" s="14" t="n">
        <v>1478379.331152673</v>
      </c>
      <c r="O3125" s="14" t="n">
        <v>3324569.86665434</v>
      </c>
      <c r="P3125" s="14" t="n">
        <v>349886.8028049245</v>
      </c>
      <c r="Q3125" s="14" t="n">
        <v>19838195.30307153</v>
      </c>
      <c r="R3125" s="15">
        <f>IF(D3125=1,"Section 1","Control")</f>
        <v/>
      </c>
      <c r="S3125" s="16">
        <f>N3125/10000</f>
        <v/>
      </c>
      <c r="T3125" s="16">
        <f>P3125/10000</f>
        <v/>
      </c>
      <c r="U3125" s="15">
        <f>IF(N3125&gt;=Summary!$D$3,1,0)</f>
        <v/>
      </c>
      <c r="V3125" s="17">
        <f>IF(N3125&gt;0,P3125/N3125,"")</f>
        <v/>
      </c>
      <c r="W3125" s="17">
        <f>IF(O3125&gt;0,H3125/O3125,"")</f>
        <v/>
      </c>
    </row>
    <row r="3126">
      <c r="A3126" s="13" t="inlineStr">
        <is>
          <t>CW21_B3</t>
        </is>
      </c>
      <c r="B3126" s="13" t="inlineStr">
        <is>
          <t>CW21</t>
        </is>
      </c>
      <c r="C3126" s="13" t="inlineStr">
        <is>
          <t>B3</t>
        </is>
      </c>
      <c r="D3126" s="13" t="n">
        <v>0</v>
      </c>
      <c r="E3126" s="13" t="inlineStr">
        <is>
          <t>W</t>
        </is>
      </c>
      <c r="F3126" s="13" t="n">
        <v>2022</v>
      </c>
      <c r="G3126" s="14" t="n">
        <v>8004245.173510533</v>
      </c>
      <c r="H3126" s="14" t="n">
        <v>1067542.796804361</v>
      </c>
      <c r="I3126" s="14" t="n">
        <v>248397.1699803969</v>
      </c>
      <c r="J3126" s="14" t="n">
        <v>0</v>
      </c>
      <c r="K3126" s="14" t="n">
        <v>2026389.74314662</v>
      </c>
      <c r="L3126" s="14" t="n">
        <v>4661915.463579155</v>
      </c>
      <c r="M3126" s="14" t="n">
        <v>0</v>
      </c>
      <c r="N3126" s="14" t="n">
        <v>1478379.331152673</v>
      </c>
      <c r="O3126" s="14" t="n">
        <v>3324569.86665434</v>
      </c>
      <c r="P3126" s="14" t="n">
        <v>417547.8411335964</v>
      </c>
      <c r="Q3126" s="14" t="n">
        <v>19838195.30307153</v>
      </c>
      <c r="R3126" s="15">
        <f>IF(D3126=1,"Section 1","Control")</f>
        <v/>
      </c>
      <c r="S3126" s="16">
        <f>N3126/10000</f>
        <v/>
      </c>
      <c r="T3126" s="16">
        <f>P3126/10000</f>
        <v/>
      </c>
      <c r="U3126" s="15">
        <f>IF(N3126&gt;=Summary!$D$3,1,0)</f>
        <v/>
      </c>
      <c r="V3126" s="17">
        <f>IF(N3126&gt;0,P3126/N3126,"")</f>
        <v/>
      </c>
      <c r="W3126" s="17">
        <f>IF(O3126&gt;0,H3126/O3126,"")</f>
        <v/>
      </c>
    </row>
    <row r="3127">
      <c r="A3127" s="13" t="inlineStr">
        <is>
          <t>CW21_B3</t>
        </is>
      </c>
      <c r="B3127" s="13" t="inlineStr">
        <is>
          <t>CW21</t>
        </is>
      </c>
      <c r="C3127" s="13" t="inlineStr">
        <is>
          <t>B3</t>
        </is>
      </c>
      <c r="D3127" s="13" t="n">
        <v>0</v>
      </c>
      <c r="E3127" s="13" t="inlineStr">
        <is>
          <t>W</t>
        </is>
      </c>
      <c r="F3127" s="13" t="n">
        <v>2023</v>
      </c>
      <c r="G3127" s="14" t="n">
        <v>8004245.173510531</v>
      </c>
      <c r="H3127" s="14" t="n">
        <v>1073341.155569488</v>
      </c>
      <c r="I3127" s="14" t="n">
        <v>260967.8209590239</v>
      </c>
      <c r="J3127" s="14" t="n">
        <v>0</v>
      </c>
      <c r="K3127" s="14" t="n">
        <v>1994290.847081682</v>
      </c>
      <c r="L3127" s="14" t="n">
        <v>4675645.349900339</v>
      </c>
      <c r="M3127" s="14" t="n">
        <v>0</v>
      </c>
      <c r="N3127" s="14" t="n">
        <v>1478379.331152673</v>
      </c>
      <c r="O3127" s="14" t="n">
        <v>3324569.86665434</v>
      </c>
      <c r="P3127" s="14" t="n">
        <v>423500.1619433833</v>
      </c>
      <c r="Q3127" s="14" t="n">
        <v>19838195.30307153</v>
      </c>
      <c r="R3127" s="15">
        <f>IF(D3127=1,"Section 1","Control")</f>
        <v/>
      </c>
      <c r="S3127" s="16">
        <f>N3127/10000</f>
        <v/>
      </c>
      <c r="T3127" s="16">
        <f>P3127/10000</f>
        <v/>
      </c>
      <c r="U3127" s="15">
        <f>IF(N3127&gt;=Summary!$D$3,1,0)</f>
        <v/>
      </c>
      <c r="V3127" s="17">
        <f>IF(N3127&gt;0,P3127/N3127,"")</f>
        <v/>
      </c>
      <c r="W3127" s="17">
        <f>IF(O3127&gt;0,H3127/O3127,"")</f>
        <v/>
      </c>
    </row>
    <row r="3128">
      <c r="A3128" s="13" t="inlineStr">
        <is>
          <t>CW21_B3</t>
        </is>
      </c>
      <c r="B3128" s="13" t="inlineStr">
        <is>
          <t>CW21</t>
        </is>
      </c>
      <c r="C3128" s="13" t="inlineStr">
        <is>
          <t>B3</t>
        </is>
      </c>
      <c r="D3128" s="13" t="n">
        <v>0</v>
      </c>
      <c r="E3128" s="13" t="inlineStr">
        <is>
          <t>W</t>
        </is>
      </c>
      <c r="F3128" s="13" t="n">
        <v>2024</v>
      </c>
      <c r="G3128" s="14" t="n">
        <v>8004245.173510533</v>
      </c>
      <c r="H3128" s="14" t="n">
        <v>1074072.102903508</v>
      </c>
      <c r="I3128" s="14" t="n">
        <v>299990.4257324219</v>
      </c>
      <c r="J3128" s="14" t="n">
        <v>0</v>
      </c>
      <c r="K3128" s="14" t="n">
        <v>1961484.896567161</v>
      </c>
      <c r="L3128" s="14" t="n">
        <v>4668697.748307441</v>
      </c>
      <c r="M3128" s="14" t="n">
        <v>0</v>
      </c>
      <c r="N3128" s="14" t="n">
        <v>1478379.331152673</v>
      </c>
      <c r="O3128" s="14" t="n">
        <v>3324569.86665434</v>
      </c>
      <c r="P3128" s="14" t="n">
        <v>428371.2045209997</v>
      </c>
      <c r="Q3128" s="14" t="n">
        <v>19838195.30307153</v>
      </c>
      <c r="R3128" s="15">
        <f>IF(D3128=1,"Section 1","Control")</f>
        <v/>
      </c>
      <c r="S3128" s="16">
        <f>N3128/10000</f>
        <v/>
      </c>
      <c r="T3128" s="16">
        <f>P3128/10000</f>
        <v/>
      </c>
      <c r="U3128" s="15">
        <f>IF(N3128&gt;=Summary!$D$3,1,0)</f>
        <v/>
      </c>
      <c r="V3128" s="17">
        <f>IF(N3128&gt;0,P3128/N3128,"")</f>
        <v/>
      </c>
      <c r="W3128" s="17">
        <f>IF(O3128&gt;0,H3128/O3128,"")</f>
        <v/>
      </c>
    </row>
    <row r="3129">
      <c r="A3129" s="13" t="inlineStr">
        <is>
          <t>CW21_B3</t>
        </is>
      </c>
      <c r="B3129" s="13" t="inlineStr">
        <is>
          <t>CW21</t>
        </is>
      </c>
      <c r="C3129" s="13" t="inlineStr">
        <is>
          <t>B3</t>
        </is>
      </c>
      <c r="D3129" s="13" t="n">
        <v>0</v>
      </c>
      <c r="E3129" s="13" t="inlineStr">
        <is>
          <t>W</t>
        </is>
      </c>
      <c r="F3129" s="13" t="n">
        <v>2025</v>
      </c>
      <c r="G3129" s="14" t="n">
        <v>8004245.173510533</v>
      </c>
      <c r="H3129" s="14" t="n">
        <v>1025185.409695195</v>
      </c>
      <c r="I3129" s="14" t="n">
        <v>423650.6556739059</v>
      </c>
      <c r="J3129" s="14" t="n">
        <v>0</v>
      </c>
      <c r="K3129" s="14" t="n">
        <v>1876503.864427574</v>
      </c>
      <c r="L3129" s="14" t="n">
        <v>4678905.243713858</v>
      </c>
      <c r="M3129" s="14" t="n">
        <v>0</v>
      </c>
      <c r="N3129" s="14" t="n">
        <v>1478379.331152673</v>
      </c>
      <c r="O3129" s="14" t="n">
        <v>3324569.86665434</v>
      </c>
      <c r="P3129" s="14" t="n">
        <v>466410.3574680702</v>
      </c>
      <c r="Q3129" s="14" t="n">
        <v>19838195.30307153</v>
      </c>
      <c r="R3129" s="15">
        <f>IF(D3129=1,"Section 1","Control")</f>
        <v/>
      </c>
      <c r="S3129" s="16">
        <f>N3129/10000</f>
        <v/>
      </c>
      <c r="T3129" s="16">
        <f>P3129/10000</f>
        <v/>
      </c>
      <c r="U3129" s="15">
        <f>IF(N3129&gt;=Summary!$D$3,1,0)</f>
        <v/>
      </c>
      <c r="V3129" s="17">
        <f>IF(N3129&gt;0,P3129/N3129,"")</f>
        <v/>
      </c>
      <c r="W3129" s="17">
        <f>IF(O3129&gt;0,H3129/O3129,"")</f>
        <v/>
      </c>
    </row>
    <row r="3130">
      <c r="A3130" s="13" t="inlineStr">
        <is>
          <t>CW21_B3</t>
        </is>
      </c>
      <c r="B3130" s="13" t="inlineStr">
        <is>
          <t>CW21</t>
        </is>
      </c>
      <c r="C3130" s="13" t="inlineStr">
        <is>
          <t>B3</t>
        </is>
      </c>
      <c r="D3130" s="13" t="n">
        <v>0</v>
      </c>
      <c r="E3130" s="13" t="inlineStr">
        <is>
          <t>W</t>
        </is>
      </c>
      <c r="F3130" s="13" t="n">
        <v>2026</v>
      </c>
      <c r="G3130" s="14" t="n">
        <v>8004245.173510533</v>
      </c>
      <c r="H3130" s="14" t="n">
        <v>1087468.207036426</v>
      </c>
      <c r="I3130" s="14" t="n">
        <v>238043.65901582</v>
      </c>
      <c r="J3130" s="14" t="n">
        <v>0</v>
      </c>
      <c r="K3130" s="14" t="n">
        <v>1996962.299176444</v>
      </c>
      <c r="L3130" s="14" t="n">
        <v>4681771.008281842</v>
      </c>
      <c r="M3130" s="14" t="n">
        <v>0</v>
      </c>
      <c r="N3130" s="14" t="n">
        <v>1478379.331152672</v>
      </c>
      <c r="O3130" s="14" t="n">
        <v>3324569.86665434</v>
      </c>
      <c r="P3130" s="14" t="n">
        <v>440022.6617844526</v>
      </c>
      <c r="Q3130" s="14" t="n">
        <v>19838195.30307154</v>
      </c>
      <c r="R3130" s="15">
        <f>IF(D3130=1,"Section 1","Control")</f>
        <v/>
      </c>
      <c r="S3130" s="16">
        <f>N3130/10000</f>
        <v/>
      </c>
      <c r="T3130" s="16">
        <f>P3130/10000</f>
        <v/>
      </c>
      <c r="U3130" s="15">
        <f>IF(N3130&gt;=Summary!$D$3,1,0)</f>
        <v/>
      </c>
      <c r="V3130" s="17">
        <f>IF(N3130&gt;0,P3130/N3130,"")</f>
        <v/>
      </c>
      <c r="W3130" s="17">
        <f>IF(O3130&gt;0,H3130/O3130,"")</f>
        <v/>
      </c>
    </row>
    <row r="3131">
      <c r="A3131" s="13" t="inlineStr">
        <is>
          <t>CW21_F</t>
        </is>
      </c>
      <c r="B3131" s="13" t="inlineStr">
        <is>
          <t>CW21</t>
        </is>
      </c>
      <c r="C3131" s="13" t="inlineStr">
        <is>
          <t>F</t>
        </is>
      </c>
      <c r="D3131" s="13" t="n">
        <v>0</v>
      </c>
      <c r="E3131" s="13" t="inlineStr">
        <is>
          <t>W</t>
        </is>
      </c>
      <c r="F3131" s="13" t="n">
        <v>2020</v>
      </c>
      <c r="G3131" s="14" t="n">
        <v>69066.49298188454</v>
      </c>
      <c r="H3131" s="14" t="n">
        <v>60266.16711593331</v>
      </c>
      <c r="I3131" s="14" t="n">
        <v>5786.611486577055</v>
      </c>
      <c r="J3131" s="14" t="n">
        <v>0</v>
      </c>
      <c r="K3131" s="14" t="n">
        <v>3013.714379374186</v>
      </c>
      <c r="L3131" s="14" t="n">
        <v>0</v>
      </c>
      <c r="M3131" s="14" t="n">
        <v>0</v>
      </c>
      <c r="N3131" s="14" t="n">
        <v>60266.16711593331</v>
      </c>
      <c r="O3131" s="14" t="n">
        <v>69066.49298188454</v>
      </c>
      <c r="P3131" s="14" t="n">
        <v>0</v>
      </c>
      <c r="Q3131" s="14" t="n">
        <v>325525.3365300199</v>
      </c>
      <c r="R3131" s="15">
        <f>IF(D3131=1,"Section 1","Control")</f>
        <v/>
      </c>
      <c r="S3131" s="16">
        <f>N3131/10000</f>
        <v/>
      </c>
      <c r="T3131" s="16">
        <f>P3131/10000</f>
        <v/>
      </c>
      <c r="U3131" s="15">
        <f>IF(N3131&gt;=Summary!$D$3,1,0)</f>
        <v/>
      </c>
      <c r="V3131" s="17">
        <f>IF(N3131&gt;0,P3131/N3131,"")</f>
        <v/>
      </c>
      <c r="W3131" s="17">
        <f>IF(O3131&gt;0,H3131/O3131,"")</f>
        <v/>
      </c>
    </row>
    <row r="3132">
      <c r="A3132" s="13" t="inlineStr">
        <is>
          <t>CW21_F</t>
        </is>
      </c>
      <c r="B3132" s="13" t="inlineStr">
        <is>
          <t>CW21</t>
        </is>
      </c>
      <c r="C3132" s="13" t="inlineStr">
        <is>
          <t>F</t>
        </is>
      </c>
      <c r="D3132" s="13" t="n">
        <v>0</v>
      </c>
      <c r="E3132" s="13" t="inlineStr">
        <is>
          <t>W</t>
        </is>
      </c>
      <c r="F3132" s="13" t="n">
        <v>2021</v>
      </c>
      <c r="G3132" s="14" t="n">
        <v>69066.49298188454</v>
      </c>
      <c r="H3132" s="14" t="n">
        <v>53285.9171912399</v>
      </c>
      <c r="I3132" s="14" t="n">
        <v>4591.036362891103</v>
      </c>
      <c r="J3132" s="14" t="n">
        <v>0</v>
      </c>
      <c r="K3132" s="14" t="n">
        <v>11189.53942775352</v>
      </c>
      <c r="L3132" s="14" t="n">
        <v>0</v>
      </c>
      <c r="M3132" s="14" t="n">
        <v>0</v>
      </c>
      <c r="N3132" s="14" t="n">
        <v>60266.16711593331</v>
      </c>
      <c r="O3132" s="14" t="n">
        <v>69066.49298188454</v>
      </c>
      <c r="P3132" s="14" t="n">
        <v>7605.138769710764</v>
      </c>
      <c r="Q3132" s="14" t="n">
        <v>325525.3365300199</v>
      </c>
      <c r="R3132" s="15">
        <f>IF(D3132=1,"Section 1","Control")</f>
        <v/>
      </c>
      <c r="S3132" s="16">
        <f>N3132/10000</f>
        <v/>
      </c>
      <c r="T3132" s="16">
        <f>P3132/10000</f>
        <v/>
      </c>
      <c r="U3132" s="15">
        <f>IF(N3132&gt;=Summary!$D$3,1,0)</f>
        <v/>
      </c>
      <c r="V3132" s="17">
        <f>IF(N3132&gt;0,P3132/N3132,"")</f>
        <v/>
      </c>
      <c r="W3132" s="17">
        <f>IF(O3132&gt;0,H3132/O3132,"")</f>
        <v/>
      </c>
    </row>
    <row r="3133">
      <c r="A3133" s="13" t="inlineStr">
        <is>
          <t>CW21_F</t>
        </is>
      </c>
      <c r="B3133" s="13" t="inlineStr">
        <is>
          <t>CW21</t>
        </is>
      </c>
      <c r="C3133" s="13" t="inlineStr">
        <is>
          <t>F</t>
        </is>
      </c>
      <c r="D3133" s="13" t="n">
        <v>0</v>
      </c>
      <c r="E3133" s="13" t="inlineStr">
        <is>
          <t>W</t>
        </is>
      </c>
      <c r="F3133" s="13" t="n">
        <v>2022</v>
      </c>
      <c r="G3133" s="14" t="n">
        <v>69066.49298188454</v>
      </c>
      <c r="H3133" s="14" t="n">
        <v>48634.09595271093</v>
      </c>
      <c r="I3133" s="14" t="n">
        <v>11143.07774852678</v>
      </c>
      <c r="J3133" s="14" t="n">
        <v>0</v>
      </c>
      <c r="K3133" s="14" t="n">
        <v>9289.319280646831</v>
      </c>
      <c r="L3133" s="14" t="n">
        <v>0</v>
      </c>
      <c r="M3133" s="14" t="n">
        <v>0</v>
      </c>
      <c r="N3133" s="14" t="n">
        <v>60266.16711593331</v>
      </c>
      <c r="O3133" s="14" t="n">
        <v>69066.49298188454</v>
      </c>
      <c r="P3133" s="14" t="n">
        <v>11928.25455097872</v>
      </c>
      <c r="Q3133" s="14" t="n">
        <v>325525.3365300199</v>
      </c>
      <c r="R3133" s="15">
        <f>IF(D3133=1,"Section 1","Control")</f>
        <v/>
      </c>
      <c r="S3133" s="16">
        <f>N3133/10000</f>
        <v/>
      </c>
      <c r="T3133" s="16">
        <f>P3133/10000</f>
        <v/>
      </c>
      <c r="U3133" s="15">
        <f>IF(N3133&gt;=Summary!$D$3,1,0)</f>
        <v/>
      </c>
      <c r="V3133" s="17">
        <f>IF(N3133&gt;0,P3133/N3133,"")</f>
        <v/>
      </c>
      <c r="W3133" s="17">
        <f>IF(O3133&gt;0,H3133/O3133,"")</f>
        <v/>
      </c>
    </row>
    <row r="3134">
      <c r="A3134" s="13" t="inlineStr">
        <is>
          <t>CW21_F</t>
        </is>
      </c>
      <c r="B3134" s="13" t="inlineStr">
        <is>
          <t>CW21</t>
        </is>
      </c>
      <c r="C3134" s="13" t="inlineStr">
        <is>
          <t>F</t>
        </is>
      </c>
      <c r="D3134" s="13" t="n">
        <v>0</v>
      </c>
      <c r="E3134" s="13" t="inlineStr">
        <is>
          <t>W</t>
        </is>
      </c>
      <c r="F3134" s="13" t="n">
        <v>2023</v>
      </c>
      <c r="G3134" s="14" t="n">
        <v>69066.49298188454</v>
      </c>
      <c r="H3134" s="14" t="n">
        <v>57411.57818441953</v>
      </c>
      <c r="I3134" s="14" t="n">
        <v>2735.728161770689</v>
      </c>
      <c r="J3134" s="14" t="n">
        <v>0</v>
      </c>
      <c r="K3134" s="14" t="n">
        <v>8919.186635694319</v>
      </c>
      <c r="L3134" s="14" t="n">
        <v>0</v>
      </c>
      <c r="M3134" s="14" t="n">
        <v>0</v>
      </c>
      <c r="N3134" s="14" t="n">
        <v>60266.1671159333</v>
      </c>
      <c r="O3134" s="14" t="n">
        <v>69066.49298188454</v>
      </c>
      <c r="P3134" s="14" t="n">
        <v>6362.330074145748</v>
      </c>
      <c r="Q3134" s="14" t="n">
        <v>325525.3365300199</v>
      </c>
      <c r="R3134" s="15">
        <f>IF(D3134=1,"Section 1","Control")</f>
        <v/>
      </c>
      <c r="S3134" s="16">
        <f>N3134/10000</f>
        <v/>
      </c>
      <c r="T3134" s="16">
        <f>P3134/10000</f>
        <v/>
      </c>
      <c r="U3134" s="15">
        <f>IF(N3134&gt;=Summary!$D$3,1,0)</f>
        <v/>
      </c>
      <c r="V3134" s="17">
        <f>IF(N3134&gt;0,P3134/N3134,"")</f>
        <v/>
      </c>
      <c r="W3134" s="17">
        <f>IF(O3134&gt;0,H3134/O3134,"")</f>
        <v/>
      </c>
    </row>
    <row r="3135">
      <c r="A3135" s="13" t="inlineStr">
        <is>
          <t>CW21_F</t>
        </is>
      </c>
      <c r="B3135" s="13" t="inlineStr">
        <is>
          <t>CW21</t>
        </is>
      </c>
      <c r="C3135" s="13" t="inlineStr">
        <is>
          <t>F</t>
        </is>
      </c>
      <c r="D3135" s="13" t="n">
        <v>0</v>
      </c>
      <c r="E3135" s="13" t="inlineStr">
        <is>
          <t>W</t>
        </is>
      </c>
      <c r="F3135" s="13" t="n">
        <v>2024</v>
      </c>
      <c r="G3135" s="14" t="n">
        <v>69066.49298188454</v>
      </c>
      <c r="H3135" s="14" t="n">
        <v>58251.73221977085</v>
      </c>
      <c r="I3135" s="14" t="n">
        <v>1939.323978289436</v>
      </c>
      <c r="J3135" s="14" t="n">
        <v>0</v>
      </c>
      <c r="K3135" s="14" t="n">
        <v>8875.436783824247</v>
      </c>
      <c r="L3135" s="14" t="n">
        <v>0</v>
      </c>
      <c r="M3135" s="14" t="n">
        <v>0</v>
      </c>
      <c r="N3135" s="14" t="n">
        <v>60266.16711593331</v>
      </c>
      <c r="O3135" s="14" t="n">
        <v>69066.49298188454</v>
      </c>
      <c r="P3135" s="14" t="n">
        <v>5967.418865039303</v>
      </c>
      <c r="Q3135" s="14" t="n">
        <v>325525.3365300199</v>
      </c>
      <c r="R3135" s="15">
        <f>IF(D3135=1,"Section 1","Control")</f>
        <v/>
      </c>
      <c r="S3135" s="16">
        <f>N3135/10000</f>
        <v/>
      </c>
      <c r="T3135" s="16">
        <f>P3135/10000</f>
        <v/>
      </c>
      <c r="U3135" s="15">
        <f>IF(N3135&gt;=Summary!$D$3,1,0)</f>
        <v/>
      </c>
      <c r="V3135" s="17">
        <f>IF(N3135&gt;0,P3135/N3135,"")</f>
        <v/>
      </c>
      <c r="W3135" s="17">
        <f>IF(O3135&gt;0,H3135/O3135,"")</f>
        <v/>
      </c>
    </row>
    <row r="3136">
      <c r="A3136" s="13" t="inlineStr">
        <is>
          <t>CW21_F</t>
        </is>
      </c>
      <c r="B3136" s="13" t="inlineStr">
        <is>
          <t>CW21</t>
        </is>
      </c>
      <c r="C3136" s="13" t="inlineStr">
        <is>
          <t>F</t>
        </is>
      </c>
      <c r="D3136" s="13" t="n">
        <v>0</v>
      </c>
      <c r="E3136" s="13" t="inlineStr">
        <is>
          <t>W</t>
        </is>
      </c>
      <c r="F3136" s="13" t="n">
        <v>2025</v>
      </c>
      <c r="G3136" s="14" t="n">
        <v>69066.49298188454</v>
      </c>
      <c r="H3136" s="14" t="n">
        <v>54991.77933843277</v>
      </c>
      <c r="I3136" s="14" t="n">
        <v>5038.602335522221</v>
      </c>
      <c r="J3136" s="14" t="n">
        <v>0</v>
      </c>
      <c r="K3136" s="14" t="n">
        <v>9036.111307929545</v>
      </c>
      <c r="L3136" s="14" t="n">
        <v>0</v>
      </c>
      <c r="M3136" s="14" t="n">
        <v>0</v>
      </c>
      <c r="N3136" s="14" t="n">
        <v>60266.16711593331</v>
      </c>
      <c r="O3136" s="14" t="n">
        <v>69066.49298188454</v>
      </c>
      <c r="P3136" s="14" t="n">
        <v>7790.979215345196</v>
      </c>
      <c r="Q3136" s="14" t="n">
        <v>325525.3365300199</v>
      </c>
      <c r="R3136" s="15">
        <f>IF(D3136=1,"Section 1","Control")</f>
        <v/>
      </c>
      <c r="S3136" s="16">
        <f>N3136/10000</f>
        <v/>
      </c>
      <c r="T3136" s="16">
        <f>P3136/10000</f>
        <v/>
      </c>
      <c r="U3136" s="15">
        <f>IF(N3136&gt;=Summary!$D$3,1,0)</f>
        <v/>
      </c>
      <c r="V3136" s="17">
        <f>IF(N3136&gt;0,P3136/N3136,"")</f>
        <v/>
      </c>
      <c r="W3136" s="17">
        <f>IF(O3136&gt;0,H3136/O3136,"")</f>
        <v/>
      </c>
    </row>
    <row r="3137">
      <c r="A3137" s="13" t="inlineStr">
        <is>
          <t>CW21_F</t>
        </is>
      </c>
      <c r="B3137" s="13" t="inlineStr">
        <is>
          <t>CW21</t>
        </is>
      </c>
      <c r="C3137" s="13" t="inlineStr">
        <is>
          <t>F</t>
        </is>
      </c>
      <c r="D3137" s="13" t="n">
        <v>0</v>
      </c>
      <c r="E3137" s="13" t="inlineStr">
        <is>
          <t>W</t>
        </is>
      </c>
      <c r="F3137" s="13" t="n">
        <v>2026</v>
      </c>
      <c r="G3137" s="14" t="n">
        <v>69066.49298188454</v>
      </c>
      <c r="H3137" s="14" t="n">
        <v>55510.58411210005</v>
      </c>
      <c r="I3137" s="14" t="n">
        <v>3018.747647752948</v>
      </c>
      <c r="J3137" s="14" t="n">
        <v>0</v>
      </c>
      <c r="K3137" s="14" t="n">
        <v>10537.16122203154</v>
      </c>
      <c r="L3137" s="14" t="n">
        <v>0</v>
      </c>
      <c r="M3137" s="14" t="n">
        <v>0</v>
      </c>
      <c r="N3137" s="14" t="n">
        <v>60266.16711593331</v>
      </c>
      <c r="O3137" s="14" t="n">
        <v>69066.49298188454</v>
      </c>
      <c r="P3137" s="14" t="n">
        <v>6569.077648357316</v>
      </c>
      <c r="Q3137" s="14" t="n">
        <v>325525.3365300199</v>
      </c>
      <c r="R3137" s="15">
        <f>IF(D3137=1,"Section 1","Control")</f>
        <v/>
      </c>
      <c r="S3137" s="16">
        <f>N3137/10000</f>
        <v/>
      </c>
      <c r="T3137" s="16">
        <f>P3137/10000</f>
        <v/>
      </c>
      <c r="U3137" s="15">
        <f>IF(N3137&gt;=Summary!$D$3,1,0)</f>
        <v/>
      </c>
      <c r="V3137" s="17">
        <f>IF(N3137&gt;0,P3137/N3137,"")</f>
        <v/>
      </c>
      <c r="W3137" s="17">
        <f>IF(O3137&gt;0,H3137/O3137,"")</f>
        <v/>
      </c>
    </row>
    <row r="3138">
      <c r="A3138" s="13" t="inlineStr">
        <is>
          <t>CW22_B1</t>
        </is>
      </c>
      <c r="B3138" s="13" t="inlineStr">
        <is>
          <t>CW22</t>
        </is>
      </c>
      <c r="C3138" s="13" t="inlineStr">
        <is>
          <t>B1</t>
        </is>
      </c>
      <c r="D3138" s="13" t="n">
        <v>0</v>
      </c>
      <c r="E3138" s="13" t="inlineStr">
        <is>
          <t>W</t>
        </is>
      </c>
      <c r="F3138" s="13" t="n">
        <v>2020</v>
      </c>
      <c r="G3138" s="14" t="n">
        <v>1000964.237279256</v>
      </c>
      <c r="H3138" s="14" t="n">
        <v>832502.7093016382</v>
      </c>
      <c r="I3138" s="14" t="n">
        <v>43669.32524901745</v>
      </c>
      <c r="J3138" s="14" t="n">
        <v>0</v>
      </c>
      <c r="K3138" s="14" t="n">
        <v>55449.83471637801</v>
      </c>
      <c r="L3138" s="14" t="n">
        <v>69342.36801222259</v>
      </c>
      <c r="M3138" s="14" t="n">
        <v>0</v>
      </c>
      <c r="N3138" s="14" t="n">
        <v>832502.7093016382</v>
      </c>
      <c r="O3138" s="14" t="n">
        <v>931621.8692670336</v>
      </c>
      <c r="P3138" s="14" t="n">
        <v>0</v>
      </c>
      <c r="Q3138" s="14" t="n">
        <v>6202741.083161987</v>
      </c>
      <c r="R3138" s="15">
        <f>IF(D3138=1,"Section 1","Control")</f>
        <v/>
      </c>
      <c r="S3138" s="16">
        <f>N3138/10000</f>
        <v/>
      </c>
      <c r="T3138" s="16">
        <f>P3138/10000</f>
        <v/>
      </c>
      <c r="U3138" s="15">
        <f>IF(N3138&gt;=Summary!$D$3,1,0)</f>
        <v/>
      </c>
      <c r="V3138" s="17">
        <f>IF(N3138&gt;0,P3138/N3138,"")</f>
        <v/>
      </c>
      <c r="W3138" s="17">
        <f>IF(O3138&gt;0,H3138/O3138,"")</f>
        <v/>
      </c>
    </row>
    <row r="3139">
      <c r="A3139" s="13" t="inlineStr">
        <is>
          <t>CW22_B1</t>
        </is>
      </c>
      <c r="B3139" s="13" t="inlineStr">
        <is>
          <t>CW22</t>
        </is>
      </c>
      <c r="C3139" s="13" t="inlineStr">
        <is>
          <t>B1</t>
        </is>
      </c>
      <c r="D3139" s="13" t="n">
        <v>0</v>
      </c>
      <c r="E3139" s="13" t="inlineStr">
        <is>
          <t>W</t>
        </is>
      </c>
      <c r="F3139" s="13" t="n">
        <v>2021</v>
      </c>
      <c r="G3139" s="14" t="n">
        <v>1000964.237279256</v>
      </c>
      <c r="H3139" s="14" t="n">
        <v>755927.4801438574</v>
      </c>
      <c r="I3139" s="14" t="n">
        <v>38640.8236939075</v>
      </c>
      <c r="J3139" s="14" t="n">
        <v>0</v>
      </c>
      <c r="K3139" s="14" t="n">
        <v>144990.4427915386</v>
      </c>
      <c r="L3139" s="14" t="n">
        <v>61405.4906499526</v>
      </c>
      <c r="M3139" s="14" t="n">
        <v>0</v>
      </c>
      <c r="N3139" s="14" t="n">
        <v>832502.7093016382</v>
      </c>
      <c r="O3139" s="14" t="n">
        <v>931621.8692670336</v>
      </c>
      <c r="P3139" s="14" t="n">
        <v>79353.15258525773</v>
      </c>
      <c r="Q3139" s="14" t="n">
        <v>6202741.083161987</v>
      </c>
      <c r="R3139" s="15">
        <f>IF(D3139=1,"Section 1","Control")</f>
        <v/>
      </c>
      <c r="S3139" s="16">
        <f>N3139/10000</f>
        <v/>
      </c>
      <c r="T3139" s="16">
        <f>P3139/10000</f>
        <v/>
      </c>
      <c r="U3139" s="15">
        <f>IF(N3139&gt;=Summary!$D$3,1,0)</f>
        <v/>
      </c>
      <c r="V3139" s="17">
        <f>IF(N3139&gt;0,P3139/N3139,"")</f>
        <v/>
      </c>
      <c r="W3139" s="17">
        <f>IF(O3139&gt;0,H3139/O3139,"")</f>
        <v/>
      </c>
    </row>
    <row r="3140">
      <c r="A3140" s="13" t="inlineStr">
        <is>
          <t>CW22_B1</t>
        </is>
      </c>
      <c r="B3140" s="13" t="inlineStr">
        <is>
          <t>CW22</t>
        </is>
      </c>
      <c r="C3140" s="13" t="inlineStr">
        <is>
          <t>B1</t>
        </is>
      </c>
      <c r="D3140" s="13" t="n">
        <v>0</v>
      </c>
      <c r="E3140" s="13" t="inlineStr">
        <is>
          <t>W</t>
        </is>
      </c>
      <c r="F3140" s="13" t="n">
        <v>2022</v>
      </c>
      <c r="G3140" s="14" t="n">
        <v>1000964.237279256</v>
      </c>
      <c r="H3140" s="14" t="n">
        <v>750771.5346403832</v>
      </c>
      <c r="I3140" s="14" t="n">
        <v>52308.16115770527</v>
      </c>
      <c r="J3140" s="14" t="n">
        <v>0</v>
      </c>
      <c r="K3140" s="14" t="n">
        <v>140124.598915489</v>
      </c>
      <c r="L3140" s="14" t="n">
        <v>57759.94256567861</v>
      </c>
      <c r="M3140" s="14" t="n">
        <v>0</v>
      </c>
      <c r="N3140" s="14" t="n">
        <v>832502.7093016382</v>
      </c>
      <c r="O3140" s="14" t="n">
        <v>931621.8692670336</v>
      </c>
      <c r="P3140" s="14" t="n">
        <v>85294.65802271225</v>
      </c>
      <c r="Q3140" s="14" t="n">
        <v>6202741.083161987</v>
      </c>
      <c r="R3140" s="15">
        <f>IF(D3140=1,"Section 1","Control")</f>
        <v/>
      </c>
      <c r="S3140" s="16">
        <f>N3140/10000</f>
        <v/>
      </c>
      <c r="T3140" s="16">
        <f>P3140/10000</f>
        <v/>
      </c>
      <c r="U3140" s="15">
        <f>IF(N3140&gt;=Summary!$D$3,1,0)</f>
        <v/>
      </c>
      <c r="V3140" s="17">
        <f>IF(N3140&gt;0,P3140/N3140,"")</f>
        <v/>
      </c>
      <c r="W3140" s="17">
        <f>IF(O3140&gt;0,H3140/O3140,"")</f>
        <v/>
      </c>
    </row>
    <row r="3141">
      <c r="A3141" s="13" t="inlineStr">
        <is>
          <t>CW22_B1</t>
        </is>
      </c>
      <c r="B3141" s="13" t="inlineStr">
        <is>
          <t>CW22</t>
        </is>
      </c>
      <c r="C3141" s="13" t="inlineStr">
        <is>
          <t>B1</t>
        </is>
      </c>
      <c r="D3141" s="13" t="n">
        <v>0</v>
      </c>
      <c r="E3141" s="13" t="inlineStr">
        <is>
          <t>W</t>
        </is>
      </c>
      <c r="F3141" s="13" t="n">
        <v>2023</v>
      </c>
      <c r="G3141" s="14" t="n">
        <v>1000964.237279256</v>
      </c>
      <c r="H3141" s="14" t="n">
        <v>751602.0414674646</v>
      </c>
      <c r="I3141" s="14" t="n">
        <v>42680.86221313477</v>
      </c>
      <c r="J3141" s="14" t="n">
        <v>0</v>
      </c>
      <c r="K3141" s="14" t="n">
        <v>109055.0081599815</v>
      </c>
      <c r="L3141" s="14" t="n">
        <v>97626.32543867524</v>
      </c>
      <c r="M3141" s="14" t="n">
        <v>0</v>
      </c>
      <c r="N3141" s="14" t="n">
        <v>832502.7093016381</v>
      </c>
      <c r="O3141" s="14" t="n">
        <v>931621.8692670336</v>
      </c>
      <c r="P3141" s="14" t="n">
        <v>86507.6310406853</v>
      </c>
      <c r="Q3141" s="14" t="n">
        <v>6202741.083161987</v>
      </c>
      <c r="R3141" s="15">
        <f>IF(D3141=1,"Section 1","Control")</f>
        <v/>
      </c>
      <c r="S3141" s="16">
        <f>N3141/10000</f>
        <v/>
      </c>
      <c r="T3141" s="16">
        <f>P3141/10000</f>
        <v/>
      </c>
      <c r="U3141" s="15">
        <f>IF(N3141&gt;=Summary!$D$3,1,0)</f>
        <v/>
      </c>
      <c r="V3141" s="17">
        <f>IF(N3141&gt;0,P3141/N3141,"")</f>
        <v/>
      </c>
      <c r="W3141" s="17">
        <f>IF(O3141&gt;0,H3141/O3141,"")</f>
        <v/>
      </c>
    </row>
    <row r="3142">
      <c r="A3142" s="13" t="inlineStr">
        <is>
          <t>CW22_B1</t>
        </is>
      </c>
      <c r="B3142" s="13" t="inlineStr">
        <is>
          <t>CW22</t>
        </is>
      </c>
      <c r="C3142" s="13" t="inlineStr">
        <is>
          <t>B1</t>
        </is>
      </c>
      <c r="D3142" s="13" t="n">
        <v>0</v>
      </c>
      <c r="E3142" s="13" t="inlineStr">
        <is>
          <t>W</t>
        </is>
      </c>
      <c r="F3142" s="13" t="n">
        <v>2024</v>
      </c>
      <c r="G3142" s="14" t="n">
        <v>1000964.237279256</v>
      </c>
      <c r="H3142" s="14" t="n">
        <v>753928.1089020673</v>
      </c>
      <c r="I3142" s="14" t="n">
        <v>37157.19843262318</v>
      </c>
      <c r="J3142" s="14" t="n">
        <v>0</v>
      </c>
      <c r="K3142" s="14" t="n">
        <v>116993.4422101189</v>
      </c>
      <c r="L3142" s="14" t="n">
        <v>92885.48773444684</v>
      </c>
      <c r="M3142" s="14" t="n">
        <v>0</v>
      </c>
      <c r="N3142" s="14" t="n">
        <v>832502.7093016382</v>
      </c>
      <c r="O3142" s="14" t="n">
        <v>931621.8692670336</v>
      </c>
      <c r="P3142" s="14" t="n">
        <v>104290.5900883095</v>
      </c>
      <c r="Q3142" s="14" t="n">
        <v>6202741.083161987</v>
      </c>
      <c r="R3142" s="15">
        <f>IF(D3142=1,"Section 1","Control")</f>
        <v/>
      </c>
      <c r="S3142" s="16">
        <f>N3142/10000</f>
        <v/>
      </c>
      <c r="T3142" s="16">
        <f>P3142/10000</f>
        <v/>
      </c>
      <c r="U3142" s="15">
        <f>IF(N3142&gt;=Summary!$D$3,1,0)</f>
        <v/>
      </c>
      <c r="V3142" s="17">
        <f>IF(N3142&gt;0,P3142/N3142,"")</f>
        <v/>
      </c>
      <c r="W3142" s="17">
        <f>IF(O3142&gt;0,H3142/O3142,"")</f>
        <v/>
      </c>
    </row>
    <row r="3143">
      <c r="A3143" s="13" t="inlineStr">
        <is>
          <t>CW22_B1</t>
        </is>
      </c>
      <c r="B3143" s="13" t="inlineStr">
        <is>
          <t>CW22</t>
        </is>
      </c>
      <c r="C3143" s="13" t="inlineStr">
        <is>
          <t>B1</t>
        </is>
      </c>
      <c r="D3143" s="13" t="n">
        <v>0</v>
      </c>
      <c r="E3143" s="13" t="inlineStr">
        <is>
          <t>W</t>
        </is>
      </c>
      <c r="F3143" s="13" t="n">
        <v>2025</v>
      </c>
      <c r="G3143" s="14" t="n">
        <v>1000964.237279256</v>
      </c>
      <c r="H3143" s="14" t="n">
        <v>763839.9289911607</v>
      </c>
      <c r="I3143" s="14" t="n">
        <v>33129.48932004443</v>
      </c>
      <c r="J3143" s="14" t="n">
        <v>0</v>
      </c>
      <c r="K3143" s="14" t="n">
        <v>127664.1214386285</v>
      </c>
      <c r="L3143" s="14" t="n">
        <v>76330.69752942253</v>
      </c>
      <c r="M3143" s="14" t="n">
        <v>0</v>
      </c>
      <c r="N3143" s="14" t="n">
        <v>832502.7093016382</v>
      </c>
      <c r="O3143" s="14" t="n">
        <v>931621.8692670336</v>
      </c>
      <c r="P3143" s="14" t="n">
        <v>95818.61725083891</v>
      </c>
      <c r="Q3143" s="14" t="n">
        <v>6202741.083161987</v>
      </c>
      <c r="R3143" s="15">
        <f>IF(D3143=1,"Section 1","Control")</f>
        <v/>
      </c>
      <c r="S3143" s="16">
        <f>N3143/10000</f>
        <v/>
      </c>
      <c r="T3143" s="16">
        <f>P3143/10000</f>
        <v/>
      </c>
      <c r="U3143" s="15">
        <f>IF(N3143&gt;=Summary!$D$3,1,0)</f>
        <v/>
      </c>
      <c r="V3143" s="17">
        <f>IF(N3143&gt;0,P3143/N3143,"")</f>
        <v/>
      </c>
      <c r="W3143" s="17">
        <f>IF(O3143&gt;0,H3143/O3143,"")</f>
        <v/>
      </c>
    </row>
    <row r="3144">
      <c r="A3144" s="13" t="inlineStr">
        <is>
          <t>CW22_B1</t>
        </is>
      </c>
      <c r="B3144" s="13" t="inlineStr">
        <is>
          <t>CW22</t>
        </is>
      </c>
      <c r="C3144" s="13" t="inlineStr">
        <is>
          <t>B1</t>
        </is>
      </c>
      <c r="D3144" s="13" t="n">
        <v>0</v>
      </c>
      <c r="E3144" s="13" t="inlineStr">
        <is>
          <t>W</t>
        </is>
      </c>
      <c r="F3144" s="13" t="n">
        <v>2026</v>
      </c>
      <c r="G3144" s="14" t="n">
        <v>1000964.237279256</v>
      </c>
      <c r="H3144" s="14" t="n">
        <v>745257.5699436263</v>
      </c>
      <c r="I3144" s="14" t="n">
        <v>46093.72259380864</v>
      </c>
      <c r="J3144" s="14" t="n">
        <v>0</v>
      </c>
      <c r="K3144" s="14" t="n">
        <v>109681.0507232068</v>
      </c>
      <c r="L3144" s="14" t="n">
        <v>99931.89401861456</v>
      </c>
      <c r="M3144" s="14" t="n">
        <v>0</v>
      </c>
      <c r="N3144" s="14" t="n">
        <v>832502.7093016381</v>
      </c>
      <c r="O3144" s="14" t="n">
        <v>931621.8692670336</v>
      </c>
      <c r="P3144" s="14" t="n">
        <v>99224.88035347134</v>
      </c>
      <c r="Q3144" s="14" t="n">
        <v>6202741.083161987</v>
      </c>
      <c r="R3144" s="15">
        <f>IF(D3144=1,"Section 1","Control")</f>
        <v/>
      </c>
      <c r="S3144" s="16">
        <f>N3144/10000</f>
        <v/>
      </c>
      <c r="T3144" s="16">
        <f>P3144/10000</f>
        <v/>
      </c>
      <c r="U3144" s="15">
        <f>IF(N3144&gt;=Summary!$D$3,1,0)</f>
        <v/>
      </c>
      <c r="V3144" s="17">
        <f>IF(N3144&gt;0,P3144/N3144,"")</f>
        <v/>
      </c>
      <c r="W3144" s="17">
        <f>IF(O3144&gt;0,H3144/O3144,"")</f>
        <v/>
      </c>
    </row>
    <row r="3145">
      <c r="A3145" s="13" t="inlineStr">
        <is>
          <t>CW22_B2</t>
        </is>
      </c>
      <c r="B3145" s="13" t="inlineStr">
        <is>
          <t>CW22</t>
        </is>
      </c>
      <c r="C3145" s="13" t="inlineStr">
        <is>
          <t>B2</t>
        </is>
      </c>
      <c r="D3145" s="13" t="n">
        <v>0</v>
      </c>
      <c r="E3145" s="13" t="inlineStr">
        <is>
          <t>W</t>
        </is>
      </c>
      <c r="F3145" s="13" t="n">
        <v>2020</v>
      </c>
      <c r="G3145" s="14" t="n">
        <v>1000586.739767067</v>
      </c>
      <c r="H3145" s="14" t="n">
        <v>48506.73728886024</v>
      </c>
      <c r="I3145" s="14" t="n">
        <v>154788.4214044908</v>
      </c>
      <c r="J3145" s="14" t="n">
        <v>0</v>
      </c>
      <c r="K3145" s="14" t="n">
        <v>23979.22407352224</v>
      </c>
      <c r="L3145" s="14" t="n">
        <v>773312.3570001939</v>
      </c>
      <c r="M3145" s="14" t="n">
        <v>0</v>
      </c>
      <c r="N3145" s="14" t="n">
        <v>48506.73728886024</v>
      </c>
      <c r="O3145" s="14" t="n">
        <v>227274.3827668733</v>
      </c>
      <c r="P3145" s="14" t="n">
        <v>0</v>
      </c>
      <c r="Q3145" s="14" t="n">
        <v>1277744.498116766</v>
      </c>
      <c r="R3145" s="15">
        <f>IF(D3145=1,"Section 1","Control")</f>
        <v/>
      </c>
      <c r="S3145" s="16">
        <f>N3145/10000</f>
        <v/>
      </c>
      <c r="T3145" s="16">
        <f>P3145/10000</f>
        <v/>
      </c>
      <c r="U3145" s="15">
        <f>IF(N3145&gt;=Summary!$D$3,1,0)</f>
        <v/>
      </c>
      <c r="V3145" s="17">
        <f>IF(N3145&gt;0,P3145/N3145,"")</f>
        <v/>
      </c>
      <c r="W3145" s="17">
        <f>IF(O3145&gt;0,H3145/O3145,"")</f>
        <v/>
      </c>
    </row>
    <row r="3146">
      <c r="A3146" s="13" t="inlineStr">
        <is>
          <t>CW22_B2</t>
        </is>
      </c>
      <c r="B3146" s="13" t="inlineStr">
        <is>
          <t>CW22</t>
        </is>
      </c>
      <c r="C3146" s="13" t="inlineStr">
        <is>
          <t>B2</t>
        </is>
      </c>
      <c r="D3146" s="13" t="n">
        <v>0</v>
      </c>
      <c r="E3146" s="13" t="inlineStr">
        <is>
          <t>W</t>
        </is>
      </c>
      <c r="F3146" s="13" t="n">
        <v>2021</v>
      </c>
      <c r="G3146" s="14" t="n">
        <v>1000586.739767067</v>
      </c>
      <c r="H3146" s="14" t="n">
        <v>36235.84844737334</v>
      </c>
      <c r="I3146" s="14" t="n">
        <v>163305.8850626927</v>
      </c>
      <c r="J3146" s="14" t="n">
        <v>0</v>
      </c>
      <c r="K3146" s="14" t="n">
        <v>77397.86187585568</v>
      </c>
      <c r="L3146" s="14" t="n">
        <v>723647.1443811454</v>
      </c>
      <c r="M3146" s="14" t="n">
        <v>0</v>
      </c>
      <c r="N3146" s="14" t="n">
        <v>48506.73728886024</v>
      </c>
      <c r="O3146" s="14" t="n">
        <v>227274.3827668733</v>
      </c>
      <c r="P3146" s="14" t="n">
        <v>13284.11325878068</v>
      </c>
      <c r="Q3146" s="14" t="n">
        <v>1277744.498116766</v>
      </c>
      <c r="R3146" s="15">
        <f>IF(D3146=1,"Section 1","Control")</f>
        <v/>
      </c>
      <c r="S3146" s="16">
        <f>N3146/10000</f>
        <v/>
      </c>
      <c r="T3146" s="16">
        <f>P3146/10000</f>
        <v/>
      </c>
      <c r="U3146" s="15">
        <f>IF(N3146&gt;=Summary!$D$3,1,0)</f>
        <v/>
      </c>
      <c r="V3146" s="17">
        <f>IF(N3146&gt;0,P3146/N3146,"")</f>
        <v/>
      </c>
      <c r="W3146" s="17">
        <f>IF(O3146&gt;0,H3146/O3146,"")</f>
        <v/>
      </c>
    </row>
    <row r="3147">
      <c r="A3147" s="13" t="inlineStr">
        <is>
          <t>CW22_B2</t>
        </is>
      </c>
      <c r="B3147" s="13" t="inlineStr">
        <is>
          <t>CW22</t>
        </is>
      </c>
      <c r="C3147" s="13" t="inlineStr">
        <is>
          <t>B2</t>
        </is>
      </c>
      <c r="D3147" s="13" t="n">
        <v>0</v>
      </c>
      <c r="E3147" s="13" t="inlineStr">
        <is>
          <t>W</t>
        </is>
      </c>
      <c r="F3147" s="13" t="n">
        <v>2022</v>
      </c>
      <c r="G3147" s="14" t="n">
        <v>1000586.739767067</v>
      </c>
      <c r="H3147" s="14" t="n">
        <v>34247.37989702412</v>
      </c>
      <c r="I3147" s="14" t="n">
        <v>166218.1716525508</v>
      </c>
      <c r="J3147" s="14" t="n">
        <v>0</v>
      </c>
      <c r="K3147" s="14" t="n">
        <v>66976.89472063849</v>
      </c>
      <c r="L3147" s="14" t="n">
        <v>733144.2934968538</v>
      </c>
      <c r="M3147" s="14" t="n">
        <v>0</v>
      </c>
      <c r="N3147" s="14" t="n">
        <v>48506.73728886024</v>
      </c>
      <c r="O3147" s="14" t="n">
        <v>227274.3827668733</v>
      </c>
      <c r="P3147" s="14" t="n">
        <v>15160.30626475016</v>
      </c>
      <c r="Q3147" s="14" t="n">
        <v>1277744.498116766</v>
      </c>
      <c r="R3147" s="15">
        <f>IF(D3147=1,"Section 1","Control")</f>
        <v/>
      </c>
      <c r="S3147" s="16">
        <f>N3147/10000</f>
        <v/>
      </c>
      <c r="T3147" s="16">
        <f>P3147/10000</f>
        <v/>
      </c>
      <c r="U3147" s="15">
        <f>IF(N3147&gt;=Summary!$D$3,1,0)</f>
        <v/>
      </c>
      <c r="V3147" s="17">
        <f>IF(N3147&gt;0,P3147/N3147,"")</f>
        <v/>
      </c>
      <c r="W3147" s="17">
        <f>IF(O3147&gt;0,H3147/O3147,"")</f>
        <v/>
      </c>
    </row>
    <row r="3148">
      <c r="A3148" s="13" t="inlineStr">
        <is>
          <t>CW22_B2</t>
        </is>
      </c>
      <c r="B3148" s="13" t="inlineStr">
        <is>
          <t>CW22</t>
        </is>
      </c>
      <c r="C3148" s="13" t="inlineStr">
        <is>
          <t>B2</t>
        </is>
      </c>
      <c r="D3148" s="13" t="n">
        <v>0</v>
      </c>
      <c r="E3148" s="13" t="inlineStr">
        <is>
          <t>W</t>
        </is>
      </c>
      <c r="F3148" s="13" t="n">
        <v>2023</v>
      </c>
      <c r="G3148" s="14" t="n">
        <v>1000586.739767067</v>
      </c>
      <c r="H3148" s="14" t="n">
        <v>34625.25521356919</v>
      </c>
      <c r="I3148" s="14" t="n">
        <v>154724.9629977656</v>
      </c>
      <c r="J3148" s="14" t="n">
        <v>0</v>
      </c>
      <c r="K3148" s="14" t="n">
        <v>42730.08800039852</v>
      </c>
      <c r="L3148" s="14" t="n">
        <v>768506.4335553338</v>
      </c>
      <c r="M3148" s="14" t="n">
        <v>0</v>
      </c>
      <c r="N3148" s="14" t="n">
        <v>48506.73728886024</v>
      </c>
      <c r="O3148" s="14" t="n">
        <v>227274.3827668733</v>
      </c>
      <c r="P3148" s="14" t="n">
        <v>15041.44714352477</v>
      </c>
      <c r="Q3148" s="14" t="n">
        <v>1277744.498116766</v>
      </c>
      <c r="R3148" s="15">
        <f>IF(D3148=1,"Section 1","Control")</f>
        <v/>
      </c>
      <c r="S3148" s="16">
        <f>N3148/10000</f>
        <v/>
      </c>
      <c r="T3148" s="16">
        <f>P3148/10000</f>
        <v/>
      </c>
      <c r="U3148" s="15">
        <f>IF(N3148&gt;=Summary!$D$3,1,0)</f>
        <v/>
      </c>
      <c r="V3148" s="17">
        <f>IF(N3148&gt;0,P3148/N3148,"")</f>
        <v/>
      </c>
      <c r="W3148" s="17">
        <f>IF(O3148&gt;0,H3148/O3148,"")</f>
        <v/>
      </c>
    </row>
    <row r="3149">
      <c r="A3149" s="13" t="inlineStr">
        <is>
          <t>CW22_B2</t>
        </is>
      </c>
      <c r="B3149" s="13" t="inlineStr">
        <is>
          <t>CW22</t>
        </is>
      </c>
      <c r="C3149" s="13" t="inlineStr">
        <is>
          <t>B2</t>
        </is>
      </c>
      <c r="D3149" s="13" t="n">
        <v>0</v>
      </c>
      <c r="E3149" s="13" t="inlineStr">
        <is>
          <t>W</t>
        </is>
      </c>
      <c r="F3149" s="13" t="n">
        <v>2024</v>
      </c>
      <c r="G3149" s="14" t="n">
        <v>1000586.739767067</v>
      </c>
      <c r="H3149" s="14" t="n">
        <v>33919.46782133813</v>
      </c>
      <c r="I3149" s="14" t="n">
        <v>154957.6354166368</v>
      </c>
      <c r="J3149" s="14" t="n">
        <v>0</v>
      </c>
      <c r="K3149" s="14" t="n">
        <v>39929.67006515802</v>
      </c>
      <c r="L3149" s="14" t="n">
        <v>771779.9664639342</v>
      </c>
      <c r="M3149" s="14" t="n">
        <v>0</v>
      </c>
      <c r="N3149" s="14" t="n">
        <v>48506.73728886024</v>
      </c>
      <c r="O3149" s="14" t="n">
        <v>227274.3827668733</v>
      </c>
      <c r="P3149" s="14" t="n">
        <v>16808.47286017923</v>
      </c>
      <c r="Q3149" s="14" t="n">
        <v>1277744.498116766</v>
      </c>
      <c r="R3149" s="15">
        <f>IF(D3149=1,"Section 1","Control")</f>
        <v/>
      </c>
      <c r="S3149" s="16">
        <f>N3149/10000</f>
        <v/>
      </c>
      <c r="T3149" s="16">
        <f>P3149/10000</f>
        <v/>
      </c>
      <c r="U3149" s="15">
        <f>IF(N3149&gt;=Summary!$D$3,1,0)</f>
        <v/>
      </c>
      <c r="V3149" s="17">
        <f>IF(N3149&gt;0,P3149/N3149,"")</f>
        <v/>
      </c>
      <c r="W3149" s="17">
        <f>IF(O3149&gt;0,H3149/O3149,"")</f>
        <v/>
      </c>
    </row>
    <row r="3150">
      <c r="A3150" s="13" t="inlineStr">
        <is>
          <t>CW22_B2</t>
        </is>
      </c>
      <c r="B3150" s="13" t="inlineStr">
        <is>
          <t>CW22</t>
        </is>
      </c>
      <c r="C3150" s="13" t="inlineStr">
        <is>
          <t>B2</t>
        </is>
      </c>
      <c r="D3150" s="13" t="n">
        <v>0</v>
      </c>
      <c r="E3150" s="13" t="inlineStr">
        <is>
          <t>W</t>
        </is>
      </c>
      <c r="F3150" s="13" t="n">
        <v>2025</v>
      </c>
      <c r="G3150" s="14" t="n">
        <v>1000586.739767067</v>
      </c>
      <c r="H3150" s="14" t="n">
        <v>33970.56875167548</v>
      </c>
      <c r="I3150" s="14" t="n">
        <v>153717.923413834</v>
      </c>
      <c r="J3150" s="14" t="n">
        <v>0</v>
      </c>
      <c r="K3150" s="14" t="n">
        <v>43210.57794416838</v>
      </c>
      <c r="L3150" s="14" t="n">
        <v>769687.6696573893</v>
      </c>
      <c r="M3150" s="14" t="n">
        <v>0</v>
      </c>
      <c r="N3150" s="14" t="n">
        <v>48506.73728886024</v>
      </c>
      <c r="O3150" s="14" t="n">
        <v>227274.3827668733</v>
      </c>
      <c r="P3150" s="14" t="n">
        <v>16808.4783380845</v>
      </c>
      <c r="Q3150" s="14" t="n">
        <v>1277744.498116766</v>
      </c>
      <c r="R3150" s="15">
        <f>IF(D3150=1,"Section 1","Control")</f>
        <v/>
      </c>
      <c r="S3150" s="16">
        <f>N3150/10000</f>
        <v/>
      </c>
      <c r="T3150" s="16">
        <f>P3150/10000</f>
        <v/>
      </c>
      <c r="U3150" s="15">
        <f>IF(N3150&gt;=Summary!$D$3,1,0)</f>
        <v/>
      </c>
      <c r="V3150" s="17">
        <f>IF(N3150&gt;0,P3150/N3150,"")</f>
        <v/>
      </c>
      <c r="W3150" s="17">
        <f>IF(O3150&gt;0,H3150/O3150,"")</f>
        <v/>
      </c>
    </row>
    <row r="3151">
      <c r="A3151" s="13" t="inlineStr">
        <is>
          <t>CW22_B2</t>
        </is>
      </c>
      <c r="B3151" s="13" t="inlineStr">
        <is>
          <t>CW22</t>
        </is>
      </c>
      <c r="C3151" s="13" t="inlineStr">
        <is>
          <t>B2</t>
        </is>
      </c>
      <c r="D3151" s="13" t="n">
        <v>0</v>
      </c>
      <c r="E3151" s="13" t="inlineStr">
        <is>
          <t>W</t>
        </is>
      </c>
      <c r="F3151" s="13" t="n">
        <v>2026</v>
      </c>
      <c r="G3151" s="14" t="n">
        <v>1000586.739767067</v>
      </c>
      <c r="H3151" s="14" t="n">
        <v>35808.89167229148</v>
      </c>
      <c r="I3151" s="14" t="n">
        <v>133621.3206380208</v>
      </c>
      <c r="J3151" s="14" t="n">
        <v>0</v>
      </c>
      <c r="K3151" s="14" t="n">
        <v>33558.90801870309</v>
      </c>
      <c r="L3151" s="14" t="n">
        <v>797597.6194380517</v>
      </c>
      <c r="M3151" s="14" t="n">
        <v>0</v>
      </c>
      <c r="N3151" s="14" t="n">
        <v>48506.73728886024</v>
      </c>
      <c r="O3151" s="14" t="n">
        <v>227274.3827668733</v>
      </c>
      <c r="P3151" s="14" t="n">
        <v>16931.5702952067</v>
      </c>
      <c r="Q3151" s="14" t="n">
        <v>1277744.498116766</v>
      </c>
      <c r="R3151" s="15">
        <f>IF(D3151=1,"Section 1","Control")</f>
        <v/>
      </c>
      <c r="S3151" s="16">
        <f>N3151/10000</f>
        <v/>
      </c>
      <c r="T3151" s="16">
        <f>P3151/10000</f>
        <v/>
      </c>
      <c r="U3151" s="15">
        <f>IF(N3151&gt;=Summary!$D$3,1,0)</f>
        <v/>
      </c>
      <c r="V3151" s="17">
        <f>IF(N3151&gt;0,P3151/N3151,"")</f>
        <v/>
      </c>
      <c r="W3151" s="17">
        <f>IF(O3151&gt;0,H3151/O3151,"")</f>
        <v/>
      </c>
    </row>
    <row r="3152">
      <c r="A3152" s="13" t="inlineStr">
        <is>
          <t>CW22_B3</t>
        </is>
      </c>
      <c r="B3152" s="13" t="inlineStr">
        <is>
          <t>CW22</t>
        </is>
      </c>
      <c r="C3152" s="13" t="inlineStr">
        <is>
          <t>B3</t>
        </is>
      </c>
      <c r="D3152" s="13" t="n">
        <v>0</v>
      </c>
      <c r="E3152" s="13" t="inlineStr">
        <is>
          <t>W</t>
        </is>
      </c>
      <c r="F3152" s="13" t="n">
        <v>2020</v>
      </c>
      <c r="G3152" s="14" t="n">
        <v>8006211.862468704</v>
      </c>
      <c r="H3152" s="14" t="n">
        <v>1879071.944810995</v>
      </c>
      <c r="I3152" s="14" t="n">
        <v>501114.763054283</v>
      </c>
      <c r="J3152" s="14" t="n">
        <v>0</v>
      </c>
      <c r="K3152" s="14" t="n">
        <v>1617926.645577734</v>
      </c>
      <c r="L3152" s="14" t="n">
        <v>4008098.509025693</v>
      </c>
      <c r="M3152" s="14" t="n">
        <v>0</v>
      </c>
      <c r="N3152" s="14" t="n">
        <v>1879071.944810995</v>
      </c>
      <c r="O3152" s="14" t="n">
        <v>3998113.35344301</v>
      </c>
      <c r="P3152" s="14" t="n">
        <v>0</v>
      </c>
      <c r="Q3152" s="14" t="n">
        <v>23449176.66241745</v>
      </c>
      <c r="R3152" s="15">
        <f>IF(D3152=1,"Section 1","Control")</f>
        <v/>
      </c>
      <c r="S3152" s="16">
        <f>N3152/10000</f>
        <v/>
      </c>
      <c r="T3152" s="16">
        <f>P3152/10000</f>
        <v/>
      </c>
      <c r="U3152" s="15">
        <f>IF(N3152&gt;=Summary!$D$3,1,0)</f>
        <v/>
      </c>
      <c r="V3152" s="17">
        <f>IF(N3152&gt;0,P3152/N3152,"")</f>
        <v/>
      </c>
      <c r="W3152" s="17">
        <f>IF(O3152&gt;0,H3152/O3152,"")</f>
        <v/>
      </c>
    </row>
    <row r="3153">
      <c r="A3153" s="13" t="inlineStr">
        <is>
          <t>CW22_B3</t>
        </is>
      </c>
      <c r="B3153" s="13" t="inlineStr">
        <is>
          <t>CW22</t>
        </is>
      </c>
      <c r="C3153" s="13" t="inlineStr">
        <is>
          <t>B3</t>
        </is>
      </c>
      <c r="D3153" s="13" t="n">
        <v>0</v>
      </c>
      <c r="E3153" s="13" t="inlineStr">
        <is>
          <t>W</t>
        </is>
      </c>
      <c r="F3153" s="13" t="n">
        <v>2021</v>
      </c>
      <c r="G3153" s="14" t="n">
        <v>8006211.862468704</v>
      </c>
      <c r="H3153" s="14" t="n">
        <v>1520564.213781888</v>
      </c>
      <c r="I3153" s="14" t="n">
        <v>210234.6663469202</v>
      </c>
      <c r="J3153" s="14" t="n">
        <v>0</v>
      </c>
      <c r="K3153" s="14" t="n">
        <v>2270603.407365208</v>
      </c>
      <c r="L3153" s="14" t="n">
        <v>4004809.574974688</v>
      </c>
      <c r="M3153" s="14" t="n">
        <v>0</v>
      </c>
      <c r="N3153" s="14" t="n">
        <v>1879071.944810995</v>
      </c>
      <c r="O3153" s="14" t="n">
        <v>3998113.35344301</v>
      </c>
      <c r="P3153" s="14" t="n">
        <v>406579.7693994559</v>
      </c>
      <c r="Q3153" s="14" t="n">
        <v>23449176.66241745</v>
      </c>
      <c r="R3153" s="15">
        <f>IF(D3153=1,"Section 1","Control")</f>
        <v/>
      </c>
      <c r="S3153" s="16">
        <f>N3153/10000</f>
        <v/>
      </c>
      <c r="T3153" s="16">
        <f>P3153/10000</f>
        <v/>
      </c>
      <c r="U3153" s="15">
        <f>IF(N3153&gt;=Summary!$D$3,1,0)</f>
        <v/>
      </c>
      <c r="V3153" s="17">
        <f>IF(N3153&gt;0,P3153/N3153,"")</f>
        <v/>
      </c>
      <c r="W3153" s="17">
        <f>IF(O3153&gt;0,H3153/O3153,"")</f>
        <v/>
      </c>
    </row>
    <row r="3154">
      <c r="A3154" s="13" t="inlineStr">
        <is>
          <t>CW22_B3</t>
        </is>
      </c>
      <c r="B3154" s="13" t="inlineStr">
        <is>
          <t>CW22</t>
        </is>
      </c>
      <c r="C3154" s="13" t="inlineStr">
        <is>
          <t>B3</t>
        </is>
      </c>
      <c r="D3154" s="13" t="n">
        <v>0</v>
      </c>
      <c r="E3154" s="13" t="inlineStr">
        <is>
          <t>W</t>
        </is>
      </c>
      <c r="F3154" s="13" t="n">
        <v>2022</v>
      </c>
      <c r="G3154" s="14" t="n">
        <v>8006211.862468704</v>
      </c>
      <c r="H3154" s="14" t="n">
        <v>1395042.27783975</v>
      </c>
      <c r="I3154" s="14" t="n">
        <v>274124.8928073659</v>
      </c>
      <c r="J3154" s="14" t="n">
        <v>0</v>
      </c>
      <c r="K3154" s="14" t="n">
        <v>2332924.263787663</v>
      </c>
      <c r="L3154" s="14" t="n">
        <v>4004120.428033926</v>
      </c>
      <c r="M3154" s="14" t="n">
        <v>0</v>
      </c>
      <c r="N3154" s="14" t="n">
        <v>1879071.944810995</v>
      </c>
      <c r="O3154" s="14" t="n">
        <v>3998113.35344301</v>
      </c>
      <c r="P3154" s="14" t="n">
        <v>513251.8267307655</v>
      </c>
      <c r="Q3154" s="14" t="n">
        <v>23449176.66241745</v>
      </c>
      <c r="R3154" s="15">
        <f>IF(D3154=1,"Section 1","Control")</f>
        <v/>
      </c>
      <c r="S3154" s="16">
        <f>N3154/10000</f>
        <v/>
      </c>
      <c r="T3154" s="16">
        <f>P3154/10000</f>
        <v/>
      </c>
      <c r="U3154" s="15">
        <f>IF(N3154&gt;=Summary!$D$3,1,0)</f>
        <v/>
      </c>
      <c r="V3154" s="17">
        <f>IF(N3154&gt;0,P3154/N3154,"")</f>
        <v/>
      </c>
      <c r="W3154" s="17">
        <f>IF(O3154&gt;0,H3154/O3154,"")</f>
        <v/>
      </c>
    </row>
    <row r="3155">
      <c r="A3155" s="13" t="inlineStr">
        <is>
          <t>CW22_B3</t>
        </is>
      </c>
      <c r="B3155" s="13" t="inlineStr">
        <is>
          <t>CW22</t>
        </is>
      </c>
      <c r="C3155" s="13" t="inlineStr">
        <is>
          <t>B3</t>
        </is>
      </c>
      <c r="D3155" s="13" t="n">
        <v>0</v>
      </c>
      <c r="E3155" s="13" t="inlineStr">
        <is>
          <t>W</t>
        </is>
      </c>
      <c r="F3155" s="13" t="n">
        <v>2023</v>
      </c>
      <c r="G3155" s="14" t="n">
        <v>8006211.862468704</v>
      </c>
      <c r="H3155" s="14" t="n">
        <v>1343483.967403546</v>
      </c>
      <c r="I3155" s="14" t="n">
        <v>294537.1914881088</v>
      </c>
      <c r="J3155" s="14" t="n">
        <v>0</v>
      </c>
      <c r="K3155" s="14" t="n">
        <v>2358589.622571459</v>
      </c>
      <c r="L3155" s="14" t="n">
        <v>4009601.08100559</v>
      </c>
      <c r="M3155" s="14" t="n">
        <v>0</v>
      </c>
      <c r="N3155" s="14" t="n">
        <v>1879071.944810995</v>
      </c>
      <c r="O3155" s="14" t="n">
        <v>3998113.35344301</v>
      </c>
      <c r="P3155" s="14" t="n">
        <v>566920.4062115838</v>
      </c>
      <c r="Q3155" s="14" t="n">
        <v>23449176.66241745</v>
      </c>
      <c r="R3155" s="15">
        <f>IF(D3155=1,"Section 1","Control")</f>
        <v/>
      </c>
      <c r="S3155" s="16">
        <f>N3155/10000</f>
        <v/>
      </c>
      <c r="T3155" s="16">
        <f>P3155/10000</f>
        <v/>
      </c>
      <c r="U3155" s="15">
        <f>IF(N3155&gt;=Summary!$D$3,1,0)</f>
        <v/>
      </c>
      <c r="V3155" s="17">
        <f>IF(N3155&gt;0,P3155/N3155,"")</f>
        <v/>
      </c>
      <c r="W3155" s="17">
        <f>IF(O3155&gt;0,H3155/O3155,"")</f>
        <v/>
      </c>
    </row>
    <row r="3156">
      <c r="A3156" s="13" t="inlineStr">
        <is>
          <t>CW22_B3</t>
        </is>
      </c>
      <c r="B3156" s="13" t="inlineStr">
        <is>
          <t>CW22</t>
        </is>
      </c>
      <c r="C3156" s="13" t="inlineStr">
        <is>
          <t>B3</t>
        </is>
      </c>
      <c r="D3156" s="13" t="n">
        <v>0</v>
      </c>
      <c r="E3156" s="13" t="inlineStr">
        <is>
          <t>W</t>
        </is>
      </c>
      <c r="F3156" s="13" t="n">
        <v>2024</v>
      </c>
      <c r="G3156" s="14" t="n">
        <v>8006211.862468704</v>
      </c>
      <c r="H3156" s="14" t="n">
        <v>1355405.347846985</v>
      </c>
      <c r="I3156" s="14" t="n">
        <v>343993.4564965941</v>
      </c>
      <c r="J3156" s="14" t="n">
        <v>0</v>
      </c>
      <c r="K3156" s="14" t="n">
        <v>2296339.315319914</v>
      </c>
      <c r="L3156" s="14" t="n">
        <v>4010473.742805211</v>
      </c>
      <c r="M3156" s="14" t="n">
        <v>0</v>
      </c>
      <c r="N3156" s="14" t="n">
        <v>1879071.944810995</v>
      </c>
      <c r="O3156" s="14" t="n">
        <v>3998113.35344301</v>
      </c>
      <c r="P3156" s="14" t="n">
        <v>574479.6869581036</v>
      </c>
      <c r="Q3156" s="14" t="n">
        <v>23449176.66241745</v>
      </c>
      <c r="R3156" s="15">
        <f>IF(D3156=1,"Section 1","Control")</f>
        <v/>
      </c>
      <c r="S3156" s="16">
        <f>N3156/10000</f>
        <v/>
      </c>
      <c r="T3156" s="16">
        <f>P3156/10000</f>
        <v/>
      </c>
      <c r="U3156" s="15">
        <f>IF(N3156&gt;=Summary!$D$3,1,0)</f>
        <v/>
      </c>
      <c r="V3156" s="17">
        <f>IF(N3156&gt;0,P3156/N3156,"")</f>
        <v/>
      </c>
      <c r="W3156" s="17">
        <f>IF(O3156&gt;0,H3156/O3156,"")</f>
        <v/>
      </c>
    </row>
    <row r="3157">
      <c r="A3157" s="13" t="inlineStr">
        <is>
          <t>CW22_B3</t>
        </is>
      </c>
      <c r="B3157" s="13" t="inlineStr">
        <is>
          <t>CW22</t>
        </is>
      </c>
      <c r="C3157" s="13" t="inlineStr">
        <is>
          <t>B3</t>
        </is>
      </c>
      <c r="D3157" s="13" t="n">
        <v>0</v>
      </c>
      <c r="E3157" s="13" t="inlineStr">
        <is>
          <t>W</t>
        </is>
      </c>
      <c r="F3157" s="13" t="n">
        <v>2025</v>
      </c>
      <c r="G3157" s="14" t="n">
        <v>8006211.862468705</v>
      </c>
      <c r="H3157" s="14" t="n">
        <v>1306661.756220949</v>
      </c>
      <c r="I3157" s="14" t="n">
        <v>521229.2973586737</v>
      </c>
      <c r="J3157" s="14" t="n">
        <v>0</v>
      </c>
      <c r="K3157" s="14" t="n">
        <v>2164884.50967473</v>
      </c>
      <c r="L3157" s="14" t="n">
        <v>4013436.299214352</v>
      </c>
      <c r="M3157" s="14" t="n">
        <v>0</v>
      </c>
      <c r="N3157" s="14" t="n">
        <v>1879071.944810995</v>
      </c>
      <c r="O3157" s="14" t="n">
        <v>3998113.35344301</v>
      </c>
      <c r="P3157" s="14" t="n">
        <v>611721.4183168599</v>
      </c>
      <c r="Q3157" s="14" t="n">
        <v>23449176.66241745</v>
      </c>
      <c r="R3157" s="15">
        <f>IF(D3157=1,"Section 1","Control")</f>
        <v/>
      </c>
      <c r="S3157" s="16">
        <f>N3157/10000</f>
        <v/>
      </c>
      <c r="T3157" s="16">
        <f>P3157/10000</f>
        <v/>
      </c>
      <c r="U3157" s="15">
        <f>IF(N3157&gt;=Summary!$D$3,1,0)</f>
        <v/>
      </c>
      <c r="V3157" s="17">
        <f>IF(N3157&gt;0,P3157/N3157,"")</f>
        <v/>
      </c>
      <c r="W3157" s="17">
        <f>IF(O3157&gt;0,H3157/O3157,"")</f>
        <v/>
      </c>
    </row>
    <row r="3158">
      <c r="A3158" s="13" t="inlineStr">
        <is>
          <t>CW22_B3</t>
        </is>
      </c>
      <c r="B3158" s="13" t="inlineStr">
        <is>
          <t>CW22</t>
        </is>
      </c>
      <c r="C3158" s="13" t="inlineStr">
        <is>
          <t>B3</t>
        </is>
      </c>
      <c r="D3158" s="13" t="n">
        <v>0</v>
      </c>
      <c r="E3158" s="13" t="inlineStr">
        <is>
          <t>W</t>
        </is>
      </c>
      <c r="F3158" s="13" t="n">
        <v>2026</v>
      </c>
      <c r="G3158" s="14" t="n">
        <v>8006211.862468704</v>
      </c>
      <c r="H3158" s="14" t="n">
        <v>1416524.547318493</v>
      </c>
      <c r="I3158" s="14" t="n">
        <v>271690.398212029</v>
      </c>
      <c r="J3158" s="14" t="n">
        <v>0</v>
      </c>
      <c r="K3158" s="14" t="n">
        <v>2305533.166577118</v>
      </c>
      <c r="L3158" s="14" t="n">
        <v>4012463.750361064</v>
      </c>
      <c r="M3158" s="14" t="n">
        <v>0</v>
      </c>
      <c r="N3158" s="14" t="n">
        <v>1879071.944810995</v>
      </c>
      <c r="O3158" s="14" t="n">
        <v>3998113.35344301</v>
      </c>
      <c r="P3158" s="14" t="n">
        <v>592862.844325017</v>
      </c>
      <c r="Q3158" s="14" t="n">
        <v>23449176.66241745</v>
      </c>
      <c r="R3158" s="15">
        <f>IF(D3158=1,"Section 1","Control")</f>
        <v/>
      </c>
      <c r="S3158" s="16">
        <f>N3158/10000</f>
        <v/>
      </c>
      <c r="T3158" s="16">
        <f>P3158/10000</f>
        <v/>
      </c>
      <c r="U3158" s="15">
        <f>IF(N3158&gt;=Summary!$D$3,1,0)</f>
        <v/>
      </c>
      <c r="V3158" s="17">
        <f>IF(N3158&gt;0,P3158/N3158,"")</f>
        <v/>
      </c>
      <c r="W3158" s="17">
        <f>IF(O3158&gt;0,H3158/O3158,"")</f>
        <v/>
      </c>
    </row>
    <row r="3159">
      <c r="A3159" s="13" t="inlineStr">
        <is>
          <t>CW22_F</t>
        </is>
      </c>
      <c r="B3159" s="13" t="inlineStr">
        <is>
          <t>CW22</t>
        </is>
      </c>
      <c r="C3159" s="13" t="inlineStr">
        <is>
          <t>F</t>
        </is>
      </c>
      <c r="D3159" s="13" t="n">
        <v>0</v>
      </c>
      <c r="E3159" s="13" t="inlineStr">
        <is>
          <t>W</t>
        </is>
      </c>
      <c r="F3159" s="13" t="n">
        <v>2020</v>
      </c>
      <c r="G3159" s="14" t="n">
        <v>69326.70457614072</v>
      </c>
      <c r="H3159" s="14" t="n">
        <v>64597.05986938474</v>
      </c>
      <c r="I3159" s="14" t="n">
        <v>2841.42626211129</v>
      </c>
      <c r="J3159" s="14" t="n">
        <v>0</v>
      </c>
      <c r="K3159" s="14" t="n">
        <v>1888.218444644704</v>
      </c>
      <c r="L3159" s="14" t="n">
        <v>0</v>
      </c>
      <c r="M3159" s="14" t="n">
        <v>0</v>
      </c>
      <c r="N3159" s="14" t="n">
        <v>64597.05986938474</v>
      </c>
      <c r="O3159" s="14" t="n">
        <v>69326.70457614072</v>
      </c>
      <c r="P3159" s="14" t="n">
        <v>0</v>
      </c>
      <c r="Q3159" s="14" t="n">
        <v>343505.9876446889</v>
      </c>
      <c r="R3159" s="15">
        <f>IF(D3159=1,"Section 1","Control")</f>
        <v/>
      </c>
      <c r="S3159" s="16">
        <f>N3159/10000</f>
        <v/>
      </c>
      <c r="T3159" s="16">
        <f>P3159/10000</f>
        <v/>
      </c>
      <c r="U3159" s="15">
        <f>IF(N3159&gt;=Summary!$D$3,1,0)</f>
        <v/>
      </c>
      <c r="V3159" s="17">
        <f>IF(N3159&gt;0,P3159/N3159,"")</f>
        <v/>
      </c>
      <c r="W3159" s="17">
        <f>IF(O3159&gt;0,H3159/O3159,"")</f>
        <v/>
      </c>
    </row>
    <row r="3160">
      <c r="A3160" s="13" t="inlineStr">
        <is>
          <t>CW22_F</t>
        </is>
      </c>
      <c r="B3160" s="13" t="inlineStr">
        <is>
          <t>CW22</t>
        </is>
      </c>
      <c r="C3160" s="13" t="inlineStr">
        <is>
          <t>F</t>
        </is>
      </c>
      <c r="D3160" s="13" t="n">
        <v>0</v>
      </c>
      <c r="E3160" s="13" t="inlineStr">
        <is>
          <t>W</t>
        </is>
      </c>
      <c r="F3160" s="13" t="n">
        <v>2021</v>
      </c>
      <c r="G3160" s="14" t="n">
        <v>69326.70457614072</v>
      </c>
      <c r="H3160" s="14" t="n">
        <v>56968.6878856285</v>
      </c>
      <c r="I3160" s="14" t="n">
        <v>2761.669862874349</v>
      </c>
      <c r="J3160" s="14" t="n">
        <v>0</v>
      </c>
      <c r="K3160" s="14" t="n">
        <v>9596.346827637915</v>
      </c>
      <c r="L3160" s="14" t="n">
        <v>0</v>
      </c>
      <c r="M3160" s="14" t="n">
        <v>0</v>
      </c>
      <c r="N3160" s="14" t="n">
        <v>64597.05986938474</v>
      </c>
      <c r="O3160" s="14" t="n">
        <v>69326.70457614072</v>
      </c>
      <c r="P3160" s="14" t="n">
        <v>7715.484787495934</v>
      </c>
      <c r="Q3160" s="14" t="n">
        <v>343505.9876446889</v>
      </c>
      <c r="R3160" s="15">
        <f>IF(D3160=1,"Section 1","Control")</f>
        <v/>
      </c>
      <c r="S3160" s="16">
        <f>N3160/10000</f>
        <v/>
      </c>
      <c r="T3160" s="16">
        <f>P3160/10000</f>
        <v/>
      </c>
      <c r="U3160" s="15">
        <f>IF(N3160&gt;=Summary!$D$3,1,0)</f>
        <v/>
      </c>
      <c r="V3160" s="17">
        <f>IF(N3160&gt;0,P3160/N3160,"")</f>
        <v/>
      </c>
      <c r="W3160" s="17">
        <f>IF(O3160&gt;0,H3160/O3160,"")</f>
        <v/>
      </c>
    </row>
    <row r="3161">
      <c r="A3161" s="13" t="inlineStr">
        <is>
          <t>CW22_F</t>
        </is>
      </c>
      <c r="B3161" s="13" t="inlineStr">
        <is>
          <t>CW22</t>
        </is>
      </c>
      <c r="C3161" s="13" t="inlineStr">
        <is>
          <t>F</t>
        </is>
      </c>
      <c r="D3161" s="13" t="n">
        <v>0</v>
      </c>
      <c r="E3161" s="13" t="inlineStr">
        <is>
          <t>W</t>
        </is>
      </c>
      <c r="F3161" s="13" t="n">
        <v>2022</v>
      </c>
      <c r="G3161" s="14" t="n">
        <v>69326.70457614072</v>
      </c>
      <c r="H3161" s="14" t="n">
        <v>56905.96664255181</v>
      </c>
      <c r="I3161" s="14" t="n">
        <v>3671.901654980229</v>
      </c>
      <c r="J3161" s="14" t="n">
        <v>0</v>
      </c>
      <c r="K3161" s="14" t="n">
        <v>8748.836278608736</v>
      </c>
      <c r="L3161" s="14" t="n">
        <v>0</v>
      </c>
      <c r="M3161" s="14" t="n">
        <v>0</v>
      </c>
      <c r="N3161" s="14" t="n">
        <v>64597.05986938474</v>
      </c>
      <c r="O3161" s="14" t="n">
        <v>69326.70457614072</v>
      </c>
      <c r="P3161" s="14" t="n">
        <v>7789.821093959436</v>
      </c>
      <c r="Q3161" s="14" t="n">
        <v>343505.9876446889</v>
      </c>
      <c r="R3161" s="15">
        <f>IF(D3161=1,"Section 1","Control")</f>
        <v/>
      </c>
      <c r="S3161" s="16">
        <f>N3161/10000</f>
        <v/>
      </c>
      <c r="T3161" s="16">
        <f>P3161/10000</f>
        <v/>
      </c>
      <c r="U3161" s="15">
        <f>IF(N3161&gt;=Summary!$D$3,1,0)</f>
        <v/>
      </c>
      <c r="V3161" s="17">
        <f>IF(N3161&gt;0,P3161/N3161,"")</f>
        <v/>
      </c>
      <c r="W3161" s="17">
        <f>IF(O3161&gt;0,H3161/O3161,"")</f>
        <v/>
      </c>
    </row>
    <row r="3162">
      <c r="A3162" s="13" t="inlineStr">
        <is>
          <t>CW22_F</t>
        </is>
      </c>
      <c r="B3162" s="13" t="inlineStr">
        <is>
          <t>CW22</t>
        </is>
      </c>
      <c r="C3162" s="13" t="inlineStr">
        <is>
          <t>F</t>
        </is>
      </c>
      <c r="D3162" s="13" t="n">
        <v>0</v>
      </c>
      <c r="E3162" s="13" t="inlineStr">
        <is>
          <t>W</t>
        </is>
      </c>
      <c r="F3162" s="13" t="n">
        <v>2023</v>
      </c>
      <c r="G3162" s="14" t="n">
        <v>69326.70457614072</v>
      </c>
      <c r="H3162" s="14" t="n">
        <v>58365.59030971154</v>
      </c>
      <c r="I3162" s="14" t="n">
        <v>1805.364619595397</v>
      </c>
      <c r="J3162" s="14" t="n">
        <v>0</v>
      </c>
      <c r="K3162" s="14" t="n">
        <v>9155.749646833834</v>
      </c>
      <c r="L3162" s="14" t="n">
        <v>0</v>
      </c>
      <c r="M3162" s="14" t="n">
        <v>0</v>
      </c>
      <c r="N3162" s="14" t="n">
        <v>64597.05986938474</v>
      </c>
      <c r="O3162" s="14" t="n">
        <v>69326.70457614072</v>
      </c>
      <c r="P3162" s="14" t="n">
        <v>7268.69289194743</v>
      </c>
      <c r="Q3162" s="14" t="n">
        <v>343505.9876446889</v>
      </c>
      <c r="R3162" s="15">
        <f>IF(D3162=1,"Section 1","Control")</f>
        <v/>
      </c>
      <c r="S3162" s="16">
        <f>N3162/10000</f>
        <v/>
      </c>
      <c r="T3162" s="16">
        <f>P3162/10000</f>
        <v/>
      </c>
      <c r="U3162" s="15">
        <f>IF(N3162&gt;=Summary!$D$3,1,0)</f>
        <v/>
      </c>
      <c r="V3162" s="17">
        <f>IF(N3162&gt;0,P3162/N3162,"")</f>
        <v/>
      </c>
      <c r="W3162" s="17">
        <f>IF(O3162&gt;0,H3162/O3162,"")</f>
        <v/>
      </c>
    </row>
    <row r="3163">
      <c r="A3163" s="13" t="inlineStr">
        <is>
          <t>CW22_F</t>
        </is>
      </c>
      <c r="B3163" s="13" t="inlineStr">
        <is>
          <t>CW22</t>
        </is>
      </c>
      <c r="C3163" s="13" t="inlineStr">
        <is>
          <t>F</t>
        </is>
      </c>
      <c r="D3163" s="13" t="n">
        <v>0</v>
      </c>
      <c r="E3163" s="13" t="inlineStr">
        <is>
          <t>W</t>
        </is>
      </c>
      <c r="F3163" s="13" t="n">
        <v>2024</v>
      </c>
      <c r="G3163" s="14" t="n">
        <v>69326.70457614072</v>
      </c>
      <c r="H3163" s="14" t="n">
        <v>59553.80912230249</v>
      </c>
      <c r="I3163" s="14" t="n">
        <v>802.2121427648208</v>
      </c>
      <c r="J3163" s="14" t="n">
        <v>0</v>
      </c>
      <c r="K3163" s="14" t="n">
        <v>8970.683311073455</v>
      </c>
      <c r="L3163" s="14" t="n">
        <v>0</v>
      </c>
      <c r="M3163" s="14" t="n">
        <v>0</v>
      </c>
      <c r="N3163" s="14" t="n">
        <v>64597.05986938474</v>
      </c>
      <c r="O3163" s="14" t="n">
        <v>69326.70457614072</v>
      </c>
      <c r="P3163" s="14" t="n">
        <v>6762.664137836533</v>
      </c>
      <c r="Q3163" s="14" t="n">
        <v>343505.9876446889</v>
      </c>
      <c r="R3163" s="15">
        <f>IF(D3163=1,"Section 1","Control")</f>
        <v/>
      </c>
      <c r="S3163" s="16">
        <f>N3163/10000</f>
        <v/>
      </c>
      <c r="T3163" s="16">
        <f>P3163/10000</f>
        <v/>
      </c>
      <c r="U3163" s="15">
        <f>IF(N3163&gt;=Summary!$D$3,1,0)</f>
        <v/>
      </c>
      <c r="V3163" s="17">
        <f>IF(N3163&gt;0,P3163/N3163,"")</f>
        <v/>
      </c>
      <c r="W3163" s="17">
        <f>IF(O3163&gt;0,H3163/O3163,"")</f>
        <v/>
      </c>
    </row>
    <row r="3164">
      <c r="A3164" s="13" t="inlineStr">
        <is>
          <t>CW22_F</t>
        </is>
      </c>
      <c r="B3164" s="13" t="inlineStr">
        <is>
          <t>CW22</t>
        </is>
      </c>
      <c r="C3164" s="13" t="inlineStr">
        <is>
          <t>F</t>
        </is>
      </c>
      <c r="D3164" s="13" t="n">
        <v>0</v>
      </c>
      <c r="E3164" s="13" t="inlineStr">
        <is>
          <t>W</t>
        </is>
      </c>
      <c r="F3164" s="13" t="n">
        <v>2025</v>
      </c>
      <c r="G3164" s="14" t="n">
        <v>69326.70457614072</v>
      </c>
      <c r="H3164" s="14" t="n">
        <v>58439.92660307043</v>
      </c>
      <c r="I3164" s="14" t="n">
        <v>1689.601356326833</v>
      </c>
      <c r="J3164" s="14" t="n">
        <v>0</v>
      </c>
      <c r="K3164" s="14" t="n">
        <v>9197.176616743502</v>
      </c>
      <c r="L3164" s="14" t="n">
        <v>0</v>
      </c>
      <c r="M3164" s="14" t="n">
        <v>0</v>
      </c>
      <c r="N3164" s="14" t="n">
        <v>64597.05986938474</v>
      </c>
      <c r="O3164" s="14" t="n">
        <v>69326.70457614072</v>
      </c>
      <c r="P3164" s="14" t="n">
        <v>6861.39204310997</v>
      </c>
      <c r="Q3164" s="14" t="n">
        <v>343505.9876446889</v>
      </c>
      <c r="R3164" s="15">
        <f>IF(D3164=1,"Section 1","Control")</f>
        <v/>
      </c>
      <c r="S3164" s="16">
        <f>N3164/10000</f>
        <v/>
      </c>
      <c r="T3164" s="16">
        <f>P3164/10000</f>
        <v/>
      </c>
      <c r="U3164" s="15">
        <f>IF(N3164&gt;=Summary!$D$3,1,0)</f>
        <v/>
      </c>
      <c r="V3164" s="17">
        <f>IF(N3164&gt;0,P3164/N3164,"")</f>
        <v/>
      </c>
      <c r="W3164" s="17">
        <f>IF(O3164&gt;0,H3164/O3164,"")</f>
        <v/>
      </c>
    </row>
    <row r="3165">
      <c r="A3165" s="13" t="inlineStr">
        <is>
          <t>CW22_F</t>
        </is>
      </c>
      <c r="B3165" s="13" t="inlineStr">
        <is>
          <t>CW22</t>
        </is>
      </c>
      <c r="C3165" s="13" t="inlineStr">
        <is>
          <t>F</t>
        </is>
      </c>
      <c r="D3165" s="13" t="n">
        <v>0</v>
      </c>
      <c r="E3165" s="13" t="inlineStr">
        <is>
          <t>W</t>
        </is>
      </c>
      <c r="F3165" s="13" t="n">
        <v>2026</v>
      </c>
      <c r="G3165" s="14" t="n">
        <v>69326.70457614072</v>
      </c>
      <c r="H3165" s="14" t="n">
        <v>58538.65458463781</v>
      </c>
      <c r="I3165" s="14" t="n">
        <v>1669.468531380448</v>
      </c>
      <c r="J3165" s="14" t="n">
        <v>0</v>
      </c>
      <c r="K3165" s="14" t="n">
        <v>9118.581460122505</v>
      </c>
      <c r="L3165" s="14" t="n">
        <v>0</v>
      </c>
      <c r="M3165" s="14" t="n">
        <v>0</v>
      </c>
      <c r="N3165" s="14" t="n">
        <v>64597.05986938474</v>
      </c>
      <c r="O3165" s="14" t="n">
        <v>69326.70457614072</v>
      </c>
      <c r="P3165" s="14" t="n">
        <v>7058.847685810166</v>
      </c>
      <c r="Q3165" s="14" t="n">
        <v>343505.9876446889</v>
      </c>
      <c r="R3165" s="15">
        <f>IF(D3165=1,"Section 1","Control")</f>
        <v/>
      </c>
      <c r="S3165" s="16">
        <f>N3165/10000</f>
        <v/>
      </c>
      <c r="T3165" s="16">
        <f>P3165/10000</f>
        <v/>
      </c>
      <c r="U3165" s="15">
        <f>IF(N3165&gt;=Summary!$D$3,1,0)</f>
        <v/>
      </c>
      <c r="V3165" s="17">
        <f>IF(N3165&gt;0,P3165/N3165,"")</f>
        <v/>
      </c>
      <c r="W3165" s="17">
        <f>IF(O3165&gt;0,H3165/O3165,"")</f>
        <v/>
      </c>
    </row>
    <row r="3166">
      <c r="A3166" s="13" t="inlineStr">
        <is>
          <t>CW23_B1</t>
        </is>
      </c>
      <c r="B3166" s="13" t="inlineStr">
        <is>
          <t>CW23</t>
        </is>
      </c>
      <c r="C3166" s="13" t="inlineStr">
        <is>
          <t>B1</t>
        </is>
      </c>
      <c r="D3166" s="13" t="n">
        <v>0</v>
      </c>
      <c r="E3166" s="13" t="inlineStr">
        <is>
          <t>W</t>
        </is>
      </c>
      <c r="F3166" s="13" t="n">
        <v>2020</v>
      </c>
      <c r="G3166" s="14" t="n">
        <v>1000958.13357535</v>
      </c>
      <c r="H3166" s="14" t="n">
        <v>886794.2116281547</v>
      </c>
      <c r="I3166" s="14" t="n">
        <v>35707.97679580988</v>
      </c>
      <c r="J3166" s="14" t="n">
        <v>0</v>
      </c>
      <c r="K3166" s="14" t="n">
        <v>24238.51665242513</v>
      </c>
      <c r="L3166" s="14" t="n">
        <v>54217.42849896001</v>
      </c>
      <c r="M3166" s="14" t="n">
        <v>0</v>
      </c>
      <c r="N3166" s="14" t="n">
        <v>886794.2116281547</v>
      </c>
      <c r="O3166" s="14" t="n">
        <v>946740.7050763896</v>
      </c>
      <c r="P3166" s="14" t="n">
        <v>0</v>
      </c>
      <c r="Q3166" s="14" t="n">
        <v>7243295.984199105</v>
      </c>
      <c r="R3166" s="15">
        <f>IF(D3166=1,"Section 1","Control")</f>
        <v/>
      </c>
      <c r="S3166" s="16">
        <f>N3166/10000</f>
        <v/>
      </c>
      <c r="T3166" s="16">
        <f>P3166/10000</f>
        <v/>
      </c>
      <c r="U3166" s="15">
        <f>IF(N3166&gt;=Summary!$D$3,1,0)</f>
        <v/>
      </c>
      <c r="V3166" s="17">
        <f>IF(N3166&gt;0,P3166/N3166,"")</f>
        <v/>
      </c>
      <c r="W3166" s="17">
        <f>IF(O3166&gt;0,H3166/O3166,"")</f>
        <v/>
      </c>
    </row>
    <row r="3167">
      <c r="A3167" s="13" t="inlineStr">
        <is>
          <t>CW23_B1</t>
        </is>
      </c>
      <c r="B3167" s="13" t="inlineStr">
        <is>
          <t>CW23</t>
        </is>
      </c>
      <c r="C3167" s="13" t="inlineStr">
        <is>
          <t>B1</t>
        </is>
      </c>
      <c r="D3167" s="13" t="n">
        <v>0</v>
      </c>
      <c r="E3167" s="13" t="inlineStr">
        <is>
          <t>W</t>
        </is>
      </c>
      <c r="F3167" s="13" t="n">
        <v>2021</v>
      </c>
      <c r="G3167" s="14" t="n">
        <v>1000958.13357535</v>
      </c>
      <c r="H3167" s="14" t="n">
        <v>854062.0035844689</v>
      </c>
      <c r="I3167" s="14" t="n">
        <v>24190.19337164187</v>
      </c>
      <c r="J3167" s="14" t="n">
        <v>0</v>
      </c>
      <c r="K3167" s="14" t="n">
        <v>49385.76403410668</v>
      </c>
      <c r="L3167" s="14" t="n">
        <v>73320.17258513208</v>
      </c>
      <c r="M3167" s="14" t="n">
        <v>0</v>
      </c>
      <c r="N3167" s="14" t="n">
        <v>886794.2116281547</v>
      </c>
      <c r="O3167" s="14" t="n">
        <v>946740.7050763896</v>
      </c>
      <c r="P3167" s="14" t="n">
        <v>45269.03677451937</v>
      </c>
      <c r="Q3167" s="14" t="n">
        <v>7243295.984199105</v>
      </c>
      <c r="R3167" s="15">
        <f>IF(D3167=1,"Section 1","Control")</f>
        <v/>
      </c>
      <c r="S3167" s="16">
        <f>N3167/10000</f>
        <v/>
      </c>
      <c r="T3167" s="16">
        <f>P3167/10000</f>
        <v/>
      </c>
      <c r="U3167" s="15">
        <f>IF(N3167&gt;=Summary!$D$3,1,0)</f>
        <v/>
      </c>
      <c r="V3167" s="17">
        <f>IF(N3167&gt;0,P3167/N3167,"")</f>
        <v/>
      </c>
      <c r="W3167" s="17">
        <f>IF(O3167&gt;0,H3167/O3167,"")</f>
        <v/>
      </c>
    </row>
    <row r="3168">
      <c r="A3168" s="13" t="inlineStr">
        <is>
          <t>CW23_B1</t>
        </is>
      </c>
      <c r="B3168" s="13" t="inlineStr">
        <is>
          <t>CW23</t>
        </is>
      </c>
      <c r="C3168" s="13" t="inlineStr">
        <is>
          <t>B1</t>
        </is>
      </c>
      <c r="D3168" s="13" t="n">
        <v>0</v>
      </c>
      <c r="E3168" s="13" t="inlineStr">
        <is>
          <t>W</t>
        </is>
      </c>
      <c r="F3168" s="13" t="n">
        <v>2022</v>
      </c>
      <c r="G3168" s="14" t="n">
        <v>1000958.13357535</v>
      </c>
      <c r="H3168" s="14" t="n">
        <v>846990.4151113472</v>
      </c>
      <c r="I3168" s="14" t="n">
        <v>34183.7328871783</v>
      </c>
      <c r="J3168" s="14" t="n">
        <v>0</v>
      </c>
      <c r="K3168" s="14" t="n">
        <v>87992.71173828724</v>
      </c>
      <c r="L3168" s="14" t="n">
        <v>31791.27383853689</v>
      </c>
      <c r="M3168" s="14" t="n">
        <v>0</v>
      </c>
      <c r="N3168" s="14" t="n">
        <v>886794.2116281546</v>
      </c>
      <c r="O3168" s="14" t="n">
        <v>946740.7050763896</v>
      </c>
      <c r="P3168" s="14" t="n">
        <v>53011.20387797637</v>
      </c>
      <c r="Q3168" s="14" t="n">
        <v>7243295.984199106</v>
      </c>
      <c r="R3168" s="15">
        <f>IF(D3168=1,"Section 1","Control")</f>
        <v/>
      </c>
      <c r="S3168" s="16">
        <f>N3168/10000</f>
        <v/>
      </c>
      <c r="T3168" s="16">
        <f>P3168/10000</f>
        <v/>
      </c>
      <c r="U3168" s="15">
        <f>IF(N3168&gt;=Summary!$D$3,1,0)</f>
        <v/>
      </c>
      <c r="V3168" s="17">
        <f>IF(N3168&gt;0,P3168/N3168,"")</f>
        <v/>
      </c>
      <c r="W3168" s="17">
        <f>IF(O3168&gt;0,H3168/O3168,"")</f>
        <v/>
      </c>
    </row>
    <row r="3169">
      <c r="A3169" s="13" t="inlineStr">
        <is>
          <t>CW23_B1</t>
        </is>
      </c>
      <c r="B3169" s="13" t="inlineStr">
        <is>
          <t>CW23</t>
        </is>
      </c>
      <c r="C3169" s="13" t="inlineStr">
        <is>
          <t>B1</t>
        </is>
      </c>
      <c r="D3169" s="13" t="n">
        <v>0</v>
      </c>
      <c r="E3169" s="13" t="inlineStr">
        <is>
          <t>W</t>
        </is>
      </c>
      <c r="F3169" s="13" t="n">
        <v>2023</v>
      </c>
      <c r="G3169" s="14" t="n">
        <v>1000958.13357535</v>
      </c>
      <c r="H3169" s="14" t="n">
        <v>870089.1473415301</v>
      </c>
      <c r="I3169" s="14" t="n">
        <v>13987.57494581634</v>
      </c>
      <c r="J3169" s="14" t="n">
        <v>0</v>
      </c>
      <c r="K3169" s="14" t="n">
        <v>23373.27767151477</v>
      </c>
      <c r="L3169" s="14" t="n">
        <v>93508.1336164886</v>
      </c>
      <c r="M3169" s="14" t="n">
        <v>0</v>
      </c>
      <c r="N3169" s="14" t="n">
        <v>886794.2116281546</v>
      </c>
      <c r="O3169" s="14" t="n">
        <v>946740.7050763896</v>
      </c>
      <c r="P3169" s="14" t="n">
        <v>35196.51575945687</v>
      </c>
      <c r="Q3169" s="14" t="n">
        <v>7243295.984199105</v>
      </c>
      <c r="R3169" s="15">
        <f>IF(D3169=1,"Section 1","Control")</f>
        <v/>
      </c>
      <c r="S3169" s="16">
        <f>N3169/10000</f>
        <v/>
      </c>
      <c r="T3169" s="16">
        <f>P3169/10000</f>
        <v/>
      </c>
      <c r="U3169" s="15">
        <f>IF(N3169&gt;=Summary!$D$3,1,0)</f>
        <v/>
      </c>
      <c r="V3169" s="17">
        <f>IF(N3169&gt;0,P3169/N3169,"")</f>
        <v/>
      </c>
      <c r="W3169" s="17">
        <f>IF(O3169&gt;0,H3169/O3169,"")</f>
        <v/>
      </c>
    </row>
    <row r="3170">
      <c r="A3170" s="13" t="inlineStr">
        <is>
          <t>CW23_B1</t>
        </is>
      </c>
      <c r="B3170" s="13" t="inlineStr">
        <is>
          <t>CW23</t>
        </is>
      </c>
      <c r="C3170" s="13" t="inlineStr">
        <is>
          <t>B1</t>
        </is>
      </c>
      <c r="D3170" s="13" t="n">
        <v>0</v>
      </c>
      <c r="E3170" s="13" t="inlineStr">
        <is>
          <t>W</t>
        </is>
      </c>
      <c r="F3170" s="13" t="n">
        <v>2024</v>
      </c>
      <c r="G3170" s="14" t="n">
        <v>1000958.13357535</v>
      </c>
      <c r="H3170" s="14" t="n">
        <v>876007.7605914248</v>
      </c>
      <c r="I3170" s="14" t="n">
        <v>7574.18097264907</v>
      </c>
      <c r="J3170" s="14" t="n">
        <v>0</v>
      </c>
      <c r="K3170" s="14" t="n">
        <v>29857.51143583409</v>
      </c>
      <c r="L3170" s="14" t="n">
        <v>87518.68057544186</v>
      </c>
      <c r="M3170" s="14" t="n">
        <v>0</v>
      </c>
      <c r="N3170" s="14" t="n">
        <v>886794.2116281547</v>
      </c>
      <c r="O3170" s="14" t="n">
        <v>946740.7050763896</v>
      </c>
      <c r="P3170" s="14" t="n">
        <v>35346.72988484701</v>
      </c>
      <c r="Q3170" s="14" t="n">
        <v>7243295.984199105</v>
      </c>
      <c r="R3170" s="15">
        <f>IF(D3170=1,"Section 1","Control")</f>
        <v/>
      </c>
      <c r="S3170" s="16">
        <f>N3170/10000</f>
        <v/>
      </c>
      <c r="T3170" s="16">
        <f>P3170/10000</f>
        <v/>
      </c>
      <c r="U3170" s="15">
        <f>IF(N3170&gt;=Summary!$D$3,1,0)</f>
        <v/>
      </c>
      <c r="V3170" s="17">
        <f>IF(N3170&gt;0,P3170/N3170,"")</f>
        <v/>
      </c>
      <c r="W3170" s="17">
        <f>IF(O3170&gt;0,H3170/O3170,"")</f>
        <v/>
      </c>
    </row>
    <row r="3171">
      <c r="A3171" s="13" t="inlineStr">
        <is>
          <t>CW23_B1</t>
        </is>
      </c>
      <c r="B3171" s="13" t="inlineStr">
        <is>
          <t>CW23</t>
        </is>
      </c>
      <c r="C3171" s="13" t="inlineStr">
        <is>
          <t>B1</t>
        </is>
      </c>
      <c r="D3171" s="13" t="n">
        <v>0</v>
      </c>
      <c r="E3171" s="13" t="inlineStr">
        <is>
          <t>W</t>
        </is>
      </c>
      <c r="F3171" s="13" t="n">
        <v>2025</v>
      </c>
      <c r="G3171" s="14" t="n">
        <v>1000958.13357535</v>
      </c>
      <c r="H3171" s="14" t="n">
        <v>836920.9785550586</v>
      </c>
      <c r="I3171" s="14" t="n">
        <v>52044.88907805798</v>
      </c>
      <c r="J3171" s="14" t="n">
        <v>0</v>
      </c>
      <c r="K3171" s="14" t="n">
        <v>41261.46647335875</v>
      </c>
      <c r="L3171" s="14" t="n">
        <v>70730.79946887447</v>
      </c>
      <c r="M3171" s="14" t="n">
        <v>0</v>
      </c>
      <c r="N3171" s="14" t="n">
        <v>886794.2116281547</v>
      </c>
      <c r="O3171" s="14" t="n">
        <v>946740.7050763896</v>
      </c>
      <c r="P3171" s="14" t="n">
        <v>68434.74970861696</v>
      </c>
      <c r="Q3171" s="14" t="n">
        <v>7243295.984199106</v>
      </c>
      <c r="R3171" s="15">
        <f>IF(D3171=1,"Section 1","Control")</f>
        <v/>
      </c>
      <c r="S3171" s="16">
        <f>N3171/10000</f>
        <v/>
      </c>
      <c r="T3171" s="16">
        <f>P3171/10000</f>
        <v/>
      </c>
      <c r="U3171" s="15">
        <f>IF(N3171&gt;=Summary!$D$3,1,0)</f>
        <v/>
      </c>
      <c r="V3171" s="17">
        <f>IF(N3171&gt;0,P3171/N3171,"")</f>
        <v/>
      </c>
      <c r="W3171" s="17">
        <f>IF(O3171&gt;0,H3171/O3171,"")</f>
        <v/>
      </c>
    </row>
    <row r="3172">
      <c r="A3172" s="13" t="inlineStr">
        <is>
          <t>CW23_B1</t>
        </is>
      </c>
      <c r="B3172" s="13" t="inlineStr">
        <is>
          <t>CW23</t>
        </is>
      </c>
      <c r="C3172" s="13" t="inlineStr">
        <is>
          <t>B1</t>
        </is>
      </c>
      <c r="D3172" s="13" t="n">
        <v>0</v>
      </c>
      <c r="E3172" s="13" t="inlineStr">
        <is>
          <t>W</t>
        </is>
      </c>
      <c r="F3172" s="13" t="n">
        <v>2026</v>
      </c>
      <c r="G3172" s="14" t="n">
        <v>1000958.13357535</v>
      </c>
      <c r="H3172" s="14" t="n">
        <v>833989.0021569643</v>
      </c>
      <c r="I3172" s="14" t="n">
        <v>46022.12221515131</v>
      </c>
      <c r="J3172" s="14" t="n">
        <v>0</v>
      </c>
      <c r="K3172" s="14" t="n">
        <v>19945.6704783421</v>
      </c>
      <c r="L3172" s="14" t="n">
        <v>101001.3387248918</v>
      </c>
      <c r="M3172" s="14" t="n">
        <v>0</v>
      </c>
      <c r="N3172" s="14" t="n">
        <v>886794.2116281546</v>
      </c>
      <c r="O3172" s="14" t="n">
        <v>946740.7050763896</v>
      </c>
      <c r="P3172" s="14" t="n">
        <v>62994.65546833113</v>
      </c>
      <c r="Q3172" s="14" t="n">
        <v>7243295.984199106</v>
      </c>
      <c r="R3172" s="15">
        <f>IF(D3172=1,"Section 1","Control")</f>
        <v/>
      </c>
      <c r="S3172" s="16">
        <f>N3172/10000</f>
        <v/>
      </c>
      <c r="T3172" s="16">
        <f>P3172/10000</f>
        <v/>
      </c>
      <c r="U3172" s="15">
        <f>IF(N3172&gt;=Summary!$D$3,1,0)</f>
        <v/>
      </c>
      <c r="V3172" s="17">
        <f>IF(N3172&gt;0,P3172/N3172,"")</f>
        <v/>
      </c>
      <c r="W3172" s="17">
        <f>IF(O3172&gt;0,H3172/O3172,"")</f>
        <v/>
      </c>
    </row>
    <row r="3173">
      <c r="A3173" s="13" t="inlineStr">
        <is>
          <t>CW23_B2</t>
        </is>
      </c>
      <c r="B3173" s="13" t="inlineStr">
        <is>
          <t>CW23</t>
        </is>
      </c>
      <c r="C3173" s="13" t="inlineStr">
        <is>
          <t>B2</t>
        </is>
      </c>
      <c r="D3173" s="13" t="n">
        <v>0</v>
      </c>
      <c r="E3173" s="13" t="inlineStr">
        <is>
          <t>W</t>
        </is>
      </c>
      <c r="F3173" s="13" t="n">
        <v>2020</v>
      </c>
      <c r="G3173" s="14" t="n">
        <v>1000341.367171374</v>
      </c>
      <c r="H3173" s="14" t="n">
        <v>39013.13993344775</v>
      </c>
      <c r="I3173" s="14" t="n">
        <v>135346.147903203</v>
      </c>
      <c r="J3173" s="14" t="n">
        <v>0</v>
      </c>
      <c r="K3173" s="14" t="n">
        <v>11236.33347081203</v>
      </c>
      <c r="L3173" s="14" t="n">
        <v>814745.745863911</v>
      </c>
      <c r="M3173" s="14" t="n">
        <v>0</v>
      </c>
      <c r="N3173" s="14" t="n">
        <v>39013.13993344775</v>
      </c>
      <c r="O3173" s="14" t="n">
        <v>185595.6213074627</v>
      </c>
      <c r="P3173" s="14" t="n">
        <v>0</v>
      </c>
      <c r="Q3173" s="14" t="n">
        <v>683133.2078704834</v>
      </c>
      <c r="R3173" s="15">
        <f>IF(D3173=1,"Section 1","Control")</f>
        <v/>
      </c>
      <c r="S3173" s="16">
        <f>N3173/10000</f>
        <v/>
      </c>
      <c r="T3173" s="16">
        <f>P3173/10000</f>
        <v/>
      </c>
      <c r="U3173" s="15">
        <f>IF(N3173&gt;=Summary!$D$3,1,0)</f>
        <v/>
      </c>
      <c r="V3173" s="17">
        <f>IF(N3173&gt;0,P3173/N3173,"")</f>
        <v/>
      </c>
      <c r="W3173" s="17">
        <f>IF(O3173&gt;0,H3173/O3173,"")</f>
        <v/>
      </c>
    </row>
    <row r="3174">
      <c r="A3174" s="13" t="inlineStr">
        <is>
          <t>CW23_B2</t>
        </is>
      </c>
      <c r="B3174" s="13" t="inlineStr">
        <is>
          <t>CW23</t>
        </is>
      </c>
      <c r="C3174" s="13" t="inlineStr">
        <is>
          <t>B2</t>
        </is>
      </c>
      <c r="D3174" s="13" t="n">
        <v>0</v>
      </c>
      <c r="E3174" s="13" t="inlineStr">
        <is>
          <t>W</t>
        </is>
      </c>
      <c r="F3174" s="13" t="n">
        <v>2021</v>
      </c>
      <c r="G3174" s="14" t="n">
        <v>1000341.367171374</v>
      </c>
      <c r="H3174" s="14" t="n">
        <v>23471.17407307345</v>
      </c>
      <c r="I3174" s="14" t="n">
        <v>154739.6481517118</v>
      </c>
      <c r="J3174" s="14" t="n">
        <v>0</v>
      </c>
      <c r="K3174" s="14" t="n">
        <v>22977.90326376523</v>
      </c>
      <c r="L3174" s="14" t="n">
        <v>799152.6416828232</v>
      </c>
      <c r="M3174" s="14" t="n">
        <v>0</v>
      </c>
      <c r="N3174" s="14" t="n">
        <v>39013.13993344775</v>
      </c>
      <c r="O3174" s="14" t="n">
        <v>185595.6213074627</v>
      </c>
      <c r="P3174" s="14" t="n">
        <v>15615.91568872788</v>
      </c>
      <c r="Q3174" s="14" t="n">
        <v>683133.2078704834</v>
      </c>
      <c r="R3174" s="15">
        <f>IF(D3174=1,"Section 1","Control")</f>
        <v/>
      </c>
      <c r="S3174" s="16">
        <f>N3174/10000</f>
        <v/>
      </c>
      <c r="T3174" s="16">
        <f>P3174/10000</f>
        <v/>
      </c>
      <c r="U3174" s="15">
        <f>IF(N3174&gt;=Summary!$D$3,1,0)</f>
        <v/>
      </c>
      <c r="V3174" s="17">
        <f>IF(N3174&gt;0,P3174/N3174,"")</f>
        <v/>
      </c>
      <c r="W3174" s="17">
        <f>IF(O3174&gt;0,H3174/O3174,"")</f>
        <v/>
      </c>
    </row>
    <row r="3175">
      <c r="A3175" s="13" t="inlineStr">
        <is>
          <t>CW23_B2</t>
        </is>
      </c>
      <c r="B3175" s="13" t="inlineStr">
        <is>
          <t>CW23</t>
        </is>
      </c>
      <c r="C3175" s="13" t="inlineStr">
        <is>
          <t>B2</t>
        </is>
      </c>
      <c r="D3175" s="13" t="n">
        <v>0</v>
      </c>
      <c r="E3175" s="13" t="inlineStr">
        <is>
          <t>W</t>
        </is>
      </c>
      <c r="F3175" s="13" t="n">
        <v>2022</v>
      </c>
      <c r="G3175" s="14" t="n">
        <v>1000341.367171374</v>
      </c>
      <c r="H3175" s="14" t="n">
        <v>13526.84167330873</v>
      </c>
      <c r="I3175" s="14" t="n">
        <v>148565.400098464</v>
      </c>
      <c r="J3175" s="14" t="n">
        <v>0</v>
      </c>
      <c r="K3175" s="14" t="n">
        <v>33200.17036737181</v>
      </c>
      <c r="L3175" s="14" t="n">
        <v>805048.9550322292</v>
      </c>
      <c r="M3175" s="14" t="n">
        <v>0</v>
      </c>
      <c r="N3175" s="14" t="n">
        <v>39013.13993344775</v>
      </c>
      <c r="O3175" s="14" t="n">
        <v>185595.6213074627</v>
      </c>
      <c r="P3175" s="14" t="n">
        <v>25486.29826013902</v>
      </c>
      <c r="Q3175" s="14" t="n">
        <v>683133.2078704834</v>
      </c>
      <c r="R3175" s="15">
        <f>IF(D3175=1,"Section 1","Control")</f>
        <v/>
      </c>
      <c r="S3175" s="16">
        <f>N3175/10000</f>
        <v/>
      </c>
      <c r="T3175" s="16">
        <f>P3175/10000</f>
        <v/>
      </c>
      <c r="U3175" s="15">
        <f>IF(N3175&gt;=Summary!$D$3,1,0)</f>
        <v/>
      </c>
      <c r="V3175" s="17">
        <f>IF(N3175&gt;0,P3175/N3175,"")</f>
        <v/>
      </c>
      <c r="W3175" s="17">
        <f>IF(O3175&gt;0,H3175/O3175,"")</f>
        <v/>
      </c>
    </row>
    <row r="3176">
      <c r="A3176" s="13" t="inlineStr">
        <is>
          <t>CW23_B2</t>
        </is>
      </c>
      <c r="B3176" s="13" t="inlineStr">
        <is>
          <t>CW23</t>
        </is>
      </c>
      <c r="C3176" s="13" t="inlineStr">
        <is>
          <t>B2</t>
        </is>
      </c>
      <c r="D3176" s="13" t="n">
        <v>0</v>
      </c>
      <c r="E3176" s="13" t="inlineStr">
        <is>
          <t>W</t>
        </is>
      </c>
      <c r="F3176" s="13" t="n">
        <v>2023</v>
      </c>
      <c r="G3176" s="14" t="n">
        <v>1000341.367171374</v>
      </c>
      <c r="H3176" s="14" t="n">
        <v>12193.04785057517</v>
      </c>
      <c r="I3176" s="14" t="n">
        <v>134624.8561225143</v>
      </c>
      <c r="J3176" s="14" t="n">
        <v>0</v>
      </c>
      <c r="K3176" s="14" t="n">
        <v>19262.661883515</v>
      </c>
      <c r="L3176" s="14" t="n">
        <v>834260.8013147693</v>
      </c>
      <c r="M3176" s="14" t="n">
        <v>0</v>
      </c>
      <c r="N3176" s="14" t="n">
        <v>39013.13993344775</v>
      </c>
      <c r="O3176" s="14" t="n">
        <v>185595.6213074627</v>
      </c>
      <c r="P3176" s="14" t="n">
        <v>26918.82091130275</v>
      </c>
      <c r="Q3176" s="14" t="n">
        <v>683133.2078704834</v>
      </c>
      <c r="R3176" s="15">
        <f>IF(D3176=1,"Section 1","Control")</f>
        <v/>
      </c>
      <c r="S3176" s="16">
        <f>N3176/10000</f>
        <v/>
      </c>
      <c r="T3176" s="16">
        <f>P3176/10000</f>
        <v/>
      </c>
      <c r="U3176" s="15">
        <f>IF(N3176&gt;=Summary!$D$3,1,0)</f>
        <v/>
      </c>
      <c r="V3176" s="17">
        <f>IF(N3176&gt;0,P3176/N3176,"")</f>
        <v/>
      </c>
      <c r="W3176" s="17">
        <f>IF(O3176&gt;0,H3176/O3176,"")</f>
        <v/>
      </c>
    </row>
    <row r="3177">
      <c r="A3177" s="13" t="inlineStr">
        <is>
          <t>CW23_B2</t>
        </is>
      </c>
      <c r="B3177" s="13" t="inlineStr">
        <is>
          <t>CW23</t>
        </is>
      </c>
      <c r="C3177" s="13" t="inlineStr">
        <is>
          <t>B2</t>
        </is>
      </c>
      <c r="D3177" s="13" t="n">
        <v>0</v>
      </c>
      <c r="E3177" s="13" t="inlineStr">
        <is>
          <t>W</t>
        </is>
      </c>
      <c r="F3177" s="13" t="n">
        <v>2024</v>
      </c>
      <c r="G3177" s="14" t="n">
        <v>1000341.367171374</v>
      </c>
      <c r="H3177" s="14" t="n">
        <v>9975.371624486586</v>
      </c>
      <c r="I3177" s="14" t="n">
        <v>132284.7832129085</v>
      </c>
      <c r="J3177" s="14" t="n">
        <v>0</v>
      </c>
      <c r="K3177" s="14" t="n">
        <v>21409.11423109466</v>
      </c>
      <c r="L3177" s="14" t="n">
        <v>836672.0981028839</v>
      </c>
      <c r="M3177" s="14" t="n">
        <v>0</v>
      </c>
      <c r="N3177" s="14" t="n">
        <v>39013.13993344775</v>
      </c>
      <c r="O3177" s="14" t="n">
        <v>185595.6213074627</v>
      </c>
      <c r="P3177" s="14" t="n">
        <v>29136.49713739134</v>
      </c>
      <c r="Q3177" s="14" t="n">
        <v>683133.2078704834</v>
      </c>
      <c r="R3177" s="15">
        <f>IF(D3177=1,"Section 1","Control")</f>
        <v/>
      </c>
      <c r="S3177" s="16">
        <f>N3177/10000</f>
        <v/>
      </c>
      <c r="T3177" s="16">
        <f>P3177/10000</f>
        <v/>
      </c>
      <c r="U3177" s="15">
        <f>IF(N3177&gt;=Summary!$D$3,1,0)</f>
        <v/>
      </c>
      <c r="V3177" s="17">
        <f>IF(N3177&gt;0,P3177/N3177,"")</f>
        <v/>
      </c>
      <c r="W3177" s="17">
        <f>IF(O3177&gt;0,H3177/O3177,"")</f>
        <v/>
      </c>
    </row>
    <row r="3178">
      <c r="A3178" s="13" t="inlineStr">
        <is>
          <t>CW23_B2</t>
        </is>
      </c>
      <c r="B3178" s="13" t="inlineStr">
        <is>
          <t>CW23</t>
        </is>
      </c>
      <c r="C3178" s="13" t="inlineStr">
        <is>
          <t>B2</t>
        </is>
      </c>
      <c r="D3178" s="13" t="n">
        <v>0</v>
      </c>
      <c r="E3178" s="13" t="inlineStr">
        <is>
          <t>W</t>
        </is>
      </c>
      <c r="F3178" s="13" t="n">
        <v>2025</v>
      </c>
      <c r="G3178" s="14" t="n">
        <v>1000341.367171374</v>
      </c>
      <c r="H3178" s="14" t="n">
        <v>9889.02679530125</v>
      </c>
      <c r="I3178" s="14" t="n">
        <v>134607.0351821899</v>
      </c>
      <c r="J3178" s="14" t="n">
        <v>0</v>
      </c>
      <c r="K3178" s="14" t="n">
        <v>28275.85130564372</v>
      </c>
      <c r="L3178" s="14" t="n">
        <v>827569.4538882389</v>
      </c>
      <c r="M3178" s="14" t="n">
        <v>0</v>
      </c>
      <c r="N3178" s="14" t="n">
        <v>39013.13993344775</v>
      </c>
      <c r="O3178" s="14" t="n">
        <v>185595.6213074627</v>
      </c>
      <c r="P3178" s="14" t="n">
        <v>29124.11313814649</v>
      </c>
      <c r="Q3178" s="14" t="n">
        <v>683133.2078704834</v>
      </c>
      <c r="R3178" s="15">
        <f>IF(D3178=1,"Section 1","Control")</f>
        <v/>
      </c>
      <c r="S3178" s="16">
        <f>N3178/10000</f>
        <v/>
      </c>
      <c r="T3178" s="16">
        <f>P3178/10000</f>
        <v/>
      </c>
      <c r="U3178" s="15">
        <f>IF(N3178&gt;=Summary!$D$3,1,0)</f>
        <v/>
      </c>
      <c r="V3178" s="17">
        <f>IF(N3178&gt;0,P3178/N3178,"")</f>
        <v/>
      </c>
      <c r="W3178" s="17">
        <f>IF(O3178&gt;0,H3178/O3178,"")</f>
        <v/>
      </c>
    </row>
    <row r="3179">
      <c r="A3179" s="13" t="inlineStr">
        <is>
          <t>CW23_B2</t>
        </is>
      </c>
      <c r="B3179" s="13" t="inlineStr">
        <is>
          <t>CW23</t>
        </is>
      </c>
      <c r="C3179" s="13" t="inlineStr">
        <is>
          <t>B2</t>
        </is>
      </c>
      <c r="D3179" s="13" t="n">
        <v>0</v>
      </c>
      <c r="E3179" s="13" t="inlineStr">
        <is>
          <t>W</t>
        </is>
      </c>
      <c r="F3179" s="13" t="n">
        <v>2026</v>
      </c>
      <c r="G3179" s="14" t="n">
        <v>1000341.367171374</v>
      </c>
      <c r="H3179" s="14" t="n">
        <v>7705.038902342553</v>
      </c>
      <c r="I3179" s="14" t="n">
        <v>118274.1703347898</v>
      </c>
      <c r="J3179" s="14" t="n">
        <v>0</v>
      </c>
      <c r="K3179" s="14" t="n">
        <v>19486.81188860127</v>
      </c>
      <c r="L3179" s="14" t="n">
        <v>854875.3460456401</v>
      </c>
      <c r="M3179" s="14" t="n">
        <v>0</v>
      </c>
      <c r="N3179" s="14" t="n">
        <v>39013.13993344775</v>
      </c>
      <c r="O3179" s="14" t="n">
        <v>185595.6213074627</v>
      </c>
      <c r="P3179" s="14" t="n">
        <v>31505.55868796555</v>
      </c>
      <c r="Q3179" s="14" t="n">
        <v>683133.2078704834</v>
      </c>
      <c r="R3179" s="15">
        <f>IF(D3179=1,"Section 1","Control")</f>
        <v/>
      </c>
      <c r="S3179" s="16">
        <f>N3179/10000</f>
        <v/>
      </c>
      <c r="T3179" s="16">
        <f>P3179/10000</f>
        <v/>
      </c>
      <c r="U3179" s="15">
        <f>IF(N3179&gt;=Summary!$D$3,1,0)</f>
        <v/>
      </c>
      <c r="V3179" s="17">
        <f>IF(N3179&gt;0,P3179/N3179,"")</f>
        <v/>
      </c>
      <c r="W3179" s="17">
        <f>IF(O3179&gt;0,H3179/O3179,"")</f>
        <v/>
      </c>
    </row>
    <row r="3180">
      <c r="A3180" s="13" t="inlineStr">
        <is>
          <t>CW23_B3</t>
        </is>
      </c>
      <c r="B3180" s="13" t="inlineStr">
        <is>
          <t>CW23</t>
        </is>
      </c>
      <c r="C3180" s="13" t="inlineStr">
        <is>
          <t>B3</t>
        </is>
      </c>
      <c r="D3180" s="13" t="n">
        <v>0</v>
      </c>
      <c r="E3180" s="13" t="inlineStr">
        <is>
          <t>W</t>
        </is>
      </c>
      <c r="F3180" s="13" t="n">
        <v>2020</v>
      </c>
      <c r="G3180" s="14" t="n">
        <v>8006496.301956624</v>
      </c>
      <c r="H3180" s="14" t="n">
        <v>2213982.282534461</v>
      </c>
      <c r="I3180" s="14" t="n">
        <v>531639.774613085</v>
      </c>
      <c r="J3180" s="14" t="n">
        <v>0</v>
      </c>
      <c r="K3180" s="14" t="n">
        <v>1208660.347492113</v>
      </c>
      <c r="L3180" s="14" t="n">
        <v>4052213.897316967</v>
      </c>
      <c r="M3180" s="14" t="n">
        <v>0</v>
      </c>
      <c r="N3180" s="14" t="n">
        <v>2213982.282534461</v>
      </c>
      <c r="O3180" s="14" t="n">
        <v>3954282.404639659</v>
      </c>
      <c r="P3180" s="14" t="n">
        <v>0</v>
      </c>
      <c r="Q3180" s="14" t="n">
        <v>25563177.23284307</v>
      </c>
      <c r="R3180" s="15">
        <f>IF(D3180=1,"Section 1","Control")</f>
        <v/>
      </c>
      <c r="S3180" s="16">
        <f>N3180/10000</f>
        <v/>
      </c>
      <c r="T3180" s="16">
        <f>P3180/10000</f>
        <v/>
      </c>
      <c r="U3180" s="15">
        <f>IF(N3180&gt;=Summary!$D$3,1,0)</f>
        <v/>
      </c>
      <c r="V3180" s="17">
        <f>IF(N3180&gt;0,P3180/N3180,"")</f>
        <v/>
      </c>
      <c r="W3180" s="17">
        <f>IF(O3180&gt;0,H3180/O3180,"")</f>
        <v/>
      </c>
    </row>
    <row r="3181">
      <c r="A3181" s="13" t="inlineStr">
        <is>
          <t>CW23_B3</t>
        </is>
      </c>
      <c r="B3181" s="13" t="inlineStr">
        <is>
          <t>CW23</t>
        </is>
      </c>
      <c r="C3181" s="13" t="inlineStr">
        <is>
          <t>B3</t>
        </is>
      </c>
      <c r="D3181" s="13" t="n">
        <v>0</v>
      </c>
      <c r="E3181" s="13" t="inlineStr">
        <is>
          <t>W</t>
        </is>
      </c>
      <c r="F3181" s="13" t="n">
        <v>2021</v>
      </c>
      <c r="G3181" s="14" t="n">
        <v>8006496.301956625</v>
      </c>
      <c r="H3181" s="14" t="n">
        <v>1814217.968343368</v>
      </c>
      <c r="I3181" s="14" t="n">
        <v>227844.1801372753</v>
      </c>
      <c r="J3181" s="14" t="n">
        <v>0</v>
      </c>
      <c r="K3181" s="14" t="n">
        <v>1925492.911550065</v>
      </c>
      <c r="L3181" s="14" t="n">
        <v>4038941.241925917</v>
      </c>
      <c r="M3181" s="14" t="n">
        <v>0</v>
      </c>
      <c r="N3181" s="14" t="n">
        <v>2213982.282534461</v>
      </c>
      <c r="O3181" s="14" t="n">
        <v>3954282.404639659</v>
      </c>
      <c r="P3181" s="14" t="n">
        <v>461950.3576427983</v>
      </c>
      <c r="Q3181" s="14" t="n">
        <v>25563177.23284307</v>
      </c>
      <c r="R3181" s="15">
        <f>IF(D3181=1,"Section 1","Control")</f>
        <v/>
      </c>
      <c r="S3181" s="16">
        <f>N3181/10000</f>
        <v/>
      </c>
      <c r="T3181" s="16">
        <f>P3181/10000</f>
        <v/>
      </c>
      <c r="U3181" s="15">
        <f>IF(N3181&gt;=Summary!$D$3,1,0)</f>
        <v/>
      </c>
      <c r="V3181" s="17">
        <f>IF(N3181&gt;0,P3181/N3181,"")</f>
        <v/>
      </c>
      <c r="W3181" s="17">
        <f>IF(O3181&gt;0,H3181/O3181,"")</f>
        <v/>
      </c>
    </row>
    <row r="3182">
      <c r="A3182" s="13" t="inlineStr">
        <is>
          <t>CW23_B3</t>
        </is>
      </c>
      <c r="B3182" s="13" t="inlineStr">
        <is>
          <t>CW23</t>
        </is>
      </c>
      <c r="C3182" s="13" t="inlineStr">
        <is>
          <t>B3</t>
        </is>
      </c>
      <c r="D3182" s="13" t="n">
        <v>0</v>
      </c>
      <c r="E3182" s="13" t="inlineStr">
        <is>
          <t>W</t>
        </is>
      </c>
      <c r="F3182" s="13" t="n">
        <v>2022</v>
      </c>
      <c r="G3182" s="14" t="n">
        <v>8006496.301956625</v>
      </c>
      <c r="H3182" s="14" t="n">
        <v>1671656.172526251</v>
      </c>
      <c r="I3182" s="14" t="n">
        <v>345361.6119098738</v>
      </c>
      <c r="J3182" s="14" t="n">
        <v>0</v>
      </c>
      <c r="K3182" s="14" t="n">
        <v>1958091.564293447</v>
      </c>
      <c r="L3182" s="14" t="n">
        <v>4031386.953227054</v>
      </c>
      <c r="M3182" s="14" t="n">
        <v>0</v>
      </c>
      <c r="N3182" s="14" t="n">
        <v>2213982.282534461</v>
      </c>
      <c r="O3182" s="14" t="n">
        <v>3954282.404639659</v>
      </c>
      <c r="P3182" s="14" t="n">
        <v>594927.3956781125</v>
      </c>
      <c r="Q3182" s="14" t="n">
        <v>25563177.23284307</v>
      </c>
      <c r="R3182" s="15">
        <f>IF(D3182=1,"Section 1","Control")</f>
        <v/>
      </c>
      <c r="S3182" s="16">
        <f>N3182/10000</f>
        <v/>
      </c>
      <c r="T3182" s="16">
        <f>P3182/10000</f>
        <v/>
      </c>
      <c r="U3182" s="15">
        <f>IF(N3182&gt;=Summary!$D$3,1,0)</f>
        <v/>
      </c>
      <c r="V3182" s="17">
        <f>IF(N3182&gt;0,P3182/N3182,"")</f>
        <v/>
      </c>
      <c r="W3182" s="17">
        <f>IF(O3182&gt;0,H3182/O3182,"")</f>
        <v/>
      </c>
    </row>
    <row r="3183">
      <c r="A3183" s="13" t="inlineStr">
        <is>
          <t>CW23_B3</t>
        </is>
      </c>
      <c r="B3183" s="13" t="inlineStr">
        <is>
          <t>CW23</t>
        </is>
      </c>
      <c r="C3183" s="13" t="inlineStr">
        <is>
          <t>B3</t>
        </is>
      </c>
      <c r="D3183" s="13" t="n">
        <v>0</v>
      </c>
      <c r="E3183" s="13" t="inlineStr">
        <is>
          <t>W</t>
        </is>
      </c>
      <c r="F3183" s="13" t="n">
        <v>2023</v>
      </c>
      <c r="G3183" s="14" t="n">
        <v>8006496.301956625</v>
      </c>
      <c r="H3183" s="14" t="n">
        <v>1587198.012358751</v>
      </c>
      <c r="I3183" s="14" t="n">
        <v>316604.4338545257</v>
      </c>
      <c r="J3183" s="14" t="n">
        <v>0</v>
      </c>
      <c r="K3183" s="14" t="n">
        <v>2042482.374701616</v>
      </c>
      <c r="L3183" s="14" t="n">
        <v>4060211.481041733</v>
      </c>
      <c r="M3183" s="14" t="n">
        <v>0</v>
      </c>
      <c r="N3183" s="14" t="n">
        <v>2213982.282534461</v>
      </c>
      <c r="O3183" s="14" t="n">
        <v>3954282.404639659</v>
      </c>
      <c r="P3183" s="14" t="n">
        <v>670181.007170464</v>
      </c>
      <c r="Q3183" s="14" t="n">
        <v>25563177.23284307</v>
      </c>
      <c r="R3183" s="15">
        <f>IF(D3183=1,"Section 1","Control")</f>
        <v/>
      </c>
      <c r="S3183" s="16">
        <f>N3183/10000</f>
        <v/>
      </c>
      <c r="T3183" s="16">
        <f>P3183/10000</f>
        <v/>
      </c>
      <c r="U3183" s="15">
        <f>IF(N3183&gt;=Summary!$D$3,1,0)</f>
        <v/>
      </c>
      <c r="V3183" s="17">
        <f>IF(N3183&gt;0,P3183/N3183,"")</f>
        <v/>
      </c>
      <c r="W3183" s="17">
        <f>IF(O3183&gt;0,H3183/O3183,"")</f>
        <v/>
      </c>
    </row>
    <row r="3184">
      <c r="A3184" s="13" t="inlineStr">
        <is>
          <t>CW23_B3</t>
        </is>
      </c>
      <c r="B3184" s="13" t="inlineStr">
        <is>
          <t>CW23</t>
        </is>
      </c>
      <c r="C3184" s="13" t="inlineStr">
        <is>
          <t>B3</t>
        </is>
      </c>
      <c r="D3184" s="13" t="n">
        <v>0</v>
      </c>
      <c r="E3184" s="13" t="inlineStr">
        <is>
          <t>W</t>
        </is>
      </c>
      <c r="F3184" s="13" t="n">
        <v>2024</v>
      </c>
      <c r="G3184" s="14" t="n">
        <v>8006496.301956625</v>
      </c>
      <c r="H3184" s="14" t="n">
        <v>1609328.577560544</v>
      </c>
      <c r="I3184" s="14" t="n">
        <v>317855.1941690183</v>
      </c>
      <c r="J3184" s="14" t="n">
        <v>0</v>
      </c>
      <c r="K3184" s="14" t="n">
        <v>2020563.741938632</v>
      </c>
      <c r="L3184" s="14" t="n">
        <v>4058748.788288431</v>
      </c>
      <c r="M3184" s="14" t="n">
        <v>0</v>
      </c>
      <c r="N3184" s="14" t="n">
        <v>2213982.282534461</v>
      </c>
      <c r="O3184" s="14" t="n">
        <v>3954282.404639659</v>
      </c>
      <c r="P3184" s="14" t="n">
        <v>683425.3109296612</v>
      </c>
      <c r="Q3184" s="14" t="n">
        <v>25563177.23284307</v>
      </c>
      <c r="R3184" s="15">
        <f>IF(D3184=1,"Section 1","Control")</f>
        <v/>
      </c>
      <c r="S3184" s="16">
        <f>N3184/10000</f>
        <v/>
      </c>
      <c r="T3184" s="16">
        <f>P3184/10000</f>
        <v/>
      </c>
      <c r="U3184" s="15">
        <f>IF(N3184&gt;=Summary!$D$3,1,0)</f>
        <v/>
      </c>
      <c r="V3184" s="17">
        <f>IF(N3184&gt;0,P3184/N3184,"")</f>
        <v/>
      </c>
      <c r="W3184" s="17">
        <f>IF(O3184&gt;0,H3184/O3184,"")</f>
        <v/>
      </c>
    </row>
    <row r="3185">
      <c r="A3185" s="13" t="inlineStr">
        <is>
          <t>CW23_B3</t>
        </is>
      </c>
      <c r="B3185" s="13" t="inlineStr">
        <is>
          <t>CW23</t>
        </is>
      </c>
      <c r="C3185" s="13" t="inlineStr">
        <is>
          <t>B3</t>
        </is>
      </c>
      <c r="D3185" s="13" t="n">
        <v>0</v>
      </c>
      <c r="E3185" s="13" t="inlineStr">
        <is>
          <t>W</t>
        </is>
      </c>
      <c r="F3185" s="13" t="n">
        <v>2025</v>
      </c>
      <c r="G3185" s="14" t="n">
        <v>8006496.301956624</v>
      </c>
      <c r="H3185" s="14" t="n">
        <v>1501435.295669466</v>
      </c>
      <c r="I3185" s="14" t="n">
        <v>511125.4862178728</v>
      </c>
      <c r="J3185" s="14" t="n">
        <v>0</v>
      </c>
      <c r="K3185" s="14" t="n">
        <v>1937335.47438887</v>
      </c>
      <c r="L3185" s="14" t="n">
        <v>4056600.045680416</v>
      </c>
      <c r="M3185" s="14" t="n">
        <v>0</v>
      </c>
      <c r="N3185" s="14" t="n">
        <v>2213982.282534461</v>
      </c>
      <c r="O3185" s="14" t="n">
        <v>3954282.404639659</v>
      </c>
      <c r="P3185" s="14" t="n">
        <v>757175.1630212523</v>
      </c>
      <c r="Q3185" s="14" t="n">
        <v>25563177.23284307</v>
      </c>
      <c r="R3185" s="15">
        <f>IF(D3185=1,"Section 1","Control")</f>
        <v/>
      </c>
      <c r="S3185" s="16">
        <f>N3185/10000</f>
        <v/>
      </c>
      <c r="T3185" s="16">
        <f>P3185/10000</f>
        <v/>
      </c>
      <c r="U3185" s="15">
        <f>IF(N3185&gt;=Summary!$D$3,1,0)</f>
        <v/>
      </c>
      <c r="V3185" s="17">
        <f>IF(N3185&gt;0,P3185/N3185,"")</f>
        <v/>
      </c>
      <c r="W3185" s="17">
        <f>IF(O3185&gt;0,H3185/O3185,"")</f>
        <v/>
      </c>
    </row>
    <row r="3186">
      <c r="A3186" s="13" t="inlineStr">
        <is>
          <t>CW23_B3</t>
        </is>
      </c>
      <c r="B3186" s="13" t="inlineStr">
        <is>
          <t>CW23</t>
        </is>
      </c>
      <c r="C3186" s="13" t="inlineStr">
        <is>
          <t>B3</t>
        </is>
      </c>
      <c r="D3186" s="13" t="n">
        <v>0</v>
      </c>
      <c r="E3186" s="13" t="inlineStr">
        <is>
          <t>W</t>
        </is>
      </c>
      <c r="F3186" s="13" t="n">
        <v>2026</v>
      </c>
      <c r="G3186" s="14" t="n">
        <v>8006496.301956624</v>
      </c>
      <c r="H3186" s="14" t="n">
        <v>1602878.240801942</v>
      </c>
      <c r="I3186" s="14" t="n">
        <v>222005.0186668845</v>
      </c>
      <c r="J3186" s="14" t="n">
        <v>0</v>
      </c>
      <c r="K3186" s="14" t="n">
        <v>2115732.749058054</v>
      </c>
      <c r="L3186" s="14" t="n">
        <v>4065880.293429745</v>
      </c>
      <c r="M3186" s="14" t="n">
        <v>0</v>
      </c>
      <c r="N3186" s="14" t="n">
        <v>2213982.282534461</v>
      </c>
      <c r="O3186" s="14" t="n">
        <v>3954282.404639659</v>
      </c>
      <c r="P3186" s="14" t="n">
        <v>722674.6475968605</v>
      </c>
      <c r="Q3186" s="14" t="n">
        <v>25563177.23284308</v>
      </c>
      <c r="R3186" s="15">
        <f>IF(D3186=1,"Section 1","Control")</f>
        <v/>
      </c>
      <c r="S3186" s="16">
        <f>N3186/10000</f>
        <v/>
      </c>
      <c r="T3186" s="16">
        <f>P3186/10000</f>
        <v/>
      </c>
      <c r="U3186" s="15">
        <f>IF(N3186&gt;=Summary!$D$3,1,0)</f>
        <v/>
      </c>
      <c r="V3186" s="17">
        <f>IF(N3186&gt;0,P3186/N3186,"")</f>
        <v/>
      </c>
      <c r="W3186" s="17">
        <f>IF(O3186&gt;0,H3186/O3186,"")</f>
        <v/>
      </c>
    </row>
    <row r="3187">
      <c r="A3187" s="13" t="inlineStr">
        <is>
          <t>CW23_F</t>
        </is>
      </c>
      <c r="B3187" s="13" t="inlineStr">
        <is>
          <t>CW23</t>
        </is>
      </c>
      <c r="C3187" s="13" t="inlineStr">
        <is>
          <t>F</t>
        </is>
      </c>
      <c r="D3187" s="13" t="n">
        <v>0</v>
      </c>
      <c r="E3187" s="13" t="inlineStr">
        <is>
          <t>W</t>
        </is>
      </c>
      <c r="F3187" s="13" t="n">
        <v>2020</v>
      </c>
      <c r="G3187" s="14" t="n">
        <v>69571.42863443412</v>
      </c>
      <c r="H3187" s="14" t="n">
        <v>69373.97286966362</v>
      </c>
      <c r="I3187" s="14" t="n">
        <v>0</v>
      </c>
      <c r="J3187" s="14" t="n">
        <v>0</v>
      </c>
      <c r="K3187" s="14" t="n">
        <v>197.4557647705078</v>
      </c>
      <c r="L3187" s="14" t="n">
        <v>0</v>
      </c>
      <c r="M3187" s="14" t="n">
        <v>0</v>
      </c>
      <c r="N3187" s="14" t="n">
        <v>69373.97286966362</v>
      </c>
      <c r="O3187" s="14" t="n">
        <v>69571.42863443412</v>
      </c>
      <c r="P3187" s="14" t="n">
        <v>0</v>
      </c>
      <c r="Q3187" s="14" t="n">
        <v>488090.6758149991</v>
      </c>
      <c r="R3187" s="15">
        <f>IF(D3187=1,"Section 1","Control")</f>
        <v/>
      </c>
      <c r="S3187" s="16">
        <f>N3187/10000</f>
        <v/>
      </c>
      <c r="T3187" s="16">
        <f>P3187/10000</f>
        <v/>
      </c>
      <c r="U3187" s="15">
        <f>IF(N3187&gt;=Summary!$D$3,1,0)</f>
        <v/>
      </c>
      <c r="V3187" s="17">
        <f>IF(N3187&gt;0,P3187/N3187,"")</f>
        <v/>
      </c>
      <c r="W3187" s="17">
        <f>IF(O3187&gt;0,H3187/O3187,"")</f>
        <v/>
      </c>
    </row>
    <row r="3188">
      <c r="A3188" s="13" t="inlineStr">
        <is>
          <t>CW23_F</t>
        </is>
      </c>
      <c r="B3188" s="13" t="inlineStr">
        <is>
          <t>CW23</t>
        </is>
      </c>
      <c r="C3188" s="13" t="inlineStr">
        <is>
          <t>F</t>
        </is>
      </c>
      <c r="D3188" s="13" t="n">
        <v>0</v>
      </c>
      <c r="E3188" s="13" t="inlineStr">
        <is>
          <t>W</t>
        </is>
      </c>
      <c r="F3188" s="13" t="n">
        <v>2021</v>
      </c>
      <c r="G3188" s="14" t="n">
        <v>69571.42863443412</v>
      </c>
      <c r="H3188" s="14" t="n">
        <v>68579.11658899645</v>
      </c>
      <c r="I3188" s="14" t="n">
        <v>493.639404296875</v>
      </c>
      <c r="J3188" s="14" t="n">
        <v>0</v>
      </c>
      <c r="K3188" s="14" t="n">
        <v>498.6726411408069</v>
      </c>
      <c r="L3188" s="14" t="n">
        <v>0</v>
      </c>
      <c r="M3188" s="14" t="n">
        <v>0</v>
      </c>
      <c r="N3188" s="14" t="n">
        <v>69373.97286966362</v>
      </c>
      <c r="O3188" s="14" t="n">
        <v>69571.42863443412</v>
      </c>
      <c r="P3188" s="14" t="n">
        <v>794.8562806671741</v>
      </c>
      <c r="Q3188" s="14" t="n">
        <v>488090.6758149991</v>
      </c>
      <c r="R3188" s="15">
        <f>IF(D3188=1,"Section 1","Control")</f>
        <v/>
      </c>
      <c r="S3188" s="16">
        <f>N3188/10000</f>
        <v/>
      </c>
      <c r="T3188" s="16">
        <f>P3188/10000</f>
        <v/>
      </c>
      <c r="U3188" s="15">
        <f>IF(N3188&gt;=Summary!$D$3,1,0)</f>
        <v/>
      </c>
      <c r="V3188" s="17">
        <f>IF(N3188&gt;0,P3188/N3188,"")</f>
        <v/>
      </c>
      <c r="W3188" s="17">
        <f>IF(O3188&gt;0,H3188/O3188,"")</f>
        <v/>
      </c>
    </row>
    <row r="3189">
      <c r="A3189" s="13" t="inlineStr">
        <is>
          <t>CW23_F</t>
        </is>
      </c>
      <c r="B3189" s="13" t="inlineStr">
        <is>
          <t>CW23</t>
        </is>
      </c>
      <c r="C3189" s="13" t="inlineStr">
        <is>
          <t>F</t>
        </is>
      </c>
      <c r="D3189" s="13" t="n">
        <v>0</v>
      </c>
      <c r="E3189" s="13" t="inlineStr">
        <is>
          <t>W</t>
        </is>
      </c>
      <c r="F3189" s="13" t="n">
        <v>2022</v>
      </c>
      <c r="G3189" s="14" t="n">
        <v>69571.42863443412</v>
      </c>
      <c r="H3189" s="14" t="n">
        <v>68862.91089205275</v>
      </c>
      <c r="I3189" s="14" t="n">
        <v>0</v>
      </c>
      <c r="J3189" s="14" t="n">
        <v>0</v>
      </c>
      <c r="K3189" s="14" t="n">
        <v>708.5177423813764</v>
      </c>
      <c r="L3189" s="14" t="n">
        <v>0</v>
      </c>
      <c r="M3189" s="14" t="n">
        <v>0</v>
      </c>
      <c r="N3189" s="14" t="n">
        <v>69373.97286966362</v>
      </c>
      <c r="O3189" s="14" t="n">
        <v>69571.42863443412</v>
      </c>
      <c r="P3189" s="14" t="n">
        <v>511.0619776108686</v>
      </c>
      <c r="Q3189" s="14" t="n">
        <v>488090.6758149991</v>
      </c>
      <c r="R3189" s="15">
        <f>IF(D3189=1,"Section 1","Control")</f>
        <v/>
      </c>
      <c r="S3189" s="16">
        <f>N3189/10000</f>
        <v/>
      </c>
      <c r="T3189" s="16">
        <f>P3189/10000</f>
        <v/>
      </c>
      <c r="U3189" s="15">
        <f>IF(N3189&gt;=Summary!$D$3,1,0)</f>
        <v/>
      </c>
      <c r="V3189" s="17">
        <f>IF(N3189&gt;0,P3189/N3189,"")</f>
        <v/>
      </c>
      <c r="W3189" s="17">
        <f>IF(O3189&gt;0,H3189/O3189,"")</f>
        <v/>
      </c>
    </row>
    <row r="3190">
      <c r="A3190" s="13" t="inlineStr">
        <is>
          <t>CW23_F</t>
        </is>
      </c>
      <c r="B3190" s="13" t="inlineStr">
        <is>
          <t>CW23</t>
        </is>
      </c>
      <c r="C3190" s="13" t="inlineStr">
        <is>
          <t>F</t>
        </is>
      </c>
      <c r="D3190" s="13" t="n">
        <v>0</v>
      </c>
      <c r="E3190" s="13" t="inlineStr">
        <is>
          <t>W</t>
        </is>
      </c>
      <c r="F3190" s="13" t="n">
        <v>2023</v>
      </c>
      <c r="G3190" s="14" t="n">
        <v>69571.42863443412</v>
      </c>
      <c r="H3190" s="14" t="n">
        <v>68862.91089205274</v>
      </c>
      <c r="I3190" s="14" t="n">
        <v>0</v>
      </c>
      <c r="J3190" s="14" t="n">
        <v>0</v>
      </c>
      <c r="K3190" s="14" t="n">
        <v>708.5177423813764</v>
      </c>
      <c r="L3190" s="14" t="n">
        <v>0</v>
      </c>
      <c r="M3190" s="14" t="n">
        <v>0</v>
      </c>
      <c r="N3190" s="14" t="n">
        <v>69373.97286966362</v>
      </c>
      <c r="O3190" s="14" t="n">
        <v>69571.42863443412</v>
      </c>
      <c r="P3190" s="14" t="n">
        <v>511.0619776108686</v>
      </c>
      <c r="Q3190" s="14" t="n">
        <v>488090.6758149991</v>
      </c>
      <c r="R3190" s="15">
        <f>IF(D3190=1,"Section 1","Control")</f>
        <v/>
      </c>
      <c r="S3190" s="16">
        <f>N3190/10000</f>
        <v/>
      </c>
      <c r="T3190" s="16">
        <f>P3190/10000</f>
        <v/>
      </c>
      <c r="U3190" s="15">
        <f>IF(N3190&gt;=Summary!$D$3,1,0)</f>
        <v/>
      </c>
      <c r="V3190" s="17">
        <f>IF(N3190&gt;0,P3190/N3190,"")</f>
        <v/>
      </c>
      <c r="W3190" s="17">
        <f>IF(O3190&gt;0,H3190/O3190,"")</f>
        <v/>
      </c>
    </row>
    <row r="3191">
      <c r="A3191" s="13" t="inlineStr">
        <is>
          <t>CW23_F</t>
        </is>
      </c>
      <c r="B3191" s="13" t="inlineStr">
        <is>
          <t>CW23</t>
        </is>
      </c>
      <c r="C3191" s="13" t="inlineStr">
        <is>
          <t>F</t>
        </is>
      </c>
      <c r="D3191" s="13" t="n">
        <v>0</v>
      </c>
      <c r="E3191" s="13" t="inlineStr">
        <is>
          <t>W</t>
        </is>
      </c>
      <c r="F3191" s="13" t="n">
        <v>2024</v>
      </c>
      <c r="G3191" s="14" t="n">
        <v>69571.42863443412</v>
      </c>
      <c r="H3191" s="14" t="n">
        <v>68862.91089205275</v>
      </c>
      <c r="I3191" s="14" t="n">
        <v>0</v>
      </c>
      <c r="J3191" s="14" t="n">
        <v>0</v>
      </c>
      <c r="K3191" s="14" t="n">
        <v>708.5177423813764</v>
      </c>
      <c r="L3191" s="14" t="n">
        <v>0</v>
      </c>
      <c r="M3191" s="14" t="n">
        <v>0</v>
      </c>
      <c r="N3191" s="14" t="n">
        <v>69373.97286966362</v>
      </c>
      <c r="O3191" s="14" t="n">
        <v>69571.42863443412</v>
      </c>
      <c r="P3191" s="14" t="n">
        <v>511.0619776108686</v>
      </c>
      <c r="Q3191" s="14" t="n">
        <v>488090.6758149991</v>
      </c>
      <c r="R3191" s="15">
        <f>IF(D3191=1,"Section 1","Control")</f>
        <v/>
      </c>
      <c r="S3191" s="16">
        <f>N3191/10000</f>
        <v/>
      </c>
      <c r="T3191" s="16">
        <f>P3191/10000</f>
        <v/>
      </c>
      <c r="U3191" s="15">
        <f>IF(N3191&gt;=Summary!$D$3,1,0)</f>
        <v/>
      </c>
      <c r="V3191" s="17">
        <f>IF(N3191&gt;0,P3191/N3191,"")</f>
        <v/>
      </c>
      <c r="W3191" s="17">
        <f>IF(O3191&gt;0,H3191/O3191,"")</f>
        <v/>
      </c>
    </row>
    <row r="3192">
      <c r="A3192" s="13" t="inlineStr">
        <is>
          <t>CW23_F</t>
        </is>
      </c>
      <c r="B3192" s="13" t="inlineStr">
        <is>
          <t>CW23</t>
        </is>
      </c>
      <c r="C3192" s="13" t="inlineStr">
        <is>
          <t>F</t>
        </is>
      </c>
      <c r="D3192" s="13" t="n">
        <v>0</v>
      </c>
      <c r="E3192" s="13" t="inlineStr">
        <is>
          <t>W</t>
        </is>
      </c>
      <c r="F3192" s="13" t="n">
        <v>2025</v>
      </c>
      <c r="G3192" s="14" t="n">
        <v>69571.42863443412</v>
      </c>
      <c r="H3192" s="14" t="n">
        <v>68862.91089205275</v>
      </c>
      <c r="I3192" s="14" t="n">
        <v>0</v>
      </c>
      <c r="J3192" s="14" t="n">
        <v>0</v>
      </c>
      <c r="K3192" s="14" t="n">
        <v>708.5177423813764</v>
      </c>
      <c r="L3192" s="14" t="n">
        <v>0</v>
      </c>
      <c r="M3192" s="14" t="n">
        <v>0</v>
      </c>
      <c r="N3192" s="14" t="n">
        <v>69373.97286966362</v>
      </c>
      <c r="O3192" s="14" t="n">
        <v>69571.42863443412</v>
      </c>
      <c r="P3192" s="14" t="n">
        <v>511.0619776108686</v>
      </c>
      <c r="Q3192" s="14" t="n">
        <v>488090.6758149991</v>
      </c>
      <c r="R3192" s="15">
        <f>IF(D3192=1,"Section 1","Control")</f>
        <v/>
      </c>
      <c r="S3192" s="16">
        <f>N3192/10000</f>
        <v/>
      </c>
      <c r="T3192" s="16">
        <f>P3192/10000</f>
        <v/>
      </c>
      <c r="U3192" s="15">
        <f>IF(N3192&gt;=Summary!$D$3,1,0)</f>
        <v/>
      </c>
      <c r="V3192" s="17">
        <f>IF(N3192&gt;0,P3192/N3192,"")</f>
        <v/>
      </c>
      <c r="W3192" s="17">
        <f>IF(O3192&gt;0,H3192/O3192,"")</f>
        <v/>
      </c>
    </row>
    <row r="3193">
      <c r="A3193" s="13" t="inlineStr">
        <is>
          <t>CW23_F</t>
        </is>
      </c>
      <c r="B3193" s="13" t="inlineStr">
        <is>
          <t>CW23</t>
        </is>
      </c>
      <c r="C3193" s="13" t="inlineStr">
        <is>
          <t>F</t>
        </is>
      </c>
      <c r="D3193" s="13" t="n">
        <v>0</v>
      </c>
      <c r="E3193" s="13" t="inlineStr">
        <is>
          <t>W</t>
        </is>
      </c>
      <c r="F3193" s="13" t="n">
        <v>2026</v>
      </c>
      <c r="G3193" s="14" t="n">
        <v>69571.42863443412</v>
      </c>
      <c r="H3193" s="14" t="n">
        <v>68862.91089205275</v>
      </c>
      <c r="I3193" s="14" t="n">
        <v>0</v>
      </c>
      <c r="J3193" s="14" t="n">
        <v>0</v>
      </c>
      <c r="K3193" s="14" t="n">
        <v>708.5177423813764</v>
      </c>
      <c r="L3193" s="14" t="n">
        <v>0</v>
      </c>
      <c r="M3193" s="14" t="n">
        <v>0</v>
      </c>
      <c r="N3193" s="14" t="n">
        <v>69373.97286966362</v>
      </c>
      <c r="O3193" s="14" t="n">
        <v>69571.42863443412</v>
      </c>
      <c r="P3193" s="14" t="n">
        <v>511.0619776108686</v>
      </c>
      <c r="Q3193" s="14" t="n">
        <v>488090.6758149991</v>
      </c>
      <c r="R3193" s="15">
        <f>IF(D3193=1,"Section 1","Control")</f>
        <v/>
      </c>
      <c r="S3193" s="16">
        <f>N3193/10000</f>
        <v/>
      </c>
      <c r="T3193" s="16">
        <f>P3193/10000</f>
        <v/>
      </c>
      <c r="U3193" s="15">
        <f>IF(N3193&gt;=Summary!$D$3,1,0)</f>
        <v/>
      </c>
      <c r="V3193" s="17">
        <f>IF(N3193&gt;0,P3193/N3193,"")</f>
        <v/>
      </c>
      <c r="W3193" s="17">
        <f>IF(O3193&gt;0,H3193/O3193,"")</f>
        <v/>
      </c>
    </row>
    <row r="3194">
      <c r="A3194" s="13" t="inlineStr">
        <is>
          <t>CW24_B1</t>
        </is>
      </c>
      <c r="B3194" s="13" t="inlineStr">
        <is>
          <t>CW24</t>
        </is>
      </c>
      <c r="C3194" s="13" t="inlineStr">
        <is>
          <t>B1</t>
        </is>
      </c>
      <c r="D3194" s="13" t="n">
        <v>0</v>
      </c>
      <c r="E3194" s="13" t="inlineStr">
        <is>
          <t>W</t>
        </is>
      </c>
      <c r="F3194" s="13" t="n">
        <v>2020</v>
      </c>
      <c r="G3194" s="14" t="n">
        <v>1026309.635452001</v>
      </c>
      <c r="H3194" s="14" t="n">
        <v>809638.7937279497</v>
      </c>
      <c r="I3194" s="14" t="n">
        <v>211341.0372688144</v>
      </c>
      <c r="J3194" s="14" t="n">
        <v>0</v>
      </c>
      <c r="K3194" s="14" t="n">
        <v>5329.804455237295</v>
      </c>
      <c r="L3194" s="14" t="n">
        <v>0</v>
      </c>
      <c r="M3194" s="14" t="n">
        <v>0</v>
      </c>
      <c r="N3194" s="14" t="n">
        <v>809638.7937279497</v>
      </c>
      <c r="O3194" s="14" t="n">
        <v>1026309.635452001</v>
      </c>
      <c r="P3194" s="14" t="n">
        <v>0</v>
      </c>
      <c r="Q3194" s="14" t="n">
        <v>6252071.244090749</v>
      </c>
      <c r="R3194" s="15">
        <f>IF(D3194=1,"Section 1","Control")</f>
        <v/>
      </c>
      <c r="S3194" s="16">
        <f>N3194/10000</f>
        <v/>
      </c>
      <c r="T3194" s="16">
        <f>P3194/10000</f>
        <v/>
      </c>
      <c r="U3194" s="15">
        <f>IF(N3194&gt;=Summary!$D$3,1,0)</f>
        <v/>
      </c>
      <c r="V3194" s="17">
        <f>IF(N3194&gt;0,P3194/N3194,"")</f>
        <v/>
      </c>
      <c r="W3194" s="17">
        <f>IF(O3194&gt;0,H3194/O3194,"")</f>
        <v/>
      </c>
    </row>
    <row r="3195">
      <c r="A3195" s="13" t="inlineStr">
        <is>
          <t>CW24_B1</t>
        </is>
      </c>
      <c r="B3195" s="13" t="inlineStr">
        <is>
          <t>CW24</t>
        </is>
      </c>
      <c r="C3195" s="13" t="inlineStr">
        <is>
          <t>B1</t>
        </is>
      </c>
      <c r="D3195" s="13" t="n">
        <v>0</v>
      </c>
      <c r="E3195" s="13" t="inlineStr">
        <is>
          <t>W</t>
        </is>
      </c>
      <c r="F3195" s="13" t="n">
        <v>2021</v>
      </c>
      <c r="G3195" s="14" t="n">
        <v>1026309.635452001</v>
      </c>
      <c r="H3195" s="14" t="n">
        <v>673884.4930679023</v>
      </c>
      <c r="I3195" s="14" t="n">
        <v>169243.2533518474</v>
      </c>
      <c r="J3195" s="14" t="n">
        <v>0</v>
      </c>
      <c r="K3195" s="14" t="n">
        <v>182789.6910284005</v>
      </c>
      <c r="L3195" s="14" t="n">
        <v>392.1980038511987</v>
      </c>
      <c r="M3195" s="14" t="n">
        <v>0</v>
      </c>
      <c r="N3195" s="14" t="n">
        <v>809638.7937279497</v>
      </c>
      <c r="O3195" s="14" t="n">
        <v>1026309.635452001</v>
      </c>
      <c r="P3195" s="14" t="n">
        <v>164528.8710492302</v>
      </c>
      <c r="Q3195" s="14" t="n">
        <v>6252071.244090749</v>
      </c>
      <c r="R3195" s="15">
        <f>IF(D3195=1,"Section 1","Control")</f>
        <v/>
      </c>
      <c r="S3195" s="16">
        <f>N3195/10000</f>
        <v/>
      </c>
      <c r="T3195" s="16">
        <f>P3195/10000</f>
        <v/>
      </c>
      <c r="U3195" s="15">
        <f>IF(N3195&gt;=Summary!$D$3,1,0)</f>
        <v/>
      </c>
      <c r="V3195" s="17">
        <f>IF(N3195&gt;0,P3195/N3195,"")</f>
        <v/>
      </c>
      <c r="W3195" s="17">
        <f>IF(O3195&gt;0,H3195/O3195,"")</f>
        <v/>
      </c>
    </row>
    <row r="3196">
      <c r="A3196" s="13" t="inlineStr">
        <is>
          <t>CW24_B1</t>
        </is>
      </c>
      <c r="B3196" s="13" t="inlineStr">
        <is>
          <t>CW24</t>
        </is>
      </c>
      <c r="C3196" s="13" t="inlineStr">
        <is>
          <t>B1</t>
        </is>
      </c>
      <c r="D3196" s="13" t="n">
        <v>0</v>
      </c>
      <c r="E3196" s="13" t="inlineStr">
        <is>
          <t>W</t>
        </is>
      </c>
      <c r="F3196" s="13" t="n">
        <v>2022</v>
      </c>
      <c r="G3196" s="14" t="n">
        <v>1026309.635452001</v>
      </c>
      <c r="H3196" s="14" t="n">
        <v>655485.1931241205</v>
      </c>
      <c r="I3196" s="14" t="n">
        <v>332998.0882425046</v>
      </c>
      <c r="J3196" s="14" t="n">
        <v>0</v>
      </c>
      <c r="K3196" s="14" t="n">
        <v>37826.35408537622</v>
      </c>
      <c r="L3196" s="14" t="n">
        <v>0</v>
      </c>
      <c r="M3196" s="14" t="n">
        <v>0</v>
      </c>
      <c r="N3196" s="14" t="n">
        <v>809638.7937279497</v>
      </c>
      <c r="O3196" s="14" t="n">
        <v>1026309.635452001</v>
      </c>
      <c r="P3196" s="14" t="n">
        <v>176866.2876121072</v>
      </c>
      <c r="Q3196" s="14" t="n">
        <v>6252071.244090749</v>
      </c>
      <c r="R3196" s="15">
        <f>IF(D3196=1,"Section 1","Control")</f>
        <v/>
      </c>
      <c r="S3196" s="16">
        <f>N3196/10000</f>
        <v/>
      </c>
      <c r="T3196" s="16">
        <f>P3196/10000</f>
        <v/>
      </c>
      <c r="U3196" s="15">
        <f>IF(N3196&gt;=Summary!$D$3,1,0)</f>
        <v/>
      </c>
      <c r="V3196" s="17">
        <f>IF(N3196&gt;0,P3196/N3196,"")</f>
        <v/>
      </c>
      <c r="W3196" s="17">
        <f>IF(O3196&gt;0,H3196/O3196,"")</f>
        <v/>
      </c>
    </row>
    <row r="3197">
      <c r="A3197" s="13" t="inlineStr">
        <is>
          <t>CW24_B1</t>
        </is>
      </c>
      <c r="B3197" s="13" t="inlineStr">
        <is>
          <t>CW24</t>
        </is>
      </c>
      <c r="C3197" s="13" t="inlineStr">
        <is>
          <t>B1</t>
        </is>
      </c>
      <c r="D3197" s="13" t="n">
        <v>0</v>
      </c>
      <c r="E3197" s="13" t="inlineStr">
        <is>
          <t>W</t>
        </is>
      </c>
      <c r="F3197" s="13" t="n">
        <v>2023</v>
      </c>
      <c r="G3197" s="14" t="n">
        <v>1026309.635452001</v>
      </c>
      <c r="H3197" s="14" t="n">
        <v>881064.8539026298</v>
      </c>
      <c r="I3197" s="14" t="n">
        <v>111096.5339708814</v>
      </c>
      <c r="J3197" s="14" t="n">
        <v>0</v>
      </c>
      <c r="K3197" s="14" t="n">
        <v>32695.9921028586</v>
      </c>
      <c r="L3197" s="14" t="n">
        <v>1452.255475631415</v>
      </c>
      <c r="M3197" s="14" t="n">
        <v>0</v>
      </c>
      <c r="N3197" s="14" t="n">
        <v>809638.7937279497</v>
      </c>
      <c r="O3197" s="14" t="n">
        <v>1026309.635452001</v>
      </c>
      <c r="P3197" s="14" t="n">
        <v>50154.76677374746</v>
      </c>
      <c r="Q3197" s="14" t="n">
        <v>6252071.244090749</v>
      </c>
      <c r="R3197" s="15">
        <f>IF(D3197=1,"Section 1","Control")</f>
        <v/>
      </c>
      <c r="S3197" s="16">
        <f>N3197/10000</f>
        <v/>
      </c>
      <c r="T3197" s="16">
        <f>P3197/10000</f>
        <v/>
      </c>
      <c r="U3197" s="15">
        <f>IF(N3197&gt;=Summary!$D$3,1,0)</f>
        <v/>
      </c>
      <c r="V3197" s="17">
        <f>IF(N3197&gt;0,P3197/N3197,"")</f>
        <v/>
      </c>
      <c r="W3197" s="17">
        <f>IF(O3197&gt;0,H3197/O3197,"")</f>
        <v/>
      </c>
    </row>
    <row r="3198">
      <c r="A3198" s="13" t="inlineStr">
        <is>
          <t>CW24_B1</t>
        </is>
      </c>
      <c r="B3198" s="13" t="inlineStr">
        <is>
          <t>CW24</t>
        </is>
      </c>
      <c r="C3198" s="13" t="inlineStr">
        <is>
          <t>B1</t>
        </is>
      </c>
      <c r="D3198" s="13" t="n">
        <v>0</v>
      </c>
      <c r="E3198" s="13" t="inlineStr">
        <is>
          <t>W</t>
        </is>
      </c>
      <c r="F3198" s="13" t="n">
        <v>2024</v>
      </c>
      <c r="G3198" s="14" t="n">
        <v>1026309.635452001</v>
      </c>
      <c r="H3198" s="14" t="n">
        <v>913986.7429297654</v>
      </c>
      <c r="I3198" s="14" t="n">
        <v>77097.14993854598</v>
      </c>
      <c r="J3198" s="14" t="n">
        <v>0</v>
      </c>
      <c r="K3198" s="14" t="n">
        <v>34300.03137889189</v>
      </c>
      <c r="L3198" s="14" t="n">
        <v>925.7112047980812</v>
      </c>
      <c r="M3198" s="14" t="n">
        <v>0</v>
      </c>
      <c r="N3198" s="14" t="n">
        <v>809638.7937279497</v>
      </c>
      <c r="O3198" s="14" t="n">
        <v>1026309.635452001</v>
      </c>
      <c r="P3198" s="14" t="n">
        <v>34713.81671728994</v>
      </c>
      <c r="Q3198" s="14" t="n">
        <v>6252071.244090749</v>
      </c>
      <c r="R3198" s="15">
        <f>IF(D3198=1,"Section 1","Control")</f>
        <v/>
      </c>
      <c r="S3198" s="16">
        <f>N3198/10000</f>
        <v/>
      </c>
      <c r="T3198" s="16">
        <f>P3198/10000</f>
        <v/>
      </c>
      <c r="U3198" s="15">
        <f>IF(N3198&gt;=Summary!$D$3,1,0)</f>
        <v/>
      </c>
      <c r="V3198" s="17">
        <f>IF(N3198&gt;0,P3198/N3198,"")</f>
        <v/>
      </c>
      <c r="W3198" s="17">
        <f>IF(O3198&gt;0,H3198/O3198,"")</f>
        <v/>
      </c>
    </row>
    <row r="3199">
      <c r="A3199" s="13" t="inlineStr">
        <is>
          <t>CW24_B1</t>
        </is>
      </c>
      <c r="B3199" s="13" t="inlineStr">
        <is>
          <t>CW24</t>
        </is>
      </c>
      <c r="C3199" s="13" t="inlineStr">
        <is>
          <t>B1</t>
        </is>
      </c>
      <c r="D3199" s="13" t="n">
        <v>0</v>
      </c>
      <c r="E3199" s="13" t="inlineStr">
        <is>
          <t>W</t>
        </is>
      </c>
      <c r="F3199" s="13" t="n">
        <v>2025</v>
      </c>
      <c r="G3199" s="14" t="n">
        <v>1026309.635452001</v>
      </c>
      <c r="H3199" s="14" t="n">
        <v>656283.8875821582</v>
      </c>
      <c r="I3199" s="14" t="n">
        <v>348475.512322998</v>
      </c>
      <c r="J3199" s="14" t="n">
        <v>0</v>
      </c>
      <c r="K3199" s="14" t="n">
        <v>21550.23554684508</v>
      </c>
      <c r="L3199" s="14" t="n">
        <v>0</v>
      </c>
      <c r="M3199" s="14" t="n">
        <v>0</v>
      </c>
      <c r="N3199" s="14" t="n">
        <v>809638.7937279497</v>
      </c>
      <c r="O3199" s="14" t="n">
        <v>1026309.635452001</v>
      </c>
      <c r="P3199" s="14" t="n">
        <v>193424.6590453204</v>
      </c>
      <c r="Q3199" s="14" t="n">
        <v>6252071.244090749</v>
      </c>
      <c r="R3199" s="15">
        <f>IF(D3199=1,"Section 1","Control")</f>
        <v/>
      </c>
      <c r="S3199" s="16">
        <f>N3199/10000</f>
        <v/>
      </c>
      <c r="T3199" s="16">
        <f>P3199/10000</f>
        <v/>
      </c>
      <c r="U3199" s="15">
        <f>IF(N3199&gt;=Summary!$D$3,1,0)</f>
        <v/>
      </c>
      <c r="V3199" s="17">
        <f>IF(N3199&gt;0,P3199/N3199,"")</f>
        <v/>
      </c>
      <c r="W3199" s="17">
        <f>IF(O3199&gt;0,H3199/O3199,"")</f>
        <v/>
      </c>
    </row>
    <row r="3200">
      <c r="A3200" s="13" t="inlineStr">
        <is>
          <t>CW24_B1</t>
        </is>
      </c>
      <c r="B3200" s="13" t="inlineStr">
        <is>
          <t>CW24</t>
        </is>
      </c>
      <c r="C3200" s="13" t="inlineStr">
        <is>
          <t>B1</t>
        </is>
      </c>
      <c r="D3200" s="13" t="n">
        <v>0</v>
      </c>
      <c r="E3200" s="13" t="inlineStr">
        <is>
          <t>W</t>
        </is>
      </c>
      <c r="F3200" s="13" t="n">
        <v>2026</v>
      </c>
      <c r="G3200" s="14" t="n">
        <v>1026309.635452001</v>
      </c>
      <c r="H3200" s="14" t="n">
        <v>763761.0301868216</v>
      </c>
      <c r="I3200" s="14" t="n">
        <v>241200.4857843137</v>
      </c>
      <c r="J3200" s="14" t="n">
        <v>0</v>
      </c>
      <c r="K3200" s="14" t="n">
        <v>19182.70608915441</v>
      </c>
      <c r="L3200" s="14" t="n">
        <v>2165.413391711666</v>
      </c>
      <c r="M3200" s="14" t="n">
        <v>0</v>
      </c>
      <c r="N3200" s="14" t="n">
        <v>809638.7937279496</v>
      </c>
      <c r="O3200" s="14" t="n">
        <v>1026309.635452001</v>
      </c>
      <c r="P3200" s="14" t="n">
        <v>111181.9515939152</v>
      </c>
      <c r="Q3200" s="14" t="n">
        <v>6252071.244090749</v>
      </c>
      <c r="R3200" s="15">
        <f>IF(D3200=1,"Section 1","Control")</f>
        <v/>
      </c>
      <c r="S3200" s="16">
        <f>N3200/10000</f>
        <v/>
      </c>
      <c r="T3200" s="16">
        <f>P3200/10000</f>
        <v/>
      </c>
      <c r="U3200" s="15">
        <f>IF(N3200&gt;=Summary!$D$3,1,0)</f>
        <v/>
      </c>
      <c r="V3200" s="17">
        <f>IF(N3200&gt;0,P3200/N3200,"")</f>
        <v/>
      </c>
      <c r="W3200" s="17">
        <f>IF(O3200&gt;0,H3200/O3200,"")</f>
        <v/>
      </c>
    </row>
    <row r="3201">
      <c r="A3201" s="13" t="inlineStr">
        <is>
          <t>CW24_B2</t>
        </is>
      </c>
      <c r="B3201" s="13" t="inlineStr">
        <is>
          <t>CW24</t>
        </is>
      </c>
      <c r="C3201" s="13" t="inlineStr">
        <is>
          <t>B2</t>
        </is>
      </c>
      <c r="D3201" s="13" t="n">
        <v>0</v>
      </c>
      <c r="E3201" s="13" t="inlineStr">
        <is>
          <t>W</t>
        </is>
      </c>
      <c r="F3201" s="13" t="n">
        <v>2020</v>
      </c>
      <c r="G3201" s="14" t="n">
        <v>1026322.023821842</v>
      </c>
      <c r="H3201" s="14" t="n">
        <v>138921.1291359097</v>
      </c>
      <c r="I3201" s="14" t="n">
        <v>114963.7052982106</v>
      </c>
      <c r="J3201" s="14" t="n">
        <v>0</v>
      </c>
      <c r="K3201" s="14" t="n">
        <v>20406.24936987185</v>
      </c>
      <c r="L3201" s="14" t="n">
        <v>752030.9400178499</v>
      </c>
      <c r="M3201" s="14" t="n">
        <v>0</v>
      </c>
      <c r="N3201" s="14" t="n">
        <v>138921.1291359097</v>
      </c>
      <c r="O3201" s="14" t="n">
        <v>274291.0838039922</v>
      </c>
      <c r="P3201" s="14" t="n">
        <v>0</v>
      </c>
      <c r="Q3201" s="14" t="n">
        <v>596072.6864727843</v>
      </c>
      <c r="R3201" s="15">
        <f>IF(D3201=1,"Section 1","Control")</f>
        <v/>
      </c>
      <c r="S3201" s="16">
        <f>N3201/10000</f>
        <v/>
      </c>
      <c r="T3201" s="16">
        <f>P3201/10000</f>
        <v/>
      </c>
      <c r="U3201" s="15">
        <f>IF(N3201&gt;=Summary!$D$3,1,0)</f>
        <v/>
      </c>
      <c r="V3201" s="17">
        <f>IF(N3201&gt;0,P3201/N3201,"")</f>
        <v/>
      </c>
      <c r="W3201" s="17">
        <f>IF(O3201&gt;0,H3201/O3201,"")</f>
        <v/>
      </c>
    </row>
    <row r="3202">
      <c r="A3202" s="13" t="inlineStr">
        <is>
          <t>CW24_B2</t>
        </is>
      </c>
      <c r="B3202" s="13" t="inlineStr">
        <is>
          <t>CW24</t>
        </is>
      </c>
      <c r="C3202" s="13" t="inlineStr">
        <is>
          <t>B2</t>
        </is>
      </c>
      <c r="D3202" s="13" t="n">
        <v>0</v>
      </c>
      <c r="E3202" s="13" t="inlineStr">
        <is>
          <t>W</t>
        </is>
      </c>
      <c r="F3202" s="13" t="n">
        <v>2021</v>
      </c>
      <c r="G3202" s="14" t="n">
        <v>1026322.023821842</v>
      </c>
      <c r="H3202" s="14" t="n">
        <v>117210.901936101</v>
      </c>
      <c r="I3202" s="14" t="n">
        <v>125866.650710521</v>
      </c>
      <c r="J3202" s="14" t="n">
        <v>0</v>
      </c>
      <c r="K3202" s="14" t="n">
        <v>42142.79381830552</v>
      </c>
      <c r="L3202" s="14" t="n">
        <v>741101.6773569144</v>
      </c>
      <c r="M3202" s="14" t="n">
        <v>0</v>
      </c>
      <c r="N3202" s="14" t="n">
        <v>138921.1291359097</v>
      </c>
      <c r="O3202" s="14" t="n">
        <v>274291.0838039922</v>
      </c>
      <c r="P3202" s="14" t="n">
        <v>32492.3700199202</v>
      </c>
      <c r="Q3202" s="14" t="n">
        <v>596072.6864727843</v>
      </c>
      <c r="R3202" s="15">
        <f>IF(D3202=1,"Section 1","Control")</f>
        <v/>
      </c>
      <c r="S3202" s="16">
        <f>N3202/10000</f>
        <v/>
      </c>
      <c r="T3202" s="16">
        <f>P3202/10000</f>
        <v/>
      </c>
      <c r="U3202" s="15">
        <f>IF(N3202&gt;=Summary!$D$3,1,0)</f>
        <v/>
      </c>
      <c r="V3202" s="17">
        <f>IF(N3202&gt;0,P3202/N3202,"")</f>
        <v/>
      </c>
      <c r="W3202" s="17">
        <f>IF(O3202&gt;0,H3202/O3202,"")</f>
        <v/>
      </c>
    </row>
    <row r="3203">
      <c r="A3203" s="13" t="inlineStr">
        <is>
          <t>CW24_B2</t>
        </is>
      </c>
      <c r="B3203" s="13" t="inlineStr">
        <is>
          <t>CW24</t>
        </is>
      </c>
      <c r="C3203" s="13" t="inlineStr">
        <is>
          <t>B2</t>
        </is>
      </c>
      <c r="D3203" s="13" t="n">
        <v>0</v>
      </c>
      <c r="E3203" s="13" t="inlineStr">
        <is>
          <t>W</t>
        </is>
      </c>
      <c r="F3203" s="13" t="n">
        <v>2022</v>
      </c>
      <c r="G3203" s="14" t="n">
        <v>1026322.023821842</v>
      </c>
      <c r="H3203" s="14" t="n">
        <v>111561.3995095945</v>
      </c>
      <c r="I3203" s="14" t="n">
        <v>132131.2697519041</v>
      </c>
      <c r="J3203" s="14" t="n">
        <v>0</v>
      </c>
      <c r="K3203" s="14" t="n">
        <v>50903.54446940702</v>
      </c>
      <c r="L3203" s="14" t="n">
        <v>731725.8100909361</v>
      </c>
      <c r="M3203" s="14" t="n">
        <v>0</v>
      </c>
      <c r="N3203" s="14" t="n">
        <v>138921.1291359097</v>
      </c>
      <c r="O3203" s="14" t="n">
        <v>274291.0838039922</v>
      </c>
      <c r="P3203" s="14" t="n">
        <v>37746.19125674378</v>
      </c>
      <c r="Q3203" s="14" t="n">
        <v>596072.6864727843</v>
      </c>
      <c r="R3203" s="15">
        <f>IF(D3203=1,"Section 1","Control")</f>
        <v/>
      </c>
      <c r="S3203" s="16">
        <f>N3203/10000</f>
        <v/>
      </c>
      <c r="T3203" s="16">
        <f>P3203/10000</f>
        <v/>
      </c>
      <c r="U3203" s="15">
        <f>IF(N3203&gt;=Summary!$D$3,1,0)</f>
        <v/>
      </c>
      <c r="V3203" s="17">
        <f>IF(N3203&gt;0,P3203/N3203,"")</f>
        <v/>
      </c>
      <c r="W3203" s="17">
        <f>IF(O3203&gt;0,H3203/O3203,"")</f>
        <v/>
      </c>
    </row>
    <row r="3204">
      <c r="A3204" s="13" t="inlineStr">
        <is>
          <t>CW24_B2</t>
        </is>
      </c>
      <c r="B3204" s="13" t="inlineStr">
        <is>
          <t>CW24</t>
        </is>
      </c>
      <c r="C3204" s="13" t="inlineStr">
        <is>
          <t>B2</t>
        </is>
      </c>
      <c r="D3204" s="13" t="n">
        <v>0</v>
      </c>
      <c r="E3204" s="13" t="inlineStr">
        <is>
          <t>W</t>
        </is>
      </c>
      <c r="F3204" s="13" t="n">
        <v>2023</v>
      </c>
      <c r="G3204" s="14" t="n">
        <v>1026322.023821842</v>
      </c>
      <c r="H3204" s="14" t="n">
        <v>115732.3201857024</v>
      </c>
      <c r="I3204" s="14" t="n">
        <v>109088.4670110964</v>
      </c>
      <c r="J3204" s="14" t="n">
        <v>0</v>
      </c>
      <c r="K3204" s="14" t="n">
        <v>23522.92653120452</v>
      </c>
      <c r="L3204" s="14" t="n">
        <v>777978.3100938385</v>
      </c>
      <c r="M3204" s="14" t="n">
        <v>0</v>
      </c>
      <c r="N3204" s="14" t="n">
        <v>138921.1291359097</v>
      </c>
      <c r="O3204" s="14" t="n">
        <v>274291.0838039922</v>
      </c>
      <c r="P3204" s="14" t="n">
        <v>35044.55840235691</v>
      </c>
      <c r="Q3204" s="14" t="n">
        <v>596072.6864727843</v>
      </c>
      <c r="R3204" s="15">
        <f>IF(D3204=1,"Section 1","Control")</f>
        <v/>
      </c>
      <c r="S3204" s="16">
        <f>N3204/10000</f>
        <v/>
      </c>
      <c r="T3204" s="16">
        <f>P3204/10000</f>
        <v/>
      </c>
      <c r="U3204" s="15">
        <f>IF(N3204&gt;=Summary!$D$3,1,0)</f>
        <v/>
      </c>
      <c r="V3204" s="17">
        <f>IF(N3204&gt;0,P3204/N3204,"")</f>
        <v/>
      </c>
      <c r="W3204" s="17">
        <f>IF(O3204&gt;0,H3204/O3204,"")</f>
        <v/>
      </c>
    </row>
    <row r="3205">
      <c r="A3205" s="13" t="inlineStr">
        <is>
          <t>CW24_B2</t>
        </is>
      </c>
      <c r="B3205" s="13" t="inlineStr">
        <is>
          <t>CW24</t>
        </is>
      </c>
      <c r="C3205" s="13" t="inlineStr">
        <is>
          <t>B2</t>
        </is>
      </c>
      <c r="D3205" s="13" t="n">
        <v>0</v>
      </c>
      <c r="E3205" s="13" t="inlineStr">
        <is>
          <t>W</t>
        </is>
      </c>
      <c r="F3205" s="13" t="n">
        <v>2024</v>
      </c>
      <c r="G3205" s="14" t="n">
        <v>1026322.023821842</v>
      </c>
      <c r="H3205" s="14" t="n">
        <v>132168.227466688</v>
      </c>
      <c r="I3205" s="14" t="n">
        <v>95503.29802051622</v>
      </c>
      <c r="J3205" s="14" t="n">
        <v>0</v>
      </c>
      <c r="K3205" s="14" t="n">
        <v>22247.60665127624</v>
      </c>
      <c r="L3205" s="14" t="n">
        <v>776402.8916833616</v>
      </c>
      <c r="M3205" s="14" t="n">
        <v>0</v>
      </c>
      <c r="N3205" s="14" t="n">
        <v>138921.1291359097</v>
      </c>
      <c r="O3205" s="14" t="n">
        <v>274291.0838039922</v>
      </c>
      <c r="P3205" s="14" t="n">
        <v>26815.76281412162</v>
      </c>
      <c r="Q3205" s="14" t="n">
        <v>596072.6864727843</v>
      </c>
      <c r="R3205" s="15">
        <f>IF(D3205=1,"Section 1","Control")</f>
        <v/>
      </c>
      <c r="S3205" s="16">
        <f>N3205/10000</f>
        <v/>
      </c>
      <c r="T3205" s="16">
        <f>P3205/10000</f>
        <v/>
      </c>
      <c r="U3205" s="15">
        <f>IF(N3205&gt;=Summary!$D$3,1,0)</f>
        <v/>
      </c>
      <c r="V3205" s="17">
        <f>IF(N3205&gt;0,P3205/N3205,"")</f>
        <v/>
      </c>
      <c r="W3205" s="17">
        <f>IF(O3205&gt;0,H3205/O3205,"")</f>
        <v/>
      </c>
    </row>
    <row r="3206">
      <c r="A3206" s="13" t="inlineStr">
        <is>
          <t>CW24_B2</t>
        </is>
      </c>
      <c r="B3206" s="13" t="inlineStr">
        <is>
          <t>CW24</t>
        </is>
      </c>
      <c r="C3206" s="13" t="inlineStr">
        <is>
          <t>B2</t>
        </is>
      </c>
      <c r="D3206" s="13" t="n">
        <v>0</v>
      </c>
      <c r="E3206" s="13" t="inlineStr">
        <is>
          <t>W</t>
        </is>
      </c>
      <c r="F3206" s="13" t="n">
        <v>2025</v>
      </c>
      <c r="G3206" s="14" t="n">
        <v>1026322.023821842</v>
      </c>
      <c r="H3206" s="14" t="n">
        <v>129867.3030734792</v>
      </c>
      <c r="I3206" s="14" t="n">
        <v>101343.2448971318</v>
      </c>
      <c r="J3206" s="14" t="n">
        <v>0</v>
      </c>
      <c r="K3206" s="14" t="n">
        <v>29834.08822132185</v>
      </c>
      <c r="L3206" s="14" t="n">
        <v>765277.3876299092</v>
      </c>
      <c r="M3206" s="14" t="n">
        <v>0</v>
      </c>
      <c r="N3206" s="14" t="n">
        <v>138921.1291359097</v>
      </c>
      <c r="O3206" s="14" t="n">
        <v>274291.0838039922</v>
      </c>
      <c r="P3206" s="14" t="n">
        <v>28129.4151134117</v>
      </c>
      <c r="Q3206" s="14" t="n">
        <v>596072.6864727843</v>
      </c>
      <c r="R3206" s="15">
        <f>IF(D3206=1,"Section 1","Control")</f>
        <v/>
      </c>
      <c r="S3206" s="16">
        <f>N3206/10000</f>
        <v/>
      </c>
      <c r="T3206" s="16">
        <f>P3206/10000</f>
        <v/>
      </c>
      <c r="U3206" s="15">
        <f>IF(N3206&gt;=Summary!$D$3,1,0)</f>
        <v/>
      </c>
      <c r="V3206" s="17">
        <f>IF(N3206&gt;0,P3206/N3206,"")</f>
        <v/>
      </c>
      <c r="W3206" s="17">
        <f>IF(O3206&gt;0,H3206/O3206,"")</f>
        <v/>
      </c>
    </row>
    <row r="3207">
      <c r="A3207" s="13" t="inlineStr">
        <is>
          <t>CW24_B2</t>
        </is>
      </c>
      <c r="B3207" s="13" t="inlineStr">
        <is>
          <t>CW24</t>
        </is>
      </c>
      <c r="C3207" s="13" t="inlineStr">
        <is>
          <t>B2</t>
        </is>
      </c>
      <c r="D3207" s="13" t="n">
        <v>0</v>
      </c>
      <c r="E3207" s="13" t="inlineStr">
        <is>
          <t>W</t>
        </is>
      </c>
      <c r="F3207" s="13" t="n">
        <v>2026</v>
      </c>
      <c r="G3207" s="14" t="n">
        <v>1026322.023821842</v>
      </c>
      <c r="H3207" s="14" t="n">
        <v>107476.0399428124</v>
      </c>
      <c r="I3207" s="14" t="n">
        <v>119518.7323800181</v>
      </c>
      <c r="J3207" s="14" t="n">
        <v>0</v>
      </c>
      <c r="K3207" s="14" t="n">
        <v>13403.61609515022</v>
      </c>
      <c r="L3207" s="14" t="n">
        <v>785923.6354038612</v>
      </c>
      <c r="M3207" s="14" t="n">
        <v>0</v>
      </c>
      <c r="N3207" s="14" t="n">
        <v>138921.1291359097</v>
      </c>
      <c r="O3207" s="14" t="n">
        <v>274291.0838039922</v>
      </c>
      <c r="P3207" s="14" t="n">
        <v>40977.46197120816</v>
      </c>
      <c r="Q3207" s="14" t="n">
        <v>596072.6864727843</v>
      </c>
      <c r="R3207" s="15">
        <f>IF(D3207=1,"Section 1","Control")</f>
        <v/>
      </c>
      <c r="S3207" s="16">
        <f>N3207/10000</f>
        <v/>
      </c>
      <c r="T3207" s="16">
        <f>P3207/10000</f>
        <v/>
      </c>
      <c r="U3207" s="15">
        <f>IF(N3207&gt;=Summary!$D$3,1,0)</f>
        <v/>
      </c>
      <c r="V3207" s="17">
        <f>IF(N3207&gt;0,P3207/N3207,"")</f>
        <v/>
      </c>
      <c r="W3207" s="17">
        <f>IF(O3207&gt;0,H3207/O3207,"")</f>
        <v/>
      </c>
    </row>
    <row r="3208">
      <c r="A3208" s="13" t="inlineStr">
        <is>
          <t>CW24_B3</t>
        </is>
      </c>
      <c r="B3208" s="13" t="inlineStr">
        <is>
          <t>CW24</t>
        </is>
      </c>
      <c r="C3208" s="13" t="inlineStr">
        <is>
          <t>B3</t>
        </is>
      </c>
      <c r="D3208" s="13" t="n">
        <v>0</v>
      </c>
      <c r="E3208" s="13" t="inlineStr">
        <is>
          <t>W</t>
        </is>
      </c>
      <c r="F3208" s="13" t="n">
        <v>2020</v>
      </c>
      <c r="G3208" s="14" t="n">
        <v>8211992.176512205</v>
      </c>
      <c r="H3208" s="14" t="n">
        <v>2226642.17215986</v>
      </c>
      <c r="I3208" s="14" t="n">
        <v>690118.3034983018</v>
      </c>
      <c r="J3208" s="14" t="n">
        <v>0</v>
      </c>
      <c r="K3208" s="14" t="n">
        <v>1148313.95693129</v>
      </c>
      <c r="L3208" s="14" t="n">
        <v>4146917.743922753</v>
      </c>
      <c r="M3208" s="14" t="n">
        <v>0</v>
      </c>
      <c r="N3208" s="14" t="n">
        <v>2226642.17215986</v>
      </c>
      <c r="O3208" s="14" t="n">
        <v>4065074.432589451</v>
      </c>
      <c r="P3208" s="14" t="n">
        <v>0</v>
      </c>
      <c r="Q3208" s="14" t="n">
        <v>30164072.97058833</v>
      </c>
      <c r="R3208" s="15">
        <f>IF(D3208=1,"Section 1","Control")</f>
        <v/>
      </c>
      <c r="S3208" s="16">
        <f>N3208/10000</f>
        <v/>
      </c>
      <c r="T3208" s="16">
        <f>P3208/10000</f>
        <v/>
      </c>
      <c r="U3208" s="15">
        <f>IF(N3208&gt;=Summary!$D$3,1,0)</f>
        <v/>
      </c>
      <c r="V3208" s="17">
        <f>IF(N3208&gt;0,P3208/N3208,"")</f>
        <v/>
      </c>
      <c r="W3208" s="17">
        <f>IF(O3208&gt;0,H3208/O3208,"")</f>
        <v/>
      </c>
    </row>
    <row r="3209">
      <c r="A3209" s="13" t="inlineStr">
        <is>
          <t>CW24_B3</t>
        </is>
      </c>
      <c r="B3209" s="13" t="inlineStr">
        <is>
          <t>CW24</t>
        </is>
      </c>
      <c r="C3209" s="13" t="inlineStr">
        <is>
          <t>B3</t>
        </is>
      </c>
      <c r="D3209" s="13" t="n">
        <v>0</v>
      </c>
      <c r="E3209" s="13" t="inlineStr">
        <is>
          <t>W</t>
        </is>
      </c>
      <c r="F3209" s="13" t="n">
        <v>2021</v>
      </c>
      <c r="G3209" s="14" t="n">
        <v>8211992.176512205</v>
      </c>
      <c r="H3209" s="14" t="n">
        <v>1720736.658201629</v>
      </c>
      <c r="I3209" s="14" t="n">
        <v>305822.9389305265</v>
      </c>
      <c r="J3209" s="14" t="n">
        <v>0</v>
      </c>
      <c r="K3209" s="14" t="n">
        <v>2044603.3334347</v>
      </c>
      <c r="L3209" s="14" t="n">
        <v>4140829.24594535</v>
      </c>
      <c r="M3209" s="14" t="n">
        <v>0</v>
      </c>
      <c r="N3209" s="14" t="n">
        <v>2226642.172159861</v>
      </c>
      <c r="O3209" s="14" t="n">
        <v>4065074.432589451</v>
      </c>
      <c r="P3209" s="14" t="n">
        <v>567492.7458975699</v>
      </c>
      <c r="Q3209" s="14" t="n">
        <v>30164072.97058833</v>
      </c>
      <c r="R3209" s="15">
        <f>IF(D3209=1,"Section 1","Control")</f>
        <v/>
      </c>
      <c r="S3209" s="16">
        <f>N3209/10000</f>
        <v/>
      </c>
      <c r="T3209" s="16">
        <f>P3209/10000</f>
        <v/>
      </c>
      <c r="U3209" s="15">
        <f>IF(N3209&gt;=Summary!$D$3,1,0)</f>
        <v/>
      </c>
      <c r="V3209" s="17">
        <f>IF(N3209&gt;0,P3209/N3209,"")</f>
        <v/>
      </c>
      <c r="W3209" s="17">
        <f>IF(O3209&gt;0,H3209/O3209,"")</f>
        <v/>
      </c>
    </row>
    <row r="3210">
      <c r="A3210" s="13" t="inlineStr">
        <is>
          <t>CW24_B3</t>
        </is>
      </c>
      <c r="B3210" s="13" t="inlineStr">
        <is>
          <t>CW24</t>
        </is>
      </c>
      <c r="C3210" s="13" t="inlineStr">
        <is>
          <t>B3</t>
        </is>
      </c>
      <c r="D3210" s="13" t="n">
        <v>0</v>
      </c>
      <c r="E3210" s="13" t="inlineStr">
        <is>
          <t>W</t>
        </is>
      </c>
      <c r="F3210" s="13" t="n">
        <v>2022</v>
      </c>
      <c r="G3210" s="14" t="n">
        <v>8211992.176512203</v>
      </c>
      <c r="H3210" s="14" t="n">
        <v>1571865.360647374</v>
      </c>
      <c r="I3210" s="14" t="n">
        <v>473715.0008834241</v>
      </c>
      <c r="J3210" s="14" t="n">
        <v>0</v>
      </c>
      <c r="K3210" s="14" t="n">
        <v>2030002.788533918</v>
      </c>
      <c r="L3210" s="14" t="n">
        <v>4136409.026447489</v>
      </c>
      <c r="M3210" s="14" t="n">
        <v>0</v>
      </c>
      <c r="N3210" s="14" t="n">
        <v>2226642.172159861</v>
      </c>
      <c r="O3210" s="14" t="n">
        <v>4065074.432589451</v>
      </c>
      <c r="P3210" s="14" t="n">
        <v>694140.4438368853</v>
      </c>
      <c r="Q3210" s="14" t="n">
        <v>30164072.97058833</v>
      </c>
      <c r="R3210" s="15">
        <f>IF(D3210=1,"Section 1","Control")</f>
        <v/>
      </c>
      <c r="S3210" s="16">
        <f>N3210/10000</f>
        <v/>
      </c>
      <c r="T3210" s="16">
        <f>P3210/10000</f>
        <v/>
      </c>
      <c r="U3210" s="15">
        <f>IF(N3210&gt;=Summary!$D$3,1,0)</f>
        <v/>
      </c>
      <c r="V3210" s="17">
        <f>IF(N3210&gt;0,P3210/N3210,"")</f>
        <v/>
      </c>
      <c r="W3210" s="17">
        <f>IF(O3210&gt;0,H3210/O3210,"")</f>
        <v/>
      </c>
    </row>
    <row r="3211">
      <c r="A3211" s="13" t="inlineStr">
        <is>
          <t>CW24_B3</t>
        </is>
      </c>
      <c r="B3211" s="13" t="inlineStr">
        <is>
          <t>CW24</t>
        </is>
      </c>
      <c r="C3211" s="13" t="inlineStr">
        <is>
          <t>B3</t>
        </is>
      </c>
      <c r="D3211" s="13" t="n">
        <v>0</v>
      </c>
      <c r="E3211" s="13" t="inlineStr">
        <is>
          <t>W</t>
        </is>
      </c>
      <c r="F3211" s="13" t="n">
        <v>2023</v>
      </c>
      <c r="G3211" s="14" t="n">
        <v>8211992.176512204</v>
      </c>
      <c r="H3211" s="14" t="n">
        <v>1538283.563978577</v>
      </c>
      <c r="I3211" s="14" t="n">
        <v>342559.5821220248</v>
      </c>
      <c r="J3211" s="14" t="n">
        <v>0</v>
      </c>
      <c r="K3211" s="14" t="n">
        <v>2179025.517019354</v>
      </c>
      <c r="L3211" s="14" t="n">
        <v>4152123.513392251</v>
      </c>
      <c r="M3211" s="14" t="n">
        <v>0</v>
      </c>
      <c r="N3211" s="14" t="n">
        <v>2226642.172159861</v>
      </c>
      <c r="O3211" s="14" t="n">
        <v>4065074.432589451</v>
      </c>
      <c r="P3211" s="14" t="n">
        <v>740203.5809294158</v>
      </c>
      <c r="Q3211" s="14" t="n">
        <v>30164072.97058833</v>
      </c>
      <c r="R3211" s="15">
        <f>IF(D3211=1,"Section 1","Control")</f>
        <v/>
      </c>
      <c r="S3211" s="16">
        <f>N3211/10000</f>
        <v/>
      </c>
      <c r="T3211" s="16">
        <f>P3211/10000</f>
        <v/>
      </c>
      <c r="U3211" s="15">
        <f>IF(N3211&gt;=Summary!$D$3,1,0)</f>
        <v/>
      </c>
      <c r="V3211" s="17">
        <f>IF(N3211&gt;0,P3211/N3211,"")</f>
        <v/>
      </c>
      <c r="W3211" s="17">
        <f>IF(O3211&gt;0,H3211/O3211,"")</f>
        <v/>
      </c>
    </row>
    <row r="3212">
      <c r="A3212" s="13" t="inlineStr">
        <is>
          <t>CW24_B3</t>
        </is>
      </c>
      <c r="B3212" s="13" t="inlineStr">
        <is>
          <t>CW24</t>
        </is>
      </c>
      <c r="C3212" s="13" t="inlineStr">
        <is>
          <t>B3</t>
        </is>
      </c>
      <c r="D3212" s="13" t="n">
        <v>0</v>
      </c>
      <c r="E3212" s="13" t="inlineStr">
        <is>
          <t>W</t>
        </is>
      </c>
      <c r="F3212" s="13" t="n">
        <v>2024</v>
      </c>
      <c r="G3212" s="14" t="n">
        <v>8211992.176512203</v>
      </c>
      <c r="H3212" s="14" t="n">
        <v>1555452.818641812</v>
      </c>
      <c r="I3212" s="14" t="n">
        <v>416281.1079121309</v>
      </c>
      <c r="J3212" s="14" t="n">
        <v>0</v>
      </c>
      <c r="K3212" s="14" t="n">
        <v>2081585.901963507</v>
      </c>
      <c r="L3212" s="14" t="n">
        <v>4158672.347994756</v>
      </c>
      <c r="M3212" s="14" t="n">
        <v>0</v>
      </c>
      <c r="N3212" s="14" t="n">
        <v>2226642.172159861</v>
      </c>
      <c r="O3212" s="14" t="n">
        <v>4065074.432589451</v>
      </c>
      <c r="P3212" s="14" t="n">
        <v>745722.8903632668</v>
      </c>
      <c r="Q3212" s="14" t="n">
        <v>30164072.97058833</v>
      </c>
      <c r="R3212" s="15">
        <f>IF(D3212=1,"Section 1","Control")</f>
        <v/>
      </c>
      <c r="S3212" s="16">
        <f>N3212/10000</f>
        <v/>
      </c>
      <c r="T3212" s="16">
        <f>P3212/10000</f>
        <v/>
      </c>
      <c r="U3212" s="15">
        <f>IF(N3212&gt;=Summary!$D$3,1,0)</f>
        <v/>
      </c>
      <c r="V3212" s="17">
        <f>IF(N3212&gt;0,P3212/N3212,"")</f>
        <v/>
      </c>
      <c r="W3212" s="17">
        <f>IF(O3212&gt;0,H3212/O3212,"")</f>
        <v/>
      </c>
    </row>
    <row r="3213">
      <c r="A3213" s="13" t="inlineStr">
        <is>
          <t>CW24_B3</t>
        </is>
      </c>
      <c r="B3213" s="13" t="inlineStr">
        <is>
          <t>CW24</t>
        </is>
      </c>
      <c r="C3213" s="13" t="inlineStr">
        <is>
          <t>B3</t>
        </is>
      </c>
      <c r="D3213" s="13" t="n">
        <v>0</v>
      </c>
      <c r="E3213" s="13" t="inlineStr">
        <is>
          <t>W</t>
        </is>
      </c>
      <c r="F3213" s="13" t="n">
        <v>2025</v>
      </c>
      <c r="G3213" s="14" t="n">
        <v>8211992.176512205</v>
      </c>
      <c r="H3213" s="14" t="n">
        <v>1475971.524412656</v>
      </c>
      <c r="I3213" s="14" t="n">
        <v>651476.124479735</v>
      </c>
      <c r="J3213" s="14" t="n">
        <v>0</v>
      </c>
      <c r="K3213" s="14" t="n">
        <v>1927081.673136364</v>
      </c>
      <c r="L3213" s="14" t="n">
        <v>4157462.85448345</v>
      </c>
      <c r="M3213" s="14" t="n">
        <v>0</v>
      </c>
      <c r="N3213" s="14" t="n">
        <v>2226642.172159861</v>
      </c>
      <c r="O3213" s="14" t="n">
        <v>4065074.432589451</v>
      </c>
      <c r="P3213" s="14" t="n">
        <v>821436.6547666664</v>
      </c>
      <c r="Q3213" s="14" t="n">
        <v>30164072.97058833</v>
      </c>
      <c r="R3213" s="15">
        <f>IF(D3213=1,"Section 1","Control")</f>
        <v/>
      </c>
      <c r="S3213" s="16">
        <f>N3213/10000</f>
        <v/>
      </c>
      <c r="T3213" s="16">
        <f>P3213/10000</f>
        <v/>
      </c>
      <c r="U3213" s="15">
        <f>IF(N3213&gt;=Summary!$D$3,1,0)</f>
        <v/>
      </c>
      <c r="V3213" s="17">
        <f>IF(N3213&gt;0,P3213/N3213,"")</f>
        <v/>
      </c>
      <c r="W3213" s="17">
        <f>IF(O3213&gt;0,H3213/O3213,"")</f>
        <v/>
      </c>
    </row>
    <row r="3214">
      <c r="A3214" s="13" t="inlineStr">
        <is>
          <t>CW24_B3</t>
        </is>
      </c>
      <c r="B3214" s="13" t="inlineStr">
        <is>
          <t>CW24</t>
        </is>
      </c>
      <c r="C3214" s="13" t="inlineStr">
        <is>
          <t>B3</t>
        </is>
      </c>
      <c r="D3214" s="13" t="n">
        <v>0</v>
      </c>
      <c r="E3214" s="13" t="inlineStr">
        <is>
          <t>W</t>
        </is>
      </c>
      <c r="F3214" s="13" t="n">
        <v>2026</v>
      </c>
      <c r="G3214" s="14" t="n">
        <v>8211992.176512205</v>
      </c>
      <c r="H3214" s="14" t="n">
        <v>1629117.751043701</v>
      </c>
      <c r="I3214" s="14" t="n">
        <v>257643.9818667841</v>
      </c>
      <c r="J3214" s="14" t="n">
        <v>0</v>
      </c>
      <c r="K3214" s="14" t="n">
        <v>2160523.028378176</v>
      </c>
      <c r="L3214" s="14" t="n">
        <v>4164707.415223544</v>
      </c>
      <c r="M3214" s="14" t="n">
        <v>0</v>
      </c>
      <c r="N3214" s="14" t="n">
        <v>2226642.172159861</v>
      </c>
      <c r="O3214" s="14" t="n">
        <v>4065074.432589451</v>
      </c>
      <c r="P3214" s="14" t="n">
        <v>742291.7414257873</v>
      </c>
      <c r="Q3214" s="14" t="n">
        <v>30164072.97058832</v>
      </c>
      <c r="R3214" s="15">
        <f>IF(D3214=1,"Section 1","Control")</f>
        <v/>
      </c>
      <c r="S3214" s="16">
        <f>N3214/10000</f>
        <v/>
      </c>
      <c r="T3214" s="16">
        <f>P3214/10000</f>
        <v/>
      </c>
      <c r="U3214" s="15">
        <f>IF(N3214&gt;=Summary!$D$3,1,0)</f>
        <v/>
      </c>
      <c r="V3214" s="17">
        <f>IF(N3214&gt;0,P3214/N3214,"")</f>
        <v/>
      </c>
      <c r="W3214" s="17">
        <f>IF(O3214&gt;0,H3214/O3214,"")</f>
        <v/>
      </c>
    </row>
    <row r="3215">
      <c r="A3215" s="13" t="inlineStr">
        <is>
          <t>CW24_F</t>
        </is>
      </c>
      <c r="B3215" s="13" t="inlineStr">
        <is>
          <t>CW24</t>
        </is>
      </c>
      <c r="C3215" s="13" t="inlineStr">
        <is>
          <t>F</t>
        </is>
      </c>
      <c r="D3215" s="13" t="n">
        <v>0</v>
      </c>
      <c r="E3215" s="13" t="inlineStr">
        <is>
          <t>W</t>
        </is>
      </c>
      <c r="F3215" s="13" t="n">
        <v>2020</v>
      </c>
      <c r="G3215" s="14" t="n">
        <v>71332.69150755643</v>
      </c>
      <c r="H3215" s="14" t="n">
        <v>49245.88790106681</v>
      </c>
      <c r="I3215" s="14" t="n">
        <v>21988.07562492221</v>
      </c>
      <c r="J3215" s="14" t="n">
        <v>0</v>
      </c>
      <c r="K3215" s="14" t="n">
        <v>98.7279815673828</v>
      </c>
      <c r="L3215" s="14" t="n">
        <v>0</v>
      </c>
      <c r="M3215" s="14" t="n">
        <v>0</v>
      </c>
      <c r="N3215" s="14" t="n">
        <v>49245.88790106681</v>
      </c>
      <c r="O3215" s="14" t="n">
        <v>71332.69150755643</v>
      </c>
      <c r="P3215" s="14" t="n">
        <v>0</v>
      </c>
      <c r="Q3215" s="14" t="n">
        <v>510785.9404669072</v>
      </c>
      <c r="R3215" s="15">
        <f>IF(D3215=1,"Section 1","Control")</f>
        <v/>
      </c>
      <c r="S3215" s="16">
        <f>N3215/10000</f>
        <v/>
      </c>
      <c r="T3215" s="16">
        <f>P3215/10000</f>
        <v/>
      </c>
      <c r="U3215" s="15">
        <f>IF(N3215&gt;=Summary!$D$3,1,0)</f>
        <v/>
      </c>
      <c r="V3215" s="17">
        <f>IF(N3215&gt;0,P3215/N3215,"")</f>
        <v/>
      </c>
      <c r="W3215" s="17">
        <f>IF(O3215&gt;0,H3215/O3215,"")</f>
        <v/>
      </c>
    </row>
    <row r="3216">
      <c r="A3216" s="13" t="inlineStr">
        <is>
          <t>CW24_F</t>
        </is>
      </c>
      <c r="B3216" s="13" t="inlineStr">
        <is>
          <t>CW24</t>
        </is>
      </c>
      <c r="C3216" s="13" t="inlineStr">
        <is>
          <t>F</t>
        </is>
      </c>
      <c r="D3216" s="13" t="n">
        <v>0</v>
      </c>
      <c r="E3216" s="13" t="inlineStr">
        <is>
          <t>W</t>
        </is>
      </c>
      <c r="F3216" s="13" t="n">
        <v>2021</v>
      </c>
      <c r="G3216" s="14" t="n">
        <v>71332.69150755643</v>
      </c>
      <c r="H3216" s="14" t="n">
        <v>48073.15361729043</v>
      </c>
      <c r="I3216" s="14" t="n">
        <v>20377.84221367929</v>
      </c>
      <c r="J3216" s="14" t="n">
        <v>0</v>
      </c>
      <c r="K3216" s="14" t="n">
        <v>2881.695676586675</v>
      </c>
      <c r="L3216" s="14" t="n">
        <v>0</v>
      </c>
      <c r="M3216" s="14" t="n">
        <v>0</v>
      </c>
      <c r="N3216" s="14" t="n">
        <v>49245.88790106681</v>
      </c>
      <c r="O3216" s="14" t="n">
        <v>71332.69150755643</v>
      </c>
      <c r="P3216" s="14" t="n">
        <v>3406.696193859625</v>
      </c>
      <c r="Q3216" s="14" t="n">
        <v>510785.9404669072</v>
      </c>
      <c r="R3216" s="15">
        <f>IF(D3216=1,"Section 1","Control")</f>
        <v/>
      </c>
      <c r="S3216" s="16">
        <f>N3216/10000</f>
        <v/>
      </c>
      <c r="T3216" s="16">
        <f>P3216/10000</f>
        <v/>
      </c>
      <c r="U3216" s="15">
        <f>IF(N3216&gt;=Summary!$D$3,1,0)</f>
        <v/>
      </c>
      <c r="V3216" s="17">
        <f>IF(N3216&gt;0,P3216/N3216,"")</f>
        <v/>
      </c>
      <c r="W3216" s="17">
        <f>IF(O3216&gt;0,H3216/O3216,"")</f>
        <v/>
      </c>
    </row>
    <row r="3217">
      <c r="A3217" s="13" t="inlineStr">
        <is>
          <t>CW24_F</t>
        </is>
      </c>
      <c r="B3217" s="13" t="inlineStr">
        <is>
          <t>CW24</t>
        </is>
      </c>
      <c r="C3217" s="13" t="inlineStr">
        <is>
          <t>F</t>
        </is>
      </c>
      <c r="D3217" s="13" t="n">
        <v>0</v>
      </c>
      <c r="E3217" s="13" t="inlineStr">
        <is>
          <t>W</t>
        </is>
      </c>
      <c r="F3217" s="13" t="n">
        <v>2022</v>
      </c>
      <c r="G3217" s="14" t="n">
        <v>71332.69150755643</v>
      </c>
      <c r="H3217" s="14" t="n">
        <v>49842.90132775401</v>
      </c>
      <c r="I3217" s="14" t="n">
        <v>18931.7673784443</v>
      </c>
      <c r="J3217" s="14" t="n">
        <v>0</v>
      </c>
      <c r="K3217" s="14" t="n">
        <v>2558.022801358093</v>
      </c>
      <c r="L3217" s="14" t="n">
        <v>0</v>
      </c>
      <c r="M3217" s="14" t="n">
        <v>0</v>
      </c>
      <c r="N3217" s="14" t="n">
        <v>49245.88790106681</v>
      </c>
      <c r="O3217" s="14" t="n">
        <v>71332.69150755643</v>
      </c>
      <c r="P3217" s="14" t="n">
        <v>2722.569304612104</v>
      </c>
      <c r="Q3217" s="14" t="n">
        <v>510785.9404669072</v>
      </c>
      <c r="R3217" s="15">
        <f>IF(D3217=1,"Section 1","Control")</f>
        <v/>
      </c>
      <c r="S3217" s="16">
        <f>N3217/10000</f>
        <v/>
      </c>
      <c r="T3217" s="16">
        <f>P3217/10000</f>
        <v/>
      </c>
      <c r="U3217" s="15">
        <f>IF(N3217&gt;=Summary!$D$3,1,0)</f>
        <v/>
      </c>
      <c r="V3217" s="17">
        <f>IF(N3217&gt;0,P3217/N3217,"")</f>
        <v/>
      </c>
      <c r="W3217" s="17">
        <f>IF(O3217&gt;0,H3217/O3217,"")</f>
        <v/>
      </c>
    </row>
    <row r="3218">
      <c r="A3218" s="13" t="inlineStr">
        <is>
          <t>CW24_F</t>
        </is>
      </c>
      <c r="B3218" s="13" t="inlineStr">
        <is>
          <t>CW24</t>
        </is>
      </c>
      <c r="C3218" s="13" t="inlineStr">
        <is>
          <t>F</t>
        </is>
      </c>
      <c r="D3218" s="13" t="n">
        <v>0</v>
      </c>
      <c r="E3218" s="13" t="inlineStr">
        <is>
          <t>W</t>
        </is>
      </c>
      <c r="F3218" s="13" t="n">
        <v>2023</v>
      </c>
      <c r="G3218" s="14" t="n">
        <v>71332.69150755643</v>
      </c>
      <c r="H3218" s="14" t="n">
        <v>55287.65190660066</v>
      </c>
      <c r="I3218" s="14" t="n">
        <v>13363.8972316368</v>
      </c>
      <c r="J3218" s="14" t="n">
        <v>0</v>
      </c>
      <c r="K3218" s="14" t="n">
        <v>2681.142369318944</v>
      </c>
      <c r="L3218" s="14" t="n">
        <v>0</v>
      </c>
      <c r="M3218" s="14" t="n">
        <v>0</v>
      </c>
      <c r="N3218" s="14" t="n">
        <v>49245.88790106681</v>
      </c>
      <c r="O3218" s="14" t="n">
        <v>71332.69150755643</v>
      </c>
      <c r="P3218" s="14" t="n">
        <v>2413.221625623517</v>
      </c>
      <c r="Q3218" s="14" t="n">
        <v>510785.9404669072</v>
      </c>
      <c r="R3218" s="15">
        <f>IF(D3218=1,"Section 1","Control")</f>
        <v/>
      </c>
      <c r="S3218" s="16">
        <f>N3218/10000</f>
        <v/>
      </c>
      <c r="T3218" s="16">
        <f>P3218/10000</f>
        <v/>
      </c>
      <c r="U3218" s="15">
        <f>IF(N3218&gt;=Summary!$D$3,1,0)</f>
        <v/>
      </c>
      <c r="V3218" s="17">
        <f>IF(N3218&gt;0,P3218/N3218,"")</f>
        <v/>
      </c>
      <c r="W3218" s="17">
        <f>IF(O3218&gt;0,H3218/O3218,"")</f>
        <v/>
      </c>
    </row>
    <row r="3219">
      <c r="A3219" s="13" t="inlineStr">
        <is>
          <t>CW24_F</t>
        </is>
      </c>
      <c r="B3219" s="13" t="inlineStr">
        <is>
          <t>CW24</t>
        </is>
      </c>
      <c r="C3219" s="13" t="inlineStr">
        <is>
          <t>F</t>
        </is>
      </c>
      <c r="D3219" s="13" t="n">
        <v>0</v>
      </c>
      <c r="E3219" s="13" t="inlineStr">
        <is>
          <t>W</t>
        </is>
      </c>
      <c r="F3219" s="13" t="n">
        <v>2024</v>
      </c>
      <c r="G3219" s="14" t="n">
        <v>71332.69150755643</v>
      </c>
      <c r="H3219" s="14" t="n">
        <v>56591.63522147386</v>
      </c>
      <c r="I3219" s="14" t="n">
        <v>11722.69005249622</v>
      </c>
      <c r="J3219" s="14" t="n">
        <v>0</v>
      </c>
      <c r="K3219" s="14" t="n">
        <v>3018.366233586331</v>
      </c>
      <c r="L3219" s="14" t="n">
        <v>0</v>
      </c>
      <c r="M3219" s="14" t="n">
        <v>0</v>
      </c>
      <c r="N3219" s="14" t="n">
        <v>49245.88790106681</v>
      </c>
      <c r="O3219" s="14" t="n">
        <v>71332.69150755643</v>
      </c>
      <c r="P3219" s="14" t="n">
        <v>2413.221610364728</v>
      </c>
      <c r="Q3219" s="14" t="n">
        <v>510785.9404669072</v>
      </c>
      <c r="R3219" s="15">
        <f>IF(D3219=1,"Section 1","Control")</f>
        <v/>
      </c>
      <c r="S3219" s="16">
        <f>N3219/10000</f>
        <v/>
      </c>
      <c r="T3219" s="16">
        <f>P3219/10000</f>
        <v/>
      </c>
      <c r="U3219" s="15">
        <f>IF(N3219&gt;=Summary!$D$3,1,0)</f>
        <v/>
      </c>
      <c r="V3219" s="17">
        <f>IF(N3219&gt;0,P3219/N3219,"")</f>
        <v/>
      </c>
      <c r="W3219" s="17">
        <f>IF(O3219&gt;0,H3219/O3219,"")</f>
        <v/>
      </c>
    </row>
    <row r="3220">
      <c r="A3220" s="13" t="inlineStr">
        <is>
          <t>CW24_F</t>
        </is>
      </c>
      <c r="B3220" s="13" t="inlineStr">
        <is>
          <t>CW24</t>
        </is>
      </c>
      <c r="C3220" s="13" t="inlineStr">
        <is>
          <t>F</t>
        </is>
      </c>
      <c r="D3220" s="13" t="n">
        <v>0</v>
      </c>
      <c r="E3220" s="13" t="inlineStr">
        <is>
          <t>W</t>
        </is>
      </c>
      <c r="F3220" s="13" t="n">
        <v>2025</v>
      </c>
      <c r="G3220" s="14" t="n">
        <v>71332.69150755643</v>
      </c>
      <c r="H3220" s="14" t="n">
        <v>53538.81134963691</v>
      </c>
      <c r="I3220" s="14" t="n">
        <v>14754.60700940899</v>
      </c>
      <c r="J3220" s="14" t="n">
        <v>0</v>
      </c>
      <c r="K3220" s="14" t="n">
        <v>3039.273148510504</v>
      </c>
      <c r="L3220" s="14" t="n">
        <v>0</v>
      </c>
      <c r="M3220" s="14" t="n">
        <v>0</v>
      </c>
      <c r="N3220" s="14" t="n">
        <v>49245.88790106681</v>
      </c>
      <c r="O3220" s="14" t="n">
        <v>71332.69150755643</v>
      </c>
      <c r="P3220" s="14" t="n">
        <v>2866.208833043716</v>
      </c>
      <c r="Q3220" s="14" t="n">
        <v>510785.9404669072</v>
      </c>
      <c r="R3220" s="15">
        <f>IF(D3220=1,"Section 1","Control")</f>
        <v/>
      </c>
      <c r="S3220" s="16">
        <f>N3220/10000</f>
        <v/>
      </c>
      <c r="T3220" s="16">
        <f>P3220/10000</f>
        <v/>
      </c>
      <c r="U3220" s="15">
        <f>IF(N3220&gt;=Summary!$D$3,1,0)</f>
        <v/>
      </c>
      <c r="V3220" s="17">
        <f>IF(N3220&gt;0,P3220/N3220,"")</f>
        <v/>
      </c>
      <c r="W3220" s="17">
        <f>IF(O3220&gt;0,H3220/O3220,"")</f>
        <v/>
      </c>
    </row>
    <row r="3221">
      <c r="A3221" s="13" t="inlineStr">
        <is>
          <t>CW24_F</t>
        </is>
      </c>
      <c r="B3221" s="13" t="inlineStr">
        <is>
          <t>CW24</t>
        </is>
      </c>
      <c r="C3221" s="13" t="inlineStr">
        <is>
          <t>F</t>
        </is>
      </c>
      <c r="D3221" s="13" t="n">
        <v>0</v>
      </c>
      <c r="E3221" s="13" t="inlineStr">
        <is>
          <t>W</t>
        </is>
      </c>
      <c r="F3221" s="13" t="n">
        <v>2026</v>
      </c>
      <c r="G3221" s="14" t="n">
        <v>71332.69150755643</v>
      </c>
      <c r="H3221" s="14" t="n">
        <v>57789.5348371618</v>
      </c>
      <c r="I3221" s="14" t="n">
        <v>9973.462730168359</v>
      </c>
      <c r="J3221" s="14" t="n">
        <v>0</v>
      </c>
      <c r="K3221" s="14" t="n">
        <v>3569.693940226238</v>
      </c>
      <c r="L3221" s="14" t="n">
        <v>0</v>
      </c>
      <c r="M3221" s="14" t="n">
        <v>0</v>
      </c>
      <c r="N3221" s="14" t="n">
        <v>49245.88790106681</v>
      </c>
      <c r="O3221" s="14" t="n">
        <v>71332.69150755643</v>
      </c>
      <c r="P3221" s="14" t="n">
        <v>2549.11781616211</v>
      </c>
      <c r="Q3221" s="14" t="n">
        <v>510785.9404669072</v>
      </c>
      <c r="R3221" s="15">
        <f>IF(D3221=1,"Section 1","Control")</f>
        <v/>
      </c>
      <c r="S3221" s="16">
        <f>N3221/10000</f>
        <v/>
      </c>
      <c r="T3221" s="16">
        <f>P3221/10000</f>
        <v/>
      </c>
      <c r="U3221" s="15">
        <f>IF(N3221&gt;=Summary!$D$3,1,0)</f>
        <v/>
      </c>
      <c r="V3221" s="17">
        <f>IF(N3221&gt;0,P3221/N3221,"")</f>
        <v/>
      </c>
      <c r="W3221" s="17">
        <f>IF(O3221&gt;0,H3221/O3221,"")</f>
        <v/>
      </c>
    </row>
    <row r="3222">
      <c r="A3222" s="13" t="inlineStr">
        <is>
          <t>CW25_B1</t>
        </is>
      </c>
      <c r="B3222" s="13" t="inlineStr">
        <is>
          <t>CW25</t>
        </is>
      </c>
      <c r="C3222" s="13" t="inlineStr">
        <is>
          <t>B1</t>
        </is>
      </c>
      <c r="D3222" s="13" t="n">
        <v>0</v>
      </c>
      <c r="E3222" s="13" t="inlineStr">
        <is>
          <t>W</t>
        </is>
      </c>
      <c r="F3222" s="13" t="n">
        <v>2020</v>
      </c>
      <c r="G3222" s="14" t="n">
        <v>1000474.759527708</v>
      </c>
      <c r="H3222" s="14" t="n">
        <v>487598.183489332</v>
      </c>
      <c r="I3222" s="14" t="n">
        <v>328369.3708322862</v>
      </c>
      <c r="J3222" s="14" t="n">
        <v>0</v>
      </c>
      <c r="K3222" s="14" t="n">
        <v>38075.23441051408</v>
      </c>
      <c r="L3222" s="14" t="n">
        <v>146431.9707955753</v>
      </c>
      <c r="M3222" s="14" t="n">
        <v>0</v>
      </c>
      <c r="N3222" s="14" t="n">
        <v>487598.183489332</v>
      </c>
      <c r="O3222" s="14" t="n">
        <v>854042.7887321323</v>
      </c>
      <c r="P3222" s="14" t="n">
        <v>0</v>
      </c>
      <c r="Q3222" s="14" t="n">
        <v>4943200.58255325</v>
      </c>
      <c r="R3222" s="15">
        <f>IF(D3222=1,"Section 1","Control")</f>
        <v/>
      </c>
      <c r="S3222" s="16">
        <f>N3222/10000</f>
        <v/>
      </c>
      <c r="T3222" s="16">
        <f>P3222/10000</f>
        <v/>
      </c>
      <c r="U3222" s="15">
        <f>IF(N3222&gt;=Summary!$D$3,1,0)</f>
        <v/>
      </c>
      <c r="V3222" s="17">
        <f>IF(N3222&gt;0,P3222/N3222,"")</f>
        <v/>
      </c>
      <c r="W3222" s="17">
        <f>IF(O3222&gt;0,H3222/O3222,"")</f>
        <v/>
      </c>
    </row>
    <row r="3223">
      <c r="A3223" s="13" t="inlineStr">
        <is>
          <t>CW25_B1</t>
        </is>
      </c>
      <c r="B3223" s="13" t="inlineStr">
        <is>
          <t>CW25</t>
        </is>
      </c>
      <c r="C3223" s="13" t="inlineStr">
        <is>
          <t>B1</t>
        </is>
      </c>
      <c r="D3223" s="13" t="n">
        <v>0</v>
      </c>
      <c r="E3223" s="13" t="inlineStr">
        <is>
          <t>W</t>
        </is>
      </c>
      <c r="F3223" s="13" t="n">
        <v>2021</v>
      </c>
      <c r="G3223" s="14" t="n">
        <v>1000474.759527708</v>
      </c>
      <c r="H3223" s="14" t="n">
        <v>488962.0981611962</v>
      </c>
      <c r="I3223" s="14" t="n">
        <v>223828.8445207783</v>
      </c>
      <c r="J3223" s="14" t="n">
        <v>0</v>
      </c>
      <c r="K3223" s="14" t="n">
        <v>143444.3727828082</v>
      </c>
      <c r="L3223" s="14" t="n">
        <v>144239.4440629248</v>
      </c>
      <c r="M3223" s="14" t="n">
        <v>0</v>
      </c>
      <c r="N3223" s="14" t="n">
        <v>487598.183489332</v>
      </c>
      <c r="O3223" s="14" t="n">
        <v>854042.7887321323</v>
      </c>
      <c r="P3223" s="14" t="n">
        <v>68053.5582573685</v>
      </c>
      <c r="Q3223" s="14" t="n">
        <v>4943200.582553251</v>
      </c>
      <c r="R3223" s="15">
        <f>IF(D3223=1,"Section 1","Control")</f>
        <v/>
      </c>
      <c r="S3223" s="16">
        <f>N3223/10000</f>
        <v/>
      </c>
      <c r="T3223" s="16">
        <f>P3223/10000</f>
        <v/>
      </c>
      <c r="U3223" s="15">
        <f>IF(N3223&gt;=Summary!$D$3,1,0)</f>
        <v/>
      </c>
      <c r="V3223" s="17">
        <f>IF(N3223&gt;0,P3223/N3223,"")</f>
        <v/>
      </c>
      <c r="W3223" s="17">
        <f>IF(O3223&gt;0,H3223/O3223,"")</f>
        <v/>
      </c>
    </row>
    <row r="3224">
      <c r="A3224" s="13" t="inlineStr">
        <is>
          <t>CW25_B1</t>
        </is>
      </c>
      <c r="B3224" s="13" t="inlineStr">
        <is>
          <t>CW25</t>
        </is>
      </c>
      <c r="C3224" s="13" t="inlineStr">
        <is>
          <t>B1</t>
        </is>
      </c>
      <c r="D3224" s="13" t="n">
        <v>0</v>
      </c>
      <c r="E3224" s="13" t="inlineStr">
        <is>
          <t>W</t>
        </is>
      </c>
      <c r="F3224" s="13" t="n">
        <v>2022</v>
      </c>
      <c r="G3224" s="14" t="n">
        <v>1000474.759527708</v>
      </c>
      <c r="H3224" s="14" t="n">
        <v>429562.1019576727</v>
      </c>
      <c r="I3224" s="14" t="n">
        <v>328635.0201510261</v>
      </c>
      <c r="J3224" s="14" t="n">
        <v>0</v>
      </c>
      <c r="K3224" s="14" t="n">
        <v>150367.7253243839</v>
      </c>
      <c r="L3224" s="14" t="n">
        <v>91909.91209462486</v>
      </c>
      <c r="M3224" s="14" t="n">
        <v>0</v>
      </c>
      <c r="N3224" s="14" t="n">
        <v>487598.183489332</v>
      </c>
      <c r="O3224" s="14" t="n">
        <v>854042.7887321323</v>
      </c>
      <c r="P3224" s="14" t="n">
        <v>89673.01809267529</v>
      </c>
      <c r="Q3224" s="14" t="n">
        <v>4943200.58255325</v>
      </c>
      <c r="R3224" s="15">
        <f>IF(D3224=1,"Section 1","Control")</f>
        <v/>
      </c>
      <c r="S3224" s="16">
        <f>N3224/10000</f>
        <v/>
      </c>
      <c r="T3224" s="16">
        <f>P3224/10000</f>
        <v/>
      </c>
      <c r="U3224" s="15">
        <f>IF(N3224&gt;=Summary!$D$3,1,0)</f>
        <v/>
      </c>
      <c r="V3224" s="17">
        <f>IF(N3224&gt;0,P3224/N3224,"")</f>
        <v/>
      </c>
      <c r="W3224" s="17">
        <f>IF(O3224&gt;0,H3224/O3224,"")</f>
        <v/>
      </c>
    </row>
    <row r="3225">
      <c r="A3225" s="13" t="inlineStr">
        <is>
          <t>CW25_B1</t>
        </is>
      </c>
      <c r="B3225" s="13" t="inlineStr">
        <is>
          <t>CW25</t>
        </is>
      </c>
      <c r="C3225" s="13" t="inlineStr">
        <is>
          <t>B1</t>
        </is>
      </c>
      <c r="D3225" s="13" t="n">
        <v>0</v>
      </c>
      <c r="E3225" s="13" t="inlineStr">
        <is>
          <t>W</t>
        </is>
      </c>
      <c r="F3225" s="13" t="n">
        <v>2023</v>
      </c>
      <c r="G3225" s="14" t="n">
        <v>1000474.759527708</v>
      </c>
      <c r="H3225" s="14" t="n">
        <v>514617.367168262</v>
      </c>
      <c r="I3225" s="14" t="n">
        <v>235122.1046022603</v>
      </c>
      <c r="J3225" s="14" t="n">
        <v>0</v>
      </c>
      <c r="K3225" s="14" t="n">
        <v>80340.76902630375</v>
      </c>
      <c r="L3225" s="14" t="n">
        <v>170394.5187308816</v>
      </c>
      <c r="M3225" s="14" t="n">
        <v>0</v>
      </c>
      <c r="N3225" s="14" t="n">
        <v>487598.183489332</v>
      </c>
      <c r="O3225" s="14" t="n">
        <v>854042.7887321323</v>
      </c>
      <c r="P3225" s="14" t="n">
        <v>64240.75497445499</v>
      </c>
      <c r="Q3225" s="14" t="n">
        <v>4943200.582553251</v>
      </c>
      <c r="R3225" s="15">
        <f>IF(D3225=1,"Section 1","Control")</f>
        <v/>
      </c>
      <c r="S3225" s="16">
        <f>N3225/10000</f>
        <v/>
      </c>
      <c r="T3225" s="16">
        <f>P3225/10000</f>
        <v/>
      </c>
      <c r="U3225" s="15">
        <f>IF(N3225&gt;=Summary!$D$3,1,0)</f>
        <v/>
      </c>
      <c r="V3225" s="17">
        <f>IF(N3225&gt;0,P3225/N3225,"")</f>
        <v/>
      </c>
      <c r="W3225" s="17">
        <f>IF(O3225&gt;0,H3225/O3225,"")</f>
        <v/>
      </c>
    </row>
    <row r="3226">
      <c r="A3226" s="13" t="inlineStr">
        <is>
          <t>CW25_B1</t>
        </is>
      </c>
      <c r="B3226" s="13" t="inlineStr">
        <is>
          <t>CW25</t>
        </is>
      </c>
      <c r="C3226" s="13" t="inlineStr">
        <is>
          <t>B1</t>
        </is>
      </c>
      <c r="D3226" s="13" t="n">
        <v>0</v>
      </c>
      <c r="E3226" s="13" t="inlineStr">
        <is>
          <t>W</t>
        </is>
      </c>
      <c r="F3226" s="13" t="n">
        <v>2024</v>
      </c>
      <c r="G3226" s="14" t="n">
        <v>1000474.759527708</v>
      </c>
      <c r="H3226" s="14" t="n">
        <v>562503.4194340724</v>
      </c>
      <c r="I3226" s="14" t="n">
        <v>191392.2999772614</v>
      </c>
      <c r="J3226" s="14" t="n">
        <v>0</v>
      </c>
      <c r="K3226" s="14" t="n">
        <v>81952.52991066726</v>
      </c>
      <c r="L3226" s="14" t="n">
        <v>164626.5102057064</v>
      </c>
      <c r="M3226" s="14" t="n">
        <v>0</v>
      </c>
      <c r="N3226" s="14" t="n">
        <v>487598.183489332</v>
      </c>
      <c r="O3226" s="14" t="n">
        <v>854042.7887321323</v>
      </c>
      <c r="P3226" s="14" t="n">
        <v>58134.72850964116</v>
      </c>
      <c r="Q3226" s="14" t="n">
        <v>4943200.58255325</v>
      </c>
      <c r="R3226" s="15">
        <f>IF(D3226=1,"Section 1","Control")</f>
        <v/>
      </c>
      <c r="S3226" s="16">
        <f>N3226/10000</f>
        <v/>
      </c>
      <c r="T3226" s="16">
        <f>P3226/10000</f>
        <v/>
      </c>
      <c r="U3226" s="15">
        <f>IF(N3226&gt;=Summary!$D$3,1,0)</f>
        <v/>
      </c>
      <c r="V3226" s="17">
        <f>IF(N3226&gt;0,P3226/N3226,"")</f>
        <v/>
      </c>
      <c r="W3226" s="17">
        <f>IF(O3226&gt;0,H3226/O3226,"")</f>
        <v/>
      </c>
    </row>
    <row r="3227">
      <c r="A3227" s="13" t="inlineStr">
        <is>
          <t>CW25_B1</t>
        </is>
      </c>
      <c r="B3227" s="13" t="inlineStr">
        <is>
          <t>CW25</t>
        </is>
      </c>
      <c r="C3227" s="13" t="inlineStr">
        <is>
          <t>B1</t>
        </is>
      </c>
      <c r="D3227" s="13" t="n">
        <v>0</v>
      </c>
      <c r="E3227" s="13" t="inlineStr">
        <is>
          <t>W</t>
        </is>
      </c>
      <c r="F3227" s="13" t="n">
        <v>2025</v>
      </c>
      <c r="G3227" s="14" t="n">
        <v>1000474.759527708</v>
      </c>
      <c r="H3227" s="14" t="n">
        <v>507709.450530946</v>
      </c>
      <c r="I3227" s="14" t="n">
        <v>253011.6048092412</v>
      </c>
      <c r="J3227" s="14" t="n">
        <v>0</v>
      </c>
      <c r="K3227" s="14" t="n">
        <v>90921.2771554685</v>
      </c>
      <c r="L3227" s="14" t="n">
        <v>148832.4270320518</v>
      </c>
      <c r="M3227" s="14" t="n">
        <v>0</v>
      </c>
      <c r="N3227" s="14" t="n">
        <v>487598.183489332</v>
      </c>
      <c r="O3227" s="14" t="n">
        <v>854042.7887321323</v>
      </c>
      <c r="P3227" s="14" t="n">
        <v>64647.69296255672</v>
      </c>
      <c r="Q3227" s="14" t="n">
        <v>4943200.582553251</v>
      </c>
      <c r="R3227" s="15">
        <f>IF(D3227=1,"Section 1","Control")</f>
        <v/>
      </c>
      <c r="S3227" s="16">
        <f>N3227/10000</f>
        <v/>
      </c>
      <c r="T3227" s="16">
        <f>P3227/10000</f>
        <v/>
      </c>
      <c r="U3227" s="15">
        <f>IF(N3227&gt;=Summary!$D$3,1,0)</f>
        <v/>
      </c>
      <c r="V3227" s="17">
        <f>IF(N3227&gt;0,P3227/N3227,"")</f>
        <v/>
      </c>
      <c r="W3227" s="17">
        <f>IF(O3227&gt;0,H3227/O3227,"")</f>
        <v/>
      </c>
    </row>
    <row r="3228">
      <c r="A3228" s="13" t="inlineStr">
        <is>
          <t>CW25_B1</t>
        </is>
      </c>
      <c r="B3228" s="13" t="inlineStr">
        <is>
          <t>CW25</t>
        </is>
      </c>
      <c r="C3228" s="13" t="inlineStr">
        <is>
          <t>B1</t>
        </is>
      </c>
      <c r="D3228" s="13" t="n">
        <v>0</v>
      </c>
      <c r="E3228" s="13" t="inlineStr">
        <is>
          <t>W</t>
        </is>
      </c>
      <c r="F3228" s="13" t="n">
        <v>2026</v>
      </c>
      <c r="G3228" s="14" t="n">
        <v>1000474.759527708</v>
      </c>
      <c r="H3228" s="14" t="n">
        <v>564753.9006603466</v>
      </c>
      <c r="I3228" s="14" t="n">
        <v>192397.0770269656</v>
      </c>
      <c r="J3228" s="14" t="n">
        <v>0</v>
      </c>
      <c r="K3228" s="14" t="n">
        <v>74426.82430153641</v>
      </c>
      <c r="L3228" s="14" t="n">
        <v>168896.957538859</v>
      </c>
      <c r="M3228" s="14" t="n">
        <v>0</v>
      </c>
      <c r="N3228" s="14" t="n">
        <v>487598.183489332</v>
      </c>
      <c r="O3228" s="14" t="n">
        <v>854042.7887321323</v>
      </c>
      <c r="P3228" s="14" t="n">
        <v>66020.52597605388</v>
      </c>
      <c r="Q3228" s="14" t="n">
        <v>4943200.58255325</v>
      </c>
      <c r="R3228" s="15">
        <f>IF(D3228=1,"Section 1","Control")</f>
        <v/>
      </c>
      <c r="S3228" s="16">
        <f>N3228/10000</f>
        <v/>
      </c>
      <c r="T3228" s="16">
        <f>P3228/10000</f>
        <v/>
      </c>
      <c r="U3228" s="15">
        <f>IF(N3228&gt;=Summary!$D$3,1,0)</f>
        <v/>
      </c>
      <c r="V3228" s="17">
        <f>IF(N3228&gt;0,P3228/N3228,"")</f>
        <v/>
      </c>
      <c r="W3228" s="17">
        <f>IF(O3228&gt;0,H3228/O3228,"")</f>
        <v/>
      </c>
    </row>
    <row r="3229">
      <c r="A3229" s="13" t="inlineStr">
        <is>
          <t>CW25_B2</t>
        </is>
      </c>
      <c r="B3229" s="13" t="inlineStr">
        <is>
          <t>CW25</t>
        </is>
      </c>
      <c r="C3229" s="13" t="inlineStr">
        <is>
          <t>B2</t>
        </is>
      </c>
      <c r="D3229" s="13" t="n">
        <v>0</v>
      </c>
      <c r="E3229" s="13" t="inlineStr">
        <is>
          <t>W</t>
        </is>
      </c>
      <c r="F3229" s="13" t="n">
        <v>2020</v>
      </c>
      <c r="G3229" s="14" t="n">
        <v>1000501.079781087</v>
      </c>
      <c r="H3229" s="14" t="n">
        <v>66828.23319977405</v>
      </c>
      <c r="I3229" s="14" t="n">
        <v>34062.94542712042</v>
      </c>
      <c r="J3229" s="14" t="n">
        <v>0</v>
      </c>
      <c r="K3229" s="14" t="n">
        <v>31474.80251886704</v>
      </c>
      <c r="L3229" s="14" t="n">
        <v>868135.0986353258</v>
      </c>
      <c r="M3229" s="14" t="n">
        <v>0</v>
      </c>
      <c r="N3229" s="14" t="n">
        <v>66828.23319977405</v>
      </c>
      <c r="O3229" s="14" t="n">
        <v>132365.9811457614</v>
      </c>
      <c r="P3229" s="14" t="n">
        <v>0</v>
      </c>
      <c r="Q3229" s="14" t="n">
        <v>405090.6965145334</v>
      </c>
      <c r="R3229" s="15">
        <f>IF(D3229=1,"Section 1","Control")</f>
        <v/>
      </c>
      <c r="S3229" s="16">
        <f>N3229/10000</f>
        <v/>
      </c>
      <c r="T3229" s="16">
        <f>P3229/10000</f>
        <v/>
      </c>
      <c r="U3229" s="15">
        <f>IF(N3229&gt;=Summary!$D$3,1,0)</f>
        <v/>
      </c>
      <c r="V3229" s="17">
        <f>IF(N3229&gt;0,P3229/N3229,"")</f>
        <v/>
      </c>
      <c r="W3229" s="17">
        <f>IF(O3229&gt;0,H3229/O3229,"")</f>
        <v/>
      </c>
    </row>
    <row r="3230">
      <c r="A3230" s="13" t="inlineStr">
        <is>
          <t>CW25_B2</t>
        </is>
      </c>
      <c r="B3230" s="13" t="inlineStr">
        <is>
          <t>CW25</t>
        </is>
      </c>
      <c r="C3230" s="13" t="inlineStr">
        <is>
          <t>B2</t>
        </is>
      </c>
      <c r="D3230" s="13" t="n">
        <v>0</v>
      </c>
      <c r="E3230" s="13" t="inlineStr">
        <is>
          <t>W</t>
        </is>
      </c>
      <c r="F3230" s="13" t="n">
        <v>2021</v>
      </c>
      <c r="G3230" s="14" t="n">
        <v>1000501.079781087</v>
      </c>
      <c r="H3230" s="14" t="n">
        <v>52337.87929319492</v>
      </c>
      <c r="I3230" s="14" t="n">
        <v>38985.8129226086</v>
      </c>
      <c r="J3230" s="14" t="n">
        <v>0</v>
      </c>
      <c r="K3230" s="14" t="n">
        <v>70829.89717966711</v>
      </c>
      <c r="L3230" s="14" t="n">
        <v>838347.4903856165</v>
      </c>
      <c r="M3230" s="14" t="n">
        <v>0</v>
      </c>
      <c r="N3230" s="14" t="n">
        <v>66828.23319977405</v>
      </c>
      <c r="O3230" s="14" t="n">
        <v>132365.9811457614</v>
      </c>
      <c r="P3230" s="14" t="n">
        <v>15212.41503693823</v>
      </c>
      <c r="Q3230" s="14" t="n">
        <v>405090.6965145334</v>
      </c>
      <c r="R3230" s="15">
        <f>IF(D3230=1,"Section 1","Control")</f>
        <v/>
      </c>
      <c r="S3230" s="16">
        <f>N3230/10000</f>
        <v/>
      </c>
      <c r="T3230" s="16">
        <f>P3230/10000</f>
        <v/>
      </c>
      <c r="U3230" s="15">
        <f>IF(N3230&gt;=Summary!$D$3,1,0)</f>
        <v/>
      </c>
      <c r="V3230" s="17">
        <f>IF(N3230&gt;0,P3230/N3230,"")</f>
        <v/>
      </c>
      <c r="W3230" s="17">
        <f>IF(O3230&gt;0,H3230/O3230,"")</f>
        <v/>
      </c>
    </row>
    <row r="3231">
      <c r="A3231" s="13" t="inlineStr">
        <is>
          <t>CW25_B2</t>
        </is>
      </c>
      <c r="B3231" s="13" t="inlineStr">
        <is>
          <t>CW25</t>
        </is>
      </c>
      <c r="C3231" s="13" t="inlineStr">
        <is>
          <t>B2</t>
        </is>
      </c>
      <c r="D3231" s="13" t="n">
        <v>0</v>
      </c>
      <c r="E3231" s="13" t="inlineStr">
        <is>
          <t>W</t>
        </is>
      </c>
      <c r="F3231" s="13" t="n">
        <v>2022</v>
      </c>
      <c r="G3231" s="14" t="n">
        <v>1000501.079781087</v>
      </c>
      <c r="H3231" s="14" t="n">
        <v>53594.2269415762</v>
      </c>
      <c r="I3231" s="14" t="n">
        <v>41724.71624202353</v>
      </c>
      <c r="J3231" s="14" t="n">
        <v>0</v>
      </c>
      <c r="K3231" s="14" t="n">
        <v>92039.47233695233</v>
      </c>
      <c r="L3231" s="14" t="n">
        <v>813142.6642605353</v>
      </c>
      <c r="M3231" s="14" t="n">
        <v>0</v>
      </c>
      <c r="N3231" s="14" t="n">
        <v>66828.23319977405</v>
      </c>
      <c r="O3231" s="14" t="n">
        <v>132365.9811457614</v>
      </c>
      <c r="P3231" s="14" t="n">
        <v>15134.98033836215</v>
      </c>
      <c r="Q3231" s="14" t="n">
        <v>405090.6965145334</v>
      </c>
      <c r="R3231" s="15">
        <f>IF(D3231=1,"Section 1","Control")</f>
        <v/>
      </c>
      <c r="S3231" s="16">
        <f>N3231/10000</f>
        <v/>
      </c>
      <c r="T3231" s="16">
        <f>P3231/10000</f>
        <v/>
      </c>
      <c r="U3231" s="15">
        <f>IF(N3231&gt;=Summary!$D$3,1,0)</f>
        <v/>
      </c>
      <c r="V3231" s="17">
        <f>IF(N3231&gt;0,P3231/N3231,"")</f>
        <v/>
      </c>
      <c r="W3231" s="17">
        <f>IF(O3231&gt;0,H3231/O3231,"")</f>
        <v/>
      </c>
    </row>
    <row r="3232">
      <c r="A3232" s="13" t="inlineStr">
        <is>
          <t>CW25_B2</t>
        </is>
      </c>
      <c r="B3232" s="13" t="inlineStr">
        <is>
          <t>CW25</t>
        </is>
      </c>
      <c r="C3232" s="13" t="inlineStr">
        <is>
          <t>B2</t>
        </is>
      </c>
      <c r="D3232" s="13" t="n">
        <v>0</v>
      </c>
      <c r="E3232" s="13" t="inlineStr">
        <is>
          <t>W</t>
        </is>
      </c>
      <c r="F3232" s="13" t="n">
        <v>2023</v>
      </c>
      <c r="G3232" s="14" t="n">
        <v>1000501.079781087</v>
      </c>
      <c r="H3232" s="14" t="n">
        <v>51906.58356595508</v>
      </c>
      <c r="I3232" s="14" t="n">
        <v>24433.21809809068</v>
      </c>
      <c r="J3232" s="14" t="n">
        <v>0</v>
      </c>
      <c r="K3232" s="14" t="n">
        <v>42400.90219576968</v>
      </c>
      <c r="L3232" s="14" t="n">
        <v>881760.3759212719</v>
      </c>
      <c r="M3232" s="14" t="n">
        <v>0</v>
      </c>
      <c r="N3232" s="14" t="n">
        <v>66828.23319977405</v>
      </c>
      <c r="O3232" s="14" t="n">
        <v>132365.9811457614</v>
      </c>
      <c r="P3232" s="14" t="n">
        <v>16248.84619559494</v>
      </c>
      <c r="Q3232" s="14" t="n">
        <v>405090.6965145334</v>
      </c>
      <c r="R3232" s="15">
        <f>IF(D3232=1,"Section 1","Control")</f>
        <v/>
      </c>
      <c r="S3232" s="16">
        <f>N3232/10000</f>
        <v/>
      </c>
      <c r="T3232" s="16">
        <f>P3232/10000</f>
        <v/>
      </c>
      <c r="U3232" s="15">
        <f>IF(N3232&gt;=Summary!$D$3,1,0)</f>
        <v/>
      </c>
      <c r="V3232" s="17">
        <f>IF(N3232&gt;0,P3232/N3232,"")</f>
        <v/>
      </c>
      <c r="W3232" s="17">
        <f>IF(O3232&gt;0,H3232/O3232,"")</f>
        <v/>
      </c>
    </row>
    <row r="3233">
      <c r="A3233" s="13" t="inlineStr">
        <is>
          <t>CW25_B2</t>
        </is>
      </c>
      <c r="B3233" s="13" t="inlineStr">
        <is>
          <t>CW25</t>
        </is>
      </c>
      <c r="C3233" s="13" t="inlineStr">
        <is>
          <t>B2</t>
        </is>
      </c>
      <c r="D3233" s="13" t="n">
        <v>0</v>
      </c>
      <c r="E3233" s="13" t="inlineStr">
        <is>
          <t>W</t>
        </is>
      </c>
      <c r="F3233" s="13" t="n">
        <v>2024</v>
      </c>
      <c r="G3233" s="14" t="n">
        <v>1000501.079781087</v>
      </c>
      <c r="H3233" s="14" t="n">
        <v>52395.17997708789</v>
      </c>
      <c r="I3233" s="14" t="n">
        <v>25419.38647802015</v>
      </c>
      <c r="J3233" s="14" t="n">
        <v>0</v>
      </c>
      <c r="K3233" s="14" t="n">
        <v>47743.73890901454</v>
      </c>
      <c r="L3233" s="14" t="n">
        <v>874942.7744169646</v>
      </c>
      <c r="M3233" s="14" t="n">
        <v>0</v>
      </c>
      <c r="N3233" s="14" t="n">
        <v>66828.23319977405</v>
      </c>
      <c r="O3233" s="14" t="n">
        <v>132365.9811457614</v>
      </c>
      <c r="P3233" s="14" t="n">
        <v>16579.10114300298</v>
      </c>
      <c r="Q3233" s="14" t="n">
        <v>405090.6965145334</v>
      </c>
      <c r="R3233" s="15">
        <f>IF(D3233=1,"Section 1","Control")</f>
        <v/>
      </c>
      <c r="S3233" s="16">
        <f>N3233/10000</f>
        <v/>
      </c>
      <c r="T3233" s="16">
        <f>P3233/10000</f>
        <v/>
      </c>
      <c r="U3233" s="15">
        <f>IF(N3233&gt;=Summary!$D$3,1,0)</f>
        <v/>
      </c>
      <c r="V3233" s="17">
        <f>IF(N3233&gt;0,P3233/N3233,"")</f>
        <v/>
      </c>
      <c r="W3233" s="17">
        <f>IF(O3233&gt;0,H3233/O3233,"")</f>
        <v/>
      </c>
    </row>
    <row r="3234">
      <c r="A3234" s="13" t="inlineStr">
        <is>
          <t>CW25_B2</t>
        </is>
      </c>
      <c r="B3234" s="13" t="inlineStr">
        <is>
          <t>CW25</t>
        </is>
      </c>
      <c r="C3234" s="13" t="inlineStr">
        <is>
          <t>B2</t>
        </is>
      </c>
      <c r="D3234" s="13" t="n">
        <v>0</v>
      </c>
      <c r="E3234" s="13" t="inlineStr">
        <is>
          <t>W</t>
        </is>
      </c>
      <c r="F3234" s="13" t="n">
        <v>2025</v>
      </c>
      <c r="G3234" s="14" t="n">
        <v>1000501.079781087</v>
      </c>
      <c r="H3234" s="14" t="n">
        <v>53824.20090753892</v>
      </c>
      <c r="I3234" s="14" t="n">
        <v>27507.01120629403</v>
      </c>
      <c r="J3234" s="14" t="n">
        <v>0</v>
      </c>
      <c r="K3234" s="14" t="n">
        <v>50433.76582521926</v>
      </c>
      <c r="L3234" s="14" t="n">
        <v>868736.1018420351</v>
      </c>
      <c r="M3234" s="14" t="n">
        <v>0</v>
      </c>
      <c r="N3234" s="14" t="n">
        <v>66828.23319977405</v>
      </c>
      <c r="O3234" s="14" t="n">
        <v>132365.9811457614</v>
      </c>
      <c r="P3234" s="14" t="n">
        <v>15908.14555278104</v>
      </c>
      <c r="Q3234" s="14" t="n">
        <v>405090.6965145334</v>
      </c>
      <c r="R3234" s="15">
        <f>IF(D3234=1,"Section 1","Control")</f>
        <v/>
      </c>
      <c r="S3234" s="16">
        <f>N3234/10000</f>
        <v/>
      </c>
      <c r="T3234" s="16">
        <f>P3234/10000</f>
        <v/>
      </c>
      <c r="U3234" s="15">
        <f>IF(N3234&gt;=Summary!$D$3,1,0)</f>
        <v/>
      </c>
      <c r="V3234" s="17">
        <f>IF(N3234&gt;0,P3234/N3234,"")</f>
        <v/>
      </c>
      <c r="W3234" s="17">
        <f>IF(O3234&gt;0,H3234/O3234,"")</f>
        <v/>
      </c>
    </row>
    <row r="3235">
      <c r="A3235" s="13" t="inlineStr">
        <is>
          <t>CW25_B2</t>
        </is>
      </c>
      <c r="B3235" s="13" t="inlineStr">
        <is>
          <t>CW25</t>
        </is>
      </c>
      <c r="C3235" s="13" t="inlineStr">
        <is>
          <t>B2</t>
        </is>
      </c>
      <c r="D3235" s="13" t="n">
        <v>0</v>
      </c>
      <c r="E3235" s="13" t="inlineStr">
        <is>
          <t>W</t>
        </is>
      </c>
      <c r="F3235" s="13" t="n">
        <v>2026</v>
      </c>
      <c r="G3235" s="14" t="n">
        <v>1000501.079781087</v>
      </c>
      <c r="H3235" s="14" t="n">
        <v>48208.77719585942</v>
      </c>
      <c r="I3235" s="14" t="n">
        <v>20266.47780076569</v>
      </c>
      <c r="J3235" s="14" t="n">
        <v>0</v>
      </c>
      <c r="K3235" s="14" t="n">
        <v>35197.34184477564</v>
      </c>
      <c r="L3235" s="14" t="n">
        <v>896828.4829396866</v>
      </c>
      <c r="M3235" s="14" t="n">
        <v>0</v>
      </c>
      <c r="N3235" s="14" t="n">
        <v>66828.23319977405</v>
      </c>
      <c r="O3235" s="14" t="n">
        <v>132365.9811457614</v>
      </c>
      <c r="P3235" s="14" t="n">
        <v>19136.70722614362</v>
      </c>
      <c r="Q3235" s="14" t="n">
        <v>405090.6965145334</v>
      </c>
      <c r="R3235" s="15">
        <f>IF(D3235=1,"Section 1","Control")</f>
        <v/>
      </c>
      <c r="S3235" s="16">
        <f>N3235/10000</f>
        <v/>
      </c>
      <c r="T3235" s="16">
        <f>P3235/10000</f>
        <v/>
      </c>
      <c r="U3235" s="15">
        <f>IF(N3235&gt;=Summary!$D$3,1,0)</f>
        <v/>
      </c>
      <c r="V3235" s="17">
        <f>IF(N3235&gt;0,P3235/N3235,"")</f>
        <v/>
      </c>
      <c r="W3235" s="17">
        <f>IF(O3235&gt;0,H3235/O3235,"")</f>
        <v/>
      </c>
    </row>
    <row r="3236">
      <c r="A3236" s="13" t="inlineStr">
        <is>
          <t>CW25_B3</t>
        </is>
      </c>
      <c r="B3236" s="13" t="inlineStr">
        <is>
          <t>CW25</t>
        </is>
      </c>
      <c r="C3236" s="13" t="inlineStr">
        <is>
          <t>B3</t>
        </is>
      </c>
      <c r="D3236" s="13" t="n">
        <v>0</v>
      </c>
      <c r="E3236" s="13" t="inlineStr">
        <is>
          <t>W</t>
        </is>
      </c>
      <c r="F3236" s="13" t="n">
        <v>2020</v>
      </c>
      <c r="G3236" s="14" t="n">
        <v>8003007.992026687</v>
      </c>
      <c r="H3236" s="14" t="n">
        <v>1891156.632185543</v>
      </c>
      <c r="I3236" s="14" t="n">
        <v>330541.7875470928</v>
      </c>
      <c r="J3236" s="14" t="n">
        <v>0</v>
      </c>
      <c r="K3236" s="14" t="n">
        <v>1779827.438988989</v>
      </c>
      <c r="L3236" s="14" t="n">
        <v>4001482.13330506</v>
      </c>
      <c r="M3236" s="14" t="n">
        <v>0</v>
      </c>
      <c r="N3236" s="14" t="n">
        <v>1891156.632185543</v>
      </c>
      <c r="O3236" s="14" t="n">
        <v>4001525.858721625</v>
      </c>
      <c r="P3236" s="14" t="n">
        <v>0</v>
      </c>
      <c r="Q3236" s="14" t="n">
        <v>29467119.69446662</v>
      </c>
      <c r="R3236" s="15">
        <f>IF(D3236=1,"Section 1","Control")</f>
        <v/>
      </c>
      <c r="S3236" s="16">
        <f>N3236/10000</f>
        <v/>
      </c>
      <c r="T3236" s="16">
        <f>P3236/10000</f>
        <v/>
      </c>
      <c r="U3236" s="15">
        <f>IF(N3236&gt;=Summary!$D$3,1,0)</f>
        <v/>
      </c>
      <c r="V3236" s="17">
        <f>IF(N3236&gt;0,P3236/N3236,"")</f>
        <v/>
      </c>
      <c r="W3236" s="17">
        <f>IF(O3236&gt;0,H3236/O3236,"")</f>
        <v/>
      </c>
    </row>
    <row r="3237">
      <c r="A3237" s="13" t="inlineStr">
        <is>
          <t>CW25_B3</t>
        </is>
      </c>
      <c r="B3237" s="13" t="inlineStr">
        <is>
          <t>CW25</t>
        </is>
      </c>
      <c r="C3237" s="13" t="inlineStr">
        <is>
          <t>B3</t>
        </is>
      </c>
      <c r="D3237" s="13" t="n">
        <v>0</v>
      </c>
      <c r="E3237" s="13" t="inlineStr">
        <is>
          <t>W</t>
        </is>
      </c>
      <c r="F3237" s="13" t="n">
        <v>2021</v>
      </c>
      <c r="G3237" s="14" t="n">
        <v>8003007.992026686</v>
      </c>
      <c r="H3237" s="14" t="n">
        <v>1297446.769125516</v>
      </c>
      <c r="I3237" s="14" t="n">
        <v>141082.3467972699</v>
      </c>
      <c r="J3237" s="14" t="n">
        <v>0</v>
      </c>
      <c r="K3237" s="14" t="n">
        <v>2562996.742798839</v>
      </c>
      <c r="L3237" s="14" t="n">
        <v>4001482.13330506</v>
      </c>
      <c r="M3237" s="14" t="n">
        <v>0</v>
      </c>
      <c r="N3237" s="14" t="n">
        <v>1891156.632185543</v>
      </c>
      <c r="O3237" s="14" t="n">
        <v>4001525.858721625</v>
      </c>
      <c r="P3237" s="14" t="n">
        <v>608120.5042463116</v>
      </c>
      <c r="Q3237" s="14" t="n">
        <v>29467119.69446663</v>
      </c>
      <c r="R3237" s="15">
        <f>IF(D3237=1,"Section 1","Control")</f>
        <v/>
      </c>
      <c r="S3237" s="16">
        <f>N3237/10000</f>
        <v/>
      </c>
      <c r="T3237" s="16">
        <f>P3237/10000</f>
        <v/>
      </c>
      <c r="U3237" s="15">
        <f>IF(N3237&gt;=Summary!$D$3,1,0)</f>
        <v/>
      </c>
      <c r="V3237" s="17">
        <f>IF(N3237&gt;0,P3237/N3237,"")</f>
        <v/>
      </c>
      <c r="W3237" s="17">
        <f>IF(O3237&gt;0,H3237/O3237,"")</f>
        <v/>
      </c>
    </row>
    <row r="3238">
      <c r="A3238" s="13" t="inlineStr">
        <is>
          <t>CW25_B3</t>
        </is>
      </c>
      <c r="B3238" s="13" t="inlineStr">
        <is>
          <t>CW25</t>
        </is>
      </c>
      <c r="C3238" s="13" t="inlineStr">
        <is>
          <t>B3</t>
        </is>
      </c>
      <c r="D3238" s="13" t="n">
        <v>0</v>
      </c>
      <c r="E3238" s="13" t="inlineStr">
        <is>
          <t>W</t>
        </is>
      </c>
      <c r="F3238" s="13" t="n">
        <v>2022</v>
      </c>
      <c r="G3238" s="14" t="n">
        <v>8003007.992026687</v>
      </c>
      <c r="H3238" s="14" t="n">
        <v>1189559.199864346</v>
      </c>
      <c r="I3238" s="14" t="n">
        <v>270615.7315888648</v>
      </c>
      <c r="J3238" s="14" t="n">
        <v>0</v>
      </c>
      <c r="K3238" s="14" t="n">
        <v>2541350.927268414</v>
      </c>
      <c r="L3238" s="14" t="n">
        <v>4001482.13330506</v>
      </c>
      <c r="M3238" s="14" t="n">
        <v>0</v>
      </c>
      <c r="N3238" s="14" t="n">
        <v>1891156.632185543</v>
      </c>
      <c r="O3238" s="14" t="n">
        <v>4001525.858721625</v>
      </c>
      <c r="P3238" s="14" t="n">
        <v>712261.6325195313</v>
      </c>
      <c r="Q3238" s="14" t="n">
        <v>29467119.69446663</v>
      </c>
      <c r="R3238" s="15">
        <f>IF(D3238=1,"Section 1","Control")</f>
        <v/>
      </c>
      <c r="S3238" s="16">
        <f>N3238/10000</f>
        <v/>
      </c>
      <c r="T3238" s="16">
        <f>P3238/10000</f>
        <v/>
      </c>
      <c r="U3238" s="15">
        <f>IF(N3238&gt;=Summary!$D$3,1,0)</f>
        <v/>
      </c>
      <c r="V3238" s="17">
        <f>IF(N3238&gt;0,P3238/N3238,"")</f>
        <v/>
      </c>
      <c r="W3238" s="17">
        <f>IF(O3238&gt;0,H3238/O3238,"")</f>
        <v/>
      </c>
    </row>
    <row r="3239">
      <c r="A3239" s="13" t="inlineStr">
        <is>
          <t>CW25_B3</t>
        </is>
      </c>
      <c r="B3239" s="13" t="inlineStr">
        <is>
          <t>CW25</t>
        </is>
      </c>
      <c r="C3239" s="13" t="inlineStr">
        <is>
          <t>B3</t>
        </is>
      </c>
      <c r="D3239" s="13" t="n">
        <v>0</v>
      </c>
      <c r="E3239" s="13" t="inlineStr">
        <is>
          <t>W</t>
        </is>
      </c>
      <c r="F3239" s="13" t="n">
        <v>2023</v>
      </c>
      <c r="G3239" s="14" t="n">
        <v>8003007.992026687</v>
      </c>
      <c r="H3239" s="14" t="n">
        <v>1159283.938511897</v>
      </c>
      <c r="I3239" s="14" t="n">
        <v>212916.7671134201</v>
      </c>
      <c r="J3239" s="14" t="n">
        <v>0</v>
      </c>
      <c r="K3239" s="14" t="n">
        <v>2629325.153096307</v>
      </c>
      <c r="L3239" s="14" t="n">
        <v>4001482.13330506</v>
      </c>
      <c r="M3239" s="14" t="n">
        <v>0</v>
      </c>
      <c r="N3239" s="14" t="n">
        <v>1891156.632185544</v>
      </c>
      <c r="O3239" s="14" t="n">
        <v>4001525.858721625</v>
      </c>
      <c r="P3239" s="14" t="n">
        <v>748543.4532416551</v>
      </c>
      <c r="Q3239" s="14" t="n">
        <v>29467119.69446662</v>
      </c>
      <c r="R3239" s="15">
        <f>IF(D3239=1,"Section 1","Control")</f>
        <v/>
      </c>
      <c r="S3239" s="16">
        <f>N3239/10000</f>
        <v/>
      </c>
      <c r="T3239" s="16">
        <f>P3239/10000</f>
        <v/>
      </c>
      <c r="U3239" s="15">
        <f>IF(N3239&gt;=Summary!$D$3,1,0)</f>
        <v/>
      </c>
      <c r="V3239" s="17">
        <f>IF(N3239&gt;0,P3239/N3239,"")</f>
        <v/>
      </c>
      <c r="W3239" s="17">
        <f>IF(O3239&gt;0,H3239/O3239,"")</f>
        <v/>
      </c>
    </row>
    <row r="3240">
      <c r="A3240" s="13" t="inlineStr">
        <is>
          <t>CW25_B3</t>
        </is>
      </c>
      <c r="B3240" s="13" t="inlineStr">
        <is>
          <t>CW25</t>
        </is>
      </c>
      <c r="C3240" s="13" t="inlineStr">
        <is>
          <t>B3</t>
        </is>
      </c>
      <c r="D3240" s="13" t="n">
        <v>0</v>
      </c>
      <c r="E3240" s="13" t="inlineStr">
        <is>
          <t>W</t>
        </is>
      </c>
      <c r="F3240" s="13" t="n">
        <v>2024</v>
      </c>
      <c r="G3240" s="14" t="n">
        <v>8003007.992026686</v>
      </c>
      <c r="H3240" s="14" t="n">
        <v>1171270.380510936</v>
      </c>
      <c r="I3240" s="14" t="n">
        <v>267672.1777888279</v>
      </c>
      <c r="J3240" s="14" t="n">
        <v>0</v>
      </c>
      <c r="K3240" s="14" t="n">
        <v>2562583.300421861</v>
      </c>
      <c r="L3240" s="14" t="n">
        <v>4001482.133305061</v>
      </c>
      <c r="M3240" s="14" t="n">
        <v>0</v>
      </c>
      <c r="N3240" s="14" t="n">
        <v>1891156.632185544</v>
      </c>
      <c r="O3240" s="14" t="n">
        <v>4001525.858721625</v>
      </c>
      <c r="P3240" s="14" t="n">
        <v>749250.6426046932</v>
      </c>
      <c r="Q3240" s="14" t="n">
        <v>29467119.69446662</v>
      </c>
      <c r="R3240" s="15">
        <f>IF(D3240=1,"Section 1","Control")</f>
        <v/>
      </c>
      <c r="S3240" s="16">
        <f>N3240/10000</f>
        <v/>
      </c>
      <c r="T3240" s="16">
        <f>P3240/10000</f>
        <v/>
      </c>
      <c r="U3240" s="15">
        <f>IF(N3240&gt;=Summary!$D$3,1,0)</f>
        <v/>
      </c>
      <c r="V3240" s="17">
        <f>IF(N3240&gt;0,P3240/N3240,"")</f>
        <v/>
      </c>
      <c r="W3240" s="17">
        <f>IF(O3240&gt;0,H3240/O3240,"")</f>
        <v/>
      </c>
    </row>
    <row r="3241">
      <c r="A3241" s="13" t="inlineStr">
        <is>
          <t>CW25_B3</t>
        </is>
      </c>
      <c r="B3241" s="13" t="inlineStr">
        <is>
          <t>CW25</t>
        </is>
      </c>
      <c r="C3241" s="13" t="inlineStr">
        <is>
          <t>B3</t>
        </is>
      </c>
      <c r="D3241" s="13" t="n">
        <v>0</v>
      </c>
      <c r="E3241" s="13" t="inlineStr">
        <is>
          <t>W</t>
        </is>
      </c>
      <c r="F3241" s="13" t="n">
        <v>2025</v>
      </c>
      <c r="G3241" s="14" t="n">
        <v>8003007.992026686</v>
      </c>
      <c r="H3241" s="14" t="n">
        <v>1153959.183159293</v>
      </c>
      <c r="I3241" s="14" t="n">
        <v>371659.4487718769</v>
      </c>
      <c r="J3241" s="14" t="n">
        <v>0</v>
      </c>
      <c r="K3241" s="14" t="n">
        <v>2475907.226790454</v>
      </c>
      <c r="L3241" s="14" t="n">
        <v>4001482.13330506</v>
      </c>
      <c r="M3241" s="14" t="n">
        <v>0</v>
      </c>
      <c r="N3241" s="14" t="n">
        <v>1891156.632185543</v>
      </c>
      <c r="O3241" s="14" t="n">
        <v>4001525.858721625</v>
      </c>
      <c r="P3241" s="14" t="n">
        <v>765036.4683257159</v>
      </c>
      <c r="Q3241" s="14" t="n">
        <v>29467119.69446662</v>
      </c>
      <c r="R3241" s="15">
        <f>IF(D3241=1,"Section 1","Control")</f>
        <v/>
      </c>
      <c r="S3241" s="16">
        <f>N3241/10000</f>
        <v/>
      </c>
      <c r="T3241" s="16">
        <f>P3241/10000</f>
        <v/>
      </c>
      <c r="U3241" s="15">
        <f>IF(N3241&gt;=Summary!$D$3,1,0)</f>
        <v/>
      </c>
      <c r="V3241" s="17">
        <f>IF(N3241&gt;0,P3241/N3241,"")</f>
        <v/>
      </c>
      <c r="W3241" s="17">
        <f>IF(O3241&gt;0,H3241/O3241,"")</f>
        <v/>
      </c>
    </row>
    <row r="3242">
      <c r="A3242" s="13" t="inlineStr">
        <is>
          <t>CW25_B3</t>
        </is>
      </c>
      <c r="B3242" s="13" t="inlineStr">
        <is>
          <t>CW25</t>
        </is>
      </c>
      <c r="C3242" s="13" t="inlineStr">
        <is>
          <t>B3</t>
        </is>
      </c>
      <c r="D3242" s="13" t="n">
        <v>0</v>
      </c>
      <c r="E3242" s="13" t="inlineStr">
        <is>
          <t>W</t>
        </is>
      </c>
      <c r="F3242" s="13" t="n">
        <v>2026</v>
      </c>
      <c r="G3242" s="14" t="n">
        <v>8003007.992026687</v>
      </c>
      <c r="H3242" s="14" t="n">
        <v>1144682.304103208</v>
      </c>
      <c r="I3242" s="14" t="n">
        <v>243686.0700214161</v>
      </c>
      <c r="J3242" s="14" t="n">
        <v>0</v>
      </c>
      <c r="K3242" s="14" t="n">
        <v>2613121.091399668</v>
      </c>
      <c r="L3242" s="14" t="n">
        <v>4001518.526502393</v>
      </c>
      <c r="M3242" s="14" t="n">
        <v>0</v>
      </c>
      <c r="N3242" s="14" t="n">
        <v>1891156.632185544</v>
      </c>
      <c r="O3242" s="14" t="n">
        <v>4001525.858721625</v>
      </c>
      <c r="P3242" s="14" t="n">
        <v>785166.4341260125</v>
      </c>
      <c r="Q3242" s="14" t="n">
        <v>29467119.69446662</v>
      </c>
      <c r="R3242" s="15">
        <f>IF(D3242=1,"Section 1","Control")</f>
        <v/>
      </c>
      <c r="S3242" s="16">
        <f>N3242/10000</f>
        <v/>
      </c>
      <c r="T3242" s="16">
        <f>P3242/10000</f>
        <v/>
      </c>
      <c r="U3242" s="15">
        <f>IF(N3242&gt;=Summary!$D$3,1,0)</f>
        <v/>
      </c>
      <c r="V3242" s="17">
        <f>IF(N3242&gt;0,P3242/N3242,"")</f>
        <v/>
      </c>
      <c r="W3242" s="17">
        <f>IF(O3242&gt;0,H3242/O3242,"")</f>
        <v/>
      </c>
    </row>
    <row r="3243">
      <c r="A3243" s="13" t="inlineStr">
        <is>
          <t>CW25_F</t>
        </is>
      </c>
      <c r="B3243" s="13" t="inlineStr">
        <is>
          <t>CW25</t>
        </is>
      </c>
      <c r="C3243" s="13" t="inlineStr">
        <is>
          <t>F</t>
        </is>
      </c>
      <c r="D3243" s="13" t="n">
        <v>0</v>
      </c>
      <c r="E3243" s="13" t="inlineStr">
        <is>
          <t>W</t>
        </is>
      </c>
      <c r="F3243" s="13" t="n">
        <v>2020</v>
      </c>
      <c r="G3243" s="14" t="n">
        <v>69281.50668903426</v>
      </c>
      <c r="H3243" s="14" t="n">
        <v>61004.22785871915</v>
      </c>
      <c r="I3243" s="14" t="n">
        <v>8251.338545137291</v>
      </c>
      <c r="J3243" s="14" t="n">
        <v>0</v>
      </c>
      <c r="K3243" s="14" t="n">
        <v>25.94028517779181</v>
      </c>
      <c r="L3243" s="14" t="n">
        <v>0</v>
      </c>
      <c r="M3243" s="14" t="n">
        <v>0</v>
      </c>
      <c r="N3243" s="14" t="n">
        <v>61004.22785871915</v>
      </c>
      <c r="O3243" s="14" t="n">
        <v>69281.50668903426</v>
      </c>
      <c r="P3243" s="14" t="n">
        <v>0</v>
      </c>
      <c r="Q3243" s="14" t="n">
        <v>434622.4036095712</v>
      </c>
      <c r="R3243" s="15">
        <f>IF(D3243=1,"Section 1","Control")</f>
        <v/>
      </c>
      <c r="S3243" s="16">
        <f>N3243/10000</f>
        <v/>
      </c>
      <c r="T3243" s="16">
        <f>P3243/10000</f>
        <v/>
      </c>
      <c r="U3243" s="15">
        <f>IF(N3243&gt;=Summary!$D$3,1,0)</f>
        <v/>
      </c>
      <c r="V3243" s="17">
        <f>IF(N3243&gt;0,P3243/N3243,"")</f>
        <v/>
      </c>
      <c r="W3243" s="17">
        <f>IF(O3243&gt;0,H3243/O3243,"")</f>
        <v/>
      </c>
    </row>
    <row r="3244">
      <c r="A3244" s="13" t="inlineStr">
        <is>
          <t>CW25_F</t>
        </is>
      </c>
      <c r="B3244" s="13" t="inlineStr">
        <is>
          <t>CW25</t>
        </is>
      </c>
      <c r="C3244" s="13" t="inlineStr">
        <is>
          <t>F</t>
        </is>
      </c>
      <c r="D3244" s="13" t="n">
        <v>0</v>
      </c>
      <c r="E3244" s="13" t="inlineStr">
        <is>
          <t>W</t>
        </is>
      </c>
      <c r="F3244" s="13" t="n">
        <v>2021</v>
      </c>
      <c r="G3244" s="14" t="n">
        <v>69281.50668903426</v>
      </c>
      <c r="H3244" s="14" t="n">
        <v>60548.14236136044</v>
      </c>
      <c r="I3244" s="14" t="n">
        <v>4268.923643882602</v>
      </c>
      <c r="J3244" s="14" t="n">
        <v>0</v>
      </c>
      <c r="K3244" s="14" t="n">
        <v>4452.051293855556</v>
      </c>
      <c r="L3244" s="14" t="n">
        <v>12.38938993566176</v>
      </c>
      <c r="M3244" s="14" t="n">
        <v>0</v>
      </c>
      <c r="N3244" s="14" t="n">
        <v>61004.22785871915</v>
      </c>
      <c r="O3244" s="14" t="n">
        <v>69281.50668903426</v>
      </c>
      <c r="P3244" s="14" t="n">
        <v>3312.6144977046</v>
      </c>
      <c r="Q3244" s="14" t="n">
        <v>434622.4036095712</v>
      </c>
      <c r="R3244" s="15">
        <f>IF(D3244=1,"Section 1","Control")</f>
        <v/>
      </c>
      <c r="S3244" s="16">
        <f>N3244/10000</f>
        <v/>
      </c>
      <c r="T3244" s="16">
        <f>P3244/10000</f>
        <v/>
      </c>
      <c r="U3244" s="15">
        <f>IF(N3244&gt;=Summary!$D$3,1,0)</f>
        <v/>
      </c>
      <c r="V3244" s="17">
        <f>IF(N3244&gt;0,P3244/N3244,"")</f>
        <v/>
      </c>
      <c r="W3244" s="17">
        <f>IF(O3244&gt;0,H3244/O3244,"")</f>
        <v/>
      </c>
    </row>
    <row r="3245">
      <c r="A3245" s="13" t="inlineStr">
        <is>
          <t>CW25_F</t>
        </is>
      </c>
      <c r="B3245" s="13" t="inlineStr">
        <is>
          <t>CW25</t>
        </is>
      </c>
      <c r="C3245" s="13" t="inlineStr">
        <is>
          <t>F</t>
        </is>
      </c>
      <c r="D3245" s="13" t="n">
        <v>0</v>
      </c>
      <c r="E3245" s="13" t="inlineStr">
        <is>
          <t>W</t>
        </is>
      </c>
      <c r="F3245" s="13" t="n">
        <v>2022</v>
      </c>
      <c r="G3245" s="14" t="n">
        <v>69281.50668903426</v>
      </c>
      <c r="H3245" s="14" t="n">
        <v>55066.99702396767</v>
      </c>
      <c r="I3245" s="14" t="n">
        <v>10922.80257514505</v>
      </c>
      <c r="J3245" s="14" t="n">
        <v>0</v>
      </c>
      <c r="K3245" s="14" t="n">
        <v>3291.707089921541</v>
      </c>
      <c r="L3245" s="14" t="n">
        <v>0</v>
      </c>
      <c r="M3245" s="14" t="n">
        <v>0</v>
      </c>
      <c r="N3245" s="14" t="n">
        <v>61004.22785871915</v>
      </c>
      <c r="O3245" s="14" t="n">
        <v>69281.50668903426</v>
      </c>
      <c r="P3245" s="14" t="n">
        <v>7191.269985243855</v>
      </c>
      <c r="Q3245" s="14" t="n">
        <v>434622.4036095712</v>
      </c>
      <c r="R3245" s="15">
        <f>IF(D3245=1,"Section 1","Control")</f>
        <v/>
      </c>
      <c r="S3245" s="16">
        <f>N3245/10000</f>
        <v/>
      </c>
      <c r="T3245" s="16">
        <f>P3245/10000</f>
        <v/>
      </c>
      <c r="U3245" s="15">
        <f>IF(N3245&gt;=Summary!$D$3,1,0)</f>
        <v/>
      </c>
      <c r="V3245" s="17">
        <f>IF(N3245&gt;0,P3245/N3245,"")</f>
        <v/>
      </c>
      <c r="W3245" s="17">
        <f>IF(O3245&gt;0,H3245/O3245,"")</f>
        <v/>
      </c>
    </row>
    <row r="3246">
      <c r="A3246" s="13" t="inlineStr">
        <is>
          <t>CW25_F</t>
        </is>
      </c>
      <c r="B3246" s="13" t="inlineStr">
        <is>
          <t>CW25</t>
        </is>
      </c>
      <c r="C3246" s="13" t="inlineStr">
        <is>
          <t>F</t>
        </is>
      </c>
      <c r="D3246" s="13" t="n">
        <v>0</v>
      </c>
      <c r="E3246" s="13" t="inlineStr">
        <is>
          <t>W</t>
        </is>
      </c>
      <c r="F3246" s="13" t="n">
        <v>2023</v>
      </c>
      <c r="G3246" s="14" t="n">
        <v>69281.50668903426</v>
      </c>
      <c r="H3246" s="14" t="n">
        <v>60405.27773883296</v>
      </c>
      <c r="I3246" s="14" t="n">
        <v>5778.8805200315</v>
      </c>
      <c r="J3246" s="14" t="n">
        <v>0</v>
      </c>
      <c r="K3246" s="14" t="n">
        <v>3001.33065816842</v>
      </c>
      <c r="L3246" s="14" t="n">
        <v>96.01777200137867</v>
      </c>
      <c r="M3246" s="14" t="n">
        <v>0</v>
      </c>
      <c r="N3246" s="14" t="n">
        <v>61004.22785871915</v>
      </c>
      <c r="O3246" s="14" t="n">
        <v>69281.50668903426</v>
      </c>
      <c r="P3246" s="14" t="n">
        <v>3500.778167066389</v>
      </c>
      <c r="Q3246" s="14" t="n">
        <v>434622.4036095712</v>
      </c>
      <c r="R3246" s="15">
        <f>IF(D3246=1,"Section 1","Control")</f>
        <v/>
      </c>
      <c r="S3246" s="16">
        <f>N3246/10000</f>
        <v/>
      </c>
      <c r="T3246" s="16">
        <f>P3246/10000</f>
        <v/>
      </c>
      <c r="U3246" s="15">
        <f>IF(N3246&gt;=Summary!$D$3,1,0)</f>
        <v/>
      </c>
      <c r="V3246" s="17">
        <f>IF(N3246&gt;0,P3246/N3246,"")</f>
        <v/>
      </c>
      <c r="W3246" s="17">
        <f>IF(O3246&gt;0,H3246/O3246,"")</f>
        <v/>
      </c>
    </row>
    <row r="3247">
      <c r="A3247" s="13" t="inlineStr">
        <is>
          <t>CW25_F</t>
        </is>
      </c>
      <c r="B3247" s="13" t="inlineStr">
        <is>
          <t>CW25</t>
        </is>
      </c>
      <c r="C3247" s="13" t="inlineStr">
        <is>
          <t>F</t>
        </is>
      </c>
      <c r="D3247" s="13" t="n">
        <v>0</v>
      </c>
      <c r="E3247" s="13" t="inlineStr">
        <is>
          <t>W</t>
        </is>
      </c>
      <c r="F3247" s="13" t="n">
        <v>2024</v>
      </c>
      <c r="G3247" s="14" t="n">
        <v>69281.50668903426</v>
      </c>
      <c r="H3247" s="14" t="n">
        <v>63381.0559491625</v>
      </c>
      <c r="I3247" s="14" t="n">
        <v>3111.675553684609</v>
      </c>
      <c r="J3247" s="14" t="n">
        <v>0</v>
      </c>
      <c r="K3247" s="14" t="n">
        <v>2788.775186187146</v>
      </c>
      <c r="L3247" s="14" t="n">
        <v>0</v>
      </c>
      <c r="M3247" s="14" t="n">
        <v>0</v>
      </c>
      <c r="N3247" s="14" t="n">
        <v>61004.22785871915</v>
      </c>
      <c r="O3247" s="14" t="n">
        <v>69281.50668903426</v>
      </c>
      <c r="P3247" s="14" t="n">
        <v>2684.239793904623</v>
      </c>
      <c r="Q3247" s="14" t="n">
        <v>434622.4036095712</v>
      </c>
      <c r="R3247" s="15">
        <f>IF(D3247=1,"Section 1","Control")</f>
        <v/>
      </c>
      <c r="S3247" s="16">
        <f>N3247/10000</f>
        <v/>
      </c>
      <c r="T3247" s="16">
        <f>P3247/10000</f>
        <v/>
      </c>
      <c r="U3247" s="15">
        <f>IF(N3247&gt;=Summary!$D$3,1,0)</f>
        <v/>
      </c>
      <c r="V3247" s="17">
        <f>IF(N3247&gt;0,P3247/N3247,"")</f>
        <v/>
      </c>
      <c r="W3247" s="17">
        <f>IF(O3247&gt;0,H3247/O3247,"")</f>
        <v/>
      </c>
    </row>
    <row r="3248">
      <c r="A3248" s="13" t="inlineStr">
        <is>
          <t>CW25_F</t>
        </is>
      </c>
      <c r="B3248" s="13" t="inlineStr">
        <is>
          <t>CW25</t>
        </is>
      </c>
      <c r="C3248" s="13" t="inlineStr">
        <is>
          <t>F</t>
        </is>
      </c>
      <c r="D3248" s="13" t="n">
        <v>0</v>
      </c>
      <c r="E3248" s="13" t="inlineStr">
        <is>
          <t>W</t>
        </is>
      </c>
      <c r="F3248" s="13" t="n">
        <v>2025</v>
      </c>
      <c r="G3248" s="14" t="n">
        <v>69281.50668903426</v>
      </c>
      <c r="H3248" s="14" t="n">
        <v>60096.31815589456</v>
      </c>
      <c r="I3248" s="14" t="n">
        <v>6140.881865348068</v>
      </c>
      <c r="J3248" s="14" t="n">
        <v>0</v>
      </c>
      <c r="K3248" s="14" t="n">
        <v>3044.306667791629</v>
      </c>
      <c r="L3248" s="14" t="n">
        <v>0</v>
      </c>
      <c r="M3248" s="14" t="n">
        <v>0</v>
      </c>
      <c r="N3248" s="14" t="n">
        <v>61004.22785871915</v>
      </c>
      <c r="O3248" s="14" t="n">
        <v>69281.50668903426</v>
      </c>
      <c r="P3248" s="14" t="n">
        <v>2909.958942188937</v>
      </c>
      <c r="Q3248" s="14" t="n">
        <v>434622.4036095712</v>
      </c>
      <c r="R3248" s="15">
        <f>IF(D3248=1,"Section 1","Control")</f>
        <v/>
      </c>
      <c r="S3248" s="16">
        <f>N3248/10000</f>
        <v/>
      </c>
      <c r="T3248" s="16">
        <f>P3248/10000</f>
        <v/>
      </c>
      <c r="U3248" s="15">
        <f>IF(N3248&gt;=Summary!$D$3,1,0)</f>
        <v/>
      </c>
      <c r="V3248" s="17">
        <f>IF(N3248&gt;0,P3248/N3248,"")</f>
        <v/>
      </c>
      <c r="W3248" s="17">
        <f>IF(O3248&gt;0,H3248/O3248,"")</f>
        <v/>
      </c>
    </row>
    <row r="3249">
      <c r="A3249" s="13" t="inlineStr">
        <is>
          <t>CW25_F</t>
        </is>
      </c>
      <c r="B3249" s="13" t="inlineStr">
        <is>
          <t>CW25</t>
        </is>
      </c>
      <c r="C3249" s="13" t="inlineStr">
        <is>
          <t>F</t>
        </is>
      </c>
      <c r="D3249" s="13" t="n">
        <v>0</v>
      </c>
      <c r="E3249" s="13" t="inlineStr">
        <is>
          <t>W</t>
        </is>
      </c>
      <c r="F3249" s="13" t="n">
        <v>2026</v>
      </c>
      <c r="G3249" s="14" t="n">
        <v>69281.50668903424</v>
      </c>
      <c r="H3249" s="14" t="n">
        <v>63559.15589533786</v>
      </c>
      <c r="I3249" s="14" t="n">
        <v>2554.537294903924</v>
      </c>
      <c r="J3249" s="14" t="n">
        <v>0</v>
      </c>
      <c r="K3249" s="14" t="n">
        <v>3167.813498792462</v>
      </c>
      <c r="L3249" s="14" t="n">
        <v>0</v>
      </c>
      <c r="M3249" s="14" t="n">
        <v>0</v>
      </c>
      <c r="N3249" s="14" t="n">
        <v>61004.22785871915</v>
      </c>
      <c r="O3249" s="14" t="n">
        <v>69281.50668903424</v>
      </c>
      <c r="P3249" s="14" t="n">
        <v>3340.877235412599</v>
      </c>
      <c r="Q3249" s="14" t="n">
        <v>434622.4036095712</v>
      </c>
      <c r="R3249" s="15">
        <f>IF(D3249=1,"Section 1","Control")</f>
        <v/>
      </c>
      <c r="S3249" s="16">
        <f>N3249/10000</f>
        <v/>
      </c>
      <c r="T3249" s="16">
        <f>P3249/10000</f>
        <v/>
      </c>
      <c r="U3249" s="15">
        <f>IF(N3249&gt;=Summary!$D$3,1,0)</f>
        <v/>
      </c>
      <c r="V3249" s="17">
        <f>IF(N3249&gt;0,P3249/N3249,"")</f>
        <v/>
      </c>
      <c r="W3249" s="17">
        <f>IF(O3249&gt;0,H3249/O3249,"")</f>
        <v/>
      </c>
    </row>
    <row r="3250">
      <c r="A3250" s="13" t="inlineStr">
        <is>
          <t>CW26_B1</t>
        </is>
      </c>
      <c r="B3250" s="13" t="inlineStr">
        <is>
          <t>CW26</t>
        </is>
      </c>
      <c r="C3250" s="13" t="inlineStr">
        <is>
          <t>B1</t>
        </is>
      </c>
      <c r="D3250" s="13" t="n">
        <v>0</v>
      </c>
      <c r="E3250" s="13" t="inlineStr">
        <is>
          <t>W</t>
        </is>
      </c>
      <c r="F3250" s="13" t="n">
        <v>2020</v>
      </c>
      <c r="G3250" s="14" t="n">
        <v>976114.5720745012</v>
      </c>
      <c r="H3250" s="14" t="n">
        <v>375237.2024044262</v>
      </c>
      <c r="I3250" s="14" t="n">
        <v>246312.9820147945</v>
      </c>
      <c r="J3250" s="14" t="n">
        <v>0</v>
      </c>
      <c r="K3250" s="14" t="n">
        <v>40742.42526071586</v>
      </c>
      <c r="L3250" s="14" t="n">
        <v>313821.9623945648</v>
      </c>
      <c r="M3250" s="14" t="n">
        <v>0</v>
      </c>
      <c r="N3250" s="14" t="n">
        <v>375237.2024044262</v>
      </c>
      <c r="O3250" s="14" t="n">
        <v>662292.6096799367</v>
      </c>
      <c r="P3250" s="14" t="n">
        <v>0</v>
      </c>
      <c r="Q3250" s="14" t="n">
        <v>4616193.984305977</v>
      </c>
      <c r="R3250" s="15">
        <f>IF(D3250=1,"Section 1","Control")</f>
        <v/>
      </c>
      <c r="S3250" s="16">
        <f>N3250/10000</f>
        <v/>
      </c>
      <c r="T3250" s="16">
        <f>P3250/10000</f>
        <v/>
      </c>
      <c r="U3250" s="15">
        <f>IF(N3250&gt;=Summary!$D$3,1,0)</f>
        <v/>
      </c>
      <c r="V3250" s="17">
        <f>IF(N3250&gt;0,P3250/N3250,"")</f>
        <v/>
      </c>
      <c r="W3250" s="17">
        <f>IF(O3250&gt;0,H3250/O3250,"")</f>
        <v/>
      </c>
    </row>
    <row r="3251">
      <c r="A3251" s="13" t="inlineStr">
        <is>
          <t>CW26_B1</t>
        </is>
      </c>
      <c r="B3251" s="13" t="inlineStr">
        <is>
          <t>CW26</t>
        </is>
      </c>
      <c r="C3251" s="13" t="inlineStr">
        <is>
          <t>B1</t>
        </is>
      </c>
      <c r="D3251" s="13" t="n">
        <v>0</v>
      </c>
      <c r="E3251" s="13" t="inlineStr">
        <is>
          <t>W</t>
        </is>
      </c>
      <c r="F3251" s="13" t="n">
        <v>2021</v>
      </c>
      <c r="G3251" s="14" t="n">
        <v>976114.5720745012</v>
      </c>
      <c r="H3251" s="14" t="n">
        <v>344648.6115389056</v>
      </c>
      <c r="I3251" s="14" t="n">
        <v>236732.5077275595</v>
      </c>
      <c r="J3251" s="14" t="n">
        <v>0</v>
      </c>
      <c r="K3251" s="14" t="n">
        <v>92657.84353742412</v>
      </c>
      <c r="L3251" s="14" t="n">
        <v>302075.6092706119</v>
      </c>
      <c r="M3251" s="14" t="n">
        <v>0</v>
      </c>
      <c r="N3251" s="14" t="n">
        <v>375237.2024044262</v>
      </c>
      <c r="O3251" s="14" t="n">
        <v>662292.6096799367</v>
      </c>
      <c r="P3251" s="14" t="n">
        <v>48092.87044710646</v>
      </c>
      <c r="Q3251" s="14" t="n">
        <v>4616193.984305977</v>
      </c>
      <c r="R3251" s="15">
        <f>IF(D3251=1,"Section 1","Control")</f>
        <v/>
      </c>
      <c r="S3251" s="16">
        <f>N3251/10000</f>
        <v/>
      </c>
      <c r="T3251" s="16">
        <f>P3251/10000</f>
        <v/>
      </c>
      <c r="U3251" s="15">
        <f>IF(N3251&gt;=Summary!$D$3,1,0)</f>
        <v/>
      </c>
      <c r="V3251" s="17">
        <f>IF(N3251&gt;0,P3251/N3251,"")</f>
        <v/>
      </c>
      <c r="W3251" s="17">
        <f>IF(O3251&gt;0,H3251/O3251,"")</f>
        <v/>
      </c>
    </row>
    <row r="3252">
      <c r="A3252" s="13" t="inlineStr">
        <is>
          <t>CW26_B1</t>
        </is>
      </c>
      <c r="B3252" s="13" t="inlineStr">
        <is>
          <t>CW26</t>
        </is>
      </c>
      <c r="C3252" s="13" t="inlineStr">
        <is>
          <t>B1</t>
        </is>
      </c>
      <c r="D3252" s="13" t="n">
        <v>0</v>
      </c>
      <c r="E3252" s="13" t="inlineStr">
        <is>
          <t>W</t>
        </is>
      </c>
      <c r="F3252" s="13" t="n">
        <v>2022</v>
      </c>
      <c r="G3252" s="14" t="n">
        <v>976114.5720745012</v>
      </c>
      <c r="H3252" s="14" t="n">
        <v>336887.0553298949</v>
      </c>
      <c r="I3252" s="14" t="n">
        <v>256757.6451053993</v>
      </c>
      <c r="J3252" s="14" t="n">
        <v>0</v>
      </c>
      <c r="K3252" s="14" t="n">
        <v>124456.2885558783</v>
      </c>
      <c r="L3252" s="14" t="n">
        <v>258013.5830833285</v>
      </c>
      <c r="M3252" s="14" t="n">
        <v>0</v>
      </c>
      <c r="N3252" s="14" t="n">
        <v>375237.2024044262</v>
      </c>
      <c r="O3252" s="14" t="n">
        <v>662292.6096799367</v>
      </c>
      <c r="P3252" s="14" t="n">
        <v>54143.14649825751</v>
      </c>
      <c r="Q3252" s="14" t="n">
        <v>4616193.984305977</v>
      </c>
      <c r="R3252" s="15">
        <f>IF(D3252=1,"Section 1","Control")</f>
        <v/>
      </c>
      <c r="S3252" s="16">
        <f>N3252/10000</f>
        <v/>
      </c>
      <c r="T3252" s="16">
        <f>P3252/10000</f>
        <v/>
      </c>
      <c r="U3252" s="15">
        <f>IF(N3252&gt;=Summary!$D$3,1,0)</f>
        <v/>
      </c>
      <c r="V3252" s="17">
        <f>IF(N3252&gt;0,P3252/N3252,"")</f>
        <v/>
      </c>
      <c r="W3252" s="17">
        <f>IF(O3252&gt;0,H3252/O3252,"")</f>
        <v/>
      </c>
    </row>
    <row r="3253">
      <c r="A3253" s="13" t="inlineStr">
        <is>
          <t>CW26_B1</t>
        </is>
      </c>
      <c r="B3253" s="13" t="inlineStr">
        <is>
          <t>CW26</t>
        </is>
      </c>
      <c r="C3253" s="13" t="inlineStr">
        <is>
          <t>B1</t>
        </is>
      </c>
      <c r="D3253" s="13" t="n">
        <v>0</v>
      </c>
      <c r="E3253" s="13" t="inlineStr">
        <is>
          <t>W</t>
        </is>
      </c>
      <c r="F3253" s="13" t="n">
        <v>2023</v>
      </c>
      <c r="G3253" s="14" t="n">
        <v>976114.5720745012</v>
      </c>
      <c r="H3253" s="14" t="n">
        <v>338478.3114853802</v>
      </c>
      <c r="I3253" s="14" t="n">
        <v>232832.4916464712</v>
      </c>
      <c r="J3253" s="14" t="n">
        <v>0</v>
      </c>
      <c r="K3253" s="14" t="n">
        <v>72592.5147907631</v>
      </c>
      <c r="L3253" s="14" t="n">
        <v>332211.2541518866</v>
      </c>
      <c r="M3253" s="14" t="n">
        <v>0</v>
      </c>
      <c r="N3253" s="14" t="n">
        <v>375237.2024044262</v>
      </c>
      <c r="O3253" s="14" t="n">
        <v>662292.6096799367</v>
      </c>
      <c r="P3253" s="14" t="n">
        <v>56166.10979964313</v>
      </c>
      <c r="Q3253" s="14" t="n">
        <v>4616193.984305977</v>
      </c>
      <c r="R3253" s="15">
        <f>IF(D3253=1,"Section 1","Control")</f>
        <v/>
      </c>
      <c r="S3253" s="16">
        <f>N3253/10000</f>
        <v/>
      </c>
      <c r="T3253" s="16">
        <f>P3253/10000</f>
        <v/>
      </c>
      <c r="U3253" s="15">
        <f>IF(N3253&gt;=Summary!$D$3,1,0)</f>
        <v/>
      </c>
      <c r="V3253" s="17">
        <f>IF(N3253&gt;0,P3253/N3253,"")</f>
        <v/>
      </c>
      <c r="W3253" s="17">
        <f>IF(O3253&gt;0,H3253/O3253,"")</f>
        <v/>
      </c>
    </row>
    <row r="3254">
      <c r="A3254" s="13" t="inlineStr">
        <is>
          <t>CW26_B1</t>
        </is>
      </c>
      <c r="B3254" s="13" t="inlineStr">
        <is>
          <t>CW26</t>
        </is>
      </c>
      <c r="C3254" s="13" t="inlineStr">
        <is>
          <t>B1</t>
        </is>
      </c>
      <c r="D3254" s="13" t="n">
        <v>0</v>
      </c>
      <c r="E3254" s="13" t="inlineStr">
        <is>
          <t>W</t>
        </is>
      </c>
      <c r="F3254" s="13" t="n">
        <v>2024</v>
      </c>
      <c r="G3254" s="14" t="n">
        <v>976114.5720745012</v>
      </c>
      <c r="H3254" s="14" t="n">
        <v>372215.4625853893</v>
      </c>
      <c r="I3254" s="14" t="n">
        <v>195007.9787657195</v>
      </c>
      <c r="J3254" s="14" t="n">
        <v>0</v>
      </c>
      <c r="K3254" s="14" t="n">
        <v>73640.94670090021</v>
      </c>
      <c r="L3254" s="14" t="n">
        <v>335250.184022492</v>
      </c>
      <c r="M3254" s="14" t="n">
        <v>0</v>
      </c>
      <c r="N3254" s="14" t="n">
        <v>375237.2024044262</v>
      </c>
      <c r="O3254" s="14" t="n">
        <v>662292.6096799367</v>
      </c>
      <c r="P3254" s="14" t="n">
        <v>48233.78736715878</v>
      </c>
      <c r="Q3254" s="14" t="n">
        <v>4616193.984305977</v>
      </c>
      <c r="R3254" s="15">
        <f>IF(D3254=1,"Section 1","Control")</f>
        <v/>
      </c>
      <c r="S3254" s="16">
        <f>N3254/10000</f>
        <v/>
      </c>
      <c r="T3254" s="16">
        <f>P3254/10000</f>
        <v/>
      </c>
      <c r="U3254" s="15">
        <f>IF(N3254&gt;=Summary!$D$3,1,0)</f>
        <v/>
      </c>
      <c r="V3254" s="17">
        <f>IF(N3254&gt;0,P3254/N3254,"")</f>
        <v/>
      </c>
      <c r="W3254" s="17">
        <f>IF(O3254&gt;0,H3254/O3254,"")</f>
        <v/>
      </c>
    </row>
    <row r="3255">
      <c r="A3255" s="13" t="inlineStr">
        <is>
          <t>CW26_B1</t>
        </is>
      </c>
      <c r="B3255" s="13" t="inlineStr">
        <is>
          <t>CW26</t>
        </is>
      </c>
      <c r="C3255" s="13" t="inlineStr">
        <is>
          <t>B1</t>
        </is>
      </c>
      <c r="D3255" s="13" t="n">
        <v>0</v>
      </c>
      <c r="E3255" s="13" t="inlineStr">
        <is>
          <t>W</t>
        </is>
      </c>
      <c r="F3255" s="13" t="n">
        <v>2025</v>
      </c>
      <c r="G3255" s="14" t="n">
        <v>976114.5720745012</v>
      </c>
      <c r="H3255" s="14" t="n">
        <v>369868.8020222682</v>
      </c>
      <c r="I3255" s="14" t="n">
        <v>198018.6076263128</v>
      </c>
      <c r="J3255" s="14" t="n">
        <v>0</v>
      </c>
      <c r="K3255" s="14" t="n">
        <v>82171.82382938161</v>
      </c>
      <c r="L3255" s="14" t="n">
        <v>326055.3385965385</v>
      </c>
      <c r="M3255" s="14" t="n">
        <v>0</v>
      </c>
      <c r="N3255" s="14" t="n">
        <v>375237.2024044262</v>
      </c>
      <c r="O3255" s="14" t="n">
        <v>662292.6096799367</v>
      </c>
      <c r="P3255" s="14" t="n">
        <v>47347.95848921234</v>
      </c>
      <c r="Q3255" s="14" t="n">
        <v>4616193.984305977</v>
      </c>
      <c r="R3255" s="15">
        <f>IF(D3255=1,"Section 1","Control")</f>
        <v/>
      </c>
      <c r="S3255" s="16">
        <f>N3255/10000</f>
        <v/>
      </c>
      <c r="T3255" s="16">
        <f>P3255/10000</f>
        <v/>
      </c>
      <c r="U3255" s="15">
        <f>IF(N3255&gt;=Summary!$D$3,1,0)</f>
        <v/>
      </c>
      <c r="V3255" s="17">
        <f>IF(N3255&gt;0,P3255/N3255,"")</f>
        <v/>
      </c>
      <c r="W3255" s="17">
        <f>IF(O3255&gt;0,H3255/O3255,"")</f>
        <v/>
      </c>
    </row>
    <row r="3256">
      <c r="A3256" s="13" t="inlineStr">
        <is>
          <t>CW26_B1</t>
        </is>
      </c>
      <c r="B3256" s="13" t="inlineStr">
        <is>
          <t>CW26</t>
        </is>
      </c>
      <c r="C3256" s="13" t="inlineStr">
        <is>
          <t>B1</t>
        </is>
      </c>
      <c r="D3256" s="13" t="n">
        <v>0</v>
      </c>
      <c r="E3256" s="13" t="inlineStr">
        <is>
          <t>W</t>
        </is>
      </c>
      <c r="F3256" s="13" t="n">
        <v>2026</v>
      </c>
      <c r="G3256" s="14" t="n">
        <v>976114.572074501</v>
      </c>
      <c r="H3256" s="14" t="n">
        <v>404403.2871208938</v>
      </c>
      <c r="I3256" s="14" t="n">
        <v>148246.676190036</v>
      </c>
      <c r="J3256" s="14" t="n">
        <v>0</v>
      </c>
      <c r="K3256" s="14" t="n">
        <v>69628.35917053223</v>
      </c>
      <c r="L3256" s="14" t="n">
        <v>353836.2495930392</v>
      </c>
      <c r="M3256" s="14" t="n">
        <v>0</v>
      </c>
      <c r="N3256" s="14" t="n">
        <v>375237.2024044262</v>
      </c>
      <c r="O3256" s="14" t="n">
        <v>662292.6096799367</v>
      </c>
      <c r="P3256" s="14" t="n">
        <v>52764.38948489918</v>
      </c>
      <c r="Q3256" s="14" t="n">
        <v>4616193.984305976</v>
      </c>
      <c r="R3256" s="15">
        <f>IF(D3256=1,"Section 1","Control")</f>
        <v/>
      </c>
      <c r="S3256" s="16">
        <f>N3256/10000</f>
        <v/>
      </c>
      <c r="T3256" s="16">
        <f>P3256/10000</f>
        <v/>
      </c>
      <c r="U3256" s="15">
        <f>IF(N3256&gt;=Summary!$D$3,1,0)</f>
        <v/>
      </c>
      <c r="V3256" s="17">
        <f>IF(N3256&gt;0,P3256/N3256,"")</f>
        <v/>
      </c>
      <c r="W3256" s="17">
        <f>IF(O3256&gt;0,H3256/O3256,"")</f>
        <v/>
      </c>
    </row>
    <row r="3257">
      <c r="A3257" s="13" t="inlineStr">
        <is>
          <t>CW26_B2</t>
        </is>
      </c>
      <c r="B3257" s="13" t="inlineStr">
        <is>
          <t>CW26</t>
        </is>
      </c>
      <c r="C3257" s="13" t="inlineStr">
        <is>
          <t>B2</t>
        </is>
      </c>
      <c r="D3257" s="13" t="n">
        <v>0</v>
      </c>
      <c r="E3257" s="13" t="inlineStr">
        <is>
          <t>W</t>
        </is>
      </c>
      <c r="F3257" s="13" t="n">
        <v>2020</v>
      </c>
      <c r="G3257" s="14" t="n">
        <v>975886.9100407918</v>
      </c>
      <c r="H3257" s="14" t="n">
        <v>282179.0978067135</v>
      </c>
      <c r="I3257" s="14" t="n">
        <v>58434.62433989282</v>
      </c>
      <c r="J3257" s="14" t="n">
        <v>0</v>
      </c>
      <c r="K3257" s="14" t="n">
        <v>15811.35885117475</v>
      </c>
      <c r="L3257" s="14" t="n">
        <v>619461.8290430108</v>
      </c>
      <c r="M3257" s="14" t="n">
        <v>0</v>
      </c>
      <c r="N3257" s="14" t="n">
        <v>282179.0978067135</v>
      </c>
      <c r="O3257" s="14" t="n">
        <v>356425.0809977812</v>
      </c>
      <c r="P3257" s="14" t="n">
        <v>0</v>
      </c>
      <c r="Q3257" s="14" t="n">
        <v>958851.6442535404</v>
      </c>
      <c r="R3257" s="15">
        <f>IF(D3257=1,"Section 1","Control")</f>
        <v/>
      </c>
      <c r="S3257" s="16">
        <f>N3257/10000</f>
        <v/>
      </c>
      <c r="T3257" s="16">
        <f>P3257/10000</f>
        <v/>
      </c>
      <c r="U3257" s="15">
        <f>IF(N3257&gt;=Summary!$D$3,1,0)</f>
        <v/>
      </c>
      <c r="V3257" s="17">
        <f>IF(N3257&gt;0,P3257/N3257,"")</f>
        <v/>
      </c>
      <c r="W3257" s="17">
        <f>IF(O3257&gt;0,H3257/O3257,"")</f>
        <v/>
      </c>
    </row>
    <row r="3258">
      <c r="A3258" s="13" t="inlineStr">
        <is>
          <t>CW26_B2</t>
        </is>
      </c>
      <c r="B3258" s="13" t="inlineStr">
        <is>
          <t>CW26</t>
        </is>
      </c>
      <c r="C3258" s="13" t="inlineStr">
        <is>
          <t>B2</t>
        </is>
      </c>
      <c r="D3258" s="13" t="n">
        <v>0</v>
      </c>
      <c r="E3258" s="13" t="inlineStr">
        <is>
          <t>W</t>
        </is>
      </c>
      <c r="F3258" s="13" t="n">
        <v>2021</v>
      </c>
      <c r="G3258" s="14" t="n">
        <v>975886.9100407918</v>
      </c>
      <c r="H3258" s="14" t="n">
        <v>252466.592675153</v>
      </c>
      <c r="I3258" s="14" t="n">
        <v>52629.11984923119</v>
      </c>
      <c r="J3258" s="14" t="n">
        <v>0</v>
      </c>
      <c r="K3258" s="14" t="n">
        <v>65821.64173934038</v>
      </c>
      <c r="L3258" s="14" t="n">
        <v>604969.5557770674</v>
      </c>
      <c r="M3258" s="14" t="n">
        <v>0</v>
      </c>
      <c r="N3258" s="14" t="n">
        <v>282179.0978067135</v>
      </c>
      <c r="O3258" s="14" t="n">
        <v>356425.0809977812</v>
      </c>
      <c r="P3258" s="14" t="n">
        <v>61063.87603254132</v>
      </c>
      <c r="Q3258" s="14" t="n">
        <v>958851.6442535402</v>
      </c>
      <c r="R3258" s="15">
        <f>IF(D3258=1,"Section 1","Control")</f>
        <v/>
      </c>
      <c r="S3258" s="16">
        <f>N3258/10000</f>
        <v/>
      </c>
      <c r="T3258" s="16">
        <f>P3258/10000</f>
        <v/>
      </c>
      <c r="U3258" s="15">
        <f>IF(N3258&gt;=Summary!$D$3,1,0)</f>
        <v/>
      </c>
      <c r="V3258" s="17">
        <f>IF(N3258&gt;0,P3258/N3258,"")</f>
        <v/>
      </c>
      <c r="W3258" s="17">
        <f>IF(O3258&gt;0,H3258/O3258,"")</f>
        <v/>
      </c>
    </row>
    <row r="3259">
      <c r="A3259" s="13" t="inlineStr">
        <is>
          <t>CW26_B2</t>
        </is>
      </c>
      <c r="B3259" s="13" t="inlineStr">
        <is>
          <t>CW26</t>
        </is>
      </c>
      <c r="C3259" s="13" t="inlineStr">
        <is>
          <t>B2</t>
        </is>
      </c>
      <c r="D3259" s="13" t="n">
        <v>0</v>
      </c>
      <c r="E3259" s="13" t="inlineStr">
        <is>
          <t>W</t>
        </is>
      </c>
      <c r="F3259" s="13" t="n">
        <v>2022</v>
      </c>
      <c r="G3259" s="14" t="n">
        <v>975886.9100407918</v>
      </c>
      <c r="H3259" s="14" t="n">
        <v>197498.5508704391</v>
      </c>
      <c r="I3259" s="14" t="n">
        <v>124431.068197572</v>
      </c>
      <c r="J3259" s="14" t="n">
        <v>0</v>
      </c>
      <c r="K3259" s="14" t="n">
        <v>73316.65346637799</v>
      </c>
      <c r="L3259" s="14" t="n">
        <v>580640.6375064027</v>
      </c>
      <c r="M3259" s="14" t="n">
        <v>0</v>
      </c>
      <c r="N3259" s="14" t="n">
        <v>282179.0978067135</v>
      </c>
      <c r="O3259" s="14" t="n">
        <v>356425.0809977812</v>
      </c>
      <c r="P3259" s="14" t="n">
        <v>104548.6331754797</v>
      </c>
      <c r="Q3259" s="14" t="n">
        <v>958851.6442535404</v>
      </c>
      <c r="R3259" s="15">
        <f>IF(D3259=1,"Section 1","Control")</f>
        <v/>
      </c>
      <c r="S3259" s="16">
        <f>N3259/10000</f>
        <v/>
      </c>
      <c r="T3259" s="16">
        <f>P3259/10000</f>
        <v/>
      </c>
      <c r="U3259" s="15">
        <f>IF(N3259&gt;=Summary!$D$3,1,0)</f>
        <v/>
      </c>
      <c r="V3259" s="17">
        <f>IF(N3259&gt;0,P3259/N3259,"")</f>
        <v/>
      </c>
      <c r="W3259" s="17">
        <f>IF(O3259&gt;0,H3259/O3259,"")</f>
        <v/>
      </c>
    </row>
    <row r="3260">
      <c r="A3260" s="13" t="inlineStr">
        <is>
          <t>CW26_B2</t>
        </is>
      </c>
      <c r="B3260" s="13" t="inlineStr">
        <is>
          <t>CW26</t>
        </is>
      </c>
      <c r="C3260" s="13" t="inlineStr">
        <is>
          <t>B2</t>
        </is>
      </c>
      <c r="D3260" s="13" t="n">
        <v>0</v>
      </c>
      <c r="E3260" s="13" t="inlineStr">
        <is>
          <t>W</t>
        </is>
      </c>
      <c r="F3260" s="13" t="n">
        <v>2023</v>
      </c>
      <c r="G3260" s="14" t="n">
        <v>975886.9100407918</v>
      </c>
      <c r="H3260" s="14" t="n">
        <v>213866.3189296648</v>
      </c>
      <c r="I3260" s="14" t="n">
        <v>106602.9083200791</v>
      </c>
      <c r="J3260" s="14" t="n">
        <v>0</v>
      </c>
      <c r="K3260" s="14" t="n">
        <v>30208.42660687015</v>
      </c>
      <c r="L3260" s="14" t="n">
        <v>625209.2561841779</v>
      </c>
      <c r="M3260" s="14" t="n">
        <v>0</v>
      </c>
      <c r="N3260" s="14" t="n">
        <v>282179.0978067135</v>
      </c>
      <c r="O3260" s="14" t="n">
        <v>356425.0809977812</v>
      </c>
      <c r="P3260" s="14" t="n">
        <v>94938.03535694798</v>
      </c>
      <c r="Q3260" s="14" t="n">
        <v>958851.6442535402</v>
      </c>
      <c r="R3260" s="15">
        <f>IF(D3260=1,"Section 1","Control")</f>
        <v/>
      </c>
      <c r="S3260" s="16">
        <f>N3260/10000</f>
        <v/>
      </c>
      <c r="T3260" s="16">
        <f>P3260/10000</f>
        <v/>
      </c>
      <c r="U3260" s="15">
        <f>IF(N3260&gt;=Summary!$D$3,1,0)</f>
        <v/>
      </c>
      <c r="V3260" s="17">
        <f>IF(N3260&gt;0,P3260/N3260,"")</f>
        <v/>
      </c>
      <c r="W3260" s="17">
        <f>IF(O3260&gt;0,H3260/O3260,"")</f>
        <v/>
      </c>
    </row>
    <row r="3261">
      <c r="A3261" s="13" t="inlineStr">
        <is>
          <t>CW26_B2</t>
        </is>
      </c>
      <c r="B3261" s="13" t="inlineStr">
        <is>
          <t>CW26</t>
        </is>
      </c>
      <c r="C3261" s="13" t="inlineStr">
        <is>
          <t>B2</t>
        </is>
      </c>
      <c r="D3261" s="13" t="n">
        <v>0</v>
      </c>
      <c r="E3261" s="13" t="inlineStr">
        <is>
          <t>W</t>
        </is>
      </c>
      <c r="F3261" s="13" t="n">
        <v>2024</v>
      </c>
      <c r="G3261" s="14" t="n">
        <v>975886.9100407918</v>
      </c>
      <c r="H3261" s="14" t="n">
        <v>294602.8126074099</v>
      </c>
      <c r="I3261" s="14" t="n">
        <v>21273.49855879241</v>
      </c>
      <c r="J3261" s="14" t="n">
        <v>0</v>
      </c>
      <c r="K3261" s="14" t="n">
        <v>34182.64270976945</v>
      </c>
      <c r="L3261" s="14" t="n">
        <v>625827.9561648202</v>
      </c>
      <c r="M3261" s="14" t="n">
        <v>0</v>
      </c>
      <c r="N3261" s="14" t="n">
        <v>282179.0978067135</v>
      </c>
      <c r="O3261" s="14" t="n">
        <v>356425.0809977812</v>
      </c>
      <c r="P3261" s="14" t="n">
        <v>34262.43360230689</v>
      </c>
      <c r="Q3261" s="14" t="n">
        <v>958851.6442535402</v>
      </c>
      <c r="R3261" s="15">
        <f>IF(D3261=1,"Section 1","Control")</f>
        <v/>
      </c>
      <c r="S3261" s="16">
        <f>N3261/10000</f>
        <v/>
      </c>
      <c r="T3261" s="16">
        <f>P3261/10000</f>
        <v/>
      </c>
      <c r="U3261" s="15">
        <f>IF(N3261&gt;=Summary!$D$3,1,0)</f>
        <v/>
      </c>
      <c r="V3261" s="17">
        <f>IF(N3261&gt;0,P3261/N3261,"")</f>
        <v/>
      </c>
      <c r="W3261" s="17">
        <f>IF(O3261&gt;0,H3261/O3261,"")</f>
        <v/>
      </c>
    </row>
    <row r="3262">
      <c r="A3262" s="13" t="inlineStr">
        <is>
          <t>CW26_B2</t>
        </is>
      </c>
      <c r="B3262" s="13" t="inlineStr">
        <is>
          <t>CW26</t>
        </is>
      </c>
      <c r="C3262" s="13" t="inlineStr">
        <is>
          <t>B2</t>
        </is>
      </c>
      <c r="D3262" s="13" t="n">
        <v>0</v>
      </c>
      <c r="E3262" s="13" t="inlineStr">
        <is>
          <t>W</t>
        </is>
      </c>
      <c r="F3262" s="13" t="n">
        <v>2025</v>
      </c>
      <c r="G3262" s="14" t="n">
        <v>975886.9100407918</v>
      </c>
      <c r="H3262" s="14" t="n">
        <v>261370.9926910401</v>
      </c>
      <c r="I3262" s="14" t="n">
        <v>56820.16660228056</v>
      </c>
      <c r="J3262" s="14" t="n">
        <v>0</v>
      </c>
      <c r="K3262" s="14" t="n">
        <v>38643.16348993637</v>
      </c>
      <c r="L3262" s="14" t="n">
        <v>619052.5872575351</v>
      </c>
      <c r="M3262" s="14" t="n">
        <v>0</v>
      </c>
      <c r="N3262" s="14" t="n">
        <v>282179.0978067135</v>
      </c>
      <c r="O3262" s="14" t="n">
        <v>356425.0809977812</v>
      </c>
      <c r="P3262" s="14" t="n">
        <v>59035.50203647987</v>
      </c>
      <c r="Q3262" s="14" t="n">
        <v>958851.6442535404</v>
      </c>
      <c r="R3262" s="15">
        <f>IF(D3262=1,"Section 1","Control")</f>
        <v/>
      </c>
      <c r="S3262" s="16">
        <f>N3262/10000</f>
        <v/>
      </c>
      <c r="T3262" s="16">
        <f>P3262/10000</f>
        <v/>
      </c>
      <c r="U3262" s="15">
        <f>IF(N3262&gt;=Summary!$D$3,1,0)</f>
        <v/>
      </c>
      <c r="V3262" s="17">
        <f>IF(N3262&gt;0,P3262/N3262,"")</f>
        <v/>
      </c>
      <c r="W3262" s="17">
        <f>IF(O3262&gt;0,H3262/O3262,"")</f>
        <v/>
      </c>
    </row>
    <row r="3263">
      <c r="A3263" s="13" t="inlineStr">
        <is>
          <t>CW26_B2</t>
        </is>
      </c>
      <c r="B3263" s="13" t="inlineStr">
        <is>
          <t>CW26</t>
        </is>
      </c>
      <c r="C3263" s="13" t="inlineStr">
        <is>
          <t>B2</t>
        </is>
      </c>
      <c r="D3263" s="13" t="n">
        <v>0</v>
      </c>
      <c r="E3263" s="13" t="inlineStr">
        <is>
          <t>W</t>
        </is>
      </c>
      <c r="F3263" s="13" t="n">
        <v>2026</v>
      </c>
      <c r="G3263" s="14" t="n">
        <v>975886.9100407918</v>
      </c>
      <c r="H3263" s="14" t="n">
        <v>206076.1974193498</v>
      </c>
      <c r="I3263" s="14" t="n">
        <v>111028.9772548302</v>
      </c>
      <c r="J3263" s="14" t="n">
        <v>0</v>
      </c>
      <c r="K3263" s="14" t="n">
        <v>27484.73705088297</v>
      </c>
      <c r="L3263" s="14" t="n">
        <v>631296.998315729</v>
      </c>
      <c r="M3263" s="14" t="n">
        <v>0</v>
      </c>
      <c r="N3263" s="14" t="n">
        <v>282179.0978067135</v>
      </c>
      <c r="O3263" s="14" t="n">
        <v>356425.0809977812</v>
      </c>
      <c r="P3263" s="14" t="n">
        <v>104563.3051744349</v>
      </c>
      <c r="Q3263" s="14" t="n">
        <v>958851.6442535404</v>
      </c>
      <c r="R3263" s="15">
        <f>IF(D3263=1,"Section 1","Control")</f>
        <v/>
      </c>
      <c r="S3263" s="16">
        <f>N3263/10000</f>
        <v/>
      </c>
      <c r="T3263" s="16">
        <f>P3263/10000</f>
        <v/>
      </c>
      <c r="U3263" s="15">
        <f>IF(N3263&gt;=Summary!$D$3,1,0)</f>
        <v/>
      </c>
      <c r="V3263" s="17">
        <f>IF(N3263&gt;0,P3263/N3263,"")</f>
        <v/>
      </c>
      <c r="W3263" s="17">
        <f>IF(O3263&gt;0,H3263/O3263,"")</f>
        <v/>
      </c>
    </row>
    <row r="3264">
      <c r="A3264" s="13" t="inlineStr">
        <is>
          <t>CW26_B3</t>
        </is>
      </c>
      <c r="B3264" s="13" t="inlineStr">
        <is>
          <t>CW26</t>
        </is>
      </c>
      <c r="C3264" s="13" t="inlineStr">
        <is>
          <t>B3</t>
        </is>
      </c>
      <c r="D3264" s="13" t="n">
        <v>0</v>
      </c>
      <c r="E3264" s="13" t="inlineStr">
        <is>
          <t>W</t>
        </is>
      </c>
      <c r="F3264" s="13" t="n">
        <v>2020</v>
      </c>
      <c r="G3264" s="14" t="n">
        <v>7806194.93390111</v>
      </c>
      <c r="H3264" s="14" t="n">
        <v>2053991.057177704</v>
      </c>
      <c r="I3264" s="14" t="n">
        <v>418317.7285879397</v>
      </c>
      <c r="J3264" s="14" t="n">
        <v>0</v>
      </c>
      <c r="K3264" s="14" t="n">
        <v>1416467.283349699</v>
      </c>
      <c r="L3264" s="14" t="n">
        <v>3917418.864785766</v>
      </c>
      <c r="M3264" s="14" t="n">
        <v>0</v>
      </c>
      <c r="N3264" s="14" t="n">
        <v>2053991.057177704</v>
      </c>
      <c r="O3264" s="14" t="n">
        <v>3888776.069115344</v>
      </c>
      <c r="P3264" s="14" t="n">
        <v>0</v>
      </c>
      <c r="Q3264" s="14" t="n">
        <v>30391293.50333139</v>
      </c>
      <c r="R3264" s="15">
        <f>IF(D3264=1,"Section 1","Control")</f>
        <v/>
      </c>
      <c r="S3264" s="16">
        <f>N3264/10000</f>
        <v/>
      </c>
      <c r="T3264" s="16">
        <f>P3264/10000</f>
        <v/>
      </c>
      <c r="U3264" s="15">
        <f>IF(N3264&gt;=Summary!$D$3,1,0)</f>
        <v/>
      </c>
      <c r="V3264" s="17">
        <f>IF(N3264&gt;0,P3264/N3264,"")</f>
        <v/>
      </c>
      <c r="W3264" s="17">
        <f>IF(O3264&gt;0,H3264/O3264,"")</f>
        <v/>
      </c>
    </row>
    <row r="3265">
      <c r="A3265" s="13" t="inlineStr">
        <is>
          <t>CW26_B3</t>
        </is>
      </c>
      <c r="B3265" s="13" t="inlineStr">
        <is>
          <t>CW26</t>
        </is>
      </c>
      <c r="C3265" s="13" t="inlineStr">
        <is>
          <t>B3</t>
        </is>
      </c>
      <c r="D3265" s="13" t="n">
        <v>0</v>
      </c>
      <c r="E3265" s="13" t="inlineStr">
        <is>
          <t>W</t>
        </is>
      </c>
      <c r="F3265" s="13" t="n">
        <v>2021</v>
      </c>
      <c r="G3265" s="14" t="n">
        <v>7806194.93390111</v>
      </c>
      <c r="H3265" s="14" t="n">
        <v>1505612.227151759</v>
      </c>
      <c r="I3265" s="14" t="n">
        <v>139181.0968317967</v>
      </c>
      <c r="J3265" s="14" t="n">
        <v>0</v>
      </c>
      <c r="K3265" s="14" t="n">
        <v>2251166.145683588</v>
      </c>
      <c r="L3265" s="14" t="n">
        <v>3910235.464233966</v>
      </c>
      <c r="M3265" s="14" t="n">
        <v>0</v>
      </c>
      <c r="N3265" s="14" t="n">
        <v>2053991.057177704</v>
      </c>
      <c r="O3265" s="14" t="n">
        <v>3888776.069115344</v>
      </c>
      <c r="P3265" s="14" t="n">
        <v>608360.7659321802</v>
      </c>
      <c r="Q3265" s="14" t="n">
        <v>30391293.50333139</v>
      </c>
      <c r="R3265" s="15">
        <f>IF(D3265=1,"Section 1","Control")</f>
        <v/>
      </c>
      <c r="S3265" s="16">
        <f>N3265/10000</f>
        <v/>
      </c>
      <c r="T3265" s="16">
        <f>P3265/10000</f>
        <v/>
      </c>
      <c r="U3265" s="15">
        <f>IF(N3265&gt;=Summary!$D$3,1,0)</f>
        <v/>
      </c>
      <c r="V3265" s="17">
        <f>IF(N3265&gt;0,P3265/N3265,"")</f>
        <v/>
      </c>
      <c r="W3265" s="17">
        <f>IF(O3265&gt;0,H3265/O3265,"")</f>
        <v/>
      </c>
    </row>
    <row r="3266">
      <c r="A3266" s="13" t="inlineStr">
        <is>
          <t>CW26_B3</t>
        </is>
      </c>
      <c r="B3266" s="13" t="inlineStr">
        <is>
          <t>CW26</t>
        </is>
      </c>
      <c r="C3266" s="13" t="inlineStr">
        <is>
          <t>B3</t>
        </is>
      </c>
      <c r="D3266" s="13" t="n">
        <v>0</v>
      </c>
      <c r="E3266" s="13" t="inlineStr">
        <is>
          <t>W</t>
        </is>
      </c>
      <c r="F3266" s="13" t="n">
        <v>2022</v>
      </c>
      <c r="G3266" s="14" t="n">
        <v>7806194.93390111</v>
      </c>
      <c r="H3266" s="14" t="n">
        <v>1409291.769240166</v>
      </c>
      <c r="I3266" s="14" t="n">
        <v>314940.3508027619</v>
      </c>
      <c r="J3266" s="14" t="n">
        <v>0</v>
      </c>
      <c r="K3266" s="14" t="n">
        <v>2178434.929123762</v>
      </c>
      <c r="L3266" s="14" t="n">
        <v>3903527.884734418</v>
      </c>
      <c r="M3266" s="14" t="n">
        <v>0</v>
      </c>
      <c r="N3266" s="14" t="n">
        <v>2053991.057177704</v>
      </c>
      <c r="O3266" s="14" t="n">
        <v>3888776.069115344</v>
      </c>
      <c r="P3266" s="14" t="n">
        <v>688475.0257107604</v>
      </c>
      <c r="Q3266" s="14" t="n">
        <v>30391293.50333138</v>
      </c>
      <c r="R3266" s="15">
        <f>IF(D3266=1,"Section 1","Control")</f>
        <v/>
      </c>
      <c r="S3266" s="16">
        <f>N3266/10000</f>
        <v/>
      </c>
      <c r="T3266" s="16">
        <f>P3266/10000</f>
        <v/>
      </c>
      <c r="U3266" s="15">
        <f>IF(N3266&gt;=Summary!$D$3,1,0)</f>
        <v/>
      </c>
      <c r="V3266" s="17">
        <f>IF(N3266&gt;0,P3266/N3266,"")</f>
        <v/>
      </c>
      <c r="W3266" s="17">
        <f>IF(O3266&gt;0,H3266/O3266,"")</f>
        <v/>
      </c>
    </row>
    <row r="3267">
      <c r="A3267" s="13" t="inlineStr">
        <is>
          <t>CW26_B3</t>
        </is>
      </c>
      <c r="B3267" s="13" t="inlineStr">
        <is>
          <t>CW26</t>
        </is>
      </c>
      <c r="C3267" s="13" t="inlineStr">
        <is>
          <t>B3</t>
        </is>
      </c>
      <c r="D3267" s="13" t="n">
        <v>0</v>
      </c>
      <c r="E3267" s="13" t="inlineStr">
        <is>
          <t>W</t>
        </is>
      </c>
      <c r="F3267" s="13" t="n">
        <v>2023</v>
      </c>
      <c r="G3267" s="14" t="n">
        <v>7806194.93390111</v>
      </c>
      <c r="H3267" s="14" t="n">
        <v>1360020.591672411</v>
      </c>
      <c r="I3267" s="14" t="n">
        <v>305458.4067099477</v>
      </c>
      <c r="J3267" s="14" t="n">
        <v>0</v>
      </c>
      <c r="K3267" s="14" t="n">
        <v>2219557.475784481</v>
      </c>
      <c r="L3267" s="14" t="n">
        <v>3921158.459734269</v>
      </c>
      <c r="M3267" s="14" t="n">
        <v>0</v>
      </c>
      <c r="N3267" s="14" t="n">
        <v>2053991.057177704</v>
      </c>
      <c r="O3267" s="14" t="n">
        <v>3888776.069115344</v>
      </c>
      <c r="P3267" s="14" t="n">
        <v>740934.3795409559</v>
      </c>
      <c r="Q3267" s="14" t="n">
        <v>30391293.50333138</v>
      </c>
      <c r="R3267" s="15">
        <f>IF(D3267=1,"Section 1","Control")</f>
        <v/>
      </c>
      <c r="S3267" s="16">
        <f>N3267/10000</f>
        <v/>
      </c>
      <c r="T3267" s="16">
        <f>P3267/10000</f>
        <v/>
      </c>
      <c r="U3267" s="15">
        <f>IF(N3267&gt;=Summary!$D$3,1,0)</f>
        <v/>
      </c>
      <c r="V3267" s="17">
        <f>IF(N3267&gt;0,P3267/N3267,"")</f>
        <v/>
      </c>
      <c r="W3267" s="17">
        <f>IF(O3267&gt;0,H3267/O3267,"")</f>
        <v/>
      </c>
    </row>
    <row r="3268">
      <c r="A3268" s="13" t="inlineStr">
        <is>
          <t>CW26_B3</t>
        </is>
      </c>
      <c r="B3268" s="13" t="inlineStr">
        <is>
          <t>CW26</t>
        </is>
      </c>
      <c r="C3268" s="13" t="inlineStr">
        <is>
          <t>B3</t>
        </is>
      </c>
      <c r="D3268" s="13" t="n">
        <v>0</v>
      </c>
      <c r="E3268" s="13" t="inlineStr">
        <is>
          <t>W</t>
        </is>
      </c>
      <c r="F3268" s="13" t="n">
        <v>2024</v>
      </c>
      <c r="G3268" s="14" t="n">
        <v>7806194.93390111</v>
      </c>
      <c r="H3268" s="14" t="n">
        <v>1350204.662595532</v>
      </c>
      <c r="I3268" s="14" t="n">
        <v>384269.5277008955</v>
      </c>
      <c r="J3268" s="14" t="n">
        <v>0</v>
      </c>
      <c r="K3268" s="14" t="n">
        <v>2156189.679729177</v>
      </c>
      <c r="L3268" s="14" t="n">
        <v>3915531.063875504</v>
      </c>
      <c r="M3268" s="14" t="n">
        <v>0</v>
      </c>
      <c r="N3268" s="14" t="n">
        <v>2053991.057177704</v>
      </c>
      <c r="O3268" s="14" t="n">
        <v>3888776.069115344</v>
      </c>
      <c r="P3268" s="14" t="n">
        <v>763163.9677850461</v>
      </c>
      <c r="Q3268" s="14" t="n">
        <v>30391293.50333139</v>
      </c>
      <c r="R3268" s="15">
        <f>IF(D3268=1,"Section 1","Control")</f>
        <v/>
      </c>
      <c r="S3268" s="16">
        <f>N3268/10000</f>
        <v/>
      </c>
      <c r="T3268" s="16">
        <f>P3268/10000</f>
        <v/>
      </c>
      <c r="U3268" s="15">
        <f>IF(N3268&gt;=Summary!$D$3,1,0)</f>
        <v/>
      </c>
      <c r="V3268" s="17">
        <f>IF(N3268&gt;0,P3268/N3268,"")</f>
        <v/>
      </c>
      <c r="W3268" s="17">
        <f>IF(O3268&gt;0,H3268/O3268,"")</f>
        <v/>
      </c>
    </row>
    <row r="3269">
      <c r="A3269" s="13" t="inlineStr">
        <is>
          <t>CW26_B3</t>
        </is>
      </c>
      <c r="B3269" s="13" t="inlineStr">
        <is>
          <t>CW26</t>
        </is>
      </c>
      <c r="C3269" s="13" t="inlineStr">
        <is>
          <t>B3</t>
        </is>
      </c>
      <c r="D3269" s="13" t="n">
        <v>0</v>
      </c>
      <c r="E3269" s="13" t="inlineStr">
        <is>
          <t>W</t>
        </is>
      </c>
      <c r="F3269" s="13" t="n">
        <v>2025</v>
      </c>
      <c r="G3269" s="14" t="n">
        <v>7806194.933901109</v>
      </c>
      <c r="H3269" s="14" t="n">
        <v>1335194.778406689</v>
      </c>
      <c r="I3269" s="14" t="n">
        <v>485430.6579334633</v>
      </c>
      <c r="J3269" s="14" t="n">
        <v>0</v>
      </c>
      <c r="K3269" s="14" t="n">
        <v>2067905.172163332</v>
      </c>
      <c r="L3269" s="14" t="n">
        <v>3917664.325397625</v>
      </c>
      <c r="M3269" s="14" t="n">
        <v>0</v>
      </c>
      <c r="N3269" s="14" t="n">
        <v>2053991.057177704</v>
      </c>
      <c r="O3269" s="14" t="n">
        <v>3888776.069115344</v>
      </c>
      <c r="P3269" s="14" t="n">
        <v>775084.4016091739</v>
      </c>
      <c r="Q3269" s="14" t="n">
        <v>30391293.50333139</v>
      </c>
      <c r="R3269" s="15">
        <f>IF(D3269=1,"Section 1","Control")</f>
        <v/>
      </c>
      <c r="S3269" s="16">
        <f>N3269/10000</f>
        <v/>
      </c>
      <c r="T3269" s="16">
        <f>P3269/10000</f>
        <v/>
      </c>
      <c r="U3269" s="15">
        <f>IF(N3269&gt;=Summary!$D$3,1,0)</f>
        <v/>
      </c>
      <c r="V3269" s="17">
        <f>IF(N3269&gt;0,P3269/N3269,"")</f>
        <v/>
      </c>
      <c r="W3269" s="17">
        <f>IF(O3269&gt;0,H3269/O3269,"")</f>
        <v/>
      </c>
    </row>
    <row r="3270">
      <c r="A3270" s="13" t="inlineStr">
        <is>
          <t>CW26_B3</t>
        </is>
      </c>
      <c r="B3270" s="13" t="inlineStr">
        <is>
          <t>CW26</t>
        </is>
      </c>
      <c r="C3270" s="13" t="inlineStr">
        <is>
          <t>B3</t>
        </is>
      </c>
      <c r="D3270" s="13" t="n">
        <v>0</v>
      </c>
      <c r="E3270" s="13" t="inlineStr">
        <is>
          <t>W</t>
        </is>
      </c>
      <c r="F3270" s="13" t="n">
        <v>2026</v>
      </c>
      <c r="G3270" s="14" t="n">
        <v>7806194.93390111</v>
      </c>
      <c r="H3270" s="14" t="n">
        <v>1335703.054800804</v>
      </c>
      <c r="I3270" s="14" t="n">
        <v>339739.313769591</v>
      </c>
      <c r="J3270" s="14" t="n">
        <v>0</v>
      </c>
      <c r="K3270" s="14" t="n">
        <v>2207073.294769825</v>
      </c>
      <c r="L3270" s="14" t="n">
        <v>3923679.270560888</v>
      </c>
      <c r="M3270" s="14" t="n">
        <v>0</v>
      </c>
      <c r="N3270" s="14" t="n">
        <v>2053991.057177704</v>
      </c>
      <c r="O3270" s="14" t="n">
        <v>3888776.069115344</v>
      </c>
      <c r="P3270" s="14" t="n">
        <v>814209.8398877013</v>
      </c>
      <c r="Q3270" s="14" t="n">
        <v>30391293.50333138</v>
      </c>
      <c r="R3270" s="15">
        <f>IF(D3270=1,"Section 1","Control")</f>
        <v/>
      </c>
      <c r="S3270" s="16">
        <f>N3270/10000</f>
        <v/>
      </c>
      <c r="T3270" s="16">
        <f>P3270/10000</f>
        <v/>
      </c>
      <c r="U3270" s="15">
        <f>IF(N3270&gt;=Summary!$D$3,1,0)</f>
        <v/>
      </c>
      <c r="V3270" s="17">
        <f>IF(N3270&gt;0,P3270/N3270,"")</f>
        <v/>
      </c>
      <c r="W3270" s="17">
        <f>IF(O3270&gt;0,H3270/O3270,"")</f>
        <v/>
      </c>
    </row>
    <row r="3271">
      <c r="A3271" s="13" t="inlineStr">
        <is>
          <t>CW26_F</t>
        </is>
      </c>
      <c r="B3271" s="13" t="inlineStr">
        <is>
          <t>CW26</t>
        </is>
      </c>
      <c r="C3271" s="13" t="inlineStr">
        <is>
          <t>F</t>
        </is>
      </c>
      <c r="D3271" s="13" t="n">
        <v>0</v>
      </c>
      <c r="E3271" s="13" t="inlineStr">
        <is>
          <t>W</t>
        </is>
      </c>
      <c r="F3271" s="13" t="n">
        <v>2020</v>
      </c>
      <c r="G3271" s="14" t="n">
        <v>67354.6000767128</v>
      </c>
      <c r="H3271" s="14" t="n">
        <v>30962.27877346861</v>
      </c>
      <c r="I3271" s="14" t="n">
        <v>36293.59325301227</v>
      </c>
      <c r="J3271" s="14" t="n">
        <v>0</v>
      </c>
      <c r="K3271" s="14" t="n">
        <v>98.72805023193359</v>
      </c>
      <c r="L3271" s="14" t="n">
        <v>0</v>
      </c>
      <c r="M3271" s="14" t="n">
        <v>0</v>
      </c>
      <c r="N3271" s="14" t="n">
        <v>30962.27877346861</v>
      </c>
      <c r="O3271" s="14" t="n">
        <v>67354.6000767128</v>
      </c>
      <c r="P3271" s="14" t="n">
        <v>0</v>
      </c>
      <c r="Q3271" s="14" t="n">
        <v>531990.4975023457</v>
      </c>
      <c r="R3271" s="15">
        <f>IF(D3271=1,"Section 1","Control")</f>
        <v/>
      </c>
      <c r="S3271" s="16">
        <f>N3271/10000</f>
        <v/>
      </c>
      <c r="T3271" s="16">
        <f>P3271/10000</f>
        <v/>
      </c>
      <c r="U3271" s="15">
        <f>IF(N3271&gt;=Summary!$D$3,1,0)</f>
        <v/>
      </c>
      <c r="V3271" s="17">
        <f>IF(N3271&gt;0,P3271/N3271,"")</f>
        <v/>
      </c>
      <c r="W3271" s="17">
        <f>IF(O3271&gt;0,H3271/O3271,"")</f>
        <v/>
      </c>
    </row>
    <row r="3272">
      <c r="A3272" s="13" t="inlineStr">
        <is>
          <t>CW26_F</t>
        </is>
      </c>
      <c r="B3272" s="13" t="inlineStr">
        <is>
          <t>CW26</t>
        </is>
      </c>
      <c r="C3272" s="13" t="inlineStr">
        <is>
          <t>F</t>
        </is>
      </c>
      <c r="D3272" s="13" t="n">
        <v>0</v>
      </c>
      <c r="E3272" s="13" t="inlineStr">
        <is>
          <t>W</t>
        </is>
      </c>
      <c r="F3272" s="13" t="n">
        <v>2021</v>
      </c>
      <c r="G3272" s="14" t="n">
        <v>67354.6000767128</v>
      </c>
      <c r="H3272" s="14" t="n">
        <v>32526.05360517315</v>
      </c>
      <c r="I3272" s="14" t="n">
        <v>29645.90445981493</v>
      </c>
      <c r="J3272" s="14" t="n">
        <v>0</v>
      </c>
      <c r="K3272" s="14" t="n">
        <v>5182.642011724734</v>
      </c>
      <c r="L3272" s="14" t="n">
        <v>0</v>
      </c>
      <c r="M3272" s="14" t="n">
        <v>0</v>
      </c>
      <c r="N3272" s="14" t="n">
        <v>30962.27877346861</v>
      </c>
      <c r="O3272" s="14" t="n">
        <v>67354.6000767128</v>
      </c>
      <c r="P3272" s="14" t="n">
        <v>2643.588841636508</v>
      </c>
      <c r="Q3272" s="14" t="n">
        <v>531990.4975023457</v>
      </c>
      <c r="R3272" s="15">
        <f>IF(D3272=1,"Section 1","Control")</f>
        <v/>
      </c>
      <c r="S3272" s="16">
        <f>N3272/10000</f>
        <v/>
      </c>
      <c r="T3272" s="16">
        <f>P3272/10000</f>
        <v/>
      </c>
      <c r="U3272" s="15">
        <f>IF(N3272&gt;=Summary!$D$3,1,0)</f>
        <v/>
      </c>
      <c r="V3272" s="17">
        <f>IF(N3272&gt;0,P3272/N3272,"")</f>
        <v/>
      </c>
      <c r="W3272" s="17">
        <f>IF(O3272&gt;0,H3272/O3272,"")</f>
        <v/>
      </c>
    </row>
    <row r="3273">
      <c r="A3273" s="13" t="inlineStr">
        <is>
          <t>CW26_F</t>
        </is>
      </c>
      <c r="B3273" s="13" t="inlineStr">
        <is>
          <t>CW26</t>
        </is>
      </c>
      <c r="C3273" s="13" t="inlineStr">
        <is>
          <t>F</t>
        </is>
      </c>
      <c r="D3273" s="13" t="n">
        <v>0</v>
      </c>
      <c r="E3273" s="13" t="inlineStr">
        <is>
          <t>W</t>
        </is>
      </c>
      <c r="F3273" s="13" t="n">
        <v>2022</v>
      </c>
      <c r="G3273" s="14" t="n">
        <v>67354.6000767128</v>
      </c>
      <c r="H3273" s="14" t="n">
        <v>29964.54515416762</v>
      </c>
      <c r="I3273" s="14" t="n">
        <v>33576.82887402705</v>
      </c>
      <c r="J3273" s="14" t="n">
        <v>0</v>
      </c>
      <c r="K3273" s="14" t="n">
        <v>3813.226048518161</v>
      </c>
      <c r="L3273" s="14" t="n">
        <v>0</v>
      </c>
      <c r="M3273" s="14" t="n">
        <v>0</v>
      </c>
      <c r="N3273" s="14" t="n">
        <v>30962.27877346861</v>
      </c>
      <c r="O3273" s="14" t="n">
        <v>67354.6000767128</v>
      </c>
      <c r="P3273" s="14" t="n">
        <v>4270.084926979214</v>
      </c>
      <c r="Q3273" s="14" t="n">
        <v>531990.4975023457</v>
      </c>
      <c r="R3273" s="15">
        <f>IF(D3273=1,"Section 1","Control")</f>
        <v/>
      </c>
      <c r="S3273" s="16">
        <f>N3273/10000</f>
        <v/>
      </c>
      <c r="T3273" s="16">
        <f>P3273/10000</f>
        <v/>
      </c>
      <c r="U3273" s="15">
        <f>IF(N3273&gt;=Summary!$D$3,1,0)</f>
        <v/>
      </c>
      <c r="V3273" s="17">
        <f>IF(N3273&gt;0,P3273/N3273,"")</f>
        <v/>
      </c>
      <c r="W3273" s="17">
        <f>IF(O3273&gt;0,H3273/O3273,"")</f>
        <v/>
      </c>
    </row>
    <row r="3274">
      <c r="A3274" s="13" t="inlineStr">
        <is>
          <t>CW26_F</t>
        </is>
      </c>
      <c r="B3274" s="13" t="inlineStr">
        <is>
          <t>CW26</t>
        </is>
      </c>
      <c r="C3274" s="13" t="inlineStr">
        <is>
          <t>F</t>
        </is>
      </c>
      <c r="D3274" s="13" t="n">
        <v>0</v>
      </c>
      <c r="E3274" s="13" t="inlineStr">
        <is>
          <t>W</t>
        </is>
      </c>
      <c r="F3274" s="13" t="n">
        <v>2023</v>
      </c>
      <c r="G3274" s="14" t="n">
        <v>67354.6000767128</v>
      </c>
      <c r="H3274" s="14" t="n">
        <v>33006.91794086531</v>
      </c>
      <c r="I3274" s="14" t="n">
        <v>30721.4589631922</v>
      </c>
      <c r="J3274" s="14" t="n">
        <v>0</v>
      </c>
      <c r="K3274" s="14" t="n">
        <v>3626.223172655293</v>
      </c>
      <c r="L3274" s="14" t="n">
        <v>0</v>
      </c>
      <c r="M3274" s="14" t="n">
        <v>0</v>
      </c>
      <c r="N3274" s="14" t="n">
        <v>30962.27877346861</v>
      </c>
      <c r="O3274" s="14" t="n">
        <v>67354.6000767128</v>
      </c>
      <c r="P3274" s="14" t="n">
        <v>3324.618691238702</v>
      </c>
      <c r="Q3274" s="14" t="n">
        <v>531990.4975023457</v>
      </c>
      <c r="R3274" s="15">
        <f>IF(D3274=1,"Section 1","Control")</f>
        <v/>
      </c>
      <c r="S3274" s="16">
        <f>N3274/10000</f>
        <v/>
      </c>
      <c r="T3274" s="16">
        <f>P3274/10000</f>
        <v/>
      </c>
      <c r="U3274" s="15">
        <f>IF(N3274&gt;=Summary!$D$3,1,0)</f>
        <v/>
      </c>
      <c r="V3274" s="17">
        <f>IF(N3274&gt;0,P3274/N3274,"")</f>
        <v/>
      </c>
      <c r="W3274" s="17">
        <f>IF(O3274&gt;0,H3274/O3274,"")</f>
        <v/>
      </c>
    </row>
    <row r="3275">
      <c r="A3275" s="13" t="inlineStr">
        <is>
          <t>CW26_F</t>
        </is>
      </c>
      <c r="B3275" s="13" t="inlineStr">
        <is>
          <t>CW26</t>
        </is>
      </c>
      <c r="C3275" s="13" t="inlineStr">
        <is>
          <t>F</t>
        </is>
      </c>
      <c r="D3275" s="13" t="n">
        <v>0</v>
      </c>
      <c r="E3275" s="13" t="inlineStr">
        <is>
          <t>W</t>
        </is>
      </c>
      <c r="F3275" s="13" t="n">
        <v>2024</v>
      </c>
      <c r="G3275" s="14" t="n">
        <v>67354.6000767128</v>
      </c>
      <c r="H3275" s="14" t="n">
        <v>43749.30340782616</v>
      </c>
      <c r="I3275" s="14" t="n">
        <v>20472.713823685</v>
      </c>
      <c r="J3275" s="14" t="n">
        <v>0</v>
      </c>
      <c r="K3275" s="14" t="n">
        <v>3132.582845201679</v>
      </c>
      <c r="L3275" s="14" t="n">
        <v>0</v>
      </c>
      <c r="M3275" s="14" t="n">
        <v>0</v>
      </c>
      <c r="N3275" s="14" t="n">
        <v>30962.27877346861</v>
      </c>
      <c r="O3275" s="14" t="n">
        <v>67354.6000767128</v>
      </c>
      <c r="P3275" s="14" t="n">
        <v>1866.54062314501</v>
      </c>
      <c r="Q3275" s="14" t="n">
        <v>531990.4975023457</v>
      </c>
      <c r="R3275" s="15">
        <f>IF(D3275=1,"Section 1","Control")</f>
        <v/>
      </c>
      <c r="S3275" s="16">
        <f>N3275/10000</f>
        <v/>
      </c>
      <c r="T3275" s="16">
        <f>P3275/10000</f>
        <v/>
      </c>
      <c r="U3275" s="15">
        <f>IF(N3275&gt;=Summary!$D$3,1,0)</f>
        <v/>
      </c>
      <c r="V3275" s="17">
        <f>IF(N3275&gt;0,P3275/N3275,"")</f>
        <v/>
      </c>
      <c r="W3275" s="17">
        <f>IF(O3275&gt;0,H3275/O3275,"")</f>
        <v/>
      </c>
    </row>
    <row r="3276">
      <c r="A3276" s="13" t="inlineStr">
        <is>
          <t>CW26_F</t>
        </is>
      </c>
      <c r="B3276" s="13" t="inlineStr">
        <is>
          <t>CW26</t>
        </is>
      </c>
      <c r="C3276" s="13" t="inlineStr">
        <is>
          <t>F</t>
        </is>
      </c>
      <c r="D3276" s="13" t="n">
        <v>0</v>
      </c>
      <c r="E3276" s="13" t="inlineStr">
        <is>
          <t>W</t>
        </is>
      </c>
      <c r="F3276" s="13" t="n">
        <v>2025</v>
      </c>
      <c r="G3276" s="14" t="n">
        <v>67354.6000767128</v>
      </c>
      <c r="H3276" s="14" t="n">
        <v>39093.21197246477</v>
      </c>
      <c r="I3276" s="14" t="n">
        <v>24285.93873192282</v>
      </c>
      <c r="J3276" s="14" t="n">
        <v>0</v>
      </c>
      <c r="K3276" s="14" t="n">
        <v>3975.449372325224</v>
      </c>
      <c r="L3276" s="14" t="n">
        <v>0</v>
      </c>
      <c r="M3276" s="14" t="n">
        <v>0</v>
      </c>
      <c r="N3276" s="14" t="n">
        <v>30962.27877346861</v>
      </c>
      <c r="O3276" s="14" t="n">
        <v>67354.6000767128</v>
      </c>
      <c r="P3276" s="14" t="n">
        <v>1937.392403755936</v>
      </c>
      <c r="Q3276" s="14" t="n">
        <v>531990.4975023457</v>
      </c>
      <c r="R3276" s="15">
        <f>IF(D3276=1,"Section 1","Control")</f>
        <v/>
      </c>
      <c r="S3276" s="16">
        <f>N3276/10000</f>
        <v/>
      </c>
      <c r="T3276" s="16">
        <f>P3276/10000</f>
        <v/>
      </c>
      <c r="U3276" s="15">
        <f>IF(N3276&gt;=Summary!$D$3,1,0)</f>
        <v/>
      </c>
      <c r="V3276" s="17">
        <f>IF(N3276&gt;0,P3276/N3276,"")</f>
        <v/>
      </c>
      <c r="W3276" s="17">
        <f>IF(O3276&gt;0,H3276/O3276,"")</f>
        <v/>
      </c>
    </row>
    <row r="3277">
      <c r="A3277" s="13" t="inlineStr">
        <is>
          <t>CW26_F</t>
        </is>
      </c>
      <c r="B3277" s="13" t="inlineStr">
        <is>
          <t>CW26</t>
        </is>
      </c>
      <c r="C3277" s="13" t="inlineStr">
        <is>
          <t>F</t>
        </is>
      </c>
      <c r="D3277" s="13" t="n">
        <v>0</v>
      </c>
      <c r="E3277" s="13" t="inlineStr">
        <is>
          <t>W</t>
        </is>
      </c>
      <c r="F3277" s="13" t="n">
        <v>2026</v>
      </c>
      <c r="G3277" s="14" t="n">
        <v>67354.6000767128</v>
      </c>
      <c r="H3277" s="14" t="n">
        <v>61735.61860507142</v>
      </c>
      <c r="I3277" s="14" t="n">
        <v>1256.750394035788</v>
      </c>
      <c r="J3277" s="14" t="n">
        <v>0</v>
      </c>
      <c r="K3277" s="14" t="n">
        <v>4362.231077605602</v>
      </c>
      <c r="L3277" s="14" t="n">
        <v>0</v>
      </c>
      <c r="M3277" s="14" t="n">
        <v>0</v>
      </c>
      <c r="N3277" s="14" t="n">
        <v>30962.27877346861</v>
      </c>
      <c r="O3277" s="14" t="n">
        <v>67354.6000767128</v>
      </c>
      <c r="P3277" s="14" t="n">
        <v>1332.634754315545</v>
      </c>
      <c r="Q3277" s="14" t="n">
        <v>531990.4975023457</v>
      </c>
      <c r="R3277" s="15">
        <f>IF(D3277=1,"Section 1","Control")</f>
        <v/>
      </c>
      <c r="S3277" s="16">
        <f>N3277/10000</f>
        <v/>
      </c>
      <c r="T3277" s="16">
        <f>P3277/10000</f>
        <v/>
      </c>
      <c r="U3277" s="15">
        <f>IF(N3277&gt;=Summary!$D$3,1,0)</f>
        <v/>
      </c>
      <c r="V3277" s="17">
        <f>IF(N3277&gt;0,P3277/N3277,"")</f>
        <v/>
      </c>
      <c r="W3277" s="17">
        <f>IF(O3277&gt;0,H3277/O3277,"")</f>
        <v/>
      </c>
    </row>
    <row r="3278">
      <c r="A3278" s="13" t="inlineStr">
        <is>
          <t>CW27_B1</t>
        </is>
      </c>
      <c r="B3278" s="13" t="inlineStr">
        <is>
          <t>CW27</t>
        </is>
      </c>
      <c r="C3278" s="13" t="inlineStr">
        <is>
          <t>B1</t>
        </is>
      </c>
      <c r="D3278" s="13" t="n">
        <v>0</v>
      </c>
      <c r="E3278" s="13" t="inlineStr">
        <is>
          <t>W</t>
        </is>
      </c>
      <c r="F3278" s="13" t="n">
        <v>2020</v>
      </c>
      <c r="G3278" s="14" t="n">
        <v>1026117.945965187</v>
      </c>
      <c r="H3278" s="14" t="n">
        <v>503452.9141852286</v>
      </c>
      <c r="I3278" s="14" t="n">
        <v>280336.1071113436</v>
      </c>
      <c r="J3278" s="14" t="n">
        <v>0</v>
      </c>
      <c r="K3278" s="14" t="n">
        <v>28293.43595554127</v>
      </c>
      <c r="L3278" s="14" t="n">
        <v>214035.4887130737</v>
      </c>
      <c r="M3278" s="14" t="n">
        <v>0</v>
      </c>
      <c r="N3278" s="14" t="n">
        <v>503452.9141852286</v>
      </c>
      <c r="O3278" s="14" t="n">
        <v>812082.4572521136</v>
      </c>
      <c r="P3278" s="14" t="n">
        <v>0</v>
      </c>
      <c r="Q3278" s="14" t="n">
        <v>5862967.775797795</v>
      </c>
      <c r="R3278" s="15">
        <f>IF(D3278=1,"Section 1","Control")</f>
        <v/>
      </c>
      <c r="S3278" s="16">
        <f>N3278/10000</f>
        <v/>
      </c>
      <c r="T3278" s="16">
        <f>P3278/10000</f>
        <v/>
      </c>
      <c r="U3278" s="15">
        <f>IF(N3278&gt;=Summary!$D$3,1,0)</f>
        <v/>
      </c>
      <c r="V3278" s="17">
        <f>IF(N3278&gt;0,P3278/N3278,"")</f>
        <v/>
      </c>
      <c r="W3278" s="17">
        <f>IF(O3278&gt;0,H3278/O3278,"")</f>
        <v/>
      </c>
    </row>
    <row r="3279">
      <c r="A3279" s="13" t="inlineStr">
        <is>
          <t>CW27_B1</t>
        </is>
      </c>
      <c r="B3279" s="13" t="inlineStr">
        <is>
          <t>CW27</t>
        </is>
      </c>
      <c r="C3279" s="13" t="inlineStr">
        <is>
          <t>B1</t>
        </is>
      </c>
      <c r="D3279" s="13" t="n">
        <v>0</v>
      </c>
      <c r="E3279" s="13" t="inlineStr">
        <is>
          <t>W</t>
        </is>
      </c>
      <c r="F3279" s="13" t="n">
        <v>2021</v>
      </c>
      <c r="G3279" s="14" t="n">
        <v>1026117.945965187</v>
      </c>
      <c r="H3279" s="14" t="n">
        <v>513707.8728529388</v>
      </c>
      <c r="I3279" s="14" t="n">
        <v>252889.0205754598</v>
      </c>
      <c r="J3279" s="14" t="n">
        <v>0</v>
      </c>
      <c r="K3279" s="14" t="n">
        <v>59845.69037628176</v>
      </c>
      <c r="L3279" s="14" t="n">
        <v>199675.3621605069</v>
      </c>
      <c r="M3279" s="14" t="n">
        <v>0</v>
      </c>
      <c r="N3279" s="14" t="n">
        <v>503452.9141852286</v>
      </c>
      <c r="O3279" s="14" t="n">
        <v>812082.4572521136</v>
      </c>
      <c r="P3279" s="14" t="n">
        <v>21650.42925684312</v>
      </c>
      <c r="Q3279" s="14" t="n">
        <v>5862967.775797795</v>
      </c>
      <c r="R3279" s="15">
        <f>IF(D3279=1,"Section 1","Control")</f>
        <v/>
      </c>
      <c r="S3279" s="16">
        <f>N3279/10000</f>
        <v/>
      </c>
      <c r="T3279" s="16">
        <f>P3279/10000</f>
        <v/>
      </c>
      <c r="U3279" s="15">
        <f>IF(N3279&gt;=Summary!$D$3,1,0)</f>
        <v/>
      </c>
      <c r="V3279" s="17">
        <f>IF(N3279&gt;0,P3279/N3279,"")</f>
        <v/>
      </c>
      <c r="W3279" s="17">
        <f>IF(O3279&gt;0,H3279/O3279,"")</f>
        <v/>
      </c>
    </row>
    <row r="3280">
      <c r="A3280" s="13" t="inlineStr">
        <is>
          <t>CW27_B1</t>
        </is>
      </c>
      <c r="B3280" s="13" t="inlineStr">
        <is>
          <t>CW27</t>
        </is>
      </c>
      <c r="C3280" s="13" t="inlineStr">
        <is>
          <t>B1</t>
        </is>
      </c>
      <c r="D3280" s="13" t="n">
        <v>0</v>
      </c>
      <c r="E3280" s="13" t="inlineStr">
        <is>
          <t>W</t>
        </is>
      </c>
      <c r="F3280" s="13" t="n">
        <v>2022</v>
      </c>
      <c r="G3280" s="14" t="n">
        <v>1026117.945965187</v>
      </c>
      <c r="H3280" s="14" t="n">
        <v>491611.3629189886</v>
      </c>
      <c r="I3280" s="14" t="n">
        <v>283027.4302122528</v>
      </c>
      <c r="J3280" s="14" t="n">
        <v>0</v>
      </c>
      <c r="K3280" s="14" t="n">
        <v>68236.74413541908</v>
      </c>
      <c r="L3280" s="14" t="n">
        <v>183242.408698527</v>
      </c>
      <c r="M3280" s="14" t="n">
        <v>0</v>
      </c>
      <c r="N3280" s="14" t="n">
        <v>503452.9141852286</v>
      </c>
      <c r="O3280" s="14" t="n">
        <v>812082.4572521136</v>
      </c>
      <c r="P3280" s="14" t="n">
        <v>32936.03105396944</v>
      </c>
      <c r="Q3280" s="14" t="n">
        <v>5862967.775797795</v>
      </c>
      <c r="R3280" s="15">
        <f>IF(D3280=1,"Section 1","Control")</f>
        <v/>
      </c>
      <c r="S3280" s="16">
        <f>N3280/10000</f>
        <v/>
      </c>
      <c r="T3280" s="16">
        <f>P3280/10000</f>
        <v/>
      </c>
      <c r="U3280" s="15">
        <f>IF(N3280&gt;=Summary!$D$3,1,0)</f>
        <v/>
      </c>
      <c r="V3280" s="17">
        <f>IF(N3280&gt;0,P3280/N3280,"")</f>
        <v/>
      </c>
      <c r="W3280" s="17">
        <f>IF(O3280&gt;0,H3280/O3280,"")</f>
        <v/>
      </c>
    </row>
    <row r="3281">
      <c r="A3281" s="13" t="inlineStr">
        <is>
          <t>CW27_B1</t>
        </is>
      </c>
      <c r="B3281" s="13" t="inlineStr">
        <is>
          <t>CW27</t>
        </is>
      </c>
      <c r="C3281" s="13" t="inlineStr">
        <is>
          <t>B1</t>
        </is>
      </c>
      <c r="D3281" s="13" t="n">
        <v>0</v>
      </c>
      <c r="E3281" s="13" t="inlineStr">
        <is>
          <t>W</t>
        </is>
      </c>
      <c r="F3281" s="13" t="n">
        <v>2023</v>
      </c>
      <c r="G3281" s="14" t="n">
        <v>1026117.945965187</v>
      </c>
      <c r="H3281" s="14" t="n">
        <v>474264.2798710843</v>
      </c>
      <c r="I3281" s="14" t="n">
        <v>265478.5048554065</v>
      </c>
      <c r="J3281" s="14" t="n">
        <v>0</v>
      </c>
      <c r="K3281" s="14" t="n">
        <v>67381.63815448237</v>
      </c>
      <c r="L3281" s="14" t="n">
        <v>218993.5230842141</v>
      </c>
      <c r="M3281" s="14" t="n">
        <v>0</v>
      </c>
      <c r="N3281" s="14" t="n">
        <v>503452.9141852286</v>
      </c>
      <c r="O3281" s="14" t="n">
        <v>812082.4572521136</v>
      </c>
      <c r="P3281" s="14" t="n">
        <v>44801.20015964881</v>
      </c>
      <c r="Q3281" s="14" t="n">
        <v>5862967.775797795</v>
      </c>
      <c r="R3281" s="15">
        <f>IF(D3281=1,"Section 1","Control")</f>
        <v/>
      </c>
      <c r="S3281" s="16">
        <f>N3281/10000</f>
        <v/>
      </c>
      <c r="T3281" s="16">
        <f>P3281/10000</f>
        <v/>
      </c>
      <c r="U3281" s="15">
        <f>IF(N3281&gt;=Summary!$D$3,1,0)</f>
        <v/>
      </c>
      <c r="V3281" s="17">
        <f>IF(N3281&gt;0,P3281/N3281,"")</f>
        <v/>
      </c>
      <c r="W3281" s="17">
        <f>IF(O3281&gt;0,H3281/O3281,"")</f>
        <v/>
      </c>
    </row>
    <row r="3282">
      <c r="A3282" s="13" t="inlineStr">
        <is>
          <t>CW27_B1</t>
        </is>
      </c>
      <c r="B3282" s="13" t="inlineStr">
        <is>
          <t>CW27</t>
        </is>
      </c>
      <c r="C3282" s="13" t="inlineStr">
        <is>
          <t>B1</t>
        </is>
      </c>
      <c r="D3282" s="13" t="n">
        <v>0</v>
      </c>
      <c r="E3282" s="13" t="inlineStr">
        <is>
          <t>W</t>
        </is>
      </c>
      <c r="F3282" s="13" t="n">
        <v>2024</v>
      </c>
      <c r="G3282" s="14" t="n">
        <v>1026117.945965187</v>
      </c>
      <c r="H3282" s="14" t="n">
        <v>521714.1057933435</v>
      </c>
      <c r="I3282" s="14" t="n">
        <v>221474.8885753557</v>
      </c>
      <c r="J3282" s="14" t="n">
        <v>0</v>
      </c>
      <c r="K3282" s="14" t="n">
        <v>63929.62846922032</v>
      </c>
      <c r="L3282" s="14" t="n">
        <v>218999.3231272679</v>
      </c>
      <c r="M3282" s="14" t="n">
        <v>0</v>
      </c>
      <c r="N3282" s="14" t="n">
        <v>503452.9141852286</v>
      </c>
      <c r="O3282" s="14" t="n">
        <v>812082.4572521136</v>
      </c>
      <c r="P3282" s="14" t="n">
        <v>33900.46870503145</v>
      </c>
      <c r="Q3282" s="14" t="n">
        <v>5862967.775797795</v>
      </c>
      <c r="R3282" s="15">
        <f>IF(D3282=1,"Section 1","Control")</f>
        <v/>
      </c>
      <c r="S3282" s="16">
        <f>N3282/10000</f>
        <v/>
      </c>
      <c r="T3282" s="16">
        <f>P3282/10000</f>
        <v/>
      </c>
      <c r="U3282" s="15">
        <f>IF(N3282&gt;=Summary!$D$3,1,0)</f>
        <v/>
      </c>
      <c r="V3282" s="17">
        <f>IF(N3282&gt;0,P3282/N3282,"")</f>
        <v/>
      </c>
      <c r="W3282" s="17">
        <f>IF(O3282&gt;0,H3282/O3282,"")</f>
        <v/>
      </c>
    </row>
    <row r="3283">
      <c r="A3283" s="13" t="inlineStr">
        <is>
          <t>CW27_B1</t>
        </is>
      </c>
      <c r="B3283" s="13" t="inlineStr">
        <is>
          <t>CW27</t>
        </is>
      </c>
      <c r="C3283" s="13" t="inlineStr">
        <is>
          <t>B1</t>
        </is>
      </c>
      <c r="D3283" s="13" t="n">
        <v>0</v>
      </c>
      <c r="E3283" s="13" t="inlineStr">
        <is>
          <t>W</t>
        </is>
      </c>
      <c r="F3283" s="13" t="n">
        <v>2025</v>
      </c>
      <c r="G3283" s="14" t="n">
        <v>1026117.945965187</v>
      </c>
      <c r="H3283" s="14" t="n">
        <v>514314.1272746368</v>
      </c>
      <c r="I3283" s="14" t="n">
        <v>236974.4582858815</v>
      </c>
      <c r="J3283" s="14" t="n">
        <v>0</v>
      </c>
      <c r="K3283" s="14" t="n">
        <v>61465.67240768133</v>
      </c>
      <c r="L3283" s="14" t="n">
        <v>213363.6879969877</v>
      </c>
      <c r="M3283" s="14" t="n">
        <v>0</v>
      </c>
      <c r="N3283" s="14" t="n">
        <v>503452.9141852286</v>
      </c>
      <c r="O3283" s="14" t="n">
        <v>812082.4572521136</v>
      </c>
      <c r="P3283" s="14" t="n">
        <v>37897.61539046344</v>
      </c>
      <c r="Q3283" s="14" t="n">
        <v>5862967.775797795</v>
      </c>
      <c r="R3283" s="15">
        <f>IF(D3283=1,"Section 1","Control")</f>
        <v/>
      </c>
      <c r="S3283" s="16">
        <f>N3283/10000</f>
        <v/>
      </c>
      <c r="T3283" s="16">
        <f>P3283/10000</f>
        <v/>
      </c>
      <c r="U3283" s="15">
        <f>IF(N3283&gt;=Summary!$D$3,1,0)</f>
        <v/>
      </c>
      <c r="V3283" s="17">
        <f>IF(N3283&gt;0,P3283/N3283,"")</f>
        <v/>
      </c>
      <c r="W3283" s="17">
        <f>IF(O3283&gt;0,H3283/O3283,"")</f>
        <v/>
      </c>
    </row>
    <row r="3284">
      <c r="A3284" s="13" t="inlineStr">
        <is>
          <t>CW27_B1</t>
        </is>
      </c>
      <c r="B3284" s="13" t="inlineStr">
        <is>
          <t>CW27</t>
        </is>
      </c>
      <c r="C3284" s="13" t="inlineStr">
        <is>
          <t>B1</t>
        </is>
      </c>
      <c r="D3284" s="13" t="n">
        <v>0</v>
      </c>
      <c r="E3284" s="13" t="inlineStr">
        <is>
          <t>W</t>
        </is>
      </c>
      <c r="F3284" s="13" t="n">
        <v>2026</v>
      </c>
      <c r="G3284" s="14" t="n">
        <v>1026117.945965187</v>
      </c>
      <c r="H3284" s="14" t="n">
        <v>569269.2875318939</v>
      </c>
      <c r="I3284" s="14" t="n">
        <v>171841.3774774289</v>
      </c>
      <c r="J3284" s="14" t="n">
        <v>0</v>
      </c>
      <c r="K3284" s="14" t="n">
        <v>62248.14579084807</v>
      </c>
      <c r="L3284" s="14" t="n">
        <v>222759.1351650163</v>
      </c>
      <c r="M3284" s="14" t="n">
        <v>0</v>
      </c>
      <c r="N3284" s="14" t="n">
        <v>503452.9141852286</v>
      </c>
      <c r="O3284" s="14" t="n">
        <v>812082.4572521136</v>
      </c>
      <c r="P3284" s="14" t="n">
        <v>34614.77502788468</v>
      </c>
      <c r="Q3284" s="14" t="n">
        <v>5862967.775797795</v>
      </c>
      <c r="R3284" s="15">
        <f>IF(D3284=1,"Section 1","Control")</f>
        <v/>
      </c>
      <c r="S3284" s="16">
        <f>N3284/10000</f>
        <v/>
      </c>
      <c r="T3284" s="16">
        <f>P3284/10000</f>
        <v/>
      </c>
      <c r="U3284" s="15">
        <f>IF(N3284&gt;=Summary!$D$3,1,0)</f>
        <v/>
      </c>
      <c r="V3284" s="17">
        <f>IF(N3284&gt;0,P3284/N3284,"")</f>
        <v/>
      </c>
      <c r="W3284" s="17">
        <f>IF(O3284&gt;0,H3284/O3284,"")</f>
        <v/>
      </c>
    </row>
    <row r="3285">
      <c r="A3285" s="13" t="inlineStr">
        <is>
          <t>CW27_B2</t>
        </is>
      </c>
      <c r="B3285" s="13" t="inlineStr">
        <is>
          <t>CW27</t>
        </is>
      </c>
      <c r="C3285" s="13" t="inlineStr">
        <is>
          <t>B2</t>
        </is>
      </c>
      <c r="D3285" s="13" t="n">
        <v>0</v>
      </c>
      <c r="E3285" s="13" t="inlineStr">
        <is>
          <t>W</t>
        </is>
      </c>
      <c r="F3285" s="13" t="n">
        <v>2020</v>
      </c>
      <c r="G3285" s="14" t="n">
        <v>1025815.910203373</v>
      </c>
      <c r="H3285" s="14" t="n">
        <v>50946.6141900156</v>
      </c>
      <c r="I3285" s="14" t="n">
        <v>1851.034010793649</v>
      </c>
      <c r="J3285" s="14" t="n">
        <v>0</v>
      </c>
      <c r="K3285" s="14" t="n">
        <v>9406.548981550628</v>
      </c>
      <c r="L3285" s="14" t="n">
        <v>963611.7130210126</v>
      </c>
      <c r="M3285" s="14" t="n">
        <v>0</v>
      </c>
      <c r="N3285" s="14" t="n">
        <v>50946.6141900156</v>
      </c>
      <c r="O3285" s="14" t="n">
        <v>62204.19718235989</v>
      </c>
      <c r="P3285" s="14" t="n">
        <v>0</v>
      </c>
      <c r="Q3285" s="14" t="n">
        <v>342532.5463334027</v>
      </c>
      <c r="R3285" s="15">
        <f>IF(D3285=1,"Section 1","Control")</f>
        <v/>
      </c>
      <c r="S3285" s="16">
        <f>N3285/10000</f>
        <v/>
      </c>
      <c r="T3285" s="16">
        <f>P3285/10000</f>
        <v/>
      </c>
      <c r="U3285" s="15">
        <f>IF(N3285&gt;=Summary!$D$3,1,0)</f>
        <v/>
      </c>
      <c r="V3285" s="17">
        <f>IF(N3285&gt;0,P3285/N3285,"")</f>
        <v/>
      </c>
      <c r="W3285" s="17">
        <f>IF(O3285&gt;0,H3285/O3285,"")</f>
        <v/>
      </c>
    </row>
    <row r="3286">
      <c r="A3286" s="13" t="inlineStr">
        <is>
          <t>CW27_B2</t>
        </is>
      </c>
      <c r="B3286" s="13" t="inlineStr">
        <is>
          <t>CW27</t>
        </is>
      </c>
      <c r="C3286" s="13" t="inlineStr">
        <is>
          <t>B2</t>
        </is>
      </c>
      <c r="D3286" s="13" t="n">
        <v>0</v>
      </c>
      <c r="E3286" s="13" t="inlineStr">
        <is>
          <t>W</t>
        </is>
      </c>
      <c r="F3286" s="13" t="n">
        <v>2021</v>
      </c>
      <c r="G3286" s="14" t="n">
        <v>1025815.910203373</v>
      </c>
      <c r="H3286" s="14" t="n">
        <v>44041.53481567981</v>
      </c>
      <c r="I3286" s="14" t="n">
        <v>3237.081624169444</v>
      </c>
      <c r="J3286" s="14" t="n">
        <v>0</v>
      </c>
      <c r="K3286" s="14" t="n">
        <v>16510.2395831239</v>
      </c>
      <c r="L3286" s="14" t="n">
        <v>962027.0541803992</v>
      </c>
      <c r="M3286" s="14" t="n">
        <v>0</v>
      </c>
      <c r="N3286" s="14" t="n">
        <v>50946.6141900156</v>
      </c>
      <c r="O3286" s="14" t="n">
        <v>62204.19718235989</v>
      </c>
      <c r="P3286" s="14" t="n">
        <v>7299.987058661966</v>
      </c>
      <c r="Q3286" s="14" t="n">
        <v>342532.5463334027</v>
      </c>
      <c r="R3286" s="15">
        <f>IF(D3286=1,"Section 1","Control")</f>
        <v/>
      </c>
      <c r="S3286" s="16">
        <f>N3286/10000</f>
        <v/>
      </c>
      <c r="T3286" s="16">
        <f>P3286/10000</f>
        <v/>
      </c>
      <c r="U3286" s="15">
        <f>IF(N3286&gt;=Summary!$D$3,1,0)</f>
        <v/>
      </c>
      <c r="V3286" s="17">
        <f>IF(N3286&gt;0,P3286/N3286,"")</f>
        <v/>
      </c>
      <c r="W3286" s="17">
        <f>IF(O3286&gt;0,H3286/O3286,"")</f>
        <v/>
      </c>
    </row>
    <row r="3287">
      <c r="A3287" s="13" t="inlineStr">
        <is>
          <t>CW27_B2</t>
        </is>
      </c>
      <c r="B3287" s="13" t="inlineStr">
        <is>
          <t>CW27</t>
        </is>
      </c>
      <c r="C3287" s="13" t="inlineStr">
        <is>
          <t>B2</t>
        </is>
      </c>
      <c r="D3287" s="13" t="n">
        <v>0</v>
      </c>
      <c r="E3287" s="13" t="inlineStr">
        <is>
          <t>W</t>
        </is>
      </c>
      <c r="F3287" s="13" t="n">
        <v>2022</v>
      </c>
      <c r="G3287" s="14" t="n">
        <v>1025815.910203373</v>
      </c>
      <c r="H3287" s="14" t="n">
        <v>41534.25717644785</v>
      </c>
      <c r="I3287" s="14" t="n">
        <v>5797.787182497511</v>
      </c>
      <c r="J3287" s="14" t="n">
        <v>0</v>
      </c>
      <c r="K3287" s="14" t="n">
        <v>27318.3247638478</v>
      </c>
      <c r="L3287" s="14" t="n">
        <v>951165.5410805792</v>
      </c>
      <c r="M3287" s="14" t="n">
        <v>0</v>
      </c>
      <c r="N3287" s="14" t="n">
        <v>50946.6141900156</v>
      </c>
      <c r="O3287" s="14" t="n">
        <v>62204.19718235989</v>
      </c>
      <c r="P3287" s="14" t="n">
        <v>9905.990970476936</v>
      </c>
      <c r="Q3287" s="14" t="n">
        <v>342532.5463334027</v>
      </c>
      <c r="R3287" s="15">
        <f>IF(D3287=1,"Section 1","Control")</f>
        <v/>
      </c>
      <c r="S3287" s="16">
        <f>N3287/10000</f>
        <v/>
      </c>
      <c r="T3287" s="16">
        <f>P3287/10000</f>
        <v/>
      </c>
      <c r="U3287" s="15">
        <f>IF(N3287&gt;=Summary!$D$3,1,0)</f>
        <v/>
      </c>
      <c r="V3287" s="17">
        <f>IF(N3287&gt;0,P3287/N3287,"")</f>
        <v/>
      </c>
      <c r="W3287" s="17">
        <f>IF(O3287&gt;0,H3287/O3287,"")</f>
        <v/>
      </c>
    </row>
    <row r="3288">
      <c r="A3288" s="13" t="inlineStr">
        <is>
          <t>CW27_B2</t>
        </is>
      </c>
      <c r="B3288" s="13" t="inlineStr">
        <is>
          <t>CW27</t>
        </is>
      </c>
      <c r="C3288" s="13" t="inlineStr">
        <is>
          <t>B2</t>
        </is>
      </c>
      <c r="D3288" s="13" t="n">
        <v>0</v>
      </c>
      <c r="E3288" s="13" t="inlineStr">
        <is>
          <t>W</t>
        </is>
      </c>
      <c r="F3288" s="13" t="n">
        <v>2023</v>
      </c>
      <c r="G3288" s="14" t="n">
        <v>1025815.910203373</v>
      </c>
      <c r="H3288" s="14" t="n">
        <v>40063.41943721398</v>
      </c>
      <c r="I3288" s="14" t="n">
        <v>3813.182294778263</v>
      </c>
      <c r="J3288" s="14" t="n">
        <v>0</v>
      </c>
      <c r="K3288" s="14" t="n">
        <v>11614.16145225974</v>
      </c>
      <c r="L3288" s="14" t="n">
        <v>970325.1470191204</v>
      </c>
      <c r="M3288" s="14" t="n">
        <v>0</v>
      </c>
      <c r="N3288" s="14" t="n">
        <v>50946.6141900156</v>
      </c>
      <c r="O3288" s="14" t="n">
        <v>62204.19718235989</v>
      </c>
      <c r="P3288" s="14" t="n">
        <v>10883.19475280163</v>
      </c>
      <c r="Q3288" s="14" t="n">
        <v>342532.5463334027</v>
      </c>
      <c r="R3288" s="15">
        <f>IF(D3288=1,"Section 1","Control")</f>
        <v/>
      </c>
      <c r="S3288" s="16">
        <f>N3288/10000</f>
        <v/>
      </c>
      <c r="T3288" s="16">
        <f>P3288/10000</f>
        <v/>
      </c>
      <c r="U3288" s="15">
        <f>IF(N3288&gt;=Summary!$D$3,1,0)</f>
        <v/>
      </c>
      <c r="V3288" s="17">
        <f>IF(N3288&gt;0,P3288/N3288,"")</f>
        <v/>
      </c>
      <c r="W3288" s="17">
        <f>IF(O3288&gt;0,H3288/O3288,"")</f>
        <v/>
      </c>
    </row>
    <row r="3289">
      <c r="A3289" s="13" t="inlineStr">
        <is>
          <t>CW27_B2</t>
        </is>
      </c>
      <c r="B3289" s="13" t="inlineStr">
        <is>
          <t>CW27</t>
        </is>
      </c>
      <c r="C3289" s="13" t="inlineStr">
        <is>
          <t>B2</t>
        </is>
      </c>
      <c r="D3289" s="13" t="n">
        <v>0</v>
      </c>
      <c r="E3289" s="13" t="inlineStr">
        <is>
          <t>W</t>
        </is>
      </c>
      <c r="F3289" s="13" t="n">
        <v>2024</v>
      </c>
      <c r="G3289" s="14" t="n">
        <v>1025815.910203373</v>
      </c>
      <c r="H3289" s="14" t="n">
        <v>38915.47521652521</v>
      </c>
      <c r="I3289" s="14" t="n">
        <v>5356.032651026108</v>
      </c>
      <c r="J3289" s="14" t="n">
        <v>0</v>
      </c>
      <c r="K3289" s="14" t="n">
        <v>11663.33094482422</v>
      </c>
      <c r="L3289" s="14" t="n">
        <v>969881.071390997</v>
      </c>
      <c r="M3289" s="14" t="n">
        <v>0</v>
      </c>
      <c r="N3289" s="14" t="n">
        <v>50946.6141900156</v>
      </c>
      <c r="O3289" s="14" t="n">
        <v>62204.19718235989</v>
      </c>
      <c r="P3289" s="14" t="n">
        <v>12129.86563517253</v>
      </c>
      <c r="Q3289" s="14" t="n">
        <v>342532.5463334027</v>
      </c>
      <c r="R3289" s="15">
        <f>IF(D3289=1,"Section 1","Control")</f>
        <v/>
      </c>
      <c r="S3289" s="16">
        <f>N3289/10000</f>
        <v/>
      </c>
      <c r="T3289" s="16">
        <f>P3289/10000</f>
        <v/>
      </c>
      <c r="U3289" s="15">
        <f>IF(N3289&gt;=Summary!$D$3,1,0)</f>
        <v/>
      </c>
      <c r="V3289" s="17">
        <f>IF(N3289&gt;0,P3289/N3289,"")</f>
        <v/>
      </c>
      <c r="W3289" s="17">
        <f>IF(O3289&gt;0,H3289/O3289,"")</f>
        <v/>
      </c>
    </row>
    <row r="3290">
      <c r="A3290" s="13" t="inlineStr">
        <is>
          <t>CW27_B2</t>
        </is>
      </c>
      <c r="B3290" s="13" t="inlineStr">
        <is>
          <t>CW27</t>
        </is>
      </c>
      <c r="C3290" s="13" t="inlineStr">
        <is>
          <t>B2</t>
        </is>
      </c>
      <c r="D3290" s="13" t="n">
        <v>0</v>
      </c>
      <c r="E3290" s="13" t="inlineStr">
        <is>
          <t>W</t>
        </is>
      </c>
      <c r="F3290" s="13" t="n">
        <v>2025</v>
      </c>
      <c r="G3290" s="14" t="n">
        <v>1025815.910203373</v>
      </c>
      <c r="H3290" s="14" t="n">
        <v>38464.04447880165</v>
      </c>
      <c r="I3290" s="14" t="n">
        <v>6301.099436112946</v>
      </c>
      <c r="J3290" s="14" t="n">
        <v>0</v>
      </c>
      <c r="K3290" s="14" t="n">
        <v>14346.76695263432</v>
      </c>
      <c r="L3290" s="14" t="n">
        <v>966703.9993358236</v>
      </c>
      <c r="M3290" s="14" t="n">
        <v>0</v>
      </c>
      <c r="N3290" s="14" t="n">
        <v>50946.6141900156</v>
      </c>
      <c r="O3290" s="14" t="n">
        <v>62204.19718235989</v>
      </c>
      <c r="P3290" s="14" t="n">
        <v>12680.0236144122</v>
      </c>
      <c r="Q3290" s="14" t="n">
        <v>342532.5463334027</v>
      </c>
      <c r="R3290" s="15">
        <f>IF(D3290=1,"Section 1","Control")</f>
        <v/>
      </c>
      <c r="S3290" s="16">
        <f>N3290/10000</f>
        <v/>
      </c>
      <c r="T3290" s="16">
        <f>P3290/10000</f>
        <v/>
      </c>
      <c r="U3290" s="15">
        <f>IF(N3290&gt;=Summary!$D$3,1,0)</f>
        <v/>
      </c>
      <c r="V3290" s="17">
        <f>IF(N3290&gt;0,P3290/N3290,"")</f>
        <v/>
      </c>
      <c r="W3290" s="17">
        <f>IF(O3290&gt;0,H3290/O3290,"")</f>
        <v/>
      </c>
    </row>
    <row r="3291">
      <c r="A3291" s="13" t="inlineStr">
        <is>
          <t>CW27_B2</t>
        </is>
      </c>
      <c r="B3291" s="13" t="inlineStr">
        <is>
          <t>CW27</t>
        </is>
      </c>
      <c r="C3291" s="13" t="inlineStr">
        <is>
          <t>B2</t>
        </is>
      </c>
      <c r="D3291" s="13" t="n">
        <v>0</v>
      </c>
      <c r="E3291" s="13" t="inlineStr">
        <is>
          <t>W</t>
        </is>
      </c>
      <c r="F3291" s="13" t="n">
        <v>2026</v>
      </c>
      <c r="G3291" s="14" t="n">
        <v>1025815.910203373</v>
      </c>
      <c r="H3291" s="14" t="n">
        <v>40381.28081141453</v>
      </c>
      <c r="I3291" s="14" t="n">
        <v>2491.014951518937</v>
      </c>
      <c r="J3291" s="14" t="n">
        <v>0</v>
      </c>
      <c r="K3291" s="14" t="n">
        <v>9636.913619396732</v>
      </c>
      <c r="L3291" s="14" t="n">
        <v>973306.7008210424</v>
      </c>
      <c r="M3291" s="14" t="n">
        <v>0</v>
      </c>
      <c r="N3291" s="14" t="n">
        <v>50946.6141900156</v>
      </c>
      <c r="O3291" s="14" t="n">
        <v>62204.19718235989</v>
      </c>
      <c r="P3291" s="14" t="n">
        <v>10664.0603302002</v>
      </c>
      <c r="Q3291" s="14" t="n">
        <v>342532.5463334027</v>
      </c>
      <c r="R3291" s="15">
        <f>IF(D3291=1,"Section 1","Control")</f>
        <v/>
      </c>
      <c r="S3291" s="16">
        <f>N3291/10000</f>
        <v/>
      </c>
      <c r="T3291" s="16">
        <f>P3291/10000</f>
        <v/>
      </c>
      <c r="U3291" s="15">
        <f>IF(N3291&gt;=Summary!$D$3,1,0)</f>
        <v/>
      </c>
      <c r="V3291" s="17">
        <f>IF(N3291&gt;0,P3291/N3291,"")</f>
        <v/>
      </c>
      <c r="W3291" s="17">
        <f>IF(O3291&gt;0,H3291/O3291,"")</f>
        <v/>
      </c>
    </row>
    <row r="3292">
      <c r="A3292" s="13" t="inlineStr">
        <is>
          <t>CW27_B3</t>
        </is>
      </c>
      <c r="B3292" s="13" t="inlineStr">
        <is>
          <t>CW27</t>
        </is>
      </c>
      <c r="C3292" s="13" t="inlineStr">
        <is>
          <t>B3</t>
        </is>
      </c>
      <c r="D3292" s="13" t="n">
        <v>0</v>
      </c>
      <c r="E3292" s="13" t="inlineStr">
        <is>
          <t>W</t>
        </is>
      </c>
      <c r="F3292" s="13" t="n">
        <v>2020</v>
      </c>
      <c r="G3292" s="14" t="n">
        <v>8208010.114983142</v>
      </c>
      <c r="H3292" s="14" t="n">
        <v>2238063.282954646</v>
      </c>
      <c r="I3292" s="14" t="n">
        <v>241465.6457485125</v>
      </c>
      <c r="J3292" s="14" t="n">
        <v>0</v>
      </c>
      <c r="K3292" s="14" t="n">
        <v>1077351.905303117</v>
      </c>
      <c r="L3292" s="14" t="n">
        <v>4651129.280976866</v>
      </c>
      <c r="M3292" s="14" t="n">
        <v>0</v>
      </c>
      <c r="N3292" s="14" t="n">
        <v>2238063.282954646</v>
      </c>
      <c r="O3292" s="14" t="n">
        <v>3556880.834006275</v>
      </c>
      <c r="P3292" s="14" t="n">
        <v>0</v>
      </c>
      <c r="Q3292" s="14" t="n">
        <v>29632600.79986925</v>
      </c>
      <c r="R3292" s="15">
        <f>IF(D3292=1,"Section 1","Control")</f>
        <v/>
      </c>
      <c r="S3292" s="16">
        <f>N3292/10000</f>
        <v/>
      </c>
      <c r="T3292" s="16">
        <f>P3292/10000</f>
        <v/>
      </c>
      <c r="U3292" s="15">
        <f>IF(N3292&gt;=Summary!$D$3,1,0)</f>
        <v/>
      </c>
      <c r="V3292" s="17">
        <f>IF(N3292&gt;0,P3292/N3292,"")</f>
        <v/>
      </c>
      <c r="W3292" s="17">
        <f>IF(O3292&gt;0,H3292/O3292,"")</f>
        <v/>
      </c>
    </row>
    <row r="3293">
      <c r="A3293" s="13" t="inlineStr">
        <is>
          <t>CW27_B3</t>
        </is>
      </c>
      <c r="B3293" s="13" t="inlineStr">
        <is>
          <t>CW27</t>
        </is>
      </c>
      <c r="C3293" s="13" t="inlineStr">
        <is>
          <t>B3</t>
        </is>
      </c>
      <c r="D3293" s="13" t="n">
        <v>0</v>
      </c>
      <c r="E3293" s="13" t="inlineStr">
        <is>
          <t>W</t>
        </is>
      </c>
      <c r="F3293" s="13" t="n">
        <v>2021</v>
      </c>
      <c r="G3293" s="14" t="n">
        <v>8208010.114983142</v>
      </c>
      <c r="H3293" s="14" t="n">
        <v>1669569.637571567</v>
      </c>
      <c r="I3293" s="14" t="n">
        <v>70586.02645230759</v>
      </c>
      <c r="J3293" s="14" t="n">
        <v>0</v>
      </c>
      <c r="K3293" s="14" t="n">
        <v>1835960.125379316</v>
      </c>
      <c r="L3293" s="14" t="n">
        <v>4631894.325579952</v>
      </c>
      <c r="M3293" s="14" t="n">
        <v>0</v>
      </c>
      <c r="N3293" s="14" t="n">
        <v>2238063.282954646</v>
      </c>
      <c r="O3293" s="14" t="n">
        <v>3556880.834006276</v>
      </c>
      <c r="P3293" s="14" t="n">
        <v>584180.4416884778</v>
      </c>
      <c r="Q3293" s="14" t="n">
        <v>29632600.79986925</v>
      </c>
      <c r="R3293" s="15">
        <f>IF(D3293=1,"Section 1","Control")</f>
        <v/>
      </c>
      <c r="S3293" s="16">
        <f>N3293/10000</f>
        <v/>
      </c>
      <c r="T3293" s="16">
        <f>P3293/10000</f>
        <v/>
      </c>
      <c r="U3293" s="15">
        <f>IF(N3293&gt;=Summary!$D$3,1,0)</f>
        <v/>
      </c>
      <c r="V3293" s="17">
        <f>IF(N3293&gt;0,P3293/N3293,"")</f>
        <v/>
      </c>
      <c r="W3293" s="17">
        <f>IF(O3293&gt;0,H3293/O3293,"")</f>
        <v/>
      </c>
    </row>
    <row r="3294">
      <c r="A3294" s="13" t="inlineStr">
        <is>
          <t>CW27_B3</t>
        </is>
      </c>
      <c r="B3294" s="13" t="inlineStr">
        <is>
          <t>CW27</t>
        </is>
      </c>
      <c r="C3294" s="13" t="inlineStr">
        <is>
          <t>B3</t>
        </is>
      </c>
      <c r="D3294" s="13" t="n">
        <v>0</v>
      </c>
      <c r="E3294" s="13" t="inlineStr">
        <is>
          <t>W</t>
        </is>
      </c>
      <c r="F3294" s="13" t="n">
        <v>2022</v>
      </c>
      <c r="G3294" s="14" t="n">
        <v>8208010.114983142</v>
      </c>
      <c r="H3294" s="14" t="n">
        <v>1603713.340082386</v>
      </c>
      <c r="I3294" s="14" t="n">
        <v>239972.2459594427</v>
      </c>
      <c r="J3294" s="14" t="n">
        <v>0</v>
      </c>
      <c r="K3294" s="14" t="n">
        <v>1734926.237648309</v>
      </c>
      <c r="L3294" s="14" t="n">
        <v>4629398.291293005</v>
      </c>
      <c r="M3294" s="14" t="n">
        <v>0</v>
      </c>
      <c r="N3294" s="14" t="n">
        <v>2238063.282954646</v>
      </c>
      <c r="O3294" s="14" t="n">
        <v>3556880.834006276</v>
      </c>
      <c r="P3294" s="14" t="n">
        <v>640470.8976680981</v>
      </c>
      <c r="Q3294" s="14" t="n">
        <v>29632600.79986925</v>
      </c>
      <c r="R3294" s="15">
        <f>IF(D3294=1,"Section 1","Control")</f>
        <v/>
      </c>
      <c r="S3294" s="16">
        <f>N3294/10000</f>
        <v/>
      </c>
      <c r="T3294" s="16">
        <f>P3294/10000</f>
        <v/>
      </c>
      <c r="U3294" s="15">
        <f>IF(N3294&gt;=Summary!$D$3,1,0)</f>
        <v/>
      </c>
      <c r="V3294" s="17">
        <f>IF(N3294&gt;0,P3294/N3294,"")</f>
        <v/>
      </c>
      <c r="W3294" s="17">
        <f>IF(O3294&gt;0,H3294/O3294,"")</f>
        <v/>
      </c>
    </row>
    <row r="3295">
      <c r="A3295" s="13" t="inlineStr">
        <is>
          <t>CW27_B3</t>
        </is>
      </c>
      <c r="B3295" s="13" t="inlineStr">
        <is>
          <t>CW27</t>
        </is>
      </c>
      <c r="C3295" s="13" t="inlineStr">
        <is>
          <t>B3</t>
        </is>
      </c>
      <c r="D3295" s="13" t="n">
        <v>0</v>
      </c>
      <c r="E3295" s="13" t="inlineStr">
        <is>
          <t>W</t>
        </is>
      </c>
      <c r="F3295" s="13" t="n">
        <v>2023</v>
      </c>
      <c r="G3295" s="14" t="n">
        <v>8208010.114983142</v>
      </c>
      <c r="H3295" s="14" t="n">
        <v>1611344.563023406</v>
      </c>
      <c r="I3295" s="14" t="n">
        <v>203580.9069551954</v>
      </c>
      <c r="J3295" s="14" t="n">
        <v>0</v>
      </c>
      <c r="K3295" s="14" t="n">
        <v>1741140.391491998</v>
      </c>
      <c r="L3295" s="14" t="n">
        <v>4651944.253512543</v>
      </c>
      <c r="M3295" s="14" t="n">
        <v>0</v>
      </c>
      <c r="N3295" s="14" t="n">
        <v>2238063.282954646</v>
      </c>
      <c r="O3295" s="14" t="n">
        <v>3556880.834006276</v>
      </c>
      <c r="P3295" s="14" t="n">
        <v>646228.1070331949</v>
      </c>
      <c r="Q3295" s="14" t="n">
        <v>29632600.79986925</v>
      </c>
      <c r="R3295" s="15">
        <f>IF(D3295=1,"Section 1","Control")</f>
        <v/>
      </c>
      <c r="S3295" s="16">
        <f>N3295/10000</f>
        <v/>
      </c>
      <c r="T3295" s="16">
        <f>P3295/10000</f>
        <v/>
      </c>
      <c r="U3295" s="15">
        <f>IF(N3295&gt;=Summary!$D$3,1,0)</f>
        <v/>
      </c>
      <c r="V3295" s="17">
        <f>IF(N3295&gt;0,P3295/N3295,"")</f>
        <v/>
      </c>
      <c r="W3295" s="17">
        <f>IF(O3295&gt;0,H3295/O3295,"")</f>
        <v/>
      </c>
    </row>
    <row r="3296">
      <c r="A3296" s="13" t="inlineStr">
        <is>
          <t>CW27_B3</t>
        </is>
      </c>
      <c r="B3296" s="13" t="inlineStr">
        <is>
          <t>CW27</t>
        </is>
      </c>
      <c r="C3296" s="13" t="inlineStr">
        <is>
          <t>B3</t>
        </is>
      </c>
      <c r="D3296" s="13" t="n">
        <v>0</v>
      </c>
      <c r="E3296" s="13" t="inlineStr">
        <is>
          <t>W</t>
        </is>
      </c>
      <c r="F3296" s="13" t="n">
        <v>2024</v>
      </c>
      <c r="G3296" s="14" t="n">
        <v>8208010.114983142</v>
      </c>
      <c r="H3296" s="14" t="n">
        <v>1604873.308812758</v>
      </c>
      <c r="I3296" s="14" t="n">
        <v>239509.4651725919</v>
      </c>
      <c r="J3296" s="14" t="n">
        <v>0</v>
      </c>
      <c r="K3296" s="14" t="n">
        <v>1717928.002815726</v>
      </c>
      <c r="L3296" s="14" t="n">
        <v>4645699.338182068</v>
      </c>
      <c r="M3296" s="14" t="n">
        <v>0</v>
      </c>
      <c r="N3296" s="14" t="n">
        <v>2238063.282954646</v>
      </c>
      <c r="O3296" s="14" t="n">
        <v>3556880.834006276</v>
      </c>
      <c r="P3296" s="14" t="n">
        <v>659289.2580219043</v>
      </c>
      <c r="Q3296" s="14" t="n">
        <v>29632600.79986925</v>
      </c>
      <c r="R3296" s="15">
        <f>IF(D3296=1,"Section 1","Control")</f>
        <v/>
      </c>
      <c r="S3296" s="16">
        <f>N3296/10000</f>
        <v/>
      </c>
      <c r="T3296" s="16">
        <f>P3296/10000</f>
        <v/>
      </c>
      <c r="U3296" s="15">
        <f>IF(N3296&gt;=Summary!$D$3,1,0)</f>
        <v/>
      </c>
      <c r="V3296" s="17">
        <f>IF(N3296&gt;0,P3296/N3296,"")</f>
        <v/>
      </c>
      <c r="W3296" s="17">
        <f>IF(O3296&gt;0,H3296/O3296,"")</f>
        <v/>
      </c>
    </row>
    <row r="3297">
      <c r="A3297" s="13" t="inlineStr">
        <is>
          <t>CW27_B3</t>
        </is>
      </c>
      <c r="B3297" s="13" t="inlineStr">
        <is>
          <t>CW27</t>
        </is>
      </c>
      <c r="C3297" s="13" t="inlineStr">
        <is>
          <t>B3</t>
        </is>
      </c>
      <c r="D3297" s="13" t="n">
        <v>0</v>
      </c>
      <c r="E3297" s="13" t="inlineStr">
        <is>
          <t>W</t>
        </is>
      </c>
      <c r="F3297" s="13" t="n">
        <v>2025</v>
      </c>
      <c r="G3297" s="14" t="n">
        <v>8208010.114983142</v>
      </c>
      <c r="H3297" s="14" t="n">
        <v>1631558.638032921</v>
      </c>
      <c r="I3297" s="14" t="n">
        <v>321965.5033278821</v>
      </c>
      <c r="J3297" s="14" t="n">
        <v>0</v>
      </c>
      <c r="K3297" s="14" t="n">
        <v>1601535.871698387</v>
      </c>
      <c r="L3297" s="14" t="n">
        <v>4652950.101923953</v>
      </c>
      <c r="M3297" s="14" t="n">
        <v>0</v>
      </c>
      <c r="N3297" s="14" t="n">
        <v>2238063.282954646</v>
      </c>
      <c r="O3297" s="14" t="n">
        <v>3556880.834006276</v>
      </c>
      <c r="P3297" s="14" t="n">
        <v>657262.5640158859</v>
      </c>
      <c r="Q3297" s="14" t="n">
        <v>29632600.79986925</v>
      </c>
      <c r="R3297" s="15">
        <f>IF(D3297=1,"Section 1","Control")</f>
        <v/>
      </c>
      <c r="S3297" s="16">
        <f>N3297/10000</f>
        <v/>
      </c>
      <c r="T3297" s="16">
        <f>P3297/10000</f>
        <v/>
      </c>
      <c r="U3297" s="15">
        <f>IF(N3297&gt;=Summary!$D$3,1,0)</f>
        <v/>
      </c>
      <c r="V3297" s="17">
        <f>IF(N3297&gt;0,P3297/N3297,"")</f>
        <v/>
      </c>
      <c r="W3297" s="17">
        <f>IF(O3297&gt;0,H3297/O3297,"")</f>
        <v/>
      </c>
    </row>
    <row r="3298">
      <c r="A3298" s="13" t="inlineStr">
        <is>
          <t>CW27_B3</t>
        </is>
      </c>
      <c r="B3298" s="13" t="inlineStr">
        <is>
          <t>CW27</t>
        </is>
      </c>
      <c r="C3298" s="13" t="inlineStr">
        <is>
          <t>B3</t>
        </is>
      </c>
      <c r="D3298" s="13" t="n">
        <v>0</v>
      </c>
      <c r="E3298" s="13" t="inlineStr">
        <is>
          <t>W</t>
        </is>
      </c>
      <c r="F3298" s="13" t="n">
        <v>2026</v>
      </c>
      <c r="G3298" s="14" t="n">
        <v>8208010.114983142</v>
      </c>
      <c r="H3298" s="14" t="n">
        <v>1640688.28416012</v>
      </c>
      <c r="I3298" s="14" t="n">
        <v>153831.8330729466</v>
      </c>
      <c r="J3298" s="14" t="n">
        <v>0</v>
      </c>
      <c r="K3298" s="14" t="n">
        <v>1756190.139807997</v>
      </c>
      <c r="L3298" s="14" t="n">
        <v>4657299.85794208</v>
      </c>
      <c r="M3298" s="14" t="n">
        <v>0</v>
      </c>
      <c r="N3298" s="14" t="n">
        <v>2238063.282954646</v>
      </c>
      <c r="O3298" s="14" t="n">
        <v>3556880.834006276</v>
      </c>
      <c r="P3298" s="14" t="n">
        <v>656461.0645936255</v>
      </c>
      <c r="Q3298" s="14" t="n">
        <v>29632600.79986925</v>
      </c>
      <c r="R3298" s="15">
        <f>IF(D3298=1,"Section 1","Control")</f>
        <v/>
      </c>
      <c r="S3298" s="16">
        <f>N3298/10000</f>
        <v/>
      </c>
      <c r="T3298" s="16">
        <f>P3298/10000</f>
        <v/>
      </c>
      <c r="U3298" s="15">
        <f>IF(N3298&gt;=Summary!$D$3,1,0)</f>
        <v/>
      </c>
      <c r="V3298" s="17">
        <f>IF(N3298&gt;0,P3298/N3298,"")</f>
        <v/>
      </c>
      <c r="W3298" s="17">
        <f>IF(O3298&gt;0,H3298/O3298,"")</f>
        <v/>
      </c>
    </row>
    <row r="3299">
      <c r="A3299" s="13" t="inlineStr">
        <is>
          <t>CW27_F</t>
        </is>
      </c>
      <c r="B3299" s="13" t="inlineStr">
        <is>
          <t>CW27</t>
        </is>
      </c>
      <c r="C3299" s="13" t="inlineStr">
        <is>
          <t>F</t>
        </is>
      </c>
      <c r="D3299" s="13" t="n">
        <v>0</v>
      </c>
      <c r="E3299" s="13" t="inlineStr">
        <is>
          <t>W</t>
        </is>
      </c>
      <c r="F3299" s="13" t="n">
        <v>2020</v>
      </c>
      <c r="G3299" s="14" t="n">
        <v>70763.6526759727</v>
      </c>
      <c r="H3299" s="14" t="n">
        <v>40391.40681248085</v>
      </c>
      <c r="I3299" s="14" t="n">
        <v>29273.84727525897</v>
      </c>
      <c r="J3299" s="14" t="n">
        <v>0</v>
      </c>
      <c r="K3299" s="14" t="n">
        <v>1098.398588232901</v>
      </c>
      <c r="L3299" s="14" t="n">
        <v>0</v>
      </c>
      <c r="M3299" s="14" t="n">
        <v>0</v>
      </c>
      <c r="N3299" s="14" t="n">
        <v>40391.40681248085</v>
      </c>
      <c r="O3299" s="14" t="n">
        <v>70763.6526759727</v>
      </c>
      <c r="P3299" s="14" t="n">
        <v>0</v>
      </c>
      <c r="Q3299" s="14" t="n">
        <v>546308.6314247278</v>
      </c>
      <c r="R3299" s="15">
        <f>IF(D3299=1,"Section 1","Control")</f>
        <v/>
      </c>
      <c r="S3299" s="16">
        <f>N3299/10000</f>
        <v/>
      </c>
      <c r="T3299" s="16">
        <f>P3299/10000</f>
        <v/>
      </c>
      <c r="U3299" s="15">
        <f>IF(N3299&gt;=Summary!$D$3,1,0)</f>
        <v/>
      </c>
      <c r="V3299" s="17">
        <f>IF(N3299&gt;0,P3299/N3299,"")</f>
        <v/>
      </c>
      <c r="W3299" s="17">
        <f>IF(O3299&gt;0,H3299/O3299,"")</f>
        <v/>
      </c>
    </row>
    <row r="3300">
      <c r="A3300" s="13" t="inlineStr">
        <is>
          <t>CW27_F</t>
        </is>
      </c>
      <c r="B3300" s="13" t="inlineStr">
        <is>
          <t>CW27</t>
        </is>
      </c>
      <c r="C3300" s="13" t="inlineStr">
        <is>
          <t>F</t>
        </is>
      </c>
      <c r="D3300" s="13" t="n">
        <v>0</v>
      </c>
      <c r="E3300" s="13" t="inlineStr">
        <is>
          <t>W</t>
        </is>
      </c>
      <c r="F3300" s="13" t="n">
        <v>2021</v>
      </c>
      <c r="G3300" s="14" t="n">
        <v>70763.6526759727</v>
      </c>
      <c r="H3300" s="14" t="n">
        <v>42196.00067156622</v>
      </c>
      <c r="I3300" s="14" t="n">
        <v>24630.91699009316</v>
      </c>
      <c r="J3300" s="14" t="n">
        <v>0</v>
      </c>
      <c r="K3300" s="14" t="n">
        <v>3936.735014313342</v>
      </c>
      <c r="L3300" s="14" t="n">
        <v>0</v>
      </c>
      <c r="M3300" s="14" t="n">
        <v>0</v>
      </c>
      <c r="N3300" s="14" t="n">
        <v>40391.40681248085</v>
      </c>
      <c r="O3300" s="14" t="n">
        <v>70763.6526759727</v>
      </c>
      <c r="P3300" s="14" t="n">
        <v>2937.064497824276</v>
      </c>
      <c r="Q3300" s="14" t="n">
        <v>546308.6314247278</v>
      </c>
      <c r="R3300" s="15">
        <f>IF(D3300=1,"Section 1","Control")</f>
        <v/>
      </c>
      <c r="S3300" s="16">
        <f>N3300/10000</f>
        <v/>
      </c>
      <c r="T3300" s="16">
        <f>P3300/10000</f>
        <v/>
      </c>
      <c r="U3300" s="15">
        <f>IF(N3300&gt;=Summary!$D$3,1,0)</f>
        <v/>
      </c>
      <c r="V3300" s="17">
        <f>IF(N3300&gt;0,P3300/N3300,"")</f>
        <v/>
      </c>
      <c r="W3300" s="17">
        <f>IF(O3300&gt;0,H3300/O3300,"")</f>
        <v/>
      </c>
    </row>
    <row r="3301">
      <c r="A3301" s="13" t="inlineStr">
        <is>
          <t>CW27_F</t>
        </is>
      </c>
      <c r="B3301" s="13" t="inlineStr">
        <is>
          <t>CW27</t>
        </is>
      </c>
      <c r="C3301" s="13" t="inlineStr">
        <is>
          <t>F</t>
        </is>
      </c>
      <c r="D3301" s="13" t="n">
        <v>0</v>
      </c>
      <c r="E3301" s="13" t="inlineStr">
        <is>
          <t>W</t>
        </is>
      </c>
      <c r="F3301" s="13" t="n">
        <v>2022</v>
      </c>
      <c r="G3301" s="14" t="n">
        <v>70763.6526759727</v>
      </c>
      <c r="H3301" s="14" t="n">
        <v>41943.95369322532</v>
      </c>
      <c r="I3301" s="14" t="n">
        <v>24697.50987076105</v>
      </c>
      <c r="J3301" s="14" t="n">
        <v>0</v>
      </c>
      <c r="K3301" s="14" t="n">
        <v>4122.189111986347</v>
      </c>
      <c r="L3301" s="14" t="n">
        <v>0</v>
      </c>
      <c r="M3301" s="14" t="n">
        <v>0</v>
      </c>
      <c r="N3301" s="14" t="n">
        <v>40391.40681248085</v>
      </c>
      <c r="O3301" s="14" t="n">
        <v>70763.6526759727</v>
      </c>
      <c r="P3301" s="14" t="n">
        <v>3162.78419009938</v>
      </c>
      <c r="Q3301" s="14" t="n">
        <v>546308.6314247278</v>
      </c>
      <c r="R3301" s="15">
        <f>IF(D3301=1,"Section 1","Control")</f>
        <v/>
      </c>
      <c r="S3301" s="16">
        <f>N3301/10000</f>
        <v/>
      </c>
      <c r="T3301" s="16">
        <f>P3301/10000</f>
        <v/>
      </c>
      <c r="U3301" s="15">
        <f>IF(N3301&gt;=Summary!$D$3,1,0)</f>
        <v/>
      </c>
      <c r="V3301" s="17">
        <f>IF(N3301&gt;0,P3301/N3301,"")</f>
        <v/>
      </c>
      <c r="W3301" s="17">
        <f>IF(O3301&gt;0,H3301/O3301,"")</f>
        <v/>
      </c>
    </row>
    <row r="3302">
      <c r="A3302" s="13" t="inlineStr">
        <is>
          <t>CW27_F</t>
        </is>
      </c>
      <c r="B3302" s="13" t="inlineStr">
        <is>
          <t>CW27</t>
        </is>
      </c>
      <c r="C3302" s="13" t="inlineStr">
        <is>
          <t>F</t>
        </is>
      </c>
      <c r="D3302" s="13" t="n">
        <v>0</v>
      </c>
      <c r="E3302" s="13" t="inlineStr">
        <is>
          <t>W</t>
        </is>
      </c>
      <c r="F3302" s="13" t="n">
        <v>2023</v>
      </c>
      <c r="G3302" s="14" t="n">
        <v>70763.6526759727</v>
      </c>
      <c r="H3302" s="14" t="n">
        <v>37941.40016237146</v>
      </c>
      <c r="I3302" s="14" t="n">
        <v>22139.48444704542</v>
      </c>
      <c r="J3302" s="14" t="n">
        <v>0</v>
      </c>
      <c r="K3302" s="14" t="n">
        <v>10682.76806655584</v>
      </c>
      <c r="L3302" s="14" t="n">
        <v>0</v>
      </c>
      <c r="M3302" s="14" t="n">
        <v>0</v>
      </c>
      <c r="N3302" s="14" t="n">
        <v>40391.40681248085</v>
      </c>
      <c r="O3302" s="14" t="n">
        <v>70763.6526759727</v>
      </c>
      <c r="P3302" s="14" t="n">
        <v>5043.651401534735</v>
      </c>
      <c r="Q3302" s="14" t="n">
        <v>546308.6314247278</v>
      </c>
      <c r="R3302" s="15">
        <f>IF(D3302=1,"Section 1","Control")</f>
        <v/>
      </c>
      <c r="S3302" s="16">
        <f>N3302/10000</f>
        <v/>
      </c>
      <c r="T3302" s="16">
        <f>P3302/10000</f>
        <v/>
      </c>
      <c r="U3302" s="15">
        <f>IF(N3302&gt;=Summary!$D$3,1,0)</f>
        <v/>
      </c>
      <c r="V3302" s="17">
        <f>IF(N3302&gt;0,P3302/N3302,"")</f>
        <v/>
      </c>
      <c r="W3302" s="17">
        <f>IF(O3302&gt;0,H3302/O3302,"")</f>
        <v/>
      </c>
    </row>
    <row r="3303">
      <c r="A3303" s="13" t="inlineStr">
        <is>
          <t>CW27_F</t>
        </is>
      </c>
      <c r="B3303" s="13" t="inlineStr">
        <is>
          <t>CW27</t>
        </is>
      </c>
      <c r="C3303" s="13" t="inlineStr">
        <is>
          <t>F</t>
        </is>
      </c>
      <c r="D3303" s="13" t="n">
        <v>0</v>
      </c>
      <c r="E3303" s="13" t="inlineStr">
        <is>
          <t>W</t>
        </is>
      </c>
      <c r="F3303" s="13" t="n">
        <v>2024</v>
      </c>
      <c r="G3303" s="14" t="n">
        <v>70763.6526759727</v>
      </c>
      <c r="H3303" s="14" t="n">
        <v>43505.79307107363</v>
      </c>
      <c r="I3303" s="14" t="n">
        <v>17908.11457932416</v>
      </c>
      <c r="J3303" s="14" t="n">
        <v>0</v>
      </c>
      <c r="K3303" s="14" t="n">
        <v>9349.745025574925</v>
      </c>
      <c r="L3303" s="14" t="n">
        <v>0</v>
      </c>
      <c r="M3303" s="14" t="n">
        <v>0</v>
      </c>
      <c r="N3303" s="14" t="n">
        <v>40391.40681248085</v>
      </c>
      <c r="O3303" s="14" t="n">
        <v>70763.6526759727</v>
      </c>
      <c r="P3303" s="14" t="n">
        <v>4302.609815440458</v>
      </c>
      <c r="Q3303" s="14" t="n">
        <v>546308.6314247278</v>
      </c>
      <c r="R3303" s="15">
        <f>IF(D3303=1,"Section 1","Control")</f>
        <v/>
      </c>
      <c r="S3303" s="16">
        <f>N3303/10000</f>
        <v/>
      </c>
      <c r="T3303" s="16">
        <f>P3303/10000</f>
        <v/>
      </c>
      <c r="U3303" s="15">
        <f>IF(N3303&gt;=Summary!$D$3,1,0)</f>
        <v/>
      </c>
      <c r="V3303" s="17">
        <f>IF(N3303&gt;0,P3303/N3303,"")</f>
        <v/>
      </c>
      <c r="W3303" s="17">
        <f>IF(O3303&gt;0,H3303/O3303,"")</f>
        <v/>
      </c>
    </row>
    <row r="3304">
      <c r="A3304" s="13" t="inlineStr">
        <is>
          <t>CW27_F</t>
        </is>
      </c>
      <c r="B3304" s="13" t="inlineStr">
        <is>
          <t>CW27</t>
        </is>
      </c>
      <c r="C3304" s="13" t="inlineStr">
        <is>
          <t>F</t>
        </is>
      </c>
      <c r="D3304" s="13" t="n">
        <v>0</v>
      </c>
      <c r="E3304" s="13" t="inlineStr">
        <is>
          <t>W</t>
        </is>
      </c>
      <c r="F3304" s="13" t="n">
        <v>2025</v>
      </c>
      <c r="G3304" s="14" t="n">
        <v>70763.6526759727</v>
      </c>
      <c r="H3304" s="14" t="n">
        <v>42741.521237033</v>
      </c>
      <c r="I3304" s="14" t="n">
        <v>19029.74310087316</v>
      </c>
      <c r="J3304" s="14" t="n">
        <v>0</v>
      </c>
      <c r="K3304" s="14" t="n">
        <v>8992.38833806655</v>
      </c>
      <c r="L3304" s="14" t="n">
        <v>0</v>
      </c>
      <c r="M3304" s="14" t="n">
        <v>0</v>
      </c>
      <c r="N3304" s="14" t="n">
        <v>40391.40681248085</v>
      </c>
      <c r="O3304" s="14" t="n">
        <v>70763.6526759727</v>
      </c>
      <c r="P3304" s="14" t="n">
        <v>4709.911909574621</v>
      </c>
      <c r="Q3304" s="14" t="n">
        <v>546308.6314247278</v>
      </c>
      <c r="R3304" s="15">
        <f>IF(D3304=1,"Section 1","Control")</f>
        <v/>
      </c>
      <c r="S3304" s="16">
        <f>N3304/10000</f>
        <v/>
      </c>
      <c r="T3304" s="16">
        <f>P3304/10000</f>
        <v/>
      </c>
      <c r="U3304" s="15">
        <f>IF(N3304&gt;=Summary!$D$3,1,0)</f>
        <v/>
      </c>
      <c r="V3304" s="17">
        <f>IF(N3304&gt;0,P3304/N3304,"")</f>
        <v/>
      </c>
      <c r="W3304" s="17">
        <f>IF(O3304&gt;0,H3304/O3304,"")</f>
        <v/>
      </c>
    </row>
    <row r="3305">
      <c r="A3305" s="13" t="inlineStr">
        <is>
          <t>CW27_F</t>
        </is>
      </c>
      <c r="B3305" s="13" t="inlineStr">
        <is>
          <t>CW27</t>
        </is>
      </c>
      <c r="C3305" s="13" t="inlineStr">
        <is>
          <t>F</t>
        </is>
      </c>
      <c r="D3305" s="13" t="n">
        <v>0</v>
      </c>
      <c r="E3305" s="13" t="inlineStr">
        <is>
          <t>W</t>
        </is>
      </c>
      <c r="F3305" s="13" t="n">
        <v>2026</v>
      </c>
      <c r="G3305" s="14" t="n">
        <v>70763.6526759727</v>
      </c>
      <c r="H3305" s="14" t="n">
        <v>46070.40040181477</v>
      </c>
      <c r="I3305" s="14" t="n">
        <v>16108.16592093075</v>
      </c>
      <c r="J3305" s="14" t="n">
        <v>0</v>
      </c>
      <c r="K3305" s="14" t="n">
        <v>8585.086353227203</v>
      </c>
      <c r="L3305" s="14" t="n">
        <v>0</v>
      </c>
      <c r="M3305" s="14" t="n">
        <v>0</v>
      </c>
      <c r="N3305" s="14" t="n">
        <v>40391.40681248085</v>
      </c>
      <c r="O3305" s="14" t="n">
        <v>70763.6526759727</v>
      </c>
      <c r="P3305" s="14" t="n">
        <v>4179.490194043926</v>
      </c>
      <c r="Q3305" s="14" t="n">
        <v>546308.6314247278</v>
      </c>
      <c r="R3305" s="15">
        <f>IF(D3305=1,"Section 1","Control")</f>
        <v/>
      </c>
      <c r="S3305" s="16">
        <f>N3305/10000</f>
        <v/>
      </c>
      <c r="T3305" s="16">
        <f>P3305/10000</f>
        <v/>
      </c>
      <c r="U3305" s="15">
        <f>IF(N3305&gt;=Summary!$D$3,1,0)</f>
        <v/>
      </c>
      <c r="V3305" s="17">
        <f>IF(N3305&gt;0,P3305/N3305,"")</f>
        <v/>
      </c>
      <c r="W3305" s="17">
        <f>IF(O3305&gt;0,H3305/O3305,"")</f>
        <v/>
      </c>
    </row>
    <row r="3306">
      <c r="A3306" s="13" t="inlineStr">
        <is>
          <t>CW28_B1</t>
        </is>
      </c>
      <c r="B3306" s="13" t="inlineStr">
        <is>
          <t>CW28</t>
        </is>
      </c>
      <c r="C3306" s="13" t="inlineStr">
        <is>
          <t>B1</t>
        </is>
      </c>
      <c r="D3306" s="13" t="n">
        <v>0</v>
      </c>
      <c r="E3306" s="13" t="inlineStr">
        <is>
          <t>W</t>
        </is>
      </c>
      <c r="F3306" s="13" t="n">
        <v>2020</v>
      </c>
      <c r="G3306" s="14" t="n">
        <v>975915.58407536</v>
      </c>
      <c r="H3306" s="14" t="n">
        <v>701781.3840832284</v>
      </c>
      <c r="I3306" s="14" t="n">
        <v>138108.265843081</v>
      </c>
      <c r="J3306" s="14" t="n">
        <v>0</v>
      </c>
      <c r="K3306" s="14" t="n">
        <v>4738.971343994141</v>
      </c>
      <c r="L3306" s="14" t="n">
        <v>131286.9628050561</v>
      </c>
      <c r="M3306" s="14" t="n">
        <v>0</v>
      </c>
      <c r="N3306" s="14" t="n">
        <v>701781.3840832284</v>
      </c>
      <c r="O3306" s="14" t="n">
        <v>844628.6212703038</v>
      </c>
      <c r="P3306" s="14" t="n">
        <v>0</v>
      </c>
      <c r="Q3306" s="14" t="n">
        <v>6825639.519131289</v>
      </c>
      <c r="R3306" s="15">
        <f>IF(D3306=1,"Section 1","Control")</f>
        <v/>
      </c>
      <c r="S3306" s="16">
        <f>N3306/10000</f>
        <v/>
      </c>
      <c r="T3306" s="16">
        <f>P3306/10000</f>
        <v/>
      </c>
      <c r="U3306" s="15">
        <f>IF(N3306&gt;=Summary!$D$3,1,0)</f>
        <v/>
      </c>
      <c r="V3306" s="17">
        <f>IF(N3306&gt;0,P3306/N3306,"")</f>
        <v/>
      </c>
      <c r="W3306" s="17">
        <f>IF(O3306&gt;0,H3306/O3306,"")</f>
        <v/>
      </c>
    </row>
    <row r="3307">
      <c r="A3307" s="13" t="inlineStr">
        <is>
          <t>CW28_B1</t>
        </is>
      </c>
      <c r="B3307" s="13" t="inlineStr">
        <is>
          <t>CW28</t>
        </is>
      </c>
      <c r="C3307" s="13" t="inlineStr">
        <is>
          <t>B1</t>
        </is>
      </c>
      <c r="D3307" s="13" t="n">
        <v>0</v>
      </c>
      <c r="E3307" s="13" t="inlineStr">
        <is>
          <t>W</t>
        </is>
      </c>
      <c r="F3307" s="13" t="n">
        <v>2021</v>
      </c>
      <c r="G3307" s="14" t="n">
        <v>975915.58407536</v>
      </c>
      <c r="H3307" s="14" t="n">
        <v>692331.0083593935</v>
      </c>
      <c r="I3307" s="14" t="n">
        <v>159400.6998009177</v>
      </c>
      <c r="J3307" s="14" t="n">
        <v>0</v>
      </c>
      <c r="K3307" s="14" t="n">
        <v>8621.115301842783</v>
      </c>
      <c r="L3307" s="14" t="n">
        <v>115562.7606132058</v>
      </c>
      <c r="M3307" s="14" t="n">
        <v>0</v>
      </c>
      <c r="N3307" s="14" t="n">
        <v>701781.3840832284</v>
      </c>
      <c r="O3307" s="14" t="n">
        <v>844628.6212703038</v>
      </c>
      <c r="P3307" s="14" t="n">
        <v>13588.42127859078</v>
      </c>
      <c r="Q3307" s="14" t="n">
        <v>6825639.519131289</v>
      </c>
      <c r="R3307" s="15">
        <f>IF(D3307=1,"Section 1","Control")</f>
        <v/>
      </c>
      <c r="S3307" s="16">
        <f>N3307/10000</f>
        <v/>
      </c>
      <c r="T3307" s="16">
        <f>P3307/10000</f>
        <v/>
      </c>
      <c r="U3307" s="15">
        <f>IF(N3307&gt;=Summary!$D$3,1,0)</f>
        <v/>
      </c>
      <c r="V3307" s="17">
        <f>IF(N3307&gt;0,P3307/N3307,"")</f>
        <v/>
      </c>
      <c r="W3307" s="17">
        <f>IF(O3307&gt;0,H3307/O3307,"")</f>
        <v/>
      </c>
    </row>
    <row r="3308">
      <c r="A3308" s="13" t="inlineStr">
        <is>
          <t>CW28_B1</t>
        </is>
      </c>
      <c r="B3308" s="13" t="inlineStr">
        <is>
          <t>CW28</t>
        </is>
      </c>
      <c r="C3308" s="13" t="inlineStr">
        <is>
          <t>B1</t>
        </is>
      </c>
      <c r="D3308" s="13" t="n">
        <v>0</v>
      </c>
      <c r="E3308" s="13" t="inlineStr">
        <is>
          <t>W</t>
        </is>
      </c>
      <c r="F3308" s="13" t="n">
        <v>2022</v>
      </c>
      <c r="G3308" s="14" t="n">
        <v>975915.58407536</v>
      </c>
      <c r="H3308" s="14" t="n">
        <v>683405.5825814945</v>
      </c>
      <c r="I3308" s="14" t="n">
        <v>164046.3469471053</v>
      </c>
      <c r="J3308" s="14" t="n">
        <v>0</v>
      </c>
      <c r="K3308" s="14" t="n">
        <v>12701.88728467156</v>
      </c>
      <c r="L3308" s="14" t="n">
        <v>115761.7672620885</v>
      </c>
      <c r="M3308" s="14" t="n">
        <v>0</v>
      </c>
      <c r="N3308" s="14" t="n">
        <v>701781.3840832284</v>
      </c>
      <c r="O3308" s="14" t="n">
        <v>844628.6212703038</v>
      </c>
      <c r="P3308" s="14" t="n">
        <v>22763.94007278143</v>
      </c>
      <c r="Q3308" s="14" t="n">
        <v>6825639.519131289</v>
      </c>
      <c r="R3308" s="15">
        <f>IF(D3308=1,"Section 1","Control")</f>
        <v/>
      </c>
      <c r="S3308" s="16">
        <f>N3308/10000</f>
        <v/>
      </c>
      <c r="T3308" s="16">
        <f>P3308/10000</f>
        <v/>
      </c>
      <c r="U3308" s="15">
        <f>IF(N3308&gt;=Summary!$D$3,1,0)</f>
        <v/>
      </c>
      <c r="V3308" s="17">
        <f>IF(N3308&gt;0,P3308/N3308,"")</f>
        <v/>
      </c>
      <c r="W3308" s="17">
        <f>IF(O3308&gt;0,H3308/O3308,"")</f>
        <v/>
      </c>
    </row>
    <row r="3309">
      <c r="A3309" s="13" t="inlineStr">
        <is>
          <t>CW28_B1</t>
        </is>
      </c>
      <c r="B3309" s="13" t="inlineStr">
        <is>
          <t>CW28</t>
        </is>
      </c>
      <c r="C3309" s="13" t="inlineStr">
        <is>
          <t>B1</t>
        </is>
      </c>
      <c r="D3309" s="13" t="n">
        <v>0</v>
      </c>
      <c r="E3309" s="13" t="inlineStr">
        <is>
          <t>W</t>
        </is>
      </c>
      <c r="F3309" s="13" t="n">
        <v>2023</v>
      </c>
      <c r="G3309" s="14" t="n">
        <v>975915.58407536</v>
      </c>
      <c r="H3309" s="14" t="n">
        <v>686947.381554189</v>
      </c>
      <c r="I3309" s="14" t="n">
        <v>149225.1040898043</v>
      </c>
      <c r="J3309" s="14" t="n">
        <v>0</v>
      </c>
      <c r="K3309" s="14" t="n">
        <v>16848.46645489861</v>
      </c>
      <c r="L3309" s="14" t="n">
        <v>122894.631976468</v>
      </c>
      <c r="M3309" s="14" t="n">
        <v>0</v>
      </c>
      <c r="N3309" s="14" t="n">
        <v>701781.3840832284</v>
      </c>
      <c r="O3309" s="14" t="n">
        <v>844628.6212703038</v>
      </c>
      <c r="P3309" s="14" t="n">
        <v>22529.31772242527</v>
      </c>
      <c r="Q3309" s="14" t="n">
        <v>6825639.519131288</v>
      </c>
      <c r="R3309" s="15">
        <f>IF(D3309=1,"Section 1","Control")</f>
        <v/>
      </c>
      <c r="S3309" s="16">
        <f>N3309/10000</f>
        <v/>
      </c>
      <c r="T3309" s="16">
        <f>P3309/10000</f>
        <v/>
      </c>
      <c r="U3309" s="15">
        <f>IF(N3309&gt;=Summary!$D$3,1,0)</f>
        <v/>
      </c>
      <c r="V3309" s="17">
        <f>IF(N3309&gt;0,P3309/N3309,"")</f>
        <v/>
      </c>
      <c r="W3309" s="17">
        <f>IF(O3309&gt;0,H3309/O3309,"")</f>
        <v/>
      </c>
    </row>
    <row r="3310">
      <c r="A3310" s="13" t="inlineStr">
        <is>
          <t>CW28_B1</t>
        </is>
      </c>
      <c r="B3310" s="13" t="inlineStr">
        <is>
          <t>CW28</t>
        </is>
      </c>
      <c r="C3310" s="13" t="inlineStr">
        <is>
          <t>B1</t>
        </is>
      </c>
      <c r="D3310" s="13" t="n">
        <v>0</v>
      </c>
      <c r="E3310" s="13" t="inlineStr">
        <is>
          <t>W</t>
        </is>
      </c>
      <c r="F3310" s="13" t="n">
        <v>2024</v>
      </c>
      <c r="G3310" s="14" t="n">
        <v>975915.58407536</v>
      </c>
      <c r="H3310" s="14" t="n">
        <v>714806.3450647697</v>
      </c>
      <c r="I3310" s="14" t="n">
        <v>122430.4675224753</v>
      </c>
      <c r="J3310" s="14" t="n">
        <v>0</v>
      </c>
      <c r="K3310" s="14" t="n">
        <v>14019.41110229492</v>
      </c>
      <c r="L3310" s="14" t="n">
        <v>124659.36038582</v>
      </c>
      <c r="M3310" s="14" t="n">
        <v>0</v>
      </c>
      <c r="N3310" s="14" t="n">
        <v>701781.3840832284</v>
      </c>
      <c r="O3310" s="14" t="n">
        <v>844628.6212703038</v>
      </c>
      <c r="P3310" s="14" t="n">
        <v>12376.23915043251</v>
      </c>
      <c r="Q3310" s="14" t="n">
        <v>6825639.519131289</v>
      </c>
      <c r="R3310" s="15">
        <f>IF(D3310=1,"Section 1","Control")</f>
        <v/>
      </c>
      <c r="S3310" s="16">
        <f>N3310/10000</f>
        <v/>
      </c>
      <c r="T3310" s="16">
        <f>P3310/10000</f>
        <v/>
      </c>
      <c r="U3310" s="15">
        <f>IF(N3310&gt;=Summary!$D$3,1,0)</f>
        <v/>
      </c>
      <c r="V3310" s="17">
        <f>IF(N3310&gt;0,P3310/N3310,"")</f>
        <v/>
      </c>
      <c r="W3310" s="17">
        <f>IF(O3310&gt;0,H3310/O3310,"")</f>
        <v/>
      </c>
    </row>
    <row r="3311">
      <c r="A3311" s="13" t="inlineStr">
        <is>
          <t>CW28_B1</t>
        </is>
      </c>
      <c r="B3311" s="13" t="inlineStr">
        <is>
          <t>CW28</t>
        </is>
      </c>
      <c r="C3311" s="13" t="inlineStr">
        <is>
          <t>B1</t>
        </is>
      </c>
      <c r="D3311" s="13" t="n">
        <v>0</v>
      </c>
      <c r="E3311" s="13" t="inlineStr">
        <is>
          <t>W</t>
        </is>
      </c>
      <c r="F3311" s="13" t="n">
        <v>2025</v>
      </c>
      <c r="G3311" s="14" t="n">
        <v>975915.58407536</v>
      </c>
      <c r="H3311" s="14" t="n">
        <v>625354.9670554373</v>
      </c>
      <c r="I3311" s="14" t="n">
        <v>216852.3616941864</v>
      </c>
      <c r="J3311" s="14" t="n">
        <v>0</v>
      </c>
      <c r="K3311" s="14" t="n">
        <v>15861.18114139332</v>
      </c>
      <c r="L3311" s="14" t="n">
        <v>117847.0741843429</v>
      </c>
      <c r="M3311" s="14" t="n">
        <v>0</v>
      </c>
      <c r="N3311" s="14" t="n">
        <v>701781.3840832284</v>
      </c>
      <c r="O3311" s="14" t="n">
        <v>844628.6212703038</v>
      </c>
      <c r="P3311" s="14" t="n">
        <v>94157.47408928964</v>
      </c>
      <c r="Q3311" s="14" t="n">
        <v>6825639.519131289</v>
      </c>
      <c r="R3311" s="15">
        <f>IF(D3311=1,"Section 1","Control")</f>
        <v/>
      </c>
      <c r="S3311" s="16">
        <f>N3311/10000</f>
        <v/>
      </c>
      <c r="T3311" s="16">
        <f>P3311/10000</f>
        <v/>
      </c>
      <c r="U3311" s="15">
        <f>IF(N3311&gt;=Summary!$D$3,1,0)</f>
        <v/>
      </c>
      <c r="V3311" s="17">
        <f>IF(N3311&gt;0,P3311/N3311,"")</f>
        <v/>
      </c>
      <c r="W3311" s="17">
        <f>IF(O3311&gt;0,H3311/O3311,"")</f>
        <v/>
      </c>
    </row>
    <row r="3312">
      <c r="A3312" s="13" t="inlineStr">
        <is>
          <t>CW28_B1</t>
        </is>
      </c>
      <c r="B3312" s="13" t="inlineStr">
        <is>
          <t>CW28</t>
        </is>
      </c>
      <c r="C3312" s="13" t="inlineStr">
        <is>
          <t>B1</t>
        </is>
      </c>
      <c r="D3312" s="13" t="n">
        <v>0</v>
      </c>
      <c r="E3312" s="13" t="inlineStr">
        <is>
          <t>W</t>
        </is>
      </c>
      <c r="F3312" s="13" t="n">
        <v>2026</v>
      </c>
      <c r="G3312" s="14" t="n">
        <v>975915.58407536</v>
      </c>
      <c r="H3312" s="14" t="n">
        <v>576252.6934402764</v>
      </c>
      <c r="I3312" s="14" t="n">
        <v>249440.6803219366</v>
      </c>
      <c r="J3312" s="14" t="n">
        <v>0</v>
      </c>
      <c r="K3312" s="14" t="n">
        <v>24773.01989497765</v>
      </c>
      <c r="L3312" s="14" t="n">
        <v>125449.1904181686</v>
      </c>
      <c r="M3312" s="14" t="n">
        <v>0</v>
      </c>
      <c r="N3312" s="14" t="n">
        <v>701781.3840832284</v>
      </c>
      <c r="O3312" s="14" t="n">
        <v>844628.6212703038</v>
      </c>
      <c r="P3312" s="14" t="n">
        <v>141956.9423184563</v>
      </c>
      <c r="Q3312" s="14" t="n">
        <v>6825639.519131289</v>
      </c>
      <c r="R3312" s="15">
        <f>IF(D3312=1,"Section 1","Control")</f>
        <v/>
      </c>
      <c r="S3312" s="16">
        <f>N3312/10000</f>
        <v/>
      </c>
      <c r="T3312" s="16">
        <f>P3312/10000</f>
        <v/>
      </c>
      <c r="U3312" s="15">
        <f>IF(N3312&gt;=Summary!$D$3,1,0)</f>
        <v/>
      </c>
      <c r="V3312" s="17">
        <f>IF(N3312&gt;0,P3312/N3312,"")</f>
        <v/>
      </c>
      <c r="W3312" s="17">
        <f>IF(O3312&gt;0,H3312/O3312,"")</f>
        <v/>
      </c>
    </row>
    <row r="3313">
      <c r="A3313" s="13" t="inlineStr">
        <is>
          <t>CW28_B2</t>
        </is>
      </c>
      <c r="B3313" s="13" t="inlineStr">
        <is>
          <t>CW28</t>
        </is>
      </c>
      <c r="C3313" s="13" t="inlineStr">
        <is>
          <t>B2</t>
        </is>
      </c>
      <c r="D3313" s="13" t="n">
        <v>0</v>
      </c>
      <c r="E3313" s="13" t="inlineStr">
        <is>
          <t>W</t>
        </is>
      </c>
      <c r="F3313" s="13" t="n">
        <v>2020</v>
      </c>
      <c r="G3313" s="14" t="n">
        <v>975709.2197313502</v>
      </c>
      <c r="H3313" s="14" t="n">
        <v>236347.5825668933</v>
      </c>
      <c r="I3313" s="14" t="n">
        <v>46057.8694911882</v>
      </c>
      <c r="J3313" s="14" t="n">
        <v>0</v>
      </c>
      <c r="K3313" s="14" t="n">
        <v>8382.478570107853</v>
      </c>
      <c r="L3313" s="14" t="n">
        <v>684921.2891031601</v>
      </c>
      <c r="M3313" s="14" t="n">
        <v>0</v>
      </c>
      <c r="N3313" s="14" t="n">
        <v>236347.5825668933</v>
      </c>
      <c r="O3313" s="14" t="n">
        <v>290787.9306281894</v>
      </c>
      <c r="P3313" s="14" t="n">
        <v>0</v>
      </c>
      <c r="Q3313" s="14" t="n">
        <v>1783007.191174436</v>
      </c>
      <c r="R3313" s="15">
        <f>IF(D3313=1,"Section 1","Control")</f>
        <v/>
      </c>
      <c r="S3313" s="16">
        <f>N3313/10000</f>
        <v/>
      </c>
      <c r="T3313" s="16">
        <f>P3313/10000</f>
        <v/>
      </c>
      <c r="U3313" s="15">
        <f>IF(N3313&gt;=Summary!$D$3,1,0)</f>
        <v/>
      </c>
      <c r="V3313" s="17">
        <f>IF(N3313&gt;0,P3313/N3313,"")</f>
        <v/>
      </c>
      <c r="W3313" s="17">
        <f>IF(O3313&gt;0,H3313/O3313,"")</f>
        <v/>
      </c>
    </row>
    <row r="3314">
      <c r="A3314" s="13" t="inlineStr">
        <is>
          <t>CW28_B2</t>
        </is>
      </c>
      <c r="B3314" s="13" t="inlineStr">
        <is>
          <t>CW28</t>
        </is>
      </c>
      <c r="C3314" s="13" t="inlineStr">
        <is>
          <t>B2</t>
        </is>
      </c>
      <c r="D3314" s="13" t="n">
        <v>0</v>
      </c>
      <c r="E3314" s="13" t="inlineStr">
        <is>
          <t>W</t>
        </is>
      </c>
      <c r="F3314" s="13" t="n">
        <v>2021</v>
      </c>
      <c r="G3314" s="14" t="n">
        <v>975709.2197313502</v>
      </c>
      <c r="H3314" s="14" t="n">
        <v>210023.8969491099</v>
      </c>
      <c r="I3314" s="14" t="n">
        <v>48111.04340305703</v>
      </c>
      <c r="J3314" s="14" t="n">
        <v>0</v>
      </c>
      <c r="K3314" s="14" t="n">
        <v>39236.31492049273</v>
      </c>
      <c r="L3314" s="14" t="n">
        <v>678337.96445869</v>
      </c>
      <c r="M3314" s="14" t="n">
        <v>0</v>
      </c>
      <c r="N3314" s="14" t="n">
        <v>236347.5825668933</v>
      </c>
      <c r="O3314" s="14" t="n">
        <v>290787.9306281894</v>
      </c>
      <c r="P3314" s="14" t="n">
        <v>32839.65842662138</v>
      </c>
      <c r="Q3314" s="14" t="n">
        <v>1783007.191174436</v>
      </c>
      <c r="R3314" s="15">
        <f>IF(D3314=1,"Section 1","Control")</f>
        <v/>
      </c>
      <c r="S3314" s="16">
        <f>N3314/10000</f>
        <v/>
      </c>
      <c r="T3314" s="16">
        <f>P3314/10000</f>
        <v/>
      </c>
      <c r="U3314" s="15">
        <f>IF(N3314&gt;=Summary!$D$3,1,0)</f>
        <v/>
      </c>
      <c r="V3314" s="17">
        <f>IF(N3314&gt;0,P3314/N3314,"")</f>
        <v/>
      </c>
      <c r="W3314" s="17">
        <f>IF(O3314&gt;0,H3314/O3314,"")</f>
        <v/>
      </c>
    </row>
    <row r="3315">
      <c r="A3315" s="13" t="inlineStr">
        <is>
          <t>CW28_B2</t>
        </is>
      </c>
      <c r="B3315" s="13" t="inlineStr">
        <is>
          <t>CW28</t>
        </is>
      </c>
      <c r="C3315" s="13" t="inlineStr">
        <is>
          <t>B2</t>
        </is>
      </c>
      <c r="D3315" s="13" t="n">
        <v>0</v>
      </c>
      <c r="E3315" s="13" t="inlineStr">
        <is>
          <t>W</t>
        </is>
      </c>
      <c r="F3315" s="13" t="n">
        <v>2022</v>
      </c>
      <c r="G3315" s="14" t="n">
        <v>975709.21973135</v>
      </c>
      <c r="H3315" s="14" t="n">
        <v>205321.7852437038</v>
      </c>
      <c r="I3315" s="14" t="n">
        <v>66766.53061664058</v>
      </c>
      <c r="J3315" s="14" t="n">
        <v>0</v>
      </c>
      <c r="K3315" s="14" t="n">
        <v>33334.38830111635</v>
      </c>
      <c r="L3315" s="14" t="n">
        <v>670286.5155698888</v>
      </c>
      <c r="M3315" s="14" t="n">
        <v>0</v>
      </c>
      <c r="N3315" s="14" t="n">
        <v>236347.5825668933</v>
      </c>
      <c r="O3315" s="14" t="n">
        <v>290787.9306281894</v>
      </c>
      <c r="P3315" s="14" t="n">
        <v>36537.46744277057</v>
      </c>
      <c r="Q3315" s="14" t="n">
        <v>1783007.191174436</v>
      </c>
      <c r="R3315" s="15">
        <f>IF(D3315=1,"Section 1","Control")</f>
        <v/>
      </c>
      <c r="S3315" s="16">
        <f>N3315/10000</f>
        <v/>
      </c>
      <c r="T3315" s="16">
        <f>P3315/10000</f>
        <v/>
      </c>
      <c r="U3315" s="15">
        <f>IF(N3315&gt;=Summary!$D$3,1,0)</f>
        <v/>
      </c>
      <c r="V3315" s="17">
        <f>IF(N3315&gt;0,P3315/N3315,"")</f>
        <v/>
      </c>
      <c r="W3315" s="17">
        <f>IF(O3315&gt;0,H3315/O3315,"")</f>
        <v/>
      </c>
    </row>
    <row r="3316">
      <c r="A3316" s="13" t="inlineStr">
        <is>
          <t>CW28_B2</t>
        </is>
      </c>
      <c r="B3316" s="13" t="inlineStr">
        <is>
          <t>CW28</t>
        </is>
      </c>
      <c r="C3316" s="13" t="inlineStr">
        <is>
          <t>B2</t>
        </is>
      </c>
      <c r="D3316" s="13" t="n">
        <v>0</v>
      </c>
      <c r="E3316" s="13" t="inlineStr">
        <is>
          <t>W</t>
        </is>
      </c>
      <c r="F3316" s="13" t="n">
        <v>2023</v>
      </c>
      <c r="G3316" s="14" t="n">
        <v>975709.21973135</v>
      </c>
      <c r="H3316" s="14" t="n">
        <v>204874.2185405657</v>
      </c>
      <c r="I3316" s="14" t="n">
        <v>66621.73485487395</v>
      </c>
      <c r="J3316" s="14" t="n">
        <v>0</v>
      </c>
      <c r="K3316" s="14" t="n">
        <v>14750.5476673201</v>
      </c>
      <c r="L3316" s="14" t="n">
        <v>689462.7186685898</v>
      </c>
      <c r="M3316" s="14" t="n">
        <v>0</v>
      </c>
      <c r="N3316" s="14" t="n">
        <v>236347.5825668933</v>
      </c>
      <c r="O3316" s="14" t="n">
        <v>290787.9306281894</v>
      </c>
      <c r="P3316" s="14" t="n">
        <v>39228.26041708553</v>
      </c>
      <c r="Q3316" s="14" t="n">
        <v>1783007.191174436</v>
      </c>
      <c r="R3316" s="15">
        <f>IF(D3316=1,"Section 1","Control")</f>
        <v/>
      </c>
      <c r="S3316" s="16">
        <f>N3316/10000</f>
        <v/>
      </c>
      <c r="T3316" s="16">
        <f>P3316/10000</f>
        <v/>
      </c>
      <c r="U3316" s="15">
        <f>IF(N3316&gt;=Summary!$D$3,1,0)</f>
        <v/>
      </c>
      <c r="V3316" s="17">
        <f>IF(N3316&gt;0,P3316/N3316,"")</f>
        <v/>
      </c>
      <c r="W3316" s="17">
        <f>IF(O3316&gt;0,H3316/O3316,"")</f>
        <v/>
      </c>
    </row>
    <row r="3317">
      <c r="A3317" s="13" t="inlineStr">
        <is>
          <t>CW28_B2</t>
        </is>
      </c>
      <c r="B3317" s="13" t="inlineStr">
        <is>
          <t>CW28</t>
        </is>
      </c>
      <c r="C3317" s="13" t="inlineStr">
        <is>
          <t>B2</t>
        </is>
      </c>
      <c r="D3317" s="13" t="n">
        <v>0</v>
      </c>
      <c r="E3317" s="13" t="inlineStr">
        <is>
          <t>W</t>
        </is>
      </c>
      <c r="F3317" s="13" t="n">
        <v>2024</v>
      </c>
      <c r="G3317" s="14" t="n">
        <v>975709.2197313502</v>
      </c>
      <c r="H3317" s="14" t="n">
        <v>259405.2159501319</v>
      </c>
      <c r="I3317" s="14" t="n">
        <v>12090.73723168466</v>
      </c>
      <c r="J3317" s="14" t="n">
        <v>0</v>
      </c>
      <c r="K3317" s="14" t="n">
        <v>17811.07378273758</v>
      </c>
      <c r="L3317" s="14" t="n">
        <v>686402.1927667955</v>
      </c>
      <c r="M3317" s="14" t="n">
        <v>0</v>
      </c>
      <c r="N3317" s="14" t="n">
        <v>236347.5825668933</v>
      </c>
      <c r="O3317" s="14" t="n">
        <v>290787.9306281894</v>
      </c>
      <c r="P3317" s="14" t="n">
        <v>12887.51664578307</v>
      </c>
      <c r="Q3317" s="14" t="n">
        <v>1783007.191174436</v>
      </c>
      <c r="R3317" s="15">
        <f>IF(D3317=1,"Section 1","Control")</f>
        <v/>
      </c>
      <c r="S3317" s="16">
        <f>N3317/10000</f>
        <v/>
      </c>
      <c r="T3317" s="16">
        <f>P3317/10000</f>
        <v/>
      </c>
      <c r="U3317" s="15">
        <f>IF(N3317&gt;=Summary!$D$3,1,0)</f>
        <v/>
      </c>
      <c r="V3317" s="17">
        <f>IF(N3317&gt;0,P3317/N3317,"")</f>
        <v/>
      </c>
      <c r="W3317" s="17">
        <f>IF(O3317&gt;0,H3317/O3317,"")</f>
        <v/>
      </c>
    </row>
    <row r="3318">
      <c r="A3318" s="13" t="inlineStr">
        <is>
          <t>CW28_B2</t>
        </is>
      </c>
      <c r="B3318" s="13" t="inlineStr">
        <is>
          <t>CW28</t>
        </is>
      </c>
      <c r="C3318" s="13" t="inlineStr">
        <is>
          <t>B2</t>
        </is>
      </c>
      <c r="D3318" s="13" t="n">
        <v>0</v>
      </c>
      <c r="E3318" s="13" t="inlineStr">
        <is>
          <t>W</t>
        </is>
      </c>
      <c r="F3318" s="13" t="n">
        <v>2025</v>
      </c>
      <c r="G3318" s="14" t="n">
        <v>975709.2197313502</v>
      </c>
      <c r="H3318" s="14" t="n">
        <v>259202.7104007197</v>
      </c>
      <c r="I3318" s="14" t="n">
        <v>14465.22890322816</v>
      </c>
      <c r="J3318" s="14" t="n">
        <v>0</v>
      </c>
      <c r="K3318" s="14" t="n">
        <v>22747.40724068436</v>
      </c>
      <c r="L3318" s="14" t="n">
        <v>679293.8731867173</v>
      </c>
      <c r="M3318" s="14" t="n">
        <v>0</v>
      </c>
      <c r="N3318" s="14" t="n">
        <v>236347.5825668933</v>
      </c>
      <c r="O3318" s="14" t="n">
        <v>290787.9306281894</v>
      </c>
      <c r="P3318" s="14" t="n">
        <v>11154.96074978698</v>
      </c>
      <c r="Q3318" s="14" t="n">
        <v>1783007.191174436</v>
      </c>
      <c r="R3318" s="15">
        <f>IF(D3318=1,"Section 1","Control")</f>
        <v/>
      </c>
      <c r="S3318" s="16">
        <f>N3318/10000</f>
        <v/>
      </c>
      <c r="T3318" s="16">
        <f>P3318/10000</f>
        <v/>
      </c>
      <c r="U3318" s="15">
        <f>IF(N3318&gt;=Summary!$D$3,1,0)</f>
        <v/>
      </c>
      <c r="V3318" s="17">
        <f>IF(N3318&gt;0,P3318/N3318,"")</f>
        <v/>
      </c>
      <c r="W3318" s="17">
        <f>IF(O3318&gt;0,H3318/O3318,"")</f>
        <v/>
      </c>
    </row>
    <row r="3319">
      <c r="A3319" s="13" t="inlineStr">
        <is>
          <t>CW28_B2</t>
        </is>
      </c>
      <c r="B3319" s="13" t="inlineStr">
        <is>
          <t>CW28</t>
        </is>
      </c>
      <c r="C3319" s="13" t="inlineStr">
        <is>
          <t>B2</t>
        </is>
      </c>
      <c r="D3319" s="13" t="n">
        <v>0</v>
      </c>
      <c r="E3319" s="13" t="inlineStr">
        <is>
          <t>W</t>
        </is>
      </c>
      <c r="F3319" s="13" t="n">
        <v>2026</v>
      </c>
      <c r="G3319" s="14" t="n">
        <v>975709.21973135</v>
      </c>
      <c r="H3319" s="14" t="n">
        <v>221903.6523559271</v>
      </c>
      <c r="I3319" s="14" t="n">
        <v>49967.0751466639</v>
      </c>
      <c r="J3319" s="14" t="n">
        <v>0</v>
      </c>
      <c r="K3319" s="14" t="n">
        <v>10050.38547058106</v>
      </c>
      <c r="L3319" s="14" t="n">
        <v>693788.1067581775</v>
      </c>
      <c r="M3319" s="14" t="n">
        <v>0</v>
      </c>
      <c r="N3319" s="14" t="n">
        <v>236347.5825668933</v>
      </c>
      <c r="O3319" s="14" t="n">
        <v>290787.9306281894</v>
      </c>
      <c r="P3319" s="14" t="n">
        <v>28307.5117341883</v>
      </c>
      <c r="Q3319" s="14" t="n">
        <v>1783007.191174436</v>
      </c>
      <c r="R3319" s="15">
        <f>IF(D3319=1,"Section 1","Control")</f>
        <v/>
      </c>
      <c r="S3319" s="16">
        <f>N3319/10000</f>
        <v/>
      </c>
      <c r="T3319" s="16">
        <f>P3319/10000</f>
        <v/>
      </c>
      <c r="U3319" s="15">
        <f>IF(N3319&gt;=Summary!$D$3,1,0)</f>
        <v/>
      </c>
      <c r="V3319" s="17">
        <f>IF(N3319&gt;0,P3319/N3319,"")</f>
        <v/>
      </c>
      <c r="W3319" s="17">
        <f>IF(O3319&gt;0,H3319/O3319,"")</f>
        <v/>
      </c>
    </row>
    <row r="3320">
      <c r="A3320" s="13" t="inlineStr">
        <is>
          <t>CW28_B3</t>
        </is>
      </c>
      <c r="B3320" s="13" t="inlineStr">
        <is>
          <t>CW28</t>
        </is>
      </c>
      <c r="C3320" s="13" t="inlineStr">
        <is>
          <t>B3</t>
        </is>
      </c>
      <c r="D3320" s="13" t="n">
        <v>0</v>
      </c>
      <c r="E3320" s="13" t="inlineStr">
        <is>
          <t>W</t>
        </is>
      </c>
      <c r="F3320" s="13" t="n">
        <v>2020</v>
      </c>
      <c r="G3320" s="14" t="n">
        <v>7805478.799331424</v>
      </c>
      <c r="H3320" s="14" t="n">
        <v>1895437.299643992</v>
      </c>
      <c r="I3320" s="14" t="n">
        <v>278301.4119635488</v>
      </c>
      <c r="J3320" s="14" t="n">
        <v>0</v>
      </c>
      <c r="K3320" s="14" t="n">
        <v>1526876.959091905</v>
      </c>
      <c r="L3320" s="14" t="n">
        <v>4104863.128631982</v>
      </c>
      <c r="M3320" s="14" t="n">
        <v>0</v>
      </c>
      <c r="N3320" s="14" t="n">
        <v>1895437.299643992</v>
      </c>
      <c r="O3320" s="14" t="n">
        <v>3700615.670699445</v>
      </c>
      <c r="P3320" s="14" t="n">
        <v>0</v>
      </c>
      <c r="Q3320" s="14" t="n">
        <v>33217851.17221721</v>
      </c>
      <c r="R3320" s="15">
        <f>IF(D3320=1,"Section 1","Control")</f>
        <v/>
      </c>
      <c r="S3320" s="16">
        <f>N3320/10000</f>
        <v/>
      </c>
      <c r="T3320" s="16">
        <f>P3320/10000</f>
        <v/>
      </c>
      <c r="U3320" s="15">
        <f>IF(N3320&gt;=Summary!$D$3,1,0)</f>
        <v/>
      </c>
      <c r="V3320" s="17">
        <f>IF(N3320&gt;0,P3320/N3320,"")</f>
        <v/>
      </c>
      <c r="W3320" s="17">
        <f>IF(O3320&gt;0,H3320/O3320,"")</f>
        <v/>
      </c>
    </row>
    <row r="3321">
      <c r="A3321" s="13" t="inlineStr">
        <is>
          <t>CW28_B3</t>
        </is>
      </c>
      <c r="B3321" s="13" t="inlineStr">
        <is>
          <t>CW28</t>
        </is>
      </c>
      <c r="C3321" s="13" t="inlineStr">
        <is>
          <t>B3</t>
        </is>
      </c>
      <c r="D3321" s="13" t="n">
        <v>0</v>
      </c>
      <c r="E3321" s="13" t="inlineStr">
        <is>
          <t>W</t>
        </is>
      </c>
      <c r="F3321" s="13" t="n">
        <v>2021</v>
      </c>
      <c r="G3321" s="14" t="n">
        <v>7805478.799331423</v>
      </c>
      <c r="H3321" s="14" t="n">
        <v>1511757.780844834</v>
      </c>
      <c r="I3321" s="14" t="n">
        <v>61261.09890088848</v>
      </c>
      <c r="J3321" s="14" t="n">
        <v>0</v>
      </c>
      <c r="K3321" s="14" t="n">
        <v>2154691.467508832</v>
      </c>
      <c r="L3321" s="14" t="n">
        <v>4077768.452076872</v>
      </c>
      <c r="M3321" s="14" t="n">
        <v>0</v>
      </c>
      <c r="N3321" s="14" t="n">
        <v>1895437.299643992</v>
      </c>
      <c r="O3321" s="14" t="n">
        <v>3700615.670699445</v>
      </c>
      <c r="P3321" s="14" t="n">
        <v>397102.2387680352</v>
      </c>
      <c r="Q3321" s="14" t="n">
        <v>33217851.17221721</v>
      </c>
      <c r="R3321" s="15">
        <f>IF(D3321=1,"Section 1","Control")</f>
        <v/>
      </c>
      <c r="S3321" s="16">
        <f>N3321/10000</f>
        <v/>
      </c>
      <c r="T3321" s="16">
        <f>P3321/10000</f>
        <v/>
      </c>
      <c r="U3321" s="15">
        <f>IF(N3321&gt;=Summary!$D$3,1,0)</f>
        <v/>
      </c>
      <c r="V3321" s="17">
        <f>IF(N3321&gt;0,P3321/N3321,"")</f>
        <v/>
      </c>
      <c r="W3321" s="17">
        <f>IF(O3321&gt;0,H3321/O3321,"")</f>
        <v/>
      </c>
    </row>
    <row r="3322">
      <c r="A3322" s="13" t="inlineStr">
        <is>
          <t>CW28_B3</t>
        </is>
      </c>
      <c r="B3322" s="13" t="inlineStr">
        <is>
          <t>CW28</t>
        </is>
      </c>
      <c r="C3322" s="13" t="inlineStr">
        <is>
          <t>B3</t>
        </is>
      </c>
      <c r="D3322" s="13" t="n">
        <v>0</v>
      </c>
      <c r="E3322" s="13" t="inlineStr">
        <is>
          <t>W</t>
        </is>
      </c>
      <c r="F3322" s="13" t="n">
        <v>2022</v>
      </c>
      <c r="G3322" s="14" t="n">
        <v>7805478.799331423</v>
      </c>
      <c r="H3322" s="14" t="n">
        <v>1453424.406093014</v>
      </c>
      <c r="I3322" s="14" t="n">
        <v>208901.1650698194</v>
      </c>
      <c r="J3322" s="14" t="n">
        <v>0</v>
      </c>
      <c r="K3322" s="14" t="n">
        <v>2079897.501242784</v>
      </c>
      <c r="L3322" s="14" t="n">
        <v>4063255.72692581</v>
      </c>
      <c r="M3322" s="14" t="n">
        <v>0</v>
      </c>
      <c r="N3322" s="14" t="n">
        <v>1895437.299643992</v>
      </c>
      <c r="O3322" s="14" t="n">
        <v>3700615.670699445</v>
      </c>
      <c r="P3322" s="14" t="n">
        <v>447340.1728307686</v>
      </c>
      <c r="Q3322" s="14" t="n">
        <v>33217851.17221721</v>
      </c>
      <c r="R3322" s="15">
        <f>IF(D3322=1,"Section 1","Control")</f>
        <v/>
      </c>
      <c r="S3322" s="16">
        <f>N3322/10000</f>
        <v/>
      </c>
      <c r="T3322" s="16">
        <f>P3322/10000</f>
        <v/>
      </c>
      <c r="U3322" s="15">
        <f>IF(N3322&gt;=Summary!$D$3,1,0)</f>
        <v/>
      </c>
      <c r="V3322" s="17">
        <f>IF(N3322&gt;0,P3322/N3322,"")</f>
        <v/>
      </c>
      <c r="W3322" s="17">
        <f>IF(O3322&gt;0,H3322/O3322,"")</f>
        <v/>
      </c>
    </row>
    <row r="3323">
      <c r="A3323" s="13" t="inlineStr">
        <is>
          <t>CW28_B3</t>
        </is>
      </c>
      <c r="B3323" s="13" t="inlineStr">
        <is>
          <t>CW28</t>
        </is>
      </c>
      <c r="C3323" s="13" t="inlineStr">
        <is>
          <t>B3</t>
        </is>
      </c>
      <c r="D3323" s="13" t="n">
        <v>0</v>
      </c>
      <c r="E3323" s="13" t="inlineStr">
        <is>
          <t>W</t>
        </is>
      </c>
      <c r="F3323" s="13" t="n">
        <v>2023</v>
      </c>
      <c r="G3323" s="14" t="n">
        <v>7805478.799331423</v>
      </c>
      <c r="H3323" s="14" t="n">
        <v>1433997.808748253</v>
      </c>
      <c r="I3323" s="14" t="n">
        <v>207447.9555340636</v>
      </c>
      <c r="J3323" s="14" t="n">
        <v>0</v>
      </c>
      <c r="K3323" s="14" t="n">
        <v>2062650.867859335</v>
      </c>
      <c r="L3323" s="14" t="n">
        <v>4101382.167189775</v>
      </c>
      <c r="M3323" s="14" t="n">
        <v>0</v>
      </c>
      <c r="N3323" s="14" t="n">
        <v>1895437.299643992</v>
      </c>
      <c r="O3323" s="14" t="n">
        <v>3700615.670699445</v>
      </c>
      <c r="P3323" s="14" t="n">
        <v>468445.0606876148</v>
      </c>
      <c r="Q3323" s="14" t="n">
        <v>33217851.17221721</v>
      </c>
      <c r="R3323" s="15">
        <f>IF(D3323=1,"Section 1","Control")</f>
        <v/>
      </c>
      <c r="S3323" s="16">
        <f>N3323/10000</f>
        <v/>
      </c>
      <c r="T3323" s="16">
        <f>P3323/10000</f>
        <v/>
      </c>
      <c r="U3323" s="15">
        <f>IF(N3323&gt;=Summary!$D$3,1,0)</f>
        <v/>
      </c>
      <c r="V3323" s="17">
        <f>IF(N3323&gt;0,P3323/N3323,"")</f>
        <v/>
      </c>
      <c r="W3323" s="17">
        <f>IF(O3323&gt;0,H3323/O3323,"")</f>
        <v/>
      </c>
    </row>
    <row r="3324">
      <c r="A3324" s="13" t="inlineStr">
        <is>
          <t>CW28_B3</t>
        </is>
      </c>
      <c r="B3324" s="13" t="inlineStr">
        <is>
          <t>CW28</t>
        </is>
      </c>
      <c r="C3324" s="13" t="inlineStr">
        <is>
          <t>B3</t>
        </is>
      </c>
      <c r="D3324" s="13" t="n">
        <v>0</v>
      </c>
      <c r="E3324" s="13" t="inlineStr">
        <is>
          <t>W</t>
        </is>
      </c>
      <c r="F3324" s="13" t="n">
        <v>2024</v>
      </c>
      <c r="G3324" s="14" t="n">
        <v>7805478.799331424</v>
      </c>
      <c r="H3324" s="14" t="n">
        <v>1450532.727607817</v>
      </c>
      <c r="I3324" s="14" t="n">
        <v>245640.8776028203</v>
      </c>
      <c r="J3324" s="14" t="n">
        <v>0</v>
      </c>
      <c r="K3324" s="14" t="n">
        <v>2012584.828609511</v>
      </c>
      <c r="L3324" s="14" t="n">
        <v>4096720.365511278</v>
      </c>
      <c r="M3324" s="14" t="n">
        <v>0</v>
      </c>
      <c r="N3324" s="14" t="n">
        <v>1895437.299643992</v>
      </c>
      <c r="O3324" s="14" t="n">
        <v>3700615.670699445</v>
      </c>
      <c r="P3324" s="14" t="n">
        <v>464891.9079643698</v>
      </c>
      <c r="Q3324" s="14" t="n">
        <v>33217851.17221721</v>
      </c>
      <c r="R3324" s="15">
        <f>IF(D3324=1,"Section 1","Control")</f>
        <v/>
      </c>
      <c r="S3324" s="16">
        <f>N3324/10000</f>
        <v/>
      </c>
      <c r="T3324" s="16">
        <f>P3324/10000</f>
        <v/>
      </c>
      <c r="U3324" s="15">
        <f>IF(N3324&gt;=Summary!$D$3,1,0)</f>
        <v/>
      </c>
      <c r="V3324" s="17">
        <f>IF(N3324&gt;0,P3324/N3324,"")</f>
        <v/>
      </c>
      <c r="W3324" s="17">
        <f>IF(O3324&gt;0,H3324/O3324,"")</f>
        <v/>
      </c>
    </row>
    <row r="3325">
      <c r="A3325" s="13" t="inlineStr">
        <is>
          <t>CW28_B3</t>
        </is>
      </c>
      <c r="B3325" s="13" t="inlineStr">
        <is>
          <t>CW28</t>
        </is>
      </c>
      <c r="C3325" s="13" t="inlineStr">
        <is>
          <t>B3</t>
        </is>
      </c>
      <c r="D3325" s="13" t="n">
        <v>0</v>
      </c>
      <c r="E3325" s="13" t="inlineStr">
        <is>
          <t>W</t>
        </is>
      </c>
      <c r="F3325" s="13" t="n">
        <v>2025</v>
      </c>
      <c r="G3325" s="14" t="n">
        <v>7805478.799331423</v>
      </c>
      <c r="H3325" s="14" t="n">
        <v>1462646.054956444</v>
      </c>
      <c r="I3325" s="14" t="n">
        <v>315526.0218501969</v>
      </c>
      <c r="J3325" s="14" t="n">
        <v>0</v>
      </c>
      <c r="K3325" s="14" t="n">
        <v>1924786.691849652</v>
      </c>
      <c r="L3325" s="14" t="n">
        <v>4102520.030675134</v>
      </c>
      <c r="M3325" s="14" t="n">
        <v>0</v>
      </c>
      <c r="N3325" s="14" t="n">
        <v>1895437.299643992</v>
      </c>
      <c r="O3325" s="14" t="n">
        <v>3700615.670699445</v>
      </c>
      <c r="P3325" s="14" t="n">
        <v>469176.9790097105</v>
      </c>
      <c r="Q3325" s="14" t="n">
        <v>33217851.17221721</v>
      </c>
      <c r="R3325" s="15">
        <f>IF(D3325=1,"Section 1","Control")</f>
        <v/>
      </c>
      <c r="S3325" s="16">
        <f>N3325/10000</f>
        <v/>
      </c>
      <c r="T3325" s="16">
        <f>P3325/10000</f>
        <v/>
      </c>
      <c r="U3325" s="15">
        <f>IF(N3325&gt;=Summary!$D$3,1,0)</f>
        <v/>
      </c>
      <c r="V3325" s="17">
        <f>IF(N3325&gt;0,P3325/N3325,"")</f>
        <v/>
      </c>
      <c r="W3325" s="17">
        <f>IF(O3325&gt;0,H3325/O3325,"")</f>
        <v/>
      </c>
    </row>
    <row r="3326">
      <c r="A3326" s="13" t="inlineStr">
        <is>
          <t>CW28_B3</t>
        </is>
      </c>
      <c r="B3326" s="13" t="inlineStr">
        <is>
          <t>CW28</t>
        </is>
      </c>
      <c r="C3326" s="13" t="inlineStr">
        <is>
          <t>B3</t>
        </is>
      </c>
      <c r="D3326" s="13" t="n">
        <v>0</v>
      </c>
      <c r="E3326" s="13" t="inlineStr">
        <is>
          <t>W</t>
        </is>
      </c>
      <c r="F3326" s="13" t="n">
        <v>2026</v>
      </c>
      <c r="G3326" s="14" t="n">
        <v>7805478.799331424</v>
      </c>
      <c r="H3326" s="14" t="n">
        <v>1479960.19942998</v>
      </c>
      <c r="I3326" s="14" t="n">
        <v>175180.4935785331</v>
      </c>
      <c r="J3326" s="14" t="n">
        <v>0</v>
      </c>
      <c r="K3326" s="14" t="n">
        <v>2040786.461851472</v>
      </c>
      <c r="L3326" s="14" t="n">
        <v>4109551.644471443</v>
      </c>
      <c r="M3326" s="14" t="n">
        <v>0</v>
      </c>
      <c r="N3326" s="14" t="n">
        <v>1895437.299643992</v>
      </c>
      <c r="O3326" s="14" t="n">
        <v>3700615.670699445</v>
      </c>
      <c r="P3326" s="14" t="n">
        <v>471538.0380636477</v>
      </c>
      <c r="Q3326" s="14" t="n">
        <v>33217851.17221721</v>
      </c>
      <c r="R3326" s="15">
        <f>IF(D3326=1,"Section 1","Control")</f>
        <v/>
      </c>
      <c r="S3326" s="16">
        <f>N3326/10000</f>
        <v/>
      </c>
      <c r="T3326" s="16">
        <f>P3326/10000</f>
        <v/>
      </c>
      <c r="U3326" s="15">
        <f>IF(N3326&gt;=Summary!$D$3,1,0)</f>
        <v/>
      </c>
      <c r="V3326" s="17">
        <f>IF(N3326&gt;0,P3326/N3326,"")</f>
        <v/>
      </c>
      <c r="W3326" s="17">
        <f>IF(O3326&gt;0,H3326/O3326,"")</f>
        <v/>
      </c>
    </row>
    <row r="3327">
      <c r="A3327" s="13" t="inlineStr">
        <is>
          <t>CW28_F</t>
        </is>
      </c>
      <c r="B3327" s="13" t="inlineStr">
        <is>
          <t>CW28</t>
        </is>
      </c>
      <c r="C3327" s="13" t="inlineStr">
        <is>
          <t>F</t>
        </is>
      </c>
      <c r="D3327" s="13" t="n">
        <v>0</v>
      </c>
      <c r="E3327" s="13" t="inlineStr">
        <is>
          <t>W</t>
        </is>
      </c>
      <c r="F3327" s="13" t="n">
        <v>2020</v>
      </c>
      <c r="G3327" s="14" t="n">
        <v>67559.8272873822</v>
      </c>
      <c r="H3327" s="14" t="n">
        <v>66844.33874888696</v>
      </c>
      <c r="I3327" s="14" t="n">
        <v>419.3041665469899</v>
      </c>
      <c r="J3327" s="14" t="n">
        <v>0</v>
      </c>
      <c r="K3327" s="14" t="n">
        <v>296.1843719482422</v>
      </c>
      <c r="L3327" s="14" t="n">
        <v>0</v>
      </c>
      <c r="M3327" s="14" t="n">
        <v>0</v>
      </c>
      <c r="N3327" s="14" t="n">
        <v>66844.33874888696</v>
      </c>
      <c r="O3327" s="14" t="n">
        <v>67559.8272873822</v>
      </c>
      <c r="P3327" s="14" t="n">
        <v>0</v>
      </c>
      <c r="Q3327" s="14" t="n">
        <v>573654.7392669077</v>
      </c>
      <c r="R3327" s="15">
        <f>IF(D3327=1,"Section 1","Control")</f>
        <v/>
      </c>
      <c r="S3327" s="16">
        <f>N3327/10000</f>
        <v/>
      </c>
      <c r="T3327" s="16">
        <f>P3327/10000</f>
        <v/>
      </c>
      <c r="U3327" s="15">
        <f>IF(N3327&gt;=Summary!$D$3,1,0)</f>
        <v/>
      </c>
      <c r="V3327" s="17">
        <f>IF(N3327&gt;0,P3327/N3327,"")</f>
        <v/>
      </c>
      <c r="W3327" s="17">
        <f>IF(O3327&gt;0,H3327/O3327,"")</f>
        <v/>
      </c>
    </row>
    <row r="3328">
      <c r="A3328" s="13" t="inlineStr">
        <is>
          <t>CW28_F</t>
        </is>
      </c>
      <c r="B3328" s="13" t="inlineStr">
        <is>
          <t>CW28</t>
        </is>
      </c>
      <c r="C3328" s="13" t="inlineStr">
        <is>
          <t>F</t>
        </is>
      </c>
      <c r="D3328" s="13" t="n">
        <v>0</v>
      </c>
      <c r="E3328" s="13" t="inlineStr">
        <is>
          <t>W</t>
        </is>
      </c>
      <c r="F3328" s="13" t="n">
        <v>2021</v>
      </c>
      <c r="G3328" s="14" t="n">
        <v>67559.8272873822</v>
      </c>
      <c r="H3328" s="14" t="n">
        <v>66449.42632670679</v>
      </c>
      <c r="I3328" s="14" t="n">
        <v>419.3041131412282</v>
      </c>
      <c r="J3328" s="14" t="n">
        <v>0</v>
      </c>
      <c r="K3328" s="14" t="n">
        <v>691.0968475341797</v>
      </c>
      <c r="L3328" s="14" t="n">
        <v>0</v>
      </c>
      <c r="M3328" s="14" t="n">
        <v>0</v>
      </c>
      <c r="N3328" s="14" t="n">
        <v>66844.33874888696</v>
      </c>
      <c r="O3328" s="14" t="n">
        <v>67559.8272873822</v>
      </c>
      <c r="P3328" s="14" t="n">
        <v>592.3686752319336</v>
      </c>
      <c r="Q3328" s="14" t="n">
        <v>573654.7392669077</v>
      </c>
      <c r="R3328" s="15">
        <f>IF(D3328=1,"Section 1","Control")</f>
        <v/>
      </c>
      <c r="S3328" s="16">
        <f>N3328/10000</f>
        <v/>
      </c>
      <c r="T3328" s="16">
        <f>P3328/10000</f>
        <v/>
      </c>
      <c r="U3328" s="15">
        <f>IF(N3328&gt;=Summary!$D$3,1,0)</f>
        <v/>
      </c>
      <c r="V3328" s="17">
        <f>IF(N3328&gt;0,P3328/N3328,"")</f>
        <v/>
      </c>
      <c r="W3328" s="17">
        <f>IF(O3328&gt;0,H3328/O3328,"")</f>
        <v/>
      </c>
    </row>
    <row r="3329">
      <c r="A3329" s="13" t="inlineStr">
        <is>
          <t>CW28_F</t>
        </is>
      </c>
      <c r="B3329" s="13" t="inlineStr">
        <is>
          <t>CW28</t>
        </is>
      </c>
      <c r="C3329" s="13" t="inlineStr">
        <is>
          <t>F</t>
        </is>
      </c>
      <c r="D3329" s="13" t="n">
        <v>0</v>
      </c>
      <c r="E3329" s="13" t="inlineStr">
        <is>
          <t>W</t>
        </is>
      </c>
      <c r="F3329" s="13" t="n">
        <v>2022</v>
      </c>
      <c r="G3329" s="14" t="n">
        <v>67559.8272873822</v>
      </c>
      <c r="H3329" s="14" t="n">
        <v>65553.13010271854</v>
      </c>
      <c r="I3329" s="14" t="n">
        <v>624.50358877743</v>
      </c>
      <c r="J3329" s="14" t="n">
        <v>0</v>
      </c>
      <c r="K3329" s="14" t="n">
        <v>1382.19359588623</v>
      </c>
      <c r="L3329" s="14" t="n">
        <v>0</v>
      </c>
      <c r="M3329" s="14" t="n">
        <v>0</v>
      </c>
      <c r="N3329" s="14" t="n">
        <v>66844.33874888696</v>
      </c>
      <c r="O3329" s="14" t="n">
        <v>67559.8272873822</v>
      </c>
      <c r="P3329" s="14" t="n">
        <v>1550.224804148954</v>
      </c>
      <c r="Q3329" s="14" t="n">
        <v>573654.7392669077</v>
      </c>
      <c r="R3329" s="15">
        <f>IF(D3329=1,"Section 1","Control")</f>
        <v/>
      </c>
      <c r="S3329" s="16">
        <f>N3329/10000</f>
        <v/>
      </c>
      <c r="T3329" s="16">
        <f>P3329/10000</f>
        <v/>
      </c>
      <c r="U3329" s="15">
        <f>IF(N3329&gt;=Summary!$D$3,1,0)</f>
        <v/>
      </c>
      <c r="V3329" s="17">
        <f>IF(N3329&gt;0,P3329/N3329,"")</f>
        <v/>
      </c>
      <c r="W3329" s="17">
        <f>IF(O3329&gt;0,H3329/O3329,"")</f>
        <v/>
      </c>
    </row>
    <row r="3330">
      <c r="A3330" s="13" t="inlineStr">
        <is>
          <t>CW28_F</t>
        </is>
      </c>
      <c r="B3330" s="13" t="inlineStr">
        <is>
          <t>CW28</t>
        </is>
      </c>
      <c r="C3330" s="13" t="inlineStr">
        <is>
          <t>F</t>
        </is>
      </c>
      <c r="D3330" s="13" t="n">
        <v>0</v>
      </c>
      <c r="E3330" s="13" t="inlineStr">
        <is>
          <t>W</t>
        </is>
      </c>
      <c r="F3330" s="13" t="n">
        <v>2023</v>
      </c>
      <c r="G3330" s="14" t="n">
        <v>67559.8272873822</v>
      </c>
      <c r="H3330" s="14" t="n">
        <v>65808.27455767459</v>
      </c>
      <c r="I3330" s="14" t="n">
        <v>270.6310530718635</v>
      </c>
      <c r="J3330" s="14" t="n">
        <v>0</v>
      </c>
      <c r="K3330" s="14" t="n">
        <v>1480.921676635742</v>
      </c>
      <c r="L3330" s="14" t="n">
        <v>0</v>
      </c>
      <c r="M3330" s="14" t="n">
        <v>0</v>
      </c>
      <c r="N3330" s="14" t="n">
        <v>66844.33874888696</v>
      </c>
      <c r="O3330" s="14" t="n">
        <v>67559.8272873822</v>
      </c>
      <c r="P3330" s="14" t="n">
        <v>1492.536586985869</v>
      </c>
      <c r="Q3330" s="14" t="n">
        <v>573654.7392669077</v>
      </c>
      <c r="R3330" s="15">
        <f>IF(D3330=1,"Section 1","Control")</f>
        <v/>
      </c>
      <c r="S3330" s="16">
        <f>N3330/10000</f>
        <v/>
      </c>
      <c r="T3330" s="16">
        <f>P3330/10000</f>
        <v/>
      </c>
      <c r="U3330" s="15">
        <f>IF(N3330&gt;=Summary!$D$3,1,0)</f>
        <v/>
      </c>
      <c r="V3330" s="17">
        <f>IF(N3330&gt;0,P3330/N3330,"")</f>
        <v/>
      </c>
      <c r="W3330" s="17">
        <f>IF(O3330&gt;0,H3330/O3330,"")</f>
        <v/>
      </c>
    </row>
    <row r="3331">
      <c r="A3331" s="13" t="inlineStr">
        <is>
          <t>CW28_F</t>
        </is>
      </c>
      <c r="B3331" s="13" t="inlineStr">
        <is>
          <t>CW28</t>
        </is>
      </c>
      <c r="C3331" s="13" t="inlineStr">
        <is>
          <t>F</t>
        </is>
      </c>
      <c r="D3331" s="13" t="n">
        <v>0</v>
      </c>
      <c r="E3331" s="13" t="inlineStr">
        <is>
          <t>W</t>
        </is>
      </c>
      <c r="F3331" s="13" t="n">
        <v>2024</v>
      </c>
      <c r="G3331" s="14" t="n">
        <v>67559.8272873822</v>
      </c>
      <c r="H3331" s="14" t="n">
        <v>66078.90561074646</v>
      </c>
      <c r="I3331" s="14" t="n">
        <v>98.72808074951172</v>
      </c>
      <c r="J3331" s="14" t="n">
        <v>0</v>
      </c>
      <c r="K3331" s="14" t="n">
        <v>1382.19359588623</v>
      </c>
      <c r="L3331" s="14" t="n">
        <v>0</v>
      </c>
      <c r="M3331" s="14" t="n">
        <v>0</v>
      </c>
      <c r="N3331" s="14" t="n">
        <v>66844.33874888696</v>
      </c>
      <c r="O3331" s="14" t="n">
        <v>67559.8272873822</v>
      </c>
      <c r="P3331" s="14" t="n">
        <v>1283.465438842773</v>
      </c>
      <c r="Q3331" s="14" t="n">
        <v>573654.7392669077</v>
      </c>
      <c r="R3331" s="15">
        <f>IF(D3331=1,"Section 1","Control")</f>
        <v/>
      </c>
      <c r="S3331" s="16">
        <f>N3331/10000</f>
        <v/>
      </c>
      <c r="T3331" s="16">
        <f>P3331/10000</f>
        <v/>
      </c>
      <c r="U3331" s="15">
        <f>IF(N3331&gt;=Summary!$D$3,1,0)</f>
        <v/>
      </c>
      <c r="V3331" s="17">
        <f>IF(N3331&gt;0,P3331/N3331,"")</f>
        <v/>
      </c>
      <c r="W3331" s="17">
        <f>IF(O3331&gt;0,H3331/O3331,"")</f>
        <v/>
      </c>
    </row>
    <row r="3332">
      <c r="A3332" s="13" t="inlineStr">
        <is>
          <t>CW28_F</t>
        </is>
      </c>
      <c r="B3332" s="13" t="inlineStr">
        <is>
          <t>CW28</t>
        </is>
      </c>
      <c r="C3332" s="13" t="inlineStr">
        <is>
          <t>F</t>
        </is>
      </c>
      <c r="D3332" s="13" t="n">
        <v>0</v>
      </c>
      <c r="E3332" s="13" t="inlineStr">
        <is>
          <t>W</t>
        </is>
      </c>
      <c r="F3332" s="13" t="n">
        <v>2025</v>
      </c>
      <c r="G3332" s="14" t="n">
        <v>67559.8272873822</v>
      </c>
      <c r="H3332" s="14" t="n">
        <v>40638.80682088812</v>
      </c>
      <c r="I3332" s="14" t="n">
        <v>25341.37066333246</v>
      </c>
      <c r="J3332" s="14" t="n">
        <v>0</v>
      </c>
      <c r="K3332" s="14" t="n">
        <v>1579.649803161621</v>
      </c>
      <c r="L3332" s="14" t="n">
        <v>0</v>
      </c>
      <c r="M3332" s="14" t="n">
        <v>0</v>
      </c>
      <c r="N3332" s="14" t="n">
        <v>66844.33874888696</v>
      </c>
      <c r="O3332" s="14" t="n">
        <v>67559.8272873822</v>
      </c>
      <c r="P3332" s="14" t="n">
        <v>26723.56422870111</v>
      </c>
      <c r="Q3332" s="14" t="n">
        <v>573654.7392669077</v>
      </c>
      <c r="R3332" s="15">
        <f>IF(D3332=1,"Section 1","Control")</f>
        <v/>
      </c>
      <c r="S3332" s="16">
        <f>N3332/10000</f>
        <v/>
      </c>
      <c r="T3332" s="16">
        <f>P3332/10000</f>
        <v/>
      </c>
      <c r="U3332" s="15">
        <f>IF(N3332&gt;=Summary!$D$3,1,0)</f>
        <v/>
      </c>
      <c r="V3332" s="17">
        <f>IF(N3332&gt;0,P3332/N3332,"")</f>
        <v/>
      </c>
      <c r="W3332" s="17">
        <f>IF(O3332&gt;0,H3332/O3332,"")</f>
        <v/>
      </c>
    </row>
    <row r="3333">
      <c r="A3333" s="13" t="inlineStr">
        <is>
          <t>CW28_F</t>
        </is>
      </c>
      <c r="B3333" s="13" t="inlineStr">
        <is>
          <t>CW28</t>
        </is>
      </c>
      <c r="C3333" s="13" t="inlineStr">
        <is>
          <t>F</t>
        </is>
      </c>
      <c r="D3333" s="13" t="n">
        <v>0</v>
      </c>
      <c r="E3333" s="13" t="inlineStr">
        <is>
          <t>W</t>
        </is>
      </c>
      <c r="F3333" s="13" t="n">
        <v>2026</v>
      </c>
      <c r="G3333" s="14" t="n">
        <v>67559.8272873822</v>
      </c>
      <c r="H3333" s="14" t="n">
        <v>21055.79924938725</v>
      </c>
      <c r="I3333" s="14" t="n">
        <v>45236.04958579864</v>
      </c>
      <c r="J3333" s="14" t="n">
        <v>0</v>
      </c>
      <c r="K3333" s="14" t="n">
        <v>1267.978452196308</v>
      </c>
      <c r="L3333" s="14" t="n">
        <v>0</v>
      </c>
      <c r="M3333" s="14" t="n">
        <v>0</v>
      </c>
      <c r="N3333" s="14" t="n">
        <v>66844.33874888696</v>
      </c>
      <c r="O3333" s="14" t="n">
        <v>67559.8272873822</v>
      </c>
      <c r="P3333" s="14" t="n">
        <v>45985.99573729269</v>
      </c>
      <c r="Q3333" s="14" t="n">
        <v>573654.7392669077</v>
      </c>
      <c r="R3333" s="15">
        <f>IF(D3333=1,"Section 1","Control")</f>
        <v/>
      </c>
      <c r="S3333" s="16">
        <f>N3333/10000</f>
        <v/>
      </c>
      <c r="T3333" s="16">
        <f>P3333/10000</f>
        <v/>
      </c>
      <c r="U3333" s="15">
        <f>IF(N3333&gt;=Summary!$D$3,1,0)</f>
        <v/>
      </c>
      <c r="V3333" s="17">
        <f>IF(N3333&gt;0,P3333/N3333,"")</f>
        <v/>
      </c>
      <c r="W3333" s="17">
        <f>IF(O3333&gt;0,H3333/O3333,"")</f>
        <v/>
      </c>
    </row>
    <row r="3334">
      <c r="A3334" s="13" t="inlineStr">
        <is>
          <t>CW29_B1</t>
        </is>
      </c>
      <c r="B3334" s="13" t="inlineStr">
        <is>
          <t>CW29</t>
        </is>
      </c>
      <c r="C3334" s="13" t="inlineStr">
        <is>
          <t>B1</t>
        </is>
      </c>
      <c r="D3334" s="13" t="n">
        <v>0</v>
      </c>
      <c r="E3334" s="13" t="inlineStr">
        <is>
          <t>W</t>
        </is>
      </c>
      <c r="F3334" s="13" t="n">
        <v>2020</v>
      </c>
      <c r="G3334" s="14" t="n">
        <v>1025735.540144797</v>
      </c>
      <c r="H3334" s="14" t="n">
        <v>542080.1809218763</v>
      </c>
      <c r="I3334" s="14" t="n">
        <v>197929.3204895319</v>
      </c>
      <c r="J3334" s="14" t="n">
        <v>0</v>
      </c>
      <c r="K3334" s="14" t="n">
        <v>78347.52628867954</v>
      </c>
      <c r="L3334" s="14" t="n">
        <v>207378.5124447094</v>
      </c>
      <c r="M3334" s="14" t="n">
        <v>0</v>
      </c>
      <c r="N3334" s="14" t="n">
        <v>542080.1809218763</v>
      </c>
      <c r="O3334" s="14" t="n">
        <v>818357.0277000876</v>
      </c>
      <c r="P3334" s="14" t="n">
        <v>0</v>
      </c>
      <c r="Q3334" s="14" t="n">
        <v>6638447.760986324</v>
      </c>
      <c r="R3334" s="15">
        <f>IF(D3334=1,"Section 1","Control")</f>
        <v/>
      </c>
      <c r="S3334" s="16">
        <f>N3334/10000</f>
        <v/>
      </c>
      <c r="T3334" s="16">
        <f>P3334/10000</f>
        <v/>
      </c>
      <c r="U3334" s="15">
        <f>IF(N3334&gt;=Summary!$D$3,1,0)</f>
        <v/>
      </c>
      <c r="V3334" s="17">
        <f>IF(N3334&gt;0,P3334/N3334,"")</f>
        <v/>
      </c>
      <c r="W3334" s="17">
        <f>IF(O3334&gt;0,H3334/O3334,"")</f>
        <v/>
      </c>
    </row>
    <row r="3335">
      <c r="A3335" s="13" t="inlineStr">
        <is>
          <t>CW29_B1</t>
        </is>
      </c>
      <c r="B3335" s="13" t="inlineStr">
        <is>
          <t>CW29</t>
        </is>
      </c>
      <c r="C3335" s="13" t="inlineStr">
        <is>
          <t>B1</t>
        </is>
      </c>
      <c r="D3335" s="13" t="n">
        <v>0</v>
      </c>
      <c r="E3335" s="13" t="inlineStr">
        <is>
          <t>W</t>
        </is>
      </c>
      <c r="F3335" s="13" t="n">
        <v>2021</v>
      </c>
      <c r="G3335" s="14" t="n">
        <v>1025735.540144797</v>
      </c>
      <c r="H3335" s="14" t="n">
        <v>555969.3139593686</v>
      </c>
      <c r="I3335" s="14" t="n">
        <v>179031.4274133122</v>
      </c>
      <c r="J3335" s="14" t="n">
        <v>0</v>
      </c>
      <c r="K3335" s="14" t="n">
        <v>138885.2506093642</v>
      </c>
      <c r="L3335" s="14" t="n">
        <v>151849.5481627521</v>
      </c>
      <c r="M3335" s="14" t="n">
        <v>0</v>
      </c>
      <c r="N3335" s="14" t="n">
        <v>542080.1809218763</v>
      </c>
      <c r="O3335" s="14" t="n">
        <v>818357.0277000876</v>
      </c>
      <c r="P3335" s="14" t="n">
        <v>20732.06151425231</v>
      </c>
      <c r="Q3335" s="14" t="n">
        <v>6638447.760986324</v>
      </c>
      <c r="R3335" s="15">
        <f>IF(D3335=1,"Section 1","Control")</f>
        <v/>
      </c>
      <c r="S3335" s="16">
        <f>N3335/10000</f>
        <v/>
      </c>
      <c r="T3335" s="16">
        <f>P3335/10000</f>
        <v/>
      </c>
      <c r="U3335" s="15">
        <f>IF(N3335&gt;=Summary!$D$3,1,0)</f>
        <v/>
      </c>
      <c r="V3335" s="17">
        <f>IF(N3335&gt;0,P3335/N3335,"")</f>
        <v/>
      </c>
      <c r="W3335" s="17">
        <f>IF(O3335&gt;0,H3335/O3335,"")</f>
        <v/>
      </c>
    </row>
    <row r="3336">
      <c r="A3336" s="13" t="inlineStr">
        <is>
          <t>CW29_B1</t>
        </is>
      </c>
      <c r="B3336" s="13" t="inlineStr">
        <is>
          <t>CW29</t>
        </is>
      </c>
      <c r="C3336" s="13" t="inlineStr">
        <is>
          <t>B1</t>
        </is>
      </c>
      <c r="D3336" s="13" t="n">
        <v>0</v>
      </c>
      <c r="E3336" s="13" t="inlineStr">
        <is>
          <t>W</t>
        </is>
      </c>
      <c r="F3336" s="13" t="n">
        <v>2022</v>
      </c>
      <c r="G3336" s="14" t="n">
        <v>1025735.540144797</v>
      </c>
      <c r="H3336" s="14" t="n">
        <v>523093.4556707346</v>
      </c>
      <c r="I3336" s="14" t="n">
        <v>208838.9507172828</v>
      </c>
      <c r="J3336" s="14" t="n">
        <v>0</v>
      </c>
      <c r="K3336" s="14" t="n">
        <v>135610.5827050602</v>
      </c>
      <c r="L3336" s="14" t="n">
        <v>158192.5510517195</v>
      </c>
      <c r="M3336" s="14" t="n">
        <v>0</v>
      </c>
      <c r="N3336" s="14" t="n">
        <v>542080.1809218763</v>
      </c>
      <c r="O3336" s="14" t="n">
        <v>818357.0277000878</v>
      </c>
      <c r="P3336" s="14" t="n">
        <v>34771.11764523375</v>
      </c>
      <c r="Q3336" s="14" t="n">
        <v>6638447.760986325</v>
      </c>
      <c r="R3336" s="15">
        <f>IF(D3336=1,"Section 1","Control")</f>
        <v/>
      </c>
      <c r="S3336" s="16">
        <f>N3336/10000</f>
        <v/>
      </c>
      <c r="T3336" s="16">
        <f>P3336/10000</f>
        <v/>
      </c>
      <c r="U3336" s="15">
        <f>IF(N3336&gt;=Summary!$D$3,1,0)</f>
        <v/>
      </c>
      <c r="V3336" s="17">
        <f>IF(N3336&gt;0,P3336/N3336,"")</f>
        <v/>
      </c>
      <c r="W3336" s="17">
        <f>IF(O3336&gt;0,H3336/O3336,"")</f>
        <v/>
      </c>
    </row>
    <row r="3337">
      <c r="A3337" s="13" t="inlineStr">
        <is>
          <t>CW29_B1</t>
        </is>
      </c>
      <c r="B3337" s="13" t="inlineStr">
        <is>
          <t>CW29</t>
        </is>
      </c>
      <c r="C3337" s="13" t="inlineStr">
        <is>
          <t>B1</t>
        </is>
      </c>
      <c r="D3337" s="13" t="n">
        <v>0</v>
      </c>
      <c r="E3337" s="13" t="inlineStr">
        <is>
          <t>W</t>
        </is>
      </c>
      <c r="F3337" s="13" t="n">
        <v>2023</v>
      </c>
      <c r="G3337" s="14" t="n">
        <v>1025735.540144797</v>
      </c>
      <c r="H3337" s="14" t="n">
        <v>510125.6739510931</v>
      </c>
      <c r="I3337" s="14" t="n">
        <v>213198.3955669329</v>
      </c>
      <c r="J3337" s="14" t="n">
        <v>0</v>
      </c>
      <c r="K3337" s="14" t="n">
        <v>139247.2620728437</v>
      </c>
      <c r="L3337" s="14" t="n">
        <v>163164.2085539276</v>
      </c>
      <c r="M3337" s="14" t="n">
        <v>0</v>
      </c>
      <c r="N3337" s="14" t="n">
        <v>542080.1809218763</v>
      </c>
      <c r="O3337" s="14" t="n">
        <v>818357.0277000878</v>
      </c>
      <c r="P3337" s="14" t="n">
        <v>40460.17047068277</v>
      </c>
      <c r="Q3337" s="14" t="n">
        <v>6638447.760986325</v>
      </c>
      <c r="R3337" s="15">
        <f>IF(D3337=1,"Section 1","Control")</f>
        <v/>
      </c>
      <c r="S3337" s="16">
        <f>N3337/10000</f>
        <v/>
      </c>
      <c r="T3337" s="16">
        <f>P3337/10000</f>
        <v/>
      </c>
      <c r="U3337" s="15">
        <f>IF(N3337&gt;=Summary!$D$3,1,0)</f>
        <v/>
      </c>
      <c r="V3337" s="17">
        <f>IF(N3337&gt;0,P3337/N3337,"")</f>
        <v/>
      </c>
      <c r="W3337" s="17">
        <f>IF(O3337&gt;0,H3337/O3337,"")</f>
        <v/>
      </c>
    </row>
    <row r="3338">
      <c r="A3338" s="13" t="inlineStr">
        <is>
          <t>CW29_B1</t>
        </is>
      </c>
      <c r="B3338" s="13" t="inlineStr">
        <is>
          <t>CW29</t>
        </is>
      </c>
      <c r="C3338" s="13" t="inlineStr">
        <is>
          <t>B1</t>
        </is>
      </c>
      <c r="D3338" s="13" t="n">
        <v>0</v>
      </c>
      <c r="E3338" s="13" t="inlineStr">
        <is>
          <t>W</t>
        </is>
      </c>
      <c r="F3338" s="13" t="n">
        <v>2024</v>
      </c>
      <c r="G3338" s="14" t="n">
        <v>1025735.540144797</v>
      </c>
      <c r="H3338" s="14" t="n">
        <v>583192.8409868728</v>
      </c>
      <c r="I3338" s="14" t="n">
        <v>141107.2773124246</v>
      </c>
      <c r="J3338" s="14" t="n">
        <v>0</v>
      </c>
      <c r="K3338" s="14" t="n">
        <v>89738.43927357992</v>
      </c>
      <c r="L3338" s="14" t="n">
        <v>211696.9825719198</v>
      </c>
      <c r="M3338" s="14" t="n">
        <v>0</v>
      </c>
      <c r="N3338" s="14" t="n">
        <v>542080.1809218763</v>
      </c>
      <c r="O3338" s="14" t="n">
        <v>818357.0277000878</v>
      </c>
      <c r="P3338" s="14" t="n">
        <v>19868.73186385211</v>
      </c>
      <c r="Q3338" s="14" t="n">
        <v>6638447.760986325</v>
      </c>
      <c r="R3338" s="15">
        <f>IF(D3338=1,"Section 1","Control")</f>
        <v/>
      </c>
      <c r="S3338" s="16">
        <f>N3338/10000</f>
        <v/>
      </c>
      <c r="T3338" s="16">
        <f>P3338/10000</f>
        <v/>
      </c>
      <c r="U3338" s="15">
        <f>IF(N3338&gt;=Summary!$D$3,1,0)</f>
        <v/>
      </c>
      <c r="V3338" s="17">
        <f>IF(N3338&gt;0,P3338/N3338,"")</f>
        <v/>
      </c>
      <c r="W3338" s="17">
        <f>IF(O3338&gt;0,H3338/O3338,"")</f>
        <v/>
      </c>
    </row>
    <row r="3339">
      <c r="A3339" s="13" t="inlineStr">
        <is>
          <t>CW29_B1</t>
        </is>
      </c>
      <c r="B3339" s="13" t="inlineStr">
        <is>
          <t>CW29</t>
        </is>
      </c>
      <c r="C3339" s="13" t="inlineStr">
        <is>
          <t>B1</t>
        </is>
      </c>
      <c r="D3339" s="13" t="n">
        <v>0</v>
      </c>
      <c r="E3339" s="13" t="inlineStr">
        <is>
          <t>W</t>
        </is>
      </c>
      <c r="F3339" s="13" t="n">
        <v>2025</v>
      </c>
      <c r="G3339" s="14" t="n">
        <v>1025735.540144797</v>
      </c>
      <c r="H3339" s="14" t="n">
        <v>462619.0756064323</v>
      </c>
      <c r="I3339" s="14" t="n">
        <v>261264.4358469944</v>
      </c>
      <c r="J3339" s="14" t="n">
        <v>0</v>
      </c>
      <c r="K3339" s="14" t="n">
        <v>114813.0451585957</v>
      </c>
      <c r="L3339" s="14" t="n">
        <v>187038.9835327747</v>
      </c>
      <c r="M3339" s="14" t="n">
        <v>0</v>
      </c>
      <c r="N3339" s="14" t="n">
        <v>542080.1809218763</v>
      </c>
      <c r="O3339" s="14" t="n">
        <v>818357.0277000878</v>
      </c>
      <c r="P3339" s="14" t="n">
        <v>134878.1223124485</v>
      </c>
      <c r="Q3339" s="14" t="n">
        <v>6638447.760986325</v>
      </c>
      <c r="R3339" s="15">
        <f>IF(D3339=1,"Section 1","Control")</f>
        <v/>
      </c>
      <c r="S3339" s="16">
        <f>N3339/10000</f>
        <v/>
      </c>
      <c r="T3339" s="16">
        <f>P3339/10000</f>
        <v/>
      </c>
      <c r="U3339" s="15">
        <f>IF(N3339&gt;=Summary!$D$3,1,0)</f>
        <v/>
      </c>
      <c r="V3339" s="17">
        <f>IF(N3339&gt;0,P3339/N3339,"")</f>
        <v/>
      </c>
      <c r="W3339" s="17">
        <f>IF(O3339&gt;0,H3339/O3339,"")</f>
        <v/>
      </c>
    </row>
    <row r="3340">
      <c r="A3340" s="13" t="inlineStr">
        <is>
          <t>CW29_B1</t>
        </is>
      </c>
      <c r="B3340" s="13" t="inlineStr">
        <is>
          <t>CW29</t>
        </is>
      </c>
      <c r="C3340" s="13" t="inlineStr">
        <is>
          <t>B1</t>
        </is>
      </c>
      <c r="D3340" s="13" t="n">
        <v>0</v>
      </c>
      <c r="E3340" s="13" t="inlineStr">
        <is>
          <t>W</t>
        </is>
      </c>
      <c r="F3340" s="13" t="n">
        <v>2026</v>
      </c>
      <c r="G3340" s="14" t="n">
        <v>1025735.540144797</v>
      </c>
      <c r="H3340" s="14" t="n">
        <v>452776.7374734018</v>
      </c>
      <c r="I3340" s="14" t="n">
        <v>258873.42008293</v>
      </c>
      <c r="J3340" s="14" t="n">
        <v>0</v>
      </c>
      <c r="K3340" s="14" t="n">
        <v>96102.68206410126</v>
      </c>
      <c r="L3340" s="14" t="n">
        <v>217982.7005243638</v>
      </c>
      <c r="M3340" s="14" t="n">
        <v>0</v>
      </c>
      <c r="N3340" s="14" t="n">
        <v>542080.1809218763</v>
      </c>
      <c r="O3340" s="14" t="n">
        <v>818357.0277000878</v>
      </c>
      <c r="P3340" s="14" t="n">
        <v>106309.7244206746</v>
      </c>
      <c r="Q3340" s="14" t="n">
        <v>6638447.760986325</v>
      </c>
      <c r="R3340" s="15">
        <f>IF(D3340=1,"Section 1","Control")</f>
        <v/>
      </c>
      <c r="S3340" s="16">
        <f>N3340/10000</f>
        <v/>
      </c>
      <c r="T3340" s="16">
        <f>P3340/10000</f>
        <v/>
      </c>
      <c r="U3340" s="15">
        <f>IF(N3340&gt;=Summary!$D$3,1,0)</f>
        <v/>
      </c>
      <c r="V3340" s="17">
        <f>IF(N3340&gt;0,P3340/N3340,"")</f>
        <v/>
      </c>
      <c r="W3340" s="17">
        <f>IF(O3340&gt;0,H3340/O3340,"")</f>
        <v/>
      </c>
    </row>
    <row r="3341">
      <c r="A3341" s="13" t="inlineStr">
        <is>
          <t>CW29_B2</t>
        </is>
      </c>
      <c r="B3341" s="13" t="inlineStr">
        <is>
          <t>CW29</t>
        </is>
      </c>
      <c r="C3341" s="13" t="inlineStr">
        <is>
          <t>B2</t>
        </is>
      </c>
      <c r="D3341" s="13" t="n">
        <v>0</v>
      </c>
      <c r="E3341" s="13" t="inlineStr">
        <is>
          <t>W</t>
        </is>
      </c>
      <c r="F3341" s="13" t="n">
        <v>2020</v>
      </c>
      <c r="G3341" s="14" t="n">
        <v>1025886.534052202</v>
      </c>
      <c r="H3341" s="14" t="n">
        <v>169470.5376528871</v>
      </c>
      <c r="I3341" s="14" t="n">
        <v>176142.8162319407</v>
      </c>
      <c r="J3341" s="14" t="n">
        <v>0</v>
      </c>
      <c r="K3341" s="14" t="n">
        <v>13366.80657938041</v>
      </c>
      <c r="L3341" s="14" t="n">
        <v>666906.3735879939</v>
      </c>
      <c r="M3341" s="14" t="n">
        <v>0</v>
      </c>
      <c r="N3341" s="14" t="n">
        <v>169470.5376528871</v>
      </c>
      <c r="O3341" s="14" t="n">
        <v>358980.1604642083</v>
      </c>
      <c r="P3341" s="14" t="n">
        <v>0</v>
      </c>
      <c r="Q3341" s="14" t="n">
        <v>697594.1566985185</v>
      </c>
      <c r="R3341" s="15">
        <f>IF(D3341=1,"Section 1","Control")</f>
        <v/>
      </c>
      <c r="S3341" s="16">
        <f>N3341/10000</f>
        <v/>
      </c>
      <c r="T3341" s="16">
        <f>P3341/10000</f>
        <v/>
      </c>
      <c r="U3341" s="15">
        <f>IF(N3341&gt;=Summary!$D$3,1,0)</f>
        <v/>
      </c>
      <c r="V3341" s="17">
        <f>IF(N3341&gt;0,P3341/N3341,"")</f>
        <v/>
      </c>
      <c r="W3341" s="17">
        <f>IF(O3341&gt;0,H3341/O3341,"")</f>
        <v/>
      </c>
    </row>
    <row r="3342">
      <c r="A3342" s="13" t="inlineStr">
        <is>
          <t>CW29_B2</t>
        </is>
      </c>
      <c r="B3342" s="13" t="inlineStr">
        <is>
          <t>CW29</t>
        </is>
      </c>
      <c r="C3342" s="13" t="inlineStr">
        <is>
          <t>B2</t>
        </is>
      </c>
      <c r="D3342" s="13" t="n">
        <v>0</v>
      </c>
      <c r="E3342" s="13" t="inlineStr">
        <is>
          <t>W</t>
        </is>
      </c>
      <c r="F3342" s="13" t="n">
        <v>2021</v>
      </c>
      <c r="G3342" s="14" t="n">
        <v>1025886.534052202</v>
      </c>
      <c r="H3342" s="14" t="n">
        <v>152073.3542866726</v>
      </c>
      <c r="I3342" s="14" t="n">
        <v>122731.938643003</v>
      </c>
      <c r="J3342" s="14" t="n">
        <v>0</v>
      </c>
      <c r="K3342" s="14" t="n">
        <v>74234.83753727932</v>
      </c>
      <c r="L3342" s="14" t="n">
        <v>676846.4035852472</v>
      </c>
      <c r="M3342" s="14" t="n">
        <v>0</v>
      </c>
      <c r="N3342" s="14" t="n">
        <v>169470.5376528871</v>
      </c>
      <c r="O3342" s="14" t="n">
        <v>358980.1604642083</v>
      </c>
      <c r="P3342" s="14" t="n">
        <v>34945.40096483417</v>
      </c>
      <c r="Q3342" s="14" t="n">
        <v>697594.1566985185</v>
      </c>
      <c r="R3342" s="15">
        <f>IF(D3342=1,"Section 1","Control")</f>
        <v/>
      </c>
      <c r="S3342" s="16">
        <f>N3342/10000</f>
        <v/>
      </c>
      <c r="T3342" s="16">
        <f>P3342/10000</f>
        <v/>
      </c>
      <c r="U3342" s="15">
        <f>IF(N3342&gt;=Summary!$D$3,1,0)</f>
        <v/>
      </c>
      <c r="V3342" s="17">
        <f>IF(N3342&gt;0,P3342/N3342,"")</f>
        <v/>
      </c>
      <c r="W3342" s="17">
        <f>IF(O3342&gt;0,H3342/O3342,"")</f>
        <v/>
      </c>
    </row>
    <row r="3343">
      <c r="A3343" s="13" t="inlineStr">
        <is>
          <t>CW29_B2</t>
        </is>
      </c>
      <c r="B3343" s="13" t="inlineStr">
        <is>
          <t>CW29</t>
        </is>
      </c>
      <c r="C3343" s="13" t="inlineStr">
        <is>
          <t>B2</t>
        </is>
      </c>
      <c r="D3343" s="13" t="n">
        <v>0</v>
      </c>
      <c r="E3343" s="13" t="inlineStr">
        <is>
          <t>W</t>
        </is>
      </c>
      <c r="F3343" s="13" t="n">
        <v>2022</v>
      </c>
      <c r="G3343" s="14" t="n">
        <v>1025886.534052202</v>
      </c>
      <c r="H3343" s="14" t="n">
        <v>145593.3853505453</v>
      </c>
      <c r="I3343" s="14" t="n">
        <v>175388.2377070707</v>
      </c>
      <c r="J3343" s="14" t="n">
        <v>0</v>
      </c>
      <c r="K3343" s="14" t="n">
        <v>50535.64054592357</v>
      </c>
      <c r="L3343" s="14" t="n">
        <v>654369.2704486626</v>
      </c>
      <c r="M3343" s="14" t="n">
        <v>0</v>
      </c>
      <c r="N3343" s="14" t="n">
        <v>169470.5376528871</v>
      </c>
      <c r="O3343" s="14" t="n">
        <v>358980.1604642083</v>
      </c>
      <c r="P3343" s="14" t="n">
        <v>35813.80966590432</v>
      </c>
      <c r="Q3343" s="14" t="n">
        <v>697594.1566985185</v>
      </c>
      <c r="R3343" s="15">
        <f>IF(D3343=1,"Section 1","Control")</f>
        <v/>
      </c>
      <c r="S3343" s="16">
        <f>N3343/10000</f>
        <v/>
      </c>
      <c r="T3343" s="16">
        <f>P3343/10000</f>
        <v/>
      </c>
      <c r="U3343" s="15">
        <f>IF(N3343&gt;=Summary!$D$3,1,0)</f>
        <v/>
      </c>
      <c r="V3343" s="17">
        <f>IF(N3343&gt;0,P3343/N3343,"")</f>
        <v/>
      </c>
      <c r="W3343" s="17">
        <f>IF(O3343&gt;0,H3343/O3343,"")</f>
        <v/>
      </c>
    </row>
    <row r="3344">
      <c r="A3344" s="13" t="inlineStr">
        <is>
          <t>CW29_B2</t>
        </is>
      </c>
      <c r="B3344" s="13" t="inlineStr">
        <is>
          <t>CW29</t>
        </is>
      </c>
      <c r="C3344" s="13" t="inlineStr">
        <is>
          <t>B2</t>
        </is>
      </c>
      <c r="D3344" s="13" t="n">
        <v>0</v>
      </c>
      <c r="E3344" s="13" t="inlineStr">
        <is>
          <t>W</t>
        </is>
      </c>
      <c r="F3344" s="13" t="n">
        <v>2023</v>
      </c>
      <c r="G3344" s="14" t="n">
        <v>1025886.534052202</v>
      </c>
      <c r="H3344" s="14" t="n">
        <v>124020.2397742776</v>
      </c>
      <c r="I3344" s="14" t="n">
        <v>193604.6841027353</v>
      </c>
      <c r="J3344" s="14" t="n">
        <v>0</v>
      </c>
      <c r="K3344" s="14" t="n">
        <v>15587.58742490282</v>
      </c>
      <c r="L3344" s="14" t="n">
        <v>692674.0227502864</v>
      </c>
      <c r="M3344" s="14" t="n">
        <v>0</v>
      </c>
      <c r="N3344" s="14" t="n">
        <v>169470.5376528871</v>
      </c>
      <c r="O3344" s="14" t="n">
        <v>358980.1604642083</v>
      </c>
      <c r="P3344" s="14" t="n">
        <v>57932.46961439544</v>
      </c>
      <c r="Q3344" s="14" t="n">
        <v>697594.1566985185</v>
      </c>
      <c r="R3344" s="15">
        <f>IF(D3344=1,"Section 1","Control")</f>
        <v/>
      </c>
      <c r="S3344" s="16">
        <f>N3344/10000</f>
        <v/>
      </c>
      <c r="T3344" s="16">
        <f>P3344/10000</f>
        <v/>
      </c>
      <c r="U3344" s="15">
        <f>IF(N3344&gt;=Summary!$D$3,1,0)</f>
        <v/>
      </c>
      <c r="V3344" s="17">
        <f>IF(N3344&gt;0,P3344/N3344,"")</f>
        <v/>
      </c>
      <c r="W3344" s="17">
        <f>IF(O3344&gt;0,H3344/O3344,"")</f>
        <v/>
      </c>
    </row>
    <row r="3345">
      <c r="A3345" s="13" t="inlineStr">
        <is>
          <t>CW29_B2</t>
        </is>
      </c>
      <c r="B3345" s="13" t="inlineStr">
        <is>
          <t>CW29</t>
        </is>
      </c>
      <c r="C3345" s="13" t="inlineStr">
        <is>
          <t>B2</t>
        </is>
      </c>
      <c r="D3345" s="13" t="n">
        <v>0</v>
      </c>
      <c r="E3345" s="13" t="inlineStr">
        <is>
          <t>W</t>
        </is>
      </c>
      <c r="F3345" s="13" t="n">
        <v>2024</v>
      </c>
      <c r="G3345" s="14" t="n">
        <v>1025886.534052202</v>
      </c>
      <c r="H3345" s="14" t="n">
        <v>249647.344470155</v>
      </c>
      <c r="I3345" s="14" t="n">
        <v>68362.80645913517</v>
      </c>
      <c r="J3345" s="14" t="n">
        <v>0</v>
      </c>
      <c r="K3345" s="14" t="n">
        <v>22014.4940472472</v>
      </c>
      <c r="L3345" s="14" t="n">
        <v>685861.8890756648</v>
      </c>
      <c r="M3345" s="14" t="n">
        <v>0</v>
      </c>
      <c r="N3345" s="14" t="n">
        <v>169470.5376528871</v>
      </c>
      <c r="O3345" s="14" t="n">
        <v>358980.1604642083</v>
      </c>
      <c r="P3345" s="14" t="n">
        <v>26191.220006666</v>
      </c>
      <c r="Q3345" s="14" t="n">
        <v>697594.1566985185</v>
      </c>
      <c r="R3345" s="15">
        <f>IF(D3345=1,"Section 1","Control")</f>
        <v/>
      </c>
      <c r="S3345" s="16">
        <f>N3345/10000</f>
        <v/>
      </c>
      <c r="T3345" s="16">
        <f>P3345/10000</f>
        <v/>
      </c>
      <c r="U3345" s="15">
        <f>IF(N3345&gt;=Summary!$D$3,1,0)</f>
        <v/>
      </c>
      <c r="V3345" s="17">
        <f>IF(N3345&gt;0,P3345/N3345,"")</f>
        <v/>
      </c>
      <c r="W3345" s="17">
        <f>IF(O3345&gt;0,H3345/O3345,"")</f>
        <v/>
      </c>
    </row>
    <row r="3346">
      <c r="A3346" s="13" t="inlineStr">
        <is>
          <t>CW29_B2</t>
        </is>
      </c>
      <c r="B3346" s="13" t="inlineStr">
        <is>
          <t>CW29</t>
        </is>
      </c>
      <c r="C3346" s="13" t="inlineStr">
        <is>
          <t>B2</t>
        </is>
      </c>
      <c r="D3346" s="13" t="n">
        <v>0</v>
      </c>
      <c r="E3346" s="13" t="inlineStr">
        <is>
          <t>W</t>
        </is>
      </c>
      <c r="F3346" s="13" t="n">
        <v>2025</v>
      </c>
      <c r="G3346" s="14" t="n">
        <v>1025886.534052202</v>
      </c>
      <c r="H3346" s="14" t="n">
        <v>212284.7889804316</v>
      </c>
      <c r="I3346" s="14" t="n">
        <v>108498.2275147681</v>
      </c>
      <c r="J3346" s="14" t="n">
        <v>0</v>
      </c>
      <c r="K3346" s="14" t="n">
        <v>22302.15397114473</v>
      </c>
      <c r="L3346" s="14" t="n">
        <v>682801.3635858577</v>
      </c>
      <c r="M3346" s="14" t="n">
        <v>0</v>
      </c>
      <c r="N3346" s="14" t="n">
        <v>169470.5376528871</v>
      </c>
      <c r="O3346" s="14" t="n">
        <v>358980.1604642083</v>
      </c>
      <c r="P3346" s="14" t="n">
        <v>34205.52182952283</v>
      </c>
      <c r="Q3346" s="14" t="n">
        <v>697594.1566985185</v>
      </c>
      <c r="R3346" s="15">
        <f>IF(D3346=1,"Section 1","Control")</f>
        <v/>
      </c>
      <c r="S3346" s="16">
        <f>N3346/10000</f>
        <v/>
      </c>
      <c r="T3346" s="16">
        <f>P3346/10000</f>
        <v/>
      </c>
      <c r="U3346" s="15">
        <f>IF(N3346&gt;=Summary!$D$3,1,0)</f>
        <v/>
      </c>
      <c r="V3346" s="17">
        <f>IF(N3346&gt;0,P3346/N3346,"")</f>
        <v/>
      </c>
      <c r="W3346" s="17">
        <f>IF(O3346&gt;0,H3346/O3346,"")</f>
        <v/>
      </c>
    </row>
    <row r="3347">
      <c r="A3347" s="13" t="inlineStr">
        <is>
          <t>CW29_B2</t>
        </is>
      </c>
      <c r="B3347" s="13" t="inlineStr">
        <is>
          <t>CW29</t>
        </is>
      </c>
      <c r="C3347" s="13" t="inlineStr">
        <is>
          <t>B2</t>
        </is>
      </c>
      <c r="D3347" s="13" t="n">
        <v>0</v>
      </c>
      <c r="E3347" s="13" t="inlineStr">
        <is>
          <t>W</t>
        </is>
      </c>
      <c r="F3347" s="13" t="n">
        <v>2026</v>
      </c>
      <c r="G3347" s="14" t="n">
        <v>1025886.534052202</v>
      </c>
      <c r="H3347" s="14" t="n">
        <v>206247.3424384921</v>
      </c>
      <c r="I3347" s="14" t="n">
        <v>111762.80972676</v>
      </c>
      <c r="J3347" s="14" t="n">
        <v>0</v>
      </c>
      <c r="K3347" s="14" t="n">
        <v>13069.47701685288</v>
      </c>
      <c r="L3347" s="14" t="n">
        <v>694806.9048700971</v>
      </c>
      <c r="M3347" s="14" t="n">
        <v>0</v>
      </c>
      <c r="N3347" s="14" t="n">
        <v>169470.5376528871</v>
      </c>
      <c r="O3347" s="14" t="n">
        <v>358980.1604642083</v>
      </c>
      <c r="P3347" s="14" t="n">
        <v>33781.57444463992</v>
      </c>
      <c r="Q3347" s="14" t="n">
        <v>697594.1566985185</v>
      </c>
      <c r="R3347" s="15">
        <f>IF(D3347=1,"Section 1","Control")</f>
        <v/>
      </c>
      <c r="S3347" s="16">
        <f>N3347/10000</f>
        <v/>
      </c>
      <c r="T3347" s="16">
        <f>P3347/10000</f>
        <v/>
      </c>
      <c r="U3347" s="15">
        <f>IF(N3347&gt;=Summary!$D$3,1,0)</f>
        <v/>
      </c>
      <c r="V3347" s="17">
        <f>IF(N3347&gt;0,P3347/N3347,"")</f>
        <v/>
      </c>
      <c r="W3347" s="17">
        <f>IF(O3347&gt;0,H3347/O3347,"")</f>
        <v/>
      </c>
    </row>
    <row r="3348">
      <c r="A3348" s="13" t="inlineStr">
        <is>
          <t>CW29_B3</t>
        </is>
      </c>
      <c r="B3348" s="13" t="inlineStr">
        <is>
          <t>CW29</t>
        </is>
      </c>
      <c r="C3348" s="13" t="inlineStr">
        <is>
          <t>B3</t>
        </is>
      </c>
      <c r="D3348" s="13" t="n">
        <v>0</v>
      </c>
      <c r="E3348" s="13" t="inlineStr">
        <is>
          <t>W</t>
        </is>
      </c>
      <c r="F3348" s="13" t="n">
        <v>2020</v>
      </c>
      <c r="G3348" s="14" t="n">
        <v>8206904.610920115</v>
      </c>
      <c r="H3348" s="14" t="n">
        <v>2240051.831850868</v>
      </c>
      <c r="I3348" s="14" t="n">
        <v>359500.1053675333</v>
      </c>
      <c r="J3348" s="14" t="n">
        <v>0</v>
      </c>
      <c r="K3348" s="14" t="n">
        <v>1302315.362435524</v>
      </c>
      <c r="L3348" s="14" t="n">
        <v>4305037.311266192</v>
      </c>
      <c r="M3348" s="14" t="n">
        <v>0</v>
      </c>
      <c r="N3348" s="14" t="n">
        <v>2240051.831850868</v>
      </c>
      <c r="O3348" s="14" t="n">
        <v>3901867.299653925</v>
      </c>
      <c r="P3348" s="14" t="n">
        <v>0</v>
      </c>
      <c r="Q3348" s="14" t="n">
        <v>35733049.80701564</v>
      </c>
      <c r="R3348" s="15">
        <f>IF(D3348=1,"Section 1","Control")</f>
        <v/>
      </c>
      <c r="S3348" s="16">
        <f>N3348/10000</f>
        <v/>
      </c>
      <c r="T3348" s="16">
        <f>P3348/10000</f>
        <v/>
      </c>
      <c r="U3348" s="15">
        <f>IF(N3348&gt;=Summary!$D$3,1,0)</f>
        <v/>
      </c>
      <c r="V3348" s="17">
        <f>IF(N3348&gt;0,P3348/N3348,"")</f>
        <v/>
      </c>
      <c r="W3348" s="17">
        <f>IF(O3348&gt;0,H3348/O3348,"")</f>
        <v/>
      </c>
    </row>
    <row r="3349">
      <c r="A3349" s="13" t="inlineStr">
        <is>
          <t>CW29_B3</t>
        </is>
      </c>
      <c r="B3349" s="13" t="inlineStr">
        <is>
          <t>CW29</t>
        </is>
      </c>
      <c r="C3349" s="13" t="inlineStr">
        <is>
          <t>B3</t>
        </is>
      </c>
      <c r="D3349" s="13" t="n">
        <v>0</v>
      </c>
      <c r="E3349" s="13" t="inlineStr">
        <is>
          <t>W</t>
        </is>
      </c>
      <c r="F3349" s="13" t="n">
        <v>2021</v>
      </c>
      <c r="G3349" s="14" t="n">
        <v>8206904.610920115</v>
      </c>
      <c r="H3349" s="14" t="n">
        <v>2050042.506308672</v>
      </c>
      <c r="I3349" s="14" t="n">
        <v>136052.8773822261</v>
      </c>
      <c r="J3349" s="14" t="n">
        <v>0</v>
      </c>
      <c r="K3349" s="14" t="n">
        <v>1752422.097684883</v>
      </c>
      <c r="L3349" s="14" t="n">
        <v>4268387.129544336</v>
      </c>
      <c r="M3349" s="14" t="n">
        <v>0</v>
      </c>
      <c r="N3349" s="14" t="n">
        <v>2240051.831850868</v>
      </c>
      <c r="O3349" s="14" t="n">
        <v>3901867.299653925</v>
      </c>
      <c r="P3349" s="14" t="n">
        <v>213556.7448720596</v>
      </c>
      <c r="Q3349" s="14" t="n">
        <v>35733049.80701564</v>
      </c>
      <c r="R3349" s="15">
        <f>IF(D3349=1,"Section 1","Control")</f>
        <v/>
      </c>
      <c r="S3349" s="16">
        <f>N3349/10000</f>
        <v/>
      </c>
      <c r="T3349" s="16">
        <f>P3349/10000</f>
        <v/>
      </c>
      <c r="U3349" s="15">
        <f>IF(N3349&gt;=Summary!$D$3,1,0)</f>
        <v/>
      </c>
      <c r="V3349" s="17">
        <f>IF(N3349&gt;0,P3349/N3349,"")</f>
        <v/>
      </c>
      <c r="W3349" s="17">
        <f>IF(O3349&gt;0,H3349/O3349,"")</f>
        <v/>
      </c>
    </row>
    <row r="3350">
      <c r="A3350" s="13" t="inlineStr">
        <is>
          <t>CW29_B3</t>
        </is>
      </c>
      <c r="B3350" s="13" t="inlineStr">
        <is>
          <t>CW29</t>
        </is>
      </c>
      <c r="C3350" s="13" t="inlineStr">
        <is>
          <t>B3</t>
        </is>
      </c>
      <c r="D3350" s="13" t="n">
        <v>0</v>
      </c>
      <c r="E3350" s="13" t="inlineStr">
        <is>
          <t>W</t>
        </is>
      </c>
      <c r="F3350" s="13" t="n">
        <v>2022</v>
      </c>
      <c r="G3350" s="14" t="n">
        <v>8206904.610920115</v>
      </c>
      <c r="H3350" s="14" t="n">
        <v>1977166.246672148</v>
      </c>
      <c r="I3350" s="14" t="n">
        <v>188695.9406702079</v>
      </c>
      <c r="J3350" s="14" t="n">
        <v>0</v>
      </c>
      <c r="K3350" s="14" t="n">
        <v>1775031.68805539</v>
      </c>
      <c r="L3350" s="14" t="n">
        <v>4266010.735522371</v>
      </c>
      <c r="M3350" s="14" t="n">
        <v>0</v>
      </c>
      <c r="N3350" s="14" t="n">
        <v>2240051.831850867</v>
      </c>
      <c r="O3350" s="14" t="n">
        <v>3901867.299653925</v>
      </c>
      <c r="P3350" s="14" t="n">
        <v>273118.7777459836</v>
      </c>
      <c r="Q3350" s="14" t="n">
        <v>35733049.80701564</v>
      </c>
      <c r="R3350" s="15">
        <f>IF(D3350=1,"Section 1","Control")</f>
        <v/>
      </c>
      <c r="S3350" s="16">
        <f>N3350/10000</f>
        <v/>
      </c>
      <c r="T3350" s="16">
        <f>P3350/10000</f>
        <v/>
      </c>
      <c r="U3350" s="15">
        <f>IF(N3350&gt;=Summary!$D$3,1,0)</f>
        <v/>
      </c>
      <c r="V3350" s="17">
        <f>IF(N3350&gt;0,P3350/N3350,"")</f>
        <v/>
      </c>
      <c r="W3350" s="17">
        <f>IF(O3350&gt;0,H3350/O3350,"")</f>
        <v/>
      </c>
    </row>
    <row r="3351">
      <c r="A3351" s="13" t="inlineStr">
        <is>
          <t>CW29_B3</t>
        </is>
      </c>
      <c r="B3351" s="13" t="inlineStr">
        <is>
          <t>CW29</t>
        </is>
      </c>
      <c r="C3351" s="13" t="inlineStr">
        <is>
          <t>B3</t>
        </is>
      </c>
      <c r="D3351" s="13" t="n">
        <v>0</v>
      </c>
      <c r="E3351" s="13" t="inlineStr">
        <is>
          <t>W</t>
        </is>
      </c>
      <c r="F3351" s="13" t="n">
        <v>2023</v>
      </c>
      <c r="G3351" s="14" t="n">
        <v>8206904.610920115</v>
      </c>
      <c r="H3351" s="14" t="n">
        <v>1960980.081229954</v>
      </c>
      <c r="I3351" s="14" t="n">
        <v>187605.9638571346</v>
      </c>
      <c r="J3351" s="14" t="n">
        <v>0</v>
      </c>
      <c r="K3351" s="14" t="n">
        <v>1749728.280653262</v>
      </c>
      <c r="L3351" s="14" t="n">
        <v>4308590.285179766</v>
      </c>
      <c r="M3351" s="14" t="n">
        <v>0</v>
      </c>
      <c r="N3351" s="14" t="n">
        <v>2240051.831850867</v>
      </c>
      <c r="O3351" s="14" t="n">
        <v>3901867.299653925</v>
      </c>
      <c r="P3351" s="14" t="n">
        <v>289996.0626416076</v>
      </c>
      <c r="Q3351" s="14" t="n">
        <v>35733049.80701564</v>
      </c>
      <c r="R3351" s="15">
        <f>IF(D3351=1,"Section 1","Control")</f>
        <v/>
      </c>
      <c r="S3351" s="16">
        <f>N3351/10000</f>
        <v/>
      </c>
      <c r="T3351" s="16">
        <f>P3351/10000</f>
        <v/>
      </c>
      <c r="U3351" s="15">
        <f>IF(N3351&gt;=Summary!$D$3,1,0)</f>
        <v/>
      </c>
      <c r="V3351" s="17">
        <f>IF(N3351&gt;0,P3351/N3351,"")</f>
        <v/>
      </c>
      <c r="W3351" s="17">
        <f>IF(O3351&gt;0,H3351/O3351,"")</f>
        <v/>
      </c>
    </row>
    <row r="3352">
      <c r="A3352" s="13" t="inlineStr">
        <is>
          <t>CW29_B3</t>
        </is>
      </c>
      <c r="B3352" s="13" t="inlineStr">
        <is>
          <t>CW29</t>
        </is>
      </c>
      <c r="C3352" s="13" t="inlineStr">
        <is>
          <t>B3</t>
        </is>
      </c>
      <c r="D3352" s="13" t="n">
        <v>0</v>
      </c>
      <c r="E3352" s="13" t="inlineStr">
        <is>
          <t>W</t>
        </is>
      </c>
      <c r="F3352" s="13" t="n">
        <v>2024</v>
      </c>
      <c r="G3352" s="14" t="n">
        <v>8206904.610920115</v>
      </c>
      <c r="H3352" s="14" t="n">
        <v>1968372.597130211</v>
      </c>
      <c r="I3352" s="14" t="n">
        <v>237547.3099039414</v>
      </c>
      <c r="J3352" s="14" t="n">
        <v>0</v>
      </c>
      <c r="K3352" s="14" t="n">
        <v>1704932.616044018</v>
      </c>
      <c r="L3352" s="14" t="n">
        <v>4296052.087841946</v>
      </c>
      <c r="M3352" s="14" t="n">
        <v>0</v>
      </c>
      <c r="N3352" s="14" t="n">
        <v>2240051.831850867</v>
      </c>
      <c r="O3352" s="14" t="n">
        <v>3901867.299653925</v>
      </c>
      <c r="P3352" s="14" t="n">
        <v>294889.6246754066</v>
      </c>
      <c r="Q3352" s="14" t="n">
        <v>35733049.80701564</v>
      </c>
      <c r="R3352" s="15">
        <f>IF(D3352=1,"Section 1","Control")</f>
        <v/>
      </c>
      <c r="S3352" s="16">
        <f>N3352/10000</f>
        <v/>
      </c>
      <c r="T3352" s="16">
        <f>P3352/10000</f>
        <v/>
      </c>
      <c r="U3352" s="15">
        <f>IF(N3352&gt;=Summary!$D$3,1,0)</f>
        <v/>
      </c>
      <c r="V3352" s="17">
        <f>IF(N3352&gt;0,P3352/N3352,"")</f>
        <v/>
      </c>
      <c r="W3352" s="17">
        <f>IF(O3352&gt;0,H3352/O3352,"")</f>
        <v/>
      </c>
    </row>
    <row r="3353">
      <c r="A3353" s="13" t="inlineStr">
        <is>
          <t>CW29_B3</t>
        </is>
      </c>
      <c r="B3353" s="13" t="inlineStr">
        <is>
          <t>CW29</t>
        </is>
      </c>
      <c r="C3353" s="13" t="inlineStr">
        <is>
          <t>B3</t>
        </is>
      </c>
      <c r="D3353" s="13" t="n">
        <v>0</v>
      </c>
      <c r="E3353" s="13" t="inlineStr">
        <is>
          <t>W</t>
        </is>
      </c>
      <c r="F3353" s="13" t="n">
        <v>2025</v>
      </c>
      <c r="G3353" s="14" t="n">
        <v>8206904.610920115</v>
      </c>
      <c r="H3353" s="14" t="n">
        <v>1982995.587078708</v>
      </c>
      <c r="I3353" s="14" t="n">
        <v>298340.6523056629</v>
      </c>
      <c r="J3353" s="14" t="n">
        <v>0</v>
      </c>
      <c r="K3353" s="14" t="n">
        <v>1606959.140304535</v>
      </c>
      <c r="L3353" s="14" t="n">
        <v>4318609.231231211</v>
      </c>
      <c r="M3353" s="14" t="n">
        <v>0</v>
      </c>
      <c r="N3353" s="14" t="n">
        <v>2240051.831850868</v>
      </c>
      <c r="O3353" s="14" t="n">
        <v>3901867.299653925</v>
      </c>
      <c r="P3353" s="14" t="n">
        <v>295737.8771871828</v>
      </c>
      <c r="Q3353" s="14" t="n">
        <v>35733049.80701563</v>
      </c>
      <c r="R3353" s="15">
        <f>IF(D3353=1,"Section 1","Control")</f>
        <v/>
      </c>
      <c r="S3353" s="16">
        <f>N3353/10000</f>
        <v/>
      </c>
      <c r="T3353" s="16">
        <f>P3353/10000</f>
        <v/>
      </c>
      <c r="U3353" s="15">
        <f>IF(N3353&gt;=Summary!$D$3,1,0)</f>
        <v/>
      </c>
      <c r="V3353" s="17">
        <f>IF(N3353&gt;0,P3353/N3353,"")</f>
        <v/>
      </c>
      <c r="W3353" s="17">
        <f>IF(O3353&gt;0,H3353/O3353,"")</f>
        <v/>
      </c>
    </row>
    <row r="3354">
      <c r="A3354" s="13" t="inlineStr">
        <is>
          <t>CW29_B3</t>
        </is>
      </c>
      <c r="B3354" s="13" t="inlineStr">
        <is>
          <t>CW29</t>
        </is>
      </c>
      <c r="C3354" s="13" t="inlineStr">
        <is>
          <t>B3</t>
        </is>
      </c>
      <c r="D3354" s="13" t="n">
        <v>0</v>
      </c>
      <c r="E3354" s="13" t="inlineStr">
        <is>
          <t>W</t>
        </is>
      </c>
      <c r="F3354" s="13" t="n">
        <v>2026</v>
      </c>
      <c r="G3354" s="14" t="n">
        <v>8206904.610920115</v>
      </c>
      <c r="H3354" s="14" t="n">
        <v>2003446.438727046</v>
      </c>
      <c r="I3354" s="14" t="n">
        <v>204508.4315011118</v>
      </c>
      <c r="J3354" s="14" t="n">
        <v>0</v>
      </c>
      <c r="K3354" s="14" t="n">
        <v>1674686.029107277</v>
      </c>
      <c r="L3354" s="14" t="n">
        <v>4324263.711584682</v>
      </c>
      <c r="M3354" s="14" t="n">
        <v>0</v>
      </c>
      <c r="N3354" s="14" t="n">
        <v>2240051.831850868</v>
      </c>
      <c r="O3354" s="14" t="n">
        <v>3901867.299653925</v>
      </c>
      <c r="P3354" s="14" t="n">
        <v>303312.1400072285</v>
      </c>
      <c r="Q3354" s="14" t="n">
        <v>35733049.80701564</v>
      </c>
      <c r="R3354" s="15">
        <f>IF(D3354=1,"Section 1","Control")</f>
        <v/>
      </c>
      <c r="S3354" s="16">
        <f>N3354/10000</f>
        <v/>
      </c>
      <c r="T3354" s="16">
        <f>P3354/10000</f>
        <v/>
      </c>
      <c r="U3354" s="15">
        <f>IF(N3354&gt;=Summary!$D$3,1,0)</f>
        <v/>
      </c>
      <c r="V3354" s="17">
        <f>IF(N3354&gt;0,P3354/N3354,"")</f>
        <v/>
      </c>
      <c r="W3354" s="17">
        <f>IF(O3354&gt;0,H3354/O3354,"")</f>
        <v/>
      </c>
    </row>
    <row r="3355">
      <c r="A3355" s="13" t="inlineStr">
        <is>
          <t>CW29_F</t>
        </is>
      </c>
      <c r="B3355" s="13" t="inlineStr">
        <is>
          <t>CW29</t>
        </is>
      </c>
      <c r="C3355" s="13" t="inlineStr">
        <is>
          <t>F</t>
        </is>
      </c>
      <c r="D3355" s="13" t="n">
        <v>0</v>
      </c>
      <c r="E3355" s="13" t="inlineStr">
        <is>
          <t>W</t>
        </is>
      </c>
      <c r="F3355" s="13" t="n">
        <v>2020</v>
      </c>
      <c r="G3355" s="14" t="n">
        <v>71299.86798284188</v>
      </c>
      <c r="H3355" s="14" t="n">
        <v>18725.42590861602</v>
      </c>
      <c r="I3355" s="14" t="n">
        <v>0</v>
      </c>
      <c r="J3355" s="14" t="n">
        <v>0</v>
      </c>
      <c r="K3355" s="14" t="n">
        <v>13992.2859214334</v>
      </c>
      <c r="L3355" s="14" t="n">
        <v>38582.15615279252</v>
      </c>
      <c r="M3355" s="14" t="n">
        <v>0</v>
      </c>
      <c r="N3355" s="14" t="n">
        <v>18725.42590861602</v>
      </c>
      <c r="O3355" s="14" t="n">
        <v>32717.71183004941</v>
      </c>
      <c r="P3355" s="14" t="n">
        <v>0</v>
      </c>
      <c r="Q3355" s="14" t="n">
        <v>635782.872327857</v>
      </c>
      <c r="R3355" s="15">
        <f>IF(D3355=1,"Section 1","Control")</f>
        <v/>
      </c>
      <c r="S3355" s="16">
        <f>N3355/10000</f>
        <v/>
      </c>
      <c r="T3355" s="16">
        <f>P3355/10000</f>
        <v/>
      </c>
      <c r="U3355" s="15">
        <f>IF(N3355&gt;=Summary!$D$3,1,0)</f>
        <v/>
      </c>
      <c r="V3355" s="17">
        <f>IF(N3355&gt;0,P3355/N3355,"")</f>
        <v/>
      </c>
      <c r="W3355" s="17">
        <f>IF(O3355&gt;0,H3355/O3355,"")</f>
        <v/>
      </c>
    </row>
    <row r="3356">
      <c r="A3356" s="13" t="inlineStr">
        <is>
          <t>CW29_F</t>
        </is>
      </c>
      <c r="B3356" s="13" t="inlineStr">
        <is>
          <t>CW29</t>
        </is>
      </c>
      <c r="C3356" s="13" t="inlineStr">
        <is>
          <t>F</t>
        </is>
      </c>
      <c r="D3356" s="13" t="n">
        <v>0</v>
      </c>
      <c r="E3356" s="13" t="inlineStr">
        <is>
          <t>W</t>
        </is>
      </c>
      <c r="F3356" s="13" t="n">
        <v>2021</v>
      </c>
      <c r="G3356" s="14" t="n">
        <v>71299.86798284188</v>
      </c>
      <c r="H3356" s="14" t="n">
        <v>17466.73974573473</v>
      </c>
      <c r="I3356" s="14" t="n">
        <v>0</v>
      </c>
      <c r="J3356" s="14" t="n">
        <v>0</v>
      </c>
      <c r="K3356" s="14" t="n">
        <v>45000.25588304103</v>
      </c>
      <c r="L3356" s="14" t="n">
        <v>8832.872354066138</v>
      </c>
      <c r="M3356" s="14" t="n">
        <v>0</v>
      </c>
      <c r="N3356" s="14" t="n">
        <v>18725.42590861602</v>
      </c>
      <c r="O3356" s="14" t="n">
        <v>32717.71183004941</v>
      </c>
      <c r="P3356" s="14" t="n">
        <v>1258.68616288129</v>
      </c>
      <c r="Q3356" s="14" t="n">
        <v>635782.872327857</v>
      </c>
      <c r="R3356" s="15">
        <f>IF(D3356=1,"Section 1","Control")</f>
        <v/>
      </c>
      <c r="S3356" s="16">
        <f>N3356/10000</f>
        <v/>
      </c>
      <c r="T3356" s="16">
        <f>P3356/10000</f>
        <v/>
      </c>
      <c r="U3356" s="15">
        <f>IF(N3356&gt;=Summary!$D$3,1,0)</f>
        <v/>
      </c>
      <c r="V3356" s="17">
        <f>IF(N3356&gt;0,P3356/N3356,"")</f>
        <v/>
      </c>
      <c r="W3356" s="17">
        <f>IF(O3356&gt;0,H3356/O3356,"")</f>
        <v/>
      </c>
    </row>
    <row r="3357">
      <c r="A3357" s="13" t="inlineStr">
        <is>
          <t>CW29_F</t>
        </is>
      </c>
      <c r="B3357" s="13" t="inlineStr">
        <is>
          <t>CW29</t>
        </is>
      </c>
      <c r="C3357" s="13" t="inlineStr">
        <is>
          <t>F</t>
        </is>
      </c>
      <c r="D3357" s="13" t="n">
        <v>0</v>
      </c>
      <c r="E3357" s="13" t="inlineStr">
        <is>
          <t>W</t>
        </is>
      </c>
      <c r="F3357" s="13" t="n">
        <v>2022</v>
      </c>
      <c r="G3357" s="14" t="n">
        <v>71299.86798284188</v>
      </c>
      <c r="H3357" s="14" t="n">
        <v>17466.73974573473</v>
      </c>
      <c r="I3357" s="14" t="n">
        <v>0</v>
      </c>
      <c r="J3357" s="14" t="n">
        <v>0</v>
      </c>
      <c r="K3357" s="14" t="n">
        <v>41771.26805327169</v>
      </c>
      <c r="L3357" s="14" t="n">
        <v>12061.8601838355</v>
      </c>
      <c r="M3357" s="14" t="n">
        <v>0</v>
      </c>
      <c r="N3357" s="14" t="n">
        <v>18725.42590861602</v>
      </c>
      <c r="O3357" s="14" t="n">
        <v>32717.71183004941</v>
      </c>
      <c r="P3357" s="14" t="n">
        <v>1258.68616288129</v>
      </c>
      <c r="Q3357" s="14" t="n">
        <v>635782.872327857</v>
      </c>
      <c r="R3357" s="15">
        <f>IF(D3357=1,"Section 1","Control")</f>
        <v/>
      </c>
      <c r="S3357" s="16">
        <f>N3357/10000</f>
        <v/>
      </c>
      <c r="T3357" s="16">
        <f>P3357/10000</f>
        <v/>
      </c>
      <c r="U3357" s="15">
        <f>IF(N3357&gt;=Summary!$D$3,1,0)</f>
        <v/>
      </c>
      <c r="V3357" s="17">
        <f>IF(N3357&gt;0,P3357/N3357,"")</f>
        <v/>
      </c>
      <c r="W3357" s="17">
        <f>IF(O3357&gt;0,H3357/O3357,"")</f>
        <v/>
      </c>
    </row>
    <row r="3358">
      <c r="A3358" s="13" t="inlineStr">
        <is>
          <t>CW29_F</t>
        </is>
      </c>
      <c r="B3358" s="13" t="inlineStr">
        <is>
          <t>CW29</t>
        </is>
      </c>
      <c r="C3358" s="13" t="inlineStr">
        <is>
          <t>F</t>
        </is>
      </c>
      <c r="D3358" s="13" t="n">
        <v>0</v>
      </c>
      <c r="E3358" s="13" t="inlineStr">
        <is>
          <t>W</t>
        </is>
      </c>
      <c r="F3358" s="13" t="n">
        <v>2023</v>
      </c>
      <c r="G3358" s="14" t="n">
        <v>71299.86798284188</v>
      </c>
      <c r="H3358" s="14" t="n">
        <v>17145.77679793415</v>
      </c>
      <c r="I3358" s="14" t="n">
        <v>0</v>
      </c>
      <c r="J3358" s="14" t="n">
        <v>0</v>
      </c>
      <c r="K3358" s="14" t="n">
        <v>45876.80608239262</v>
      </c>
      <c r="L3358" s="14" t="n">
        <v>8277.285102515127</v>
      </c>
      <c r="M3358" s="14" t="n">
        <v>0</v>
      </c>
      <c r="N3358" s="14" t="n">
        <v>18725.42590861602</v>
      </c>
      <c r="O3358" s="14" t="n">
        <v>32717.71183004941</v>
      </c>
      <c r="P3358" s="14" t="n">
        <v>1579.64911068187</v>
      </c>
      <c r="Q3358" s="14" t="n">
        <v>635782.872327857</v>
      </c>
      <c r="R3358" s="15">
        <f>IF(D3358=1,"Section 1","Control")</f>
        <v/>
      </c>
      <c r="S3358" s="16">
        <f>N3358/10000</f>
        <v/>
      </c>
      <c r="T3358" s="16">
        <f>P3358/10000</f>
        <v/>
      </c>
      <c r="U3358" s="15">
        <f>IF(N3358&gt;=Summary!$D$3,1,0)</f>
        <v/>
      </c>
      <c r="V3358" s="17">
        <f>IF(N3358&gt;0,P3358/N3358,"")</f>
        <v/>
      </c>
      <c r="W3358" s="17">
        <f>IF(O3358&gt;0,H3358/O3358,"")</f>
        <v/>
      </c>
    </row>
    <row r="3359">
      <c r="A3359" s="13" t="inlineStr">
        <is>
          <t>CW29_F</t>
        </is>
      </c>
      <c r="B3359" s="13" t="inlineStr">
        <is>
          <t>CW29</t>
        </is>
      </c>
      <c r="C3359" s="13" t="inlineStr">
        <is>
          <t>F</t>
        </is>
      </c>
      <c r="D3359" s="13" t="n">
        <v>0</v>
      </c>
      <c r="E3359" s="13" t="inlineStr">
        <is>
          <t>W</t>
        </is>
      </c>
      <c r="F3359" s="13" t="n">
        <v>2024</v>
      </c>
      <c r="G3359" s="14" t="n">
        <v>71299.86798284188</v>
      </c>
      <c r="H3359" s="14" t="n">
        <v>17145.77679793415</v>
      </c>
      <c r="I3359" s="14" t="n">
        <v>0</v>
      </c>
      <c r="J3359" s="14" t="n">
        <v>0</v>
      </c>
      <c r="K3359" s="14" t="n">
        <v>15595.16508259493</v>
      </c>
      <c r="L3359" s="14" t="n">
        <v>38558.92610231287</v>
      </c>
      <c r="M3359" s="14" t="n">
        <v>0</v>
      </c>
      <c r="N3359" s="14" t="n">
        <v>18725.42590861602</v>
      </c>
      <c r="O3359" s="14" t="n">
        <v>32717.71183004941</v>
      </c>
      <c r="P3359" s="14" t="n">
        <v>1579.64911068187</v>
      </c>
      <c r="Q3359" s="14" t="n">
        <v>635782.872327857</v>
      </c>
      <c r="R3359" s="15">
        <f>IF(D3359=1,"Section 1","Control")</f>
        <v/>
      </c>
      <c r="S3359" s="16">
        <f>N3359/10000</f>
        <v/>
      </c>
      <c r="T3359" s="16">
        <f>P3359/10000</f>
        <v/>
      </c>
      <c r="U3359" s="15">
        <f>IF(N3359&gt;=Summary!$D$3,1,0)</f>
        <v/>
      </c>
      <c r="V3359" s="17">
        <f>IF(N3359&gt;0,P3359/N3359,"")</f>
        <v/>
      </c>
      <c r="W3359" s="17">
        <f>IF(O3359&gt;0,H3359/O3359,"")</f>
        <v/>
      </c>
    </row>
    <row r="3360">
      <c r="A3360" s="13" t="inlineStr">
        <is>
          <t>CW29_F</t>
        </is>
      </c>
      <c r="B3360" s="13" t="inlineStr">
        <is>
          <t>CW29</t>
        </is>
      </c>
      <c r="C3360" s="13" t="inlineStr">
        <is>
          <t>F</t>
        </is>
      </c>
      <c r="D3360" s="13" t="n">
        <v>0</v>
      </c>
      <c r="E3360" s="13" t="inlineStr">
        <is>
          <t>W</t>
        </is>
      </c>
      <c r="F3360" s="13" t="n">
        <v>2025</v>
      </c>
      <c r="G3360" s="14" t="n">
        <v>71299.86798284188</v>
      </c>
      <c r="H3360" s="14" t="n">
        <v>2343.920586709414</v>
      </c>
      <c r="I3360" s="14" t="n">
        <v>14801.85621122473</v>
      </c>
      <c r="J3360" s="14" t="n">
        <v>0</v>
      </c>
      <c r="K3360" s="14" t="n">
        <v>21740.69608073516</v>
      </c>
      <c r="L3360" s="14" t="n">
        <v>32413.39510417265</v>
      </c>
      <c r="M3360" s="14" t="n">
        <v>0</v>
      </c>
      <c r="N3360" s="14" t="n">
        <v>18725.42590861602</v>
      </c>
      <c r="O3360" s="14" t="n">
        <v>32717.71183004941</v>
      </c>
      <c r="P3360" s="14" t="n">
        <v>16381.5053219066</v>
      </c>
      <c r="Q3360" s="14" t="n">
        <v>635782.872327857</v>
      </c>
      <c r="R3360" s="15">
        <f>IF(D3360=1,"Section 1","Control")</f>
        <v/>
      </c>
      <c r="S3360" s="16">
        <f>N3360/10000</f>
        <v/>
      </c>
      <c r="T3360" s="16">
        <f>P3360/10000</f>
        <v/>
      </c>
      <c r="U3360" s="15">
        <f>IF(N3360&gt;=Summary!$D$3,1,0)</f>
        <v/>
      </c>
      <c r="V3360" s="17">
        <f>IF(N3360&gt;0,P3360/N3360,"")</f>
        <v/>
      </c>
      <c r="W3360" s="17">
        <f>IF(O3360&gt;0,H3360/O3360,"")</f>
        <v/>
      </c>
    </row>
    <row r="3361">
      <c r="A3361" s="13" t="inlineStr">
        <is>
          <t>CW29_F</t>
        </is>
      </c>
      <c r="B3361" s="13" t="inlineStr">
        <is>
          <t>CW29</t>
        </is>
      </c>
      <c r="C3361" s="13" t="inlineStr">
        <is>
          <t>F</t>
        </is>
      </c>
      <c r="D3361" s="13" t="n">
        <v>0</v>
      </c>
      <c r="E3361" s="13" t="inlineStr">
        <is>
          <t>W</t>
        </is>
      </c>
      <c r="F3361" s="13" t="n">
        <v>2026</v>
      </c>
      <c r="G3361" s="14" t="n">
        <v>71299.86798284188</v>
      </c>
      <c r="H3361" s="14" t="n">
        <v>3294.420101120891</v>
      </c>
      <c r="I3361" s="14" t="n">
        <v>13332.93766380759</v>
      </c>
      <c r="J3361" s="14" t="n">
        <v>0</v>
      </c>
      <c r="K3361" s="14" t="n">
        <v>11388.1871294807</v>
      </c>
      <c r="L3361" s="14" t="n">
        <v>43284.32308843273</v>
      </c>
      <c r="M3361" s="14" t="n">
        <v>0</v>
      </c>
      <c r="N3361" s="14" t="n">
        <v>18725.42590861602</v>
      </c>
      <c r="O3361" s="14" t="n">
        <v>32717.71183004941</v>
      </c>
      <c r="P3361" s="14" t="n">
        <v>15431.00580749512</v>
      </c>
      <c r="Q3361" s="14" t="n">
        <v>635782.872327857</v>
      </c>
      <c r="R3361" s="15">
        <f>IF(D3361=1,"Section 1","Control")</f>
        <v/>
      </c>
      <c r="S3361" s="16">
        <f>N3361/10000</f>
        <v/>
      </c>
      <c r="T3361" s="16">
        <f>P3361/10000</f>
        <v/>
      </c>
      <c r="U3361" s="15">
        <f>IF(N3361&gt;=Summary!$D$3,1,0)</f>
        <v/>
      </c>
      <c r="V3361" s="17">
        <f>IF(N3361&gt;0,P3361/N3361,"")</f>
        <v/>
      </c>
      <c r="W3361" s="17">
        <f>IF(O3361&gt;0,H3361/O3361,"")</f>
        <v/>
      </c>
    </row>
    <row r="3362">
      <c r="A3362" s="13" t="inlineStr">
        <is>
          <t>CW30_B1</t>
        </is>
      </c>
      <c r="B3362" s="13" t="inlineStr">
        <is>
          <t>CW30</t>
        </is>
      </c>
      <c r="C3362" s="13" t="inlineStr">
        <is>
          <t>B1</t>
        </is>
      </c>
      <c r="D3362" s="13" t="n">
        <v>0</v>
      </c>
      <c r="E3362" s="13" t="inlineStr">
        <is>
          <t>W</t>
        </is>
      </c>
      <c r="F3362" s="13" t="n">
        <v>2020</v>
      </c>
      <c r="G3362" s="14" t="n">
        <v>974974.82044959</v>
      </c>
      <c r="H3362" s="14" t="n">
        <v>307491.6287325691</v>
      </c>
      <c r="I3362" s="14" t="n">
        <v>198715.5063907399</v>
      </c>
      <c r="J3362" s="14" t="n">
        <v>0</v>
      </c>
      <c r="K3362" s="14" t="n">
        <v>103945.399686028</v>
      </c>
      <c r="L3362" s="14" t="n">
        <v>364822.2856402526</v>
      </c>
      <c r="M3362" s="14" t="n">
        <v>0</v>
      </c>
      <c r="N3362" s="14" t="n">
        <v>307491.6287325691</v>
      </c>
      <c r="O3362" s="14" t="n">
        <v>610152.534809337</v>
      </c>
      <c r="P3362" s="14" t="n">
        <v>0</v>
      </c>
      <c r="Q3362" s="14" t="n">
        <v>5339649.625079555</v>
      </c>
      <c r="R3362" s="15">
        <f>IF(D3362=1,"Section 1","Control")</f>
        <v/>
      </c>
      <c r="S3362" s="16">
        <f>N3362/10000</f>
        <v/>
      </c>
      <c r="T3362" s="16">
        <f>P3362/10000</f>
        <v/>
      </c>
      <c r="U3362" s="15">
        <f>IF(N3362&gt;=Summary!$D$3,1,0)</f>
        <v/>
      </c>
      <c r="V3362" s="17">
        <f>IF(N3362&gt;0,P3362/N3362,"")</f>
        <v/>
      </c>
      <c r="W3362" s="17">
        <f>IF(O3362&gt;0,H3362/O3362,"")</f>
        <v/>
      </c>
    </row>
    <row r="3363">
      <c r="A3363" s="13" t="inlineStr">
        <is>
          <t>CW30_B1</t>
        </is>
      </c>
      <c r="B3363" s="13" t="inlineStr">
        <is>
          <t>CW30</t>
        </is>
      </c>
      <c r="C3363" s="13" t="inlineStr">
        <is>
          <t>B1</t>
        </is>
      </c>
      <c r="D3363" s="13" t="n">
        <v>0</v>
      </c>
      <c r="E3363" s="13" t="inlineStr">
        <is>
          <t>W</t>
        </is>
      </c>
      <c r="F3363" s="13" t="n">
        <v>2021</v>
      </c>
      <c r="G3363" s="14" t="n">
        <v>974974.82044959</v>
      </c>
      <c r="H3363" s="14" t="n">
        <v>305621.1541349523</v>
      </c>
      <c r="I3363" s="14" t="n">
        <v>180176.1601715985</v>
      </c>
      <c r="J3363" s="14" t="n">
        <v>0</v>
      </c>
      <c r="K3363" s="14" t="n">
        <v>246589.1283210904</v>
      </c>
      <c r="L3363" s="14" t="n">
        <v>242588.3778219485</v>
      </c>
      <c r="M3363" s="14" t="n">
        <v>0</v>
      </c>
      <c r="N3363" s="14" t="n">
        <v>307491.6287325691</v>
      </c>
      <c r="O3363" s="14" t="n">
        <v>610152.534809337</v>
      </c>
      <c r="P3363" s="14" t="n">
        <v>26350.28943729774</v>
      </c>
      <c r="Q3363" s="14" t="n">
        <v>5339649.625079555</v>
      </c>
      <c r="R3363" s="15">
        <f>IF(D3363=1,"Section 1","Control")</f>
        <v/>
      </c>
      <c r="S3363" s="16">
        <f>N3363/10000</f>
        <v/>
      </c>
      <c r="T3363" s="16">
        <f>P3363/10000</f>
        <v/>
      </c>
      <c r="U3363" s="15">
        <f>IF(N3363&gt;=Summary!$D$3,1,0)</f>
        <v/>
      </c>
      <c r="V3363" s="17">
        <f>IF(N3363&gt;0,P3363/N3363,"")</f>
        <v/>
      </c>
      <c r="W3363" s="17">
        <f>IF(O3363&gt;0,H3363/O3363,"")</f>
        <v/>
      </c>
    </row>
    <row r="3364">
      <c r="A3364" s="13" t="inlineStr">
        <is>
          <t>CW30_B1</t>
        </is>
      </c>
      <c r="B3364" s="13" t="inlineStr">
        <is>
          <t>CW30</t>
        </is>
      </c>
      <c r="C3364" s="13" t="inlineStr">
        <is>
          <t>B1</t>
        </is>
      </c>
      <c r="D3364" s="13" t="n">
        <v>0</v>
      </c>
      <c r="E3364" s="13" t="inlineStr">
        <is>
          <t>W</t>
        </is>
      </c>
      <c r="F3364" s="13" t="n">
        <v>2022</v>
      </c>
      <c r="G3364" s="14" t="n">
        <v>974974.82044959</v>
      </c>
      <c r="H3364" s="14" t="n">
        <v>285669.6189047121</v>
      </c>
      <c r="I3364" s="14" t="n">
        <v>192290.5764701993</v>
      </c>
      <c r="J3364" s="14" t="n">
        <v>0</v>
      </c>
      <c r="K3364" s="14" t="n">
        <v>259929.746690608</v>
      </c>
      <c r="L3364" s="14" t="n">
        <v>237084.8783840703</v>
      </c>
      <c r="M3364" s="14" t="n">
        <v>0</v>
      </c>
      <c r="N3364" s="14" t="n">
        <v>307491.6287325691</v>
      </c>
      <c r="O3364" s="14" t="n">
        <v>610152.534809337</v>
      </c>
      <c r="P3364" s="14" t="n">
        <v>35688.79749603271</v>
      </c>
      <c r="Q3364" s="14" t="n">
        <v>5339649.625079555</v>
      </c>
      <c r="R3364" s="15">
        <f>IF(D3364=1,"Section 1","Control")</f>
        <v/>
      </c>
      <c r="S3364" s="16">
        <f>N3364/10000</f>
        <v/>
      </c>
      <c r="T3364" s="16">
        <f>P3364/10000</f>
        <v/>
      </c>
      <c r="U3364" s="15">
        <f>IF(N3364&gt;=Summary!$D$3,1,0)</f>
        <v/>
      </c>
      <c r="V3364" s="17">
        <f>IF(N3364&gt;0,P3364/N3364,"")</f>
        <v/>
      </c>
      <c r="W3364" s="17">
        <f>IF(O3364&gt;0,H3364/O3364,"")</f>
        <v/>
      </c>
    </row>
    <row r="3365">
      <c r="A3365" s="13" t="inlineStr">
        <is>
          <t>CW30_B1</t>
        </is>
      </c>
      <c r="B3365" s="13" t="inlineStr">
        <is>
          <t>CW30</t>
        </is>
      </c>
      <c r="C3365" s="13" t="inlineStr">
        <is>
          <t>B1</t>
        </is>
      </c>
      <c r="D3365" s="13" t="n">
        <v>0</v>
      </c>
      <c r="E3365" s="13" t="inlineStr">
        <is>
          <t>W</t>
        </is>
      </c>
      <c r="F3365" s="13" t="n">
        <v>2023</v>
      </c>
      <c r="G3365" s="14" t="n">
        <v>974974.82044959</v>
      </c>
      <c r="H3365" s="14" t="n">
        <v>263796.095600921</v>
      </c>
      <c r="I3365" s="14" t="n">
        <v>193418.3431202907</v>
      </c>
      <c r="J3365" s="14" t="n">
        <v>0</v>
      </c>
      <c r="K3365" s="14" t="n">
        <v>270201.4732943666</v>
      </c>
      <c r="L3365" s="14" t="n">
        <v>247558.9084340114</v>
      </c>
      <c r="M3365" s="14" t="n">
        <v>0</v>
      </c>
      <c r="N3365" s="14" t="n">
        <v>307491.6287325691</v>
      </c>
      <c r="O3365" s="14" t="n">
        <v>610152.5348093369</v>
      </c>
      <c r="P3365" s="14" t="n">
        <v>56699.6858862185</v>
      </c>
      <c r="Q3365" s="14" t="n">
        <v>5339649.625079556</v>
      </c>
      <c r="R3365" s="15">
        <f>IF(D3365=1,"Section 1","Control")</f>
        <v/>
      </c>
      <c r="S3365" s="16">
        <f>N3365/10000</f>
        <v/>
      </c>
      <c r="T3365" s="16">
        <f>P3365/10000</f>
        <v/>
      </c>
      <c r="U3365" s="15">
        <f>IF(N3365&gt;=Summary!$D$3,1,0)</f>
        <v/>
      </c>
      <c r="V3365" s="17">
        <f>IF(N3365&gt;0,P3365/N3365,"")</f>
        <v/>
      </c>
      <c r="W3365" s="17">
        <f>IF(O3365&gt;0,H3365/O3365,"")</f>
        <v/>
      </c>
    </row>
    <row r="3366">
      <c r="A3366" s="13" t="inlineStr">
        <is>
          <t>CW30_B1</t>
        </is>
      </c>
      <c r="B3366" s="13" t="inlineStr">
        <is>
          <t>CW30</t>
        </is>
      </c>
      <c r="C3366" s="13" t="inlineStr">
        <is>
          <t>B1</t>
        </is>
      </c>
      <c r="D3366" s="13" t="n">
        <v>0</v>
      </c>
      <c r="E3366" s="13" t="inlineStr">
        <is>
          <t>W</t>
        </is>
      </c>
      <c r="F3366" s="13" t="n">
        <v>2024</v>
      </c>
      <c r="G3366" s="14" t="n">
        <v>974974.82044959</v>
      </c>
      <c r="H3366" s="14" t="n">
        <v>306818.1477884928</v>
      </c>
      <c r="I3366" s="14" t="n">
        <v>160159.5322063371</v>
      </c>
      <c r="J3366" s="14" t="n">
        <v>0</v>
      </c>
      <c r="K3366" s="14" t="n">
        <v>188174.7465653064</v>
      </c>
      <c r="L3366" s="14" t="n">
        <v>319822.3938894533</v>
      </c>
      <c r="M3366" s="14" t="n">
        <v>0</v>
      </c>
      <c r="N3366" s="14" t="n">
        <v>307491.6287325691</v>
      </c>
      <c r="O3366" s="14" t="n">
        <v>610152.534809337</v>
      </c>
      <c r="P3366" s="14" t="n">
        <v>46514.85089578068</v>
      </c>
      <c r="Q3366" s="14" t="n">
        <v>5339649.625079555</v>
      </c>
      <c r="R3366" s="15">
        <f>IF(D3366=1,"Section 1","Control")</f>
        <v/>
      </c>
      <c r="S3366" s="16">
        <f>N3366/10000</f>
        <v/>
      </c>
      <c r="T3366" s="16">
        <f>P3366/10000</f>
        <v/>
      </c>
      <c r="U3366" s="15">
        <f>IF(N3366&gt;=Summary!$D$3,1,0)</f>
        <v/>
      </c>
      <c r="V3366" s="17">
        <f>IF(N3366&gt;0,P3366/N3366,"")</f>
        <v/>
      </c>
      <c r="W3366" s="17">
        <f>IF(O3366&gt;0,H3366/O3366,"")</f>
        <v/>
      </c>
    </row>
    <row r="3367">
      <c r="A3367" s="13" t="inlineStr">
        <is>
          <t>CW30_B1</t>
        </is>
      </c>
      <c r="B3367" s="13" t="inlineStr">
        <is>
          <t>CW30</t>
        </is>
      </c>
      <c r="C3367" s="13" t="inlineStr">
        <is>
          <t>B1</t>
        </is>
      </c>
      <c r="D3367" s="13" t="n">
        <v>0</v>
      </c>
      <c r="E3367" s="13" t="inlineStr">
        <is>
          <t>W</t>
        </is>
      </c>
      <c r="F3367" s="13" t="n">
        <v>2025</v>
      </c>
      <c r="G3367" s="14" t="n">
        <v>974974.82044959</v>
      </c>
      <c r="H3367" s="14" t="n">
        <v>306197.0648519179</v>
      </c>
      <c r="I3367" s="14" t="n">
        <v>174541.6876758351</v>
      </c>
      <c r="J3367" s="14" t="n">
        <v>0</v>
      </c>
      <c r="K3367" s="14" t="n">
        <v>195519.2983246747</v>
      </c>
      <c r="L3367" s="14" t="n">
        <v>298716.769597162</v>
      </c>
      <c r="M3367" s="14" t="n">
        <v>0</v>
      </c>
      <c r="N3367" s="14" t="n">
        <v>307491.6287325691</v>
      </c>
      <c r="O3367" s="14" t="n">
        <v>610152.534809337</v>
      </c>
      <c r="P3367" s="14" t="n">
        <v>46145.51538705265</v>
      </c>
      <c r="Q3367" s="14" t="n">
        <v>5339649.625079555</v>
      </c>
      <c r="R3367" s="15">
        <f>IF(D3367=1,"Section 1","Control")</f>
        <v/>
      </c>
      <c r="S3367" s="16">
        <f>N3367/10000</f>
        <v/>
      </c>
      <c r="T3367" s="16">
        <f>P3367/10000</f>
        <v/>
      </c>
      <c r="U3367" s="15">
        <f>IF(N3367&gt;=Summary!$D$3,1,0)</f>
        <v/>
      </c>
      <c r="V3367" s="17">
        <f>IF(N3367&gt;0,P3367/N3367,"")</f>
        <v/>
      </c>
      <c r="W3367" s="17">
        <f>IF(O3367&gt;0,H3367/O3367,"")</f>
        <v/>
      </c>
    </row>
    <row r="3368">
      <c r="A3368" s="13" t="inlineStr">
        <is>
          <t>CW30_B1</t>
        </is>
      </c>
      <c r="B3368" s="13" t="inlineStr">
        <is>
          <t>CW30</t>
        </is>
      </c>
      <c r="C3368" s="13" t="inlineStr">
        <is>
          <t>B1</t>
        </is>
      </c>
      <c r="D3368" s="13" t="n">
        <v>0</v>
      </c>
      <c r="E3368" s="13" t="inlineStr">
        <is>
          <t>W</t>
        </is>
      </c>
      <c r="F3368" s="13" t="n">
        <v>2026</v>
      </c>
      <c r="G3368" s="14" t="n">
        <v>974974.82044959</v>
      </c>
      <c r="H3368" s="14" t="n">
        <v>275620.6535403681</v>
      </c>
      <c r="I3368" s="14" t="n">
        <v>188721.5187781241</v>
      </c>
      <c r="J3368" s="14" t="n">
        <v>0</v>
      </c>
      <c r="K3368" s="14" t="n">
        <v>175647.8809673234</v>
      </c>
      <c r="L3368" s="14" t="n">
        <v>334984.7671637741</v>
      </c>
      <c r="M3368" s="14" t="n">
        <v>0</v>
      </c>
      <c r="N3368" s="14" t="n">
        <v>307491.6287325691</v>
      </c>
      <c r="O3368" s="14" t="n">
        <v>610152.534809337</v>
      </c>
      <c r="P3368" s="14" t="n">
        <v>67461.73904870724</v>
      </c>
      <c r="Q3368" s="14" t="n">
        <v>5339649.625079555</v>
      </c>
      <c r="R3368" s="15">
        <f>IF(D3368=1,"Section 1","Control")</f>
        <v/>
      </c>
      <c r="S3368" s="16">
        <f>N3368/10000</f>
        <v/>
      </c>
      <c r="T3368" s="16">
        <f>P3368/10000</f>
        <v/>
      </c>
      <c r="U3368" s="15">
        <f>IF(N3368&gt;=Summary!$D$3,1,0)</f>
        <v/>
      </c>
      <c r="V3368" s="17">
        <f>IF(N3368&gt;0,P3368/N3368,"")</f>
        <v/>
      </c>
      <c r="W3368" s="17">
        <f>IF(O3368&gt;0,H3368/O3368,"")</f>
        <v/>
      </c>
    </row>
    <row r="3369">
      <c r="A3369" s="13" t="inlineStr">
        <is>
          <t>CW30_B2</t>
        </is>
      </c>
      <c r="B3369" s="13" t="inlineStr">
        <is>
          <t>CW30</t>
        </is>
      </c>
      <c r="C3369" s="13" t="inlineStr">
        <is>
          <t>B2</t>
        </is>
      </c>
      <c r="D3369" s="13" t="n">
        <v>0</v>
      </c>
      <c r="E3369" s="13" t="inlineStr">
        <is>
          <t>W</t>
        </is>
      </c>
      <c r="F3369" s="13" t="n">
        <v>2020</v>
      </c>
      <c r="G3369" s="14" t="n">
        <v>975158.7145521878</v>
      </c>
      <c r="H3369" s="14" t="n">
        <v>42191.28295225255</v>
      </c>
      <c r="I3369" s="14" t="n">
        <v>13324.66663211</v>
      </c>
      <c r="J3369" s="14" t="n">
        <v>0</v>
      </c>
      <c r="K3369" s="14" t="n">
        <v>5902.706935777851</v>
      </c>
      <c r="L3369" s="14" t="n">
        <v>913740.0580320476</v>
      </c>
      <c r="M3369" s="14" t="n">
        <v>0</v>
      </c>
      <c r="N3369" s="14" t="n">
        <v>42191.28295225255</v>
      </c>
      <c r="O3369" s="14" t="n">
        <v>61418.6565201404</v>
      </c>
      <c r="P3369" s="14" t="n">
        <v>0</v>
      </c>
      <c r="Q3369" s="14" t="n">
        <v>187833.1643926882</v>
      </c>
      <c r="R3369" s="15">
        <f>IF(D3369=1,"Section 1","Control")</f>
        <v/>
      </c>
      <c r="S3369" s="16">
        <f>N3369/10000</f>
        <v/>
      </c>
      <c r="T3369" s="16">
        <f>P3369/10000</f>
        <v/>
      </c>
      <c r="U3369" s="15">
        <f>IF(N3369&gt;=Summary!$D$3,1,0)</f>
        <v/>
      </c>
      <c r="V3369" s="17">
        <f>IF(N3369&gt;0,P3369/N3369,"")</f>
        <v/>
      </c>
      <c r="W3369" s="17">
        <f>IF(O3369&gt;0,H3369/O3369,"")</f>
        <v/>
      </c>
    </row>
    <row r="3370">
      <c r="A3370" s="13" t="inlineStr">
        <is>
          <t>CW30_B2</t>
        </is>
      </c>
      <c r="B3370" s="13" t="inlineStr">
        <is>
          <t>CW30</t>
        </is>
      </c>
      <c r="C3370" s="13" t="inlineStr">
        <is>
          <t>B2</t>
        </is>
      </c>
      <c r="D3370" s="13" t="n">
        <v>0</v>
      </c>
      <c r="E3370" s="13" t="inlineStr">
        <is>
          <t>W</t>
        </is>
      </c>
      <c r="F3370" s="13" t="n">
        <v>2021</v>
      </c>
      <c r="G3370" s="14" t="n">
        <v>975158.7145521878</v>
      </c>
      <c r="H3370" s="14" t="n">
        <v>37893.36746108112</v>
      </c>
      <c r="I3370" s="14" t="n">
        <v>5700.227781078863</v>
      </c>
      <c r="J3370" s="14" t="n">
        <v>0</v>
      </c>
      <c r="K3370" s="14" t="n">
        <v>19639.29780946619</v>
      </c>
      <c r="L3370" s="14" t="n">
        <v>911925.8215005615</v>
      </c>
      <c r="M3370" s="14" t="n">
        <v>0</v>
      </c>
      <c r="N3370" s="14" t="n">
        <v>42191.28295225255</v>
      </c>
      <c r="O3370" s="14" t="n">
        <v>61418.6565201404</v>
      </c>
      <c r="P3370" s="14" t="n">
        <v>6583.350325820025</v>
      </c>
      <c r="Q3370" s="14" t="n">
        <v>187833.1643926882</v>
      </c>
      <c r="R3370" s="15">
        <f>IF(D3370=1,"Section 1","Control")</f>
        <v/>
      </c>
      <c r="S3370" s="16">
        <f>N3370/10000</f>
        <v/>
      </c>
      <c r="T3370" s="16">
        <f>P3370/10000</f>
        <v/>
      </c>
      <c r="U3370" s="15">
        <f>IF(N3370&gt;=Summary!$D$3,1,0)</f>
        <v/>
      </c>
      <c r="V3370" s="17">
        <f>IF(N3370&gt;0,P3370/N3370,"")</f>
        <v/>
      </c>
      <c r="W3370" s="17">
        <f>IF(O3370&gt;0,H3370/O3370,"")</f>
        <v/>
      </c>
    </row>
    <row r="3371">
      <c r="A3371" s="13" t="inlineStr">
        <is>
          <t>CW30_B2</t>
        </is>
      </c>
      <c r="B3371" s="13" t="inlineStr">
        <is>
          <t>CW30</t>
        </is>
      </c>
      <c r="C3371" s="13" t="inlineStr">
        <is>
          <t>B2</t>
        </is>
      </c>
      <c r="D3371" s="13" t="n">
        <v>0</v>
      </c>
      <c r="E3371" s="13" t="inlineStr">
        <is>
          <t>W</t>
        </is>
      </c>
      <c r="F3371" s="13" t="n">
        <v>2022</v>
      </c>
      <c r="G3371" s="14" t="n">
        <v>975158.7145521878</v>
      </c>
      <c r="H3371" s="14" t="n">
        <v>37191.82409102496</v>
      </c>
      <c r="I3371" s="14" t="n">
        <v>9013.198748958812</v>
      </c>
      <c r="J3371" s="14" t="n">
        <v>0</v>
      </c>
      <c r="K3371" s="14" t="n">
        <v>18804.17908043955</v>
      </c>
      <c r="L3371" s="14" t="n">
        <v>910149.5126317644</v>
      </c>
      <c r="M3371" s="14" t="n">
        <v>0</v>
      </c>
      <c r="N3371" s="14" t="n">
        <v>42191.28295225255</v>
      </c>
      <c r="O3371" s="14" t="n">
        <v>61418.6565201404</v>
      </c>
      <c r="P3371" s="14" t="n">
        <v>7326.707213637408</v>
      </c>
      <c r="Q3371" s="14" t="n">
        <v>187833.1643926882</v>
      </c>
      <c r="R3371" s="15">
        <f>IF(D3371=1,"Section 1","Control")</f>
        <v/>
      </c>
      <c r="S3371" s="16">
        <f>N3371/10000</f>
        <v/>
      </c>
      <c r="T3371" s="16">
        <f>P3371/10000</f>
        <v/>
      </c>
      <c r="U3371" s="15">
        <f>IF(N3371&gt;=Summary!$D$3,1,0)</f>
        <v/>
      </c>
      <c r="V3371" s="17">
        <f>IF(N3371&gt;0,P3371/N3371,"")</f>
        <v/>
      </c>
      <c r="W3371" s="17">
        <f>IF(O3371&gt;0,H3371/O3371,"")</f>
        <v/>
      </c>
    </row>
    <row r="3372">
      <c r="A3372" s="13" t="inlineStr">
        <is>
          <t>CW30_B2</t>
        </is>
      </c>
      <c r="B3372" s="13" t="inlineStr">
        <is>
          <t>CW30</t>
        </is>
      </c>
      <c r="C3372" s="13" t="inlineStr">
        <is>
          <t>B2</t>
        </is>
      </c>
      <c r="D3372" s="13" t="n">
        <v>0</v>
      </c>
      <c r="E3372" s="13" t="inlineStr">
        <is>
          <t>W</t>
        </is>
      </c>
      <c r="F3372" s="13" t="n">
        <v>2023</v>
      </c>
      <c r="G3372" s="14" t="n">
        <v>975158.7145521878</v>
      </c>
      <c r="H3372" s="14" t="n">
        <v>35005.11687185251</v>
      </c>
      <c r="I3372" s="14" t="n">
        <v>11496.47422539206</v>
      </c>
      <c r="J3372" s="14" t="n">
        <v>0</v>
      </c>
      <c r="K3372" s="14" t="n">
        <v>7839.690336608886</v>
      </c>
      <c r="L3372" s="14" t="n">
        <v>920817.4331183344</v>
      </c>
      <c r="M3372" s="14" t="n">
        <v>0</v>
      </c>
      <c r="N3372" s="14" t="n">
        <v>42191.28295225255</v>
      </c>
      <c r="O3372" s="14" t="n">
        <v>61418.6565201404</v>
      </c>
      <c r="P3372" s="14" t="n">
        <v>8372.43907437792</v>
      </c>
      <c r="Q3372" s="14" t="n">
        <v>187833.1643926882</v>
      </c>
      <c r="R3372" s="15">
        <f>IF(D3372=1,"Section 1","Control")</f>
        <v/>
      </c>
      <c r="S3372" s="16">
        <f>N3372/10000</f>
        <v/>
      </c>
      <c r="T3372" s="16">
        <f>P3372/10000</f>
        <v/>
      </c>
      <c r="U3372" s="15">
        <f>IF(N3372&gt;=Summary!$D$3,1,0)</f>
        <v/>
      </c>
      <c r="V3372" s="17">
        <f>IF(N3372&gt;0,P3372/N3372,"")</f>
        <v/>
      </c>
      <c r="W3372" s="17">
        <f>IF(O3372&gt;0,H3372/O3372,"")</f>
        <v/>
      </c>
    </row>
    <row r="3373">
      <c r="A3373" s="13" t="inlineStr">
        <is>
          <t>CW30_B2</t>
        </is>
      </c>
      <c r="B3373" s="13" t="inlineStr">
        <is>
          <t>CW30</t>
        </is>
      </c>
      <c r="C3373" s="13" t="inlineStr">
        <is>
          <t>B2</t>
        </is>
      </c>
      <c r="D3373" s="13" t="n">
        <v>0</v>
      </c>
      <c r="E3373" s="13" t="inlineStr">
        <is>
          <t>W</t>
        </is>
      </c>
      <c r="F3373" s="13" t="n">
        <v>2024</v>
      </c>
      <c r="G3373" s="14" t="n">
        <v>975158.7145521878</v>
      </c>
      <c r="H3373" s="14" t="n">
        <v>42698.08406557569</v>
      </c>
      <c r="I3373" s="14" t="n">
        <v>5536.845053549374</v>
      </c>
      <c r="J3373" s="14" t="n">
        <v>0</v>
      </c>
      <c r="K3373" s="14" t="n">
        <v>8562.525269841213</v>
      </c>
      <c r="L3373" s="14" t="n">
        <v>918361.2601632216</v>
      </c>
      <c r="M3373" s="14" t="n">
        <v>0</v>
      </c>
      <c r="N3373" s="14" t="n">
        <v>42191.28295225255</v>
      </c>
      <c r="O3373" s="14" t="n">
        <v>61418.6565201404</v>
      </c>
      <c r="P3373" s="14" t="n">
        <v>7589.203734992532</v>
      </c>
      <c r="Q3373" s="14" t="n">
        <v>187833.1643926882</v>
      </c>
      <c r="R3373" s="15">
        <f>IF(D3373=1,"Section 1","Control")</f>
        <v/>
      </c>
      <c r="S3373" s="16">
        <f>N3373/10000</f>
        <v/>
      </c>
      <c r="T3373" s="16">
        <f>P3373/10000</f>
        <v/>
      </c>
      <c r="U3373" s="15">
        <f>IF(N3373&gt;=Summary!$D$3,1,0)</f>
        <v/>
      </c>
      <c r="V3373" s="17">
        <f>IF(N3373&gt;0,P3373/N3373,"")</f>
        <v/>
      </c>
      <c r="W3373" s="17">
        <f>IF(O3373&gt;0,H3373/O3373,"")</f>
        <v/>
      </c>
    </row>
    <row r="3374">
      <c r="A3374" s="13" t="inlineStr">
        <is>
          <t>CW30_B2</t>
        </is>
      </c>
      <c r="B3374" s="13" t="inlineStr">
        <is>
          <t>CW30</t>
        </is>
      </c>
      <c r="C3374" s="13" t="inlineStr">
        <is>
          <t>B2</t>
        </is>
      </c>
      <c r="D3374" s="13" t="n">
        <v>0</v>
      </c>
      <c r="E3374" s="13" t="inlineStr">
        <is>
          <t>W</t>
        </is>
      </c>
      <c r="F3374" s="13" t="n">
        <v>2025</v>
      </c>
      <c r="G3374" s="14" t="n">
        <v>975158.7145521878</v>
      </c>
      <c r="H3374" s="14" t="n">
        <v>53182.12320502786</v>
      </c>
      <c r="I3374" s="14" t="n">
        <v>1655.903665161133</v>
      </c>
      <c r="J3374" s="14" t="n">
        <v>0</v>
      </c>
      <c r="K3374" s="14" t="n">
        <v>13560.04182170793</v>
      </c>
      <c r="L3374" s="14" t="n">
        <v>906760.6458602909</v>
      </c>
      <c r="M3374" s="14" t="n">
        <v>0</v>
      </c>
      <c r="N3374" s="14" t="n">
        <v>42191.28295225255</v>
      </c>
      <c r="O3374" s="14" t="n">
        <v>61418.6565201404</v>
      </c>
      <c r="P3374" s="14" t="n">
        <v>5393.591853482115</v>
      </c>
      <c r="Q3374" s="14" t="n">
        <v>187833.1643926882</v>
      </c>
      <c r="R3374" s="15">
        <f>IF(D3374=1,"Section 1","Control")</f>
        <v/>
      </c>
      <c r="S3374" s="16">
        <f>N3374/10000</f>
        <v/>
      </c>
      <c r="T3374" s="16">
        <f>P3374/10000</f>
        <v/>
      </c>
      <c r="U3374" s="15">
        <f>IF(N3374&gt;=Summary!$D$3,1,0)</f>
        <v/>
      </c>
      <c r="V3374" s="17">
        <f>IF(N3374&gt;0,P3374/N3374,"")</f>
        <v/>
      </c>
      <c r="W3374" s="17">
        <f>IF(O3374&gt;0,H3374/O3374,"")</f>
        <v/>
      </c>
    </row>
    <row r="3375">
      <c r="A3375" s="13" t="inlineStr">
        <is>
          <t>CW30_B2</t>
        </is>
      </c>
      <c r="B3375" s="13" t="inlineStr">
        <is>
          <t>CW30</t>
        </is>
      </c>
      <c r="C3375" s="13" t="inlineStr">
        <is>
          <t>B2</t>
        </is>
      </c>
      <c r="D3375" s="13" t="n">
        <v>0</v>
      </c>
      <c r="E3375" s="13" t="inlineStr">
        <is>
          <t>W</t>
        </is>
      </c>
      <c r="F3375" s="13" t="n">
        <v>2026</v>
      </c>
      <c r="G3375" s="14" t="n">
        <v>975158.7145521878</v>
      </c>
      <c r="H3375" s="14" t="n">
        <v>40279.85238617541</v>
      </c>
      <c r="I3375" s="14" t="n">
        <v>9422.43221950157</v>
      </c>
      <c r="J3375" s="14" t="n">
        <v>0</v>
      </c>
      <c r="K3375" s="14" t="n">
        <v>10171.19602430755</v>
      </c>
      <c r="L3375" s="14" t="n">
        <v>915285.2339222032</v>
      </c>
      <c r="M3375" s="14" t="n">
        <v>0</v>
      </c>
      <c r="N3375" s="14" t="n">
        <v>42191.28295225255</v>
      </c>
      <c r="O3375" s="14" t="n">
        <v>61418.6565201404</v>
      </c>
      <c r="P3375" s="14" t="n">
        <v>8453.742460662243</v>
      </c>
      <c r="Q3375" s="14" t="n">
        <v>187833.1643926882</v>
      </c>
      <c r="R3375" s="15">
        <f>IF(D3375=1,"Section 1","Control")</f>
        <v/>
      </c>
      <c r="S3375" s="16">
        <f>N3375/10000</f>
        <v/>
      </c>
      <c r="T3375" s="16">
        <f>P3375/10000</f>
        <v/>
      </c>
      <c r="U3375" s="15">
        <f>IF(N3375&gt;=Summary!$D$3,1,0)</f>
        <v/>
      </c>
      <c r="V3375" s="17">
        <f>IF(N3375&gt;0,P3375/N3375,"")</f>
        <v/>
      </c>
      <c r="W3375" s="17">
        <f>IF(O3375&gt;0,H3375/O3375,"")</f>
        <v/>
      </c>
    </row>
    <row r="3376">
      <c r="A3376" s="13" t="inlineStr">
        <is>
          <t>CW30_B3</t>
        </is>
      </c>
      <c r="B3376" s="13" t="inlineStr">
        <is>
          <t>CW30</t>
        </is>
      </c>
      <c r="C3376" s="13" t="inlineStr">
        <is>
          <t>B3</t>
        </is>
      </c>
      <c r="D3376" s="13" t="n">
        <v>0</v>
      </c>
      <c r="E3376" s="13" t="inlineStr">
        <is>
          <t>W</t>
        </is>
      </c>
      <c r="F3376" s="13" t="n">
        <v>2020</v>
      </c>
      <c r="G3376" s="14" t="n">
        <v>7801556.467803027</v>
      </c>
      <c r="H3376" s="14" t="n">
        <v>2419126.29784136</v>
      </c>
      <c r="I3376" s="14" t="n">
        <v>320523.1183434281</v>
      </c>
      <c r="J3376" s="14" t="n">
        <v>0</v>
      </c>
      <c r="K3376" s="14" t="n">
        <v>1013084.334254246</v>
      </c>
      <c r="L3376" s="14" t="n">
        <v>4048822.717363994</v>
      </c>
      <c r="M3376" s="14" t="n">
        <v>0</v>
      </c>
      <c r="N3376" s="14" t="n">
        <v>2419126.29784136</v>
      </c>
      <c r="O3376" s="14" t="n">
        <v>3752733.750439034</v>
      </c>
      <c r="P3376" s="14" t="n">
        <v>0</v>
      </c>
      <c r="Q3376" s="14" t="n">
        <v>35755417.79966424</v>
      </c>
      <c r="R3376" s="15">
        <f>IF(D3376=1,"Section 1","Control")</f>
        <v/>
      </c>
      <c r="S3376" s="16">
        <f>N3376/10000</f>
        <v/>
      </c>
      <c r="T3376" s="16">
        <f>P3376/10000</f>
        <v/>
      </c>
      <c r="U3376" s="15">
        <f>IF(N3376&gt;=Summary!$D$3,1,0)</f>
        <v/>
      </c>
      <c r="V3376" s="17">
        <f>IF(N3376&gt;0,P3376/N3376,"")</f>
        <v/>
      </c>
      <c r="W3376" s="17">
        <f>IF(O3376&gt;0,H3376/O3376,"")</f>
        <v/>
      </c>
    </row>
    <row r="3377">
      <c r="A3377" s="13" t="inlineStr">
        <is>
          <t>CW30_B3</t>
        </is>
      </c>
      <c r="B3377" s="13" t="inlineStr">
        <is>
          <t>CW30</t>
        </is>
      </c>
      <c r="C3377" s="13" t="inlineStr">
        <is>
          <t>B3</t>
        </is>
      </c>
      <c r="D3377" s="13" t="n">
        <v>0</v>
      </c>
      <c r="E3377" s="13" t="inlineStr">
        <is>
          <t>W</t>
        </is>
      </c>
      <c r="F3377" s="13" t="n">
        <v>2021</v>
      </c>
      <c r="G3377" s="14" t="n">
        <v>7801556.467803027</v>
      </c>
      <c r="H3377" s="14" t="n">
        <v>2160406.117336378</v>
      </c>
      <c r="I3377" s="14" t="n">
        <v>143338.8700220445</v>
      </c>
      <c r="J3377" s="14" t="n">
        <v>0</v>
      </c>
      <c r="K3377" s="14" t="n">
        <v>1484712.463163787</v>
      </c>
      <c r="L3377" s="14" t="n">
        <v>4013099.017280818</v>
      </c>
      <c r="M3377" s="14" t="n">
        <v>0</v>
      </c>
      <c r="N3377" s="14" t="n">
        <v>2419126.29784136</v>
      </c>
      <c r="O3377" s="14" t="n">
        <v>3752733.750439034</v>
      </c>
      <c r="P3377" s="14" t="n">
        <v>291256.3894120459</v>
      </c>
      <c r="Q3377" s="14" t="n">
        <v>35755417.79966424</v>
      </c>
      <c r="R3377" s="15">
        <f>IF(D3377=1,"Section 1","Control")</f>
        <v/>
      </c>
      <c r="S3377" s="16">
        <f>N3377/10000</f>
        <v/>
      </c>
      <c r="T3377" s="16">
        <f>P3377/10000</f>
        <v/>
      </c>
      <c r="U3377" s="15">
        <f>IF(N3377&gt;=Summary!$D$3,1,0)</f>
        <v/>
      </c>
      <c r="V3377" s="17">
        <f>IF(N3377&gt;0,P3377/N3377,"")</f>
        <v/>
      </c>
      <c r="W3377" s="17">
        <f>IF(O3377&gt;0,H3377/O3377,"")</f>
        <v/>
      </c>
    </row>
    <row r="3378">
      <c r="A3378" s="13" t="inlineStr">
        <is>
          <t>CW30_B3</t>
        </is>
      </c>
      <c r="B3378" s="13" t="inlineStr">
        <is>
          <t>CW30</t>
        </is>
      </c>
      <c r="C3378" s="13" t="inlineStr">
        <is>
          <t>B3</t>
        </is>
      </c>
      <c r="D3378" s="13" t="n">
        <v>0</v>
      </c>
      <c r="E3378" s="13" t="inlineStr">
        <is>
          <t>W</t>
        </is>
      </c>
      <c r="F3378" s="13" t="n">
        <v>2022</v>
      </c>
      <c r="G3378" s="14" t="n">
        <v>7801556.467803027</v>
      </c>
      <c r="H3378" s="14" t="n">
        <v>2073750.084613785</v>
      </c>
      <c r="I3378" s="14" t="n">
        <v>273314.1470621445</v>
      </c>
      <c r="J3378" s="14" t="n">
        <v>0</v>
      </c>
      <c r="K3378" s="14" t="n">
        <v>1447061.64660842</v>
      </c>
      <c r="L3378" s="14" t="n">
        <v>4007430.589518678</v>
      </c>
      <c r="M3378" s="14" t="n">
        <v>0</v>
      </c>
      <c r="N3378" s="14" t="n">
        <v>2419126.29784136</v>
      </c>
      <c r="O3378" s="14" t="n">
        <v>3752733.750439034</v>
      </c>
      <c r="P3378" s="14" t="n">
        <v>360399.0399231257</v>
      </c>
      <c r="Q3378" s="14" t="n">
        <v>35755417.79966424</v>
      </c>
      <c r="R3378" s="15">
        <f>IF(D3378=1,"Section 1","Control")</f>
        <v/>
      </c>
      <c r="S3378" s="16">
        <f>N3378/10000</f>
        <v/>
      </c>
      <c r="T3378" s="16">
        <f>P3378/10000</f>
        <v/>
      </c>
      <c r="U3378" s="15">
        <f>IF(N3378&gt;=Summary!$D$3,1,0)</f>
        <v/>
      </c>
      <c r="V3378" s="17">
        <f>IF(N3378&gt;0,P3378/N3378,"")</f>
        <v/>
      </c>
      <c r="W3378" s="17">
        <f>IF(O3378&gt;0,H3378/O3378,"")</f>
        <v/>
      </c>
    </row>
    <row r="3379">
      <c r="A3379" s="13" t="inlineStr">
        <is>
          <t>CW30_B3</t>
        </is>
      </c>
      <c r="B3379" s="13" t="inlineStr">
        <is>
          <t>CW30</t>
        </is>
      </c>
      <c r="C3379" s="13" t="inlineStr">
        <is>
          <t>B3</t>
        </is>
      </c>
      <c r="D3379" s="13" t="n">
        <v>0</v>
      </c>
      <c r="E3379" s="13" t="inlineStr">
        <is>
          <t>W</t>
        </is>
      </c>
      <c r="F3379" s="13" t="n">
        <v>2023</v>
      </c>
      <c r="G3379" s="14" t="n">
        <v>7801556.467803027</v>
      </c>
      <c r="H3379" s="14" t="n">
        <v>2065353.788944678</v>
      </c>
      <c r="I3379" s="14" t="n">
        <v>253849.3696864109</v>
      </c>
      <c r="J3379" s="14" t="n">
        <v>0</v>
      </c>
      <c r="K3379" s="14" t="n">
        <v>1423877.897636893</v>
      </c>
      <c r="L3379" s="14" t="n">
        <v>4058475.411535047</v>
      </c>
      <c r="M3379" s="14" t="n">
        <v>0</v>
      </c>
      <c r="N3379" s="14" t="n">
        <v>2419126.29784136</v>
      </c>
      <c r="O3379" s="14" t="n">
        <v>3752733.750439034</v>
      </c>
      <c r="P3379" s="14" t="n">
        <v>380215.6164025999</v>
      </c>
      <c r="Q3379" s="14" t="n">
        <v>35755417.79966424</v>
      </c>
      <c r="R3379" s="15">
        <f>IF(D3379=1,"Section 1","Control")</f>
        <v/>
      </c>
      <c r="S3379" s="16">
        <f>N3379/10000</f>
        <v/>
      </c>
      <c r="T3379" s="16">
        <f>P3379/10000</f>
        <v/>
      </c>
      <c r="U3379" s="15">
        <f>IF(N3379&gt;=Summary!$D$3,1,0)</f>
        <v/>
      </c>
      <c r="V3379" s="17">
        <f>IF(N3379&gt;0,P3379/N3379,"")</f>
        <v/>
      </c>
      <c r="W3379" s="17">
        <f>IF(O3379&gt;0,H3379/O3379,"")</f>
        <v/>
      </c>
    </row>
    <row r="3380">
      <c r="A3380" s="13" t="inlineStr">
        <is>
          <t>CW30_B3</t>
        </is>
      </c>
      <c r="B3380" s="13" t="inlineStr">
        <is>
          <t>CW30</t>
        </is>
      </c>
      <c r="C3380" s="13" t="inlineStr">
        <is>
          <t>B3</t>
        </is>
      </c>
      <c r="D3380" s="13" t="n">
        <v>0</v>
      </c>
      <c r="E3380" s="13" t="inlineStr">
        <is>
          <t>W</t>
        </is>
      </c>
      <c r="F3380" s="13" t="n">
        <v>2024</v>
      </c>
      <c r="G3380" s="14" t="n">
        <v>7801556.467803027</v>
      </c>
      <c r="H3380" s="14" t="n">
        <v>2081413.614252397</v>
      </c>
      <c r="I3380" s="14" t="n">
        <v>250466.04422763</v>
      </c>
      <c r="J3380" s="14" t="n">
        <v>0</v>
      </c>
      <c r="K3380" s="14" t="n">
        <v>1435174.389049066</v>
      </c>
      <c r="L3380" s="14" t="n">
        <v>4034502.420273934</v>
      </c>
      <c r="M3380" s="14" t="n">
        <v>0</v>
      </c>
      <c r="N3380" s="14" t="n">
        <v>2419126.29784136</v>
      </c>
      <c r="O3380" s="14" t="n">
        <v>3752733.750439034</v>
      </c>
      <c r="P3380" s="14" t="n">
        <v>383594.7604568781</v>
      </c>
      <c r="Q3380" s="14" t="n">
        <v>35755417.79966424</v>
      </c>
      <c r="R3380" s="15">
        <f>IF(D3380=1,"Section 1","Control")</f>
        <v/>
      </c>
      <c r="S3380" s="16">
        <f>N3380/10000</f>
        <v/>
      </c>
      <c r="T3380" s="16">
        <f>P3380/10000</f>
        <v/>
      </c>
      <c r="U3380" s="15">
        <f>IF(N3380&gt;=Summary!$D$3,1,0)</f>
        <v/>
      </c>
      <c r="V3380" s="17">
        <f>IF(N3380&gt;0,P3380/N3380,"")</f>
        <v/>
      </c>
      <c r="W3380" s="17">
        <f>IF(O3380&gt;0,H3380/O3380,"")</f>
        <v/>
      </c>
    </row>
    <row r="3381">
      <c r="A3381" s="13" t="inlineStr">
        <is>
          <t>CW30_B3</t>
        </is>
      </c>
      <c r="B3381" s="13" t="inlineStr">
        <is>
          <t>CW30</t>
        </is>
      </c>
      <c r="C3381" s="13" t="inlineStr">
        <is>
          <t>B3</t>
        </is>
      </c>
      <c r="D3381" s="13" t="n">
        <v>0</v>
      </c>
      <c r="E3381" s="13" t="inlineStr">
        <is>
          <t>W</t>
        </is>
      </c>
      <c r="F3381" s="13" t="n">
        <v>2025</v>
      </c>
      <c r="G3381" s="14" t="n">
        <v>7801556.467803027</v>
      </c>
      <c r="H3381" s="14" t="n">
        <v>1997515.022506056</v>
      </c>
      <c r="I3381" s="14" t="n">
        <v>376960.2038697785</v>
      </c>
      <c r="J3381" s="14" t="n">
        <v>0</v>
      </c>
      <c r="K3381" s="14" t="n">
        <v>1388969.329270486</v>
      </c>
      <c r="L3381" s="14" t="n">
        <v>4038111.912156707</v>
      </c>
      <c r="M3381" s="14" t="n">
        <v>0</v>
      </c>
      <c r="N3381" s="14" t="n">
        <v>2419126.29784136</v>
      </c>
      <c r="O3381" s="14" t="n">
        <v>3752733.750439033</v>
      </c>
      <c r="P3381" s="14" t="n">
        <v>449722.0584264718</v>
      </c>
      <c r="Q3381" s="14" t="n">
        <v>35755417.79966424</v>
      </c>
      <c r="R3381" s="15">
        <f>IF(D3381=1,"Section 1","Control")</f>
        <v/>
      </c>
      <c r="S3381" s="16">
        <f>N3381/10000</f>
        <v/>
      </c>
      <c r="T3381" s="16">
        <f>P3381/10000</f>
        <v/>
      </c>
      <c r="U3381" s="15">
        <f>IF(N3381&gt;=Summary!$D$3,1,0)</f>
        <v/>
      </c>
      <c r="V3381" s="17">
        <f>IF(N3381&gt;0,P3381/N3381,"")</f>
        <v/>
      </c>
      <c r="W3381" s="17">
        <f>IF(O3381&gt;0,H3381/O3381,"")</f>
        <v/>
      </c>
    </row>
    <row r="3382">
      <c r="A3382" s="13" t="inlineStr">
        <is>
          <t>CW30_B3</t>
        </is>
      </c>
      <c r="B3382" s="13" t="inlineStr">
        <is>
          <t>CW30</t>
        </is>
      </c>
      <c r="C3382" s="13" t="inlineStr">
        <is>
          <t>B3</t>
        </is>
      </c>
      <c r="D3382" s="13" t="n">
        <v>0</v>
      </c>
      <c r="E3382" s="13" t="inlineStr">
        <is>
          <t>W</t>
        </is>
      </c>
      <c r="F3382" s="13" t="n">
        <v>2026</v>
      </c>
      <c r="G3382" s="14" t="n">
        <v>7801556.467803027</v>
      </c>
      <c r="H3382" s="14" t="n">
        <v>1963024.168993184</v>
      </c>
      <c r="I3382" s="14" t="n">
        <v>334194.4236525293</v>
      </c>
      <c r="J3382" s="14" t="n">
        <v>0</v>
      </c>
      <c r="K3382" s="14" t="n">
        <v>1470206.367348256</v>
      </c>
      <c r="L3382" s="14" t="n">
        <v>4034131.507809059</v>
      </c>
      <c r="M3382" s="14" t="n">
        <v>0</v>
      </c>
      <c r="N3382" s="14" t="n">
        <v>2419126.29784136</v>
      </c>
      <c r="O3382" s="14" t="n">
        <v>3752733.750439034</v>
      </c>
      <c r="P3382" s="14" t="n">
        <v>487258.4259987027</v>
      </c>
      <c r="Q3382" s="14" t="n">
        <v>35755417.79966424</v>
      </c>
      <c r="R3382" s="15">
        <f>IF(D3382=1,"Section 1","Control")</f>
        <v/>
      </c>
      <c r="S3382" s="16">
        <f>N3382/10000</f>
        <v/>
      </c>
      <c r="T3382" s="16">
        <f>P3382/10000</f>
        <v/>
      </c>
      <c r="U3382" s="15">
        <f>IF(N3382&gt;=Summary!$D$3,1,0)</f>
        <v/>
      </c>
      <c r="V3382" s="17">
        <f>IF(N3382&gt;0,P3382/N3382,"")</f>
        <v/>
      </c>
      <c r="W3382" s="17">
        <f>IF(O3382&gt;0,H3382/O3382,"")</f>
        <v/>
      </c>
    </row>
    <row r="3383">
      <c r="A3383" s="13" t="inlineStr">
        <is>
          <t>CW30_F</t>
        </is>
      </c>
      <c r="B3383" s="13" t="inlineStr">
        <is>
          <t>CW30</t>
        </is>
      </c>
      <c r="C3383" s="13" t="inlineStr">
        <is>
          <t>F</t>
        </is>
      </c>
      <c r="D3383" s="13" t="n">
        <v>0</v>
      </c>
      <c r="E3383" s="13" t="inlineStr">
        <is>
          <t>W</t>
        </is>
      </c>
      <c r="F3383" s="13" t="n">
        <v>2020</v>
      </c>
      <c r="G3383" s="14" t="n">
        <v>67758.42249507524</v>
      </c>
      <c r="H3383" s="14" t="n">
        <v>0</v>
      </c>
      <c r="I3383" s="14" t="n">
        <v>0</v>
      </c>
      <c r="J3383" s="14" t="n">
        <v>0</v>
      </c>
      <c r="K3383" s="14" t="n">
        <v>9051.620933652392</v>
      </c>
      <c r="L3383" s="14" t="n">
        <v>58706.80156142285</v>
      </c>
      <c r="M3383" s="14" t="n">
        <v>0</v>
      </c>
      <c r="N3383" s="14" t="n">
        <v>0</v>
      </c>
      <c r="O3383" s="14" t="n">
        <v>9051.620933652392</v>
      </c>
      <c r="P3383" s="14" t="n">
        <v>0</v>
      </c>
      <c r="Q3383" s="14" t="n">
        <v>576338.409862563</v>
      </c>
      <c r="R3383" s="15">
        <f>IF(D3383=1,"Section 1","Control")</f>
        <v/>
      </c>
      <c r="S3383" s="16">
        <f>N3383/10000</f>
        <v/>
      </c>
      <c r="T3383" s="16">
        <f>P3383/10000</f>
        <v/>
      </c>
      <c r="U3383" s="15">
        <f>IF(N3383&gt;=Summary!$D$3,1,0)</f>
        <v/>
      </c>
      <c r="V3383" s="17">
        <f>IF(N3383&gt;0,P3383/N3383,"")</f>
        <v/>
      </c>
      <c r="W3383" s="17">
        <f>IF(O3383&gt;0,H3383/O3383,"")</f>
        <v/>
      </c>
    </row>
    <row r="3384">
      <c r="A3384" s="13" t="inlineStr">
        <is>
          <t>CW30_F</t>
        </is>
      </c>
      <c r="B3384" s="13" t="inlineStr">
        <is>
          <t>CW30</t>
        </is>
      </c>
      <c r="C3384" s="13" t="inlineStr">
        <is>
          <t>F</t>
        </is>
      </c>
      <c r="D3384" s="13" t="n">
        <v>0</v>
      </c>
      <c r="E3384" s="13" t="inlineStr">
        <is>
          <t>W</t>
        </is>
      </c>
      <c r="F3384" s="13" t="n">
        <v>2021</v>
      </c>
      <c r="G3384" s="14" t="n">
        <v>67758.42249507524</v>
      </c>
      <c r="H3384" s="14" t="n">
        <v>0</v>
      </c>
      <c r="I3384" s="14" t="n">
        <v>0</v>
      </c>
      <c r="J3384" s="14" t="n">
        <v>0</v>
      </c>
      <c r="K3384" s="14" t="n">
        <v>57922.39909273029</v>
      </c>
      <c r="L3384" s="14" t="n">
        <v>9836.023402344945</v>
      </c>
      <c r="M3384" s="14" t="n">
        <v>0</v>
      </c>
      <c r="N3384" s="14" t="n">
        <v>0</v>
      </c>
      <c r="O3384" s="14" t="n">
        <v>9051.620933652392</v>
      </c>
      <c r="P3384" s="14" t="n">
        <v>0</v>
      </c>
      <c r="Q3384" s="14" t="n">
        <v>576338.4098625631</v>
      </c>
      <c r="R3384" s="15">
        <f>IF(D3384=1,"Section 1","Control")</f>
        <v/>
      </c>
      <c r="S3384" s="16">
        <f>N3384/10000</f>
        <v/>
      </c>
      <c r="T3384" s="16">
        <f>P3384/10000</f>
        <v/>
      </c>
      <c r="U3384" s="15">
        <f>IF(N3384&gt;=Summary!$D$3,1,0)</f>
        <v/>
      </c>
      <c r="V3384" s="17">
        <f>IF(N3384&gt;0,P3384/N3384,"")</f>
        <v/>
      </c>
      <c r="W3384" s="17">
        <f>IF(O3384&gt;0,H3384/O3384,"")</f>
        <v/>
      </c>
    </row>
    <row r="3385">
      <c r="A3385" s="13" t="inlineStr">
        <is>
          <t>CW30_F</t>
        </is>
      </c>
      <c r="B3385" s="13" t="inlineStr">
        <is>
          <t>CW30</t>
        </is>
      </c>
      <c r="C3385" s="13" t="inlineStr">
        <is>
          <t>F</t>
        </is>
      </c>
      <c r="D3385" s="13" t="n">
        <v>0</v>
      </c>
      <c r="E3385" s="13" t="inlineStr">
        <is>
          <t>W</t>
        </is>
      </c>
      <c r="F3385" s="13" t="n">
        <v>2022</v>
      </c>
      <c r="G3385" s="14" t="n">
        <v>67758.42249507524</v>
      </c>
      <c r="H3385" s="14" t="n">
        <v>0</v>
      </c>
      <c r="I3385" s="14" t="n">
        <v>0</v>
      </c>
      <c r="J3385" s="14" t="n">
        <v>0</v>
      </c>
      <c r="K3385" s="14" t="n">
        <v>54516.08804614491</v>
      </c>
      <c r="L3385" s="14" t="n">
        <v>13242.33444893033</v>
      </c>
      <c r="M3385" s="14" t="n">
        <v>0</v>
      </c>
      <c r="N3385" s="14" t="n">
        <v>0</v>
      </c>
      <c r="O3385" s="14" t="n">
        <v>9051.620933652392</v>
      </c>
      <c r="P3385" s="14" t="n">
        <v>0</v>
      </c>
      <c r="Q3385" s="14" t="n">
        <v>576338.409862563</v>
      </c>
      <c r="R3385" s="15">
        <f>IF(D3385=1,"Section 1","Control")</f>
        <v/>
      </c>
      <c r="S3385" s="16">
        <f>N3385/10000</f>
        <v/>
      </c>
      <c r="T3385" s="16">
        <f>P3385/10000</f>
        <v/>
      </c>
      <c r="U3385" s="15">
        <f>IF(N3385&gt;=Summary!$D$3,1,0)</f>
        <v/>
      </c>
      <c r="V3385" s="17">
        <f>IF(N3385&gt;0,P3385/N3385,"")</f>
        <v/>
      </c>
      <c r="W3385" s="17">
        <f>IF(O3385&gt;0,H3385/O3385,"")</f>
        <v/>
      </c>
    </row>
    <row r="3386">
      <c r="A3386" s="13" t="inlineStr">
        <is>
          <t>CW30_F</t>
        </is>
      </c>
      <c r="B3386" s="13" t="inlineStr">
        <is>
          <t>CW30</t>
        </is>
      </c>
      <c r="C3386" s="13" t="inlineStr">
        <is>
          <t>F</t>
        </is>
      </c>
      <c r="D3386" s="13" t="n">
        <v>0</v>
      </c>
      <c r="E3386" s="13" t="inlineStr">
        <is>
          <t>W</t>
        </is>
      </c>
      <c r="F3386" s="13" t="n">
        <v>2023</v>
      </c>
      <c r="G3386" s="14" t="n">
        <v>67758.42249507524</v>
      </c>
      <c r="H3386" s="14" t="n">
        <v>0</v>
      </c>
      <c r="I3386" s="14" t="n">
        <v>0</v>
      </c>
      <c r="J3386" s="14" t="n">
        <v>0</v>
      </c>
      <c r="K3386" s="14" t="n">
        <v>59658.46456603998</v>
      </c>
      <c r="L3386" s="14" t="n">
        <v>8099.957929035259</v>
      </c>
      <c r="M3386" s="14" t="n">
        <v>0</v>
      </c>
      <c r="N3386" s="14" t="n">
        <v>0</v>
      </c>
      <c r="O3386" s="14" t="n">
        <v>9051.620933652392</v>
      </c>
      <c r="P3386" s="14" t="n">
        <v>0</v>
      </c>
      <c r="Q3386" s="14" t="n">
        <v>576338.4098625631</v>
      </c>
      <c r="R3386" s="15">
        <f>IF(D3386=1,"Section 1","Control")</f>
        <v/>
      </c>
      <c r="S3386" s="16">
        <f>N3386/10000</f>
        <v/>
      </c>
      <c r="T3386" s="16">
        <f>P3386/10000</f>
        <v/>
      </c>
      <c r="U3386" s="15">
        <f>IF(N3386&gt;=Summary!$D$3,1,0)</f>
        <v/>
      </c>
      <c r="V3386" s="17">
        <f>IF(N3386&gt;0,P3386/N3386,"")</f>
        <v/>
      </c>
      <c r="W3386" s="17">
        <f>IF(O3386&gt;0,H3386/O3386,"")</f>
        <v/>
      </c>
    </row>
    <row r="3387">
      <c r="A3387" s="13" t="inlineStr">
        <is>
          <t>CW30_F</t>
        </is>
      </c>
      <c r="B3387" s="13" t="inlineStr">
        <is>
          <t>CW30</t>
        </is>
      </c>
      <c r="C3387" s="13" t="inlineStr">
        <is>
          <t>F</t>
        </is>
      </c>
      <c r="D3387" s="13" t="n">
        <v>0</v>
      </c>
      <c r="E3387" s="13" t="inlineStr">
        <is>
          <t>W</t>
        </is>
      </c>
      <c r="F3387" s="13" t="n">
        <v>2024</v>
      </c>
      <c r="G3387" s="14" t="n">
        <v>67758.42249507524</v>
      </c>
      <c r="H3387" s="14" t="n">
        <v>0</v>
      </c>
      <c r="I3387" s="14" t="n">
        <v>0</v>
      </c>
      <c r="J3387" s="14" t="n">
        <v>0</v>
      </c>
      <c r="K3387" s="14" t="n">
        <v>27724.77560490628</v>
      </c>
      <c r="L3387" s="14" t="n">
        <v>40033.64689016905</v>
      </c>
      <c r="M3387" s="14" t="n">
        <v>0</v>
      </c>
      <c r="N3387" s="14" t="n">
        <v>0</v>
      </c>
      <c r="O3387" s="14" t="n">
        <v>9051.620933652392</v>
      </c>
      <c r="P3387" s="14" t="n">
        <v>0</v>
      </c>
      <c r="Q3387" s="14" t="n">
        <v>576338.409862563</v>
      </c>
      <c r="R3387" s="15">
        <f>IF(D3387=1,"Section 1","Control")</f>
        <v/>
      </c>
      <c r="S3387" s="16">
        <f>N3387/10000</f>
        <v/>
      </c>
      <c r="T3387" s="16">
        <f>P3387/10000</f>
        <v/>
      </c>
      <c r="U3387" s="15">
        <f>IF(N3387&gt;=Summary!$D$3,1,0)</f>
        <v/>
      </c>
      <c r="V3387" s="17">
        <f>IF(N3387&gt;0,P3387/N3387,"")</f>
        <v/>
      </c>
      <c r="W3387" s="17">
        <f>IF(O3387&gt;0,H3387/O3387,"")</f>
        <v/>
      </c>
    </row>
    <row r="3388">
      <c r="A3388" s="13" t="inlineStr">
        <is>
          <t>CW30_F</t>
        </is>
      </c>
      <c r="B3388" s="13" t="inlineStr">
        <is>
          <t>CW30</t>
        </is>
      </c>
      <c r="C3388" s="13" t="inlineStr">
        <is>
          <t>F</t>
        </is>
      </c>
      <c r="D3388" s="13" t="n">
        <v>0</v>
      </c>
      <c r="E3388" s="13" t="inlineStr">
        <is>
          <t>W</t>
        </is>
      </c>
      <c r="F3388" s="13" t="n">
        <v>2025</v>
      </c>
      <c r="G3388" s="14" t="n">
        <v>67758.42249507524</v>
      </c>
      <c r="H3388" s="14" t="n">
        <v>0</v>
      </c>
      <c r="I3388" s="14" t="n">
        <v>0</v>
      </c>
      <c r="J3388" s="14" t="n">
        <v>0</v>
      </c>
      <c r="K3388" s="14" t="n">
        <v>30797.73655667773</v>
      </c>
      <c r="L3388" s="14" t="n">
        <v>36960.68593839759</v>
      </c>
      <c r="M3388" s="14" t="n">
        <v>0</v>
      </c>
      <c r="N3388" s="14" t="n">
        <v>0</v>
      </c>
      <c r="O3388" s="14" t="n">
        <v>9051.620933652392</v>
      </c>
      <c r="P3388" s="14" t="n">
        <v>0</v>
      </c>
      <c r="Q3388" s="14" t="n">
        <v>576338.409862563</v>
      </c>
      <c r="R3388" s="15">
        <f>IF(D3388=1,"Section 1","Control")</f>
        <v/>
      </c>
      <c r="S3388" s="16">
        <f>N3388/10000</f>
        <v/>
      </c>
      <c r="T3388" s="16">
        <f>P3388/10000</f>
        <v/>
      </c>
      <c r="U3388" s="15">
        <f>IF(N3388&gt;=Summary!$D$3,1,0)</f>
        <v/>
      </c>
      <c r="V3388" s="17">
        <f>IF(N3388&gt;0,P3388/N3388,"")</f>
        <v/>
      </c>
      <c r="W3388" s="17">
        <f>IF(O3388&gt;0,H3388/O3388,"")</f>
        <v/>
      </c>
    </row>
    <row r="3389">
      <c r="A3389" s="13" t="inlineStr">
        <is>
          <t>CW30_F</t>
        </is>
      </c>
      <c r="B3389" s="13" t="inlineStr">
        <is>
          <t>CW30</t>
        </is>
      </c>
      <c r="C3389" s="13" t="inlineStr">
        <is>
          <t>F</t>
        </is>
      </c>
      <c r="D3389" s="13" t="n">
        <v>0</v>
      </c>
      <c r="E3389" s="13" t="inlineStr">
        <is>
          <t>W</t>
        </is>
      </c>
      <c r="F3389" s="13" t="n">
        <v>2026</v>
      </c>
      <c r="G3389" s="14" t="n">
        <v>67758.42249507524</v>
      </c>
      <c r="H3389" s="14" t="n">
        <v>0</v>
      </c>
      <c r="I3389" s="14" t="n">
        <v>0</v>
      </c>
      <c r="J3389" s="14" t="n">
        <v>0</v>
      </c>
      <c r="K3389" s="14" t="n">
        <v>20458.77728094961</v>
      </c>
      <c r="L3389" s="14" t="n">
        <v>47299.64521412571</v>
      </c>
      <c r="M3389" s="14" t="n">
        <v>0</v>
      </c>
      <c r="N3389" s="14" t="n">
        <v>0</v>
      </c>
      <c r="O3389" s="14" t="n">
        <v>9051.620933652392</v>
      </c>
      <c r="P3389" s="14" t="n">
        <v>0</v>
      </c>
      <c r="Q3389" s="14" t="n">
        <v>576338.409862563</v>
      </c>
      <c r="R3389" s="15">
        <f>IF(D3389=1,"Section 1","Control")</f>
        <v/>
      </c>
      <c r="S3389" s="16">
        <f>N3389/10000</f>
        <v/>
      </c>
      <c r="T3389" s="16">
        <f>P3389/10000</f>
        <v/>
      </c>
      <c r="U3389" s="15">
        <f>IF(N3389&gt;=Summary!$D$3,1,0)</f>
        <v/>
      </c>
      <c r="V3389" s="17">
        <f>IF(N3389&gt;0,P3389/N3389,"")</f>
        <v/>
      </c>
      <c r="W3389" s="17">
        <f>IF(O3389&gt;0,H3389/O3389,"")</f>
        <v/>
      </c>
    </row>
    <row r="3390">
      <c r="A3390" s="13" t="inlineStr">
        <is>
          <t>CW31_B1</t>
        </is>
      </c>
      <c r="B3390" s="13" t="inlineStr">
        <is>
          <t>CW31</t>
        </is>
      </c>
      <c r="C3390" s="13" t="inlineStr">
        <is>
          <t>B1</t>
        </is>
      </c>
      <c r="D3390" s="13" t="n">
        <v>0</v>
      </c>
      <c r="E3390" s="13" t="inlineStr">
        <is>
          <t>W</t>
        </is>
      </c>
      <c r="F3390" s="13" t="n">
        <v>2020</v>
      </c>
      <c r="G3390" s="14" t="n">
        <v>1000529.347753488</v>
      </c>
      <c r="H3390" s="14" t="n">
        <v>350455.9400787353</v>
      </c>
      <c r="I3390" s="14" t="n">
        <v>167696.2204468371</v>
      </c>
      <c r="J3390" s="14" t="n">
        <v>0</v>
      </c>
      <c r="K3390" s="14" t="n">
        <v>146156.8914888868</v>
      </c>
      <c r="L3390" s="14" t="n">
        <v>336220.2957390279</v>
      </c>
      <c r="M3390" s="14" t="n">
        <v>0</v>
      </c>
      <c r="N3390" s="14" t="n">
        <v>350455.9400787353</v>
      </c>
      <c r="O3390" s="14" t="n">
        <v>664309.0520144594</v>
      </c>
      <c r="P3390" s="14" t="n">
        <v>0</v>
      </c>
      <c r="Q3390" s="14" t="n">
        <v>6343967.989739392</v>
      </c>
      <c r="R3390" s="15">
        <f>IF(D3390=1,"Section 1","Control")</f>
        <v/>
      </c>
      <c r="S3390" s="16">
        <f>N3390/10000</f>
        <v/>
      </c>
      <c r="T3390" s="16">
        <f>P3390/10000</f>
        <v/>
      </c>
      <c r="U3390" s="15">
        <f>IF(N3390&gt;=Summary!$D$3,1,0)</f>
        <v/>
      </c>
      <c r="V3390" s="17">
        <f>IF(N3390&gt;0,P3390/N3390,"")</f>
        <v/>
      </c>
      <c r="W3390" s="17">
        <f>IF(O3390&gt;0,H3390/O3390,"")</f>
        <v/>
      </c>
    </row>
    <row r="3391">
      <c r="A3391" s="13" t="inlineStr">
        <is>
          <t>CW31_B1</t>
        </is>
      </c>
      <c r="B3391" s="13" t="inlineStr">
        <is>
          <t>CW31</t>
        </is>
      </c>
      <c r="C3391" s="13" t="inlineStr">
        <is>
          <t>B1</t>
        </is>
      </c>
      <c r="D3391" s="13" t="n">
        <v>0</v>
      </c>
      <c r="E3391" s="13" t="inlineStr">
        <is>
          <t>W</t>
        </is>
      </c>
      <c r="F3391" s="13" t="n">
        <v>2021</v>
      </c>
      <c r="G3391" s="14" t="n">
        <v>1000529.347753488</v>
      </c>
      <c r="H3391" s="14" t="n">
        <v>323247.2720251944</v>
      </c>
      <c r="I3391" s="14" t="n">
        <v>156678.6750490376</v>
      </c>
      <c r="J3391" s="14" t="n">
        <v>0</v>
      </c>
      <c r="K3391" s="14" t="n">
        <v>250663.7392745374</v>
      </c>
      <c r="L3391" s="14" t="n">
        <v>269939.661404718</v>
      </c>
      <c r="M3391" s="14" t="n">
        <v>0</v>
      </c>
      <c r="N3391" s="14" t="n">
        <v>350455.9400787353</v>
      </c>
      <c r="O3391" s="14" t="n">
        <v>664309.0520144594</v>
      </c>
      <c r="P3391" s="14" t="n">
        <v>41495.16271550796</v>
      </c>
      <c r="Q3391" s="14" t="n">
        <v>6343967.989739392</v>
      </c>
      <c r="R3391" s="15">
        <f>IF(D3391=1,"Section 1","Control")</f>
        <v/>
      </c>
      <c r="S3391" s="16">
        <f>N3391/10000</f>
        <v/>
      </c>
      <c r="T3391" s="16">
        <f>P3391/10000</f>
        <v/>
      </c>
      <c r="U3391" s="15">
        <f>IF(N3391&gt;=Summary!$D$3,1,0)</f>
        <v/>
      </c>
      <c r="V3391" s="17">
        <f>IF(N3391&gt;0,P3391/N3391,"")</f>
        <v/>
      </c>
      <c r="W3391" s="17">
        <f>IF(O3391&gt;0,H3391/O3391,"")</f>
        <v/>
      </c>
    </row>
    <row r="3392">
      <c r="A3392" s="13" t="inlineStr">
        <is>
          <t>CW31_B1</t>
        </is>
      </c>
      <c r="B3392" s="13" t="inlineStr">
        <is>
          <t>CW31</t>
        </is>
      </c>
      <c r="C3392" s="13" t="inlineStr">
        <is>
          <t>B1</t>
        </is>
      </c>
      <c r="D3392" s="13" t="n">
        <v>0</v>
      </c>
      <c r="E3392" s="13" t="inlineStr">
        <is>
          <t>W</t>
        </is>
      </c>
      <c r="F3392" s="13" t="n">
        <v>2022</v>
      </c>
      <c r="G3392" s="14" t="n">
        <v>1000529.347753488</v>
      </c>
      <c r="H3392" s="14" t="n">
        <v>309627.0704070447</v>
      </c>
      <c r="I3392" s="14" t="n">
        <v>172477.8757117178</v>
      </c>
      <c r="J3392" s="14" t="n">
        <v>0</v>
      </c>
      <c r="K3392" s="14" t="n">
        <v>257289.6953184838</v>
      </c>
      <c r="L3392" s="14" t="n">
        <v>261134.7063162409</v>
      </c>
      <c r="M3392" s="14" t="n">
        <v>0</v>
      </c>
      <c r="N3392" s="14" t="n">
        <v>350455.9400787353</v>
      </c>
      <c r="O3392" s="14" t="n">
        <v>664309.0520144594</v>
      </c>
      <c r="P3392" s="14" t="n">
        <v>51496.5073944391</v>
      </c>
      <c r="Q3392" s="14" t="n">
        <v>6343967.989739392</v>
      </c>
      <c r="R3392" s="15">
        <f>IF(D3392=1,"Section 1","Control")</f>
        <v/>
      </c>
      <c r="S3392" s="16">
        <f>N3392/10000</f>
        <v/>
      </c>
      <c r="T3392" s="16">
        <f>P3392/10000</f>
        <v/>
      </c>
      <c r="U3392" s="15">
        <f>IF(N3392&gt;=Summary!$D$3,1,0)</f>
        <v/>
      </c>
      <c r="V3392" s="17">
        <f>IF(N3392&gt;0,P3392/N3392,"")</f>
        <v/>
      </c>
      <c r="W3392" s="17">
        <f>IF(O3392&gt;0,H3392/O3392,"")</f>
        <v/>
      </c>
    </row>
    <row r="3393">
      <c r="A3393" s="13" t="inlineStr">
        <is>
          <t>CW31_B1</t>
        </is>
      </c>
      <c r="B3393" s="13" t="inlineStr">
        <is>
          <t>CW31</t>
        </is>
      </c>
      <c r="C3393" s="13" t="inlineStr">
        <is>
          <t>B1</t>
        </is>
      </c>
      <c r="D3393" s="13" t="n">
        <v>0</v>
      </c>
      <c r="E3393" s="13" t="inlineStr">
        <is>
          <t>W</t>
        </is>
      </c>
      <c r="F3393" s="13" t="n">
        <v>2023</v>
      </c>
      <c r="G3393" s="14" t="n">
        <v>1000529.347753488</v>
      </c>
      <c r="H3393" s="14" t="n">
        <v>293099.6235263899</v>
      </c>
      <c r="I3393" s="14" t="n">
        <v>162206.5704855825</v>
      </c>
      <c r="J3393" s="14" t="n">
        <v>0</v>
      </c>
      <c r="K3393" s="14" t="n">
        <v>252025.0770283419</v>
      </c>
      <c r="L3393" s="14" t="n">
        <v>293198.0767131729</v>
      </c>
      <c r="M3393" s="14" t="n">
        <v>0</v>
      </c>
      <c r="N3393" s="14" t="n">
        <v>350455.9400787354</v>
      </c>
      <c r="O3393" s="14" t="n">
        <v>664309.0520144594</v>
      </c>
      <c r="P3393" s="14" t="n">
        <v>65318.4272294886</v>
      </c>
      <c r="Q3393" s="14" t="n">
        <v>6343967.989739392</v>
      </c>
      <c r="R3393" s="15">
        <f>IF(D3393=1,"Section 1","Control")</f>
        <v/>
      </c>
      <c r="S3393" s="16">
        <f>N3393/10000</f>
        <v/>
      </c>
      <c r="T3393" s="16">
        <f>P3393/10000</f>
        <v/>
      </c>
      <c r="U3393" s="15">
        <f>IF(N3393&gt;=Summary!$D$3,1,0)</f>
        <v/>
      </c>
      <c r="V3393" s="17">
        <f>IF(N3393&gt;0,P3393/N3393,"")</f>
        <v/>
      </c>
      <c r="W3393" s="17">
        <f>IF(O3393&gt;0,H3393/O3393,"")</f>
        <v/>
      </c>
    </row>
    <row r="3394">
      <c r="A3394" s="13" t="inlineStr">
        <is>
          <t>CW31_B1</t>
        </is>
      </c>
      <c r="B3394" s="13" t="inlineStr">
        <is>
          <t>CW31</t>
        </is>
      </c>
      <c r="C3394" s="13" t="inlineStr">
        <is>
          <t>B1</t>
        </is>
      </c>
      <c r="D3394" s="13" t="n">
        <v>0</v>
      </c>
      <c r="E3394" s="13" t="inlineStr">
        <is>
          <t>W</t>
        </is>
      </c>
      <c r="F3394" s="13" t="n">
        <v>2024</v>
      </c>
      <c r="G3394" s="14" t="n">
        <v>1000529.347753488</v>
      </c>
      <c r="H3394" s="14" t="n">
        <v>313894.4237818999</v>
      </c>
      <c r="I3394" s="14" t="n">
        <v>147761.3580740835</v>
      </c>
      <c r="J3394" s="14" t="n">
        <v>0</v>
      </c>
      <c r="K3394" s="14" t="n">
        <v>237601.0867045983</v>
      </c>
      <c r="L3394" s="14" t="n">
        <v>301272.4791929057</v>
      </c>
      <c r="M3394" s="14" t="n">
        <v>0</v>
      </c>
      <c r="N3394" s="14" t="n">
        <v>350455.9400787353</v>
      </c>
      <c r="O3394" s="14" t="n">
        <v>664309.0520144594</v>
      </c>
      <c r="P3394" s="14" t="n">
        <v>57638.95038140989</v>
      </c>
      <c r="Q3394" s="14" t="n">
        <v>6343967.989739392</v>
      </c>
      <c r="R3394" s="15">
        <f>IF(D3394=1,"Section 1","Control")</f>
        <v/>
      </c>
      <c r="S3394" s="16">
        <f>N3394/10000</f>
        <v/>
      </c>
      <c r="T3394" s="16">
        <f>P3394/10000</f>
        <v/>
      </c>
      <c r="U3394" s="15">
        <f>IF(N3394&gt;=Summary!$D$3,1,0)</f>
        <v/>
      </c>
      <c r="V3394" s="17">
        <f>IF(N3394&gt;0,P3394/N3394,"")</f>
        <v/>
      </c>
      <c r="W3394" s="17">
        <f>IF(O3394&gt;0,H3394/O3394,"")</f>
        <v/>
      </c>
    </row>
    <row r="3395">
      <c r="A3395" s="13" t="inlineStr">
        <is>
          <t>CW31_B1</t>
        </is>
      </c>
      <c r="B3395" s="13" t="inlineStr">
        <is>
          <t>CW31</t>
        </is>
      </c>
      <c r="C3395" s="13" t="inlineStr">
        <is>
          <t>B1</t>
        </is>
      </c>
      <c r="D3395" s="13" t="n">
        <v>0</v>
      </c>
      <c r="E3395" s="13" t="inlineStr">
        <is>
          <t>W</t>
        </is>
      </c>
      <c r="F3395" s="13" t="n">
        <v>2025</v>
      </c>
      <c r="G3395" s="14" t="n">
        <v>1000529.347753488</v>
      </c>
      <c r="H3395" s="14" t="n">
        <v>302014.5314542883</v>
      </c>
      <c r="I3395" s="14" t="n">
        <v>159348.1015170826</v>
      </c>
      <c r="J3395" s="14" t="n">
        <v>0</v>
      </c>
      <c r="K3395" s="14" t="n">
        <v>218461.0286299761</v>
      </c>
      <c r="L3395" s="14" t="n">
        <v>320705.6861521401</v>
      </c>
      <c r="M3395" s="14" t="n">
        <v>0</v>
      </c>
      <c r="N3395" s="14" t="n">
        <v>350455.9400787353</v>
      </c>
      <c r="O3395" s="14" t="n">
        <v>664309.0520144594</v>
      </c>
      <c r="P3395" s="14" t="n">
        <v>64824.812002743</v>
      </c>
      <c r="Q3395" s="14" t="n">
        <v>6343967.989739392</v>
      </c>
      <c r="R3395" s="15">
        <f>IF(D3395=1,"Section 1","Control")</f>
        <v/>
      </c>
      <c r="S3395" s="16">
        <f>N3395/10000</f>
        <v/>
      </c>
      <c r="T3395" s="16">
        <f>P3395/10000</f>
        <v/>
      </c>
      <c r="U3395" s="15">
        <f>IF(N3395&gt;=Summary!$D$3,1,0)</f>
        <v/>
      </c>
      <c r="V3395" s="17">
        <f>IF(N3395&gt;0,P3395/N3395,"")</f>
        <v/>
      </c>
      <c r="W3395" s="17">
        <f>IF(O3395&gt;0,H3395/O3395,"")</f>
        <v/>
      </c>
    </row>
    <row r="3396">
      <c r="A3396" s="13" t="inlineStr">
        <is>
          <t>CW31_B1</t>
        </is>
      </c>
      <c r="B3396" s="13" t="inlineStr">
        <is>
          <t>CW31</t>
        </is>
      </c>
      <c r="C3396" s="13" t="inlineStr">
        <is>
          <t>B1</t>
        </is>
      </c>
      <c r="D3396" s="13" t="n">
        <v>0</v>
      </c>
      <c r="E3396" s="13" t="inlineStr">
        <is>
          <t>W</t>
        </is>
      </c>
      <c r="F3396" s="13" t="n">
        <v>2026</v>
      </c>
      <c r="G3396" s="14" t="n">
        <v>1000529.347753488</v>
      </c>
      <c r="H3396" s="14" t="n">
        <v>318841.2966808843</v>
      </c>
      <c r="I3396" s="14" t="n">
        <v>135802.4443963443</v>
      </c>
      <c r="J3396" s="14" t="n">
        <v>0</v>
      </c>
      <c r="K3396" s="14" t="n">
        <v>221708.2433563532</v>
      </c>
      <c r="L3396" s="14" t="n">
        <v>324177.3633199055</v>
      </c>
      <c r="M3396" s="14" t="n">
        <v>0</v>
      </c>
      <c r="N3396" s="14" t="n">
        <v>350455.9400787353</v>
      </c>
      <c r="O3396" s="14" t="n">
        <v>664309.0520144594</v>
      </c>
      <c r="P3396" s="14" t="n">
        <v>59394.75719317268</v>
      </c>
      <c r="Q3396" s="14" t="n">
        <v>6343967.989739392</v>
      </c>
      <c r="R3396" s="15">
        <f>IF(D3396=1,"Section 1","Control")</f>
        <v/>
      </c>
      <c r="S3396" s="16">
        <f>N3396/10000</f>
        <v/>
      </c>
      <c r="T3396" s="16">
        <f>P3396/10000</f>
        <v/>
      </c>
      <c r="U3396" s="15">
        <f>IF(N3396&gt;=Summary!$D$3,1,0)</f>
        <v/>
      </c>
      <c r="V3396" s="17">
        <f>IF(N3396&gt;0,P3396/N3396,"")</f>
        <v/>
      </c>
      <c r="W3396" s="17">
        <f>IF(O3396&gt;0,H3396/O3396,"")</f>
        <v/>
      </c>
    </row>
    <row r="3397">
      <c r="A3397" s="13" t="inlineStr">
        <is>
          <t>CW31_B2</t>
        </is>
      </c>
      <c r="B3397" s="13" t="inlineStr">
        <is>
          <t>CW31</t>
        </is>
      </c>
      <c r="C3397" s="13" t="inlineStr">
        <is>
          <t>B2</t>
        </is>
      </c>
      <c r="D3397" s="13" t="n">
        <v>0</v>
      </c>
      <c r="E3397" s="13" t="inlineStr">
        <is>
          <t>W</t>
        </is>
      </c>
      <c r="F3397" s="13" t="n">
        <v>2020</v>
      </c>
      <c r="G3397" s="14" t="n">
        <v>1000784.091999608</v>
      </c>
      <c r="H3397" s="14" t="n">
        <v>87682.59584189017</v>
      </c>
      <c r="I3397" s="14" t="n">
        <v>26201.20205568798</v>
      </c>
      <c r="J3397" s="14" t="n">
        <v>0</v>
      </c>
      <c r="K3397" s="14" t="n">
        <v>23655.25548834708</v>
      </c>
      <c r="L3397" s="14" t="n">
        <v>863245.0386136824</v>
      </c>
      <c r="M3397" s="14" t="n">
        <v>0</v>
      </c>
      <c r="N3397" s="14" t="n">
        <v>87682.59584189017</v>
      </c>
      <c r="O3397" s="14" t="n">
        <v>137539.0533859254</v>
      </c>
      <c r="P3397" s="14" t="n">
        <v>0</v>
      </c>
      <c r="Q3397" s="14" t="n">
        <v>908145.0208056883</v>
      </c>
      <c r="R3397" s="15">
        <f>IF(D3397=1,"Section 1","Control")</f>
        <v/>
      </c>
      <c r="S3397" s="16">
        <f>N3397/10000</f>
        <v/>
      </c>
      <c r="T3397" s="16">
        <f>P3397/10000</f>
        <v/>
      </c>
      <c r="U3397" s="15">
        <f>IF(N3397&gt;=Summary!$D$3,1,0)</f>
        <v/>
      </c>
      <c r="V3397" s="17">
        <f>IF(N3397&gt;0,P3397/N3397,"")</f>
        <v/>
      </c>
      <c r="W3397" s="17">
        <f>IF(O3397&gt;0,H3397/O3397,"")</f>
        <v/>
      </c>
    </row>
    <row r="3398">
      <c r="A3398" s="13" t="inlineStr">
        <is>
          <t>CW31_B2</t>
        </is>
      </c>
      <c r="B3398" s="13" t="inlineStr">
        <is>
          <t>CW31</t>
        </is>
      </c>
      <c r="C3398" s="13" t="inlineStr">
        <is>
          <t>B2</t>
        </is>
      </c>
      <c r="D3398" s="13" t="n">
        <v>0</v>
      </c>
      <c r="E3398" s="13" t="inlineStr">
        <is>
          <t>W</t>
        </is>
      </c>
      <c r="F3398" s="13" t="n">
        <v>2021</v>
      </c>
      <c r="G3398" s="14" t="n">
        <v>1000784.091999608</v>
      </c>
      <c r="H3398" s="14" t="n">
        <v>95980.63967515528</v>
      </c>
      <c r="I3398" s="14" t="n">
        <v>16113.69269576726</v>
      </c>
      <c r="J3398" s="14" t="n">
        <v>0</v>
      </c>
      <c r="K3398" s="14" t="n">
        <v>50295.56138539033</v>
      </c>
      <c r="L3398" s="14" t="n">
        <v>838394.1982432946</v>
      </c>
      <c r="M3398" s="14" t="n">
        <v>0</v>
      </c>
      <c r="N3398" s="14" t="n">
        <v>87682.59584189017</v>
      </c>
      <c r="O3398" s="14" t="n">
        <v>137539.0533859254</v>
      </c>
      <c r="P3398" s="14" t="n">
        <v>4073.723640142703</v>
      </c>
      <c r="Q3398" s="14" t="n">
        <v>908145.0208056883</v>
      </c>
      <c r="R3398" s="15">
        <f>IF(D3398=1,"Section 1","Control")</f>
        <v/>
      </c>
      <c r="S3398" s="16">
        <f>N3398/10000</f>
        <v/>
      </c>
      <c r="T3398" s="16">
        <f>P3398/10000</f>
        <v/>
      </c>
      <c r="U3398" s="15">
        <f>IF(N3398&gt;=Summary!$D$3,1,0)</f>
        <v/>
      </c>
      <c r="V3398" s="17">
        <f>IF(N3398&gt;0,P3398/N3398,"")</f>
        <v/>
      </c>
      <c r="W3398" s="17">
        <f>IF(O3398&gt;0,H3398/O3398,"")</f>
        <v/>
      </c>
    </row>
    <row r="3399">
      <c r="A3399" s="13" t="inlineStr">
        <is>
          <t>CW31_B2</t>
        </is>
      </c>
      <c r="B3399" s="13" t="inlineStr">
        <is>
          <t>CW31</t>
        </is>
      </c>
      <c r="C3399" s="13" t="inlineStr">
        <is>
          <t>B2</t>
        </is>
      </c>
      <c r="D3399" s="13" t="n">
        <v>0</v>
      </c>
      <c r="E3399" s="13" t="inlineStr">
        <is>
          <t>W</t>
        </is>
      </c>
      <c r="F3399" s="13" t="n">
        <v>2022</v>
      </c>
      <c r="G3399" s="14" t="n">
        <v>1000784.091999608</v>
      </c>
      <c r="H3399" s="14" t="n">
        <v>88757.35062567014</v>
      </c>
      <c r="I3399" s="14" t="n">
        <v>21447.24130847408</v>
      </c>
      <c r="J3399" s="14" t="n">
        <v>0</v>
      </c>
      <c r="K3399" s="14" t="n">
        <v>54885.75873359231</v>
      </c>
      <c r="L3399" s="14" t="n">
        <v>835693.7413318711</v>
      </c>
      <c r="M3399" s="14" t="n">
        <v>0</v>
      </c>
      <c r="N3399" s="14" t="n">
        <v>87682.59584189017</v>
      </c>
      <c r="O3399" s="14" t="n">
        <v>137539.0533859254</v>
      </c>
      <c r="P3399" s="14" t="n">
        <v>7726.988807977415</v>
      </c>
      <c r="Q3399" s="14" t="n">
        <v>908145.0208056883</v>
      </c>
      <c r="R3399" s="15">
        <f>IF(D3399=1,"Section 1","Control")</f>
        <v/>
      </c>
      <c r="S3399" s="16">
        <f>N3399/10000</f>
        <v/>
      </c>
      <c r="T3399" s="16">
        <f>P3399/10000</f>
        <v/>
      </c>
      <c r="U3399" s="15">
        <f>IF(N3399&gt;=Summary!$D$3,1,0)</f>
        <v/>
      </c>
      <c r="V3399" s="17">
        <f>IF(N3399&gt;0,P3399/N3399,"")</f>
        <v/>
      </c>
      <c r="W3399" s="17">
        <f>IF(O3399&gt;0,H3399/O3399,"")</f>
        <v/>
      </c>
    </row>
    <row r="3400">
      <c r="A3400" s="13" t="inlineStr">
        <is>
          <t>CW31_B2</t>
        </is>
      </c>
      <c r="B3400" s="13" t="inlineStr">
        <is>
          <t>CW31</t>
        </is>
      </c>
      <c r="C3400" s="13" t="inlineStr">
        <is>
          <t>B2</t>
        </is>
      </c>
      <c r="D3400" s="13" t="n">
        <v>0</v>
      </c>
      <c r="E3400" s="13" t="inlineStr">
        <is>
          <t>W</t>
        </is>
      </c>
      <c r="F3400" s="13" t="n">
        <v>2023</v>
      </c>
      <c r="G3400" s="14" t="n">
        <v>1000784.091999608</v>
      </c>
      <c r="H3400" s="14" t="n">
        <v>80241.3309129004</v>
      </c>
      <c r="I3400" s="14" t="n">
        <v>26301.09019589891</v>
      </c>
      <c r="J3400" s="14" t="n">
        <v>0</v>
      </c>
      <c r="K3400" s="14" t="n">
        <v>45214.82515875125</v>
      </c>
      <c r="L3400" s="14" t="n">
        <v>849026.845732057</v>
      </c>
      <c r="M3400" s="14" t="n">
        <v>0</v>
      </c>
      <c r="N3400" s="14" t="n">
        <v>87682.59584189017</v>
      </c>
      <c r="O3400" s="14" t="n">
        <v>137539.0533859254</v>
      </c>
      <c r="P3400" s="14" t="n">
        <v>12291.24608064539</v>
      </c>
      <c r="Q3400" s="14" t="n">
        <v>908145.0208056883</v>
      </c>
      <c r="R3400" s="15">
        <f>IF(D3400=1,"Section 1","Control")</f>
        <v/>
      </c>
      <c r="S3400" s="16">
        <f>N3400/10000</f>
        <v/>
      </c>
      <c r="T3400" s="16">
        <f>P3400/10000</f>
        <v/>
      </c>
      <c r="U3400" s="15">
        <f>IF(N3400&gt;=Summary!$D$3,1,0)</f>
        <v/>
      </c>
      <c r="V3400" s="17">
        <f>IF(N3400&gt;0,P3400/N3400,"")</f>
        <v/>
      </c>
      <c r="W3400" s="17">
        <f>IF(O3400&gt;0,H3400/O3400,"")</f>
        <v/>
      </c>
    </row>
    <row r="3401">
      <c r="A3401" s="13" t="inlineStr">
        <is>
          <t>CW31_B2</t>
        </is>
      </c>
      <c r="B3401" s="13" t="inlineStr">
        <is>
          <t>CW31</t>
        </is>
      </c>
      <c r="C3401" s="13" t="inlineStr">
        <is>
          <t>B2</t>
        </is>
      </c>
      <c r="D3401" s="13" t="n">
        <v>0</v>
      </c>
      <c r="E3401" s="13" t="inlineStr">
        <is>
          <t>W</t>
        </is>
      </c>
      <c r="F3401" s="13" t="n">
        <v>2024</v>
      </c>
      <c r="G3401" s="14" t="n">
        <v>1000784.091999608</v>
      </c>
      <c r="H3401" s="14" t="n">
        <v>93434.6560597737</v>
      </c>
      <c r="I3401" s="14" t="n">
        <v>13229.3346862793</v>
      </c>
      <c r="J3401" s="14" t="n">
        <v>0</v>
      </c>
      <c r="K3401" s="14" t="n">
        <v>45017.369592345</v>
      </c>
      <c r="L3401" s="14" t="n">
        <v>849102.7316612096</v>
      </c>
      <c r="M3401" s="14" t="n">
        <v>0</v>
      </c>
      <c r="N3401" s="14" t="n">
        <v>87682.59584189017</v>
      </c>
      <c r="O3401" s="14" t="n">
        <v>137539.0533859254</v>
      </c>
      <c r="P3401" s="14" t="n">
        <v>8279.470630630793</v>
      </c>
      <c r="Q3401" s="14" t="n">
        <v>908145.0208056883</v>
      </c>
      <c r="R3401" s="15">
        <f>IF(D3401=1,"Section 1","Control")</f>
        <v/>
      </c>
      <c r="S3401" s="16">
        <f>N3401/10000</f>
        <v/>
      </c>
      <c r="T3401" s="16">
        <f>P3401/10000</f>
        <v/>
      </c>
      <c r="U3401" s="15">
        <f>IF(N3401&gt;=Summary!$D$3,1,0)</f>
        <v/>
      </c>
      <c r="V3401" s="17">
        <f>IF(N3401&gt;0,P3401/N3401,"")</f>
        <v/>
      </c>
      <c r="W3401" s="17">
        <f>IF(O3401&gt;0,H3401/O3401,"")</f>
        <v/>
      </c>
    </row>
    <row r="3402">
      <c r="A3402" s="13" t="inlineStr">
        <is>
          <t>CW31_B2</t>
        </is>
      </c>
      <c r="B3402" s="13" t="inlineStr">
        <is>
          <t>CW31</t>
        </is>
      </c>
      <c r="C3402" s="13" t="inlineStr">
        <is>
          <t>B2</t>
        </is>
      </c>
      <c r="D3402" s="13" t="n">
        <v>0</v>
      </c>
      <c r="E3402" s="13" t="inlineStr">
        <is>
          <t>W</t>
        </is>
      </c>
      <c r="F3402" s="13" t="n">
        <v>2025</v>
      </c>
      <c r="G3402" s="14" t="n">
        <v>1000784.091999608</v>
      </c>
      <c r="H3402" s="14" t="n">
        <v>88101.11220969402</v>
      </c>
      <c r="I3402" s="14" t="n">
        <v>18145.13000506232</v>
      </c>
      <c r="J3402" s="14" t="n">
        <v>0</v>
      </c>
      <c r="K3402" s="14" t="n">
        <v>50219.67361082189</v>
      </c>
      <c r="L3402" s="14" t="n">
        <v>844318.1761740294</v>
      </c>
      <c r="M3402" s="14" t="n">
        <v>0</v>
      </c>
      <c r="N3402" s="14" t="n">
        <v>87682.59584189017</v>
      </c>
      <c r="O3402" s="14" t="n">
        <v>137539.0533859254</v>
      </c>
      <c r="P3402" s="14" t="n">
        <v>8164.483447145949</v>
      </c>
      <c r="Q3402" s="14" t="n">
        <v>908145.0208056883</v>
      </c>
      <c r="R3402" s="15">
        <f>IF(D3402=1,"Section 1","Control")</f>
        <v/>
      </c>
      <c r="S3402" s="16">
        <f>N3402/10000</f>
        <v/>
      </c>
      <c r="T3402" s="16">
        <f>P3402/10000</f>
        <v/>
      </c>
      <c r="U3402" s="15">
        <f>IF(N3402&gt;=Summary!$D$3,1,0)</f>
        <v/>
      </c>
      <c r="V3402" s="17">
        <f>IF(N3402&gt;0,P3402/N3402,"")</f>
        <v/>
      </c>
      <c r="W3402" s="17">
        <f>IF(O3402&gt;0,H3402/O3402,"")</f>
        <v/>
      </c>
    </row>
    <row r="3403">
      <c r="A3403" s="13" t="inlineStr">
        <is>
          <t>CW31_B2</t>
        </is>
      </c>
      <c r="B3403" s="13" t="inlineStr">
        <is>
          <t>CW31</t>
        </is>
      </c>
      <c r="C3403" s="13" t="inlineStr">
        <is>
          <t>B2</t>
        </is>
      </c>
      <c r="D3403" s="13" t="n">
        <v>0</v>
      </c>
      <c r="E3403" s="13" t="inlineStr">
        <is>
          <t>W</t>
        </is>
      </c>
      <c r="F3403" s="13" t="n">
        <v>2026</v>
      </c>
      <c r="G3403" s="14" t="n">
        <v>1000784.091999608</v>
      </c>
      <c r="H3403" s="14" t="n">
        <v>99028.3728260116</v>
      </c>
      <c r="I3403" s="14" t="n">
        <v>5429.952972412109</v>
      </c>
      <c r="J3403" s="14" t="n">
        <v>0</v>
      </c>
      <c r="K3403" s="14" t="n">
        <v>44380.48490247539</v>
      </c>
      <c r="L3403" s="14" t="n">
        <v>851945.2812987086</v>
      </c>
      <c r="M3403" s="14" t="n">
        <v>0</v>
      </c>
      <c r="N3403" s="14" t="n">
        <v>87682.59584189017</v>
      </c>
      <c r="O3403" s="14" t="n">
        <v>137539.0533859254</v>
      </c>
      <c r="P3403" s="14" t="n">
        <v>10550.17886732513</v>
      </c>
      <c r="Q3403" s="14" t="n">
        <v>908145.0208056883</v>
      </c>
      <c r="R3403" s="15">
        <f>IF(D3403=1,"Section 1","Control")</f>
        <v/>
      </c>
      <c r="S3403" s="16">
        <f>N3403/10000</f>
        <v/>
      </c>
      <c r="T3403" s="16">
        <f>P3403/10000</f>
        <v/>
      </c>
      <c r="U3403" s="15">
        <f>IF(N3403&gt;=Summary!$D$3,1,0)</f>
        <v/>
      </c>
      <c r="V3403" s="17">
        <f>IF(N3403&gt;0,P3403/N3403,"")</f>
        <v/>
      </c>
      <c r="W3403" s="17">
        <f>IF(O3403&gt;0,H3403/O3403,"")</f>
        <v/>
      </c>
    </row>
    <row r="3404">
      <c r="A3404" s="13" t="inlineStr">
        <is>
          <t>CW31_B3</t>
        </is>
      </c>
      <c r="B3404" s="13" t="inlineStr">
        <is>
          <t>CW31</t>
        </is>
      </c>
      <c r="C3404" s="13" t="inlineStr">
        <is>
          <t>B3</t>
        </is>
      </c>
      <c r="D3404" s="13" t="n">
        <v>0</v>
      </c>
      <c r="E3404" s="13" t="inlineStr">
        <is>
          <t>W</t>
        </is>
      </c>
      <c r="F3404" s="13" t="n">
        <v>2020</v>
      </c>
      <c r="G3404" s="14" t="n">
        <v>8006145.086138886</v>
      </c>
      <c r="H3404" s="14" t="n">
        <v>2502964.544948742</v>
      </c>
      <c r="I3404" s="14" t="n">
        <v>484813.8064301434</v>
      </c>
      <c r="J3404" s="14" t="n">
        <v>0</v>
      </c>
      <c r="K3404" s="14" t="n">
        <v>1016176.400025342</v>
      </c>
      <c r="L3404" s="14" t="n">
        <v>4002190.33473466</v>
      </c>
      <c r="M3404" s="14" t="n">
        <v>0</v>
      </c>
      <c r="N3404" s="14" t="n">
        <v>2502964.544948742</v>
      </c>
      <c r="O3404" s="14" t="n">
        <v>4003954.751404226</v>
      </c>
      <c r="P3404" s="14" t="n">
        <v>0</v>
      </c>
      <c r="Q3404" s="14" t="n">
        <v>31399835.32183425</v>
      </c>
      <c r="R3404" s="15">
        <f>IF(D3404=1,"Section 1","Control")</f>
        <v/>
      </c>
      <c r="S3404" s="16">
        <f>N3404/10000</f>
        <v/>
      </c>
      <c r="T3404" s="16">
        <f>P3404/10000</f>
        <v/>
      </c>
      <c r="U3404" s="15">
        <f>IF(N3404&gt;=Summary!$D$3,1,0)</f>
        <v/>
      </c>
      <c r="V3404" s="17">
        <f>IF(N3404&gt;0,P3404/N3404,"")</f>
        <v/>
      </c>
      <c r="W3404" s="17">
        <f>IF(O3404&gt;0,H3404/O3404,"")</f>
        <v/>
      </c>
    </row>
    <row r="3405">
      <c r="A3405" s="13" t="inlineStr">
        <is>
          <t>CW31_B3</t>
        </is>
      </c>
      <c r="B3405" s="13" t="inlineStr">
        <is>
          <t>CW31</t>
        </is>
      </c>
      <c r="C3405" s="13" t="inlineStr">
        <is>
          <t>B3</t>
        </is>
      </c>
      <c r="D3405" s="13" t="n">
        <v>0</v>
      </c>
      <c r="E3405" s="13" t="inlineStr">
        <is>
          <t>W</t>
        </is>
      </c>
      <c r="F3405" s="13" t="n">
        <v>2021</v>
      </c>
      <c r="G3405" s="14" t="n">
        <v>8006145.086138887</v>
      </c>
      <c r="H3405" s="14" t="n">
        <v>2247706.636724135</v>
      </c>
      <c r="I3405" s="14" t="n">
        <v>165481.0398515888</v>
      </c>
      <c r="J3405" s="14" t="n">
        <v>0</v>
      </c>
      <c r="K3405" s="14" t="n">
        <v>1590767.074828503</v>
      </c>
      <c r="L3405" s="14" t="n">
        <v>4002190.33473466</v>
      </c>
      <c r="M3405" s="14" t="n">
        <v>0</v>
      </c>
      <c r="N3405" s="14" t="n">
        <v>2502964.544948742</v>
      </c>
      <c r="O3405" s="14" t="n">
        <v>4003954.751404226</v>
      </c>
      <c r="P3405" s="14" t="n">
        <v>390369.0925597845</v>
      </c>
      <c r="Q3405" s="14" t="n">
        <v>31399835.32183425</v>
      </c>
      <c r="R3405" s="15">
        <f>IF(D3405=1,"Section 1","Control")</f>
        <v/>
      </c>
      <c r="S3405" s="16">
        <f>N3405/10000</f>
        <v/>
      </c>
      <c r="T3405" s="16">
        <f>P3405/10000</f>
        <v/>
      </c>
      <c r="U3405" s="15">
        <f>IF(N3405&gt;=Summary!$D$3,1,0)</f>
        <v/>
      </c>
      <c r="V3405" s="17">
        <f>IF(N3405&gt;0,P3405/N3405,"")</f>
        <v/>
      </c>
      <c r="W3405" s="17">
        <f>IF(O3405&gt;0,H3405/O3405,"")</f>
        <v/>
      </c>
    </row>
    <row r="3406">
      <c r="A3406" s="13" t="inlineStr">
        <is>
          <t>CW31_B3</t>
        </is>
      </c>
      <c r="B3406" s="13" t="inlineStr">
        <is>
          <t>CW31</t>
        </is>
      </c>
      <c r="C3406" s="13" t="inlineStr">
        <is>
          <t>B3</t>
        </is>
      </c>
      <c r="D3406" s="13" t="n">
        <v>0</v>
      </c>
      <c r="E3406" s="13" t="inlineStr">
        <is>
          <t>W</t>
        </is>
      </c>
      <c r="F3406" s="13" t="n">
        <v>2022</v>
      </c>
      <c r="G3406" s="14" t="n">
        <v>8006145.086138886</v>
      </c>
      <c r="H3406" s="14" t="n">
        <v>2138597.241936537</v>
      </c>
      <c r="I3406" s="14" t="n">
        <v>276183.441954998</v>
      </c>
      <c r="J3406" s="14" t="n">
        <v>0</v>
      </c>
      <c r="K3406" s="14" t="n">
        <v>1589174.067512692</v>
      </c>
      <c r="L3406" s="14" t="n">
        <v>4002190.33473466</v>
      </c>
      <c r="M3406" s="14" t="n">
        <v>0</v>
      </c>
      <c r="N3406" s="14" t="n">
        <v>2502964.544948742</v>
      </c>
      <c r="O3406" s="14" t="n">
        <v>4003954.751404226</v>
      </c>
      <c r="P3406" s="14" t="n">
        <v>488504.667032758</v>
      </c>
      <c r="Q3406" s="14" t="n">
        <v>31399835.32183425</v>
      </c>
      <c r="R3406" s="15">
        <f>IF(D3406=1,"Section 1","Control")</f>
        <v/>
      </c>
      <c r="S3406" s="16">
        <f>N3406/10000</f>
        <v/>
      </c>
      <c r="T3406" s="16">
        <f>P3406/10000</f>
        <v/>
      </c>
      <c r="U3406" s="15">
        <f>IF(N3406&gt;=Summary!$D$3,1,0)</f>
        <v/>
      </c>
      <c r="V3406" s="17">
        <f>IF(N3406&gt;0,P3406/N3406,"")</f>
        <v/>
      </c>
      <c r="W3406" s="17">
        <f>IF(O3406&gt;0,H3406/O3406,"")</f>
        <v/>
      </c>
    </row>
    <row r="3407">
      <c r="A3407" s="13" t="inlineStr">
        <is>
          <t>CW31_B3</t>
        </is>
      </c>
      <c r="B3407" s="13" t="inlineStr">
        <is>
          <t>CW31</t>
        </is>
      </c>
      <c r="C3407" s="13" t="inlineStr">
        <is>
          <t>B3</t>
        </is>
      </c>
      <c r="D3407" s="13" t="n">
        <v>0</v>
      </c>
      <c r="E3407" s="13" t="inlineStr">
        <is>
          <t>W</t>
        </is>
      </c>
      <c r="F3407" s="13" t="n">
        <v>2023</v>
      </c>
      <c r="G3407" s="14" t="n">
        <v>8006145.086138886</v>
      </c>
      <c r="H3407" s="14" t="n">
        <v>2088839.051729898</v>
      </c>
      <c r="I3407" s="14" t="n">
        <v>316390.1074121513</v>
      </c>
      <c r="J3407" s="14" t="n">
        <v>0</v>
      </c>
      <c r="K3407" s="14" t="n">
        <v>1598725.592262178</v>
      </c>
      <c r="L3407" s="14" t="n">
        <v>4002190.33473466</v>
      </c>
      <c r="M3407" s="14" t="n">
        <v>0</v>
      </c>
      <c r="N3407" s="14" t="n">
        <v>2502964.544948742</v>
      </c>
      <c r="O3407" s="14" t="n">
        <v>4003954.751404227</v>
      </c>
      <c r="P3407" s="14" t="n">
        <v>510035.2197006825</v>
      </c>
      <c r="Q3407" s="14" t="n">
        <v>31399835.32183425</v>
      </c>
      <c r="R3407" s="15">
        <f>IF(D3407=1,"Section 1","Control")</f>
        <v/>
      </c>
      <c r="S3407" s="16">
        <f>N3407/10000</f>
        <v/>
      </c>
      <c r="T3407" s="16">
        <f>P3407/10000</f>
        <v/>
      </c>
      <c r="U3407" s="15">
        <f>IF(N3407&gt;=Summary!$D$3,1,0)</f>
        <v/>
      </c>
      <c r="V3407" s="17">
        <f>IF(N3407&gt;0,P3407/N3407,"")</f>
        <v/>
      </c>
      <c r="W3407" s="17">
        <f>IF(O3407&gt;0,H3407/O3407,"")</f>
        <v/>
      </c>
    </row>
    <row r="3408">
      <c r="A3408" s="13" t="inlineStr">
        <is>
          <t>CW31_B3</t>
        </is>
      </c>
      <c r="B3408" s="13" t="inlineStr">
        <is>
          <t>CW31</t>
        </is>
      </c>
      <c r="C3408" s="13" t="inlineStr">
        <is>
          <t>B3</t>
        </is>
      </c>
      <c r="D3408" s="13" t="n">
        <v>0</v>
      </c>
      <c r="E3408" s="13" t="inlineStr">
        <is>
          <t>W</t>
        </is>
      </c>
      <c r="F3408" s="13" t="n">
        <v>2024</v>
      </c>
      <c r="G3408" s="14" t="n">
        <v>8006145.086138886</v>
      </c>
      <c r="H3408" s="14" t="n">
        <v>2212422.542940746</v>
      </c>
      <c r="I3408" s="14" t="n">
        <v>196871.341701732</v>
      </c>
      <c r="J3408" s="14" t="n">
        <v>0</v>
      </c>
      <c r="K3408" s="14" t="n">
        <v>1594660.86676175</v>
      </c>
      <c r="L3408" s="14" t="n">
        <v>4002190.33473466</v>
      </c>
      <c r="M3408" s="14" t="n">
        <v>0</v>
      </c>
      <c r="N3408" s="14" t="n">
        <v>2502964.544948742</v>
      </c>
      <c r="O3408" s="14" t="n">
        <v>4003954.751404226</v>
      </c>
      <c r="P3408" s="14" t="n">
        <v>504190.2515007767</v>
      </c>
      <c r="Q3408" s="14" t="n">
        <v>31399835.32183425</v>
      </c>
      <c r="R3408" s="15">
        <f>IF(D3408=1,"Section 1","Control")</f>
        <v/>
      </c>
      <c r="S3408" s="16">
        <f>N3408/10000</f>
        <v/>
      </c>
      <c r="T3408" s="16">
        <f>P3408/10000</f>
        <v/>
      </c>
      <c r="U3408" s="15">
        <f>IF(N3408&gt;=Summary!$D$3,1,0)</f>
        <v/>
      </c>
      <c r="V3408" s="17">
        <f>IF(N3408&gt;0,P3408/N3408,"")</f>
        <v/>
      </c>
      <c r="W3408" s="17">
        <f>IF(O3408&gt;0,H3408/O3408,"")</f>
        <v/>
      </c>
    </row>
    <row r="3409">
      <c r="A3409" s="13" t="inlineStr">
        <is>
          <t>CW31_B3</t>
        </is>
      </c>
      <c r="B3409" s="13" t="inlineStr">
        <is>
          <t>CW31</t>
        </is>
      </c>
      <c r="C3409" s="13" t="inlineStr">
        <is>
          <t>B3</t>
        </is>
      </c>
      <c r="D3409" s="13" t="n">
        <v>0</v>
      </c>
      <c r="E3409" s="13" t="inlineStr">
        <is>
          <t>W</t>
        </is>
      </c>
      <c r="F3409" s="13" t="n">
        <v>2025</v>
      </c>
      <c r="G3409" s="14" t="n">
        <v>8006145.086138886</v>
      </c>
      <c r="H3409" s="14" t="n">
        <v>2110201.703299968</v>
      </c>
      <c r="I3409" s="14" t="n">
        <v>309884.1819655774</v>
      </c>
      <c r="J3409" s="14" t="n">
        <v>0</v>
      </c>
      <c r="K3409" s="14" t="n">
        <v>1583868.866138683</v>
      </c>
      <c r="L3409" s="14" t="n">
        <v>4002190.33473466</v>
      </c>
      <c r="M3409" s="14" t="n">
        <v>0</v>
      </c>
      <c r="N3409" s="14" t="n">
        <v>2502964.544948743</v>
      </c>
      <c r="O3409" s="14" t="n">
        <v>4003954.751404226</v>
      </c>
      <c r="P3409" s="14" t="n">
        <v>538098.7621213128</v>
      </c>
      <c r="Q3409" s="14" t="n">
        <v>31399835.32183424</v>
      </c>
      <c r="R3409" s="15">
        <f>IF(D3409=1,"Section 1","Control")</f>
        <v/>
      </c>
      <c r="S3409" s="16">
        <f>N3409/10000</f>
        <v/>
      </c>
      <c r="T3409" s="16">
        <f>P3409/10000</f>
        <v/>
      </c>
      <c r="U3409" s="15">
        <f>IF(N3409&gt;=Summary!$D$3,1,0)</f>
        <v/>
      </c>
      <c r="V3409" s="17">
        <f>IF(N3409&gt;0,P3409/N3409,"")</f>
        <v/>
      </c>
      <c r="W3409" s="17">
        <f>IF(O3409&gt;0,H3409/O3409,"")</f>
        <v/>
      </c>
    </row>
    <row r="3410">
      <c r="A3410" s="13" t="inlineStr">
        <is>
          <t>CW31_B3</t>
        </is>
      </c>
      <c r="B3410" s="13" t="inlineStr">
        <is>
          <t>CW31</t>
        </is>
      </c>
      <c r="C3410" s="13" t="inlineStr">
        <is>
          <t>B3</t>
        </is>
      </c>
      <c r="D3410" s="13" t="n">
        <v>0</v>
      </c>
      <c r="E3410" s="13" t="inlineStr">
        <is>
          <t>W</t>
        </is>
      </c>
      <c r="F3410" s="13" t="n">
        <v>2026</v>
      </c>
      <c r="G3410" s="14" t="n">
        <v>8006145.086138887</v>
      </c>
      <c r="H3410" s="14" t="n">
        <v>2128325.036635874</v>
      </c>
      <c r="I3410" s="14" t="n">
        <v>233386.7104937984</v>
      </c>
      <c r="J3410" s="14" t="n">
        <v>0</v>
      </c>
      <c r="K3410" s="14" t="n">
        <v>1642243.004274556</v>
      </c>
      <c r="L3410" s="14" t="n">
        <v>4002190.33473466</v>
      </c>
      <c r="M3410" s="14" t="n">
        <v>0</v>
      </c>
      <c r="N3410" s="14" t="n">
        <v>2502964.544948742</v>
      </c>
      <c r="O3410" s="14" t="n">
        <v>4003954.751404226</v>
      </c>
      <c r="P3410" s="14" t="n">
        <v>539986.1544655893</v>
      </c>
      <c r="Q3410" s="14" t="n">
        <v>31399835.32183425</v>
      </c>
      <c r="R3410" s="15">
        <f>IF(D3410=1,"Section 1","Control")</f>
        <v/>
      </c>
      <c r="S3410" s="16">
        <f>N3410/10000</f>
        <v/>
      </c>
      <c r="T3410" s="16">
        <f>P3410/10000</f>
        <v/>
      </c>
      <c r="U3410" s="15">
        <f>IF(N3410&gt;=Summary!$D$3,1,0)</f>
        <v/>
      </c>
      <c r="V3410" s="17">
        <f>IF(N3410&gt;0,P3410/N3410,"")</f>
        <v/>
      </c>
      <c r="W3410" s="17">
        <f>IF(O3410&gt;0,H3410/O3410,"")</f>
        <v/>
      </c>
    </row>
    <row r="3411">
      <c r="A3411" s="13" t="inlineStr">
        <is>
          <t>CW31_F</t>
        </is>
      </c>
      <c r="B3411" s="13" t="inlineStr">
        <is>
          <t>CW31</t>
        </is>
      </c>
      <c r="C3411" s="13" t="inlineStr">
        <is>
          <t>F</t>
        </is>
      </c>
      <c r="D3411" s="13" t="n">
        <v>0</v>
      </c>
      <c r="E3411" s="13" t="inlineStr">
        <is>
          <t>W</t>
        </is>
      </c>
      <c r="F3411" s="13" t="n">
        <v>2020</v>
      </c>
      <c r="G3411" s="14" t="n">
        <v>69538.22571683393</v>
      </c>
      <c r="H3411" s="14" t="n">
        <v>6751.44904321409</v>
      </c>
      <c r="I3411" s="14" t="n">
        <v>605.5320805568322</v>
      </c>
      <c r="J3411" s="14" t="n">
        <v>0</v>
      </c>
      <c r="K3411" s="14" t="n">
        <v>21671.00096196194</v>
      </c>
      <c r="L3411" s="14" t="n">
        <v>40510.24363110114</v>
      </c>
      <c r="M3411" s="14" t="n">
        <v>0</v>
      </c>
      <c r="N3411" s="14" t="n">
        <v>6751.44904321409</v>
      </c>
      <c r="O3411" s="14" t="n">
        <v>29027.98208573284</v>
      </c>
      <c r="P3411" s="14" t="n">
        <v>0</v>
      </c>
      <c r="Q3411" s="14" t="n">
        <v>536747.9849600996</v>
      </c>
      <c r="R3411" s="15">
        <f>IF(D3411=1,"Section 1","Control")</f>
        <v/>
      </c>
      <c r="S3411" s="16">
        <f>N3411/10000</f>
        <v/>
      </c>
      <c r="T3411" s="16">
        <f>P3411/10000</f>
        <v/>
      </c>
      <c r="U3411" s="15">
        <f>IF(N3411&gt;=Summary!$D$3,1,0)</f>
        <v/>
      </c>
      <c r="V3411" s="17">
        <f>IF(N3411&gt;0,P3411/N3411,"")</f>
        <v/>
      </c>
      <c r="W3411" s="17">
        <f>IF(O3411&gt;0,H3411/O3411,"")</f>
        <v/>
      </c>
    </row>
    <row r="3412">
      <c r="A3412" s="13" t="inlineStr">
        <is>
          <t>CW31_F</t>
        </is>
      </c>
      <c r="B3412" s="13" t="inlineStr">
        <is>
          <t>CW31</t>
        </is>
      </c>
      <c r="C3412" s="13" t="inlineStr">
        <is>
          <t>F</t>
        </is>
      </c>
      <c r="D3412" s="13" t="n">
        <v>0</v>
      </c>
      <c r="E3412" s="13" t="inlineStr">
        <is>
          <t>W</t>
        </is>
      </c>
      <c r="F3412" s="13" t="n">
        <v>2021</v>
      </c>
      <c r="G3412" s="14" t="n">
        <v>69538.22571683393</v>
      </c>
      <c r="H3412" s="14" t="n">
        <v>7294.646930709542</v>
      </c>
      <c r="I3412" s="14" t="n">
        <v>0</v>
      </c>
      <c r="J3412" s="14" t="n">
        <v>0</v>
      </c>
      <c r="K3412" s="14" t="n">
        <v>53312.75640040383</v>
      </c>
      <c r="L3412" s="14" t="n">
        <v>8930.822385720647</v>
      </c>
      <c r="M3412" s="14" t="n">
        <v>0</v>
      </c>
      <c r="N3412" s="14" t="n">
        <v>6751.44904321409</v>
      </c>
      <c r="O3412" s="14" t="n">
        <v>29027.98208573284</v>
      </c>
      <c r="P3412" s="14" t="n">
        <v>0</v>
      </c>
      <c r="Q3412" s="14" t="n">
        <v>536747.9849600996</v>
      </c>
      <c r="R3412" s="15">
        <f>IF(D3412=1,"Section 1","Control")</f>
        <v/>
      </c>
      <c r="S3412" s="16">
        <f>N3412/10000</f>
        <v/>
      </c>
      <c r="T3412" s="16">
        <f>P3412/10000</f>
        <v/>
      </c>
      <c r="U3412" s="15">
        <f>IF(N3412&gt;=Summary!$D$3,1,0)</f>
        <v/>
      </c>
      <c r="V3412" s="17">
        <f>IF(N3412&gt;0,P3412/N3412,"")</f>
        <v/>
      </c>
      <c r="W3412" s="17">
        <f>IF(O3412&gt;0,H3412/O3412,"")</f>
        <v/>
      </c>
    </row>
    <row r="3413">
      <c r="A3413" s="13" t="inlineStr">
        <is>
          <t>CW31_F</t>
        </is>
      </c>
      <c r="B3413" s="13" t="inlineStr">
        <is>
          <t>CW31</t>
        </is>
      </c>
      <c r="C3413" s="13" t="inlineStr">
        <is>
          <t>F</t>
        </is>
      </c>
      <c r="D3413" s="13" t="n">
        <v>0</v>
      </c>
      <c r="E3413" s="13" t="inlineStr">
        <is>
          <t>W</t>
        </is>
      </c>
      <c r="F3413" s="13" t="n">
        <v>2022</v>
      </c>
      <c r="G3413" s="14" t="n">
        <v>69538.22571683393</v>
      </c>
      <c r="H3413" s="14" t="n">
        <v>7294.646930709542</v>
      </c>
      <c r="I3413" s="14" t="n">
        <v>118.8608589022767</v>
      </c>
      <c r="J3413" s="14" t="n">
        <v>0</v>
      </c>
      <c r="K3413" s="14" t="n">
        <v>51525.58555064485</v>
      </c>
      <c r="L3413" s="14" t="n">
        <v>10599.13237657734</v>
      </c>
      <c r="M3413" s="14" t="n">
        <v>0</v>
      </c>
      <c r="N3413" s="14" t="n">
        <v>6751.44904321409</v>
      </c>
      <c r="O3413" s="14" t="n">
        <v>29027.98208573284</v>
      </c>
      <c r="P3413" s="14" t="n">
        <v>0</v>
      </c>
      <c r="Q3413" s="14" t="n">
        <v>536747.9849600996</v>
      </c>
      <c r="R3413" s="15">
        <f>IF(D3413=1,"Section 1","Control")</f>
        <v/>
      </c>
      <c r="S3413" s="16">
        <f>N3413/10000</f>
        <v/>
      </c>
      <c r="T3413" s="16">
        <f>P3413/10000</f>
        <v/>
      </c>
      <c r="U3413" s="15">
        <f>IF(N3413&gt;=Summary!$D$3,1,0)</f>
        <v/>
      </c>
      <c r="V3413" s="17">
        <f>IF(N3413&gt;0,P3413/N3413,"")</f>
        <v/>
      </c>
      <c r="W3413" s="17">
        <f>IF(O3413&gt;0,H3413/O3413,"")</f>
        <v/>
      </c>
    </row>
    <row r="3414">
      <c r="A3414" s="13" t="inlineStr">
        <is>
          <t>CW31_F</t>
        </is>
      </c>
      <c r="B3414" s="13" t="inlineStr">
        <is>
          <t>CW31</t>
        </is>
      </c>
      <c r="C3414" s="13" t="inlineStr">
        <is>
          <t>F</t>
        </is>
      </c>
      <c r="D3414" s="13" t="n">
        <v>0</v>
      </c>
      <c r="E3414" s="13" t="inlineStr">
        <is>
          <t>W</t>
        </is>
      </c>
      <c r="F3414" s="13" t="n">
        <v>2023</v>
      </c>
      <c r="G3414" s="14" t="n">
        <v>69538.22571683393</v>
      </c>
      <c r="H3414" s="14" t="n">
        <v>7195.918895736398</v>
      </c>
      <c r="I3414" s="14" t="n">
        <v>63.49570845061658</v>
      </c>
      <c r="J3414" s="14" t="n">
        <v>0</v>
      </c>
      <c r="K3414" s="14" t="n">
        <v>45565.12320374135</v>
      </c>
      <c r="L3414" s="14" t="n">
        <v>16713.68790890562</v>
      </c>
      <c r="M3414" s="14" t="n">
        <v>0</v>
      </c>
      <c r="N3414" s="14" t="n">
        <v>6751.44904321409</v>
      </c>
      <c r="O3414" s="14" t="n">
        <v>29027.98208573284</v>
      </c>
      <c r="P3414" s="14" t="n">
        <v>98.72803497314452</v>
      </c>
      <c r="Q3414" s="14" t="n">
        <v>536747.9849600996</v>
      </c>
      <c r="R3414" s="15">
        <f>IF(D3414=1,"Section 1","Control")</f>
        <v/>
      </c>
      <c r="S3414" s="16">
        <f>N3414/10000</f>
        <v/>
      </c>
      <c r="T3414" s="16">
        <f>P3414/10000</f>
        <v/>
      </c>
      <c r="U3414" s="15">
        <f>IF(N3414&gt;=Summary!$D$3,1,0)</f>
        <v/>
      </c>
      <c r="V3414" s="17">
        <f>IF(N3414&gt;0,P3414/N3414,"")</f>
        <v/>
      </c>
      <c r="W3414" s="17">
        <f>IF(O3414&gt;0,H3414/O3414,"")</f>
        <v/>
      </c>
    </row>
    <row r="3415">
      <c r="A3415" s="13" t="inlineStr">
        <is>
          <t>CW31_F</t>
        </is>
      </c>
      <c r="B3415" s="13" t="inlineStr">
        <is>
          <t>CW31</t>
        </is>
      </c>
      <c r="C3415" s="13" t="inlineStr">
        <is>
          <t>F</t>
        </is>
      </c>
      <c r="D3415" s="13" t="n">
        <v>0</v>
      </c>
      <c r="E3415" s="13" t="inlineStr">
        <is>
          <t>W</t>
        </is>
      </c>
      <c r="F3415" s="13" t="n">
        <v>2024</v>
      </c>
      <c r="G3415" s="14" t="n">
        <v>69538.22571683393</v>
      </c>
      <c r="H3415" s="14" t="n">
        <v>6702.278583541573</v>
      </c>
      <c r="I3415" s="14" t="n">
        <v>63.49570845061658</v>
      </c>
      <c r="J3415" s="14" t="n">
        <v>0</v>
      </c>
      <c r="K3415" s="14" t="n">
        <v>46411.8620036705</v>
      </c>
      <c r="L3415" s="14" t="n">
        <v>16360.58942117131</v>
      </c>
      <c r="M3415" s="14" t="n">
        <v>0</v>
      </c>
      <c r="N3415" s="14" t="n">
        <v>6751.44904321409</v>
      </c>
      <c r="O3415" s="14" t="n">
        <v>29027.98208573284</v>
      </c>
      <c r="P3415" s="14" t="n">
        <v>296.1841506958008</v>
      </c>
      <c r="Q3415" s="14" t="n">
        <v>536747.9849600996</v>
      </c>
      <c r="R3415" s="15">
        <f>IF(D3415=1,"Section 1","Control")</f>
        <v/>
      </c>
      <c r="S3415" s="16">
        <f>N3415/10000</f>
        <v/>
      </c>
      <c r="T3415" s="16">
        <f>P3415/10000</f>
        <v/>
      </c>
      <c r="U3415" s="15">
        <f>IF(N3415&gt;=Summary!$D$3,1,0)</f>
        <v/>
      </c>
      <c r="V3415" s="17">
        <f>IF(N3415&gt;0,P3415/N3415,"")</f>
        <v/>
      </c>
      <c r="W3415" s="17">
        <f>IF(O3415&gt;0,H3415/O3415,"")</f>
        <v/>
      </c>
    </row>
    <row r="3416">
      <c r="A3416" s="13" t="inlineStr">
        <is>
          <t>CW31_F</t>
        </is>
      </c>
      <c r="B3416" s="13" t="inlineStr">
        <is>
          <t>CW31</t>
        </is>
      </c>
      <c r="C3416" s="13" t="inlineStr">
        <is>
          <t>F</t>
        </is>
      </c>
      <c r="D3416" s="13" t="n">
        <v>0</v>
      </c>
      <c r="E3416" s="13" t="inlineStr">
        <is>
          <t>W</t>
        </is>
      </c>
      <c r="F3416" s="13" t="n">
        <v>2025</v>
      </c>
      <c r="G3416" s="14" t="n">
        <v>69538.22571683393</v>
      </c>
      <c r="H3416" s="14" t="n">
        <v>6702.278583541573</v>
      </c>
      <c r="I3416" s="14" t="n">
        <v>224.945108720368</v>
      </c>
      <c r="J3416" s="14" t="n">
        <v>0</v>
      </c>
      <c r="K3416" s="14" t="n">
        <v>41698.85738028733</v>
      </c>
      <c r="L3416" s="14" t="n">
        <v>20912.14464428471</v>
      </c>
      <c r="M3416" s="14" t="n">
        <v>0</v>
      </c>
      <c r="N3416" s="14" t="n">
        <v>6751.44904321409</v>
      </c>
      <c r="O3416" s="14" t="n">
        <v>29027.98208573284</v>
      </c>
      <c r="P3416" s="14" t="n">
        <v>296.1841506958008</v>
      </c>
      <c r="Q3416" s="14" t="n">
        <v>536747.9849600996</v>
      </c>
      <c r="R3416" s="15">
        <f>IF(D3416=1,"Section 1","Control")</f>
        <v/>
      </c>
      <c r="S3416" s="16">
        <f>N3416/10000</f>
        <v/>
      </c>
      <c r="T3416" s="16">
        <f>P3416/10000</f>
        <v/>
      </c>
      <c r="U3416" s="15">
        <f>IF(N3416&gt;=Summary!$D$3,1,0)</f>
        <v/>
      </c>
      <c r="V3416" s="17">
        <f>IF(N3416&gt;0,P3416/N3416,"")</f>
        <v/>
      </c>
      <c r="W3416" s="17">
        <f>IF(O3416&gt;0,H3416/O3416,"")</f>
        <v/>
      </c>
    </row>
    <row r="3417">
      <c r="A3417" s="13" t="inlineStr">
        <is>
          <t>CW31_F</t>
        </is>
      </c>
      <c r="B3417" s="13" t="inlineStr">
        <is>
          <t>CW31</t>
        </is>
      </c>
      <c r="C3417" s="13" t="inlineStr">
        <is>
          <t>F</t>
        </is>
      </c>
      <c r="D3417" s="13" t="n">
        <v>0</v>
      </c>
      <c r="E3417" s="13" t="inlineStr">
        <is>
          <t>W</t>
        </is>
      </c>
      <c r="F3417" s="13" t="n">
        <v>2026</v>
      </c>
      <c r="G3417" s="14" t="n">
        <v>69538.22571683393</v>
      </c>
      <c r="H3417" s="14" t="n">
        <v>6702.278583541573</v>
      </c>
      <c r="I3417" s="14" t="n">
        <v>80.91823664646522</v>
      </c>
      <c r="J3417" s="14" t="n">
        <v>0</v>
      </c>
      <c r="K3417" s="14" t="n">
        <v>38497.3573057287</v>
      </c>
      <c r="L3417" s="14" t="n">
        <v>24257.67159091725</v>
      </c>
      <c r="M3417" s="14" t="n">
        <v>0</v>
      </c>
      <c r="N3417" s="14" t="n">
        <v>6751.44904321409</v>
      </c>
      <c r="O3417" s="14" t="n">
        <v>29027.98208573284</v>
      </c>
      <c r="P3417" s="14" t="n">
        <v>296.1841506958008</v>
      </c>
      <c r="Q3417" s="14" t="n">
        <v>536747.9849600996</v>
      </c>
      <c r="R3417" s="15">
        <f>IF(D3417=1,"Section 1","Control")</f>
        <v/>
      </c>
      <c r="S3417" s="16">
        <f>N3417/10000</f>
        <v/>
      </c>
      <c r="T3417" s="16">
        <f>P3417/10000</f>
        <v/>
      </c>
      <c r="U3417" s="15">
        <f>IF(N3417&gt;=Summary!$D$3,1,0)</f>
        <v/>
      </c>
      <c r="V3417" s="17">
        <f>IF(N3417&gt;0,P3417/N3417,"")</f>
        <v/>
      </c>
      <c r="W3417" s="17">
        <f>IF(O3417&gt;0,H3417/O3417,"")</f>
        <v/>
      </c>
    </row>
    <row r="3418">
      <c r="A3418" s="13" t="inlineStr">
        <is>
          <t>CW32_B1</t>
        </is>
      </c>
      <c r="B3418" s="13" t="inlineStr">
        <is>
          <t>CW32</t>
        </is>
      </c>
      <c r="C3418" s="13" t="inlineStr">
        <is>
          <t>B1</t>
        </is>
      </c>
      <c r="D3418" s="13" t="n">
        <v>0</v>
      </c>
      <c r="E3418" s="13" t="inlineStr">
        <is>
          <t>W</t>
        </is>
      </c>
      <c r="F3418" s="13" t="n">
        <v>2020</v>
      </c>
      <c r="G3418" s="14" t="n">
        <v>1026230.596061197</v>
      </c>
      <c r="H3418" s="14" t="n">
        <v>444877.5506716858</v>
      </c>
      <c r="I3418" s="14" t="n">
        <v>395486.9256203445</v>
      </c>
      <c r="J3418" s="14" t="n">
        <v>0</v>
      </c>
      <c r="K3418" s="14" t="n">
        <v>27665.12793154249</v>
      </c>
      <c r="L3418" s="14" t="n">
        <v>158200.9918376249</v>
      </c>
      <c r="M3418" s="14" t="n">
        <v>0</v>
      </c>
      <c r="N3418" s="14" t="n">
        <v>444877.5506716858</v>
      </c>
      <c r="O3418" s="14" t="n">
        <v>868029.6042235723</v>
      </c>
      <c r="P3418" s="14" t="n">
        <v>0</v>
      </c>
      <c r="Q3418" s="14" t="n">
        <v>7403828.296792964</v>
      </c>
      <c r="R3418" s="15">
        <f>IF(D3418=1,"Section 1","Control")</f>
        <v/>
      </c>
      <c r="S3418" s="16">
        <f>N3418/10000</f>
        <v/>
      </c>
      <c r="T3418" s="16">
        <f>P3418/10000</f>
        <v/>
      </c>
      <c r="U3418" s="15">
        <f>IF(N3418&gt;=Summary!$D$3,1,0)</f>
        <v/>
      </c>
      <c r="V3418" s="17">
        <f>IF(N3418&gt;0,P3418/N3418,"")</f>
        <v/>
      </c>
      <c r="W3418" s="17">
        <f>IF(O3418&gt;0,H3418/O3418,"")</f>
        <v/>
      </c>
    </row>
    <row r="3419">
      <c r="A3419" s="13" t="inlineStr">
        <is>
          <t>CW32_B1</t>
        </is>
      </c>
      <c r="B3419" s="13" t="inlineStr">
        <is>
          <t>CW32</t>
        </is>
      </c>
      <c r="C3419" s="13" t="inlineStr">
        <is>
          <t>B1</t>
        </is>
      </c>
      <c r="D3419" s="13" t="n">
        <v>0</v>
      </c>
      <c r="E3419" s="13" t="inlineStr">
        <is>
          <t>W</t>
        </is>
      </c>
      <c r="F3419" s="13" t="n">
        <v>2021</v>
      </c>
      <c r="G3419" s="14" t="n">
        <v>1026230.596061197</v>
      </c>
      <c r="H3419" s="14" t="n">
        <v>458746.2258174221</v>
      </c>
      <c r="I3419" s="14" t="n">
        <v>361368.6140014349</v>
      </c>
      <c r="J3419" s="14" t="n">
        <v>0</v>
      </c>
      <c r="K3419" s="14" t="n">
        <v>51721.48649920296</v>
      </c>
      <c r="L3419" s="14" t="n">
        <v>154394.2697431377</v>
      </c>
      <c r="M3419" s="14" t="n">
        <v>0</v>
      </c>
      <c r="N3419" s="14" t="n">
        <v>444877.5506716858</v>
      </c>
      <c r="O3419" s="14" t="n">
        <v>868029.6042235723</v>
      </c>
      <c r="P3419" s="14" t="n">
        <v>28312.06401184681</v>
      </c>
      <c r="Q3419" s="14" t="n">
        <v>7403828.296792964</v>
      </c>
      <c r="R3419" s="15">
        <f>IF(D3419=1,"Section 1","Control")</f>
        <v/>
      </c>
      <c r="S3419" s="16">
        <f>N3419/10000</f>
        <v/>
      </c>
      <c r="T3419" s="16">
        <f>P3419/10000</f>
        <v/>
      </c>
      <c r="U3419" s="15">
        <f>IF(N3419&gt;=Summary!$D$3,1,0)</f>
        <v/>
      </c>
      <c r="V3419" s="17">
        <f>IF(N3419&gt;0,P3419/N3419,"")</f>
        <v/>
      </c>
      <c r="W3419" s="17">
        <f>IF(O3419&gt;0,H3419/O3419,"")</f>
        <v/>
      </c>
    </row>
    <row r="3420">
      <c r="A3420" s="13" t="inlineStr">
        <is>
          <t>CW32_B1</t>
        </is>
      </c>
      <c r="B3420" s="13" t="inlineStr">
        <is>
          <t>CW32</t>
        </is>
      </c>
      <c r="C3420" s="13" t="inlineStr">
        <is>
          <t>B1</t>
        </is>
      </c>
      <c r="D3420" s="13" t="n">
        <v>0</v>
      </c>
      <c r="E3420" s="13" t="inlineStr">
        <is>
          <t>W</t>
        </is>
      </c>
      <c r="F3420" s="13" t="n">
        <v>2022</v>
      </c>
      <c r="G3420" s="14" t="n">
        <v>1026230.596061197</v>
      </c>
      <c r="H3420" s="14" t="n">
        <v>459142.5226971494</v>
      </c>
      <c r="I3420" s="14" t="n">
        <v>353526.2831733853</v>
      </c>
      <c r="J3420" s="14" t="n">
        <v>0</v>
      </c>
      <c r="K3420" s="14" t="n">
        <v>67852.88606070724</v>
      </c>
      <c r="L3420" s="14" t="n">
        <v>145708.9041299558</v>
      </c>
      <c r="M3420" s="14" t="n">
        <v>0</v>
      </c>
      <c r="N3420" s="14" t="n">
        <v>444877.5506716858</v>
      </c>
      <c r="O3420" s="14" t="n">
        <v>868029.6042235723</v>
      </c>
      <c r="P3420" s="14" t="n">
        <v>40571.80001370299</v>
      </c>
      <c r="Q3420" s="14" t="n">
        <v>7403828.296792965</v>
      </c>
      <c r="R3420" s="15">
        <f>IF(D3420=1,"Section 1","Control")</f>
        <v/>
      </c>
      <c r="S3420" s="16">
        <f>N3420/10000</f>
        <v/>
      </c>
      <c r="T3420" s="16">
        <f>P3420/10000</f>
        <v/>
      </c>
      <c r="U3420" s="15">
        <f>IF(N3420&gt;=Summary!$D$3,1,0)</f>
        <v/>
      </c>
      <c r="V3420" s="17">
        <f>IF(N3420&gt;0,P3420/N3420,"")</f>
        <v/>
      </c>
      <c r="W3420" s="17">
        <f>IF(O3420&gt;0,H3420/O3420,"")</f>
        <v/>
      </c>
    </row>
    <row r="3421">
      <c r="A3421" s="13" t="inlineStr">
        <is>
          <t>CW32_B1</t>
        </is>
      </c>
      <c r="B3421" s="13" t="inlineStr">
        <is>
          <t>CW32</t>
        </is>
      </c>
      <c r="C3421" s="13" t="inlineStr">
        <is>
          <t>B1</t>
        </is>
      </c>
      <c r="D3421" s="13" t="n">
        <v>0</v>
      </c>
      <c r="E3421" s="13" t="inlineStr">
        <is>
          <t>W</t>
        </is>
      </c>
      <c r="F3421" s="13" t="n">
        <v>2023</v>
      </c>
      <c r="G3421" s="14" t="n">
        <v>1026230.596061197</v>
      </c>
      <c r="H3421" s="14" t="n">
        <v>419666.5735409007</v>
      </c>
      <c r="I3421" s="14" t="n">
        <v>365613.4087162392</v>
      </c>
      <c r="J3421" s="14" t="n">
        <v>0</v>
      </c>
      <c r="K3421" s="14" t="n">
        <v>77551.51488052068</v>
      </c>
      <c r="L3421" s="14" t="n">
        <v>163399.0989235373</v>
      </c>
      <c r="M3421" s="14" t="n">
        <v>0</v>
      </c>
      <c r="N3421" s="14" t="n">
        <v>444877.5506716858</v>
      </c>
      <c r="O3421" s="14" t="n">
        <v>868029.6042235723</v>
      </c>
      <c r="P3421" s="14" t="n">
        <v>59761.81147218592</v>
      </c>
      <c r="Q3421" s="14" t="n">
        <v>7403828.296792965</v>
      </c>
      <c r="R3421" s="15">
        <f>IF(D3421=1,"Section 1","Control")</f>
        <v/>
      </c>
      <c r="S3421" s="16">
        <f>N3421/10000</f>
        <v/>
      </c>
      <c r="T3421" s="16">
        <f>P3421/10000</f>
        <v/>
      </c>
      <c r="U3421" s="15">
        <f>IF(N3421&gt;=Summary!$D$3,1,0)</f>
        <v/>
      </c>
      <c r="V3421" s="17">
        <f>IF(N3421&gt;0,P3421/N3421,"")</f>
        <v/>
      </c>
      <c r="W3421" s="17">
        <f>IF(O3421&gt;0,H3421/O3421,"")</f>
        <v/>
      </c>
    </row>
    <row r="3422">
      <c r="A3422" s="13" t="inlineStr">
        <is>
          <t>CW32_B1</t>
        </is>
      </c>
      <c r="B3422" s="13" t="inlineStr">
        <is>
          <t>CW32</t>
        </is>
      </c>
      <c r="C3422" s="13" t="inlineStr">
        <is>
          <t>B1</t>
        </is>
      </c>
      <c r="D3422" s="13" t="n">
        <v>0</v>
      </c>
      <c r="E3422" s="13" t="inlineStr">
        <is>
          <t>W</t>
        </is>
      </c>
      <c r="F3422" s="13" t="n">
        <v>2024</v>
      </c>
      <c r="G3422" s="14" t="n">
        <v>1026230.596061197</v>
      </c>
      <c r="H3422" s="14" t="n">
        <v>524419.8432065176</v>
      </c>
      <c r="I3422" s="14" t="n">
        <v>263024.7930999756</v>
      </c>
      <c r="J3422" s="14" t="n">
        <v>0</v>
      </c>
      <c r="K3422" s="14" t="n">
        <v>75583.91330985275</v>
      </c>
      <c r="L3422" s="14" t="n">
        <v>163202.0464448518</v>
      </c>
      <c r="M3422" s="14" t="n">
        <v>0</v>
      </c>
      <c r="N3422" s="14" t="n">
        <v>444877.5506716858</v>
      </c>
      <c r="O3422" s="14" t="n">
        <v>868029.6042235723</v>
      </c>
      <c r="P3422" s="14" t="n">
        <v>44743.20053875493</v>
      </c>
      <c r="Q3422" s="14" t="n">
        <v>7403828.296792965</v>
      </c>
      <c r="R3422" s="15">
        <f>IF(D3422=1,"Section 1","Control")</f>
        <v/>
      </c>
      <c r="S3422" s="16">
        <f>N3422/10000</f>
        <v/>
      </c>
      <c r="T3422" s="16">
        <f>P3422/10000</f>
        <v/>
      </c>
      <c r="U3422" s="15">
        <f>IF(N3422&gt;=Summary!$D$3,1,0)</f>
        <v/>
      </c>
      <c r="V3422" s="17">
        <f>IF(N3422&gt;0,P3422/N3422,"")</f>
        <v/>
      </c>
      <c r="W3422" s="17">
        <f>IF(O3422&gt;0,H3422/O3422,"")</f>
        <v/>
      </c>
    </row>
    <row r="3423">
      <c r="A3423" s="13" t="inlineStr">
        <is>
          <t>CW32_B1</t>
        </is>
      </c>
      <c r="B3423" s="13" t="inlineStr">
        <is>
          <t>CW32</t>
        </is>
      </c>
      <c r="C3423" s="13" t="inlineStr">
        <is>
          <t>B1</t>
        </is>
      </c>
      <c r="D3423" s="13" t="n">
        <v>0</v>
      </c>
      <c r="E3423" s="13" t="inlineStr">
        <is>
          <t>W</t>
        </is>
      </c>
      <c r="F3423" s="13" t="n">
        <v>2025</v>
      </c>
      <c r="G3423" s="14" t="n">
        <v>1026230.596061197</v>
      </c>
      <c r="H3423" s="14" t="n">
        <v>482935.9089065251</v>
      </c>
      <c r="I3423" s="14" t="n">
        <v>308824.0968643488</v>
      </c>
      <c r="J3423" s="14" t="n">
        <v>0</v>
      </c>
      <c r="K3423" s="14" t="n">
        <v>71755.18865823185</v>
      </c>
      <c r="L3423" s="14" t="n">
        <v>162715.4016320921</v>
      </c>
      <c r="M3423" s="14" t="n">
        <v>0</v>
      </c>
      <c r="N3423" s="14" t="n">
        <v>444877.5506716858</v>
      </c>
      <c r="O3423" s="14" t="n">
        <v>868029.6042235723</v>
      </c>
      <c r="P3423" s="14" t="n">
        <v>56697.80856430951</v>
      </c>
      <c r="Q3423" s="14" t="n">
        <v>7403828.296792965</v>
      </c>
      <c r="R3423" s="15">
        <f>IF(D3423=1,"Section 1","Control")</f>
        <v/>
      </c>
      <c r="S3423" s="16">
        <f>N3423/10000</f>
        <v/>
      </c>
      <c r="T3423" s="16">
        <f>P3423/10000</f>
        <v/>
      </c>
      <c r="U3423" s="15">
        <f>IF(N3423&gt;=Summary!$D$3,1,0)</f>
        <v/>
      </c>
      <c r="V3423" s="17">
        <f>IF(N3423&gt;0,P3423/N3423,"")</f>
        <v/>
      </c>
      <c r="W3423" s="17">
        <f>IF(O3423&gt;0,H3423/O3423,"")</f>
        <v/>
      </c>
    </row>
    <row r="3424">
      <c r="A3424" s="13" t="inlineStr">
        <is>
          <t>CW32_B1</t>
        </is>
      </c>
      <c r="B3424" s="13" t="inlineStr">
        <is>
          <t>CW32</t>
        </is>
      </c>
      <c r="C3424" s="13" t="inlineStr">
        <is>
          <t>B1</t>
        </is>
      </c>
      <c r="D3424" s="13" t="n">
        <v>0</v>
      </c>
      <c r="E3424" s="13" t="inlineStr">
        <is>
          <t>W</t>
        </is>
      </c>
      <c r="F3424" s="13" t="n">
        <v>2026</v>
      </c>
      <c r="G3424" s="14" t="n">
        <v>1026230.596061197</v>
      </c>
      <c r="H3424" s="14" t="n">
        <v>540951.3147261073</v>
      </c>
      <c r="I3424" s="14" t="n">
        <v>240365.5524410173</v>
      </c>
      <c r="J3424" s="14" t="n">
        <v>0</v>
      </c>
      <c r="K3424" s="14" t="n">
        <v>70302.93074882358</v>
      </c>
      <c r="L3424" s="14" t="n">
        <v>174610.7981452493</v>
      </c>
      <c r="M3424" s="14" t="n">
        <v>0</v>
      </c>
      <c r="N3424" s="14" t="n">
        <v>444877.5506716858</v>
      </c>
      <c r="O3424" s="14" t="n">
        <v>868029.6042235723</v>
      </c>
      <c r="P3424" s="14" t="n">
        <v>42690.79866327024</v>
      </c>
      <c r="Q3424" s="14" t="n">
        <v>7403828.296792965</v>
      </c>
      <c r="R3424" s="15">
        <f>IF(D3424=1,"Section 1","Control")</f>
        <v/>
      </c>
      <c r="S3424" s="16">
        <f>N3424/10000</f>
        <v/>
      </c>
      <c r="T3424" s="16">
        <f>P3424/10000</f>
        <v/>
      </c>
      <c r="U3424" s="15">
        <f>IF(N3424&gt;=Summary!$D$3,1,0)</f>
        <v/>
      </c>
      <c r="V3424" s="17">
        <f>IF(N3424&gt;0,P3424/N3424,"")</f>
        <v/>
      </c>
      <c r="W3424" s="17">
        <f>IF(O3424&gt;0,H3424/O3424,"")</f>
        <v/>
      </c>
    </row>
    <row r="3425">
      <c r="A3425" s="13" t="inlineStr">
        <is>
          <t>CW32_B2</t>
        </is>
      </c>
      <c r="B3425" s="13" t="inlineStr">
        <is>
          <t>CW32</t>
        </is>
      </c>
      <c r="C3425" s="13" t="inlineStr">
        <is>
          <t>B2</t>
        </is>
      </c>
      <c r="D3425" s="13" t="n">
        <v>0</v>
      </c>
      <c r="E3425" s="13" t="inlineStr">
        <is>
          <t>W</t>
        </is>
      </c>
      <c r="F3425" s="13" t="n">
        <v>2020</v>
      </c>
      <c r="G3425" s="14" t="n">
        <v>1026604.59040653</v>
      </c>
      <c r="H3425" s="14" t="n">
        <v>94414.2871246338</v>
      </c>
      <c r="I3425" s="14" t="n">
        <v>24651.14254575243</v>
      </c>
      <c r="J3425" s="14" t="n">
        <v>0</v>
      </c>
      <c r="K3425" s="14" t="n">
        <v>14375.38272172516</v>
      </c>
      <c r="L3425" s="14" t="n">
        <v>893163.7780144188</v>
      </c>
      <c r="M3425" s="14" t="n">
        <v>0</v>
      </c>
      <c r="N3425" s="14" t="n">
        <v>94414.2871246338</v>
      </c>
      <c r="O3425" s="14" t="n">
        <v>133440.8123921114</v>
      </c>
      <c r="P3425" s="14" t="n">
        <v>0</v>
      </c>
      <c r="Q3425" s="14" t="n">
        <v>893120.1395382154</v>
      </c>
      <c r="R3425" s="15">
        <f>IF(D3425=1,"Section 1","Control")</f>
        <v/>
      </c>
      <c r="S3425" s="16">
        <f>N3425/10000</f>
        <v/>
      </c>
      <c r="T3425" s="16">
        <f>P3425/10000</f>
        <v/>
      </c>
      <c r="U3425" s="15">
        <f>IF(N3425&gt;=Summary!$D$3,1,0)</f>
        <v/>
      </c>
      <c r="V3425" s="17">
        <f>IF(N3425&gt;0,P3425/N3425,"")</f>
        <v/>
      </c>
      <c r="W3425" s="17">
        <f>IF(O3425&gt;0,H3425/O3425,"")</f>
        <v/>
      </c>
    </row>
    <row r="3426">
      <c r="A3426" s="13" t="inlineStr">
        <is>
          <t>CW32_B2</t>
        </is>
      </c>
      <c r="B3426" s="13" t="inlineStr">
        <is>
          <t>CW32</t>
        </is>
      </c>
      <c r="C3426" s="13" t="inlineStr">
        <is>
          <t>B2</t>
        </is>
      </c>
      <c r="D3426" s="13" t="n">
        <v>0</v>
      </c>
      <c r="E3426" s="13" t="inlineStr">
        <is>
          <t>W</t>
        </is>
      </c>
      <c r="F3426" s="13" t="n">
        <v>2021</v>
      </c>
      <c r="G3426" s="14" t="n">
        <v>1026604.59040653</v>
      </c>
      <c r="H3426" s="14" t="n">
        <v>97904.19312235517</v>
      </c>
      <c r="I3426" s="14" t="n">
        <v>13143.06607722862</v>
      </c>
      <c r="J3426" s="14" t="n">
        <v>0</v>
      </c>
      <c r="K3426" s="14" t="n">
        <v>21019.4996506934</v>
      </c>
      <c r="L3426" s="14" t="n">
        <v>894537.8315562531</v>
      </c>
      <c r="M3426" s="14" t="n">
        <v>0</v>
      </c>
      <c r="N3426" s="14" t="n">
        <v>94414.2871246338</v>
      </c>
      <c r="O3426" s="14" t="n">
        <v>133440.8123921114</v>
      </c>
      <c r="P3426" s="14" t="n">
        <v>8190.84830420999</v>
      </c>
      <c r="Q3426" s="14" t="n">
        <v>893120.1395382154</v>
      </c>
      <c r="R3426" s="15">
        <f>IF(D3426=1,"Section 1","Control")</f>
        <v/>
      </c>
      <c r="S3426" s="16">
        <f>N3426/10000</f>
        <v/>
      </c>
      <c r="T3426" s="16">
        <f>P3426/10000</f>
        <v/>
      </c>
      <c r="U3426" s="15">
        <f>IF(N3426&gt;=Summary!$D$3,1,0)</f>
        <v/>
      </c>
      <c r="V3426" s="17">
        <f>IF(N3426&gt;0,P3426/N3426,"")</f>
        <v/>
      </c>
      <c r="W3426" s="17">
        <f>IF(O3426&gt;0,H3426/O3426,"")</f>
        <v/>
      </c>
    </row>
    <row r="3427">
      <c r="A3427" s="13" t="inlineStr">
        <is>
          <t>CW32_B2</t>
        </is>
      </c>
      <c r="B3427" s="13" t="inlineStr">
        <is>
          <t>CW32</t>
        </is>
      </c>
      <c r="C3427" s="13" t="inlineStr">
        <is>
          <t>B2</t>
        </is>
      </c>
      <c r="D3427" s="13" t="n">
        <v>0</v>
      </c>
      <c r="E3427" s="13" t="inlineStr">
        <is>
          <t>W</t>
        </is>
      </c>
      <c r="F3427" s="13" t="n">
        <v>2022</v>
      </c>
      <c r="G3427" s="14" t="n">
        <v>1026604.59040653</v>
      </c>
      <c r="H3427" s="14" t="n">
        <v>94058.87564463896</v>
      </c>
      <c r="I3427" s="14" t="n">
        <v>17013.16404215495</v>
      </c>
      <c r="J3427" s="14" t="n">
        <v>0</v>
      </c>
      <c r="K3427" s="14" t="n">
        <v>22428.77173297358</v>
      </c>
      <c r="L3427" s="14" t="n">
        <v>893103.7789867629</v>
      </c>
      <c r="M3427" s="14" t="n">
        <v>0</v>
      </c>
      <c r="N3427" s="14" t="n">
        <v>94414.2871246338</v>
      </c>
      <c r="O3427" s="14" t="n">
        <v>133440.8123921114</v>
      </c>
      <c r="P3427" s="14" t="n">
        <v>8585.754958567899</v>
      </c>
      <c r="Q3427" s="14" t="n">
        <v>893120.1395382154</v>
      </c>
      <c r="R3427" s="15">
        <f>IF(D3427=1,"Section 1","Control")</f>
        <v/>
      </c>
      <c r="S3427" s="16">
        <f>N3427/10000</f>
        <v/>
      </c>
      <c r="T3427" s="16">
        <f>P3427/10000</f>
        <v/>
      </c>
      <c r="U3427" s="15">
        <f>IF(N3427&gt;=Summary!$D$3,1,0)</f>
        <v/>
      </c>
      <c r="V3427" s="17">
        <f>IF(N3427&gt;0,P3427/N3427,"")</f>
        <v/>
      </c>
      <c r="W3427" s="17">
        <f>IF(O3427&gt;0,H3427/O3427,"")</f>
        <v/>
      </c>
    </row>
    <row r="3428">
      <c r="A3428" s="13" t="inlineStr">
        <is>
          <t>CW32_B2</t>
        </is>
      </c>
      <c r="B3428" s="13" t="inlineStr">
        <is>
          <t>CW32</t>
        </is>
      </c>
      <c r="C3428" s="13" t="inlineStr">
        <is>
          <t>B2</t>
        </is>
      </c>
      <c r="D3428" s="13" t="n">
        <v>0</v>
      </c>
      <c r="E3428" s="13" t="inlineStr">
        <is>
          <t>W</t>
        </is>
      </c>
      <c r="F3428" s="13" t="n">
        <v>2023</v>
      </c>
      <c r="G3428" s="14" t="n">
        <v>1026604.59040653</v>
      </c>
      <c r="H3428" s="14" t="n">
        <v>87487.5341262219</v>
      </c>
      <c r="I3428" s="14" t="n">
        <v>23445.90214762968</v>
      </c>
      <c r="J3428" s="14" t="n">
        <v>0</v>
      </c>
      <c r="K3428" s="14" t="n">
        <v>18238.50641108494</v>
      </c>
      <c r="L3428" s="14" t="n">
        <v>897432.6477215937</v>
      </c>
      <c r="M3428" s="14" t="n">
        <v>0</v>
      </c>
      <c r="N3428" s="14" t="n">
        <v>94414.2871246338</v>
      </c>
      <c r="O3428" s="14" t="n">
        <v>133440.8123921114</v>
      </c>
      <c r="P3428" s="14" t="n">
        <v>11529.75369890998</v>
      </c>
      <c r="Q3428" s="14" t="n">
        <v>893120.1395382154</v>
      </c>
      <c r="R3428" s="15">
        <f>IF(D3428=1,"Section 1","Control")</f>
        <v/>
      </c>
      <c r="S3428" s="16">
        <f>N3428/10000</f>
        <v/>
      </c>
      <c r="T3428" s="16">
        <f>P3428/10000</f>
        <v/>
      </c>
      <c r="U3428" s="15">
        <f>IF(N3428&gt;=Summary!$D$3,1,0)</f>
        <v/>
      </c>
      <c r="V3428" s="17">
        <f>IF(N3428&gt;0,P3428/N3428,"")</f>
        <v/>
      </c>
      <c r="W3428" s="17">
        <f>IF(O3428&gt;0,H3428/O3428,"")</f>
        <v/>
      </c>
    </row>
    <row r="3429">
      <c r="A3429" s="13" t="inlineStr">
        <is>
          <t>CW32_B2</t>
        </is>
      </c>
      <c r="B3429" s="13" t="inlineStr">
        <is>
          <t>CW32</t>
        </is>
      </c>
      <c r="C3429" s="13" t="inlineStr">
        <is>
          <t>B2</t>
        </is>
      </c>
      <c r="D3429" s="13" t="n">
        <v>0</v>
      </c>
      <c r="E3429" s="13" t="inlineStr">
        <is>
          <t>W</t>
        </is>
      </c>
      <c r="F3429" s="13" t="n">
        <v>2024</v>
      </c>
      <c r="G3429" s="14" t="n">
        <v>1026604.59040653</v>
      </c>
      <c r="H3429" s="14" t="n">
        <v>108066.0855944166</v>
      </c>
      <c r="I3429" s="14" t="n">
        <v>5706.801318658566</v>
      </c>
      <c r="J3429" s="14" t="n">
        <v>0</v>
      </c>
      <c r="K3429" s="14" t="n">
        <v>19935.43949204987</v>
      </c>
      <c r="L3429" s="14" t="n">
        <v>892896.2640014052</v>
      </c>
      <c r="M3429" s="14" t="n">
        <v>0</v>
      </c>
      <c r="N3429" s="14" t="n">
        <v>94414.2871246338</v>
      </c>
      <c r="O3429" s="14" t="n">
        <v>133440.8123921114</v>
      </c>
      <c r="P3429" s="14" t="n">
        <v>6848.544208302217</v>
      </c>
      <c r="Q3429" s="14" t="n">
        <v>893120.1395382154</v>
      </c>
      <c r="R3429" s="15">
        <f>IF(D3429=1,"Section 1","Control")</f>
        <v/>
      </c>
      <c r="S3429" s="16">
        <f>N3429/10000</f>
        <v/>
      </c>
      <c r="T3429" s="16">
        <f>P3429/10000</f>
        <v/>
      </c>
      <c r="U3429" s="15">
        <f>IF(N3429&gt;=Summary!$D$3,1,0)</f>
        <v/>
      </c>
      <c r="V3429" s="17">
        <f>IF(N3429&gt;0,P3429/N3429,"")</f>
        <v/>
      </c>
      <c r="W3429" s="17">
        <f>IF(O3429&gt;0,H3429/O3429,"")</f>
        <v/>
      </c>
    </row>
    <row r="3430">
      <c r="A3430" s="13" t="inlineStr">
        <is>
          <t>CW32_B2</t>
        </is>
      </c>
      <c r="B3430" s="13" t="inlineStr">
        <is>
          <t>CW32</t>
        </is>
      </c>
      <c r="C3430" s="13" t="inlineStr">
        <is>
          <t>B2</t>
        </is>
      </c>
      <c r="D3430" s="13" t="n">
        <v>0</v>
      </c>
      <c r="E3430" s="13" t="inlineStr">
        <is>
          <t>W</t>
        </is>
      </c>
      <c r="F3430" s="13" t="n">
        <v>2025</v>
      </c>
      <c r="G3430" s="14" t="n">
        <v>1026604.59040653</v>
      </c>
      <c r="H3430" s="14" t="n">
        <v>105809.7036003562</v>
      </c>
      <c r="I3430" s="14" t="n">
        <v>5913.547431796204</v>
      </c>
      <c r="J3430" s="14" t="n">
        <v>0</v>
      </c>
      <c r="K3430" s="14" t="n">
        <v>20607.17246084774</v>
      </c>
      <c r="L3430" s="14" t="n">
        <v>894274.1669135302</v>
      </c>
      <c r="M3430" s="14" t="n">
        <v>0</v>
      </c>
      <c r="N3430" s="14" t="n">
        <v>94414.2871246338</v>
      </c>
      <c r="O3430" s="14" t="n">
        <v>133440.8123921114</v>
      </c>
      <c r="P3430" s="14" t="n">
        <v>6691.743449940401</v>
      </c>
      <c r="Q3430" s="14" t="n">
        <v>893120.1395382154</v>
      </c>
      <c r="R3430" s="15">
        <f>IF(D3430=1,"Section 1","Control")</f>
        <v/>
      </c>
      <c r="S3430" s="16">
        <f>N3430/10000</f>
        <v/>
      </c>
      <c r="T3430" s="16">
        <f>P3430/10000</f>
        <v/>
      </c>
      <c r="U3430" s="15">
        <f>IF(N3430&gt;=Summary!$D$3,1,0)</f>
        <v/>
      </c>
      <c r="V3430" s="17">
        <f>IF(N3430&gt;0,P3430/N3430,"")</f>
        <v/>
      </c>
      <c r="W3430" s="17">
        <f>IF(O3430&gt;0,H3430/O3430,"")</f>
        <v/>
      </c>
    </row>
    <row r="3431">
      <c r="A3431" s="13" t="inlineStr">
        <is>
          <t>CW32_B2</t>
        </is>
      </c>
      <c r="B3431" s="13" t="inlineStr">
        <is>
          <t>CW32</t>
        </is>
      </c>
      <c r="C3431" s="13" t="inlineStr">
        <is>
          <t>B2</t>
        </is>
      </c>
      <c r="D3431" s="13" t="n">
        <v>0</v>
      </c>
      <c r="E3431" s="13" t="inlineStr">
        <is>
          <t>W</t>
        </is>
      </c>
      <c r="F3431" s="13" t="n">
        <v>2026</v>
      </c>
      <c r="G3431" s="14" t="n">
        <v>1026604.59040653</v>
      </c>
      <c r="H3431" s="14" t="n">
        <v>97228.19433910894</v>
      </c>
      <c r="I3431" s="14" t="n">
        <v>15986.4018114277</v>
      </c>
      <c r="J3431" s="14" t="n">
        <v>0</v>
      </c>
      <c r="K3431" s="14" t="n">
        <v>16316.62116567574</v>
      </c>
      <c r="L3431" s="14" t="n">
        <v>897073.3730903178</v>
      </c>
      <c r="M3431" s="14" t="n">
        <v>0</v>
      </c>
      <c r="N3431" s="14" t="n">
        <v>94414.2871246338</v>
      </c>
      <c r="O3431" s="14" t="n">
        <v>133440.8123921114</v>
      </c>
      <c r="P3431" s="14" t="n">
        <v>8526.904552235321</v>
      </c>
      <c r="Q3431" s="14" t="n">
        <v>893120.1395382154</v>
      </c>
      <c r="R3431" s="15">
        <f>IF(D3431=1,"Section 1","Control")</f>
        <v/>
      </c>
      <c r="S3431" s="16">
        <f>N3431/10000</f>
        <v/>
      </c>
      <c r="T3431" s="16">
        <f>P3431/10000</f>
        <v/>
      </c>
      <c r="U3431" s="15">
        <f>IF(N3431&gt;=Summary!$D$3,1,0)</f>
        <v/>
      </c>
      <c r="V3431" s="17">
        <f>IF(N3431&gt;0,P3431/N3431,"")</f>
        <v/>
      </c>
      <c r="W3431" s="17">
        <f>IF(O3431&gt;0,H3431/O3431,"")</f>
        <v/>
      </c>
    </row>
    <row r="3432">
      <c r="A3432" s="13" t="inlineStr">
        <is>
          <t>CW32_B3</t>
        </is>
      </c>
      <c r="B3432" s="13" t="inlineStr">
        <is>
          <t>CW32</t>
        </is>
      </c>
      <c r="C3432" s="13" t="inlineStr">
        <is>
          <t>B3</t>
        </is>
      </c>
      <c r="D3432" s="13" t="n">
        <v>0</v>
      </c>
      <c r="E3432" s="13" t="inlineStr">
        <is>
          <t>W</t>
        </is>
      </c>
      <c r="F3432" s="13" t="n">
        <v>2020</v>
      </c>
      <c r="G3432" s="14" t="n">
        <v>8212022.338923407</v>
      </c>
      <c r="H3432" s="14" t="n">
        <v>2331282.337470171</v>
      </c>
      <c r="I3432" s="14" t="n">
        <v>499894.8578960943</v>
      </c>
      <c r="J3432" s="14" t="n">
        <v>0</v>
      </c>
      <c r="K3432" s="14" t="n">
        <v>1025468.253459137</v>
      </c>
      <c r="L3432" s="14" t="n">
        <v>4355376.890098003</v>
      </c>
      <c r="M3432" s="14" t="n">
        <v>0</v>
      </c>
      <c r="N3432" s="14" t="n">
        <v>2331282.337470171</v>
      </c>
      <c r="O3432" s="14" t="n">
        <v>3856645.448825402</v>
      </c>
      <c r="P3432" s="14" t="n">
        <v>0</v>
      </c>
      <c r="Q3432" s="14" t="n">
        <v>30542620.07744347</v>
      </c>
      <c r="R3432" s="15">
        <f>IF(D3432=1,"Section 1","Control")</f>
        <v/>
      </c>
      <c r="S3432" s="16">
        <f>N3432/10000</f>
        <v/>
      </c>
      <c r="T3432" s="16">
        <f>P3432/10000</f>
        <v/>
      </c>
      <c r="U3432" s="15">
        <f>IF(N3432&gt;=Summary!$D$3,1,0)</f>
        <v/>
      </c>
      <c r="V3432" s="17">
        <f>IF(N3432&gt;0,P3432/N3432,"")</f>
        <v/>
      </c>
      <c r="W3432" s="17">
        <f>IF(O3432&gt;0,H3432/O3432,"")</f>
        <v/>
      </c>
    </row>
    <row r="3433">
      <c r="A3433" s="13" t="inlineStr">
        <is>
          <t>CW32_B3</t>
        </is>
      </c>
      <c r="B3433" s="13" t="inlineStr">
        <is>
          <t>CW32</t>
        </is>
      </c>
      <c r="C3433" s="13" t="inlineStr">
        <is>
          <t>B3</t>
        </is>
      </c>
      <c r="D3433" s="13" t="n">
        <v>0</v>
      </c>
      <c r="E3433" s="13" t="inlineStr">
        <is>
          <t>W</t>
        </is>
      </c>
      <c r="F3433" s="13" t="n">
        <v>2021</v>
      </c>
      <c r="G3433" s="14" t="n">
        <v>8212022.338923409</v>
      </c>
      <c r="H3433" s="14" t="n">
        <v>2268097.669815752</v>
      </c>
      <c r="I3433" s="14" t="n">
        <v>161758.531856851</v>
      </c>
      <c r="J3433" s="14" t="n">
        <v>0</v>
      </c>
      <c r="K3433" s="14" t="n">
        <v>1457999.366437127</v>
      </c>
      <c r="L3433" s="14" t="n">
        <v>4324166.770813677</v>
      </c>
      <c r="M3433" s="14" t="n">
        <v>0</v>
      </c>
      <c r="N3433" s="14" t="n">
        <v>2331282.337470171</v>
      </c>
      <c r="O3433" s="14" t="n">
        <v>3856645.448825402</v>
      </c>
      <c r="P3433" s="14" t="n">
        <v>184710.0041197235</v>
      </c>
      <c r="Q3433" s="14" t="n">
        <v>30542620.07744347</v>
      </c>
      <c r="R3433" s="15">
        <f>IF(D3433=1,"Section 1","Control")</f>
        <v/>
      </c>
      <c r="S3433" s="16">
        <f>N3433/10000</f>
        <v/>
      </c>
      <c r="T3433" s="16">
        <f>P3433/10000</f>
        <v/>
      </c>
      <c r="U3433" s="15">
        <f>IF(N3433&gt;=Summary!$D$3,1,0)</f>
        <v/>
      </c>
      <c r="V3433" s="17">
        <f>IF(N3433&gt;0,P3433/N3433,"")</f>
        <v/>
      </c>
      <c r="W3433" s="17">
        <f>IF(O3433&gt;0,H3433/O3433,"")</f>
        <v/>
      </c>
    </row>
    <row r="3434">
      <c r="A3434" s="13" t="inlineStr">
        <is>
          <t>CW32_B3</t>
        </is>
      </c>
      <c r="B3434" s="13" t="inlineStr">
        <is>
          <t>CW32</t>
        </is>
      </c>
      <c r="C3434" s="13" t="inlineStr">
        <is>
          <t>B3</t>
        </is>
      </c>
      <c r="D3434" s="13" t="n">
        <v>0</v>
      </c>
      <c r="E3434" s="13" t="inlineStr">
        <is>
          <t>W</t>
        </is>
      </c>
      <c r="F3434" s="13" t="n">
        <v>2022</v>
      </c>
      <c r="G3434" s="14" t="n">
        <v>8212022.338923408</v>
      </c>
      <c r="H3434" s="14" t="n">
        <v>2070144.520180227</v>
      </c>
      <c r="I3434" s="14" t="n">
        <v>394858.6661575916</v>
      </c>
      <c r="J3434" s="14" t="n">
        <v>0</v>
      </c>
      <c r="K3434" s="14" t="n">
        <v>1442108.177600158</v>
      </c>
      <c r="L3434" s="14" t="n">
        <v>4304910.974985429</v>
      </c>
      <c r="M3434" s="14" t="n">
        <v>0</v>
      </c>
      <c r="N3434" s="14" t="n">
        <v>2331282.33747017</v>
      </c>
      <c r="O3434" s="14" t="n">
        <v>3856645.448825402</v>
      </c>
      <c r="P3434" s="14" t="n">
        <v>312904.2017370486</v>
      </c>
      <c r="Q3434" s="14" t="n">
        <v>30542620.07744347</v>
      </c>
      <c r="R3434" s="15">
        <f>IF(D3434=1,"Section 1","Control")</f>
        <v/>
      </c>
      <c r="S3434" s="16">
        <f>N3434/10000</f>
        <v/>
      </c>
      <c r="T3434" s="16">
        <f>P3434/10000</f>
        <v/>
      </c>
      <c r="U3434" s="15">
        <f>IF(N3434&gt;=Summary!$D$3,1,0)</f>
        <v/>
      </c>
      <c r="V3434" s="17">
        <f>IF(N3434&gt;0,P3434/N3434,"")</f>
        <v/>
      </c>
      <c r="W3434" s="17">
        <f>IF(O3434&gt;0,H3434/O3434,"")</f>
        <v/>
      </c>
    </row>
    <row r="3435">
      <c r="A3435" s="13" t="inlineStr">
        <is>
          <t>CW32_B3</t>
        </is>
      </c>
      <c r="B3435" s="13" t="inlineStr">
        <is>
          <t>CW32</t>
        </is>
      </c>
      <c r="C3435" s="13" t="inlineStr">
        <is>
          <t>B3</t>
        </is>
      </c>
      <c r="D3435" s="13" t="n">
        <v>0</v>
      </c>
      <c r="E3435" s="13" t="inlineStr">
        <is>
          <t>W</t>
        </is>
      </c>
      <c r="F3435" s="13" t="n">
        <v>2023</v>
      </c>
      <c r="G3435" s="14" t="n">
        <v>8212022.338923407</v>
      </c>
      <c r="H3435" s="14" t="n">
        <v>2137873.213927655</v>
      </c>
      <c r="I3435" s="14" t="n">
        <v>340029.3343500175</v>
      </c>
      <c r="J3435" s="14" t="n">
        <v>0</v>
      </c>
      <c r="K3435" s="14" t="n">
        <v>1379125.41454378</v>
      </c>
      <c r="L3435" s="14" t="n">
        <v>4354994.376101954</v>
      </c>
      <c r="M3435" s="14" t="n">
        <v>0</v>
      </c>
      <c r="N3435" s="14" t="n">
        <v>2331282.33747017</v>
      </c>
      <c r="O3435" s="14" t="n">
        <v>3856645.448825402</v>
      </c>
      <c r="P3435" s="14" t="n">
        <v>291675.0053940418</v>
      </c>
      <c r="Q3435" s="14" t="n">
        <v>30542620.07744347</v>
      </c>
      <c r="R3435" s="15">
        <f>IF(D3435=1,"Section 1","Control")</f>
        <v/>
      </c>
      <c r="S3435" s="16">
        <f>N3435/10000</f>
        <v/>
      </c>
      <c r="T3435" s="16">
        <f>P3435/10000</f>
        <v/>
      </c>
      <c r="U3435" s="15">
        <f>IF(N3435&gt;=Summary!$D$3,1,0)</f>
        <v/>
      </c>
      <c r="V3435" s="17">
        <f>IF(N3435&gt;0,P3435/N3435,"")</f>
        <v/>
      </c>
      <c r="W3435" s="17">
        <f>IF(O3435&gt;0,H3435/O3435,"")</f>
        <v/>
      </c>
    </row>
    <row r="3436">
      <c r="A3436" s="13" t="inlineStr">
        <is>
          <t>CW32_B3</t>
        </is>
      </c>
      <c r="B3436" s="13" t="inlineStr">
        <is>
          <t>CW32</t>
        </is>
      </c>
      <c r="C3436" s="13" t="inlineStr">
        <is>
          <t>B3</t>
        </is>
      </c>
      <c r="D3436" s="13" t="n">
        <v>0</v>
      </c>
      <c r="E3436" s="13" t="inlineStr">
        <is>
          <t>W</t>
        </is>
      </c>
      <c r="F3436" s="13" t="n">
        <v>2024</v>
      </c>
      <c r="G3436" s="14" t="n">
        <v>8212022.338923408</v>
      </c>
      <c r="H3436" s="14" t="n">
        <v>2224130.64095462</v>
      </c>
      <c r="I3436" s="14" t="n">
        <v>272175.3798091814</v>
      </c>
      <c r="J3436" s="14" t="n">
        <v>0</v>
      </c>
      <c r="K3436" s="14" t="n">
        <v>1390314.903719794</v>
      </c>
      <c r="L3436" s="14" t="n">
        <v>4325401.41443981</v>
      </c>
      <c r="M3436" s="14" t="n">
        <v>0</v>
      </c>
      <c r="N3436" s="14" t="n">
        <v>2331282.33747017</v>
      </c>
      <c r="O3436" s="14" t="n">
        <v>3856645.448825402</v>
      </c>
      <c r="P3436" s="14" t="n">
        <v>285948.9220963123</v>
      </c>
      <c r="Q3436" s="14" t="n">
        <v>30542620.07744347</v>
      </c>
      <c r="R3436" s="15">
        <f>IF(D3436=1,"Section 1","Control")</f>
        <v/>
      </c>
      <c r="S3436" s="16">
        <f>N3436/10000</f>
        <v/>
      </c>
      <c r="T3436" s="16">
        <f>P3436/10000</f>
        <v/>
      </c>
      <c r="U3436" s="15">
        <f>IF(N3436&gt;=Summary!$D$3,1,0)</f>
        <v/>
      </c>
      <c r="V3436" s="17">
        <f>IF(N3436&gt;0,P3436/N3436,"")</f>
        <v/>
      </c>
      <c r="W3436" s="17">
        <f>IF(O3436&gt;0,H3436/O3436,"")</f>
        <v/>
      </c>
    </row>
    <row r="3437">
      <c r="A3437" s="13" t="inlineStr">
        <is>
          <t>CW32_B3</t>
        </is>
      </c>
      <c r="B3437" s="13" t="inlineStr">
        <is>
          <t>CW32</t>
        </is>
      </c>
      <c r="C3437" s="13" t="inlineStr">
        <is>
          <t>B3</t>
        </is>
      </c>
      <c r="D3437" s="13" t="n">
        <v>0</v>
      </c>
      <c r="E3437" s="13" t="inlineStr">
        <is>
          <t>W</t>
        </is>
      </c>
      <c r="F3437" s="13" t="n">
        <v>2025</v>
      </c>
      <c r="G3437" s="14" t="n">
        <v>8212022.338923409</v>
      </c>
      <c r="H3437" s="14" t="n">
        <v>2199977.647898446</v>
      </c>
      <c r="I3437" s="14" t="n">
        <v>274065.2307104373</v>
      </c>
      <c r="J3437" s="14" t="n">
        <v>0</v>
      </c>
      <c r="K3437" s="14" t="n">
        <v>1385872.915290294</v>
      </c>
      <c r="L3437" s="14" t="n">
        <v>4352106.545024228</v>
      </c>
      <c r="M3437" s="14" t="n">
        <v>0</v>
      </c>
      <c r="N3437" s="14" t="n">
        <v>2331282.33747017</v>
      </c>
      <c r="O3437" s="14" t="n">
        <v>3856645.448825402</v>
      </c>
      <c r="P3437" s="14" t="n">
        <v>308206.6092619354</v>
      </c>
      <c r="Q3437" s="14" t="n">
        <v>30542620.07744347</v>
      </c>
      <c r="R3437" s="15">
        <f>IF(D3437=1,"Section 1","Control")</f>
        <v/>
      </c>
      <c r="S3437" s="16">
        <f>N3437/10000</f>
        <v/>
      </c>
      <c r="T3437" s="16">
        <f>P3437/10000</f>
        <v/>
      </c>
      <c r="U3437" s="15">
        <f>IF(N3437&gt;=Summary!$D$3,1,0)</f>
        <v/>
      </c>
      <c r="V3437" s="17">
        <f>IF(N3437&gt;0,P3437/N3437,"")</f>
        <v/>
      </c>
      <c r="W3437" s="17">
        <f>IF(O3437&gt;0,H3437/O3437,"")</f>
        <v/>
      </c>
    </row>
    <row r="3438">
      <c r="A3438" s="13" t="inlineStr">
        <is>
          <t>CW32_B3</t>
        </is>
      </c>
      <c r="B3438" s="13" t="inlineStr">
        <is>
          <t>CW32</t>
        </is>
      </c>
      <c r="C3438" s="13" t="inlineStr">
        <is>
          <t>B3</t>
        </is>
      </c>
      <c r="D3438" s="13" t="n">
        <v>0</v>
      </c>
      <c r="E3438" s="13" t="inlineStr">
        <is>
          <t>W</t>
        </is>
      </c>
      <c r="F3438" s="13" t="n">
        <v>2026</v>
      </c>
      <c r="G3438" s="14" t="n">
        <v>8212022.338923407</v>
      </c>
      <c r="H3438" s="14" t="n">
        <v>2167041.292325338</v>
      </c>
      <c r="I3438" s="14" t="n">
        <v>263237.4670510685</v>
      </c>
      <c r="J3438" s="14" t="n">
        <v>0</v>
      </c>
      <c r="K3438" s="14" t="n">
        <v>1427896.748813016</v>
      </c>
      <c r="L3438" s="14" t="n">
        <v>4353846.830733983</v>
      </c>
      <c r="M3438" s="14" t="n">
        <v>0</v>
      </c>
      <c r="N3438" s="14" t="n">
        <v>2331282.337470171</v>
      </c>
      <c r="O3438" s="14" t="n">
        <v>3856645.448825402</v>
      </c>
      <c r="P3438" s="14" t="n">
        <v>333012.7902756336</v>
      </c>
      <c r="Q3438" s="14" t="n">
        <v>30542620.07744347</v>
      </c>
      <c r="R3438" s="15">
        <f>IF(D3438=1,"Section 1","Control")</f>
        <v/>
      </c>
      <c r="S3438" s="16">
        <f>N3438/10000</f>
        <v/>
      </c>
      <c r="T3438" s="16">
        <f>P3438/10000</f>
        <v/>
      </c>
      <c r="U3438" s="15">
        <f>IF(N3438&gt;=Summary!$D$3,1,0)</f>
        <v/>
      </c>
      <c r="V3438" s="17">
        <f>IF(N3438&gt;0,P3438/N3438,"")</f>
        <v/>
      </c>
      <c r="W3438" s="17">
        <f>IF(O3438&gt;0,H3438/O3438,"")</f>
        <v/>
      </c>
    </row>
    <row r="3439">
      <c r="A3439" s="13" t="inlineStr">
        <is>
          <t>CW32_F</t>
        </is>
      </c>
      <c r="B3439" s="13" t="inlineStr">
        <is>
          <t>CW32</t>
        </is>
      </c>
      <c r="C3439" s="13" t="inlineStr">
        <is>
          <t>F</t>
        </is>
      </c>
      <c r="D3439" s="13" t="n">
        <v>0</v>
      </c>
      <c r="E3439" s="13" t="inlineStr">
        <is>
          <t>W</t>
        </is>
      </c>
      <c r="F3439" s="13" t="n">
        <v>2020</v>
      </c>
      <c r="G3439" s="14" t="n">
        <v>71318.80271744072</v>
      </c>
      <c r="H3439" s="14" t="n">
        <v>7204.43548631855</v>
      </c>
      <c r="I3439" s="14" t="n">
        <v>63381.45681792616</v>
      </c>
      <c r="J3439" s="14" t="n">
        <v>0</v>
      </c>
      <c r="K3439" s="14" t="n">
        <v>732.9104131960402</v>
      </c>
      <c r="L3439" s="14" t="n">
        <v>0</v>
      </c>
      <c r="M3439" s="14" t="n">
        <v>0</v>
      </c>
      <c r="N3439" s="14" t="n">
        <v>7204.43548631855</v>
      </c>
      <c r="O3439" s="14" t="n">
        <v>71318.80271744072</v>
      </c>
      <c r="P3439" s="14" t="n">
        <v>0</v>
      </c>
      <c r="Q3439" s="14" t="n">
        <v>625669.7058874985</v>
      </c>
      <c r="R3439" s="15">
        <f>IF(D3439=1,"Section 1","Control")</f>
        <v/>
      </c>
      <c r="S3439" s="16">
        <f>N3439/10000</f>
        <v/>
      </c>
      <c r="T3439" s="16">
        <f>P3439/10000</f>
        <v/>
      </c>
      <c r="U3439" s="15">
        <f>IF(N3439&gt;=Summary!$D$3,1,0)</f>
        <v/>
      </c>
      <c r="V3439" s="17">
        <f>IF(N3439&gt;0,P3439/N3439,"")</f>
        <v/>
      </c>
      <c r="W3439" s="17">
        <f>IF(O3439&gt;0,H3439/O3439,"")</f>
        <v/>
      </c>
    </row>
    <row r="3440">
      <c r="A3440" s="13" t="inlineStr">
        <is>
          <t>CW32_F</t>
        </is>
      </c>
      <c r="B3440" s="13" t="inlineStr">
        <is>
          <t>CW32</t>
        </is>
      </c>
      <c r="C3440" s="13" t="inlineStr">
        <is>
          <t>F</t>
        </is>
      </c>
      <c r="D3440" s="13" t="n">
        <v>0</v>
      </c>
      <c r="E3440" s="13" t="inlineStr">
        <is>
          <t>W</t>
        </is>
      </c>
      <c r="F3440" s="13" t="n">
        <v>2021</v>
      </c>
      <c r="G3440" s="14" t="n">
        <v>71318.80271744072</v>
      </c>
      <c r="H3440" s="14" t="n">
        <v>10177.50427108465</v>
      </c>
      <c r="I3440" s="14" t="n">
        <v>58108.21815508675</v>
      </c>
      <c r="J3440" s="14" t="n">
        <v>0</v>
      </c>
      <c r="K3440" s="14" t="n">
        <v>3033.08029126934</v>
      </c>
      <c r="L3440" s="14" t="n">
        <v>0</v>
      </c>
      <c r="M3440" s="14" t="n">
        <v>0</v>
      </c>
      <c r="N3440" s="14" t="n">
        <v>7204.43548631855</v>
      </c>
      <c r="O3440" s="14" t="n">
        <v>71318.80271744072</v>
      </c>
      <c r="P3440" s="14" t="n">
        <v>111.117456443637</v>
      </c>
      <c r="Q3440" s="14" t="n">
        <v>625669.7058874985</v>
      </c>
      <c r="R3440" s="15">
        <f>IF(D3440=1,"Section 1","Control")</f>
        <v/>
      </c>
      <c r="S3440" s="16">
        <f>N3440/10000</f>
        <v/>
      </c>
      <c r="T3440" s="16">
        <f>P3440/10000</f>
        <v/>
      </c>
      <c r="U3440" s="15">
        <f>IF(N3440&gt;=Summary!$D$3,1,0)</f>
        <v/>
      </c>
      <c r="V3440" s="17">
        <f>IF(N3440&gt;0,P3440/N3440,"")</f>
        <v/>
      </c>
      <c r="W3440" s="17">
        <f>IF(O3440&gt;0,H3440/O3440,"")</f>
        <v/>
      </c>
    </row>
    <row r="3441">
      <c r="A3441" s="13" t="inlineStr">
        <is>
          <t>CW32_F</t>
        </is>
      </c>
      <c r="B3441" s="13" t="inlineStr">
        <is>
          <t>CW32</t>
        </is>
      </c>
      <c r="C3441" s="13" t="inlineStr">
        <is>
          <t>F</t>
        </is>
      </c>
      <c r="D3441" s="13" t="n">
        <v>0</v>
      </c>
      <c r="E3441" s="13" t="inlineStr">
        <is>
          <t>W</t>
        </is>
      </c>
      <c r="F3441" s="13" t="n">
        <v>2022</v>
      </c>
      <c r="G3441" s="14" t="n">
        <v>71318.80271744073</v>
      </c>
      <c r="H3441" s="14" t="n">
        <v>9721.806078293745</v>
      </c>
      <c r="I3441" s="14" t="n">
        <v>57477.13355449602</v>
      </c>
      <c r="J3441" s="14" t="n">
        <v>0</v>
      </c>
      <c r="K3441" s="14" t="n">
        <v>4119.863084650975</v>
      </c>
      <c r="L3441" s="14" t="n">
        <v>0</v>
      </c>
      <c r="M3441" s="14" t="n">
        <v>0</v>
      </c>
      <c r="N3441" s="14" t="n">
        <v>7204.43548631855</v>
      </c>
      <c r="O3441" s="14" t="n">
        <v>71318.80271744073</v>
      </c>
      <c r="P3441" s="14" t="n">
        <v>715.8751267975451</v>
      </c>
      <c r="Q3441" s="14" t="n">
        <v>625669.7058874986</v>
      </c>
      <c r="R3441" s="15">
        <f>IF(D3441=1,"Section 1","Control")</f>
        <v/>
      </c>
      <c r="S3441" s="16">
        <f>N3441/10000</f>
        <v/>
      </c>
      <c r="T3441" s="16">
        <f>P3441/10000</f>
        <v/>
      </c>
      <c r="U3441" s="15">
        <f>IF(N3441&gt;=Summary!$D$3,1,0)</f>
        <v/>
      </c>
      <c r="V3441" s="17">
        <f>IF(N3441&gt;0,P3441/N3441,"")</f>
        <v/>
      </c>
      <c r="W3441" s="17">
        <f>IF(O3441&gt;0,H3441/O3441,"")</f>
        <v/>
      </c>
    </row>
    <row r="3442">
      <c r="A3442" s="13" t="inlineStr">
        <is>
          <t>CW32_F</t>
        </is>
      </c>
      <c r="B3442" s="13" t="inlineStr">
        <is>
          <t>CW32</t>
        </is>
      </c>
      <c r="C3442" s="13" t="inlineStr">
        <is>
          <t>F</t>
        </is>
      </c>
      <c r="D3442" s="13" t="n">
        <v>0</v>
      </c>
      <c r="E3442" s="13" t="inlineStr">
        <is>
          <t>W</t>
        </is>
      </c>
      <c r="F3442" s="13" t="n">
        <v>2023</v>
      </c>
      <c r="G3442" s="14" t="n">
        <v>71318.80271744073</v>
      </c>
      <c r="H3442" s="14" t="n">
        <v>9115.887268216002</v>
      </c>
      <c r="I3442" s="14" t="n">
        <v>56928.51526163139</v>
      </c>
      <c r="J3442" s="14" t="n">
        <v>0</v>
      </c>
      <c r="K3442" s="14" t="n">
        <v>5274.400187593347</v>
      </c>
      <c r="L3442" s="14" t="n">
        <v>0</v>
      </c>
      <c r="M3442" s="14" t="n">
        <v>0</v>
      </c>
      <c r="N3442" s="14" t="n">
        <v>7204.43548631855</v>
      </c>
      <c r="O3442" s="14" t="n">
        <v>71318.80271744073</v>
      </c>
      <c r="P3442" s="14" t="n">
        <v>777.8221273384843</v>
      </c>
      <c r="Q3442" s="14" t="n">
        <v>625669.7058874986</v>
      </c>
      <c r="R3442" s="15">
        <f>IF(D3442=1,"Section 1","Control")</f>
        <v/>
      </c>
      <c r="S3442" s="16">
        <f>N3442/10000</f>
        <v/>
      </c>
      <c r="T3442" s="16">
        <f>P3442/10000</f>
        <v/>
      </c>
      <c r="U3442" s="15">
        <f>IF(N3442&gt;=Summary!$D$3,1,0)</f>
        <v/>
      </c>
      <c r="V3442" s="17">
        <f>IF(N3442&gt;0,P3442/N3442,"")</f>
        <v/>
      </c>
      <c r="W3442" s="17">
        <f>IF(O3442&gt;0,H3442/O3442,"")</f>
        <v/>
      </c>
    </row>
    <row r="3443">
      <c r="A3443" s="13" t="inlineStr">
        <is>
          <t>CW32_F</t>
        </is>
      </c>
      <c r="B3443" s="13" t="inlineStr">
        <is>
          <t>CW32</t>
        </is>
      </c>
      <c r="C3443" s="13" t="inlineStr">
        <is>
          <t>F</t>
        </is>
      </c>
      <c r="D3443" s="13" t="n">
        <v>0</v>
      </c>
      <c r="E3443" s="13" t="inlineStr">
        <is>
          <t>W</t>
        </is>
      </c>
      <c r="F3443" s="13" t="n">
        <v>2024</v>
      </c>
      <c r="G3443" s="14" t="n">
        <v>71318.80271744072</v>
      </c>
      <c r="H3443" s="14" t="n">
        <v>26737.8734878241</v>
      </c>
      <c r="I3443" s="14" t="n">
        <v>39553.15529635562</v>
      </c>
      <c r="J3443" s="14" t="n">
        <v>0</v>
      </c>
      <c r="K3443" s="14" t="n">
        <v>5027.773933261049</v>
      </c>
      <c r="L3443" s="14" t="n">
        <v>0</v>
      </c>
      <c r="M3443" s="14" t="n">
        <v>0</v>
      </c>
      <c r="N3443" s="14" t="n">
        <v>7204.43548631855</v>
      </c>
      <c r="O3443" s="14" t="n">
        <v>71318.80271744072</v>
      </c>
      <c r="P3443" s="14" t="n">
        <v>394.9121856689453</v>
      </c>
      <c r="Q3443" s="14" t="n">
        <v>625669.7058874985</v>
      </c>
      <c r="R3443" s="15">
        <f>IF(D3443=1,"Section 1","Control")</f>
        <v/>
      </c>
      <c r="S3443" s="16">
        <f>N3443/10000</f>
        <v/>
      </c>
      <c r="T3443" s="16">
        <f>P3443/10000</f>
        <v/>
      </c>
      <c r="U3443" s="15">
        <f>IF(N3443&gt;=Summary!$D$3,1,0)</f>
        <v/>
      </c>
      <c r="V3443" s="17">
        <f>IF(N3443&gt;0,P3443/N3443,"")</f>
        <v/>
      </c>
      <c r="W3443" s="17">
        <f>IF(O3443&gt;0,H3443/O3443,"")</f>
        <v/>
      </c>
    </row>
    <row r="3444">
      <c r="A3444" s="13" t="inlineStr">
        <is>
          <t>CW32_F</t>
        </is>
      </c>
      <c r="B3444" s="13" t="inlineStr">
        <is>
          <t>CW32</t>
        </is>
      </c>
      <c r="C3444" s="13" t="inlineStr">
        <is>
          <t>F</t>
        </is>
      </c>
      <c r="D3444" s="13" t="n">
        <v>0</v>
      </c>
      <c r="E3444" s="13" t="inlineStr">
        <is>
          <t>W</t>
        </is>
      </c>
      <c r="F3444" s="13" t="n">
        <v>2025</v>
      </c>
      <c r="G3444" s="14" t="n">
        <v>71318.80271744073</v>
      </c>
      <c r="H3444" s="14" t="n">
        <v>23115.52156090832</v>
      </c>
      <c r="I3444" s="14" t="n">
        <v>45061.40634663902</v>
      </c>
      <c r="J3444" s="14" t="n">
        <v>0</v>
      </c>
      <c r="K3444" s="14" t="n">
        <v>3141.87480989344</v>
      </c>
      <c r="L3444" s="14" t="n">
        <v>0</v>
      </c>
      <c r="M3444" s="14" t="n">
        <v>0</v>
      </c>
      <c r="N3444" s="14" t="n">
        <v>7204.43548631855</v>
      </c>
      <c r="O3444" s="14" t="n">
        <v>71318.80271744073</v>
      </c>
      <c r="P3444" s="14" t="n">
        <v>407.3015918806488</v>
      </c>
      <c r="Q3444" s="14" t="n">
        <v>625669.7058874986</v>
      </c>
      <c r="R3444" s="15">
        <f>IF(D3444=1,"Section 1","Control")</f>
        <v/>
      </c>
      <c r="S3444" s="16">
        <f>N3444/10000</f>
        <v/>
      </c>
      <c r="T3444" s="16">
        <f>P3444/10000</f>
        <v/>
      </c>
      <c r="U3444" s="15">
        <f>IF(N3444&gt;=Summary!$D$3,1,0)</f>
        <v/>
      </c>
      <c r="V3444" s="17">
        <f>IF(N3444&gt;0,P3444/N3444,"")</f>
        <v/>
      </c>
      <c r="W3444" s="17">
        <f>IF(O3444&gt;0,H3444/O3444,"")</f>
        <v/>
      </c>
    </row>
    <row r="3445">
      <c r="A3445" s="13" t="inlineStr">
        <is>
          <t>CW32_F</t>
        </is>
      </c>
      <c r="B3445" s="13" t="inlineStr">
        <is>
          <t>CW32</t>
        </is>
      </c>
      <c r="C3445" s="13" t="inlineStr">
        <is>
          <t>F</t>
        </is>
      </c>
      <c r="D3445" s="13" t="n">
        <v>0</v>
      </c>
      <c r="E3445" s="13" t="inlineStr">
        <is>
          <t>W</t>
        </is>
      </c>
      <c r="F3445" s="13" t="n">
        <v>2026</v>
      </c>
      <c r="G3445" s="14" t="n">
        <v>71318.80271744072</v>
      </c>
      <c r="H3445" s="14" t="n">
        <v>37626.21891820573</v>
      </c>
      <c r="I3445" s="14" t="n">
        <v>30140.69712697946</v>
      </c>
      <c r="J3445" s="14" t="n">
        <v>0</v>
      </c>
      <c r="K3445" s="14" t="n">
        <v>3551.886672255572</v>
      </c>
      <c r="L3445" s="14" t="n">
        <v>0</v>
      </c>
      <c r="M3445" s="14" t="n">
        <v>0</v>
      </c>
      <c r="N3445" s="14" t="n">
        <v>7204.43548631855</v>
      </c>
      <c r="O3445" s="14" t="n">
        <v>71318.80271744072</v>
      </c>
      <c r="P3445" s="14" t="n">
        <v>394.9121856689453</v>
      </c>
      <c r="Q3445" s="14" t="n">
        <v>625669.7058874985</v>
      </c>
      <c r="R3445" s="15">
        <f>IF(D3445=1,"Section 1","Control")</f>
        <v/>
      </c>
      <c r="S3445" s="16">
        <f>N3445/10000</f>
        <v/>
      </c>
      <c r="T3445" s="16">
        <f>P3445/10000</f>
        <v/>
      </c>
      <c r="U3445" s="15">
        <f>IF(N3445&gt;=Summary!$D$3,1,0)</f>
        <v/>
      </c>
      <c r="V3445" s="17">
        <f>IF(N3445&gt;0,P3445/N3445,"")</f>
        <v/>
      </c>
      <c r="W3445" s="17">
        <f>IF(O3445&gt;0,H3445/O3445,"")</f>
        <v/>
      </c>
    </row>
    <row r="3446">
      <c r="A3446" s="13" t="inlineStr">
        <is>
          <t>CW33_B1</t>
        </is>
      </c>
      <c r="B3446" s="13" t="inlineStr">
        <is>
          <t>CW33</t>
        </is>
      </c>
      <c r="C3446" s="13" t="inlineStr">
        <is>
          <t>B1</t>
        </is>
      </c>
      <c r="D3446" s="13" t="n">
        <v>0</v>
      </c>
      <c r="E3446" s="13" t="inlineStr">
        <is>
          <t>W</t>
        </is>
      </c>
      <c r="F3446" s="13" t="n">
        <v>2020</v>
      </c>
      <c r="G3446" s="14" t="n">
        <v>1000400.075909065</v>
      </c>
      <c r="H3446" s="14" t="n">
        <v>225880.6480886422</v>
      </c>
      <c r="I3446" s="14" t="n">
        <v>391124.1568273507</v>
      </c>
      <c r="J3446" s="14" t="n">
        <v>0</v>
      </c>
      <c r="K3446" s="14" t="n">
        <v>143237.2173612109</v>
      </c>
      <c r="L3446" s="14" t="n">
        <v>240158.0536318611</v>
      </c>
      <c r="M3446" s="14" t="n">
        <v>0</v>
      </c>
      <c r="N3446" s="14" t="n">
        <v>225880.6480886422</v>
      </c>
      <c r="O3446" s="14" t="n">
        <v>760242.0222772037</v>
      </c>
      <c r="P3446" s="14" t="n">
        <v>0</v>
      </c>
      <c r="Q3446" s="14" t="n">
        <v>6697438.2448083</v>
      </c>
      <c r="R3446" s="15">
        <f>IF(D3446=1,"Section 1","Control")</f>
        <v/>
      </c>
      <c r="S3446" s="16">
        <f>N3446/10000</f>
        <v/>
      </c>
      <c r="T3446" s="16">
        <f>P3446/10000</f>
        <v/>
      </c>
      <c r="U3446" s="15">
        <f>IF(N3446&gt;=Summary!$D$3,1,0)</f>
        <v/>
      </c>
      <c r="V3446" s="17">
        <f>IF(N3446&gt;0,P3446/N3446,"")</f>
        <v/>
      </c>
      <c r="W3446" s="17">
        <f>IF(O3446&gt;0,H3446/O3446,"")</f>
        <v/>
      </c>
    </row>
    <row r="3447">
      <c r="A3447" s="13" t="inlineStr">
        <is>
          <t>CW33_B1</t>
        </is>
      </c>
      <c r="B3447" s="13" t="inlineStr">
        <is>
          <t>CW33</t>
        </is>
      </c>
      <c r="C3447" s="13" t="inlineStr">
        <is>
          <t>B1</t>
        </is>
      </c>
      <c r="D3447" s="13" t="n">
        <v>0</v>
      </c>
      <c r="E3447" s="13" t="inlineStr">
        <is>
          <t>W</t>
        </is>
      </c>
      <c r="F3447" s="13" t="n">
        <v>2021</v>
      </c>
      <c r="G3447" s="14" t="n">
        <v>1000400.075909065</v>
      </c>
      <c r="H3447" s="14" t="n">
        <v>210618.2022235646</v>
      </c>
      <c r="I3447" s="14" t="n">
        <v>351599.4825916665</v>
      </c>
      <c r="J3447" s="14" t="n">
        <v>0</v>
      </c>
      <c r="K3447" s="14" t="n">
        <v>231378.0892585904</v>
      </c>
      <c r="L3447" s="14" t="n">
        <v>206804.3018352434</v>
      </c>
      <c r="M3447" s="14" t="n">
        <v>0</v>
      </c>
      <c r="N3447" s="14" t="n">
        <v>225880.6480886422</v>
      </c>
      <c r="O3447" s="14" t="n">
        <v>760242.0222772036</v>
      </c>
      <c r="P3447" s="14" t="n">
        <v>55447.95770580816</v>
      </c>
      <c r="Q3447" s="14" t="n">
        <v>6697438.2448083</v>
      </c>
      <c r="R3447" s="15">
        <f>IF(D3447=1,"Section 1","Control")</f>
        <v/>
      </c>
      <c r="S3447" s="16">
        <f>N3447/10000</f>
        <v/>
      </c>
      <c r="T3447" s="16">
        <f>P3447/10000</f>
        <v/>
      </c>
      <c r="U3447" s="15">
        <f>IF(N3447&gt;=Summary!$D$3,1,0)</f>
        <v/>
      </c>
      <c r="V3447" s="17">
        <f>IF(N3447&gt;0,P3447/N3447,"")</f>
        <v/>
      </c>
      <c r="W3447" s="17">
        <f>IF(O3447&gt;0,H3447/O3447,"")</f>
        <v/>
      </c>
    </row>
    <row r="3448">
      <c r="A3448" s="13" t="inlineStr">
        <is>
          <t>CW33_B1</t>
        </is>
      </c>
      <c r="B3448" s="13" t="inlineStr">
        <is>
          <t>CW33</t>
        </is>
      </c>
      <c r="C3448" s="13" t="inlineStr">
        <is>
          <t>B1</t>
        </is>
      </c>
      <c r="D3448" s="13" t="n">
        <v>0</v>
      </c>
      <c r="E3448" s="13" t="inlineStr">
        <is>
          <t>W</t>
        </is>
      </c>
      <c r="F3448" s="13" t="n">
        <v>2022</v>
      </c>
      <c r="G3448" s="14" t="n">
        <v>1000400.075909065</v>
      </c>
      <c r="H3448" s="14" t="n">
        <v>197965.4875886505</v>
      </c>
      <c r="I3448" s="14" t="n">
        <v>378721.4527863745</v>
      </c>
      <c r="J3448" s="14" t="n">
        <v>0</v>
      </c>
      <c r="K3448" s="14" t="n">
        <v>239171.6720230103</v>
      </c>
      <c r="L3448" s="14" t="n">
        <v>184541.4635110294</v>
      </c>
      <c r="M3448" s="14" t="n">
        <v>0</v>
      </c>
      <c r="N3448" s="14" t="n">
        <v>225880.6480886422</v>
      </c>
      <c r="O3448" s="14" t="n">
        <v>760242.0222772036</v>
      </c>
      <c r="P3448" s="14" t="n">
        <v>76602.02972433052</v>
      </c>
      <c r="Q3448" s="14" t="n">
        <v>6697438.2448083</v>
      </c>
      <c r="R3448" s="15">
        <f>IF(D3448=1,"Section 1","Control")</f>
        <v/>
      </c>
      <c r="S3448" s="16">
        <f>N3448/10000</f>
        <v/>
      </c>
      <c r="T3448" s="16">
        <f>P3448/10000</f>
        <v/>
      </c>
      <c r="U3448" s="15">
        <f>IF(N3448&gt;=Summary!$D$3,1,0)</f>
        <v/>
      </c>
      <c r="V3448" s="17">
        <f>IF(N3448&gt;0,P3448/N3448,"")</f>
        <v/>
      </c>
      <c r="W3448" s="17">
        <f>IF(O3448&gt;0,H3448/O3448,"")</f>
        <v/>
      </c>
    </row>
    <row r="3449">
      <c r="A3449" s="13" t="inlineStr">
        <is>
          <t>CW33_B1</t>
        </is>
      </c>
      <c r="B3449" s="13" t="inlineStr">
        <is>
          <t>CW33</t>
        </is>
      </c>
      <c r="C3449" s="13" t="inlineStr">
        <is>
          <t>B1</t>
        </is>
      </c>
      <c r="D3449" s="13" t="n">
        <v>0</v>
      </c>
      <c r="E3449" s="13" t="inlineStr">
        <is>
          <t>W</t>
        </is>
      </c>
      <c r="F3449" s="13" t="n">
        <v>2023</v>
      </c>
      <c r="G3449" s="14" t="n">
        <v>1000400.075909065</v>
      </c>
      <c r="H3449" s="14" t="n">
        <v>165328.5967486213</v>
      </c>
      <c r="I3449" s="14" t="n">
        <v>381313.2352196189</v>
      </c>
      <c r="J3449" s="14" t="n">
        <v>0</v>
      </c>
      <c r="K3449" s="14" t="n">
        <v>227221.0088261324</v>
      </c>
      <c r="L3449" s="14" t="n">
        <v>226537.2351146922</v>
      </c>
      <c r="M3449" s="14" t="n">
        <v>0</v>
      </c>
      <c r="N3449" s="14" t="n">
        <v>225880.6480886422</v>
      </c>
      <c r="O3449" s="14" t="n">
        <v>760242.0222772036</v>
      </c>
      <c r="P3449" s="14" t="n">
        <v>80132.99017818675</v>
      </c>
      <c r="Q3449" s="14" t="n">
        <v>6697438.2448083</v>
      </c>
      <c r="R3449" s="15">
        <f>IF(D3449=1,"Section 1","Control")</f>
        <v/>
      </c>
      <c r="S3449" s="16">
        <f>N3449/10000</f>
        <v/>
      </c>
      <c r="T3449" s="16">
        <f>P3449/10000</f>
        <v/>
      </c>
      <c r="U3449" s="15">
        <f>IF(N3449&gt;=Summary!$D$3,1,0)</f>
        <v/>
      </c>
      <c r="V3449" s="17">
        <f>IF(N3449&gt;0,P3449/N3449,"")</f>
        <v/>
      </c>
      <c r="W3449" s="17">
        <f>IF(O3449&gt;0,H3449/O3449,"")</f>
        <v/>
      </c>
    </row>
    <row r="3450">
      <c r="A3450" s="13" t="inlineStr">
        <is>
          <t>CW33_B1</t>
        </is>
      </c>
      <c r="B3450" s="13" t="inlineStr">
        <is>
          <t>CW33</t>
        </is>
      </c>
      <c r="C3450" s="13" t="inlineStr">
        <is>
          <t>B1</t>
        </is>
      </c>
      <c r="D3450" s="13" t="n">
        <v>0</v>
      </c>
      <c r="E3450" s="13" t="inlineStr">
        <is>
          <t>W</t>
        </is>
      </c>
      <c r="F3450" s="13" t="n">
        <v>2024</v>
      </c>
      <c r="G3450" s="14" t="n">
        <v>1000400.075909065</v>
      </c>
      <c r="H3450" s="14" t="n">
        <v>274515.7591143739</v>
      </c>
      <c r="I3450" s="14" t="n">
        <v>285202.3355083092</v>
      </c>
      <c r="J3450" s="14" t="n">
        <v>0</v>
      </c>
      <c r="K3450" s="14" t="n">
        <v>203647.8841612573</v>
      </c>
      <c r="L3450" s="14" t="n">
        <v>237034.0971251245</v>
      </c>
      <c r="M3450" s="14" t="n">
        <v>0</v>
      </c>
      <c r="N3450" s="14" t="n">
        <v>225880.6480886422</v>
      </c>
      <c r="O3450" s="14" t="n">
        <v>760242.0222772036</v>
      </c>
      <c r="P3450" s="14" t="n">
        <v>64817.05243234073</v>
      </c>
      <c r="Q3450" s="14" t="n">
        <v>6697438.2448083</v>
      </c>
      <c r="R3450" s="15">
        <f>IF(D3450=1,"Section 1","Control")</f>
        <v/>
      </c>
      <c r="S3450" s="16">
        <f>N3450/10000</f>
        <v/>
      </c>
      <c r="T3450" s="16">
        <f>P3450/10000</f>
        <v/>
      </c>
      <c r="U3450" s="15">
        <f>IF(N3450&gt;=Summary!$D$3,1,0)</f>
        <v/>
      </c>
      <c r="V3450" s="17">
        <f>IF(N3450&gt;0,P3450/N3450,"")</f>
        <v/>
      </c>
      <c r="W3450" s="17">
        <f>IF(O3450&gt;0,H3450/O3450,"")</f>
        <v/>
      </c>
    </row>
    <row r="3451">
      <c r="A3451" s="13" t="inlineStr">
        <is>
          <t>CW33_B1</t>
        </is>
      </c>
      <c r="B3451" s="13" t="inlineStr">
        <is>
          <t>CW33</t>
        </is>
      </c>
      <c r="C3451" s="13" t="inlineStr">
        <is>
          <t>B1</t>
        </is>
      </c>
      <c r="D3451" s="13" t="n">
        <v>0</v>
      </c>
      <c r="E3451" s="13" t="inlineStr">
        <is>
          <t>W</t>
        </is>
      </c>
      <c r="F3451" s="13" t="n">
        <v>2025</v>
      </c>
      <c r="G3451" s="14" t="n">
        <v>1000400.075909065</v>
      </c>
      <c r="H3451" s="14" t="n">
        <v>232503.7252080581</v>
      </c>
      <c r="I3451" s="14" t="n">
        <v>342002.9758416269</v>
      </c>
      <c r="J3451" s="14" t="n">
        <v>0</v>
      </c>
      <c r="K3451" s="14" t="n">
        <v>175555.3353296916</v>
      </c>
      <c r="L3451" s="14" t="n">
        <v>250338.0395296882</v>
      </c>
      <c r="M3451" s="14" t="n">
        <v>0</v>
      </c>
      <c r="N3451" s="14" t="n">
        <v>225880.6480886422</v>
      </c>
      <c r="O3451" s="14" t="n">
        <v>760242.0222772036</v>
      </c>
      <c r="P3451" s="14" t="n">
        <v>80690.18497329412</v>
      </c>
      <c r="Q3451" s="14" t="n">
        <v>6697438.2448083</v>
      </c>
      <c r="R3451" s="15">
        <f>IF(D3451=1,"Section 1","Control")</f>
        <v/>
      </c>
      <c r="S3451" s="16">
        <f>N3451/10000</f>
        <v/>
      </c>
      <c r="T3451" s="16">
        <f>P3451/10000</f>
        <v/>
      </c>
      <c r="U3451" s="15">
        <f>IF(N3451&gt;=Summary!$D$3,1,0)</f>
        <v/>
      </c>
      <c r="V3451" s="17">
        <f>IF(N3451&gt;0,P3451/N3451,"")</f>
        <v/>
      </c>
      <c r="W3451" s="17">
        <f>IF(O3451&gt;0,H3451/O3451,"")</f>
        <v/>
      </c>
    </row>
    <row r="3452">
      <c r="A3452" s="13" t="inlineStr">
        <is>
          <t>CW33_B1</t>
        </is>
      </c>
      <c r="B3452" s="13" t="inlineStr">
        <is>
          <t>CW33</t>
        </is>
      </c>
      <c r="C3452" s="13" t="inlineStr">
        <is>
          <t>B1</t>
        </is>
      </c>
      <c r="D3452" s="13" t="n">
        <v>0</v>
      </c>
      <c r="E3452" s="13" t="inlineStr">
        <is>
          <t>W</t>
        </is>
      </c>
      <c r="F3452" s="13" t="n">
        <v>2026</v>
      </c>
      <c r="G3452" s="14" t="n">
        <v>1000400.075909065</v>
      </c>
      <c r="H3452" s="14" t="n">
        <v>248607.9029532339</v>
      </c>
      <c r="I3452" s="14" t="n">
        <v>308745.7232416489</v>
      </c>
      <c r="J3452" s="14" t="n">
        <v>0</v>
      </c>
      <c r="K3452" s="14" t="n">
        <v>183601.4886362712</v>
      </c>
      <c r="L3452" s="14" t="n">
        <v>259444.9610779108</v>
      </c>
      <c r="M3452" s="14" t="n">
        <v>0</v>
      </c>
      <c r="N3452" s="14" t="n">
        <v>225880.6480886422</v>
      </c>
      <c r="O3452" s="14" t="n">
        <v>760242.0222772037</v>
      </c>
      <c r="P3452" s="14" t="n">
        <v>65029.18610863779</v>
      </c>
      <c r="Q3452" s="14" t="n">
        <v>6697438.2448083</v>
      </c>
      <c r="R3452" s="15">
        <f>IF(D3452=1,"Section 1","Control")</f>
        <v/>
      </c>
      <c r="S3452" s="16">
        <f>N3452/10000</f>
        <v/>
      </c>
      <c r="T3452" s="16">
        <f>P3452/10000</f>
        <v/>
      </c>
      <c r="U3452" s="15">
        <f>IF(N3452&gt;=Summary!$D$3,1,0)</f>
        <v/>
      </c>
      <c r="V3452" s="17">
        <f>IF(N3452&gt;0,P3452/N3452,"")</f>
        <v/>
      </c>
      <c r="W3452" s="17">
        <f>IF(O3452&gt;0,H3452/O3452,"")</f>
        <v/>
      </c>
    </row>
    <row r="3453">
      <c r="A3453" s="13" t="inlineStr">
        <is>
          <t>CW33_B2</t>
        </is>
      </c>
      <c r="B3453" s="13" t="inlineStr">
        <is>
          <t>CW33</t>
        </is>
      </c>
      <c r="C3453" s="13" t="inlineStr">
        <is>
          <t>B2</t>
        </is>
      </c>
      <c r="D3453" s="13" t="n">
        <v>0</v>
      </c>
      <c r="E3453" s="13" t="inlineStr">
        <is>
          <t>W</t>
        </is>
      </c>
      <c r="F3453" s="13" t="n">
        <v>2020</v>
      </c>
      <c r="G3453" s="14" t="n">
        <v>1000542.542741005</v>
      </c>
      <c r="H3453" s="14" t="n">
        <v>197337.514412046</v>
      </c>
      <c r="I3453" s="14" t="n">
        <v>132537.4500268076</v>
      </c>
      <c r="J3453" s="14" t="n">
        <v>0</v>
      </c>
      <c r="K3453" s="14" t="n">
        <v>30803.44013561175</v>
      </c>
      <c r="L3453" s="14" t="n">
        <v>639864.1381665397</v>
      </c>
      <c r="M3453" s="14" t="n">
        <v>0</v>
      </c>
      <c r="N3453" s="14" t="n">
        <v>197337.514412046</v>
      </c>
      <c r="O3453" s="14" t="n">
        <v>360678.4045744653</v>
      </c>
      <c r="P3453" s="14" t="n">
        <v>0</v>
      </c>
      <c r="Q3453" s="14" t="n">
        <v>1672082.367973896</v>
      </c>
      <c r="R3453" s="15">
        <f>IF(D3453=1,"Section 1","Control")</f>
        <v/>
      </c>
      <c r="S3453" s="16">
        <f>N3453/10000</f>
        <v/>
      </c>
      <c r="T3453" s="16">
        <f>P3453/10000</f>
        <v/>
      </c>
      <c r="U3453" s="15">
        <f>IF(N3453&gt;=Summary!$D$3,1,0)</f>
        <v/>
      </c>
      <c r="V3453" s="17">
        <f>IF(N3453&gt;0,P3453/N3453,"")</f>
        <v/>
      </c>
      <c r="W3453" s="17">
        <f>IF(O3453&gt;0,H3453/O3453,"")</f>
        <v/>
      </c>
    </row>
    <row r="3454">
      <c r="A3454" s="13" t="inlineStr">
        <is>
          <t>CW33_B2</t>
        </is>
      </c>
      <c r="B3454" s="13" t="inlineStr">
        <is>
          <t>CW33</t>
        </is>
      </c>
      <c r="C3454" s="13" t="inlineStr">
        <is>
          <t>B2</t>
        </is>
      </c>
      <c r="D3454" s="13" t="n">
        <v>0</v>
      </c>
      <c r="E3454" s="13" t="inlineStr">
        <is>
          <t>W</t>
        </is>
      </c>
      <c r="F3454" s="13" t="n">
        <v>2021</v>
      </c>
      <c r="G3454" s="14" t="n">
        <v>1000542.542741005</v>
      </c>
      <c r="H3454" s="14" t="n">
        <v>235791.4545476278</v>
      </c>
      <c r="I3454" s="14" t="n">
        <v>87477.73186041141</v>
      </c>
      <c r="J3454" s="14" t="n">
        <v>0</v>
      </c>
      <c r="K3454" s="14" t="n">
        <v>29505.28979842243</v>
      </c>
      <c r="L3454" s="14" t="n">
        <v>647768.0665345434</v>
      </c>
      <c r="M3454" s="14" t="n">
        <v>0</v>
      </c>
      <c r="N3454" s="14" t="n">
        <v>197337.514412046</v>
      </c>
      <c r="O3454" s="14" t="n">
        <v>360678.4045744654</v>
      </c>
      <c r="P3454" s="14" t="n">
        <v>22895.66853374406</v>
      </c>
      <c r="Q3454" s="14" t="n">
        <v>1672082.367973896</v>
      </c>
      <c r="R3454" s="15">
        <f>IF(D3454=1,"Section 1","Control")</f>
        <v/>
      </c>
      <c r="S3454" s="16">
        <f>N3454/10000</f>
        <v/>
      </c>
      <c r="T3454" s="16">
        <f>P3454/10000</f>
        <v/>
      </c>
      <c r="U3454" s="15">
        <f>IF(N3454&gt;=Summary!$D$3,1,0)</f>
        <v/>
      </c>
      <c r="V3454" s="17">
        <f>IF(N3454&gt;0,P3454/N3454,"")</f>
        <v/>
      </c>
      <c r="W3454" s="17">
        <f>IF(O3454&gt;0,H3454/O3454,"")</f>
        <v/>
      </c>
    </row>
    <row r="3455">
      <c r="A3455" s="13" t="inlineStr">
        <is>
          <t>CW33_B2</t>
        </is>
      </c>
      <c r="B3455" s="13" t="inlineStr">
        <is>
          <t>CW33</t>
        </is>
      </c>
      <c r="C3455" s="13" t="inlineStr">
        <is>
          <t>B2</t>
        </is>
      </c>
      <c r="D3455" s="13" t="n">
        <v>0</v>
      </c>
      <c r="E3455" s="13" t="inlineStr">
        <is>
          <t>W</t>
        </is>
      </c>
      <c r="F3455" s="13" t="n">
        <v>2022</v>
      </c>
      <c r="G3455" s="14" t="n">
        <v>1000542.542741005</v>
      </c>
      <c r="H3455" s="14" t="n">
        <v>231579.5342450909</v>
      </c>
      <c r="I3455" s="14" t="n">
        <v>98417.79442234412</v>
      </c>
      <c r="J3455" s="14" t="n">
        <v>0</v>
      </c>
      <c r="K3455" s="14" t="n">
        <v>45738.69578686879</v>
      </c>
      <c r="L3455" s="14" t="n">
        <v>624806.5182867013</v>
      </c>
      <c r="M3455" s="14" t="n">
        <v>0</v>
      </c>
      <c r="N3455" s="14" t="n">
        <v>197337.514412046</v>
      </c>
      <c r="O3455" s="14" t="n">
        <v>360678.4045744653</v>
      </c>
      <c r="P3455" s="14" t="n">
        <v>27985.3133861467</v>
      </c>
      <c r="Q3455" s="14" t="n">
        <v>1672082.367973896</v>
      </c>
      <c r="R3455" s="15">
        <f>IF(D3455=1,"Section 1","Control")</f>
        <v/>
      </c>
      <c r="S3455" s="16">
        <f>N3455/10000</f>
        <v/>
      </c>
      <c r="T3455" s="16">
        <f>P3455/10000</f>
        <v/>
      </c>
      <c r="U3455" s="15">
        <f>IF(N3455&gt;=Summary!$D$3,1,0)</f>
        <v/>
      </c>
      <c r="V3455" s="17">
        <f>IF(N3455&gt;0,P3455/N3455,"")</f>
        <v/>
      </c>
      <c r="W3455" s="17">
        <f>IF(O3455&gt;0,H3455/O3455,"")</f>
        <v/>
      </c>
    </row>
    <row r="3456">
      <c r="A3456" s="13" t="inlineStr">
        <is>
          <t>CW33_B2</t>
        </is>
      </c>
      <c r="B3456" s="13" t="inlineStr">
        <is>
          <t>CW33</t>
        </is>
      </c>
      <c r="C3456" s="13" t="inlineStr">
        <is>
          <t>B2</t>
        </is>
      </c>
      <c r="D3456" s="13" t="n">
        <v>0</v>
      </c>
      <c r="E3456" s="13" t="inlineStr">
        <is>
          <t>W</t>
        </is>
      </c>
      <c r="F3456" s="13" t="n">
        <v>2023</v>
      </c>
      <c r="G3456" s="14" t="n">
        <v>1000542.542741005</v>
      </c>
      <c r="H3456" s="14" t="n">
        <v>200643.8995326024</v>
      </c>
      <c r="I3456" s="14" t="n">
        <v>117886.4056345921</v>
      </c>
      <c r="J3456" s="14" t="n">
        <v>0</v>
      </c>
      <c r="K3456" s="14" t="n">
        <v>20094.14459509756</v>
      </c>
      <c r="L3456" s="14" t="n">
        <v>661918.0929787131</v>
      </c>
      <c r="M3456" s="14" t="n">
        <v>0</v>
      </c>
      <c r="N3456" s="14" t="n">
        <v>197337.514412046</v>
      </c>
      <c r="O3456" s="14" t="n">
        <v>360678.4045744654</v>
      </c>
      <c r="P3456" s="14" t="n">
        <v>35353.8246137432</v>
      </c>
      <c r="Q3456" s="14" t="n">
        <v>1672082.367973896</v>
      </c>
      <c r="R3456" s="15">
        <f>IF(D3456=1,"Section 1","Control")</f>
        <v/>
      </c>
      <c r="S3456" s="16">
        <f>N3456/10000</f>
        <v/>
      </c>
      <c r="T3456" s="16">
        <f>P3456/10000</f>
        <v/>
      </c>
      <c r="U3456" s="15">
        <f>IF(N3456&gt;=Summary!$D$3,1,0)</f>
        <v/>
      </c>
      <c r="V3456" s="17">
        <f>IF(N3456&gt;0,P3456/N3456,"")</f>
        <v/>
      </c>
      <c r="W3456" s="17">
        <f>IF(O3456&gt;0,H3456/O3456,"")</f>
        <v/>
      </c>
    </row>
    <row r="3457">
      <c r="A3457" s="13" t="inlineStr">
        <is>
          <t>CW33_B2</t>
        </is>
      </c>
      <c r="B3457" s="13" t="inlineStr">
        <is>
          <t>CW33</t>
        </is>
      </c>
      <c r="C3457" s="13" t="inlineStr">
        <is>
          <t>B2</t>
        </is>
      </c>
      <c r="D3457" s="13" t="n">
        <v>0</v>
      </c>
      <c r="E3457" s="13" t="inlineStr">
        <is>
          <t>W</t>
        </is>
      </c>
      <c r="F3457" s="13" t="n">
        <v>2024</v>
      </c>
      <c r="G3457" s="14" t="n">
        <v>1000542.542741005</v>
      </c>
      <c r="H3457" s="14" t="n">
        <v>276874.5402475095</v>
      </c>
      <c r="I3457" s="14" t="n">
        <v>43630.30042688706</v>
      </c>
      <c r="J3457" s="14" t="n">
        <v>0</v>
      </c>
      <c r="K3457" s="14" t="n">
        <v>26085.09353700525</v>
      </c>
      <c r="L3457" s="14" t="n">
        <v>653952.6085296031</v>
      </c>
      <c r="M3457" s="14" t="n">
        <v>0</v>
      </c>
      <c r="N3457" s="14" t="n">
        <v>197337.514412046</v>
      </c>
      <c r="O3457" s="14" t="n">
        <v>360678.4045744654</v>
      </c>
      <c r="P3457" s="14" t="n">
        <v>14405.17961162492</v>
      </c>
      <c r="Q3457" s="14" t="n">
        <v>1672082.367973896</v>
      </c>
      <c r="R3457" s="15">
        <f>IF(D3457=1,"Section 1","Control")</f>
        <v/>
      </c>
      <c r="S3457" s="16">
        <f>N3457/10000</f>
        <v/>
      </c>
      <c r="T3457" s="16">
        <f>P3457/10000</f>
        <v/>
      </c>
      <c r="U3457" s="15">
        <f>IF(N3457&gt;=Summary!$D$3,1,0)</f>
        <v/>
      </c>
      <c r="V3457" s="17">
        <f>IF(N3457&gt;0,P3457/N3457,"")</f>
        <v/>
      </c>
      <c r="W3457" s="17">
        <f>IF(O3457&gt;0,H3457/O3457,"")</f>
        <v/>
      </c>
    </row>
    <row r="3458">
      <c r="A3458" s="13" t="inlineStr">
        <is>
          <t>CW33_B2</t>
        </is>
      </c>
      <c r="B3458" s="13" t="inlineStr">
        <is>
          <t>CW33</t>
        </is>
      </c>
      <c r="C3458" s="13" t="inlineStr">
        <is>
          <t>B2</t>
        </is>
      </c>
      <c r="D3458" s="13" t="n">
        <v>0</v>
      </c>
      <c r="E3458" s="13" t="inlineStr">
        <is>
          <t>W</t>
        </is>
      </c>
      <c r="F3458" s="13" t="n">
        <v>2025</v>
      </c>
      <c r="G3458" s="14" t="n">
        <v>1000542.542741005</v>
      </c>
      <c r="H3458" s="14" t="n">
        <v>277619.464091761</v>
      </c>
      <c r="I3458" s="14" t="n">
        <v>49506.64186553954</v>
      </c>
      <c r="J3458" s="14" t="n">
        <v>0</v>
      </c>
      <c r="K3458" s="14" t="n">
        <v>33205.00765201345</v>
      </c>
      <c r="L3458" s="14" t="n">
        <v>640211.4291316911</v>
      </c>
      <c r="M3458" s="14" t="n">
        <v>0</v>
      </c>
      <c r="N3458" s="14" t="n">
        <v>197337.514412046</v>
      </c>
      <c r="O3458" s="14" t="n">
        <v>360678.4045744654</v>
      </c>
      <c r="P3458" s="14" t="n">
        <v>17564.42871135637</v>
      </c>
      <c r="Q3458" s="14" t="n">
        <v>1672082.367973896</v>
      </c>
      <c r="R3458" s="15">
        <f>IF(D3458=1,"Section 1","Control")</f>
        <v/>
      </c>
      <c r="S3458" s="16">
        <f>N3458/10000</f>
        <v/>
      </c>
      <c r="T3458" s="16">
        <f>P3458/10000</f>
        <v/>
      </c>
      <c r="U3458" s="15">
        <f>IF(N3458&gt;=Summary!$D$3,1,0)</f>
        <v/>
      </c>
      <c r="V3458" s="17">
        <f>IF(N3458&gt;0,P3458/N3458,"")</f>
        <v/>
      </c>
      <c r="W3458" s="17">
        <f>IF(O3458&gt;0,H3458/O3458,"")</f>
        <v/>
      </c>
    </row>
    <row r="3459">
      <c r="A3459" s="13" t="inlineStr">
        <is>
          <t>CW33_B2</t>
        </is>
      </c>
      <c r="B3459" s="13" t="inlineStr">
        <is>
          <t>CW33</t>
        </is>
      </c>
      <c r="C3459" s="13" t="inlineStr">
        <is>
          <t>B2</t>
        </is>
      </c>
      <c r="D3459" s="13" t="n">
        <v>0</v>
      </c>
      <c r="E3459" s="13" t="inlineStr">
        <is>
          <t>W</t>
        </is>
      </c>
      <c r="F3459" s="13" t="n">
        <v>2026</v>
      </c>
      <c r="G3459" s="14" t="n">
        <v>1000542.542741005</v>
      </c>
      <c r="H3459" s="14" t="n">
        <v>255093.8898750156</v>
      </c>
      <c r="I3459" s="14" t="n">
        <v>70458.42258755554</v>
      </c>
      <c r="J3459" s="14" t="n">
        <v>0</v>
      </c>
      <c r="K3459" s="14" t="n">
        <v>18153.68451624852</v>
      </c>
      <c r="L3459" s="14" t="n">
        <v>656836.5457621855</v>
      </c>
      <c r="M3459" s="14" t="n">
        <v>0</v>
      </c>
      <c r="N3459" s="14" t="n">
        <v>197337.514412046</v>
      </c>
      <c r="O3459" s="14" t="n">
        <v>360678.4045744654</v>
      </c>
      <c r="P3459" s="14" t="n">
        <v>18951.24907441981</v>
      </c>
      <c r="Q3459" s="14" t="n">
        <v>1672082.367973896</v>
      </c>
      <c r="R3459" s="15">
        <f>IF(D3459=1,"Section 1","Control")</f>
        <v/>
      </c>
      <c r="S3459" s="16">
        <f>N3459/10000</f>
        <v/>
      </c>
      <c r="T3459" s="16">
        <f>P3459/10000</f>
        <v/>
      </c>
      <c r="U3459" s="15">
        <f>IF(N3459&gt;=Summary!$D$3,1,0)</f>
        <v/>
      </c>
      <c r="V3459" s="17">
        <f>IF(N3459&gt;0,P3459/N3459,"")</f>
        <v/>
      </c>
      <c r="W3459" s="17">
        <f>IF(O3459&gt;0,H3459/O3459,"")</f>
        <v/>
      </c>
    </row>
    <row r="3460">
      <c r="A3460" s="13" t="inlineStr">
        <is>
          <t>CW33_B3</t>
        </is>
      </c>
      <c r="B3460" s="13" t="inlineStr">
        <is>
          <t>CW33</t>
        </is>
      </c>
      <c r="C3460" s="13" t="inlineStr">
        <is>
          <t>B3</t>
        </is>
      </c>
      <c r="D3460" s="13" t="n">
        <v>0</v>
      </c>
      <c r="E3460" s="13" t="inlineStr">
        <is>
          <t>W</t>
        </is>
      </c>
      <c r="F3460" s="13" t="n">
        <v>2020</v>
      </c>
      <c r="G3460" s="14" t="n">
        <v>8005283.768798648</v>
      </c>
      <c r="H3460" s="14" t="n">
        <v>2617616.019448164</v>
      </c>
      <c r="I3460" s="14" t="n">
        <v>173704.0057452034</v>
      </c>
      <c r="J3460" s="14" t="n">
        <v>0</v>
      </c>
      <c r="K3460" s="14" t="n">
        <v>816840.1584228217</v>
      </c>
      <c r="L3460" s="14" t="n">
        <v>4397123.585182459</v>
      </c>
      <c r="M3460" s="14" t="n">
        <v>0</v>
      </c>
      <c r="N3460" s="14" t="n">
        <v>2617616.019448164</v>
      </c>
      <c r="O3460" s="14" t="n">
        <v>3608160.18361619</v>
      </c>
      <c r="P3460" s="14" t="n">
        <v>0</v>
      </c>
      <c r="Q3460" s="14" t="n">
        <v>30055035.20792373</v>
      </c>
      <c r="R3460" s="15">
        <f>IF(D3460=1,"Section 1","Control")</f>
        <v/>
      </c>
      <c r="S3460" s="16">
        <f>N3460/10000</f>
        <v/>
      </c>
      <c r="T3460" s="16">
        <f>P3460/10000</f>
        <v/>
      </c>
      <c r="U3460" s="15">
        <f>IF(N3460&gt;=Summary!$D$3,1,0)</f>
        <v/>
      </c>
      <c r="V3460" s="17">
        <f>IF(N3460&gt;0,P3460/N3460,"")</f>
        <v/>
      </c>
      <c r="W3460" s="17">
        <f>IF(O3460&gt;0,H3460/O3460,"")</f>
        <v/>
      </c>
    </row>
    <row r="3461">
      <c r="A3461" s="13" t="inlineStr">
        <is>
          <t>CW33_B3</t>
        </is>
      </c>
      <c r="B3461" s="13" t="inlineStr">
        <is>
          <t>CW33</t>
        </is>
      </c>
      <c r="C3461" s="13" t="inlineStr">
        <is>
          <t>B3</t>
        </is>
      </c>
      <c r="D3461" s="13" t="n">
        <v>0</v>
      </c>
      <c r="E3461" s="13" t="inlineStr">
        <is>
          <t>W</t>
        </is>
      </c>
      <c r="F3461" s="13" t="n">
        <v>2021</v>
      </c>
      <c r="G3461" s="14" t="n">
        <v>8005283.768798648</v>
      </c>
      <c r="H3461" s="14" t="n">
        <v>2508326.926422748</v>
      </c>
      <c r="I3461" s="14" t="n">
        <v>119614.6925540401</v>
      </c>
      <c r="J3461" s="14" t="n">
        <v>0</v>
      </c>
      <c r="K3461" s="14" t="n">
        <v>994811.341450052</v>
      </c>
      <c r="L3461" s="14" t="n">
        <v>4382530.808371809</v>
      </c>
      <c r="M3461" s="14" t="n">
        <v>0</v>
      </c>
      <c r="N3461" s="14" t="n">
        <v>2617616.019448164</v>
      </c>
      <c r="O3461" s="14" t="n">
        <v>3608160.18361619</v>
      </c>
      <c r="P3461" s="14" t="n">
        <v>129657.5421592263</v>
      </c>
      <c r="Q3461" s="14" t="n">
        <v>30055035.20792373</v>
      </c>
      <c r="R3461" s="15">
        <f>IF(D3461=1,"Section 1","Control")</f>
        <v/>
      </c>
      <c r="S3461" s="16">
        <f>N3461/10000</f>
        <v/>
      </c>
      <c r="T3461" s="16">
        <f>P3461/10000</f>
        <v/>
      </c>
      <c r="U3461" s="15">
        <f>IF(N3461&gt;=Summary!$D$3,1,0)</f>
        <v/>
      </c>
      <c r="V3461" s="17">
        <f>IF(N3461&gt;0,P3461/N3461,"")</f>
        <v/>
      </c>
      <c r="W3461" s="17">
        <f>IF(O3461&gt;0,H3461/O3461,"")</f>
        <v/>
      </c>
    </row>
    <row r="3462">
      <c r="A3462" s="13" t="inlineStr">
        <is>
          <t>CW33_B3</t>
        </is>
      </c>
      <c r="B3462" s="13" t="inlineStr">
        <is>
          <t>CW33</t>
        </is>
      </c>
      <c r="C3462" s="13" t="inlineStr">
        <is>
          <t>B3</t>
        </is>
      </c>
      <c r="D3462" s="13" t="n">
        <v>0</v>
      </c>
      <c r="E3462" s="13" t="inlineStr">
        <is>
          <t>W</t>
        </is>
      </c>
      <c r="F3462" s="13" t="n">
        <v>2022</v>
      </c>
      <c r="G3462" s="14" t="n">
        <v>8005283.768798649</v>
      </c>
      <c r="H3462" s="14" t="n">
        <v>2417047.21982359</v>
      </c>
      <c r="I3462" s="14" t="n">
        <v>134964.790992288</v>
      </c>
      <c r="J3462" s="14" t="n">
        <v>0</v>
      </c>
      <c r="K3462" s="14" t="n">
        <v>1082629.480655416</v>
      </c>
      <c r="L3462" s="14" t="n">
        <v>4370642.277327354</v>
      </c>
      <c r="M3462" s="14" t="n">
        <v>0</v>
      </c>
      <c r="N3462" s="14" t="n">
        <v>2617616.019448164</v>
      </c>
      <c r="O3462" s="14" t="n">
        <v>3608160.18361619</v>
      </c>
      <c r="P3462" s="14" t="n">
        <v>217051.4489513921</v>
      </c>
      <c r="Q3462" s="14" t="n">
        <v>30055035.20792373</v>
      </c>
      <c r="R3462" s="15">
        <f>IF(D3462=1,"Section 1","Control")</f>
        <v/>
      </c>
      <c r="S3462" s="16">
        <f>N3462/10000</f>
        <v/>
      </c>
      <c r="T3462" s="16">
        <f>P3462/10000</f>
        <v/>
      </c>
      <c r="U3462" s="15">
        <f>IF(N3462&gt;=Summary!$D$3,1,0)</f>
        <v/>
      </c>
      <c r="V3462" s="17">
        <f>IF(N3462&gt;0,P3462/N3462,"")</f>
        <v/>
      </c>
      <c r="W3462" s="17">
        <f>IF(O3462&gt;0,H3462/O3462,"")</f>
        <v/>
      </c>
    </row>
    <row r="3463">
      <c r="A3463" s="13" t="inlineStr">
        <is>
          <t>CW33_B3</t>
        </is>
      </c>
      <c r="B3463" s="13" t="inlineStr">
        <is>
          <t>CW33</t>
        </is>
      </c>
      <c r="C3463" s="13" t="inlineStr">
        <is>
          <t>B3</t>
        </is>
      </c>
      <c r="D3463" s="13" t="n">
        <v>0</v>
      </c>
      <c r="E3463" s="13" t="inlineStr">
        <is>
          <t>W</t>
        </is>
      </c>
      <c r="F3463" s="13" t="n">
        <v>2023</v>
      </c>
      <c r="G3463" s="14" t="n">
        <v>8005283.768798649</v>
      </c>
      <c r="H3463" s="14" t="n">
        <v>2416421.438819048</v>
      </c>
      <c r="I3463" s="14" t="n">
        <v>135400.9112571866</v>
      </c>
      <c r="J3463" s="14" t="n">
        <v>0</v>
      </c>
      <c r="K3463" s="14" t="n">
        <v>1044699.810800201</v>
      </c>
      <c r="L3463" s="14" t="n">
        <v>4408761.607922213</v>
      </c>
      <c r="M3463" s="14" t="n">
        <v>0</v>
      </c>
      <c r="N3463" s="14" t="n">
        <v>2617616.019448164</v>
      </c>
      <c r="O3463" s="14" t="n">
        <v>3608160.18361619</v>
      </c>
      <c r="P3463" s="14" t="n">
        <v>220975.6842385385</v>
      </c>
      <c r="Q3463" s="14" t="n">
        <v>30055035.20792373</v>
      </c>
      <c r="R3463" s="15">
        <f>IF(D3463=1,"Section 1","Control")</f>
        <v/>
      </c>
      <c r="S3463" s="16">
        <f>N3463/10000</f>
        <v/>
      </c>
      <c r="T3463" s="16">
        <f>P3463/10000</f>
        <v/>
      </c>
      <c r="U3463" s="15">
        <f>IF(N3463&gt;=Summary!$D$3,1,0)</f>
        <v/>
      </c>
      <c r="V3463" s="17">
        <f>IF(N3463&gt;0,P3463/N3463,"")</f>
        <v/>
      </c>
      <c r="W3463" s="17">
        <f>IF(O3463&gt;0,H3463/O3463,"")</f>
        <v/>
      </c>
    </row>
    <row r="3464">
      <c r="A3464" s="13" t="inlineStr">
        <is>
          <t>CW33_B3</t>
        </is>
      </c>
      <c r="B3464" s="13" t="inlineStr">
        <is>
          <t>CW33</t>
        </is>
      </c>
      <c r="C3464" s="13" t="inlineStr">
        <is>
          <t>B3</t>
        </is>
      </c>
      <c r="D3464" s="13" t="n">
        <v>0</v>
      </c>
      <c r="E3464" s="13" t="inlineStr">
        <is>
          <t>W</t>
        </is>
      </c>
      <c r="F3464" s="13" t="n">
        <v>2024</v>
      </c>
      <c r="G3464" s="14" t="n">
        <v>8005283.768798649</v>
      </c>
      <c r="H3464" s="14" t="n">
        <v>2404440.095587397</v>
      </c>
      <c r="I3464" s="14" t="n">
        <v>145415.7698623059</v>
      </c>
      <c r="J3464" s="14" t="n">
        <v>0</v>
      </c>
      <c r="K3464" s="14" t="n">
        <v>1065014.916352126</v>
      </c>
      <c r="L3464" s="14" t="n">
        <v>4390412.986996819</v>
      </c>
      <c r="M3464" s="14" t="n">
        <v>0</v>
      </c>
      <c r="N3464" s="14" t="n">
        <v>2617616.019448164</v>
      </c>
      <c r="O3464" s="14" t="n">
        <v>3608160.183616189</v>
      </c>
      <c r="P3464" s="14" t="n">
        <v>236350.8405338062</v>
      </c>
      <c r="Q3464" s="14" t="n">
        <v>30055035.20792373</v>
      </c>
      <c r="R3464" s="15">
        <f>IF(D3464=1,"Section 1","Control")</f>
        <v/>
      </c>
      <c r="S3464" s="16">
        <f>N3464/10000</f>
        <v/>
      </c>
      <c r="T3464" s="16">
        <f>P3464/10000</f>
        <v/>
      </c>
      <c r="U3464" s="15">
        <f>IF(N3464&gt;=Summary!$D$3,1,0)</f>
        <v/>
      </c>
      <c r="V3464" s="17">
        <f>IF(N3464&gt;0,P3464/N3464,"")</f>
        <v/>
      </c>
      <c r="W3464" s="17">
        <f>IF(O3464&gt;0,H3464/O3464,"")</f>
        <v/>
      </c>
    </row>
    <row r="3465">
      <c r="A3465" s="13" t="inlineStr">
        <is>
          <t>CW33_B3</t>
        </is>
      </c>
      <c r="B3465" s="13" t="inlineStr">
        <is>
          <t>CW33</t>
        </is>
      </c>
      <c r="C3465" s="13" t="inlineStr">
        <is>
          <t>B3</t>
        </is>
      </c>
      <c r="D3465" s="13" t="n">
        <v>0</v>
      </c>
      <c r="E3465" s="13" t="inlineStr">
        <is>
          <t>W</t>
        </is>
      </c>
      <c r="F3465" s="13" t="n">
        <v>2025</v>
      </c>
      <c r="G3465" s="14" t="n">
        <v>8005283.768798649</v>
      </c>
      <c r="H3465" s="14" t="n">
        <v>2395722.621648392</v>
      </c>
      <c r="I3465" s="14" t="n">
        <v>150153.0989079494</v>
      </c>
      <c r="J3465" s="14" t="n">
        <v>0</v>
      </c>
      <c r="K3465" s="14" t="n">
        <v>1066260.980370495</v>
      </c>
      <c r="L3465" s="14" t="n">
        <v>4393147.067871812</v>
      </c>
      <c r="M3465" s="14" t="n">
        <v>0</v>
      </c>
      <c r="N3465" s="14" t="n">
        <v>2617616.019448164</v>
      </c>
      <c r="O3465" s="14" t="n">
        <v>3608160.18361619</v>
      </c>
      <c r="P3465" s="14" t="n">
        <v>250524.3725404627</v>
      </c>
      <c r="Q3465" s="14" t="n">
        <v>30055035.20792373</v>
      </c>
      <c r="R3465" s="15">
        <f>IF(D3465=1,"Section 1","Control")</f>
        <v/>
      </c>
      <c r="S3465" s="16">
        <f>N3465/10000</f>
        <v/>
      </c>
      <c r="T3465" s="16">
        <f>P3465/10000</f>
        <v/>
      </c>
      <c r="U3465" s="15">
        <f>IF(N3465&gt;=Summary!$D$3,1,0)</f>
        <v/>
      </c>
      <c r="V3465" s="17">
        <f>IF(N3465&gt;0,P3465/N3465,"")</f>
        <v/>
      </c>
      <c r="W3465" s="17">
        <f>IF(O3465&gt;0,H3465/O3465,"")</f>
        <v/>
      </c>
    </row>
    <row r="3466">
      <c r="A3466" s="13" t="inlineStr">
        <is>
          <t>CW33_B3</t>
        </is>
      </c>
      <c r="B3466" s="13" t="inlineStr">
        <is>
          <t>CW33</t>
        </is>
      </c>
      <c r="C3466" s="13" t="inlineStr">
        <is>
          <t>B3</t>
        </is>
      </c>
      <c r="D3466" s="13" t="n">
        <v>0</v>
      </c>
      <c r="E3466" s="13" t="inlineStr">
        <is>
          <t>W</t>
        </is>
      </c>
      <c r="F3466" s="13" t="n">
        <v>2026</v>
      </c>
      <c r="G3466" s="14" t="n">
        <v>8005283.768798648</v>
      </c>
      <c r="H3466" s="14" t="n">
        <v>2387061.667581117</v>
      </c>
      <c r="I3466" s="14" t="n">
        <v>128406.1225146125</v>
      </c>
      <c r="J3466" s="14" t="n">
        <v>0</v>
      </c>
      <c r="K3466" s="14" t="n">
        <v>1084509.758689641</v>
      </c>
      <c r="L3466" s="14" t="n">
        <v>4405306.220013278</v>
      </c>
      <c r="M3466" s="14" t="n">
        <v>0</v>
      </c>
      <c r="N3466" s="14" t="n">
        <v>2617616.019448164</v>
      </c>
      <c r="O3466" s="14" t="n">
        <v>3608160.18361619</v>
      </c>
      <c r="P3466" s="14" t="n">
        <v>269267.229271683</v>
      </c>
      <c r="Q3466" s="14" t="n">
        <v>30055035.20792373</v>
      </c>
      <c r="R3466" s="15">
        <f>IF(D3466=1,"Section 1","Control")</f>
        <v/>
      </c>
      <c r="S3466" s="16">
        <f>N3466/10000</f>
        <v/>
      </c>
      <c r="T3466" s="16">
        <f>P3466/10000</f>
        <v/>
      </c>
      <c r="U3466" s="15">
        <f>IF(N3466&gt;=Summary!$D$3,1,0)</f>
        <v/>
      </c>
      <c r="V3466" s="17">
        <f>IF(N3466&gt;0,P3466/N3466,"")</f>
        <v/>
      </c>
      <c r="W3466" s="17">
        <f>IF(O3466&gt;0,H3466/O3466,"")</f>
        <v/>
      </c>
    </row>
    <row r="3467">
      <c r="A3467" s="13" t="inlineStr">
        <is>
          <t>CW33_F</t>
        </is>
      </c>
      <c r="B3467" s="13" t="inlineStr">
        <is>
          <t>CW33</t>
        </is>
      </c>
      <c r="C3467" s="13" t="inlineStr">
        <is>
          <t>F</t>
        </is>
      </c>
      <c r="D3467" s="13" t="n">
        <v>0</v>
      </c>
      <c r="E3467" s="13" t="inlineStr">
        <is>
          <t>W</t>
        </is>
      </c>
      <c r="F3467" s="13" t="n">
        <v>2020</v>
      </c>
      <c r="G3467" s="14" t="n">
        <v>69544.00974539961</v>
      </c>
      <c r="H3467" s="14" t="n">
        <v>708.1317596435547</v>
      </c>
      <c r="I3467" s="14" t="n">
        <v>24612.31370646161</v>
      </c>
      <c r="J3467" s="14" t="n">
        <v>0</v>
      </c>
      <c r="K3467" s="14" t="n">
        <v>36769.4071254356</v>
      </c>
      <c r="L3467" s="14" t="n">
        <v>7454.157153858861</v>
      </c>
      <c r="M3467" s="14" t="n">
        <v>0</v>
      </c>
      <c r="N3467" s="14" t="n">
        <v>708.1317596435547</v>
      </c>
      <c r="O3467" s="14" t="n">
        <v>62089.85259154077</v>
      </c>
      <c r="P3467" s="14" t="n">
        <v>0</v>
      </c>
      <c r="Q3467" s="14" t="n">
        <v>738833.9706435264</v>
      </c>
      <c r="R3467" s="15">
        <f>IF(D3467=1,"Section 1","Control")</f>
        <v/>
      </c>
      <c r="S3467" s="16">
        <f>N3467/10000</f>
        <v/>
      </c>
      <c r="T3467" s="16">
        <f>P3467/10000</f>
        <v/>
      </c>
      <c r="U3467" s="15">
        <f>IF(N3467&gt;=Summary!$D$3,1,0)</f>
        <v/>
      </c>
      <c r="V3467" s="17">
        <f>IF(N3467&gt;0,P3467/N3467,"")</f>
        <v/>
      </c>
      <c r="W3467" s="17">
        <f>IF(O3467&gt;0,H3467/O3467,"")</f>
        <v/>
      </c>
    </row>
    <row r="3468">
      <c r="A3468" s="13" t="inlineStr">
        <is>
          <t>CW33_F</t>
        </is>
      </c>
      <c r="B3468" s="13" t="inlineStr">
        <is>
          <t>CW33</t>
        </is>
      </c>
      <c r="C3468" s="13" t="inlineStr">
        <is>
          <t>F</t>
        </is>
      </c>
      <c r="D3468" s="13" t="n">
        <v>0</v>
      </c>
      <c r="E3468" s="13" t="inlineStr">
        <is>
          <t>W</t>
        </is>
      </c>
      <c r="F3468" s="13" t="n">
        <v>2021</v>
      </c>
      <c r="G3468" s="14" t="n">
        <v>69544.00974539961</v>
      </c>
      <c r="H3468" s="14" t="n">
        <v>111.5046238618738</v>
      </c>
      <c r="I3468" s="14" t="n">
        <v>23315.68539395802</v>
      </c>
      <c r="J3468" s="14" t="n">
        <v>0</v>
      </c>
      <c r="K3468" s="14" t="n">
        <v>46116.81972757969</v>
      </c>
      <c r="L3468" s="14" t="n">
        <v>0</v>
      </c>
      <c r="M3468" s="14" t="n">
        <v>0</v>
      </c>
      <c r="N3468" s="14" t="n">
        <v>708.1317596435547</v>
      </c>
      <c r="O3468" s="14" t="n">
        <v>62089.85259154077</v>
      </c>
      <c r="P3468" s="14" t="n">
        <v>708.1317596435547</v>
      </c>
      <c r="Q3468" s="14" t="n">
        <v>738833.9706435264</v>
      </c>
      <c r="R3468" s="15">
        <f>IF(D3468=1,"Section 1","Control")</f>
        <v/>
      </c>
      <c r="S3468" s="16">
        <f>N3468/10000</f>
        <v/>
      </c>
      <c r="T3468" s="16">
        <f>P3468/10000</f>
        <v/>
      </c>
      <c r="U3468" s="15">
        <f>IF(N3468&gt;=Summary!$D$3,1,0)</f>
        <v/>
      </c>
      <c r="V3468" s="17">
        <f>IF(N3468&gt;0,P3468/N3468,"")</f>
        <v/>
      </c>
      <c r="W3468" s="17">
        <f>IF(O3468&gt;0,H3468/O3468,"")</f>
        <v/>
      </c>
    </row>
    <row r="3469">
      <c r="A3469" s="13" t="inlineStr">
        <is>
          <t>CW33_F</t>
        </is>
      </c>
      <c r="B3469" s="13" t="inlineStr">
        <is>
          <t>CW33</t>
        </is>
      </c>
      <c r="C3469" s="13" t="inlineStr">
        <is>
          <t>F</t>
        </is>
      </c>
      <c r="D3469" s="13" t="n">
        <v>0</v>
      </c>
      <c r="E3469" s="13" t="inlineStr">
        <is>
          <t>W</t>
        </is>
      </c>
      <c r="F3469" s="13" t="n">
        <v>2022</v>
      </c>
      <c r="G3469" s="14" t="n">
        <v>69544.00974539961</v>
      </c>
      <c r="H3469" s="14" t="n">
        <v>296.1841201782227</v>
      </c>
      <c r="I3469" s="14" t="n">
        <v>24636.31797937133</v>
      </c>
      <c r="J3469" s="14" t="n">
        <v>0</v>
      </c>
      <c r="K3469" s="14" t="n">
        <v>44611.50764585003</v>
      </c>
      <c r="L3469" s="14" t="n">
        <v>0</v>
      </c>
      <c r="M3469" s="14" t="n">
        <v>0</v>
      </c>
      <c r="N3469" s="14" t="n">
        <v>708.1317596435547</v>
      </c>
      <c r="O3469" s="14" t="n">
        <v>62089.85259154077</v>
      </c>
      <c r="P3469" s="14" t="n">
        <v>708.1317596435547</v>
      </c>
      <c r="Q3469" s="14" t="n">
        <v>738833.9706435264</v>
      </c>
      <c r="R3469" s="15">
        <f>IF(D3469=1,"Section 1","Control")</f>
        <v/>
      </c>
      <c r="S3469" s="16">
        <f>N3469/10000</f>
        <v/>
      </c>
      <c r="T3469" s="16">
        <f>P3469/10000</f>
        <v/>
      </c>
      <c r="U3469" s="15">
        <f>IF(N3469&gt;=Summary!$D$3,1,0)</f>
        <v/>
      </c>
      <c r="V3469" s="17">
        <f>IF(N3469&gt;0,P3469/N3469,"")</f>
        <v/>
      </c>
      <c r="W3469" s="17">
        <f>IF(O3469&gt;0,H3469/O3469,"")</f>
        <v/>
      </c>
    </row>
    <row r="3470">
      <c r="A3470" s="13" t="inlineStr">
        <is>
          <t>CW33_F</t>
        </is>
      </c>
      <c r="B3470" s="13" t="inlineStr">
        <is>
          <t>CW33</t>
        </is>
      </c>
      <c r="C3470" s="13" t="inlineStr">
        <is>
          <t>F</t>
        </is>
      </c>
      <c r="D3470" s="13" t="n">
        <v>0</v>
      </c>
      <c r="E3470" s="13" t="inlineStr">
        <is>
          <t>W</t>
        </is>
      </c>
      <c r="F3470" s="13" t="n">
        <v>2023</v>
      </c>
      <c r="G3470" s="14" t="n">
        <v>69544.0097453996</v>
      </c>
      <c r="H3470" s="14" t="n">
        <v>666.3173904418945</v>
      </c>
      <c r="I3470" s="14" t="n">
        <v>24458.22044564044</v>
      </c>
      <c r="J3470" s="14" t="n">
        <v>0</v>
      </c>
      <c r="K3470" s="14" t="n">
        <v>43679.20523909021</v>
      </c>
      <c r="L3470" s="14" t="n">
        <v>740.2666702270508</v>
      </c>
      <c r="M3470" s="14" t="n">
        <v>0</v>
      </c>
      <c r="N3470" s="14" t="n">
        <v>708.1317596435547</v>
      </c>
      <c r="O3470" s="14" t="n">
        <v>62089.85259154077</v>
      </c>
      <c r="P3470" s="14" t="n">
        <v>609.4037780761719</v>
      </c>
      <c r="Q3470" s="14" t="n">
        <v>738833.9706435264</v>
      </c>
      <c r="R3470" s="15">
        <f>IF(D3470=1,"Section 1","Control")</f>
        <v/>
      </c>
      <c r="S3470" s="16">
        <f>N3470/10000</f>
        <v/>
      </c>
      <c r="T3470" s="16">
        <f>P3470/10000</f>
        <v/>
      </c>
      <c r="U3470" s="15">
        <f>IF(N3470&gt;=Summary!$D$3,1,0)</f>
        <v/>
      </c>
      <c r="V3470" s="17">
        <f>IF(N3470&gt;0,P3470/N3470,"")</f>
        <v/>
      </c>
      <c r="W3470" s="17">
        <f>IF(O3470&gt;0,H3470/O3470,"")</f>
        <v/>
      </c>
    </row>
    <row r="3471">
      <c r="A3471" s="13" t="inlineStr">
        <is>
          <t>CW33_F</t>
        </is>
      </c>
      <c r="B3471" s="13" t="inlineStr">
        <is>
          <t>CW33</t>
        </is>
      </c>
      <c r="C3471" s="13" t="inlineStr">
        <is>
          <t>F</t>
        </is>
      </c>
      <c r="D3471" s="13" t="n">
        <v>0</v>
      </c>
      <c r="E3471" s="13" t="inlineStr">
        <is>
          <t>W</t>
        </is>
      </c>
      <c r="F3471" s="13" t="n">
        <v>2024</v>
      </c>
      <c r="G3471" s="14" t="n">
        <v>69544.0097453996</v>
      </c>
      <c r="H3471" s="14" t="n">
        <v>7221.857475280762</v>
      </c>
      <c r="I3471" s="14" t="n">
        <v>18038.57660866532</v>
      </c>
      <c r="J3471" s="14" t="n">
        <v>0</v>
      </c>
      <c r="K3471" s="14" t="n">
        <v>43839.49311499497</v>
      </c>
      <c r="L3471" s="14" t="n">
        <v>444.0825464585248</v>
      </c>
      <c r="M3471" s="14" t="n">
        <v>0</v>
      </c>
      <c r="N3471" s="14" t="n">
        <v>708.1317596435547</v>
      </c>
      <c r="O3471" s="14" t="n">
        <v>62089.85259154077</v>
      </c>
      <c r="P3471" s="14" t="n">
        <v>584.6249694824219</v>
      </c>
      <c r="Q3471" s="14" t="n">
        <v>738833.9706435264</v>
      </c>
      <c r="R3471" s="15">
        <f>IF(D3471=1,"Section 1","Control")</f>
        <v/>
      </c>
      <c r="S3471" s="16">
        <f>N3471/10000</f>
        <v/>
      </c>
      <c r="T3471" s="16">
        <f>P3471/10000</f>
        <v/>
      </c>
      <c r="U3471" s="15">
        <f>IF(N3471&gt;=Summary!$D$3,1,0)</f>
        <v/>
      </c>
      <c r="V3471" s="17">
        <f>IF(N3471&gt;0,P3471/N3471,"")</f>
        <v/>
      </c>
      <c r="W3471" s="17">
        <f>IF(O3471&gt;0,H3471/O3471,"")</f>
        <v/>
      </c>
    </row>
    <row r="3472">
      <c r="A3472" s="13" t="inlineStr">
        <is>
          <t>CW33_F</t>
        </is>
      </c>
      <c r="B3472" s="13" t="inlineStr">
        <is>
          <t>CW33</t>
        </is>
      </c>
      <c r="C3472" s="13" t="inlineStr">
        <is>
          <t>F</t>
        </is>
      </c>
      <c r="D3472" s="13" t="n">
        <v>0</v>
      </c>
      <c r="E3472" s="13" t="inlineStr">
        <is>
          <t>W</t>
        </is>
      </c>
      <c r="F3472" s="13" t="n">
        <v>2025</v>
      </c>
      <c r="G3472" s="14" t="n">
        <v>69544.0097453996</v>
      </c>
      <c r="H3472" s="14" t="n">
        <v>740.6534576416016</v>
      </c>
      <c r="I3472" s="14" t="n">
        <v>25599.59395207426</v>
      </c>
      <c r="J3472" s="14" t="n">
        <v>0</v>
      </c>
      <c r="K3472" s="14" t="n">
        <v>35641.19900114763</v>
      </c>
      <c r="L3472" s="14" t="n">
        <v>7562.563334536087</v>
      </c>
      <c r="M3472" s="14" t="n">
        <v>0</v>
      </c>
      <c r="N3472" s="14" t="n">
        <v>708.1317596435547</v>
      </c>
      <c r="O3472" s="14" t="n">
        <v>62089.85259154077</v>
      </c>
      <c r="P3472" s="14" t="n">
        <v>559.8461608886719</v>
      </c>
      <c r="Q3472" s="14" t="n">
        <v>738833.9706435264</v>
      </c>
      <c r="R3472" s="15">
        <f>IF(D3472=1,"Section 1","Control")</f>
        <v/>
      </c>
      <c r="S3472" s="16">
        <f>N3472/10000</f>
        <v/>
      </c>
      <c r="T3472" s="16">
        <f>P3472/10000</f>
        <v/>
      </c>
      <c r="U3472" s="15">
        <f>IF(N3472&gt;=Summary!$D$3,1,0)</f>
        <v/>
      </c>
      <c r="V3472" s="17">
        <f>IF(N3472&gt;0,P3472/N3472,"")</f>
        <v/>
      </c>
      <c r="W3472" s="17">
        <f>IF(O3472&gt;0,H3472/O3472,"")</f>
        <v/>
      </c>
    </row>
    <row r="3473">
      <c r="A3473" s="13" t="inlineStr">
        <is>
          <t>CW33_F</t>
        </is>
      </c>
      <c r="B3473" s="13" t="inlineStr">
        <is>
          <t>CW33</t>
        </is>
      </c>
      <c r="C3473" s="13" t="inlineStr">
        <is>
          <t>F</t>
        </is>
      </c>
      <c r="D3473" s="13" t="n">
        <v>0</v>
      </c>
      <c r="E3473" s="13" t="inlineStr">
        <is>
          <t>W</t>
        </is>
      </c>
      <c r="F3473" s="13" t="n">
        <v>2026</v>
      </c>
      <c r="G3473" s="14" t="n">
        <v>69544.00974539961</v>
      </c>
      <c r="H3473" s="14" t="n">
        <v>13151.34565701952</v>
      </c>
      <c r="I3473" s="14" t="n">
        <v>12559.36561898625</v>
      </c>
      <c r="J3473" s="14" t="n">
        <v>0</v>
      </c>
      <c r="K3473" s="14" t="n">
        <v>36046.95104785992</v>
      </c>
      <c r="L3473" s="14" t="n">
        <v>7786.347421533924</v>
      </c>
      <c r="M3473" s="14" t="n">
        <v>0</v>
      </c>
      <c r="N3473" s="14" t="n">
        <v>708.1317596435547</v>
      </c>
      <c r="O3473" s="14" t="n">
        <v>62089.85259154077</v>
      </c>
      <c r="P3473" s="14" t="n">
        <v>510.6757125854492</v>
      </c>
      <c r="Q3473" s="14" t="n">
        <v>738833.9706435264</v>
      </c>
      <c r="R3473" s="15">
        <f>IF(D3473=1,"Section 1","Control")</f>
        <v/>
      </c>
      <c r="S3473" s="16">
        <f>N3473/10000</f>
        <v/>
      </c>
      <c r="T3473" s="16">
        <f>P3473/10000</f>
        <v/>
      </c>
      <c r="U3473" s="15">
        <f>IF(N3473&gt;=Summary!$D$3,1,0)</f>
        <v/>
      </c>
      <c r="V3473" s="17">
        <f>IF(N3473&gt;0,P3473/N3473,"")</f>
        <v/>
      </c>
      <c r="W3473" s="17">
        <f>IF(O3473&gt;0,H3473/O3473,"")</f>
        <v/>
      </c>
    </row>
    <row r="3474">
      <c r="A3474" s="13" t="inlineStr">
        <is>
          <t>CW34_B1</t>
        </is>
      </c>
      <c r="B3474" s="13" t="inlineStr">
        <is>
          <t>CW34</t>
        </is>
      </c>
      <c r="C3474" s="13" t="inlineStr">
        <is>
          <t>B1</t>
        </is>
      </c>
      <c r="D3474" s="13" t="n">
        <v>0</v>
      </c>
      <c r="E3474" s="13" t="inlineStr">
        <is>
          <t>W</t>
        </is>
      </c>
      <c r="F3474" s="13" t="n">
        <v>2020</v>
      </c>
      <c r="G3474" s="14" t="n">
        <v>1000348.414967346</v>
      </c>
      <c r="H3474" s="14" t="n">
        <v>211049.1242983949</v>
      </c>
      <c r="I3474" s="14" t="n">
        <v>195349.6306893442</v>
      </c>
      <c r="J3474" s="14" t="n">
        <v>0</v>
      </c>
      <c r="K3474" s="14" t="n">
        <v>152231.3079135671</v>
      </c>
      <c r="L3474" s="14" t="n">
        <v>441718.35206604</v>
      </c>
      <c r="M3474" s="14" t="n">
        <v>0</v>
      </c>
      <c r="N3474" s="14" t="n">
        <v>211049.1242983949</v>
      </c>
      <c r="O3474" s="14" t="n">
        <v>558630.0629013061</v>
      </c>
      <c r="P3474" s="14" t="n">
        <v>0</v>
      </c>
      <c r="Q3474" s="14" t="n">
        <v>5514393.009491265</v>
      </c>
      <c r="R3474" s="15">
        <f>IF(D3474=1,"Section 1","Control")</f>
        <v/>
      </c>
      <c r="S3474" s="16">
        <f>N3474/10000</f>
        <v/>
      </c>
      <c r="T3474" s="16">
        <f>P3474/10000</f>
        <v/>
      </c>
      <c r="U3474" s="15">
        <f>IF(N3474&gt;=Summary!$D$3,1,0)</f>
        <v/>
      </c>
      <c r="V3474" s="17">
        <f>IF(N3474&gt;0,P3474/N3474,"")</f>
        <v/>
      </c>
      <c r="W3474" s="17">
        <f>IF(O3474&gt;0,H3474/O3474,"")</f>
        <v/>
      </c>
    </row>
    <row r="3475">
      <c r="A3475" s="13" t="inlineStr">
        <is>
          <t>CW34_B1</t>
        </is>
      </c>
      <c r="B3475" s="13" t="inlineStr">
        <is>
          <t>CW34</t>
        </is>
      </c>
      <c r="C3475" s="13" t="inlineStr">
        <is>
          <t>B1</t>
        </is>
      </c>
      <c r="D3475" s="13" t="n">
        <v>0</v>
      </c>
      <c r="E3475" s="13" t="inlineStr">
        <is>
          <t>W</t>
        </is>
      </c>
      <c r="F3475" s="13" t="n">
        <v>2021</v>
      </c>
      <c r="G3475" s="14" t="n">
        <v>1000348.414967346</v>
      </c>
      <c r="H3475" s="14" t="n">
        <v>151711.6550255869</v>
      </c>
      <c r="I3475" s="14" t="n">
        <v>188202.6193542181</v>
      </c>
      <c r="J3475" s="14" t="n">
        <v>0</v>
      </c>
      <c r="K3475" s="14" t="n">
        <v>289361.5871886608</v>
      </c>
      <c r="L3475" s="14" t="n">
        <v>371072.5533988803</v>
      </c>
      <c r="M3475" s="14" t="n">
        <v>0</v>
      </c>
      <c r="N3475" s="14" t="n">
        <v>211049.1242983949</v>
      </c>
      <c r="O3475" s="14" t="n">
        <v>558630.0629013062</v>
      </c>
      <c r="P3475" s="14" t="n">
        <v>71463.14821190927</v>
      </c>
      <c r="Q3475" s="14" t="n">
        <v>5514393.009491265</v>
      </c>
      <c r="R3475" s="15">
        <f>IF(D3475=1,"Section 1","Control")</f>
        <v/>
      </c>
      <c r="S3475" s="16">
        <f>N3475/10000</f>
        <v/>
      </c>
      <c r="T3475" s="16">
        <f>P3475/10000</f>
        <v/>
      </c>
      <c r="U3475" s="15">
        <f>IF(N3475&gt;=Summary!$D$3,1,0)</f>
        <v/>
      </c>
      <c r="V3475" s="17">
        <f>IF(N3475&gt;0,P3475/N3475,"")</f>
        <v/>
      </c>
      <c r="W3475" s="17">
        <f>IF(O3475&gt;0,H3475/O3475,"")</f>
        <v/>
      </c>
    </row>
    <row r="3476">
      <c r="A3476" s="13" t="inlineStr">
        <is>
          <t>CW34_B1</t>
        </is>
      </c>
      <c r="B3476" s="13" t="inlineStr">
        <is>
          <t>CW34</t>
        </is>
      </c>
      <c r="C3476" s="13" t="inlineStr">
        <is>
          <t>B1</t>
        </is>
      </c>
      <c r="D3476" s="13" t="n">
        <v>0</v>
      </c>
      <c r="E3476" s="13" t="inlineStr">
        <is>
          <t>W</t>
        </is>
      </c>
      <c r="F3476" s="13" t="n">
        <v>2022</v>
      </c>
      <c r="G3476" s="14" t="n">
        <v>1000348.414967346</v>
      </c>
      <c r="H3476" s="14" t="n">
        <v>135816.5132943247</v>
      </c>
      <c r="I3476" s="14" t="n">
        <v>211428.4321899413</v>
      </c>
      <c r="J3476" s="14" t="n">
        <v>0</v>
      </c>
      <c r="K3476" s="14" t="n">
        <v>260811.3899183386</v>
      </c>
      <c r="L3476" s="14" t="n">
        <v>392292.0795647415</v>
      </c>
      <c r="M3476" s="14" t="n">
        <v>0</v>
      </c>
      <c r="N3476" s="14" t="n">
        <v>211049.1242983949</v>
      </c>
      <c r="O3476" s="14" t="n">
        <v>558630.0629013062</v>
      </c>
      <c r="P3476" s="14" t="n">
        <v>82915.55608697032</v>
      </c>
      <c r="Q3476" s="14" t="n">
        <v>5514393.009491265</v>
      </c>
      <c r="R3476" s="15">
        <f>IF(D3476=1,"Section 1","Control")</f>
        <v/>
      </c>
      <c r="S3476" s="16">
        <f>N3476/10000</f>
        <v/>
      </c>
      <c r="T3476" s="16">
        <f>P3476/10000</f>
        <v/>
      </c>
      <c r="U3476" s="15">
        <f>IF(N3476&gt;=Summary!$D$3,1,0)</f>
        <v/>
      </c>
      <c r="V3476" s="17">
        <f>IF(N3476&gt;0,P3476/N3476,"")</f>
        <v/>
      </c>
      <c r="W3476" s="17">
        <f>IF(O3476&gt;0,H3476/O3476,"")</f>
        <v/>
      </c>
    </row>
    <row r="3477">
      <c r="A3477" s="13" t="inlineStr">
        <is>
          <t>CW34_B1</t>
        </is>
      </c>
      <c r="B3477" s="13" t="inlineStr">
        <is>
          <t>CW34</t>
        </is>
      </c>
      <c r="C3477" s="13" t="inlineStr">
        <is>
          <t>B1</t>
        </is>
      </c>
      <c r="D3477" s="13" t="n">
        <v>0</v>
      </c>
      <c r="E3477" s="13" t="inlineStr">
        <is>
          <t>W</t>
        </is>
      </c>
      <c r="F3477" s="13" t="n">
        <v>2023</v>
      </c>
      <c r="G3477" s="14" t="n">
        <v>1000348.414967346</v>
      </c>
      <c r="H3477" s="14" t="n">
        <v>143590.8241773717</v>
      </c>
      <c r="I3477" s="14" t="n">
        <v>187525.3781154857</v>
      </c>
      <c r="J3477" s="14" t="n">
        <v>0</v>
      </c>
      <c r="K3477" s="14" t="n">
        <v>253430.8920846079</v>
      </c>
      <c r="L3477" s="14" t="n">
        <v>415801.3205898808</v>
      </c>
      <c r="M3477" s="14" t="n">
        <v>0</v>
      </c>
      <c r="N3477" s="14" t="n">
        <v>211049.1242983949</v>
      </c>
      <c r="O3477" s="14" t="n">
        <v>558630.0629013062</v>
      </c>
      <c r="P3477" s="14" t="n">
        <v>78497.98546881582</v>
      </c>
      <c r="Q3477" s="14" t="n">
        <v>5514393.009491265</v>
      </c>
      <c r="R3477" s="15">
        <f>IF(D3477=1,"Section 1","Control")</f>
        <v/>
      </c>
      <c r="S3477" s="16">
        <f>N3477/10000</f>
        <v/>
      </c>
      <c r="T3477" s="16">
        <f>P3477/10000</f>
        <v/>
      </c>
      <c r="U3477" s="15">
        <f>IF(N3477&gt;=Summary!$D$3,1,0)</f>
        <v/>
      </c>
      <c r="V3477" s="17">
        <f>IF(N3477&gt;0,P3477/N3477,"")</f>
        <v/>
      </c>
      <c r="W3477" s="17">
        <f>IF(O3477&gt;0,H3477/O3477,"")</f>
        <v/>
      </c>
    </row>
    <row r="3478">
      <c r="A3478" s="13" t="inlineStr">
        <is>
          <t>CW34_B1</t>
        </is>
      </c>
      <c r="B3478" s="13" t="inlineStr">
        <is>
          <t>CW34</t>
        </is>
      </c>
      <c r="C3478" s="13" t="inlineStr">
        <is>
          <t>B1</t>
        </is>
      </c>
      <c r="D3478" s="13" t="n">
        <v>0</v>
      </c>
      <c r="E3478" s="13" t="inlineStr">
        <is>
          <t>W</t>
        </is>
      </c>
      <c r="F3478" s="13" t="n">
        <v>2024</v>
      </c>
      <c r="G3478" s="14" t="n">
        <v>1000348.414967346</v>
      </c>
      <c r="H3478" s="14" t="n">
        <v>159496.851059678</v>
      </c>
      <c r="I3478" s="14" t="n">
        <v>172584.1660373463</v>
      </c>
      <c r="J3478" s="14" t="n">
        <v>0</v>
      </c>
      <c r="K3478" s="14" t="n">
        <v>222587.581011574</v>
      </c>
      <c r="L3478" s="14" t="n">
        <v>445679.8168587479</v>
      </c>
      <c r="M3478" s="14" t="n">
        <v>0</v>
      </c>
      <c r="N3478" s="14" t="n">
        <v>211049.1242983949</v>
      </c>
      <c r="O3478" s="14" t="n">
        <v>558630.0629013061</v>
      </c>
      <c r="P3478" s="14" t="n">
        <v>73592.56330704034</v>
      </c>
      <c r="Q3478" s="14" t="n">
        <v>5514393.009491265</v>
      </c>
      <c r="R3478" s="15">
        <f>IF(D3478=1,"Section 1","Control")</f>
        <v/>
      </c>
      <c r="S3478" s="16">
        <f>N3478/10000</f>
        <v/>
      </c>
      <c r="T3478" s="16">
        <f>P3478/10000</f>
        <v/>
      </c>
      <c r="U3478" s="15">
        <f>IF(N3478&gt;=Summary!$D$3,1,0)</f>
        <v/>
      </c>
      <c r="V3478" s="17">
        <f>IF(N3478&gt;0,P3478/N3478,"")</f>
        <v/>
      </c>
      <c r="W3478" s="17">
        <f>IF(O3478&gt;0,H3478/O3478,"")</f>
        <v/>
      </c>
    </row>
    <row r="3479">
      <c r="A3479" s="13" t="inlineStr">
        <is>
          <t>CW34_B1</t>
        </is>
      </c>
      <c r="B3479" s="13" t="inlineStr">
        <is>
          <t>CW34</t>
        </is>
      </c>
      <c r="C3479" s="13" t="inlineStr">
        <is>
          <t>B1</t>
        </is>
      </c>
      <c r="D3479" s="13" t="n">
        <v>0</v>
      </c>
      <c r="E3479" s="13" t="inlineStr">
        <is>
          <t>W</t>
        </is>
      </c>
      <c r="F3479" s="13" t="n">
        <v>2025</v>
      </c>
      <c r="G3479" s="14" t="n">
        <v>1000348.414967346</v>
      </c>
      <c r="H3479" s="14" t="n">
        <v>146341.2191421209</v>
      </c>
      <c r="I3479" s="14" t="n">
        <v>211345.9663561054</v>
      </c>
      <c r="J3479" s="14" t="n">
        <v>0</v>
      </c>
      <c r="K3479" s="14" t="n">
        <v>202236.3255606558</v>
      </c>
      <c r="L3479" s="14" t="n">
        <v>440424.903908464</v>
      </c>
      <c r="M3479" s="14" t="n">
        <v>0</v>
      </c>
      <c r="N3479" s="14" t="n">
        <v>211049.1242983949</v>
      </c>
      <c r="O3479" s="14" t="n">
        <v>558630.0629013061</v>
      </c>
      <c r="P3479" s="14" t="n">
        <v>80980.13470114913</v>
      </c>
      <c r="Q3479" s="14" t="n">
        <v>5514393.009491265</v>
      </c>
      <c r="R3479" s="15">
        <f>IF(D3479=1,"Section 1","Control")</f>
        <v/>
      </c>
      <c r="S3479" s="16">
        <f>N3479/10000</f>
        <v/>
      </c>
      <c r="T3479" s="16">
        <f>P3479/10000</f>
        <v/>
      </c>
      <c r="U3479" s="15">
        <f>IF(N3479&gt;=Summary!$D$3,1,0)</f>
        <v/>
      </c>
      <c r="V3479" s="17">
        <f>IF(N3479&gt;0,P3479/N3479,"")</f>
        <v/>
      </c>
      <c r="W3479" s="17">
        <f>IF(O3479&gt;0,H3479/O3479,"")</f>
        <v/>
      </c>
    </row>
    <row r="3480">
      <c r="A3480" s="13" t="inlineStr">
        <is>
          <t>CW34_B1</t>
        </is>
      </c>
      <c r="B3480" s="13" t="inlineStr">
        <is>
          <t>CW34</t>
        </is>
      </c>
      <c r="C3480" s="13" t="inlineStr">
        <is>
          <t>B1</t>
        </is>
      </c>
      <c r="D3480" s="13" t="n">
        <v>0</v>
      </c>
      <c r="E3480" s="13" t="inlineStr">
        <is>
          <t>W</t>
        </is>
      </c>
      <c r="F3480" s="13" t="n">
        <v>2026</v>
      </c>
      <c r="G3480" s="14" t="n">
        <v>1000348.414967346</v>
      </c>
      <c r="H3480" s="14" t="n">
        <v>178920.3291649014</v>
      </c>
      <c r="I3480" s="14" t="n">
        <v>164821.4281372968</v>
      </c>
      <c r="J3480" s="14" t="n">
        <v>0</v>
      </c>
      <c r="K3480" s="14" t="n">
        <v>197073.5245745192</v>
      </c>
      <c r="L3480" s="14" t="n">
        <v>459533.1330906288</v>
      </c>
      <c r="M3480" s="14" t="n">
        <v>0</v>
      </c>
      <c r="N3480" s="14" t="n">
        <v>211049.1242983949</v>
      </c>
      <c r="O3480" s="14" t="n">
        <v>558630.0629013061</v>
      </c>
      <c r="P3480" s="14" t="n">
        <v>63290.38009523878</v>
      </c>
      <c r="Q3480" s="14" t="n">
        <v>5514393.009491265</v>
      </c>
      <c r="R3480" s="15">
        <f>IF(D3480=1,"Section 1","Control")</f>
        <v/>
      </c>
      <c r="S3480" s="16">
        <f>N3480/10000</f>
        <v/>
      </c>
      <c r="T3480" s="16">
        <f>P3480/10000</f>
        <v/>
      </c>
      <c r="U3480" s="15">
        <f>IF(N3480&gt;=Summary!$D$3,1,0)</f>
        <v/>
      </c>
      <c r="V3480" s="17">
        <f>IF(N3480&gt;0,P3480/N3480,"")</f>
        <v/>
      </c>
      <c r="W3480" s="17">
        <f>IF(O3480&gt;0,H3480/O3480,"")</f>
        <v/>
      </c>
    </row>
    <row r="3481">
      <c r="A3481" s="13" t="inlineStr">
        <is>
          <t>CW34_B2</t>
        </is>
      </c>
      <c r="B3481" s="13" t="inlineStr">
        <is>
          <t>CW34</t>
        </is>
      </c>
      <c r="C3481" s="13" t="inlineStr">
        <is>
          <t>B2</t>
        </is>
      </c>
      <c r="D3481" s="13" t="n">
        <v>0</v>
      </c>
      <c r="E3481" s="13" t="inlineStr">
        <is>
          <t>W</t>
        </is>
      </c>
      <c r="F3481" s="13" t="n">
        <v>2020</v>
      </c>
      <c r="G3481" s="14" t="n">
        <v>1000358.301360576</v>
      </c>
      <c r="H3481" s="14" t="n">
        <v>55244.59246745394</v>
      </c>
      <c r="I3481" s="14" t="n">
        <v>13276.57435981901</v>
      </c>
      <c r="J3481" s="14" t="n">
        <v>0</v>
      </c>
      <c r="K3481" s="14" t="n">
        <v>5647.154237754672</v>
      </c>
      <c r="L3481" s="14" t="n">
        <v>926189.980295548</v>
      </c>
      <c r="M3481" s="14" t="n">
        <v>0</v>
      </c>
      <c r="N3481" s="14" t="n">
        <v>55244.59246745394</v>
      </c>
      <c r="O3481" s="14" t="n">
        <v>74168.32106502759</v>
      </c>
      <c r="P3481" s="14" t="n">
        <v>0</v>
      </c>
      <c r="Q3481" s="14" t="n">
        <v>255106.7294508094</v>
      </c>
      <c r="R3481" s="15">
        <f>IF(D3481=1,"Section 1","Control")</f>
        <v/>
      </c>
      <c r="S3481" s="16">
        <f>N3481/10000</f>
        <v/>
      </c>
      <c r="T3481" s="16">
        <f>P3481/10000</f>
        <v/>
      </c>
      <c r="U3481" s="15">
        <f>IF(N3481&gt;=Summary!$D$3,1,0)</f>
        <v/>
      </c>
      <c r="V3481" s="17">
        <f>IF(N3481&gt;0,P3481/N3481,"")</f>
        <v/>
      </c>
      <c r="W3481" s="17">
        <f>IF(O3481&gt;0,H3481/O3481,"")</f>
        <v/>
      </c>
    </row>
    <row r="3482">
      <c r="A3482" s="13" t="inlineStr">
        <is>
          <t>CW34_B2</t>
        </is>
      </c>
      <c r="B3482" s="13" t="inlineStr">
        <is>
          <t>CW34</t>
        </is>
      </c>
      <c r="C3482" s="13" t="inlineStr">
        <is>
          <t>B2</t>
        </is>
      </c>
      <c r="D3482" s="13" t="n">
        <v>0</v>
      </c>
      <c r="E3482" s="13" t="inlineStr">
        <is>
          <t>W</t>
        </is>
      </c>
      <c r="F3482" s="13" t="n">
        <v>2021</v>
      </c>
      <c r="G3482" s="14" t="n">
        <v>1000358.301360576</v>
      </c>
      <c r="H3482" s="14" t="n">
        <v>56083.9616237566</v>
      </c>
      <c r="I3482" s="14" t="n">
        <v>5035.05110168457</v>
      </c>
      <c r="J3482" s="14" t="n">
        <v>0</v>
      </c>
      <c r="K3482" s="14" t="n">
        <v>19663.98598240872</v>
      </c>
      <c r="L3482" s="14" t="n">
        <v>919575.3026527256</v>
      </c>
      <c r="M3482" s="14" t="n">
        <v>0</v>
      </c>
      <c r="N3482" s="14" t="n">
        <v>55244.59246745394</v>
      </c>
      <c r="O3482" s="14" t="n">
        <v>74168.32106502759</v>
      </c>
      <c r="P3482" s="14" t="n">
        <v>4107.408183857038</v>
      </c>
      <c r="Q3482" s="14" t="n">
        <v>255106.7294508094</v>
      </c>
      <c r="R3482" s="15">
        <f>IF(D3482=1,"Section 1","Control")</f>
        <v/>
      </c>
      <c r="S3482" s="16">
        <f>N3482/10000</f>
        <v/>
      </c>
      <c r="T3482" s="16">
        <f>P3482/10000</f>
        <v/>
      </c>
      <c r="U3482" s="15">
        <f>IF(N3482&gt;=Summary!$D$3,1,0)</f>
        <v/>
      </c>
      <c r="V3482" s="17">
        <f>IF(N3482&gt;0,P3482/N3482,"")</f>
        <v/>
      </c>
      <c r="W3482" s="17">
        <f>IF(O3482&gt;0,H3482/O3482,"")</f>
        <v/>
      </c>
    </row>
    <row r="3483">
      <c r="A3483" s="13" t="inlineStr">
        <is>
          <t>CW34_B2</t>
        </is>
      </c>
      <c r="B3483" s="13" t="inlineStr">
        <is>
          <t>CW34</t>
        </is>
      </c>
      <c r="C3483" s="13" t="inlineStr">
        <is>
          <t>B2</t>
        </is>
      </c>
      <c r="D3483" s="13" t="n">
        <v>0</v>
      </c>
      <c r="E3483" s="13" t="inlineStr">
        <is>
          <t>W</t>
        </is>
      </c>
      <c r="F3483" s="13" t="n">
        <v>2022</v>
      </c>
      <c r="G3483" s="14" t="n">
        <v>1000358.301360576</v>
      </c>
      <c r="H3483" s="14" t="n">
        <v>50708.59793123736</v>
      </c>
      <c r="I3483" s="14" t="n">
        <v>12261.43469154508</v>
      </c>
      <c r="J3483" s="14" t="n">
        <v>0</v>
      </c>
      <c r="K3483" s="14" t="n">
        <v>14456.26390611237</v>
      </c>
      <c r="L3483" s="14" t="n">
        <v>922932.0048316808</v>
      </c>
      <c r="M3483" s="14" t="n">
        <v>0</v>
      </c>
      <c r="N3483" s="14" t="n">
        <v>55244.59246745394</v>
      </c>
      <c r="O3483" s="14" t="n">
        <v>74168.32106502759</v>
      </c>
      <c r="P3483" s="14" t="n">
        <v>9581.497073214659</v>
      </c>
      <c r="Q3483" s="14" t="n">
        <v>255106.7294508094</v>
      </c>
      <c r="R3483" s="15">
        <f>IF(D3483=1,"Section 1","Control")</f>
        <v/>
      </c>
      <c r="S3483" s="16">
        <f>N3483/10000</f>
        <v/>
      </c>
      <c r="T3483" s="16">
        <f>P3483/10000</f>
        <v/>
      </c>
      <c r="U3483" s="15">
        <f>IF(N3483&gt;=Summary!$D$3,1,0)</f>
        <v/>
      </c>
      <c r="V3483" s="17">
        <f>IF(N3483&gt;0,P3483/N3483,"")</f>
        <v/>
      </c>
      <c r="W3483" s="17">
        <f>IF(O3483&gt;0,H3483/O3483,"")</f>
        <v/>
      </c>
    </row>
    <row r="3484">
      <c r="A3484" s="13" t="inlineStr">
        <is>
          <t>CW34_B2</t>
        </is>
      </c>
      <c r="B3484" s="13" t="inlineStr">
        <is>
          <t>CW34</t>
        </is>
      </c>
      <c r="C3484" s="13" t="inlineStr">
        <is>
          <t>B2</t>
        </is>
      </c>
      <c r="D3484" s="13" t="n">
        <v>0</v>
      </c>
      <c r="E3484" s="13" t="inlineStr">
        <is>
          <t>W</t>
        </is>
      </c>
      <c r="F3484" s="13" t="n">
        <v>2023</v>
      </c>
      <c r="G3484" s="14" t="n">
        <v>1000358.301360576</v>
      </c>
      <c r="H3484" s="14" t="n">
        <v>51024.90788780666</v>
      </c>
      <c r="I3484" s="14" t="n">
        <v>10735.62661931655</v>
      </c>
      <c r="J3484" s="14" t="n">
        <v>0</v>
      </c>
      <c r="K3484" s="14" t="n">
        <v>11645.07192532409</v>
      </c>
      <c r="L3484" s="14" t="n">
        <v>926952.6949281284</v>
      </c>
      <c r="M3484" s="14" t="n">
        <v>0</v>
      </c>
      <c r="N3484" s="14" t="n">
        <v>55244.59246745394</v>
      </c>
      <c r="O3484" s="14" t="n">
        <v>74168.32106502759</v>
      </c>
      <c r="P3484" s="14" t="n">
        <v>10054.996496223</v>
      </c>
      <c r="Q3484" s="14" t="n">
        <v>255106.7294508094</v>
      </c>
      <c r="R3484" s="15">
        <f>IF(D3484=1,"Section 1","Control")</f>
        <v/>
      </c>
      <c r="S3484" s="16">
        <f>N3484/10000</f>
        <v/>
      </c>
      <c r="T3484" s="16">
        <f>P3484/10000</f>
        <v/>
      </c>
      <c r="U3484" s="15">
        <f>IF(N3484&gt;=Summary!$D$3,1,0)</f>
        <v/>
      </c>
      <c r="V3484" s="17">
        <f>IF(N3484&gt;0,P3484/N3484,"")</f>
        <v/>
      </c>
      <c r="W3484" s="17">
        <f>IF(O3484&gt;0,H3484/O3484,"")</f>
        <v/>
      </c>
    </row>
    <row r="3485">
      <c r="A3485" s="13" t="inlineStr">
        <is>
          <t>CW34_B2</t>
        </is>
      </c>
      <c r="B3485" s="13" t="inlineStr">
        <is>
          <t>CW34</t>
        </is>
      </c>
      <c r="C3485" s="13" t="inlineStr">
        <is>
          <t>B2</t>
        </is>
      </c>
      <c r="D3485" s="13" t="n">
        <v>0</v>
      </c>
      <c r="E3485" s="13" t="inlineStr">
        <is>
          <t>W</t>
        </is>
      </c>
      <c r="F3485" s="13" t="n">
        <v>2024</v>
      </c>
      <c r="G3485" s="14" t="n">
        <v>1000358.301360576</v>
      </c>
      <c r="H3485" s="14" t="n">
        <v>53838.03220340509</v>
      </c>
      <c r="I3485" s="14" t="n">
        <v>9205.94612848619</v>
      </c>
      <c r="J3485" s="14" t="n">
        <v>0</v>
      </c>
      <c r="K3485" s="14" t="n">
        <v>10595.47560191435</v>
      </c>
      <c r="L3485" s="14" t="n">
        <v>926718.84742677</v>
      </c>
      <c r="M3485" s="14" t="n">
        <v>0</v>
      </c>
      <c r="N3485" s="14" t="n">
        <v>55244.59246745394</v>
      </c>
      <c r="O3485" s="14" t="n">
        <v>74168.32106502759</v>
      </c>
      <c r="P3485" s="14" t="n">
        <v>7032.032893760532</v>
      </c>
      <c r="Q3485" s="14" t="n">
        <v>255106.7294508094</v>
      </c>
      <c r="R3485" s="15">
        <f>IF(D3485=1,"Section 1","Control")</f>
        <v/>
      </c>
      <c r="S3485" s="16">
        <f>N3485/10000</f>
        <v/>
      </c>
      <c r="T3485" s="16">
        <f>P3485/10000</f>
        <v/>
      </c>
      <c r="U3485" s="15">
        <f>IF(N3485&gt;=Summary!$D$3,1,0)</f>
        <v/>
      </c>
      <c r="V3485" s="17">
        <f>IF(N3485&gt;0,P3485/N3485,"")</f>
        <v/>
      </c>
      <c r="W3485" s="17">
        <f>IF(O3485&gt;0,H3485/O3485,"")</f>
        <v/>
      </c>
    </row>
    <row r="3486">
      <c r="A3486" s="13" t="inlineStr">
        <is>
          <t>CW34_B2</t>
        </is>
      </c>
      <c r="B3486" s="13" t="inlineStr">
        <is>
          <t>CW34</t>
        </is>
      </c>
      <c r="C3486" s="13" t="inlineStr">
        <is>
          <t>B2</t>
        </is>
      </c>
      <c r="D3486" s="13" t="n">
        <v>0</v>
      </c>
      <c r="E3486" s="13" t="inlineStr">
        <is>
          <t>W</t>
        </is>
      </c>
      <c r="F3486" s="13" t="n">
        <v>2025</v>
      </c>
      <c r="G3486" s="14" t="n">
        <v>1000358.301360576</v>
      </c>
      <c r="H3486" s="14" t="n">
        <v>55049.11462578869</v>
      </c>
      <c r="I3486" s="14" t="n">
        <v>14609.56895207424</v>
      </c>
      <c r="J3486" s="14" t="n">
        <v>0</v>
      </c>
      <c r="K3486" s="14" t="n">
        <v>11928.47749971876</v>
      </c>
      <c r="L3486" s="14" t="n">
        <v>918771.1402829938</v>
      </c>
      <c r="M3486" s="14" t="n">
        <v>0</v>
      </c>
      <c r="N3486" s="14" t="n">
        <v>55244.59246745394</v>
      </c>
      <c r="O3486" s="14" t="n">
        <v>74168.32106502759</v>
      </c>
      <c r="P3486" s="14" t="n">
        <v>12252.13903383742</v>
      </c>
      <c r="Q3486" s="14" t="n">
        <v>255106.7294508094</v>
      </c>
      <c r="R3486" s="15">
        <f>IF(D3486=1,"Section 1","Control")</f>
        <v/>
      </c>
      <c r="S3486" s="16">
        <f>N3486/10000</f>
        <v/>
      </c>
      <c r="T3486" s="16">
        <f>P3486/10000</f>
        <v/>
      </c>
      <c r="U3486" s="15">
        <f>IF(N3486&gt;=Summary!$D$3,1,0)</f>
        <v/>
      </c>
      <c r="V3486" s="17">
        <f>IF(N3486&gt;0,P3486/N3486,"")</f>
        <v/>
      </c>
      <c r="W3486" s="17">
        <f>IF(O3486&gt;0,H3486/O3486,"")</f>
        <v/>
      </c>
    </row>
    <row r="3487">
      <c r="A3487" s="13" t="inlineStr">
        <is>
          <t>CW34_B2</t>
        </is>
      </c>
      <c r="B3487" s="13" t="inlineStr">
        <is>
          <t>CW34</t>
        </is>
      </c>
      <c r="C3487" s="13" t="inlineStr">
        <is>
          <t>B2</t>
        </is>
      </c>
      <c r="D3487" s="13" t="n">
        <v>0</v>
      </c>
      <c r="E3487" s="13" t="inlineStr">
        <is>
          <t>W</t>
        </is>
      </c>
      <c r="F3487" s="13" t="n">
        <v>2026</v>
      </c>
      <c r="G3487" s="14" t="n">
        <v>1000358.301360576</v>
      </c>
      <c r="H3487" s="14" t="n">
        <v>64875.29071347109</v>
      </c>
      <c r="I3487" s="14" t="n">
        <v>3894.852535412359</v>
      </c>
      <c r="J3487" s="14" t="n">
        <v>0</v>
      </c>
      <c r="K3487" s="14" t="n">
        <v>9769.272235077504</v>
      </c>
      <c r="L3487" s="14" t="n">
        <v>921818.8858766146</v>
      </c>
      <c r="M3487" s="14" t="n">
        <v>0</v>
      </c>
      <c r="N3487" s="14" t="n">
        <v>55244.59246745394</v>
      </c>
      <c r="O3487" s="14" t="n">
        <v>74168.32106502759</v>
      </c>
      <c r="P3487" s="14" t="n">
        <v>5546.488884002087</v>
      </c>
      <c r="Q3487" s="14" t="n">
        <v>255106.7294508094</v>
      </c>
      <c r="R3487" s="15">
        <f>IF(D3487=1,"Section 1","Control")</f>
        <v/>
      </c>
      <c r="S3487" s="16">
        <f>N3487/10000</f>
        <v/>
      </c>
      <c r="T3487" s="16">
        <f>P3487/10000</f>
        <v/>
      </c>
      <c r="U3487" s="15">
        <f>IF(N3487&gt;=Summary!$D$3,1,0)</f>
        <v/>
      </c>
      <c r="V3487" s="17">
        <f>IF(N3487&gt;0,P3487/N3487,"")</f>
        <v/>
      </c>
      <c r="W3487" s="17">
        <f>IF(O3487&gt;0,H3487/O3487,"")</f>
        <v/>
      </c>
    </row>
    <row r="3488">
      <c r="A3488" s="13" t="inlineStr">
        <is>
          <t>CW34_B3</t>
        </is>
      </c>
      <c r="B3488" s="13" t="inlineStr">
        <is>
          <t>CW34</t>
        </is>
      </c>
      <c r="C3488" s="13" t="inlineStr">
        <is>
          <t>B3</t>
        </is>
      </c>
      <c r="D3488" s="13" t="n">
        <v>0</v>
      </c>
      <c r="E3488" s="13" t="inlineStr">
        <is>
          <t>W</t>
        </is>
      </c>
      <c r="F3488" s="13" t="n">
        <v>2020</v>
      </c>
      <c r="G3488" s="14" t="n">
        <v>8004135.977041895</v>
      </c>
      <c r="H3488" s="14" t="n">
        <v>2611251.726523366</v>
      </c>
      <c r="I3488" s="14" t="n">
        <v>145320.2587726668</v>
      </c>
      <c r="J3488" s="14" t="n">
        <v>0</v>
      </c>
      <c r="K3488" s="14" t="n">
        <v>573015.8461758483</v>
      </c>
      <c r="L3488" s="14" t="n">
        <v>4674548.145570015</v>
      </c>
      <c r="M3488" s="14" t="n">
        <v>0</v>
      </c>
      <c r="N3488" s="14" t="n">
        <v>2611251.726523366</v>
      </c>
      <c r="O3488" s="14" t="n">
        <v>3329587.83147188</v>
      </c>
      <c r="P3488" s="14" t="n">
        <v>0</v>
      </c>
      <c r="Q3488" s="14" t="n">
        <v>26953588.02609273</v>
      </c>
      <c r="R3488" s="15">
        <f>IF(D3488=1,"Section 1","Control")</f>
        <v/>
      </c>
      <c r="S3488" s="16">
        <f>N3488/10000</f>
        <v/>
      </c>
      <c r="T3488" s="16">
        <f>P3488/10000</f>
        <v/>
      </c>
      <c r="U3488" s="15">
        <f>IF(N3488&gt;=Summary!$D$3,1,0)</f>
        <v/>
      </c>
      <c r="V3488" s="17">
        <f>IF(N3488&gt;0,P3488/N3488,"")</f>
        <v/>
      </c>
      <c r="W3488" s="17">
        <f>IF(O3488&gt;0,H3488/O3488,"")</f>
        <v/>
      </c>
    </row>
    <row r="3489">
      <c r="A3489" s="13" t="inlineStr">
        <is>
          <t>CW34_B3</t>
        </is>
      </c>
      <c r="B3489" s="13" t="inlineStr">
        <is>
          <t>CW34</t>
        </is>
      </c>
      <c r="C3489" s="13" t="inlineStr">
        <is>
          <t>B3</t>
        </is>
      </c>
      <c r="D3489" s="13" t="n">
        <v>0</v>
      </c>
      <c r="E3489" s="13" t="inlineStr">
        <is>
          <t>W</t>
        </is>
      </c>
      <c r="F3489" s="13" t="n">
        <v>2021</v>
      </c>
      <c r="G3489" s="14" t="n">
        <v>8004135.977041895</v>
      </c>
      <c r="H3489" s="14" t="n">
        <v>2595498.736915438</v>
      </c>
      <c r="I3489" s="14" t="n">
        <v>61313.69617919921</v>
      </c>
      <c r="J3489" s="14" t="n">
        <v>0</v>
      </c>
      <c r="K3489" s="14" t="n">
        <v>682886.0643621109</v>
      </c>
      <c r="L3489" s="14" t="n">
        <v>4664437.479585147</v>
      </c>
      <c r="M3489" s="14" t="n">
        <v>0</v>
      </c>
      <c r="N3489" s="14" t="n">
        <v>2611251.726523366</v>
      </c>
      <c r="O3489" s="14" t="n">
        <v>3329587.831471881</v>
      </c>
      <c r="P3489" s="14" t="n">
        <v>66197.16661679138</v>
      </c>
      <c r="Q3489" s="14" t="n">
        <v>26953588.02609273</v>
      </c>
      <c r="R3489" s="15">
        <f>IF(D3489=1,"Section 1","Control")</f>
        <v/>
      </c>
      <c r="S3489" s="16">
        <f>N3489/10000</f>
        <v/>
      </c>
      <c r="T3489" s="16">
        <f>P3489/10000</f>
        <v/>
      </c>
      <c r="U3489" s="15">
        <f>IF(N3489&gt;=Summary!$D$3,1,0)</f>
        <v/>
      </c>
      <c r="V3489" s="17">
        <f>IF(N3489&gt;0,P3489/N3489,"")</f>
        <v/>
      </c>
      <c r="W3489" s="17">
        <f>IF(O3489&gt;0,H3489/O3489,"")</f>
        <v/>
      </c>
    </row>
    <row r="3490">
      <c r="A3490" s="13" t="inlineStr">
        <is>
          <t>CW34_B3</t>
        </is>
      </c>
      <c r="B3490" s="13" t="inlineStr">
        <is>
          <t>CW34</t>
        </is>
      </c>
      <c r="C3490" s="13" t="inlineStr">
        <is>
          <t>B3</t>
        </is>
      </c>
      <c r="D3490" s="13" t="n">
        <v>0</v>
      </c>
      <c r="E3490" s="13" t="inlineStr">
        <is>
          <t>W</t>
        </is>
      </c>
      <c r="F3490" s="13" t="n">
        <v>2022</v>
      </c>
      <c r="G3490" s="14" t="n">
        <v>8004135.977041895</v>
      </c>
      <c r="H3490" s="14" t="n">
        <v>2554904.504193714</v>
      </c>
      <c r="I3490" s="14" t="n">
        <v>83580.92776351629</v>
      </c>
      <c r="J3490" s="14" t="n">
        <v>0</v>
      </c>
      <c r="K3490" s="14" t="n">
        <v>713683.0874279246</v>
      </c>
      <c r="L3490" s="14" t="n">
        <v>4651967.457656741</v>
      </c>
      <c r="M3490" s="14" t="n">
        <v>0</v>
      </c>
      <c r="N3490" s="14" t="n">
        <v>2611251.726523366</v>
      </c>
      <c r="O3490" s="14" t="n">
        <v>3329587.831471881</v>
      </c>
      <c r="P3490" s="14" t="n">
        <v>108332.9580897612</v>
      </c>
      <c r="Q3490" s="14" t="n">
        <v>26953588.02609273</v>
      </c>
      <c r="R3490" s="15">
        <f>IF(D3490=1,"Section 1","Control")</f>
        <v/>
      </c>
      <c r="S3490" s="16">
        <f>N3490/10000</f>
        <v/>
      </c>
      <c r="T3490" s="16">
        <f>P3490/10000</f>
        <v/>
      </c>
      <c r="U3490" s="15">
        <f>IF(N3490&gt;=Summary!$D$3,1,0)</f>
        <v/>
      </c>
      <c r="V3490" s="17">
        <f>IF(N3490&gt;0,P3490/N3490,"")</f>
        <v/>
      </c>
      <c r="W3490" s="17">
        <f>IF(O3490&gt;0,H3490/O3490,"")</f>
        <v/>
      </c>
    </row>
    <row r="3491">
      <c r="A3491" s="13" t="inlineStr">
        <is>
          <t>CW34_B3</t>
        </is>
      </c>
      <c r="B3491" s="13" t="inlineStr">
        <is>
          <t>CW34</t>
        </is>
      </c>
      <c r="C3491" s="13" t="inlineStr">
        <is>
          <t>B3</t>
        </is>
      </c>
      <c r="D3491" s="13" t="n">
        <v>0</v>
      </c>
      <c r="E3491" s="13" t="inlineStr">
        <is>
          <t>W</t>
        </is>
      </c>
      <c r="F3491" s="13" t="n">
        <v>2023</v>
      </c>
      <c r="G3491" s="14" t="n">
        <v>8004135.977041895</v>
      </c>
      <c r="H3491" s="14" t="n">
        <v>2555700.821585173</v>
      </c>
      <c r="I3491" s="14" t="n">
        <v>72605.28684892842</v>
      </c>
      <c r="J3491" s="14" t="n">
        <v>0</v>
      </c>
      <c r="K3491" s="14" t="n">
        <v>691502.0754791857</v>
      </c>
      <c r="L3491" s="14" t="n">
        <v>4684327.793128609</v>
      </c>
      <c r="M3491" s="14" t="n">
        <v>0</v>
      </c>
      <c r="N3491" s="14" t="n">
        <v>2611251.726523365</v>
      </c>
      <c r="O3491" s="14" t="n">
        <v>3329587.831471881</v>
      </c>
      <c r="P3491" s="14" t="n">
        <v>116035.7237207151</v>
      </c>
      <c r="Q3491" s="14" t="n">
        <v>26953588.02609273</v>
      </c>
      <c r="R3491" s="15">
        <f>IF(D3491=1,"Section 1","Control")</f>
        <v/>
      </c>
      <c r="S3491" s="16">
        <f>N3491/10000</f>
        <v/>
      </c>
      <c r="T3491" s="16">
        <f>P3491/10000</f>
        <v/>
      </c>
      <c r="U3491" s="15">
        <f>IF(N3491&gt;=Summary!$D$3,1,0)</f>
        <v/>
      </c>
      <c r="V3491" s="17">
        <f>IF(N3491&gt;0,P3491/N3491,"")</f>
        <v/>
      </c>
      <c r="W3491" s="17">
        <f>IF(O3491&gt;0,H3491/O3491,"")</f>
        <v/>
      </c>
    </row>
    <row r="3492">
      <c r="A3492" s="13" t="inlineStr">
        <is>
          <t>CW34_B3</t>
        </is>
      </c>
      <c r="B3492" s="13" t="inlineStr">
        <is>
          <t>CW34</t>
        </is>
      </c>
      <c r="C3492" s="13" t="inlineStr">
        <is>
          <t>B3</t>
        </is>
      </c>
      <c r="D3492" s="13" t="n">
        <v>0</v>
      </c>
      <c r="E3492" s="13" t="inlineStr">
        <is>
          <t>W</t>
        </is>
      </c>
      <c r="F3492" s="13" t="n">
        <v>2024</v>
      </c>
      <c r="G3492" s="14" t="n">
        <v>8004135.977041895</v>
      </c>
      <c r="H3492" s="14" t="n">
        <v>2542773.424595133</v>
      </c>
      <c r="I3492" s="14" t="n">
        <v>72097.39838762469</v>
      </c>
      <c r="J3492" s="14" t="n">
        <v>0</v>
      </c>
      <c r="K3492" s="14" t="n">
        <v>716912.9632843317</v>
      </c>
      <c r="L3492" s="14" t="n">
        <v>4672352.190774806</v>
      </c>
      <c r="M3492" s="14" t="n">
        <v>0</v>
      </c>
      <c r="N3492" s="14" t="n">
        <v>2611251.726523366</v>
      </c>
      <c r="O3492" s="14" t="n">
        <v>3329587.831471881</v>
      </c>
      <c r="P3492" s="14" t="n">
        <v>136421.5947391884</v>
      </c>
      <c r="Q3492" s="14" t="n">
        <v>26953588.02609273</v>
      </c>
      <c r="R3492" s="15">
        <f>IF(D3492=1,"Section 1","Control")</f>
        <v/>
      </c>
      <c r="S3492" s="16">
        <f>N3492/10000</f>
        <v/>
      </c>
      <c r="T3492" s="16">
        <f>P3492/10000</f>
        <v/>
      </c>
      <c r="U3492" s="15">
        <f>IF(N3492&gt;=Summary!$D$3,1,0)</f>
        <v/>
      </c>
      <c r="V3492" s="17">
        <f>IF(N3492&gt;0,P3492/N3492,"")</f>
        <v/>
      </c>
      <c r="W3492" s="17">
        <f>IF(O3492&gt;0,H3492/O3492,"")</f>
        <v/>
      </c>
    </row>
    <row r="3493">
      <c r="A3493" s="13" t="inlineStr">
        <is>
          <t>CW34_B3</t>
        </is>
      </c>
      <c r="B3493" s="13" t="inlineStr">
        <is>
          <t>CW34</t>
        </is>
      </c>
      <c r="C3493" s="13" t="inlineStr">
        <is>
          <t>B3</t>
        </is>
      </c>
      <c r="D3493" s="13" t="n">
        <v>0</v>
      </c>
      <c r="E3493" s="13" t="inlineStr">
        <is>
          <t>W</t>
        </is>
      </c>
      <c r="F3493" s="13" t="n">
        <v>2025</v>
      </c>
      <c r="G3493" s="14" t="n">
        <v>8004135.977041895</v>
      </c>
      <c r="H3493" s="14" t="n">
        <v>2511918.485659641</v>
      </c>
      <c r="I3493" s="14" t="n">
        <v>90886.80023016836</v>
      </c>
      <c r="J3493" s="14" t="n">
        <v>0</v>
      </c>
      <c r="K3493" s="14" t="n">
        <v>735955.9001584521</v>
      </c>
      <c r="L3493" s="14" t="n">
        <v>4665374.790993635</v>
      </c>
      <c r="M3493" s="14" t="n">
        <v>0</v>
      </c>
      <c r="N3493" s="14" t="n">
        <v>2611251.726523366</v>
      </c>
      <c r="O3493" s="14" t="n">
        <v>3329587.831471881</v>
      </c>
      <c r="P3493" s="14" t="n">
        <v>153669.3622942457</v>
      </c>
      <c r="Q3493" s="14" t="n">
        <v>26953588.02609273</v>
      </c>
      <c r="R3493" s="15">
        <f>IF(D3493=1,"Section 1","Control")</f>
        <v/>
      </c>
      <c r="S3493" s="16">
        <f>N3493/10000</f>
        <v/>
      </c>
      <c r="T3493" s="16">
        <f>P3493/10000</f>
        <v/>
      </c>
      <c r="U3493" s="15">
        <f>IF(N3493&gt;=Summary!$D$3,1,0)</f>
        <v/>
      </c>
      <c r="V3493" s="17">
        <f>IF(N3493&gt;0,P3493/N3493,"")</f>
        <v/>
      </c>
      <c r="W3493" s="17">
        <f>IF(O3493&gt;0,H3493/O3493,"")</f>
        <v/>
      </c>
    </row>
    <row r="3494">
      <c r="A3494" s="13" t="inlineStr">
        <is>
          <t>CW34_B3</t>
        </is>
      </c>
      <c r="B3494" s="13" t="inlineStr">
        <is>
          <t>CW34</t>
        </is>
      </c>
      <c r="C3494" s="13" t="inlineStr">
        <is>
          <t>B3</t>
        </is>
      </c>
      <c r="D3494" s="13" t="n">
        <v>0</v>
      </c>
      <c r="E3494" s="13" t="inlineStr">
        <is>
          <t>W</t>
        </is>
      </c>
      <c r="F3494" s="13" t="n">
        <v>2026</v>
      </c>
      <c r="G3494" s="14" t="n">
        <v>8004135.977041895</v>
      </c>
      <c r="H3494" s="14" t="n">
        <v>2485849.670282012</v>
      </c>
      <c r="I3494" s="14" t="n">
        <v>94069.58419455732</v>
      </c>
      <c r="J3494" s="14" t="n">
        <v>0</v>
      </c>
      <c r="K3494" s="14" t="n">
        <v>735527.549082468</v>
      </c>
      <c r="L3494" s="14" t="n">
        <v>4688689.173482858</v>
      </c>
      <c r="M3494" s="14" t="n">
        <v>0</v>
      </c>
      <c r="N3494" s="14" t="n">
        <v>2611251.726523366</v>
      </c>
      <c r="O3494" s="14" t="n">
        <v>3329587.831471881</v>
      </c>
      <c r="P3494" s="14" t="n">
        <v>187894.7241625318</v>
      </c>
      <c r="Q3494" s="14" t="n">
        <v>26953588.02609274</v>
      </c>
      <c r="R3494" s="15">
        <f>IF(D3494=1,"Section 1","Control")</f>
        <v/>
      </c>
      <c r="S3494" s="16">
        <f>N3494/10000</f>
        <v/>
      </c>
      <c r="T3494" s="16">
        <f>P3494/10000</f>
        <v/>
      </c>
      <c r="U3494" s="15">
        <f>IF(N3494&gt;=Summary!$D$3,1,0)</f>
        <v/>
      </c>
      <c r="V3494" s="17">
        <f>IF(N3494&gt;0,P3494/N3494,"")</f>
        <v/>
      </c>
      <c r="W3494" s="17">
        <f>IF(O3494&gt;0,H3494/O3494,"")</f>
        <v/>
      </c>
    </row>
    <row r="3495">
      <c r="A3495" s="13" t="inlineStr">
        <is>
          <t>CW34_F</t>
        </is>
      </c>
      <c r="B3495" s="13" t="inlineStr">
        <is>
          <t>CW34</t>
        </is>
      </c>
      <c r="C3495" s="13" t="inlineStr">
        <is>
          <t>F</t>
        </is>
      </c>
      <c r="D3495" s="13" t="n">
        <v>0</v>
      </c>
      <c r="E3495" s="13" t="inlineStr">
        <is>
          <t>W</t>
        </is>
      </c>
      <c r="F3495" s="13" t="n">
        <v>2020</v>
      </c>
      <c r="G3495" s="14" t="n">
        <v>69530.05741355754</v>
      </c>
      <c r="H3495" s="14" t="n">
        <v>9712.512742315555</v>
      </c>
      <c r="I3495" s="14" t="n">
        <v>0</v>
      </c>
      <c r="J3495" s="14" t="n">
        <v>0</v>
      </c>
      <c r="K3495" s="14" t="n">
        <v>54896.2461335725</v>
      </c>
      <c r="L3495" s="14" t="n">
        <v>4921.298537669463</v>
      </c>
      <c r="M3495" s="14" t="n">
        <v>0</v>
      </c>
      <c r="N3495" s="14" t="n">
        <v>9712.512742315555</v>
      </c>
      <c r="O3495" s="14" t="n">
        <v>64608.75887588806</v>
      </c>
      <c r="P3495" s="14" t="n">
        <v>0</v>
      </c>
      <c r="Q3495" s="14" t="n">
        <v>870974.8580465881</v>
      </c>
      <c r="R3495" s="15">
        <f>IF(D3495=1,"Section 1","Control")</f>
        <v/>
      </c>
      <c r="S3495" s="16">
        <f>N3495/10000</f>
        <v/>
      </c>
      <c r="T3495" s="16">
        <f>P3495/10000</f>
        <v/>
      </c>
      <c r="U3495" s="15">
        <f>IF(N3495&gt;=Summary!$D$3,1,0)</f>
        <v/>
      </c>
      <c r="V3495" s="17">
        <f>IF(N3495&gt;0,P3495/N3495,"")</f>
        <v/>
      </c>
      <c r="W3495" s="17">
        <f>IF(O3495&gt;0,H3495/O3495,"")</f>
        <v/>
      </c>
    </row>
    <row r="3496">
      <c r="A3496" s="13" t="inlineStr">
        <is>
          <t>CW34_F</t>
        </is>
      </c>
      <c r="B3496" s="13" t="inlineStr">
        <is>
          <t>CW34</t>
        </is>
      </c>
      <c r="C3496" s="13" t="inlineStr">
        <is>
          <t>F</t>
        </is>
      </c>
      <c r="D3496" s="13" t="n">
        <v>0</v>
      </c>
      <c r="E3496" s="13" t="inlineStr">
        <is>
          <t>W</t>
        </is>
      </c>
      <c r="F3496" s="13" t="n">
        <v>2021</v>
      </c>
      <c r="G3496" s="14" t="n">
        <v>69530.05741355754</v>
      </c>
      <c r="H3496" s="14" t="n">
        <v>6113.393240775315</v>
      </c>
      <c r="I3496" s="14" t="n">
        <v>0</v>
      </c>
      <c r="J3496" s="14" t="n">
        <v>0</v>
      </c>
      <c r="K3496" s="14" t="n">
        <v>62140.5570866305</v>
      </c>
      <c r="L3496" s="14" t="n">
        <v>1276.107086151721</v>
      </c>
      <c r="M3496" s="14" t="n">
        <v>0</v>
      </c>
      <c r="N3496" s="14" t="n">
        <v>9712.512742315555</v>
      </c>
      <c r="O3496" s="14" t="n">
        <v>64608.75887588806</v>
      </c>
      <c r="P3496" s="14" t="n">
        <v>3599.11950154024</v>
      </c>
      <c r="Q3496" s="14" t="n">
        <v>870974.8580465881</v>
      </c>
      <c r="R3496" s="15">
        <f>IF(D3496=1,"Section 1","Control")</f>
        <v/>
      </c>
      <c r="S3496" s="16">
        <f>N3496/10000</f>
        <v/>
      </c>
      <c r="T3496" s="16">
        <f>P3496/10000</f>
        <v/>
      </c>
      <c r="U3496" s="15">
        <f>IF(N3496&gt;=Summary!$D$3,1,0)</f>
        <v/>
      </c>
      <c r="V3496" s="17">
        <f>IF(N3496&gt;0,P3496/N3496,"")</f>
        <v/>
      </c>
      <c r="W3496" s="17">
        <f>IF(O3496&gt;0,H3496/O3496,"")</f>
        <v/>
      </c>
    </row>
    <row r="3497">
      <c r="A3497" s="13" t="inlineStr">
        <is>
          <t>CW34_F</t>
        </is>
      </c>
      <c r="B3497" s="13" t="inlineStr">
        <is>
          <t>CW34</t>
        </is>
      </c>
      <c r="C3497" s="13" t="inlineStr">
        <is>
          <t>F</t>
        </is>
      </c>
      <c r="D3497" s="13" t="n">
        <v>0</v>
      </c>
      <c r="E3497" s="13" t="inlineStr">
        <is>
          <t>W</t>
        </is>
      </c>
      <c r="F3497" s="13" t="n">
        <v>2022</v>
      </c>
      <c r="G3497" s="14" t="n">
        <v>69530.05741355754</v>
      </c>
      <c r="H3497" s="14" t="n">
        <v>6113.393240775315</v>
      </c>
      <c r="I3497" s="14" t="n">
        <v>94.4691785625383</v>
      </c>
      <c r="J3497" s="14" t="n">
        <v>0</v>
      </c>
      <c r="K3497" s="14" t="n">
        <v>59725.01312333654</v>
      </c>
      <c r="L3497" s="14" t="n">
        <v>3597.181870883121</v>
      </c>
      <c r="M3497" s="14" t="n">
        <v>0</v>
      </c>
      <c r="N3497" s="14" t="n">
        <v>9712.512742315555</v>
      </c>
      <c r="O3497" s="14" t="n">
        <v>64608.75887588806</v>
      </c>
      <c r="P3497" s="14" t="n">
        <v>3599.11950154024</v>
      </c>
      <c r="Q3497" s="14" t="n">
        <v>870974.8580465881</v>
      </c>
      <c r="R3497" s="15">
        <f>IF(D3497=1,"Section 1","Control")</f>
        <v/>
      </c>
      <c r="S3497" s="16">
        <f>N3497/10000</f>
        <v/>
      </c>
      <c r="T3497" s="16">
        <f>P3497/10000</f>
        <v/>
      </c>
      <c r="U3497" s="15">
        <f>IF(N3497&gt;=Summary!$D$3,1,0)</f>
        <v/>
      </c>
      <c r="V3497" s="17">
        <f>IF(N3497&gt;0,P3497/N3497,"")</f>
        <v/>
      </c>
      <c r="W3497" s="17">
        <f>IF(O3497&gt;0,H3497/O3497,"")</f>
        <v/>
      </c>
    </row>
    <row r="3498">
      <c r="A3498" s="13" t="inlineStr">
        <is>
          <t>CW34_F</t>
        </is>
      </c>
      <c r="B3498" s="13" t="inlineStr">
        <is>
          <t>CW34</t>
        </is>
      </c>
      <c r="C3498" s="13" t="inlineStr">
        <is>
          <t>F</t>
        </is>
      </c>
      <c r="D3498" s="13" t="n">
        <v>0</v>
      </c>
      <c r="E3498" s="13" t="inlineStr">
        <is>
          <t>W</t>
        </is>
      </c>
      <c r="F3498" s="13" t="n">
        <v>2023</v>
      </c>
      <c r="G3498" s="14" t="n">
        <v>69530.05741355754</v>
      </c>
      <c r="H3498" s="14" t="n">
        <v>6207.862419337853</v>
      </c>
      <c r="I3498" s="14" t="n">
        <v>0</v>
      </c>
      <c r="J3498" s="14" t="n">
        <v>0</v>
      </c>
      <c r="K3498" s="14" t="n">
        <v>60786.62902311444</v>
      </c>
      <c r="L3498" s="14" t="n">
        <v>2535.565971105239</v>
      </c>
      <c r="M3498" s="14" t="n">
        <v>0</v>
      </c>
      <c r="N3498" s="14" t="n">
        <v>9712.512742315555</v>
      </c>
      <c r="O3498" s="14" t="n">
        <v>64608.75887588806</v>
      </c>
      <c r="P3498" s="14" t="n">
        <v>3504.650322977702</v>
      </c>
      <c r="Q3498" s="14" t="n">
        <v>870974.8580465881</v>
      </c>
      <c r="R3498" s="15">
        <f>IF(D3498=1,"Section 1","Control")</f>
        <v/>
      </c>
      <c r="S3498" s="16">
        <f>N3498/10000</f>
        <v/>
      </c>
      <c r="T3498" s="16">
        <f>P3498/10000</f>
        <v/>
      </c>
      <c r="U3498" s="15">
        <f>IF(N3498&gt;=Summary!$D$3,1,0)</f>
        <v/>
      </c>
      <c r="V3498" s="17">
        <f>IF(N3498&gt;0,P3498/N3498,"")</f>
        <v/>
      </c>
      <c r="W3498" s="17">
        <f>IF(O3498&gt;0,H3498/O3498,"")</f>
        <v/>
      </c>
    </row>
    <row r="3499">
      <c r="A3499" s="13" t="inlineStr">
        <is>
          <t>CW34_F</t>
        </is>
      </c>
      <c r="B3499" s="13" t="inlineStr">
        <is>
          <t>CW34</t>
        </is>
      </c>
      <c r="C3499" s="13" t="inlineStr">
        <is>
          <t>F</t>
        </is>
      </c>
      <c r="D3499" s="13" t="n">
        <v>0</v>
      </c>
      <c r="E3499" s="13" t="inlineStr">
        <is>
          <t>W</t>
        </is>
      </c>
      <c r="F3499" s="13" t="n">
        <v>2024</v>
      </c>
      <c r="G3499" s="14" t="n">
        <v>69530.05741355754</v>
      </c>
      <c r="H3499" s="14" t="n">
        <v>6207.862419337853</v>
      </c>
      <c r="I3499" s="14" t="n">
        <v>0</v>
      </c>
      <c r="J3499" s="14" t="n">
        <v>0</v>
      </c>
      <c r="K3499" s="14" t="n">
        <v>55968.70385311358</v>
      </c>
      <c r="L3499" s="14" t="n">
        <v>7353.491141106102</v>
      </c>
      <c r="M3499" s="14" t="n">
        <v>0</v>
      </c>
      <c r="N3499" s="14" t="n">
        <v>9712.512742315555</v>
      </c>
      <c r="O3499" s="14" t="n">
        <v>64608.75887588806</v>
      </c>
      <c r="P3499" s="14" t="n">
        <v>3504.650322977702</v>
      </c>
      <c r="Q3499" s="14" t="n">
        <v>870974.8580465881</v>
      </c>
      <c r="R3499" s="15">
        <f>IF(D3499=1,"Section 1","Control")</f>
        <v/>
      </c>
      <c r="S3499" s="16">
        <f>N3499/10000</f>
        <v/>
      </c>
      <c r="T3499" s="16">
        <f>P3499/10000</f>
        <v/>
      </c>
      <c r="U3499" s="15">
        <f>IF(N3499&gt;=Summary!$D$3,1,0)</f>
        <v/>
      </c>
      <c r="V3499" s="17">
        <f>IF(N3499&gt;0,P3499/N3499,"")</f>
        <v/>
      </c>
      <c r="W3499" s="17">
        <f>IF(O3499&gt;0,H3499/O3499,"")</f>
        <v/>
      </c>
    </row>
    <row r="3500">
      <c r="A3500" s="13" t="inlineStr">
        <is>
          <t>CW34_F</t>
        </is>
      </c>
      <c r="B3500" s="13" t="inlineStr">
        <is>
          <t>CW34</t>
        </is>
      </c>
      <c r="C3500" s="13" t="inlineStr">
        <is>
          <t>F</t>
        </is>
      </c>
      <c r="D3500" s="13" t="n">
        <v>0</v>
      </c>
      <c r="E3500" s="13" t="inlineStr">
        <is>
          <t>W</t>
        </is>
      </c>
      <c r="F3500" s="13" t="n">
        <v>2025</v>
      </c>
      <c r="G3500" s="14" t="n">
        <v>69530.05741355754</v>
      </c>
      <c r="H3500" s="14" t="n">
        <v>6207.862419337853</v>
      </c>
      <c r="I3500" s="14" t="n">
        <v>98.72803497314452</v>
      </c>
      <c r="J3500" s="14" t="n">
        <v>0</v>
      </c>
      <c r="K3500" s="14" t="n">
        <v>52051.33303695383</v>
      </c>
      <c r="L3500" s="14" t="n">
        <v>11172.13392229267</v>
      </c>
      <c r="M3500" s="14" t="n">
        <v>0</v>
      </c>
      <c r="N3500" s="14" t="n">
        <v>9712.512742315555</v>
      </c>
      <c r="O3500" s="14" t="n">
        <v>64608.75887588806</v>
      </c>
      <c r="P3500" s="14" t="n">
        <v>3504.650322977702</v>
      </c>
      <c r="Q3500" s="14" t="n">
        <v>870974.8580465881</v>
      </c>
      <c r="R3500" s="15">
        <f>IF(D3500=1,"Section 1","Control")</f>
        <v/>
      </c>
      <c r="S3500" s="16">
        <f>N3500/10000</f>
        <v/>
      </c>
      <c r="T3500" s="16">
        <f>P3500/10000</f>
        <v/>
      </c>
      <c r="U3500" s="15">
        <f>IF(N3500&gt;=Summary!$D$3,1,0)</f>
        <v/>
      </c>
      <c r="V3500" s="17">
        <f>IF(N3500&gt;0,P3500/N3500,"")</f>
        <v/>
      </c>
      <c r="W3500" s="17">
        <f>IF(O3500&gt;0,H3500/O3500,"")</f>
        <v/>
      </c>
    </row>
    <row r="3501">
      <c r="A3501" s="13" t="inlineStr">
        <is>
          <t>CW34_F</t>
        </is>
      </c>
      <c r="B3501" s="13" t="inlineStr">
        <is>
          <t>CW34</t>
        </is>
      </c>
      <c r="C3501" s="13" t="inlineStr">
        <is>
          <t>F</t>
        </is>
      </c>
      <c r="D3501" s="13" t="n">
        <v>0</v>
      </c>
      <c r="E3501" s="13" t="inlineStr">
        <is>
          <t>W</t>
        </is>
      </c>
      <c r="F3501" s="13" t="n">
        <v>2026</v>
      </c>
      <c r="G3501" s="14" t="n">
        <v>69530.05741355754</v>
      </c>
      <c r="H3501" s="14" t="n">
        <v>6306.590454310997</v>
      </c>
      <c r="I3501" s="14" t="n">
        <v>0</v>
      </c>
      <c r="J3501" s="14" t="n">
        <v>0</v>
      </c>
      <c r="K3501" s="14" t="n">
        <v>53987.56221783213</v>
      </c>
      <c r="L3501" s="14" t="n">
        <v>9235.90474141439</v>
      </c>
      <c r="M3501" s="14" t="n">
        <v>0</v>
      </c>
      <c r="N3501" s="14" t="n">
        <v>9712.512742315555</v>
      </c>
      <c r="O3501" s="14" t="n">
        <v>64608.75887588806</v>
      </c>
      <c r="P3501" s="14" t="n">
        <v>3405.922288004557</v>
      </c>
      <c r="Q3501" s="14" t="n">
        <v>870974.8580465881</v>
      </c>
      <c r="R3501" s="15">
        <f>IF(D3501=1,"Section 1","Control")</f>
        <v/>
      </c>
      <c r="S3501" s="16">
        <f>N3501/10000</f>
        <v/>
      </c>
      <c r="T3501" s="16">
        <f>P3501/10000</f>
        <v/>
      </c>
      <c r="U3501" s="15">
        <f>IF(N3501&gt;=Summary!$D$3,1,0)</f>
        <v/>
      </c>
      <c r="V3501" s="17">
        <f>IF(N3501&gt;0,P3501/N3501,"")</f>
        <v/>
      </c>
      <c r="W3501" s="17">
        <f>IF(O3501&gt;0,H3501/O3501,"")</f>
        <v/>
      </c>
    </row>
    <row r="3502">
      <c r="A3502" s="13" t="inlineStr">
        <is>
          <t>CW35_B1</t>
        </is>
      </c>
      <c r="B3502" s="13" t="inlineStr">
        <is>
          <t>CW35</t>
        </is>
      </c>
      <c r="C3502" s="13" t="inlineStr">
        <is>
          <t>B1</t>
        </is>
      </c>
      <c r="D3502" s="13" t="n">
        <v>0</v>
      </c>
      <c r="E3502" s="13" t="inlineStr">
        <is>
          <t>W</t>
        </is>
      </c>
      <c r="F3502" s="13" t="n">
        <v>2020</v>
      </c>
      <c r="G3502" s="14" t="n">
        <v>1000541.06062658</v>
      </c>
      <c r="H3502" s="14" t="n">
        <v>222565.377431114</v>
      </c>
      <c r="I3502" s="14" t="n">
        <v>166687.9299436981</v>
      </c>
      <c r="J3502" s="14" t="n">
        <v>0</v>
      </c>
      <c r="K3502" s="14" t="n">
        <v>99197.29706331142</v>
      </c>
      <c r="L3502" s="14" t="n">
        <v>512090.4561884562</v>
      </c>
      <c r="M3502" s="14" t="n">
        <v>0</v>
      </c>
      <c r="N3502" s="14" t="n">
        <v>222565.377431114</v>
      </c>
      <c r="O3502" s="14" t="n">
        <v>488450.6044381235</v>
      </c>
      <c r="P3502" s="14" t="n">
        <v>0</v>
      </c>
      <c r="Q3502" s="14" t="n">
        <v>4594714.352113402</v>
      </c>
      <c r="R3502" s="15">
        <f>IF(D3502=1,"Section 1","Control")</f>
        <v/>
      </c>
      <c r="S3502" s="16">
        <f>N3502/10000</f>
        <v/>
      </c>
      <c r="T3502" s="16">
        <f>P3502/10000</f>
        <v/>
      </c>
      <c r="U3502" s="15">
        <f>IF(N3502&gt;=Summary!$D$3,1,0)</f>
        <v/>
      </c>
      <c r="V3502" s="17">
        <f>IF(N3502&gt;0,P3502/N3502,"")</f>
        <v/>
      </c>
      <c r="W3502" s="17">
        <f>IF(O3502&gt;0,H3502/O3502,"")</f>
        <v/>
      </c>
    </row>
    <row r="3503">
      <c r="A3503" s="13" t="inlineStr">
        <is>
          <t>CW35_B1</t>
        </is>
      </c>
      <c r="B3503" s="13" t="inlineStr">
        <is>
          <t>CW35</t>
        </is>
      </c>
      <c r="C3503" s="13" t="inlineStr">
        <is>
          <t>B1</t>
        </is>
      </c>
      <c r="D3503" s="13" t="n">
        <v>0</v>
      </c>
      <c r="E3503" s="13" t="inlineStr">
        <is>
          <t>W</t>
        </is>
      </c>
      <c r="F3503" s="13" t="n">
        <v>2021</v>
      </c>
      <c r="G3503" s="14" t="n">
        <v>1000541.060626579</v>
      </c>
      <c r="H3503" s="14" t="n">
        <v>163841.2559058096</v>
      </c>
      <c r="I3503" s="14" t="n">
        <v>195610.3558374443</v>
      </c>
      <c r="J3503" s="14" t="n">
        <v>0</v>
      </c>
      <c r="K3503" s="14" t="n">
        <v>241860.8336083805</v>
      </c>
      <c r="L3503" s="14" t="n">
        <v>399228.6152749455</v>
      </c>
      <c r="M3503" s="14" t="n">
        <v>0</v>
      </c>
      <c r="N3503" s="14" t="n">
        <v>222565.377431114</v>
      </c>
      <c r="O3503" s="14" t="n">
        <v>488450.6044381235</v>
      </c>
      <c r="P3503" s="14" t="n">
        <v>58921.57664920582</v>
      </c>
      <c r="Q3503" s="14" t="n">
        <v>4594714.352113402</v>
      </c>
      <c r="R3503" s="15">
        <f>IF(D3503=1,"Section 1","Control")</f>
        <v/>
      </c>
      <c r="S3503" s="16">
        <f>N3503/10000</f>
        <v/>
      </c>
      <c r="T3503" s="16">
        <f>P3503/10000</f>
        <v/>
      </c>
      <c r="U3503" s="15">
        <f>IF(N3503&gt;=Summary!$D$3,1,0)</f>
        <v/>
      </c>
      <c r="V3503" s="17">
        <f>IF(N3503&gt;0,P3503/N3503,"")</f>
        <v/>
      </c>
      <c r="W3503" s="17">
        <f>IF(O3503&gt;0,H3503/O3503,"")</f>
        <v/>
      </c>
    </row>
    <row r="3504">
      <c r="A3504" s="13" t="inlineStr">
        <is>
          <t>CW35_B1</t>
        </is>
      </c>
      <c r="B3504" s="13" t="inlineStr">
        <is>
          <t>CW35</t>
        </is>
      </c>
      <c r="C3504" s="13" t="inlineStr">
        <is>
          <t>B1</t>
        </is>
      </c>
      <c r="D3504" s="13" t="n">
        <v>0</v>
      </c>
      <c r="E3504" s="13" t="inlineStr">
        <is>
          <t>W</t>
        </is>
      </c>
      <c r="F3504" s="13" t="n">
        <v>2022</v>
      </c>
      <c r="G3504" s="14" t="n">
        <v>1000541.06062658</v>
      </c>
      <c r="H3504" s="14" t="n">
        <v>150447.5713882446</v>
      </c>
      <c r="I3504" s="14" t="n">
        <v>194025.607928766</v>
      </c>
      <c r="J3504" s="14" t="n">
        <v>0</v>
      </c>
      <c r="K3504" s="14" t="n">
        <v>190060.506320699</v>
      </c>
      <c r="L3504" s="14" t="n">
        <v>466007.3749888701</v>
      </c>
      <c r="M3504" s="14" t="n">
        <v>0</v>
      </c>
      <c r="N3504" s="14" t="n">
        <v>222565.377431114</v>
      </c>
      <c r="O3504" s="14" t="n">
        <v>488450.6044381235</v>
      </c>
      <c r="P3504" s="14" t="n">
        <v>73006.35862465654</v>
      </c>
      <c r="Q3504" s="14" t="n">
        <v>4594714.352113402</v>
      </c>
      <c r="R3504" s="15">
        <f>IF(D3504=1,"Section 1","Control")</f>
        <v/>
      </c>
      <c r="S3504" s="16">
        <f>N3504/10000</f>
        <v/>
      </c>
      <c r="T3504" s="16">
        <f>P3504/10000</f>
        <v/>
      </c>
      <c r="U3504" s="15">
        <f>IF(N3504&gt;=Summary!$D$3,1,0)</f>
        <v/>
      </c>
      <c r="V3504" s="17">
        <f>IF(N3504&gt;0,P3504/N3504,"")</f>
        <v/>
      </c>
      <c r="W3504" s="17">
        <f>IF(O3504&gt;0,H3504/O3504,"")</f>
        <v/>
      </c>
    </row>
    <row r="3505">
      <c r="A3505" s="13" t="inlineStr">
        <is>
          <t>CW35_B1</t>
        </is>
      </c>
      <c r="B3505" s="13" t="inlineStr">
        <is>
          <t>CW35</t>
        </is>
      </c>
      <c r="C3505" s="13" t="inlineStr">
        <is>
          <t>B1</t>
        </is>
      </c>
      <c r="D3505" s="13" t="n">
        <v>0</v>
      </c>
      <c r="E3505" s="13" t="inlineStr">
        <is>
          <t>W</t>
        </is>
      </c>
      <c r="F3505" s="13" t="n">
        <v>2023</v>
      </c>
      <c r="G3505" s="14" t="n">
        <v>1000541.060626579</v>
      </c>
      <c r="H3505" s="14" t="n">
        <v>140493.8831544464</v>
      </c>
      <c r="I3505" s="14" t="n">
        <v>179825.7484836354</v>
      </c>
      <c r="J3505" s="14" t="n">
        <v>0</v>
      </c>
      <c r="K3505" s="14" t="n">
        <v>197392.7398415061</v>
      </c>
      <c r="L3505" s="14" t="n">
        <v>482828.6891469919</v>
      </c>
      <c r="M3505" s="14" t="n">
        <v>0</v>
      </c>
      <c r="N3505" s="14" t="n">
        <v>222565.377431114</v>
      </c>
      <c r="O3505" s="14" t="n">
        <v>488450.6044381235</v>
      </c>
      <c r="P3505" s="14" t="n">
        <v>82861.3177858839</v>
      </c>
      <c r="Q3505" s="14" t="n">
        <v>4594714.352113402</v>
      </c>
      <c r="R3505" s="15">
        <f>IF(D3505=1,"Section 1","Control")</f>
        <v/>
      </c>
      <c r="S3505" s="16">
        <f>N3505/10000</f>
        <v/>
      </c>
      <c r="T3505" s="16">
        <f>P3505/10000</f>
        <v/>
      </c>
      <c r="U3505" s="15">
        <f>IF(N3505&gt;=Summary!$D$3,1,0)</f>
        <v/>
      </c>
      <c r="V3505" s="17">
        <f>IF(N3505&gt;0,P3505/N3505,"")</f>
        <v/>
      </c>
      <c r="W3505" s="17">
        <f>IF(O3505&gt;0,H3505/O3505,"")</f>
        <v/>
      </c>
    </row>
    <row r="3506">
      <c r="A3506" s="13" t="inlineStr">
        <is>
          <t>CW35_B1</t>
        </is>
      </c>
      <c r="B3506" s="13" t="inlineStr">
        <is>
          <t>CW35</t>
        </is>
      </c>
      <c r="C3506" s="13" t="inlineStr">
        <is>
          <t>B1</t>
        </is>
      </c>
      <c r="D3506" s="13" t="n">
        <v>0</v>
      </c>
      <c r="E3506" s="13" t="inlineStr">
        <is>
          <t>W</t>
        </is>
      </c>
      <c r="F3506" s="13" t="n">
        <v>2024</v>
      </c>
      <c r="G3506" s="14" t="n">
        <v>1000541.06062658</v>
      </c>
      <c r="H3506" s="14" t="n">
        <v>153696.3531960581</v>
      </c>
      <c r="I3506" s="14" t="n">
        <v>159109.0937719008</v>
      </c>
      <c r="J3506" s="14" t="n">
        <v>0</v>
      </c>
      <c r="K3506" s="14" t="n">
        <v>176581.3641353532</v>
      </c>
      <c r="L3506" s="14" t="n">
        <v>511154.2495232676</v>
      </c>
      <c r="M3506" s="14" t="n">
        <v>0</v>
      </c>
      <c r="N3506" s="14" t="n">
        <v>222565.377431114</v>
      </c>
      <c r="O3506" s="14" t="n">
        <v>488450.6044381235</v>
      </c>
      <c r="P3506" s="14" t="n">
        <v>72480.15140997195</v>
      </c>
      <c r="Q3506" s="14" t="n">
        <v>4594714.352113402</v>
      </c>
      <c r="R3506" s="15">
        <f>IF(D3506=1,"Section 1","Control")</f>
        <v/>
      </c>
      <c r="S3506" s="16">
        <f>N3506/10000</f>
        <v/>
      </c>
      <c r="T3506" s="16">
        <f>P3506/10000</f>
        <v/>
      </c>
      <c r="U3506" s="15">
        <f>IF(N3506&gt;=Summary!$D$3,1,0)</f>
        <v/>
      </c>
      <c r="V3506" s="17">
        <f>IF(N3506&gt;0,P3506/N3506,"")</f>
        <v/>
      </c>
      <c r="W3506" s="17">
        <f>IF(O3506&gt;0,H3506/O3506,"")</f>
        <v/>
      </c>
    </row>
    <row r="3507">
      <c r="A3507" s="13" t="inlineStr">
        <is>
          <t>CW35_B1</t>
        </is>
      </c>
      <c r="B3507" s="13" t="inlineStr">
        <is>
          <t>CW35</t>
        </is>
      </c>
      <c r="C3507" s="13" t="inlineStr">
        <is>
          <t>B1</t>
        </is>
      </c>
      <c r="D3507" s="13" t="n">
        <v>0</v>
      </c>
      <c r="E3507" s="13" t="inlineStr">
        <is>
          <t>W</t>
        </is>
      </c>
      <c r="F3507" s="13" t="n">
        <v>2025</v>
      </c>
      <c r="G3507" s="14" t="n">
        <v>1000541.06062658</v>
      </c>
      <c r="H3507" s="14" t="n">
        <v>133612.7331888236</v>
      </c>
      <c r="I3507" s="14" t="n">
        <v>196783.3317288567</v>
      </c>
      <c r="J3507" s="14" t="n">
        <v>0</v>
      </c>
      <c r="K3507" s="14" t="n">
        <v>141804.724966311</v>
      </c>
      <c r="L3507" s="14" t="n">
        <v>528340.2707425884</v>
      </c>
      <c r="M3507" s="14" t="n">
        <v>0</v>
      </c>
      <c r="N3507" s="14" t="n">
        <v>222565.377431114</v>
      </c>
      <c r="O3507" s="14" t="n">
        <v>488450.6044381235</v>
      </c>
      <c r="P3507" s="14" t="n">
        <v>89939.92123508829</v>
      </c>
      <c r="Q3507" s="14" t="n">
        <v>4594714.352113402</v>
      </c>
      <c r="R3507" s="15">
        <f>IF(D3507=1,"Section 1","Control")</f>
        <v/>
      </c>
      <c r="S3507" s="16">
        <f>N3507/10000</f>
        <v/>
      </c>
      <c r="T3507" s="16">
        <f>P3507/10000</f>
        <v/>
      </c>
      <c r="U3507" s="15">
        <f>IF(N3507&gt;=Summary!$D$3,1,0)</f>
        <v/>
      </c>
      <c r="V3507" s="17">
        <f>IF(N3507&gt;0,P3507/N3507,"")</f>
        <v/>
      </c>
      <c r="W3507" s="17">
        <f>IF(O3507&gt;0,H3507/O3507,"")</f>
        <v/>
      </c>
    </row>
    <row r="3508">
      <c r="A3508" s="13" t="inlineStr">
        <is>
          <t>CW35_B1</t>
        </is>
      </c>
      <c r="B3508" s="13" t="inlineStr">
        <is>
          <t>CW35</t>
        </is>
      </c>
      <c r="C3508" s="13" t="inlineStr">
        <is>
          <t>B1</t>
        </is>
      </c>
      <c r="D3508" s="13" t="n">
        <v>0</v>
      </c>
      <c r="E3508" s="13" t="inlineStr">
        <is>
          <t>W</t>
        </is>
      </c>
      <c r="F3508" s="13" t="n">
        <v>2026</v>
      </c>
      <c r="G3508" s="14" t="n">
        <v>1000541.06062658</v>
      </c>
      <c r="H3508" s="14" t="n">
        <v>159054.0060305726</v>
      </c>
      <c r="I3508" s="14" t="n">
        <v>166912.0852898392</v>
      </c>
      <c r="J3508" s="14" t="n">
        <v>0</v>
      </c>
      <c r="K3508" s="14" t="n">
        <v>158378.9940784529</v>
      </c>
      <c r="L3508" s="14" t="n">
        <v>516195.975227715</v>
      </c>
      <c r="M3508" s="14" t="n">
        <v>0</v>
      </c>
      <c r="N3508" s="14" t="n">
        <v>222565.377431114</v>
      </c>
      <c r="O3508" s="14" t="n">
        <v>488450.6044381235</v>
      </c>
      <c r="P3508" s="14" t="n">
        <v>69058.73420724308</v>
      </c>
      <c r="Q3508" s="14" t="n">
        <v>4594714.352113402</v>
      </c>
      <c r="R3508" s="15">
        <f>IF(D3508=1,"Section 1","Control")</f>
        <v/>
      </c>
      <c r="S3508" s="16">
        <f>N3508/10000</f>
        <v/>
      </c>
      <c r="T3508" s="16">
        <f>P3508/10000</f>
        <v/>
      </c>
      <c r="U3508" s="15">
        <f>IF(N3508&gt;=Summary!$D$3,1,0)</f>
        <v/>
      </c>
      <c r="V3508" s="17">
        <f>IF(N3508&gt;0,P3508/N3508,"")</f>
        <v/>
      </c>
      <c r="W3508" s="17">
        <f>IF(O3508&gt;0,H3508/O3508,"")</f>
        <v/>
      </c>
    </row>
    <row r="3509">
      <c r="A3509" s="13" t="inlineStr">
        <is>
          <t>CW35_B2</t>
        </is>
      </c>
      <c r="B3509" s="13" t="inlineStr">
        <is>
          <t>CW35</t>
        </is>
      </c>
      <c r="C3509" s="13" t="inlineStr">
        <is>
          <t>B2</t>
        </is>
      </c>
      <c r="D3509" s="13" t="n">
        <v>0</v>
      </c>
      <c r="E3509" s="13" t="inlineStr">
        <is>
          <t>W</t>
        </is>
      </c>
      <c r="F3509" s="13" t="n">
        <v>2020</v>
      </c>
      <c r="G3509" s="14" t="n">
        <v>1001038.954014737</v>
      </c>
      <c r="H3509" s="14" t="n">
        <v>170782.8644491757</v>
      </c>
      <c r="I3509" s="14" t="n">
        <v>64441.58907886582</v>
      </c>
      <c r="J3509" s="14" t="n">
        <v>0</v>
      </c>
      <c r="K3509" s="14" t="n">
        <v>9150.224764176912</v>
      </c>
      <c r="L3509" s="14" t="n">
        <v>756664.2757225186</v>
      </c>
      <c r="M3509" s="14" t="n">
        <v>0</v>
      </c>
      <c r="N3509" s="14" t="n">
        <v>170782.8644491757</v>
      </c>
      <c r="O3509" s="14" t="n">
        <v>244374.6782922182</v>
      </c>
      <c r="P3509" s="14" t="n">
        <v>0</v>
      </c>
      <c r="Q3509" s="14" t="n">
        <v>1280089.859714344</v>
      </c>
      <c r="R3509" s="15">
        <f>IF(D3509=1,"Section 1","Control")</f>
        <v/>
      </c>
      <c r="S3509" s="16">
        <f>N3509/10000</f>
        <v/>
      </c>
      <c r="T3509" s="16">
        <f>P3509/10000</f>
        <v/>
      </c>
      <c r="U3509" s="15">
        <f>IF(N3509&gt;=Summary!$D$3,1,0)</f>
        <v/>
      </c>
      <c r="V3509" s="17">
        <f>IF(N3509&gt;0,P3509/N3509,"")</f>
        <v/>
      </c>
      <c r="W3509" s="17">
        <f>IF(O3509&gt;0,H3509/O3509,"")</f>
        <v/>
      </c>
    </row>
    <row r="3510">
      <c r="A3510" s="13" t="inlineStr">
        <is>
          <t>CW35_B2</t>
        </is>
      </c>
      <c r="B3510" s="13" t="inlineStr">
        <is>
          <t>CW35</t>
        </is>
      </c>
      <c r="C3510" s="13" t="inlineStr">
        <is>
          <t>B2</t>
        </is>
      </c>
      <c r="D3510" s="13" t="n">
        <v>0</v>
      </c>
      <c r="E3510" s="13" t="inlineStr">
        <is>
          <t>W</t>
        </is>
      </c>
      <c r="F3510" s="13" t="n">
        <v>2021</v>
      </c>
      <c r="G3510" s="14" t="n">
        <v>1001038.954014737</v>
      </c>
      <c r="H3510" s="14" t="n">
        <v>197708.4443419811</v>
      </c>
      <c r="I3510" s="14" t="n">
        <v>25654.52322618074</v>
      </c>
      <c r="J3510" s="14" t="n">
        <v>0</v>
      </c>
      <c r="K3510" s="14" t="n">
        <v>32152.33600080901</v>
      </c>
      <c r="L3510" s="14" t="n">
        <v>745523.650445766</v>
      </c>
      <c r="M3510" s="14" t="n">
        <v>0</v>
      </c>
      <c r="N3510" s="14" t="n">
        <v>170782.8644491757</v>
      </c>
      <c r="O3510" s="14" t="n">
        <v>244374.6782922182</v>
      </c>
      <c r="P3510" s="14" t="n">
        <v>10560.24265785965</v>
      </c>
      <c r="Q3510" s="14" t="n">
        <v>1280089.859714343</v>
      </c>
      <c r="R3510" s="15">
        <f>IF(D3510=1,"Section 1","Control")</f>
        <v/>
      </c>
      <c r="S3510" s="16">
        <f>N3510/10000</f>
        <v/>
      </c>
      <c r="T3510" s="16">
        <f>P3510/10000</f>
        <v/>
      </c>
      <c r="U3510" s="15">
        <f>IF(N3510&gt;=Summary!$D$3,1,0)</f>
        <v/>
      </c>
      <c r="V3510" s="17">
        <f>IF(N3510&gt;0,P3510/N3510,"")</f>
        <v/>
      </c>
      <c r="W3510" s="17">
        <f>IF(O3510&gt;0,H3510/O3510,"")</f>
        <v/>
      </c>
    </row>
    <row r="3511">
      <c r="A3511" s="13" t="inlineStr">
        <is>
          <t>CW35_B2</t>
        </is>
      </c>
      <c r="B3511" s="13" t="inlineStr">
        <is>
          <t>CW35</t>
        </is>
      </c>
      <c r="C3511" s="13" t="inlineStr">
        <is>
          <t>B2</t>
        </is>
      </c>
      <c r="D3511" s="13" t="n">
        <v>0</v>
      </c>
      <c r="E3511" s="13" t="inlineStr">
        <is>
          <t>W</t>
        </is>
      </c>
      <c r="F3511" s="13" t="n">
        <v>2022</v>
      </c>
      <c r="G3511" s="14" t="n">
        <v>1001038.954014737</v>
      </c>
      <c r="H3511" s="14" t="n">
        <v>185416.8139519484</v>
      </c>
      <c r="I3511" s="14" t="n">
        <v>37920.59492687151</v>
      </c>
      <c r="J3511" s="14" t="n">
        <v>0</v>
      </c>
      <c r="K3511" s="14" t="n">
        <v>29601.70780023313</v>
      </c>
      <c r="L3511" s="14" t="n">
        <v>748099.8373356836</v>
      </c>
      <c r="M3511" s="14" t="n">
        <v>0</v>
      </c>
      <c r="N3511" s="14" t="n">
        <v>170782.8644491757</v>
      </c>
      <c r="O3511" s="14" t="n">
        <v>244374.6782922182</v>
      </c>
      <c r="P3511" s="14" t="n">
        <v>9044.504253671685</v>
      </c>
      <c r="Q3511" s="14" t="n">
        <v>1280089.859714344</v>
      </c>
      <c r="R3511" s="15">
        <f>IF(D3511=1,"Section 1","Control")</f>
        <v/>
      </c>
      <c r="S3511" s="16">
        <f>N3511/10000</f>
        <v/>
      </c>
      <c r="T3511" s="16">
        <f>P3511/10000</f>
        <v/>
      </c>
      <c r="U3511" s="15">
        <f>IF(N3511&gt;=Summary!$D$3,1,0)</f>
        <v/>
      </c>
      <c r="V3511" s="17">
        <f>IF(N3511&gt;0,P3511/N3511,"")</f>
        <v/>
      </c>
      <c r="W3511" s="17">
        <f>IF(O3511&gt;0,H3511/O3511,"")</f>
        <v/>
      </c>
    </row>
    <row r="3512">
      <c r="A3512" s="13" t="inlineStr">
        <is>
          <t>CW35_B2</t>
        </is>
      </c>
      <c r="B3512" s="13" t="inlineStr">
        <is>
          <t>CW35</t>
        </is>
      </c>
      <c r="C3512" s="13" t="inlineStr">
        <is>
          <t>B2</t>
        </is>
      </c>
      <c r="D3512" s="13" t="n">
        <v>0</v>
      </c>
      <c r="E3512" s="13" t="inlineStr">
        <is>
          <t>W</t>
        </is>
      </c>
      <c r="F3512" s="13" t="n">
        <v>2023</v>
      </c>
      <c r="G3512" s="14" t="n">
        <v>1001038.954014737</v>
      </c>
      <c r="H3512" s="14" t="n">
        <v>184369.9240599987</v>
      </c>
      <c r="I3512" s="14" t="n">
        <v>36788.52180268531</v>
      </c>
      <c r="J3512" s="14" t="n">
        <v>0</v>
      </c>
      <c r="K3512" s="14" t="n">
        <v>21378.3790317311</v>
      </c>
      <c r="L3512" s="14" t="n">
        <v>758502.1291203217</v>
      </c>
      <c r="M3512" s="14" t="n">
        <v>0</v>
      </c>
      <c r="N3512" s="14" t="n">
        <v>170782.8644491757</v>
      </c>
      <c r="O3512" s="14" t="n">
        <v>244374.6782922182</v>
      </c>
      <c r="P3512" s="14" t="n">
        <v>13623.09372268377</v>
      </c>
      <c r="Q3512" s="14" t="n">
        <v>1280089.859714343</v>
      </c>
      <c r="R3512" s="15">
        <f>IF(D3512=1,"Section 1","Control")</f>
        <v/>
      </c>
      <c r="S3512" s="16">
        <f>N3512/10000</f>
        <v/>
      </c>
      <c r="T3512" s="16">
        <f>P3512/10000</f>
        <v/>
      </c>
      <c r="U3512" s="15">
        <f>IF(N3512&gt;=Summary!$D$3,1,0)</f>
        <v/>
      </c>
      <c r="V3512" s="17">
        <f>IF(N3512&gt;0,P3512/N3512,"")</f>
        <v/>
      </c>
      <c r="W3512" s="17">
        <f>IF(O3512&gt;0,H3512/O3512,"")</f>
        <v/>
      </c>
    </row>
    <row r="3513">
      <c r="A3513" s="13" t="inlineStr">
        <is>
          <t>CW35_B2</t>
        </is>
      </c>
      <c r="B3513" s="13" t="inlineStr">
        <is>
          <t>CW35</t>
        </is>
      </c>
      <c r="C3513" s="13" t="inlineStr">
        <is>
          <t>B2</t>
        </is>
      </c>
      <c r="D3513" s="13" t="n">
        <v>0</v>
      </c>
      <c r="E3513" s="13" t="inlineStr">
        <is>
          <t>W</t>
        </is>
      </c>
      <c r="F3513" s="13" t="n">
        <v>2024</v>
      </c>
      <c r="G3513" s="14" t="n">
        <v>1001038.954014737</v>
      </c>
      <c r="H3513" s="14" t="n">
        <v>209207.1448708328</v>
      </c>
      <c r="I3513" s="14" t="n">
        <v>12741.11272128236</v>
      </c>
      <c r="J3513" s="14" t="n">
        <v>0</v>
      </c>
      <c r="K3513" s="14" t="n">
        <v>20372.13037363688</v>
      </c>
      <c r="L3513" s="14" t="n">
        <v>758718.5660489849</v>
      </c>
      <c r="M3513" s="14" t="n">
        <v>0</v>
      </c>
      <c r="N3513" s="14" t="n">
        <v>170782.8644491757</v>
      </c>
      <c r="O3513" s="14" t="n">
        <v>244374.6782922182</v>
      </c>
      <c r="P3513" s="14" t="n">
        <v>10547.86412637748</v>
      </c>
      <c r="Q3513" s="14" t="n">
        <v>1280089.859714343</v>
      </c>
      <c r="R3513" s="15">
        <f>IF(D3513=1,"Section 1","Control")</f>
        <v/>
      </c>
      <c r="S3513" s="16">
        <f>N3513/10000</f>
        <v/>
      </c>
      <c r="T3513" s="16">
        <f>P3513/10000</f>
        <v/>
      </c>
      <c r="U3513" s="15">
        <f>IF(N3513&gt;=Summary!$D$3,1,0)</f>
        <v/>
      </c>
      <c r="V3513" s="17">
        <f>IF(N3513&gt;0,P3513/N3513,"")</f>
        <v/>
      </c>
      <c r="W3513" s="17">
        <f>IF(O3513&gt;0,H3513/O3513,"")</f>
        <v/>
      </c>
    </row>
    <row r="3514">
      <c r="A3514" s="13" t="inlineStr">
        <is>
          <t>CW35_B2</t>
        </is>
      </c>
      <c r="B3514" s="13" t="inlineStr">
        <is>
          <t>CW35</t>
        </is>
      </c>
      <c r="C3514" s="13" t="inlineStr">
        <is>
          <t>B2</t>
        </is>
      </c>
      <c r="D3514" s="13" t="n">
        <v>0</v>
      </c>
      <c r="E3514" s="13" t="inlineStr">
        <is>
          <t>W</t>
        </is>
      </c>
      <c r="F3514" s="13" t="n">
        <v>2025</v>
      </c>
      <c r="G3514" s="14" t="n">
        <v>1001038.954014737</v>
      </c>
      <c r="H3514" s="14" t="n">
        <v>199423.9442373536</v>
      </c>
      <c r="I3514" s="14" t="n">
        <v>23599.07785608628</v>
      </c>
      <c r="J3514" s="14" t="n">
        <v>0</v>
      </c>
      <c r="K3514" s="14" t="n">
        <v>20364.38934544582</v>
      </c>
      <c r="L3514" s="14" t="n">
        <v>757651.5425758511</v>
      </c>
      <c r="M3514" s="14" t="n">
        <v>0</v>
      </c>
      <c r="N3514" s="14" t="n">
        <v>170782.8644491757</v>
      </c>
      <c r="O3514" s="14" t="n">
        <v>244374.6782922182</v>
      </c>
      <c r="P3514" s="14" t="n">
        <v>12005.9171924965</v>
      </c>
      <c r="Q3514" s="14" t="n">
        <v>1280089.859714343</v>
      </c>
      <c r="R3514" s="15">
        <f>IF(D3514=1,"Section 1","Control")</f>
        <v/>
      </c>
      <c r="S3514" s="16">
        <f>N3514/10000</f>
        <v/>
      </c>
      <c r="T3514" s="16">
        <f>P3514/10000</f>
        <v/>
      </c>
      <c r="U3514" s="15">
        <f>IF(N3514&gt;=Summary!$D$3,1,0)</f>
        <v/>
      </c>
      <c r="V3514" s="17">
        <f>IF(N3514&gt;0,P3514/N3514,"")</f>
        <v/>
      </c>
      <c r="W3514" s="17">
        <f>IF(O3514&gt;0,H3514/O3514,"")</f>
        <v/>
      </c>
    </row>
    <row r="3515">
      <c r="A3515" s="13" t="inlineStr">
        <is>
          <t>CW35_B2</t>
        </is>
      </c>
      <c r="B3515" s="13" t="inlineStr">
        <is>
          <t>CW35</t>
        </is>
      </c>
      <c r="C3515" s="13" t="inlineStr">
        <is>
          <t>B2</t>
        </is>
      </c>
      <c r="D3515" s="13" t="n">
        <v>0</v>
      </c>
      <c r="E3515" s="13" t="inlineStr">
        <is>
          <t>W</t>
        </is>
      </c>
      <c r="F3515" s="13" t="n">
        <v>2026</v>
      </c>
      <c r="G3515" s="14" t="n">
        <v>1001038.954014737</v>
      </c>
      <c r="H3515" s="14" t="n">
        <v>199868.7901424632</v>
      </c>
      <c r="I3515" s="14" t="n">
        <v>22738.80146642948</v>
      </c>
      <c r="J3515" s="14" t="n">
        <v>0</v>
      </c>
      <c r="K3515" s="14" t="n">
        <v>20008.98269719142</v>
      </c>
      <c r="L3515" s="14" t="n">
        <v>758422.3797086529</v>
      </c>
      <c r="M3515" s="14" t="n">
        <v>0</v>
      </c>
      <c r="N3515" s="14" t="n">
        <v>170782.8644491757</v>
      </c>
      <c r="O3515" s="14" t="n">
        <v>244374.6782922182</v>
      </c>
      <c r="P3515" s="14" t="n">
        <v>13612.64090411616</v>
      </c>
      <c r="Q3515" s="14" t="n">
        <v>1280089.859714344</v>
      </c>
      <c r="R3515" s="15">
        <f>IF(D3515=1,"Section 1","Control")</f>
        <v/>
      </c>
      <c r="S3515" s="16">
        <f>N3515/10000</f>
        <v/>
      </c>
      <c r="T3515" s="16">
        <f>P3515/10000</f>
        <v/>
      </c>
      <c r="U3515" s="15">
        <f>IF(N3515&gt;=Summary!$D$3,1,0)</f>
        <v/>
      </c>
      <c r="V3515" s="17">
        <f>IF(N3515&gt;0,P3515/N3515,"")</f>
        <v/>
      </c>
      <c r="W3515" s="17">
        <f>IF(O3515&gt;0,H3515/O3515,"")</f>
        <v/>
      </c>
    </row>
    <row r="3516">
      <c r="A3516" s="13" t="inlineStr">
        <is>
          <t>CW35_B3</t>
        </is>
      </c>
      <c r="B3516" s="13" t="inlineStr">
        <is>
          <t>CW35</t>
        </is>
      </c>
      <c r="C3516" s="13" t="inlineStr">
        <is>
          <t>B3</t>
        </is>
      </c>
      <c r="D3516" s="13" t="n">
        <v>0</v>
      </c>
      <c r="E3516" s="13" t="inlineStr">
        <is>
          <t>W</t>
        </is>
      </c>
      <c r="F3516" s="13" t="n">
        <v>2020</v>
      </c>
      <c r="G3516" s="14" t="n">
        <v>8005095.598342718</v>
      </c>
      <c r="H3516" s="14" t="n">
        <v>2902757.699173034</v>
      </c>
      <c r="I3516" s="14" t="n">
        <v>451771.5001786475</v>
      </c>
      <c r="J3516" s="14" t="n">
        <v>0</v>
      </c>
      <c r="K3516" s="14" t="n">
        <v>485942.319422015</v>
      </c>
      <c r="L3516" s="14" t="n">
        <v>4164624.079569019</v>
      </c>
      <c r="M3516" s="14" t="n">
        <v>0</v>
      </c>
      <c r="N3516" s="14" t="n">
        <v>2902757.699173034</v>
      </c>
      <c r="O3516" s="14" t="n">
        <v>3840471.518773696</v>
      </c>
      <c r="P3516" s="14" t="n">
        <v>0</v>
      </c>
      <c r="Q3516" s="14" t="n">
        <v>30609477.91958974</v>
      </c>
      <c r="R3516" s="15">
        <f>IF(D3516=1,"Section 1","Control")</f>
        <v/>
      </c>
      <c r="S3516" s="16">
        <f>N3516/10000</f>
        <v/>
      </c>
      <c r="T3516" s="16">
        <f>P3516/10000</f>
        <v/>
      </c>
      <c r="U3516" s="15">
        <f>IF(N3516&gt;=Summary!$D$3,1,0)</f>
        <v/>
      </c>
      <c r="V3516" s="17">
        <f>IF(N3516&gt;0,P3516/N3516,"")</f>
        <v/>
      </c>
      <c r="W3516" s="17">
        <f>IF(O3516&gt;0,H3516/O3516,"")</f>
        <v/>
      </c>
    </row>
    <row r="3517">
      <c r="A3517" s="13" t="inlineStr">
        <is>
          <t>CW35_B3</t>
        </is>
      </c>
      <c r="B3517" s="13" t="inlineStr">
        <is>
          <t>CW35</t>
        </is>
      </c>
      <c r="C3517" s="13" t="inlineStr">
        <is>
          <t>B3</t>
        </is>
      </c>
      <c r="D3517" s="13" t="n">
        <v>0</v>
      </c>
      <c r="E3517" s="13" t="inlineStr">
        <is>
          <t>W</t>
        </is>
      </c>
      <c r="F3517" s="13" t="n">
        <v>2021</v>
      </c>
      <c r="G3517" s="14" t="n">
        <v>8005095.598342718</v>
      </c>
      <c r="H3517" s="14" t="n">
        <v>3084531.278883961</v>
      </c>
      <c r="I3517" s="14" t="n">
        <v>157500.2685426002</v>
      </c>
      <c r="J3517" s="14" t="n">
        <v>0</v>
      </c>
      <c r="K3517" s="14" t="n">
        <v>636251.9510605755</v>
      </c>
      <c r="L3517" s="14" t="n">
        <v>4126812.099855579</v>
      </c>
      <c r="M3517" s="14" t="n">
        <v>0</v>
      </c>
      <c r="N3517" s="14" t="n">
        <v>2902757.699173034</v>
      </c>
      <c r="O3517" s="14" t="n">
        <v>3840471.518773696</v>
      </c>
      <c r="P3517" s="14" t="n">
        <v>72800.44328589345</v>
      </c>
      <c r="Q3517" s="14" t="n">
        <v>30609477.91958974</v>
      </c>
      <c r="R3517" s="15">
        <f>IF(D3517=1,"Section 1","Control")</f>
        <v/>
      </c>
      <c r="S3517" s="16">
        <f>N3517/10000</f>
        <v/>
      </c>
      <c r="T3517" s="16">
        <f>P3517/10000</f>
        <v/>
      </c>
      <c r="U3517" s="15">
        <f>IF(N3517&gt;=Summary!$D$3,1,0)</f>
        <v/>
      </c>
      <c r="V3517" s="17">
        <f>IF(N3517&gt;0,P3517/N3517,"")</f>
        <v/>
      </c>
      <c r="W3517" s="17">
        <f>IF(O3517&gt;0,H3517/O3517,"")</f>
        <v/>
      </c>
    </row>
    <row r="3518">
      <c r="A3518" s="13" t="inlineStr">
        <is>
          <t>CW35_B3</t>
        </is>
      </c>
      <c r="B3518" s="13" t="inlineStr">
        <is>
          <t>CW35</t>
        </is>
      </c>
      <c r="C3518" s="13" t="inlineStr">
        <is>
          <t>B3</t>
        </is>
      </c>
      <c r="D3518" s="13" t="n">
        <v>0</v>
      </c>
      <c r="E3518" s="13" t="inlineStr">
        <is>
          <t>W</t>
        </is>
      </c>
      <c r="F3518" s="13" t="n">
        <v>2022</v>
      </c>
      <c r="G3518" s="14" t="n">
        <v>8005095.598342718</v>
      </c>
      <c r="H3518" s="14" t="n">
        <v>2932219.244655983</v>
      </c>
      <c r="I3518" s="14" t="n">
        <v>331201.4913023107</v>
      </c>
      <c r="J3518" s="14" t="n">
        <v>0</v>
      </c>
      <c r="K3518" s="14" t="n">
        <v>597719.6934827019</v>
      </c>
      <c r="L3518" s="14" t="n">
        <v>4143955.16890172</v>
      </c>
      <c r="M3518" s="14" t="n">
        <v>0</v>
      </c>
      <c r="N3518" s="14" t="n">
        <v>2902757.699173034</v>
      </c>
      <c r="O3518" s="14" t="n">
        <v>3840471.518773696</v>
      </c>
      <c r="P3518" s="14" t="n">
        <v>140061.0475045298</v>
      </c>
      <c r="Q3518" s="14" t="n">
        <v>30609477.91958974</v>
      </c>
      <c r="R3518" s="15">
        <f>IF(D3518=1,"Section 1","Control")</f>
        <v/>
      </c>
      <c r="S3518" s="16">
        <f>N3518/10000</f>
        <v/>
      </c>
      <c r="T3518" s="16">
        <f>P3518/10000</f>
        <v/>
      </c>
      <c r="U3518" s="15">
        <f>IF(N3518&gt;=Summary!$D$3,1,0)</f>
        <v/>
      </c>
      <c r="V3518" s="17">
        <f>IF(N3518&gt;0,P3518/N3518,"")</f>
        <v/>
      </c>
      <c r="W3518" s="17">
        <f>IF(O3518&gt;0,H3518/O3518,"")</f>
        <v/>
      </c>
    </row>
    <row r="3519">
      <c r="A3519" s="13" t="inlineStr">
        <is>
          <t>CW35_B3</t>
        </is>
      </c>
      <c r="B3519" s="13" t="inlineStr">
        <is>
          <t>CW35</t>
        </is>
      </c>
      <c r="C3519" s="13" t="inlineStr">
        <is>
          <t>B3</t>
        </is>
      </c>
      <c r="D3519" s="13" t="n">
        <v>0</v>
      </c>
      <c r="E3519" s="13" t="inlineStr">
        <is>
          <t>W</t>
        </is>
      </c>
      <c r="F3519" s="13" t="n">
        <v>2023</v>
      </c>
      <c r="G3519" s="14" t="n">
        <v>8005095.598342718</v>
      </c>
      <c r="H3519" s="14" t="n">
        <v>2981139.768095189</v>
      </c>
      <c r="I3519" s="14" t="n">
        <v>264259.5472943773</v>
      </c>
      <c r="J3519" s="14" t="n">
        <v>0</v>
      </c>
      <c r="K3519" s="14" t="n">
        <v>581039.5939480052</v>
      </c>
      <c r="L3519" s="14" t="n">
        <v>4178656.689005145</v>
      </c>
      <c r="M3519" s="14" t="n">
        <v>0</v>
      </c>
      <c r="N3519" s="14" t="n">
        <v>2902757.699173034</v>
      </c>
      <c r="O3519" s="14" t="n">
        <v>3840471.518773696</v>
      </c>
      <c r="P3519" s="14" t="n">
        <v>130831.160483925</v>
      </c>
      <c r="Q3519" s="14" t="n">
        <v>30609477.91958974</v>
      </c>
      <c r="R3519" s="15">
        <f>IF(D3519=1,"Section 1","Control")</f>
        <v/>
      </c>
      <c r="S3519" s="16">
        <f>N3519/10000</f>
        <v/>
      </c>
      <c r="T3519" s="16">
        <f>P3519/10000</f>
        <v/>
      </c>
      <c r="U3519" s="15">
        <f>IF(N3519&gt;=Summary!$D$3,1,0)</f>
        <v/>
      </c>
      <c r="V3519" s="17">
        <f>IF(N3519&gt;0,P3519/N3519,"")</f>
        <v/>
      </c>
      <c r="W3519" s="17">
        <f>IF(O3519&gt;0,H3519/O3519,"")</f>
        <v/>
      </c>
    </row>
    <row r="3520">
      <c r="A3520" s="13" t="inlineStr">
        <is>
          <t>CW35_B3</t>
        </is>
      </c>
      <c r="B3520" s="13" t="inlineStr">
        <is>
          <t>CW35</t>
        </is>
      </c>
      <c r="C3520" s="13" t="inlineStr">
        <is>
          <t>B3</t>
        </is>
      </c>
      <c r="D3520" s="13" t="n">
        <v>0</v>
      </c>
      <c r="E3520" s="13" t="inlineStr">
        <is>
          <t>W</t>
        </is>
      </c>
      <c r="F3520" s="13" t="n">
        <v>2024</v>
      </c>
      <c r="G3520" s="14" t="n">
        <v>8005095.598342718</v>
      </c>
      <c r="H3520" s="14" t="n">
        <v>3076241.629524829</v>
      </c>
      <c r="I3520" s="14" t="n">
        <v>164790.8589052088</v>
      </c>
      <c r="J3520" s="14" t="n">
        <v>0</v>
      </c>
      <c r="K3520" s="14" t="n">
        <v>597745.977588489</v>
      </c>
      <c r="L3520" s="14" t="n">
        <v>4166317.132324188</v>
      </c>
      <c r="M3520" s="14" t="n">
        <v>0</v>
      </c>
      <c r="N3520" s="14" t="n">
        <v>2902757.699173034</v>
      </c>
      <c r="O3520" s="14" t="n">
        <v>3840471.518773696</v>
      </c>
      <c r="P3520" s="14" t="n">
        <v>126862.1053111955</v>
      </c>
      <c r="Q3520" s="14" t="n">
        <v>30609477.91958974</v>
      </c>
      <c r="R3520" s="15">
        <f>IF(D3520=1,"Section 1","Control")</f>
        <v/>
      </c>
      <c r="S3520" s="16">
        <f>N3520/10000</f>
        <v/>
      </c>
      <c r="T3520" s="16">
        <f>P3520/10000</f>
        <v/>
      </c>
      <c r="U3520" s="15">
        <f>IF(N3520&gt;=Summary!$D$3,1,0)</f>
        <v/>
      </c>
      <c r="V3520" s="17">
        <f>IF(N3520&gt;0,P3520/N3520,"")</f>
        <v/>
      </c>
      <c r="W3520" s="17">
        <f>IF(O3520&gt;0,H3520/O3520,"")</f>
        <v/>
      </c>
    </row>
    <row r="3521">
      <c r="A3521" s="13" t="inlineStr">
        <is>
          <t>CW35_B3</t>
        </is>
      </c>
      <c r="B3521" s="13" t="inlineStr">
        <is>
          <t>CW35</t>
        </is>
      </c>
      <c r="C3521" s="13" t="inlineStr">
        <is>
          <t>B3</t>
        </is>
      </c>
      <c r="D3521" s="13" t="n">
        <v>0</v>
      </c>
      <c r="E3521" s="13" t="inlineStr">
        <is>
          <t>W</t>
        </is>
      </c>
      <c r="F3521" s="13" t="n">
        <v>2025</v>
      </c>
      <c r="G3521" s="14" t="n">
        <v>8005095.598342719</v>
      </c>
      <c r="H3521" s="14" t="n">
        <v>2994225.833817605</v>
      </c>
      <c r="I3521" s="14" t="n">
        <v>245852.9707597321</v>
      </c>
      <c r="J3521" s="14" t="n">
        <v>0</v>
      </c>
      <c r="K3521" s="14" t="n">
        <v>600731.4837428671</v>
      </c>
      <c r="L3521" s="14" t="n">
        <v>4164285.310022511</v>
      </c>
      <c r="M3521" s="14" t="n">
        <v>0</v>
      </c>
      <c r="N3521" s="14" t="n">
        <v>2902757.699173034</v>
      </c>
      <c r="O3521" s="14" t="n">
        <v>3840471.518773696</v>
      </c>
      <c r="P3521" s="14" t="n">
        <v>160388.3069663254</v>
      </c>
      <c r="Q3521" s="14" t="n">
        <v>30609477.91958974</v>
      </c>
      <c r="R3521" s="15">
        <f>IF(D3521=1,"Section 1","Control")</f>
        <v/>
      </c>
      <c r="S3521" s="16">
        <f>N3521/10000</f>
        <v/>
      </c>
      <c r="T3521" s="16">
        <f>P3521/10000</f>
        <v/>
      </c>
      <c r="U3521" s="15">
        <f>IF(N3521&gt;=Summary!$D$3,1,0)</f>
        <v/>
      </c>
      <c r="V3521" s="17">
        <f>IF(N3521&gt;0,P3521/N3521,"")</f>
        <v/>
      </c>
      <c r="W3521" s="17">
        <f>IF(O3521&gt;0,H3521/O3521,"")</f>
        <v/>
      </c>
    </row>
    <row r="3522">
      <c r="A3522" s="13" t="inlineStr">
        <is>
          <t>CW35_B3</t>
        </is>
      </c>
      <c r="B3522" s="13" t="inlineStr">
        <is>
          <t>CW35</t>
        </is>
      </c>
      <c r="C3522" s="13" t="inlineStr">
        <is>
          <t>B3</t>
        </is>
      </c>
      <c r="D3522" s="13" t="n">
        <v>0</v>
      </c>
      <c r="E3522" s="13" t="inlineStr">
        <is>
          <t>W</t>
        </is>
      </c>
      <c r="F3522" s="13" t="n">
        <v>2026</v>
      </c>
      <c r="G3522" s="14" t="n">
        <v>8005095.598342718</v>
      </c>
      <c r="H3522" s="14" t="n">
        <v>2981403.66875371</v>
      </c>
      <c r="I3522" s="14" t="n">
        <v>242909.069630851</v>
      </c>
      <c r="J3522" s="14" t="n">
        <v>0</v>
      </c>
      <c r="K3522" s="14" t="n">
        <v>599366.874010632</v>
      </c>
      <c r="L3522" s="14" t="n">
        <v>4181415.985947521</v>
      </c>
      <c r="M3522" s="14" t="n">
        <v>0</v>
      </c>
      <c r="N3522" s="14" t="n">
        <v>2902757.699173034</v>
      </c>
      <c r="O3522" s="14" t="n">
        <v>3840471.518773696</v>
      </c>
      <c r="P3522" s="14" t="n">
        <v>168252.5698868994</v>
      </c>
      <c r="Q3522" s="14" t="n">
        <v>30609477.91958974</v>
      </c>
      <c r="R3522" s="15">
        <f>IF(D3522=1,"Section 1","Control")</f>
        <v/>
      </c>
      <c r="S3522" s="16">
        <f>N3522/10000</f>
        <v/>
      </c>
      <c r="T3522" s="16">
        <f>P3522/10000</f>
        <v/>
      </c>
      <c r="U3522" s="15">
        <f>IF(N3522&gt;=Summary!$D$3,1,0)</f>
        <v/>
      </c>
      <c r="V3522" s="17">
        <f>IF(N3522&gt;0,P3522/N3522,"")</f>
        <v/>
      </c>
      <c r="W3522" s="17">
        <f>IF(O3522&gt;0,H3522/O3522,"")</f>
        <v/>
      </c>
    </row>
    <row r="3523">
      <c r="A3523" s="13" t="inlineStr">
        <is>
          <t>CW35_F</t>
        </is>
      </c>
      <c r="B3523" s="13" t="inlineStr">
        <is>
          <t>CW35</t>
        </is>
      </c>
      <c r="C3523" s="13" t="inlineStr">
        <is>
          <t>F</t>
        </is>
      </c>
      <c r="D3523" s="13" t="n">
        <v>0</v>
      </c>
      <c r="E3523" s="13" t="inlineStr">
        <is>
          <t>W</t>
        </is>
      </c>
      <c r="F3523" s="13" t="n">
        <v>2020</v>
      </c>
      <c r="G3523" s="14" t="n">
        <v>69568.35134349152</v>
      </c>
      <c r="H3523" s="14" t="n">
        <v>12274.40339382396</v>
      </c>
      <c r="I3523" s="14" t="n">
        <v>0</v>
      </c>
      <c r="J3523" s="14" t="n">
        <v>0</v>
      </c>
      <c r="K3523" s="14" t="n">
        <v>33640.28977203369</v>
      </c>
      <c r="L3523" s="14" t="n">
        <v>23653.65817763384</v>
      </c>
      <c r="M3523" s="14" t="n">
        <v>0</v>
      </c>
      <c r="N3523" s="14" t="n">
        <v>12274.40339382396</v>
      </c>
      <c r="O3523" s="14" t="n">
        <v>45914.69316585765</v>
      </c>
      <c r="P3523" s="14" t="n">
        <v>0</v>
      </c>
      <c r="Q3523" s="14" t="n">
        <v>590712.9355263801</v>
      </c>
      <c r="R3523" s="15">
        <f>IF(D3523=1,"Section 1","Control")</f>
        <v/>
      </c>
      <c r="S3523" s="16">
        <f>N3523/10000</f>
        <v/>
      </c>
      <c r="T3523" s="16">
        <f>P3523/10000</f>
        <v/>
      </c>
      <c r="U3523" s="15">
        <f>IF(N3523&gt;=Summary!$D$3,1,0)</f>
        <v/>
      </c>
      <c r="V3523" s="17">
        <f>IF(N3523&gt;0,P3523/N3523,"")</f>
        <v/>
      </c>
      <c r="W3523" s="17">
        <f>IF(O3523&gt;0,H3523/O3523,"")</f>
        <v/>
      </c>
    </row>
    <row r="3524">
      <c r="A3524" s="13" t="inlineStr">
        <is>
          <t>CW35_F</t>
        </is>
      </c>
      <c r="B3524" s="13" t="inlineStr">
        <is>
          <t>CW35</t>
        </is>
      </c>
      <c r="C3524" s="13" t="inlineStr">
        <is>
          <t>F</t>
        </is>
      </c>
      <c r="D3524" s="13" t="n">
        <v>0</v>
      </c>
      <c r="E3524" s="13" t="inlineStr">
        <is>
          <t>W</t>
        </is>
      </c>
      <c r="F3524" s="13" t="n">
        <v>2021</v>
      </c>
      <c r="G3524" s="14" t="n">
        <v>69568.35134349152</v>
      </c>
      <c r="H3524" s="14" t="n">
        <v>8173.901998542336</v>
      </c>
      <c r="I3524" s="14" t="n">
        <v>98.7279815673828</v>
      </c>
      <c r="J3524" s="14" t="n">
        <v>0</v>
      </c>
      <c r="K3524" s="14" t="n">
        <v>54656.94807849959</v>
      </c>
      <c r="L3524" s="14" t="n">
        <v>6638.773284882192</v>
      </c>
      <c r="M3524" s="14" t="n">
        <v>0</v>
      </c>
      <c r="N3524" s="14" t="n">
        <v>12274.40339382396</v>
      </c>
      <c r="O3524" s="14" t="n">
        <v>45914.69316585765</v>
      </c>
      <c r="P3524" s="14" t="n">
        <v>4100.501395281623</v>
      </c>
      <c r="Q3524" s="14" t="n">
        <v>590712.9355263801</v>
      </c>
      <c r="R3524" s="15">
        <f>IF(D3524=1,"Section 1","Control")</f>
        <v/>
      </c>
      <c r="S3524" s="16">
        <f>N3524/10000</f>
        <v/>
      </c>
      <c r="T3524" s="16">
        <f>P3524/10000</f>
        <v/>
      </c>
      <c r="U3524" s="15">
        <f>IF(N3524&gt;=Summary!$D$3,1,0)</f>
        <v/>
      </c>
      <c r="V3524" s="17">
        <f>IF(N3524&gt;0,P3524/N3524,"")</f>
        <v/>
      </c>
      <c r="W3524" s="17">
        <f>IF(O3524&gt;0,H3524/O3524,"")</f>
        <v/>
      </c>
    </row>
    <row r="3525">
      <c r="A3525" s="13" t="inlineStr">
        <is>
          <t>CW35_F</t>
        </is>
      </c>
      <c r="B3525" s="13" t="inlineStr">
        <is>
          <t>CW35</t>
        </is>
      </c>
      <c r="C3525" s="13" t="inlineStr">
        <is>
          <t>F</t>
        </is>
      </c>
      <c r="D3525" s="13" t="n">
        <v>0</v>
      </c>
      <c r="E3525" s="13" t="inlineStr">
        <is>
          <t>W</t>
        </is>
      </c>
      <c r="F3525" s="13" t="n">
        <v>2022</v>
      </c>
      <c r="G3525" s="14" t="n">
        <v>69568.35134349152</v>
      </c>
      <c r="H3525" s="14" t="n">
        <v>7428.989781637752</v>
      </c>
      <c r="I3525" s="14" t="n">
        <v>92.92046760110294</v>
      </c>
      <c r="J3525" s="14" t="n">
        <v>0</v>
      </c>
      <c r="K3525" s="14" t="n">
        <v>44486.81207655365</v>
      </c>
      <c r="L3525" s="14" t="n">
        <v>17559.629017699</v>
      </c>
      <c r="M3525" s="14" t="n">
        <v>0</v>
      </c>
      <c r="N3525" s="14" t="n">
        <v>12274.40339382396</v>
      </c>
      <c r="O3525" s="14" t="n">
        <v>45914.69316585765</v>
      </c>
      <c r="P3525" s="14" t="n">
        <v>4845.413612186208</v>
      </c>
      <c r="Q3525" s="14" t="n">
        <v>590712.9355263801</v>
      </c>
      <c r="R3525" s="15">
        <f>IF(D3525=1,"Section 1","Control")</f>
        <v/>
      </c>
      <c r="S3525" s="16">
        <f>N3525/10000</f>
        <v/>
      </c>
      <c r="T3525" s="16">
        <f>P3525/10000</f>
        <v/>
      </c>
      <c r="U3525" s="15">
        <f>IF(N3525&gt;=Summary!$D$3,1,0)</f>
        <v/>
      </c>
      <c r="V3525" s="17">
        <f>IF(N3525&gt;0,P3525/N3525,"")</f>
        <v/>
      </c>
      <c r="W3525" s="17">
        <f>IF(O3525&gt;0,H3525/O3525,"")</f>
        <v/>
      </c>
    </row>
    <row r="3526">
      <c r="A3526" s="13" t="inlineStr">
        <is>
          <t>CW35_F</t>
        </is>
      </c>
      <c r="B3526" s="13" t="inlineStr">
        <is>
          <t>CW35</t>
        </is>
      </c>
      <c r="C3526" s="13" t="inlineStr">
        <is>
          <t>F</t>
        </is>
      </c>
      <c r="D3526" s="13" t="n">
        <v>0</v>
      </c>
      <c r="E3526" s="13" t="inlineStr">
        <is>
          <t>W</t>
        </is>
      </c>
      <c r="F3526" s="13" t="n">
        <v>2023</v>
      </c>
      <c r="G3526" s="14" t="n">
        <v>69568.35134349152</v>
      </c>
      <c r="H3526" s="14" t="n">
        <v>7225.726335054285</v>
      </c>
      <c r="I3526" s="14" t="n">
        <v>98.72796630859376</v>
      </c>
      <c r="J3526" s="14" t="n">
        <v>0</v>
      </c>
      <c r="K3526" s="14" t="n">
        <v>39952.6834678201</v>
      </c>
      <c r="L3526" s="14" t="n">
        <v>22291.21357430851</v>
      </c>
      <c r="M3526" s="14" t="n">
        <v>0</v>
      </c>
      <c r="N3526" s="14" t="n">
        <v>12274.40339382396</v>
      </c>
      <c r="O3526" s="14" t="n">
        <v>45914.69316585765</v>
      </c>
      <c r="P3526" s="14" t="n">
        <v>5048.677058769676</v>
      </c>
      <c r="Q3526" s="14" t="n">
        <v>590712.9355263801</v>
      </c>
      <c r="R3526" s="15">
        <f>IF(D3526=1,"Section 1","Control")</f>
        <v/>
      </c>
      <c r="S3526" s="16">
        <f>N3526/10000</f>
        <v/>
      </c>
      <c r="T3526" s="16">
        <f>P3526/10000</f>
        <v/>
      </c>
      <c r="U3526" s="15">
        <f>IF(N3526&gt;=Summary!$D$3,1,0)</f>
        <v/>
      </c>
      <c r="V3526" s="17">
        <f>IF(N3526&gt;0,P3526/N3526,"")</f>
        <v/>
      </c>
      <c r="W3526" s="17">
        <f>IF(O3526&gt;0,H3526/O3526,"")</f>
        <v/>
      </c>
    </row>
    <row r="3527">
      <c r="A3527" s="13" t="inlineStr">
        <is>
          <t>CW35_F</t>
        </is>
      </c>
      <c r="B3527" s="13" t="inlineStr">
        <is>
          <t>CW35</t>
        </is>
      </c>
      <c r="C3527" s="13" t="inlineStr">
        <is>
          <t>F</t>
        </is>
      </c>
      <c r="D3527" s="13" t="n">
        <v>0</v>
      </c>
      <c r="E3527" s="13" t="inlineStr">
        <is>
          <t>W</t>
        </is>
      </c>
      <c r="F3527" s="13" t="n">
        <v>2024</v>
      </c>
      <c r="G3527" s="14" t="n">
        <v>69568.35134349152</v>
      </c>
      <c r="H3527" s="14" t="n">
        <v>7225.726335054285</v>
      </c>
      <c r="I3527" s="14" t="n">
        <v>98.72796630859376</v>
      </c>
      <c r="J3527" s="14" t="n">
        <v>0</v>
      </c>
      <c r="K3527" s="14" t="n">
        <v>31043.16481182622</v>
      </c>
      <c r="L3527" s="14" t="n">
        <v>31200.73223030241</v>
      </c>
      <c r="M3527" s="14" t="n">
        <v>0</v>
      </c>
      <c r="N3527" s="14" t="n">
        <v>12274.40339382396</v>
      </c>
      <c r="O3527" s="14" t="n">
        <v>45914.69316585765</v>
      </c>
      <c r="P3527" s="14" t="n">
        <v>5048.677058769676</v>
      </c>
      <c r="Q3527" s="14" t="n">
        <v>590712.9355263801</v>
      </c>
      <c r="R3527" s="15">
        <f>IF(D3527=1,"Section 1","Control")</f>
        <v/>
      </c>
      <c r="S3527" s="16">
        <f>N3527/10000</f>
        <v/>
      </c>
      <c r="T3527" s="16">
        <f>P3527/10000</f>
        <v/>
      </c>
      <c r="U3527" s="15">
        <f>IF(N3527&gt;=Summary!$D$3,1,0)</f>
        <v/>
      </c>
      <c r="V3527" s="17">
        <f>IF(N3527&gt;0,P3527/N3527,"")</f>
        <v/>
      </c>
      <c r="W3527" s="17">
        <f>IF(O3527&gt;0,H3527/O3527,"")</f>
        <v/>
      </c>
    </row>
    <row r="3528">
      <c r="A3528" s="13" t="inlineStr">
        <is>
          <t>CW35_F</t>
        </is>
      </c>
      <c r="B3528" s="13" t="inlineStr">
        <is>
          <t>CW35</t>
        </is>
      </c>
      <c r="C3528" s="13" t="inlineStr">
        <is>
          <t>F</t>
        </is>
      </c>
      <c r="D3528" s="13" t="n">
        <v>0</v>
      </c>
      <c r="E3528" s="13" t="inlineStr">
        <is>
          <t>W</t>
        </is>
      </c>
      <c r="F3528" s="13" t="n">
        <v>2025</v>
      </c>
      <c r="G3528" s="14" t="n">
        <v>69568.35134349152</v>
      </c>
      <c r="H3528" s="14" t="n">
        <v>7231.533833761776</v>
      </c>
      <c r="I3528" s="14" t="n">
        <v>376.7149708467371</v>
      </c>
      <c r="J3528" s="14" t="n">
        <v>0</v>
      </c>
      <c r="K3528" s="14" t="n">
        <v>30960.69882944144</v>
      </c>
      <c r="L3528" s="14" t="n">
        <v>30999.40370944154</v>
      </c>
      <c r="M3528" s="14" t="n">
        <v>0</v>
      </c>
      <c r="N3528" s="14" t="n">
        <v>12274.40339382396</v>
      </c>
      <c r="O3528" s="14" t="n">
        <v>45914.69316585765</v>
      </c>
      <c r="P3528" s="14" t="n">
        <v>5042.869560062184</v>
      </c>
      <c r="Q3528" s="14" t="n">
        <v>590712.9355263801</v>
      </c>
      <c r="R3528" s="15">
        <f>IF(D3528=1,"Section 1","Control")</f>
        <v/>
      </c>
      <c r="S3528" s="16">
        <f>N3528/10000</f>
        <v/>
      </c>
      <c r="T3528" s="16">
        <f>P3528/10000</f>
        <v/>
      </c>
      <c r="U3528" s="15">
        <f>IF(N3528&gt;=Summary!$D$3,1,0)</f>
        <v/>
      </c>
      <c r="V3528" s="17">
        <f>IF(N3528&gt;0,P3528/N3528,"")</f>
        <v/>
      </c>
      <c r="W3528" s="17">
        <f>IF(O3528&gt;0,H3528/O3528,"")</f>
        <v/>
      </c>
    </row>
    <row r="3529">
      <c r="A3529" s="13" t="inlineStr">
        <is>
          <t>CW35_F</t>
        </is>
      </c>
      <c r="B3529" s="13" t="inlineStr">
        <is>
          <t>CW35</t>
        </is>
      </c>
      <c r="C3529" s="13" t="inlineStr">
        <is>
          <t>F</t>
        </is>
      </c>
      <c r="D3529" s="13" t="n">
        <v>0</v>
      </c>
      <c r="E3529" s="13" t="inlineStr">
        <is>
          <t>W</t>
        </is>
      </c>
      <c r="F3529" s="13" t="n">
        <v>2026</v>
      </c>
      <c r="G3529" s="14" t="n">
        <v>69568.35134349152</v>
      </c>
      <c r="H3529" s="14" t="n">
        <v>7361.622496002795</v>
      </c>
      <c r="I3529" s="14" t="n">
        <v>0</v>
      </c>
      <c r="J3529" s="14" t="n">
        <v>0</v>
      </c>
      <c r="K3529" s="14" t="n">
        <v>31361.41769355325</v>
      </c>
      <c r="L3529" s="14" t="n">
        <v>30845.31115393546</v>
      </c>
      <c r="M3529" s="14" t="n">
        <v>0</v>
      </c>
      <c r="N3529" s="14" t="n">
        <v>12274.40339382396</v>
      </c>
      <c r="O3529" s="14" t="n">
        <v>45914.69316585765</v>
      </c>
      <c r="P3529" s="14" t="n">
        <v>4912.780897821165</v>
      </c>
      <c r="Q3529" s="14" t="n">
        <v>590712.9355263801</v>
      </c>
      <c r="R3529" s="15">
        <f>IF(D3529=1,"Section 1","Control")</f>
        <v/>
      </c>
      <c r="S3529" s="16">
        <f>N3529/10000</f>
        <v/>
      </c>
      <c r="T3529" s="16">
        <f>P3529/10000</f>
        <v/>
      </c>
      <c r="U3529" s="15">
        <f>IF(N3529&gt;=Summary!$D$3,1,0)</f>
        <v/>
      </c>
      <c r="V3529" s="17">
        <f>IF(N3529&gt;0,P3529/N3529,"")</f>
        <v/>
      </c>
      <c r="W3529" s="17">
        <f>IF(O3529&gt;0,H3529/O3529,"")</f>
        <v/>
      </c>
    </row>
    <row r="3530">
      <c r="A3530" s="13" t="inlineStr">
        <is>
          <t>CW36_B1</t>
        </is>
      </c>
      <c r="B3530" s="13" t="inlineStr">
        <is>
          <t>CW36</t>
        </is>
      </c>
      <c r="C3530" s="13" t="inlineStr">
        <is>
          <t>B1</t>
        </is>
      </c>
      <c r="D3530" s="13" t="n">
        <v>0</v>
      </c>
      <c r="E3530" s="13" t="inlineStr">
        <is>
          <t>W</t>
        </is>
      </c>
      <c r="F3530" s="13" t="n">
        <v>2020</v>
      </c>
      <c r="G3530" s="14" t="n">
        <v>1000651.993657609</v>
      </c>
      <c r="H3530" s="14" t="n">
        <v>188213.7668870216</v>
      </c>
      <c r="I3530" s="14" t="n">
        <v>355744.9667977127</v>
      </c>
      <c r="J3530" s="14" t="n">
        <v>0</v>
      </c>
      <c r="K3530" s="14" t="n">
        <v>219853.1808543785</v>
      </c>
      <c r="L3530" s="14" t="n">
        <v>236840.0791184967</v>
      </c>
      <c r="M3530" s="14" t="n">
        <v>0</v>
      </c>
      <c r="N3530" s="14" t="n">
        <v>188213.7668870216</v>
      </c>
      <c r="O3530" s="14" t="n">
        <v>763811.9145391126</v>
      </c>
      <c r="P3530" s="14" t="n">
        <v>0</v>
      </c>
      <c r="Q3530" s="14" t="n">
        <v>6761412.747816019</v>
      </c>
      <c r="R3530" s="15">
        <f>IF(D3530=1,"Section 1","Control")</f>
        <v/>
      </c>
      <c r="S3530" s="16">
        <f>N3530/10000</f>
        <v/>
      </c>
      <c r="T3530" s="16">
        <f>P3530/10000</f>
        <v/>
      </c>
      <c r="U3530" s="15">
        <f>IF(N3530&gt;=Summary!$D$3,1,0)</f>
        <v/>
      </c>
      <c r="V3530" s="17">
        <f>IF(N3530&gt;0,P3530/N3530,"")</f>
        <v/>
      </c>
      <c r="W3530" s="17">
        <f>IF(O3530&gt;0,H3530/O3530,"")</f>
        <v/>
      </c>
    </row>
    <row r="3531">
      <c r="A3531" s="13" t="inlineStr">
        <is>
          <t>CW36_B1</t>
        </is>
      </c>
      <c r="B3531" s="13" t="inlineStr">
        <is>
          <t>CW36</t>
        </is>
      </c>
      <c r="C3531" s="13" t="inlineStr">
        <is>
          <t>B1</t>
        </is>
      </c>
      <c r="D3531" s="13" t="n">
        <v>0</v>
      </c>
      <c r="E3531" s="13" t="inlineStr">
        <is>
          <t>W</t>
        </is>
      </c>
      <c r="F3531" s="13" t="n">
        <v>2021</v>
      </c>
      <c r="G3531" s="14" t="n">
        <v>1000651.993657609</v>
      </c>
      <c r="H3531" s="14" t="n">
        <v>119400.5645177804</v>
      </c>
      <c r="I3531" s="14" t="n">
        <v>308399.6452470966</v>
      </c>
      <c r="J3531" s="14" t="n">
        <v>0</v>
      </c>
      <c r="K3531" s="14" t="n">
        <v>369412.7539412255</v>
      </c>
      <c r="L3531" s="14" t="n">
        <v>203439.0299515069</v>
      </c>
      <c r="M3531" s="14" t="n">
        <v>0</v>
      </c>
      <c r="N3531" s="14" t="n">
        <v>188213.7668870216</v>
      </c>
      <c r="O3531" s="14" t="n">
        <v>763811.9145391126</v>
      </c>
      <c r="P3531" s="14" t="n">
        <v>84708.29849961225</v>
      </c>
      <c r="Q3531" s="14" t="n">
        <v>6761412.747816019</v>
      </c>
      <c r="R3531" s="15">
        <f>IF(D3531=1,"Section 1","Control")</f>
        <v/>
      </c>
      <c r="S3531" s="16">
        <f>N3531/10000</f>
        <v/>
      </c>
      <c r="T3531" s="16">
        <f>P3531/10000</f>
        <v/>
      </c>
      <c r="U3531" s="15">
        <f>IF(N3531&gt;=Summary!$D$3,1,0)</f>
        <v/>
      </c>
      <c r="V3531" s="17">
        <f>IF(N3531&gt;0,P3531/N3531,"")</f>
        <v/>
      </c>
      <c r="W3531" s="17">
        <f>IF(O3531&gt;0,H3531/O3531,"")</f>
        <v/>
      </c>
    </row>
    <row r="3532">
      <c r="A3532" s="13" t="inlineStr">
        <is>
          <t>CW36_B1</t>
        </is>
      </c>
      <c r="B3532" s="13" t="inlineStr">
        <is>
          <t>CW36</t>
        </is>
      </c>
      <c r="C3532" s="13" t="inlineStr">
        <is>
          <t>B1</t>
        </is>
      </c>
      <c r="D3532" s="13" t="n">
        <v>0</v>
      </c>
      <c r="E3532" s="13" t="inlineStr">
        <is>
          <t>W</t>
        </is>
      </c>
      <c r="F3532" s="13" t="n">
        <v>2022</v>
      </c>
      <c r="G3532" s="14" t="n">
        <v>1000651.993657609</v>
      </c>
      <c r="H3532" s="14" t="n">
        <v>112196.1343034931</v>
      </c>
      <c r="I3532" s="14" t="n">
        <v>361218.1052236221</v>
      </c>
      <c r="J3532" s="14" t="n">
        <v>0</v>
      </c>
      <c r="K3532" s="14" t="n">
        <v>322764.5326673919</v>
      </c>
      <c r="L3532" s="14" t="n">
        <v>204473.2214631024</v>
      </c>
      <c r="M3532" s="14" t="n">
        <v>0</v>
      </c>
      <c r="N3532" s="14" t="n">
        <v>188213.7668870216</v>
      </c>
      <c r="O3532" s="14" t="n">
        <v>763811.9145391126</v>
      </c>
      <c r="P3532" s="14" t="n">
        <v>90135.63485708798</v>
      </c>
      <c r="Q3532" s="14" t="n">
        <v>6761412.747816019</v>
      </c>
      <c r="R3532" s="15">
        <f>IF(D3532=1,"Section 1","Control")</f>
        <v/>
      </c>
      <c r="S3532" s="16">
        <f>N3532/10000</f>
        <v/>
      </c>
      <c r="T3532" s="16">
        <f>P3532/10000</f>
        <v/>
      </c>
      <c r="U3532" s="15">
        <f>IF(N3532&gt;=Summary!$D$3,1,0)</f>
        <v/>
      </c>
      <c r="V3532" s="17">
        <f>IF(N3532&gt;0,P3532/N3532,"")</f>
        <v/>
      </c>
      <c r="W3532" s="17">
        <f>IF(O3532&gt;0,H3532/O3532,"")</f>
        <v/>
      </c>
    </row>
    <row r="3533">
      <c r="A3533" s="13" t="inlineStr">
        <is>
          <t>CW36_B1</t>
        </is>
      </c>
      <c r="B3533" s="13" t="inlineStr">
        <is>
          <t>CW36</t>
        </is>
      </c>
      <c r="C3533" s="13" t="inlineStr">
        <is>
          <t>B1</t>
        </is>
      </c>
      <c r="D3533" s="13" t="n">
        <v>0</v>
      </c>
      <c r="E3533" s="13" t="inlineStr">
        <is>
          <t>W</t>
        </is>
      </c>
      <c r="F3533" s="13" t="n">
        <v>2023</v>
      </c>
      <c r="G3533" s="14" t="n">
        <v>1000651.993657609</v>
      </c>
      <c r="H3533" s="14" t="n">
        <v>116231.9800734875</v>
      </c>
      <c r="I3533" s="14" t="n">
        <v>326617.7005278643</v>
      </c>
      <c r="J3533" s="14" t="n">
        <v>0</v>
      </c>
      <c r="K3533" s="14" t="n">
        <v>326058.9027265661</v>
      </c>
      <c r="L3533" s="14" t="n">
        <v>231743.4103296916</v>
      </c>
      <c r="M3533" s="14" t="n">
        <v>0</v>
      </c>
      <c r="N3533" s="14" t="n">
        <v>188213.7668870216</v>
      </c>
      <c r="O3533" s="14" t="n">
        <v>763811.9145391126</v>
      </c>
      <c r="P3533" s="14" t="n">
        <v>95577.62242297005</v>
      </c>
      <c r="Q3533" s="14" t="n">
        <v>6761412.747816019</v>
      </c>
      <c r="R3533" s="15">
        <f>IF(D3533=1,"Section 1","Control")</f>
        <v/>
      </c>
      <c r="S3533" s="16">
        <f>N3533/10000</f>
        <v/>
      </c>
      <c r="T3533" s="16">
        <f>P3533/10000</f>
        <v/>
      </c>
      <c r="U3533" s="15">
        <f>IF(N3533&gt;=Summary!$D$3,1,0)</f>
        <v/>
      </c>
      <c r="V3533" s="17">
        <f>IF(N3533&gt;0,P3533/N3533,"")</f>
        <v/>
      </c>
      <c r="W3533" s="17">
        <f>IF(O3533&gt;0,H3533/O3533,"")</f>
        <v/>
      </c>
    </row>
    <row r="3534">
      <c r="A3534" s="13" t="inlineStr">
        <is>
          <t>CW36_B1</t>
        </is>
      </c>
      <c r="B3534" s="13" t="inlineStr">
        <is>
          <t>CW36</t>
        </is>
      </c>
      <c r="C3534" s="13" t="inlineStr">
        <is>
          <t>B1</t>
        </is>
      </c>
      <c r="D3534" s="13" t="n">
        <v>0</v>
      </c>
      <c r="E3534" s="13" t="inlineStr">
        <is>
          <t>W</t>
        </is>
      </c>
      <c r="F3534" s="13" t="n">
        <v>2024</v>
      </c>
      <c r="G3534" s="14" t="n">
        <v>1000651.993657609</v>
      </c>
      <c r="H3534" s="14" t="n">
        <v>191405.0930614995</v>
      </c>
      <c r="I3534" s="14" t="n">
        <v>244769.8335591036</v>
      </c>
      <c r="J3534" s="14" t="n">
        <v>0</v>
      </c>
      <c r="K3534" s="14" t="n">
        <v>316491.5694836186</v>
      </c>
      <c r="L3534" s="14" t="n">
        <v>247985.4975533878</v>
      </c>
      <c r="M3534" s="14" t="n">
        <v>0</v>
      </c>
      <c r="N3534" s="14" t="n">
        <v>188213.7668870216</v>
      </c>
      <c r="O3534" s="14" t="n">
        <v>763811.9145391126</v>
      </c>
      <c r="P3534" s="14" t="n">
        <v>72959.32095217238</v>
      </c>
      <c r="Q3534" s="14" t="n">
        <v>6761412.747816019</v>
      </c>
      <c r="R3534" s="15">
        <f>IF(D3534=1,"Section 1","Control")</f>
        <v/>
      </c>
      <c r="S3534" s="16">
        <f>N3534/10000</f>
        <v/>
      </c>
      <c r="T3534" s="16">
        <f>P3534/10000</f>
        <v/>
      </c>
      <c r="U3534" s="15">
        <f>IF(N3534&gt;=Summary!$D$3,1,0)</f>
        <v/>
      </c>
      <c r="V3534" s="17">
        <f>IF(N3534&gt;0,P3534/N3534,"")</f>
        <v/>
      </c>
      <c r="W3534" s="17">
        <f>IF(O3534&gt;0,H3534/O3534,"")</f>
        <v/>
      </c>
    </row>
    <row r="3535">
      <c r="A3535" s="13" t="inlineStr">
        <is>
          <t>CW36_B1</t>
        </is>
      </c>
      <c r="B3535" s="13" t="inlineStr">
        <is>
          <t>CW36</t>
        </is>
      </c>
      <c r="C3535" s="13" t="inlineStr">
        <is>
          <t>B1</t>
        </is>
      </c>
      <c r="D3535" s="13" t="n">
        <v>0</v>
      </c>
      <c r="E3535" s="13" t="inlineStr">
        <is>
          <t>W</t>
        </is>
      </c>
      <c r="F3535" s="13" t="n">
        <v>2025</v>
      </c>
      <c r="G3535" s="14" t="n">
        <v>1000651.993657609</v>
      </c>
      <c r="H3535" s="14" t="n">
        <v>125882.8624538646</v>
      </c>
      <c r="I3535" s="14" t="n">
        <v>345842.2171187457</v>
      </c>
      <c r="J3535" s="14" t="n">
        <v>0</v>
      </c>
      <c r="K3535" s="14" t="n">
        <v>285020.999235804</v>
      </c>
      <c r="L3535" s="14" t="n">
        <v>243905.9148491953</v>
      </c>
      <c r="M3535" s="14" t="n">
        <v>0</v>
      </c>
      <c r="N3535" s="14" t="n">
        <v>188213.7668870216</v>
      </c>
      <c r="O3535" s="14" t="n">
        <v>763811.9145391126</v>
      </c>
      <c r="P3535" s="14" t="n">
        <v>90320.2977600397</v>
      </c>
      <c r="Q3535" s="14" t="n">
        <v>6761412.747816019</v>
      </c>
      <c r="R3535" s="15">
        <f>IF(D3535=1,"Section 1","Control")</f>
        <v/>
      </c>
      <c r="S3535" s="16">
        <f>N3535/10000</f>
        <v/>
      </c>
      <c r="T3535" s="16">
        <f>P3535/10000</f>
        <v/>
      </c>
      <c r="U3535" s="15">
        <f>IF(N3535&gt;=Summary!$D$3,1,0)</f>
        <v/>
      </c>
      <c r="V3535" s="17">
        <f>IF(N3535&gt;0,P3535/N3535,"")</f>
        <v/>
      </c>
      <c r="W3535" s="17">
        <f>IF(O3535&gt;0,H3535/O3535,"")</f>
        <v/>
      </c>
    </row>
    <row r="3536">
      <c r="A3536" s="13" t="inlineStr">
        <is>
          <t>CW36_B1</t>
        </is>
      </c>
      <c r="B3536" s="13" t="inlineStr">
        <is>
          <t>CW36</t>
        </is>
      </c>
      <c r="C3536" s="13" t="inlineStr">
        <is>
          <t>B1</t>
        </is>
      </c>
      <c r="D3536" s="13" t="n">
        <v>0</v>
      </c>
      <c r="E3536" s="13" t="inlineStr">
        <is>
          <t>W</t>
        </is>
      </c>
      <c r="F3536" s="13" t="n">
        <v>2026</v>
      </c>
      <c r="G3536" s="14" t="n">
        <v>1000651.993657609</v>
      </c>
      <c r="H3536" s="14" t="n">
        <v>193374.262116436</v>
      </c>
      <c r="I3536" s="14" t="n">
        <v>256495.9428451239</v>
      </c>
      <c r="J3536" s="14" t="n">
        <v>0</v>
      </c>
      <c r="K3536" s="14" t="n">
        <v>301964.22370776</v>
      </c>
      <c r="L3536" s="14" t="n">
        <v>248817.5649882896</v>
      </c>
      <c r="M3536" s="14" t="n">
        <v>0</v>
      </c>
      <c r="N3536" s="14" t="n">
        <v>188213.7668870216</v>
      </c>
      <c r="O3536" s="14" t="n">
        <v>763811.9145391126</v>
      </c>
      <c r="P3536" s="14" t="n">
        <v>85681.60757245831</v>
      </c>
      <c r="Q3536" s="14" t="n">
        <v>6761412.747816019</v>
      </c>
      <c r="R3536" s="15">
        <f>IF(D3536=1,"Section 1","Control")</f>
        <v/>
      </c>
      <c r="S3536" s="16">
        <f>N3536/10000</f>
        <v/>
      </c>
      <c r="T3536" s="16">
        <f>P3536/10000</f>
        <v/>
      </c>
      <c r="U3536" s="15">
        <f>IF(N3536&gt;=Summary!$D$3,1,0)</f>
        <v/>
      </c>
      <c r="V3536" s="17">
        <f>IF(N3536&gt;0,P3536/N3536,"")</f>
        <v/>
      </c>
      <c r="W3536" s="17">
        <f>IF(O3536&gt;0,H3536/O3536,"")</f>
        <v/>
      </c>
    </row>
    <row r="3537">
      <c r="A3537" s="13" t="inlineStr">
        <is>
          <t>CW36_B2</t>
        </is>
      </c>
      <c r="B3537" s="13" t="inlineStr">
        <is>
          <t>CW36</t>
        </is>
      </c>
      <c r="C3537" s="13" t="inlineStr">
        <is>
          <t>B2</t>
        </is>
      </c>
      <c r="D3537" s="13" t="n">
        <v>0</v>
      </c>
      <c r="E3537" s="13" t="inlineStr">
        <is>
          <t>W</t>
        </is>
      </c>
      <c r="F3537" s="13" t="n">
        <v>2020</v>
      </c>
      <c r="G3537" s="14" t="n">
        <v>1001055.415630864</v>
      </c>
      <c r="H3537" s="14" t="n">
        <v>203890.0806911692</v>
      </c>
      <c r="I3537" s="14" t="n">
        <v>4731.12393281226</v>
      </c>
      <c r="J3537" s="14" t="n">
        <v>0</v>
      </c>
      <c r="K3537" s="14" t="n">
        <v>21673.41530480478</v>
      </c>
      <c r="L3537" s="14" t="n">
        <v>770760.7957020778</v>
      </c>
      <c r="M3537" s="14" t="n">
        <v>0</v>
      </c>
      <c r="N3537" s="14" t="n">
        <v>203890.0806911692</v>
      </c>
      <c r="O3537" s="14" t="n">
        <v>230294.6199287864</v>
      </c>
      <c r="P3537" s="14" t="n">
        <v>0</v>
      </c>
      <c r="Q3537" s="14" t="n">
        <v>1901130.234280305</v>
      </c>
      <c r="R3537" s="15">
        <f>IF(D3537=1,"Section 1","Control")</f>
        <v/>
      </c>
      <c r="S3537" s="16">
        <f>N3537/10000</f>
        <v/>
      </c>
      <c r="T3537" s="16">
        <f>P3537/10000</f>
        <v/>
      </c>
      <c r="U3537" s="15">
        <f>IF(N3537&gt;=Summary!$D$3,1,0)</f>
        <v/>
      </c>
      <c r="V3537" s="17">
        <f>IF(N3537&gt;0,P3537/N3537,"")</f>
        <v/>
      </c>
      <c r="W3537" s="17">
        <f>IF(O3537&gt;0,H3537/O3537,"")</f>
        <v/>
      </c>
    </row>
    <row r="3538">
      <c r="A3538" s="13" t="inlineStr">
        <is>
          <t>CW36_B2</t>
        </is>
      </c>
      <c r="B3538" s="13" t="inlineStr">
        <is>
          <t>CW36</t>
        </is>
      </c>
      <c r="C3538" s="13" t="inlineStr">
        <is>
          <t>B2</t>
        </is>
      </c>
      <c r="D3538" s="13" t="n">
        <v>0</v>
      </c>
      <c r="E3538" s="13" t="inlineStr">
        <is>
          <t>W</t>
        </is>
      </c>
      <c r="F3538" s="13" t="n">
        <v>2021</v>
      </c>
      <c r="G3538" s="14" t="n">
        <v>1001055.415630864</v>
      </c>
      <c r="H3538" s="14" t="n">
        <v>199189.1378399718</v>
      </c>
      <c r="I3538" s="14" t="n">
        <v>1818.505556622673</v>
      </c>
      <c r="J3538" s="14" t="n">
        <v>0</v>
      </c>
      <c r="K3538" s="14" t="n">
        <v>43383.19383476107</v>
      </c>
      <c r="L3538" s="14" t="n">
        <v>756664.5783995086</v>
      </c>
      <c r="M3538" s="14" t="n">
        <v>0</v>
      </c>
      <c r="N3538" s="14" t="n">
        <v>203890.0806911692</v>
      </c>
      <c r="O3538" s="14" t="n">
        <v>230294.6199287864</v>
      </c>
      <c r="P3538" s="14" t="n">
        <v>7667.382638430127</v>
      </c>
      <c r="Q3538" s="14" t="n">
        <v>1901130.234280305</v>
      </c>
      <c r="R3538" s="15">
        <f>IF(D3538=1,"Section 1","Control")</f>
        <v/>
      </c>
      <c r="S3538" s="16">
        <f>N3538/10000</f>
        <v/>
      </c>
      <c r="T3538" s="16">
        <f>P3538/10000</f>
        <v/>
      </c>
      <c r="U3538" s="15">
        <f>IF(N3538&gt;=Summary!$D$3,1,0)</f>
        <v/>
      </c>
      <c r="V3538" s="17">
        <f>IF(N3538&gt;0,P3538/N3538,"")</f>
        <v/>
      </c>
      <c r="W3538" s="17">
        <f>IF(O3538&gt;0,H3538/O3538,"")</f>
        <v/>
      </c>
    </row>
    <row r="3539">
      <c r="A3539" s="13" t="inlineStr">
        <is>
          <t>CW36_B2</t>
        </is>
      </c>
      <c r="B3539" s="13" t="inlineStr">
        <is>
          <t>CW36</t>
        </is>
      </c>
      <c r="C3539" s="13" t="inlineStr">
        <is>
          <t>B2</t>
        </is>
      </c>
      <c r="D3539" s="13" t="n">
        <v>0</v>
      </c>
      <c r="E3539" s="13" t="inlineStr">
        <is>
          <t>W</t>
        </is>
      </c>
      <c r="F3539" s="13" t="n">
        <v>2022</v>
      </c>
      <c r="G3539" s="14" t="n">
        <v>1001055.415630864</v>
      </c>
      <c r="H3539" s="14" t="n">
        <v>197465.4854743509</v>
      </c>
      <c r="I3539" s="14" t="n">
        <v>2822.02873954025</v>
      </c>
      <c r="J3539" s="14" t="n">
        <v>0</v>
      </c>
      <c r="K3539" s="14" t="n">
        <v>37032.18191582176</v>
      </c>
      <c r="L3539" s="14" t="n">
        <v>763735.7195011511</v>
      </c>
      <c r="M3539" s="14" t="n">
        <v>0</v>
      </c>
      <c r="N3539" s="14" t="n">
        <v>203890.0806911692</v>
      </c>
      <c r="O3539" s="14" t="n">
        <v>230294.6199287864</v>
      </c>
      <c r="P3539" s="14" t="n">
        <v>8689.49458543366</v>
      </c>
      <c r="Q3539" s="14" t="n">
        <v>1901130.234280305</v>
      </c>
      <c r="R3539" s="15">
        <f>IF(D3539=1,"Section 1","Control")</f>
        <v/>
      </c>
      <c r="S3539" s="16">
        <f>N3539/10000</f>
        <v/>
      </c>
      <c r="T3539" s="16">
        <f>P3539/10000</f>
        <v/>
      </c>
      <c r="U3539" s="15">
        <f>IF(N3539&gt;=Summary!$D$3,1,0)</f>
        <v/>
      </c>
      <c r="V3539" s="17">
        <f>IF(N3539&gt;0,P3539/N3539,"")</f>
        <v/>
      </c>
      <c r="W3539" s="17">
        <f>IF(O3539&gt;0,H3539/O3539,"")</f>
        <v/>
      </c>
    </row>
    <row r="3540">
      <c r="A3540" s="13" t="inlineStr">
        <is>
          <t>CW36_B2</t>
        </is>
      </c>
      <c r="B3540" s="13" t="inlineStr">
        <is>
          <t>CW36</t>
        </is>
      </c>
      <c r="C3540" s="13" t="inlineStr">
        <is>
          <t>B2</t>
        </is>
      </c>
      <c r="D3540" s="13" t="n">
        <v>0</v>
      </c>
      <c r="E3540" s="13" t="inlineStr">
        <is>
          <t>W</t>
        </is>
      </c>
      <c r="F3540" s="13" t="n">
        <v>2023</v>
      </c>
      <c r="G3540" s="14" t="n">
        <v>1001055.415630864</v>
      </c>
      <c r="H3540" s="14" t="n">
        <v>189890.6283218982</v>
      </c>
      <c r="I3540" s="14" t="n">
        <v>2597.466710169176</v>
      </c>
      <c r="J3540" s="14" t="n">
        <v>0</v>
      </c>
      <c r="K3540" s="14" t="n">
        <v>26873.39689630247</v>
      </c>
      <c r="L3540" s="14" t="n">
        <v>781693.9237024942</v>
      </c>
      <c r="M3540" s="14" t="n">
        <v>0</v>
      </c>
      <c r="N3540" s="14" t="n">
        <v>203890.0806911692</v>
      </c>
      <c r="O3540" s="14" t="n">
        <v>230294.6199287864</v>
      </c>
      <c r="P3540" s="14" t="n">
        <v>15106.73514787262</v>
      </c>
      <c r="Q3540" s="14" t="n">
        <v>1901130.234280305</v>
      </c>
      <c r="R3540" s="15">
        <f>IF(D3540=1,"Section 1","Control")</f>
        <v/>
      </c>
      <c r="S3540" s="16">
        <f>N3540/10000</f>
        <v/>
      </c>
      <c r="T3540" s="16">
        <f>P3540/10000</f>
        <v/>
      </c>
      <c r="U3540" s="15">
        <f>IF(N3540&gt;=Summary!$D$3,1,0)</f>
        <v/>
      </c>
      <c r="V3540" s="17">
        <f>IF(N3540&gt;0,P3540/N3540,"")</f>
        <v/>
      </c>
      <c r="W3540" s="17">
        <f>IF(O3540&gt;0,H3540/O3540,"")</f>
        <v/>
      </c>
    </row>
    <row r="3541">
      <c r="A3541" s="13" t="inlineStr">
        <is>
          <t>CW36_B2</t>
        </is>
      </c>
      <c r="B3541" s="13" t="inlineStr">
        <is>
          <t>CW36</t>
        </is>
      </c>
      <c r="C3541" s="13" t="inlineStr">
        <is>
          <t>B2</t>
        </is>
      </c>
      <c r="D3541" s="13" t="n">
        <v>0</v>
      </c>
      <c r="E3541" s="13" t="inlineStr">
        <is>
          <t>W</t>
        </is>
      </c>
      <c r="F3541" s="13" t="n">
        <v>2024</v>
      </c>
      <c r="G3541" s="14" t="n">
        <v>1001055.415630864</v>
      </c>
      <c r="H3541" s="14" t="n">
        <v>194149.8046622482</v>
      </c>
      <c r="I3541" s="14" t="n">
        <v>978.7485203462488</v>
      </c>
      <c r="J3541" s="14" t="n">
        <v>0</v>
      </c>
      <c r="K3541" s="14" t="n">
        <v>26755.70454149433</v>
      </c>
      <c r="L3541" s="14" t="n">
        <v>779171.1579067754</v>
      </c>
      <c r="M3541" s="14" t="n">
        <v>0</v>
      </c>
      <c r="N3541" s="14" t="n">
        <v>203890.0806911692</v>
      </c>
      <c r="O3541" s="14" t="n">
        <v>230294.6199287864</v>
      </c>
      <c r="P3541" s="14" t="n">
        <v>14750.93312401865</v>
      </c>
      <c r="Q3541" s="14" t="n">
        <v>1901130.234280305</v>
      </c>
      <c r="R3541" s="15">
        <f>IF(D3541=1,"Section 1","Control")</f>
        <v/>
      </c>
      <c r="S3541" s="16">
        <f>N3541/10000</f>
        <v/>
      </c>
      <c r="T3541" s="16">
        <f>P3541/10000</f>
        <v/>
      </c>
      <c r="U3541" s="15">
        <f>IF(N3541&gt;=Summary!$D$3,1,0)</f>
        <v/>
      </c>
      <c r="V3541" s="17">
        <f>IF(N3541&gt;0,P3541/N3541,"")</f>
        <v/>
      </c>
      <c r="W3541" s="17">
        <f>IF(O3541&gt;0,H3541/O3541,"")</f>
        <v/>
      </c>
    </row>
    <row r="3542">
      <c r="A3542" s="13" t="inlineStr">
        <is>
          <t>CW36_B2</t>
        </is>
      </c>
      <c r="B3542" s="13" t="inlineStr">
        <is>
          <t>CW36</t>
        </is>
      </c>
      <c r="C3542" s="13" t="inlineStr">
        <is>
          <t>B2</t>
        </is>
      </c>
      <c r="D3542" s="13" t="n">
        <v>0</v>
      </c>
      <c r="E3542" s="13" t="inlineStr">
        <is>
          <t>W</t>
        </is>
      </c>
      <c r="F3542" s="13" t="n">
        <v>2025</v>
      </c>
      <c r="G3542" s="14" t="n">
        <v>1001055.415630864</v>
      </c>
      <c r="H3542" s="14" t="n">
        <v>191160.9100048888</v>
      </c>
      <c r="I3542" s="14" t="n">
        <v>2776.727307308422</v>
      </c>
      <c r="J3542" s="14" t="n">
        <v>0</v>
      </c>
      <c r="K3542" s="14" t="n">
        <v>30630.81956116919</v>
      </c>
      <c r="L3542" s="14" t="n">
        <v>776486.9587574977</v>
      </c>
      <c r="M3542" s="14" t="n">
        <v>0</v>
      </c>
      <c r="N3542" s="14" t="n">
        <v>203890.0806911692</v>
      </c>
      <c r="O3542" s="14" t="n">
        <v>230294.6199287864</v>
      </c>
      <c r="P3542" s="14" t="n">
        <v>14415.64838639802</v>
      </c>
      <c r="Q3542" s="14" t="n">
        <v>1901130.234280305</v>
      </c>
      <c r="R3542" s="15">
        <f>IF(D3542=1,"Section 1","Control")</f>
        <v/>
      </c>
      <c r="S3542" s="16">
        <f>N3542/10000</f>
        <v/>
      </c>
      <c r="T3542" s="16">
        <f>P3542/10000</f>
        <v/>
      </c>
      <c r="U3542" s="15">
        <f>IF(N3542&gt;=Summary!$D$3,1,0)</f>
        <v/>
      </c>
      <c r="V3542" s="17">
        <f>IF(N3542&gt;0,P3542/N3542,"")</f>
        <v/>
      </c>
      <c r="W3542" s="17">
        <f>IF(O3542&gt;0,H3542/O3542,"")</f>
        <v/>
      </c>
    </row>
    <row r="3543">
      <c r="A3543" s="13" t="inlineStr">
        <is>
          <t>CW36_B2</t>
        </is>
      </c>
      <c r="B3543" s="13" t="inlineStr">
        <is>
          <t>CW36</t>
        </is>
      </c>
      <c r="C3543" s="13" t="inlineStr">
        <is>
          <t>B2</t>
        </is>
      </c>
      <c r="D3543" s="13" t="n">
        <v>0</v>
      </c>
      <c r="E3543" s="13" t="inlineStr">
        <is>
          <t>W</t>
        </is>
      </c>
      <c r="F3543" s="13" t="n">
        <v>2026</v>
      </c>
      <c r="G3543" s="14" t="n">
        <v>1001055.415630864</v>
      </c>
      <c r="H3543" s="14" t="n">
        <v>191972.7803810569</v>
      </c>
      <c r="I3543" s="14" t="n">
        <v>416.5878291111367</v>
      </c>
      <c r="J3543" s="14" t="n">
        <v>0</v>
      </c>
      <c r="K3543" s="14" t="n">
        <v>27772.39464042514</v>
      </c>
      <c r="L3543" s="14" t="n">
        <v>780893.652780271</v>
      </c>
      <c r="M3543" s="14" t="n">
        <v>0</v>
      </c>
      <c r="N3543" s="14" t="n">
        <v>203890.0806911692</v>
      </c>
      <c r="O3543" s="14" t="n">
        <v>230294.6199287864</v>
      </c>
      <c r="P3543" s="14" t="n">
        <v>15266.24839301016</v>
      </c>
      <c r="Q3543" s="14" t="n">
        <v>1901130.234280305</v>
      </c>
      <c r="R3543" s="15">
        <f>IF(D3543=1,"Section 1","Control")</f>
        <v/>
      </c>
      <c r="S3543" s="16">
        <f>N3543/10000</f>
        <v/>
      </c>
      <c r="T3543" s="16">
        <f>P3543/10000</f>
        <v/>
      </c>
      <c r="U3543" s="15">
        <f>IF(N3543&gt;=Summary!$D$3,1,0)</f>
        <v/>
      </c>
      <c r="V3543" s="17">
        <f>IF(N3543&gt;0,P3543/N3543,"")</f>
        <v/>
      </c>
      <c r="W3543" s="17">
        <f>IF(O3543&gt;0,H3543/O3543,"")</f>
        <v/>
      </c>
    </row>
    <row r="3544">
      <c r="A3544" s="13" t="inlineStr">
        <is>
          <t>CW36_B3</t>
        </is>
      </c>
      <c r="B3544" s="13" t="inlineStr">
        <is>
          <t>CW36</t>
        </is>
      </c>
      <c r="C3544" s="13" t="inlineStr">
        <is>
          <t>B3</t>
        </is>
      </c>
      <c r="D3544" s="13" t="n">
        <v>0</v>
      </c>
      <c r="E3544" s="13" t="inlineStr">
        <is>
          <t>W</t>
        </is>
      </c>
      <c r="F3544" s="13" t="n">
        <v>2020</v>
      </c>
      <c r="G3544" s="14" t="n">
        <v>8007306.715458977</v>
      </c>
      <c r="H3544" s="14" t="n">
        <v>3267783.982121157</v>
      </c>
      <c r="I3544" s="14" t="n">
        <v>356144.8916412055</v>
      </c>
      <c r="J3544" s="14" t="n">
        <v>0</v>
      </c>
      <c r="K3544" s="14" t="n">
        <v>251682.1956779331</v>
      </c>
      <c r="L3544" s="14" t="n">
        <v>4131695.646018683</v>
      </c>
      <c r="M3544" s="14" t="n">
        <v>0</v>
      </c>
      <c r="N3544" s="14" t="n">
        <v>3267783.982121157</v>
      </c>
      <c r="O3544" s="14" t="n">
        <v>3875611.069440296</v>
      </c>
      <c r="P3544" s="14" t="n">
        <v>0</v>
      </c>
      <c r="Q3544" s="14" t="n">
        <v>33943647.31896904</v>
      </c>
      <c r="R3544" s="15">
        <f>IF(D3544=1,"Section 1","Control")</f>
        <v/>
      </c>
      <c r="S3544" s="16">
        <f>N3544/10000</f>
        <v/>
      </c>
      <c r="T3544" s="16">
        <f>P3544/10000</f>
        <v/>
      </c>
      <c r="U3544" s="15">
        <f>IF(N3544&gt;=Summary!$D$3,1,0)</f>
        <v/>
      </c>
      <c r="V3544" s="17">
        <f>IF(N3544&gt;0,P3544/N3544,"")</f>
        <v/>
      </c>
      <c r="W3544" s="17">
        <f>IF(O3544&gt;0,H3544/O3544,"")</f>
        <v/>
      </c>
    </row>
    <row r="3545">
      <c r="A3545" s="13" t="inlineStr">
        <is>
          <t>CW36_B3</t>
        </is>
      </c>
      <c r="B3545" s="13" t="inlineStr">
        <is>
          <t>CW36</t>
        </is>
      </c>
      <c r="C3545" s="13" t="inlineStr">
        <is>
          <t>B3</t>
        </is>
      </c>
      <c r="D3545" s="13" t="n">
        <v>0</v>
      </c>
      <c r="E3545" s="13" t="inlineStr">
        <is>
          <t>W</t>
        </is>
      </c>
      <c r="F3545" s="13" t="n">
        <v>2021</v>
      </c>
      <c r="G3545" s="14" t="n">
        <v>8007306.715458978</v>
      </c>
      <c r="H3545" s="14" t="n">
        <v>3215963.637506284</v>
      </c>
      <c r="I3545" s="14" t="n">
        <v>231589.9867492676</v>
      </c>
      <c r="J3545" s="14" t="n">
        <v>0</v>
      </c>
      <c r="K3545" s="14" t="n">
        <v>465327.4597773235</v>
      </c>
      <c r="L3545" s="14" t="n">
        <v>4094425.631426104</v>
      </c>
      <c r="M3545" s="14" t="n">
        <v>0</v>
      </c>
      <c r="N3545" s="14" t="n">
        <v>3267783.982121158</v>
      </c>
      <c r="O3545" s="14" t="n">
        <v>3875611.069440296</v>
      </c>
      <c r="P3545" s="14" t="n">
        <v>132392.0428870407</v>
      </c>
      <c r="Q3545" s="14" t="n">
        <v>33943647.31896903</v>
      </c>
      <c r="R3545" s="15">
        <f>IF(D3545=1,"Section 1","Control")</f>
        <v/>
      </c>
      <c r="S3545" s="16">
        <f>N3545/10000</f>
        <v/>
      </c>
      <c r="T3545" s="16">
        <f>P3545/10000</f>
        <v/>
      </c>
      <c r="U3545" s="15">
        <f>IF(N3545&gt;=Summary!$D$3,1,0)</f>
        <v/>
      </c>
      <c r="V3545" s="17">
        <f>IF(N3545&gt;0,P3545/N3545,"")</f>
        <v/>
      </c>
      <c r="W3545" s="17">
        <f>IF(O3545&gt;0,H3545/O3545,"")</f>
        <v/>
      </c>
    </row>
    <row r="3546">
      <c r="A3546" s="13" t="inlineStr">
        <is>
          <t>CW36_B3</t>
        </is>
      </c>
      <c r="B3546" s="13" t="inlineStr">
        <is>
          <t>CW36</t>
        </is>
      </c>
      <c r="C3546" s="13" t="inlineStr">
        <is>
          <t>B3</t>
        </is>
      </c>
      <c r="D3546" s="13" t="n">
        <v>0</v>
      </c>
      <c r="E3546" s="13" t="inlineStr">
        <is>
          <t>W</t>
        </is>
      </c>
      <c r="F3546" s="13" t="n">
        <v>2022</v>
      </c>
      <c r="G3546" s="14" t="n">
        <v>8007306.715458978</v>
      </c>
      <c r="H3546" s="14" t="n">
        <v>3200187.375624653</v>
      </c>
      <c r="I3546" s="14" t="n">
        <v>315609.9529921887</v>
      </c>
      <c r="J3546" s="14" t="n">
        <v>0</v>
      </c>
      <c r="K3546" s="14" t="n">
        <v>376889.0652766808</v>
      </c>
      <c r="L3546" s="14" t="n">
        <v>4114620.321565456</v>
      </c>
      <c r="M3546" s="14" t="n">
        <v>0</v>
      </c>
      <c r="N3546" s="14" t="n">
        <v>3267783.982121158</v>
      </c>
      <c r="O3546" s="14" t="n">
        <v>3875611.069440296</v>
      </c>
      <c r="P3546" s="14" t="n">
        <v>170286.7832122803</v>
      </c>
      <c r="Q3546" s="14" t="n">
        <v>33943647.31896903</v>
      </c>
      <c r="R3546" s="15">
        <f>IF(D3546=1,"Section 1","Control")</f>
        <v/>
      </c>
      <c r="S3546" s="16">
        <f>N3546/10000</f>
        <v/>
      </c>
      <c r="T3546" s="16">
        <f>P3546/10000</f>
        <v/>
      </c>
      <c r="U3546" s="15">
        <f>IF(N3546&gt;=Summary!$D$3,1,0)</f>
        <v/>
      </c>
      <c r="V3546" s="17">
        <f>IF(N3546&gt;0,P3546/N3546,"")</f>
        <v/>
      </c>
      <c r="W3546" s="17">
        <f>IF(O3546&gt;0,H3546/O3546,"")</f>
        <v/>
      </c>
    </row>
    <row r="3547">
      <c r="A3547" s="13" t="inlineStr">
        <is>
          <t>CW36_B3</t>
        </is>
      </c>
      <c r="B3547" s="13" t="inlineStr">
        <is>
          <t>CW36</t>
        </is>
      </c>
      <c r="C3547" s="13" t="inlineStr">
        <is>
          <t>B3</t>
        </is>
      </c>
      <c r="D3547" s="13" t="n">
        <v>0</v>
      </c>
      <c r="E3547" s="13" t="inlineStr">
        <is>
          <t>W</t>
        </is>
      </c>
      <c r="F3547" s="13" t="n">
        <v>2023</v>
      </c>
      <c r="G3547" s="14" t="n">
        <v>8007306.715458977</v>
      </c>
      <c r="H3547" s="14" t="n">
        <v>3143906.821220878</v>
      </c>
      <c r="I3547" s="14" t="n">
        <v>354081.8340229408</v>
      </c>
      <c r="J3547" s="14" t="n">
        <v>0</v>
      </c>
      <c r="K3547" s="14" t="n">
        <v>373714.0286572325</v>
      </c>
      <c r="L3547" s="14" t="n">
        <v>4135604.031557928</v>
      </c>
      <c r="M3547" s="14" t="n">
        <v>0</v>
      </c>
      <c r="N3547" s="14" t="n">
        <v>3267783.982121158</v>
      </c>
      <c r="O3547" s="14" t="n">
        <v>3875611.069440296</v>
      </c>
      <c r="P3547" s="14" t="n">
        <v>196583.5017996096</v>
      </c>
      <c r="Q3547" s="14" t="n">
        <v>33943647.31896903</v>
      </c>
      <c r="R3547" s="15">
        <f>IF(D3547=1,"Section 1","Control")</f>
        <v/>
      </c>
      <c r="S3547" s="16">
        <f>N3547/10000</f>
        <v/>
      </c>
      <c r="T3547" s="16">
        <f>P3547/10000</f>
        <v/>
      </c>
      <c r="U3547" s="15">
        <f>IF(N3547&gt;=Summary!$D$3,1,0)</f>
        <v/>
      </c>
      <c r="V3547" s="17">
        <f>IF(N3547&gt;0,P3547/N3547,"")</f>
        <v/>
      </c>
      <c r="W3547" s="17">
        <f>IF(O3547&gt;0,H3547/O3547,"")</f>
        <v/>
      </c>
    </row>
    <row r="3548">
      <c r="A3548" s="13" t="inlineStr">
        <is>
          <t>CW36_B3</t>
        </is>
      </c>
      <c r="B3548" s="13" t="inlineStr">
        <is>
          <t>CW36</t>
        </is>
      </c>
      <c r="C3548" s="13" t="inlineStr">
        <is>
          <t>B3</t>
        </is>
      </c>
      <c r="D3548" s="13" t="n">
        <v>0</v>
      </c>
      <c r="E3548" s="13" t="inlineStr">
        <is>
          <t>W</t>
        </is>
      </c>
      <c r="F3548" s="13" t="n">
        <v>2024</v>
      </c>
      <c r="G3548" s="14" t="n">
        <v>8007306.715458978</v>
      </c>
      <c r="H3548" s="14" t="n">
        <v>3231682.787693548</v>
      </c>
      <c r="I3548" s="14" t="n">
        <v>238159.4614929498</v>
      </c>
      <c r="J3548" s="14" t="n">
        <v>0</v>
      </c>
      <c r="K3548" s="14" t="n">
        <v>409425.5483290429</v>
      </c>
      <c r="L3548" s="14" t="n">
        <v>4128038.917943439</v>
      </c>
      <c r="M3548" s="14" t="n">
        <v>0</v>
      </c>
      <c r="N3548" s="14" t="n">
        <v>3267783.982121157</v>
      </c>
      <c r="O3548" s="14" t="n">
        <v>3875611.069440296</v>
      </c>
      <c r="P3548" s="14" t="n">
        <v>176529.5982704312</v>
      </c>
      <c r="Q3548" s="14" t="n">
        <v>33943647.31896903</v>
      </c>
      <c r="R3548" s="15">
        <f>IF(D3548=1,"Section 1","Control")</f>
        <v/>
      </c>
      <c r="S3548" s="16">
        <f>N3548/10000</f>
        <v/>
      </c>
      <c r="T3548" s="16">
        <f>P3548/10000</f>
        <v/>
      </c>
      <c r="U3548" s="15">
        <f>IF(N3548&gt;=Summary!$D$3,1,0)</f>
        <v/>
      </c>
      <c r="V3548" s="17">
        <f>IF(N3548&gt;0,P3548/N3548,"")</f>
        <v/>
      </c>
      <c r="W3548" s="17">
        <f>IF(O3548&gt;0,H3548/O3548,"")</f>
        <v/>
      </c>
    </row>
    <row r="3549">
      <c r="A3549" s="13" t="inlineStr">
        <is>
          <t>CW36_B3</t>
        </is>
      </c>
      <c r="B3549" s="13" t="inlineStr">
        <is>
          <t>CW36</t>
        </is>
      </c>
      <c r="C3549" s="13" t="inlineStr">
        <is>
          <t>B3</t>
        </is>
      </c>
      <c r="D3549" s="13" t="n">
        <v>0</v>
      </c>
      <c r="E3549" s="13" t="inlineStr">
        <is>
          <t>W</t>
        </is>
      </c>
      <c r="F3549" s="13" t="n">
        <v>2025</v>
      </c>
      <c r="G3549" s="14" t="n">
        <v>8007306.715458977</v>
      </c>
      <c r="H3549" s="14" t="n">
        <v>3143158.275697926</v>
      </c>
      <c r="I3549" s="14" t="n">
        <v>334946.0569104961</v>
      </c>
      <c r="J3549" s="14" t="n">
        <v>0</v>
      </c>
      <c r="K3549" s="14" t="n">
        <v>396066.5003938862</v>
      </c>
      <c r="L3549" s="14" t="n">
        <v>4133135.882456671</v>
      </c>
      <c r="M3549" s="14" t="n">
        <v>0</v>
      </c>
      <c r="N3549" s="14" t="n">
        <v>3267783.982121158</v>
      </c>
      <c r="O3549" s="14" t="n">
        <v>3875611.069440296</v>
      </c>
      <c r="P3549" s="14" t="n">
        <v>223549.4422949997</v>
      </c>
      <c r="Q3549" s="14" t="n">
        <v>33943647.31896903</v>
      </c>
      <c r="R3549" s="15">
        <f>IF(D3549=1,"Section 1","Control")</f>
        <v/>
      </c>
      <c r="S3549" s="16">
        <f>N3549/10000</f>
        <v/>
      </c>
      <c r="T3549" s="16">
        <f>P3549/10000</f>
        <v/>
      </c>
      <c r="U3549" s="15">
        <f>IF(N3549&gt;=Summary!$D$3,1,0)</f>
        <v/>
      </c>
      <c r="V3549" s="17">
        <f>IF(N3549&gt;0,P3549/N3549,"")</f>
        <v/>
      </c>
      <c r="W3549" s="17">
        <f>IF(O3549&gt;0,H3549/O3549,"")</f>
        <v/>
      </c>
    </row>
    <row r="3550">
      <c r="A3550" s="13" t="inlineStr">
        <is>
          <t>CW36_B3</t>
        </is>
      </c>
      <c r="B3550" s="13" t="inlineStr">
        <is>
          <t>CW36</t>
        </is>
      </c>
      <c r="C3550" s="13" t="inlineStr">
        <is>
          <t>B3</t>
        </is>
      </c>
      <c r="D3550" s="13" t="n">
        <v>0</v>
      </c>
      <c r="E3550" s="13" t="inlineStr">
        <is>
          <t>W</t>
        </is>
      </c>
      <c r="F3550" s="13" t="n">
        <v>2026</v>
      </c>
      <c r="G3550" s="14" t="n">
        <v>8007306.715458977</v>
      </c>
      <c r="H3550" s="14" t="n">
        <v>3148827.903876481</v>
      </c>
      <c r="I3550" s="14" t="n">
        <v>256289.4693530513</v>
      </c>
      <c r="J3550" s="14" t="n">
        <v>0</v>
      </c>
      <c r="K3550" s="14" t="n">
        <v>462065.212177471</v>
      </c>
      <c r="L3550" s="14" t="n">
        <v>4140124.130051975</v>
      </c>
      <c r="M3550" s="14" t="n">
        <v>0</v>
      </c>
      <c r="N3550" s="14" t="n">
        <v>3267783.982121158</v>
      </c>
      <c r="O3550" s="14" t="n">
        <v>3875611.069440296</v>
      </c>
      <c r="P3550" s="14" t="n">
        <v>238266.5991704605</v>
      </c>
      <c r="Q3550" s="14" t="n">
        <v>33943647.31896903</v>
      </c>
      <c r="R3550" s="15">
        <f>IF(D3550=1,"Section 1","Control")</f>
        <v/>
      </c>
      <c r="S3550" s="16">
        <f>N3550/10000</f>
        <v/>
      </c>
      <c r="T3550" s="16">
        <f>P3550/10000</f>
        <v/>
      </c>
      <c r="U3550" s="15">
        <f>IF(N3550&gt;=Summary!$D$3,1,0)</f>
        <v/>
      </c>
      <c r="V3550" s="17">
        <f>IF(N3550&gt;0,P3550/N3550,"")</f>
        <v/>
      </c>
      <c r="W3550" s="17">
        <f>IF(O3550&gt;0,H3550/O3550,"")</f>
        <v/>
      </c>
    </row>
    <row r="3551">
      <c r="A3551" s="13" t="inlineStr">
        <is>
          <t>CW36_F</t>
        </is>
      </c>
      <c r="B3551" s="13" t="inlineStr">
        <is>
          <t>CW36</t>
        </is>
      </c>
      <c r="C3551" s="13" t="inlineStr">
        <is>
          <t>F</t>
        </is>
      </c>
      <c r="D3551" s="13" t="n">
        <v>0</v>
      </c>
      <c r="E3551" s="13" t="inlineStr">
        <is>
          <t>W</t>
        </is>
      </c>
      <c r="F3551" s="13" t="n">
        <v>2020</v>
      </c>
      <c r="G3551" s="14" t="n">
        <v>69311.23173175885</v>
      </c>
      <c r="H3551" s="14" t="n">
        <v>4832.246563630946</v>
      </c>
      <c r="I3551" s="14" t="n">
        <v>27631.0295974133</v>
      </c>
      <c r="J3551" s="14" t="n">
        <v>0</v>
      </c>
      <c r="K3551" s="14" t="n">
        <v>35480.09068265431</v>
      </c>
      <c r="L3551" s="14" t="n">
        <v>1367.864888060327</v>
      </c>
      <c r="M3551" s="14" t="n">
        <v>0</v>
      </c>
      <c r="N3551" s="14" t="n">
        <v>4832.246563630946</v>
      </c>
      <c r="O3551" s="14" t="n">
        <v>67943.36684369853</v>
      </c>
      <c r="P3551" s="14" t="n">
        <v>0</v>
      </c>
      <c r="Q3551" s="14" t="n">
        <v>629351.1552806179</v>
      </c>
      <c r="R3551" s="15">
        <f>IF(D3551=1,"Section 1","Control")</f>
        <v/>
      </c>
      <c r="S3551" s="16">
        <f>N3551/10000</f>
        <v/>
      </c>
      <c r="T3551" s="16">
        <f>P3551/10000</f>
        <v/>
      </c>
      <c r="U3551" s="15">
        <f>IF(N3551&gt;=Summary!$D$3,1,0)</f>
        <v/>
      </c>
      <c r="V3551" s="17">
        <f>IF(N3551&gt;0,P3551/N3551,"")</f>
        <v/>
      </c>
      <c r="W3551" s="17">
        <f>IF(O3551&gt;0,H3551/O3551,"")</f>
        <v/>
      </c>
    </row>
    <row r="3552">
      <c r="A3552" s="13" t="inlineStr">
        <is>
          <t>CW36_F</t>
        </is>
      </c>
      <c r="B3552" s="13" t="inlineStr">
        <is>
          <t>CW36</t>
        </is>
      </c>
      <c r="C3552" s="13" t="inlineStr">
        <is>
          <t>F</t>
        </is>
      </c>
      <c r="D3552" s="13" t="n">
        <v>0</v>
      </c>
      <c r="E3552" s="13" t="inlineStr">
        <is>
          <t>W</t>
        </is>
      </c>
      <c r="F3552" s="13" t="n">
        <v>2021</v>
      </c>
      <c r="G3552" s="14" t="n">
        <v>69311.23173175885</v>
      </c>
      <c r="H3552" s="14" t="n">
        <v>4149.668973885331</v>
      </c>
      <c r="I3552" s="14" t="n">
        <v>24229.36976683373</v>
      </c>
      <c r="J3552" s="14" t="n">
        <v>0</v>
      </c>
      <c r="K3552" s="14" t="n">
        <v>40932.1929910398</v>
      </c>
      <c r="L3552" s="14" t="n">
        <v>0</v>
      </c>
      <c r="M3552" s="14" t="n">
        <v>0</v>
      </c>
      <c r="N3552" s="14" t="n">
        <v>4832.246563630946</v>
      </c>
      <c r="O3552" s="14" t="n">
        <v>67943.36684369853</v>
      </c>
      <c r="P3552" s="14" t="n">
        <v>880.0334384394627</v>
      </c>
      <c r="Q3552" s="14" t="n">
        <v>629351.1552806179</v>
      </c>
      <c r="R3552" s="15">
        <f>IF(D3552=1,"Section 1","Control")</f>
        <v/>
      </c>
      <c r="S3552" s="16">
        <f>N3552/10000</f>
        <v/>
      </c>
      <c r="T3552" s="16">
        <f>P3552/10000</f>
        <v/>
      </c>
      <c r="U3552" s="15">
        <f>IF(N3552&gt;=Summary!$D$3,1,0)</f>
        <v/>
      </c>
      <c r="V3552" s="17">
        <f>IF(N3552&gt;0,P3552/N3552,"")</f>
        <v/>
      </c>
      <c r="W3552" s="17">
        <f>IF(O3552&gt;0,H3552/O3552,"")</f>
        <v/>
      </c>
    </row>
    <row r="3553">
      <c r="A3553" s="13" t="inlineStr">
        <is>
          <t>CW36_F</t>
        </is>
      </c>
      <c r="B3553" s="13" t="inlineStr">
        <is>
          <t>CW36</t>
        </is>
      </c>
      <c r="C3553" s="13" t="inlineStr">
        <is>
          <t>F</t>
        </is>
      </c>
      <c r="D3553" s="13" t="n">
        <v>0</v>
      </c>
      <c r="E3553" s="13" t="inlineStr">
        <is>
          <t>W</t>
        </is>
      </c>
      <c r="F3553" s="13" t="n">
        <v>2022</v>
      </c>
      <c r="G3553" s="14" t="n">
        <v>69311.23173175885</v>
      </c>
      <c r="H3553" s="14" t="n">
        <v>3081.858653857661</v>
      </c>
      <c r="I3553" s="14" t="n">
        <v>28021.29521092433</v>
      </c>
      <c r="J3553" s="14" t="n">
        <v>0</v>
      </c>
      <c r="K3553" s="14" t="n">
        <v>38078.76374942555</v>
      </c>
      <c r="L3553" s="14" t="n">
        <v>129.3141175513174</v>
      </c>
      <c r="M3553" s="14" t="n">
        <v>0</v>
      </c>
      <c r="N3553" s="14" t="n">
        <v>4832.246563630946</v>
      </c>
      <c r="O3553" s="14" t="n">
        <v>67943.36684369853</v>
      </c>
      <c r="P3553" s="14" t="n">
        <v>1750.387909773284</v>
      </c>
      <c r="Q3553" s="14" t="n">
        <v>629351.1552806179</v>
      </c>
      <c r="R3553" s="15">
        <f>IF(D3553=1,"Section 1","Control")</f>
        <v/>
      </c>
      <c r="S3553" s="16">
        <f>N3553/10000</f>
        <v/>
      </c>
      <c r="T3553" s="16">
        <f>P3553/10000</f>
        <v/>
      </c>
      <c r="U3553" s="15">
        <f>IF(N3553&gt;=Summary!$D$3,1,0)</f>
        <v/>
      </c>
      <c r="V3553" s="17">
        <f>IF(N3553&gt;0,P3553/N3553,"")</f>
        <v/>
      </c>
      <c r="W3553" s="17">
        <f>IF(O3553&gt;0,H3553/O3553,"")</f>
        <v/>
      </c>
    </row>
    <row r="3554">
      <c r="A3554" s="13" t="inlineStr">
        <is>
          <t>CW36_F</t>
        </is>
      </c>
      <c r="B3554" s="13" t="inlineStr">
        <is>
          <t>CW36</t>
        </is>
      </c>
      <c r="C3554" s="13" t="inlineStr">
        <is>
          <t>F</t>
        </is>
      </c>
      <c r="D3554" s="13" t="n">
        <v>0</v>
      </c>
      <c r="E3554" s="13" t="inlineStr">
        <is>
          <t>W</t>
        </is>
      </c>
      <c r="F3554" s="13" t="n">
        <v>2023</v>
      </c>
      <c r="G3554" s="14" t="n">
        <v>69311.23173175885</v>
      </c>
      <c r="H3554" s="14" t="n">
        <v>3328.484829023772</v>
      </c>
      <c r="I3554" s="14" t="n">
        <v>26661.17364280551</v>
      </c>
      <c r="J3554" s="14" t="n">
        <v>0</v>
      </c>
      <c r="K3554" s="14" t="n">
        <v>36835.95306546081</v>
      </c>
      <c r="L3554" s="14" t="n">
        <v>2485.620194468779</v>
      </c>
      <c r="M3554" s="14" t="n">
        <v>0</v>
      </c>
      <c r="N3554" s="14" t="n">
        <v>4832.246563630946</v>
      </c>
      <c r="O3554" s="14" t="n">
        <v>67943.36684369853</v>
      </c>
      <c r="P3554" s="14" t="n">
        <v>1602.489616992427</v>
      </c>
      <c r="Q3554" s="14" t="n">
        <v>629351.1552806179</v>
      </c>
      <c r="R3554" s="15">
        <f>IF(D3554=1,"Section 1","Control")</f>
        <v/>
      </c>
      <c r="S3554" s="16">
        <f>N3554/10000</f>
        <v/>
      </c>
      <c r="T3554" s="16">
        <f>P3554/10000</f>
        <v/>
      </c>
      <c r="U3554" s="15">
        <f>IF(N3554&gt;=Summary!$D$3,1,0)</f>
        <v/>
      </c>
      <c r="V3554" s="17">
        <f>IF(N3554&gt;0,P3554/N3554,"")</f>
        <v/>
      </c>
      <c r="W3554" s="17">
        <f>IF(O3554&gt;0,H3554/O3554,"")</f>
        <v/>
      </c>
    </row>
    <row r="3555">
      <c r="A3555" s="13" t="inlineStr">
        <is>
          <t>CW36_F</t>
        </is>
      </c>
      <c r="B3555" s="13" t="inlineStr">
        <is>
          <t>CW36</t>
        </is>
      </c>
      <c r="C3555" s="13" t="inlineStr">
        <is>
          <t>F</t>
        </is>
      </c>
      <c r="D3555" s="13" t="n">
        <v>0</v>
      </c>
      <c r="E3555" s="13" t="inlineStr">
        <is>
          <t>W</t>
        </is>
      </c>
      <c r="F3555" s="13" t="n">
        <v>2024</v>
      </c>
      <c r="G3555" s="14" t="n">
        <v>69311.23173175885</v>
      </c>
      <c r="H3555" s="14" t="n">
        <v>11119.08325925341</v>
      </c>
      <c r="I3555" s="14" t="n">
        <v>16208.79423534917</v>
      </c>
      <c r="J3555" s="14" t="n">
        <v>0</v>
      </c>
      <c r="K3555" s="14" t="n">
        <v>40019.2497142717</v>
      </c>
      <c r="L3555" s="14" t="n">
        <v>1964.104522884593</v>
      </c>
      <c r="M3555" s="14" t="n">
        <v>0</v>
      </c>
      <c r="N3555" s="14" t="n">
        <v>4832.246563630946</v>
      </c>
      <c r="O3555" s="14" t="n">
        <v>67943.36684369853</v>
      </c>
      <c r="P3555" s="14" t="n">
        <v>1529.31479399438</v>
      </c>
      <c r="Q3555" s="14" t="n">
        <v>629351.1552806179</v>
      </c>
      <c r="R3555" s="15">
        <f>IF(D3555=1,"Section 1","Control")</f>
        <v/>
      </c>
      <c r="S3555" s="16">
        <f>N3555/10000</f>
        <v/>
      </c>
      <c r="T3555" s="16">
        <f>P3555/10000</f>
        <v/>
      </c>
      <c r="U3555" s="15">
        <f>IF(N3555&gt;=Summary!$D$3,1,0)</f>
        <v/>
      </c>
      <c r="V3555" s="17">
        <f>IF(N3555&gt;0,P3555/N3555,"")</f>
        <v/>
      </c>
      <c r="W3555" s="17">
        <f>IF(O3555&gt;0,H3555/O3555,"")</f>
        <v/>
      </c>
    </row>
    <row r="3556">
      <c r="A3556" s="13" t="inlineStr">
        <is>
          <t>CW36_F</t>
        </is>
      </c>
      <c r="B3556" s="13" t="inlineStr">
        <is>
          <t>CW36</t>
        </is>
      </c>
      <c r="C3556" s="13" t="inlineStr">
        <is>
          <t>F</t>
        </is>
      </c>
      <c r="D3556" s="13" t="n">
        <v>0</v>
      </c>
      <c r="E3556" s="13" t="inlineStr">
        <is>
          <t>W</t>
        </is>
      </c>
      <c r="F3556" s="13" t="n">
        <v>2025</v>
      </c>
      <c r="G3556" s="14" t="n">
        <v>69311.23173175885</v>
      </c>
      <c r="H3556" s="14" t="n">
        <v>3378.042125268076</v>
      </c>
      <c r="I3556" s="14" t="n">
        <v>28988.82939297545</v>
      </c>
      <c r="J3556" s="14" t="n">
        <v>0</v>
      </c>
      <c r="K3556" s="14" t="n">
        <v>32496.95885566263</v>
      </c>
      <c r="L3556" s="14" t="n">
        <v>4447.401357852711</v>
      </c>
      <c r="M3556" s="14" t="n">
        <v>0</v>
      </c>
      <c r="N3556" s="14" t="n">
        <v>4832.246563630946</v>
      </c>
      <c r="O3556" s="14" t="n">
        <v>67943.36684369853</v>
      </c>
      <c r="P3556" s="14" t="n">
        <v>2120.907732376398</v>
      </c>
      <c r="Q3556" s="14" t="n">
        <v>629351.1552806179</v>
      </c>
      <c r="R3556" s="15">
        <f>IF(D3556=1,"Section 1","Control")</f>
        <v/>
      </c>
      <c r="S3556" s="16">
        <f>N3556/10000</f>
        <v/>
      </c>
      <c r="T3556" s="16">
        <f>P3556/10000</f>
        <v/>
      </c>
      <c r="U3556" s="15">
        <f>IF(N3556&gt;=Summary!$D$3,1,0)</f>
        <v/>
      </c>
      <c r="V3556" s="17">
        <f>IF(N3556&gt;0,P3556/N3556,"")</f>
        <v/>
      </c>
      <c r="W3556" s="17">
        <f>IF(O3556&gt;0,H3556/O3556,"")</f>
        <v/>
      </c>
    </row>
    <row r="3557">
      <c r="A3557" s="13" t="inlineStr">
        <is>
          <t>CW36_F</t>
        </is>
      </c>
      <c r="B3557" s="13" t="inlineStr">
        <is>
          <t>CW36</t>
        </is>
      </c>
      <c r="C3557" s="13" t="inlineStr">
        <is>
          <t>F</t>
        </is>
      </c>
      <c r="D3557" s="13" t="n">
        <v>0</v>
      </c>
      <c r="E3557" s="13" t="inlineStr">
        <is>
          <t>W</t>
        </is>
      </c>
      <c r="F3557" s="13" t="n">
        <v>2026</v>
      </c>
      <c r="G3557" s="14" t="n">
        <v>69311.23173175885</v>
      </c>
      <c r="H3557" s="14" t="n">
        <v>22536.28442074645</v>
      </c>
      <c r="I3557" s="14" t="n">
        <v>8865.764239083084</v>
      </c>
      <c r="J3557" s="14" t="n">
        <v>0</v>
      </c>
      <c r="K3557" s="14" t="n">
        <v>31017.97576745725</v>
      </c>
      <c r="L3557" s="14" t="n">
        <v>6891.207304472082</v>
      </c>
      <c r="M3557" s="14" t="n">
        <v>0</v>
      </c>
      <c r="N3557" s="14" t="n">
        <v>4832.246563630946</v>
      </c>
      <c r="O3557" s="14" t="n">
        <v>67943.36684369853</v>
      </c>
      <c r="P3557" s="14" t="n">
        <v>1922.290355667413</v>
      </c>
      <c r="Q3557" s="14" t="n">
        <v>629351.1552806179</v>
      </c>
      <c r="R3557" s="15">
        <f>IF(D3557=1,"Section 1","Control")</f>
        <v/>
      </c>
      <c r="S3557" s="16">
        <f>N3557/10000</f>
        <v/>
      </c>
      <c r="T3557" s="16">
        <f>P3557/10000</f>
        <v/>
      </c>
      <c r="U3557" s="15">
        <f>IF(N3557&gt;=Summary!$D$3,1,0)</f>
        <v/>
      </c>
      <c r="V3557" s="17">
        <f>IF(N3557&gt;0,P3557/N3557,"")</f>
        <v/>
      </c>
      <c r="W3557" s="17">
        <f>IF(O3557&gt;0,H3557/O3557,"")</f>
        <v/>
      </c>
    </row>
    <row r="3558">
      <c r="A3558" s="13" t="inlineStr">
        <is>
          <t>CW37_B1</t>
        </is>
      </c>
      <c r="B3558" s="13" t="inlineStr">
        <is>
          <t>CW37</t>
        </is>
      </c>
      <c r="C3558" s="13" t="inlineStr">
        <is>
          <t>B1</t>
        </is>
      </c>
      <c r="D3558" s="13" t="n">
        <v>0</v>
      </c>
      <c r="E3558" s="13" t="inlineStr">
        <is>
          <t>W</t>
        </is>
      </c>
      <c r="F3558" s="13" t="n">
        <v>2020</v>
      </c>
      <c r="G3558" s="14" t="n">
        <v>975831.2530564849</v>
      </c>
      <c r="H3558" s="14" t="n">
        <v>47088.70725797765</v>
      </c>
      <c r="I3558" s="14" t="n">
        <v>185736.3737592211</v>
      </c>
      <c r="J3558" s="14" t="n">
        <v>0</v>
      </c>
      <c r="K3558" s="14" t="n">
        <v>547715.6871911741</v>
      </c>
      <c r="L3558" s="14" t="n">
        <v>195290.4848481122</v>
      </c>
      <c r="M3558" s="14" t="n">
        <v>0</v>
      </c>
      <c r="N3558" s="14" t="n">
        <v>47088.70725797765</v>
      </c>
      <c r="O3558" s="14" t="n">
        <v>780540.7682083728</v>
      </c>
      <c r="P3558" s="14" t="n">
        <v>0</v>
      </c>
      <c r="Q3558" s="14" t="n">
        <v>6064536.834005198</v>
      </c>
      <c r="R3558" s="15">
        <f>IF(D3558=1,"Section 1","Control")</f>
        <v/>
      </c>
      <c r="S3558" s="16">
        <f>N3558/10000</f>
        <v/>
      </c>
      <c r="T3558" s="16">
        <f>P3558/10000</f>
        <v/>
      </c>
      <c r="U3558" s="15">
        <f>IF(N3558&gt;=Summary!$D$3,1,0)</f>
        <v/>
      </c>
      <c r="V3558" s="17">
        <f>IF(N3558&gt;0,P3558/N3558,"")</f>
        <v/>
      </c>
      <c r="W3558" s="17">
        <f>IF(O3558&gt;0,H3558/O3558,"")</f>
        <v/>
      </c>
    </row>
    <row r="3559">
      <c r="A3559" s="13" t="inlineStr">
        <is>
          <t>CW37_B1</t>
        </is>
      </c>
      <c r="B3559" s="13" t="inlineStr">
        <is>
          <t>CW37</t>
        </is>
      </c>
      <c r="C3559" s="13" t="inlineStr">
        <is>
          <t>B1</t>
        </is>
      </c>
      <c r="D3559" s="13" t="n">
        <v>0</v>
      </c>
      <c r="E3559" s="13" t="inlineStr">
        <is>
          <t>W</t>
        </is>
      </c>
      <c r="F3559" s="13" t="n">
        <v>2021</v>
      </c>
      <c r="G3559" s="14" t="n">
        <v>975831.253056485</v>
      </c>
      <c r="H3559" s="14" t="n">
        <v>40784.81496713676</v>
      </c>
      <c r="I3559" s="14" t="n">
        <v>185224.9390183991</v>
      </c>
      <c r="J3559" s="14" t="n">
        <v>0</v>
      </c>
      <c r="K3559" s="14" t="n">
        <v>558340.348771847</v>
      </c>
      <c r="L3559" s="14" t="n">
        <v>191481.1502991022</v>
      </c>
      <c r="M3559" s="14" t="n">
        <v>0</v>
      </c>
      <c r="N3559" s="14" t="n">
        <v>47088.70725797765</v>
      </c>
      <c r="O3559" s="14" t="n">
        <v>780540.7682083728</v>
      </c>
      <c r="P3559" s="14" t="n">
        <v>8500.669740295411</v>
      </c>
      <c r="Q3559" s="14" t="n">
        <v>6064536.834005199</v>
      </c>
      <c r="R3559" s="15">
        <f>IF(D3559=1,"Section 1","Control")</f>
        <v/>
      </c>
      <c r="S3559" s="16">
        <f>N3559/10000</f>
        <v/>
      </c>
      <c r="T3559" s="16">
        <f>P3559/10000</f>
        <v/>
      </c>
      <c r="U3559" s="15">
        <f>IF(N3559&gt;=Summary!$D$3,1,0)</f>
        <v/>
      </c>
      <c r="V3559" s="17">
        <f>IF(N3559&gt;0,P3559/N3559,"")</f>
        <v/>
      </c>
      <c r="W3559" s="17">
        <f>IF(O3559&gt;0,H3559/O3559,"")</f>
        <v/>
      </c>
    </row>
    <row r="3560">
      <c r="A3560" s="13" t="inlineStr">
        <is>
          <t>CW37_B1</t>
        </is>
      </c>
      <c r="B3560" s="13" t="inlineStr">
        <is>
          <t>CW37</t>
        </is>
      </c>
      <c r="C3560" s="13" t="inlineStr">
        <is>
          <t>B1</t>
        </is>
      </c>
      <c r="D3560" s="13" t="n">
        <v>0</v>
      </c>
      <c r="E3560" s="13" t="inlineStr">
        <is>
          <t>W</t>
        </is>
      </c>
      <c r="F3560" s="13" t="n">
        <v>2022</v>
      </c>
      <c r="G3560" s="14" t="n">
        <v>975831.253056485</v>
      </c>
      <c r="H3560" s="14" t="n">
        <v>34153.41783922981</v>
      </c>
      <c r="I3560" s="14" t="n">
        <v>330750.214531274</v>
      </c>
      <c r="J3560" s="14" t="n">
        <v>0</v>
      </c>
      <c r="K3560" s="14" t="n">
        <v>423978.6801728491</v>
      </c>
      <c r="L3560" s="14" t="n">
        <v>186948.9405131321</v>
      </c>
      <c r="M3560" s="14" t="n">
        <v>0</v>
      </c>
      <c r="N3560" s="14" t="n">
        <v>47088.70725797765</v>
      </c>
      <c r="O3560" s="14" t="n">
        <v>780540.7682083726</v>
      </c>
      <c r="P3560" s="14" t="n">
        <v>13648.83504878026</v>
      </c>
      <c r="Q3560" s="14" t="n">
        <v>6064536.834005199</v>
      </c>
      <c r="R3560" s="15">
        <f>IF(D3560=1,"Section 1","Control")</f>
        <v/>
      </c>
      <c r="S3560" s="16">
        <f>N3560/10000</f>
        <v/>
      </c>
      <c r="T3560" s="16">
        <f>P3560/10000</f>
        <v/>
      </c>
      <c r="U3560" s="15">
        <f>IF(N3560&gt;=Summary!$D$3,1,0)</f>
        <v/>
      </c>
      <c r="V3560" s="17">
        <f>IF(N3560&gt;0,P3560/N3560,"")</f>
        <v/>
      </c>
      <c r="W3560" s="17">
        <f>IF(O3560&gt;0,H3560/O3560,"")</f>
        <v/>
      </c>
    </row>
    <row r="3561">
      <c r="A3561" s="13" t="inlineStr">
        <is>
          <t>CW37_B1</t>
        </is>
      </c>
      <c r="B3561" s="13" t="inlineStr">
        <is>
          <t>CW37</t>
        </is>
      </c>
      <c r="C3561" s="13" t="inlineStr">
        <is>
          <t>B1</t>
        </is>
      </c>
      <c r="D3561" s="13" t="n">
        <v>0</v>
      </c>
      <c r="E3561" s="13" t="inlineStr">
        <is>
          <t>W</t>
        </is>
      </c>
      <c r="F3561" s="13" t="n">
        <v>2023</v>
      </c>
      <c r="G3561" s="14" t="n">
        <v>975831.253056485</v>
      </c>
      <c r="H3561" s="14" t="n">
        <v>38335.57395902148</v>
      </c>
      <c r="I3561" s="14" t="n">
        <v>276912.5285914402</v>
      </c>
      <c r="J3561" s="14" t="n">
        <v>0</v>
      </c>
      <c r="K3561" s="14" t="n">
        <v>457786.5604951746</v>
      </c>
      <c r="L3561" s="14" t="n">
        <v>202796.5900108487</v>
      </c>
      <c r="M3561" s="14" t="n">
        <v>0</v>
      </c>
      <c r="N3561" s="14" t="n">
        <v>47088.70725797765</v>
      </c>
      <c r="O3561" s="14" t="n">
        <v>780540.7682083728</v>
      </c>
      <c r="P3561" s="14" t="n">
        <v>12231.04378952326</v>
      </c>
      <c r="Q3561" s="14" t="n">
        <v>6064536.834005199</v>
      </c>
      <c r="R3561" s="15">
        <f>IF(D3561=1,"Section 1","Control")</f>
        <v/>
      </c>
      <c r="S3561" s="16">
        <f>N3561/10000</f>
        <v/>
      </c>
      <c r="T3561" s="16">
        <f>P3561/10000</f>
        <v/>
      </c>
      <c r="U3561" s="15">
        <f>IF(N3561&gt;=Summary!$D$3,1,0)</f>
        <v/>
      </c>
      <c r="V3561" s="17">
        <f>IF(N3561&gt;0,P3561/N3561,"")</f>
        <v/>
      </c>
      <c r="W3561" s="17">
        <f>IF(O3561&gt;0,H3561/O3561,"")</f>
        <v/>
      </c>
    </row>
    <row r="3562">
      <c r="A3562" s="13" t="inlineStr">
        <is>
          <t>CW37_B1</t>
        </is>
      </c>
      <c r="B3562" s="13" t="inlineStr">
        <is>
          <t>CW37</t>
        </is>
      </c>
      <c r="C3562" s="13" t="inlineStr">
        <is>
          <t>B1</t>
        </is>
      </c>
      <c r="D3562" s="13" t="n">
        <v>0</v>
      </c>
      <c r="E3562" s="13" t="inlineStr">
        <is>
          <t>W</t>
        </is>
      </c>
      <c r="F3562" s="13" t="n">
        <v>2024</v>
      </c>
      <c r="G3562" s="14" t="n">
        <v>975831.253056485</v>
      </c>
      <c r="H3562" s="14" t="n">
        <v>44304.53188937318</v>
      </c>
      <c r="I3562" s="14" t="n">
        <v>209847.1138378667</v>
      </c>
      <c r="J3562" s="14" t="n">
        <v>0</v>
      </c>
      <c r="K3562" s="14" t="n">
        <v>520564.1107623829</v>
      </c>
      <c r="L3562" s="14" t="n">
        <v>201115.4965668622</v>
      </c>
      <c r="M3562" s="14" t="n">
        <v>0</v>
      </c>
      <c r="N3562" s="14" t="n">
        <v>47088.70725797765</v>
      </c>
      <c r="O3562" s="14" t="n">
        <v>780540.7682083728</v>
      </c>
      <c r="P3562" s="14" t="n">
        <v>11145.03715957941</v>
      </c>
      <c r="Q3562" s="14" t="n">
        <v>6064536.834005199</v>
      </c>
      <c r="R3562" s="15">
        <f>IF(D3562=1,"Section 1","Control")</f>
        <v/>
      </c>
      <c r="S3562" s="16">
        <f>N3562/10000</f>
        <v/>
      </c>
      <c r="T3562" s="16">
        <f>P3562/10000</f>
        <v/>
      </c>
      <c r="U3562" s="15">
        <f>IF(N3562&gt;=Summary!$D$3,1,0)</f>
        <v/>
      </c>
      <c r="V3562" s="17">
        <f>IF(N3562&gt;0,P3562/N3562,"")</f>
        <v/>
      </c>
      <c r="W3562" s="17">
        <f>IF(O3562&gt;0,H3562/O3562,"")</f>
        <v/>
      </c>
    </row>
    <row r="3563">
      <c r="A3563" s="13" t="inlineStr">
        <is>
          <t>CW37_B1</t>
        </is>
      </c>
      <c r="B3563" s="13" t="inlineStr">
        <is>
          <t>CW37</t>
        </is>
      </c>
      <c r="C3563" s="13" t="inlineStr">
        <is>
          <t>B1</t>
        </is>
      </c>
      <c r="D3563" s="13" t="n">
        <v>0</v>
      </c>
      <c r="E3563" s="13" t="inlineStr">
        <is>
          <t>W</t>
        </is>
      </c>
      <c r="F3563" s="13" t="n">
        <v>2025</v>
      </c>
      <c r="G3563" s="14" t="n">
        <v>975831.2530564849</v>
      </c>
      <c r="H3563" s="14" t="n">
        <v>42714.41767670874</v>
      </c>
      <c r="I3563" s="14" t="n">
        <v>221255.0839408426</v>
      </c>
      <c r="J3563" s="14" t="n">
        <v>0</v>
      </c>
      <c r="K3563" s="14" t="n">
        <v>492326.8509367699</v>
      </c>
      <c r="L3563" s="14" t="n">
        <v>219534.9005021638</v>
      </c>
      <c r="M3563" s="14" t="n">
        <v>0</v>
      </c>
      <c r="N3563" s="14" t="n">
        <v>47088.70725797765</v>
      </c>
      <c r="O3563" s="14" t="n">
        <v>780540.7682083728</v>
      </c>
      <c r="P3563" s="14" t="n">
        <v>12527.23210586847</v>
      </c>
      <c r="Q3563" s="14" t="n">
        <v>6064536.834005198</v>
      </c>
      <c r="R3563" s="15">
        <f>IF(D3563=1,"Section 1","Control")</f>
        <v/>
      </c>
      <c r="S3563" s="16">
        <f>N3563/10000</f>
        <v/>
      </c>
      <c r="T3563" s="16">
        <f>P3563/10000</f>
        <v/>
      </c>
      <c r="U3563" s="15">
        <f>IF(N3563&gt;=Summary!$D$3,1,0)</f>
        <v/>
      </c>
      <c r="V3563" s="17">
        <f>IF(N3563&gt;0,P3563/N3563,"")</f>
        <v/>
      </c>
      <c r="W3563" s="17">
        <f>IF(O3563&gt;0,H3563/O3563,"")</f>
        <v/>
      </c>
    </row>
    <row r="3564">
      <c r="A3564" s="13" t="inlineStr">
        <is>
          <t>CW37_B1</t>
        </is>
      </c>
      <c r="B3564" s="13" t="inlineStr">
        <is>
          <t>CW37</t>
        </is>
      </c>
      <c r="C3564" s="13" t="inlineStr">
        <is>
          <t>B1</t>
        </is>
      </c>
      <c r="D3564" s="13" t="n">
        <v>0</v>
      </c>
      <c r="E3564" s="13" t="inlineStr">
        <is>
          <t>W</t>
        </is>
      </c>
      <c r="F3564" s="13" t="n">
        <v>2026</v>
      </c>
      <c r="G3564" s="14" t="n">
        <v>975831.253056485</v>
      </c>
      <c r="H3564" s="14" t="n">
        <v>49847.61873303582</v>
      </c>
      <c r="I3564" s="14" t="n">
        <v>252308.4391391231</v>
      </c>
      <c r="J3564" s="14" t="n">
        <v>0</v>
      </c>
      <c r="K3564" s="14" t="n">
        <v>463942.1190342025</v>
      </c>
      <c r="L3564" s="14" t="n">
        <v>209733.0761501238</v>
      </c>
      <c r="M3564" s="14" t="n">
        <v>0</v>
      </c>
      <c r="N3564" s="14" t="n">
        <v>47088.70725797765</v>
      </c>
      <c r="O3564" s="14" t="n">
        <v>780540.7682083726</v>
      </c>
      <c r="P3564" s="14" t="n">
        <v>8183.197147982728</v>
      </c>
      <c r="Q3564" s="14" t="n">
        <v>6064536.834005199</v>
      </c>
      <c r="R3564" s="15">
        <f>IF(D3564=1,"Section 1","Control")</f>
        <v/>
      </c>
      <c r="S3564" s="16">
        <f>N3564/10000</f>
        <v/>
      </c>
      <c r="T3564" s="16">
        <f>P3564/10000</f>
        <v/>
      </c>
      <c r="U3564" s="15">
        <f>IF(N3564&gt;=Summary!$D$3,1,0)</f>
        <v/>
      </c>
      <c r="V3564" s="17">
        <f>IF(N3564&gt;0,P3564/N3564,"")</f>
        <v/>
      </c>
      <c r="W3564" s="17">
        <f>IF(O3564&gt;0,H3564/O3564,"")</f>
        <v/>
      </c>
    </row>
    <row r="3565">
      <c r="A3565" s="13" t="inlineStr">
        <is>
          <t>CW37_B2</t>
        </is>
      </c>
      <c r="B3565" s="13" t="inlineStr">
        <is>
          <t>CW37</t>
        </is>
      </c>
      <c r="C3565" s="13" t="inlineStr">
        <is>
          <t>B2</t>
        </is>
      </c>
      <c r="D3565" s="13" t="n">
        <v>0</v>
      </c>
      <c r="E3565" s="13" t="inlineStr">
        <is>
          <t>W</t>
        </is>
      </c>
      <c r="F3565" s="13" t="n">
        <v>2020</v>
      </c>
      <c r="G3565" s="14" t="n">
        <v>975687.2164133112</v>
      </c>
      <c r="H3565" s="14" t="n">
        <v>96127.29963100658</v>
      </c>
      <c r="I3565" s="14" t="n">
        <v>8210.192571363263</v>
      </c>
      <c r="J3565" s="14" t="n">
        <v>0</v>
      </c>
      <c r="K3565" s="14" t="n">
        <v>81509.98393261478</v>
      </c>
      <c r="L3565" s="14" t="n">
        <v>789839.7402783264</v>
      </c>
      <c r="M3565" s="14" t="n">
        <v>0</v>
      </c>
      <c r="N3565" s="14" t="n">
        <v>96127.29963100658</v>
      </c>
      <c r="O3565" s="14" t="n">
        <v>185847.4761349846</v>
      </c>
      <c r="P3565" s="14" t="n">
        <v>0</v>
      </c>
      <c r="Q3565" s="14" t="n">
        <v>1566814.432944294</v>
      </c>
      <c r="R3565" s="15">
        <f>IF(D3565=1,"Section 1","Control")</f>
        <v/>
      </c>
      <c r="S3565" s="16">
        <f>N3565/10000</f>
        <v/>
      </c>
      <c r="T3565" s="16">
        <f>P3565/10000</f>
        <v/>
      </c>
      <c r="U3565" s="15">
        <f>IF(N3565&gt;=Summary!$D$3,1,0)</f>
        <v/>
      </c>
      <c r="V3565" s="17">
        <f>IF(N3565&gt;0,P3565/N3565,"")</f>
        <v/>
      </c>
      <c r="W3565" s="17">
        <f>IF(O3565&gt;0,H3565/O3565,"")</f>
        <v/>
      </c>
    </row>
    <row r="3566">
      <c r="A3566" s="13" t="inlineStr">
        <is>
          <t>CW37_B2</t>
        </is>
      </c>
      <c r="B3566" s="13" t="inlineStr">
        <is>
          <t>CW37</t>
        </is>
      </c>
      <c r="C3566" s="13" t="inlineStr">
        <is>
          <t>B2</t>
        </is>
      </c>
      <c r="D3566" s="13" t="n">
        <v>0</v>
      </c>
      <c r="E3566" s="13" t="inlineStr">
        <is>
          <t>W</t>
        </is>
      </c>
      <c r="F3566" s="13" t="n">
        <v>2021</v>
      </c>
      <c r="G3566" s="14" t="n">
        <v>975687.2164133112</v>
      </c>
      <c r="H3566" s="14" t="n">
        <v>89394.52614031025</v>
      </c>
      <c r="I3566" s="14" t="n">
        <v>3989.722675847072</v>
      </c>
      <c r="J3566" s="14" t="n">
        <v>0</v>
      </c>
      <c r="K3566" s="14" t="n">
        <v>89767.79961215748</v>
      </c>
      <c r="L3566" s="14" t="n">
        <v>792535.1679849962</v>
      </c>
      <c r="M3566" s="14" t="n">
        <v>0</v>
      </c>
      <c r="N3566" s="14" t="n">
        <v>96127.29963100658</v>
      </c>
      <c r="O3566" s="14" t="n">
        <v>185847.4761349846</v>
      </c>
      <c r="P3566" s="14" t="n">
        <v>9965.975029889276</v>
      </c>
      <c r="Q3566" s="14" t="n">
        <v>1566814.432944294</v>
      </c>
      <c r="R3566" s="15">
        <f>IF(D3566=1,"Section 1","Control")</f>
        <v/>
      </c>
      <c r="S3566" s="16">
        <f>N3566/10000</f>
        <v/>
      </c>
      <c r="T3566" s="16">
        <f>P3566/10000</f>
        <v/>
      </c>
      <c r="U3566" s="15">
        <f>IF(N3566&gt;=Summary!$D$3,1,0)</f>
        <v/>
      </c>
      <c r="V3566" s="17">
        <f>IF(N3566&gt;0,P3566/N3566,"")</f>
        <v/>
      </c>
      <c r="W3566" s="17">
        <f>IF(O3566&gt;0,H3566/O3566,"")</f>
        <v/>
      </c>
    </row>
    <row r="3567">
      <c r="A3567" s="13" t="inlineStr">
        <is>
          <t>CW37_B2</t>
        </is>
      </c>
      <c r="B3567" s="13" t="inlineStr">
        <is>
          <t>CW37</t>
        </is>
      </c>
      <c r="C3567" s="13" t="inlineStr">
        <is>
          <t>B2</t>
        </is>
      </c>
      <c r="D3567" s="13" t="n">
        <v>0</v>
      </c>
      <c r="E3567" s="13" t="inlineStr">
        <is>
          <t>W</t>
        </is>
      </c>
      <c r="F3567" s="13" t="n">
        <v>2022</v>
      </c>
      <c r="G3567" s="14" t="n">
        <v>975687.2164133112</v>
      </c>
      <c r="H3567" s="14" t="n">
        <v>85642.90920458027</v>
      </c>
      <c r="I3567" s="14" t="n">
        <v>25885.01279808493</v>
      </c>
      <c r="J3567" s="14" t="n">
        <v>0</v>
      </c>
      <c r="K3567" s="14" t="n">
        <v>91743.4390322517</v>
      </c>
      <c r="L3567" s="14" t="n">
        <v>772415.8553783941</v>
      </c>
      <c r="M3567" s="14" t="n">
        <v>0</v>
      </c>
      <c r="N3567" s="14" t="n">
        <v>96127.29963100658</v>
      </c>
      <c r="O3567" s="14" t="n">
        <v>185847.4761349846</v>
      </c>
      <c r="P3567" s="14" t="n">
        <v>13223.95761961096</v>
      </c>
      <c r="Q3567" s="14" t="n">
        <v>1566814.432944294</v>
      </c>
      <c r="R3567" s="15">
        <f>IF(D3567=1,"Section 1","Control")</f>
        <v/>
      </c>
      <c r="S3567" s="16">
        <f>N3567/10000</f>
        <v/>
      </c>
      <c r="T3567" s="16">
        <f>P3567/10000</f>
        <v/>
      </c>
      <c r="U3567" s="15">
        <f>IF(N3567&gt;=Summary!$D$3,1,0)</f>
        <v/>
      </c>
      <c r="V3567" s="17">
        <f>IF(N3567&gt;0,P3567/N3567,"")</f>
        <v/>
      </c>
      <c r="W3567" s="17">
        <f>IF(O3567&gt;0,H3567/O3567,"")</f>
        <v/>
      </c>
    </row>
    <row r="3568">
      <c r="A3568" s="13" t="inlineStr">
        <is>
          <t>CW37_B2</t>
        </is>
      </c>
      <c r="B3568" s="13" t="inlineStr">
        <is>
          <t>CW37</t>
        </is>
      </c>
      <c r="C3568" s="13" t="inlineStr">
        <is>
          <t>B2</t>
        </is>
      </c>
      <c r="D3568" s="13" t="n">
        <v>0</v>
      </c>
      <c r="E3568" s="13" t="inlineStr">
        <is>
          <t>W</t>
        </is>
      </c>
      <c r="F3568" s="13" t="n">
        <v>2023</v>
      </c>
      <c r="G3568" s="14" t="n">
        <v>975687.2164133112</v>
      </c>
      <c r="H3568" s="14" t="n">
        <v>84458.1925068874</v>
      </c>
      <c r="I3568" s="14" t="n">
        <v>21014.87234601788</v>
      </c>
      <c r="J3568" s="14" t="n">
        <v>0</v>
      </c>
      <c r="K3568" s="14" t="n">
        <v>73236.28613430845</v>
      </c>
      <c r="L3568" s="14" t="n">
        <v>796977.8654260973</v>
      </c>
      <c r="M3568" s="14" t="n">
        <v>0</v>
      </c>
      <c r="N3568" s="14" t="n">
        <v>96127.29963100658</v>
      </c>
      <c r="O3568" s="14" t="n">
        <v>185847.4761349846</v>
      </c>
      <c r="P3568" s="14" t="n">
        <v>13520.13530820959</v>
      </c>
      <c r="Q3568" s="14" t="n">
        <v>1566814.432944294</v>
      </c>
      <c r="R3568" s="15">
        <f>IF(D3568=1,"Section 1","Control")</f>
        <v/>
      </c>
      <c r="S3568" s="16">
        <f>N3568/10000</f>
        <v/>
      </c>
      <c r="T3568" s="16">
        <f>P3568/10000</f>
        <v/>
      </c>
      <c r="U3568" s="15">
        <f>IF(N3568&gt;=Summary!$D$3,1,0)</f>
        <v/>
      </c>
      <c r="V3568" s="17">
        <f>IF(N3568&gt;0,P3568/N3568,"")</f>
        <v/>
      </c>
      <c r="W3568" s="17">
        <f>IF(O3568&gt;0,H3568/O3568,"")</f>
        <v/>
      </c>
    </row>
    <row r="3569">
      <c r="A3569" s="13" t="inlineStr">
        <is>
          <t>CW37_B2</t>
        </is>
      </c>
      <c r="B3569" s="13" t="inlineStr">
        <is>
          <t>CW37</t>
        </is>
      </c>
      <c r="C3569" s="13" t="inlineStr">
        <is>
          <t>B2</t>
        </is>
      </c>
      <c r="D3569" s="13" t="n">
        <v>0</v>
      </c>
      <c r="E3569" s="13" t="inlineStr">
        <is>
          <t>W</t>
        </is>
      </c>
      <c r="F3569" s="13" t="n">
        <v>2024</v>
      </c>
      <c r="G3569" s="14" t="n">
        <v>975687.2164133112</v>
      </c>
      <c r="H3569" s="14" t="n">
        <v>87222.54117021748</v>
      </c>
      <c r="I3569" s="14" t="n">
        <v>4198.40500051461</v>
      </c>
      <c r="J3569" s="14" t="n">
        <v>0</v>
      </c>
      <c r="K3569" s="14" t="n">
        <v>95087.8086021872</v>
      </c>
      <c r="L3569" s="14" t="n">
        <v>789178.4616403917</v>
      </c>
      <c r="M3569" s="14" t="n">
        <v>0</v>
      </c>
      <c r="N3569" s="14" t="n">
        <v>96127.29963100658</v>
      </c>
      <c r="O3569" s="14" t="n">
        <v>185847.4761349846</v>
      </c>
      <c r="P3569" s="14" t="n">
        <v>13421.40883726232</v>
      </c>
      <c r="Q3569" s="14" t="n">
        <v>1566814.432944294</v>
      </c>
      <c r="R3569" s="15">
        <f>IF(D3569=1,"Section 1","Control")</f>
        <v/>
      </c>
      <c r="S3569" s="16">
        <f>N3569/10000</f>
        <v/>
      </c>
      <c r="T3569" s="16">
        <f>P3569/10000</f>
        <v/>
      </c>
      <c r="U3569" s="15">
        <f>IF(N3569&gt;=Summary!$D$3,1,0)</f>
        <v/>
      </c>
      <c r="V3569" s="17">
        <f>IF(N3569&gt;0,P3569/N3569,"")</f>
        <v/>
      </c>
      <c r="W3569" s="17">
        <f>IF(O3569&gt;0,H3569/O3569,"")</f>
        <v/>
      </c>
    </row>
    <row r="3570">
      <c r="A3570" s="13" t="inlineStr">
        <is>
          <t>CW37_B2</t>
        </is>
      </c>
      <c r="B3570" s="13" t="inlineStr">
        <is>
          <t>CW37</t>
        </is>
      </c>
      <c r="C3570" s="13" t="inlineStr">
        <is>
          <t>B2</t>
        </is>
      </c>
      <c r="D3570" s="13" t="n">
        <v>0</v>
      </c>
      <c r="E3570" s="13" t="inlineStr">
        <is>
          <t>W</t>
        </is>
      </c>
      <c r="F3570" s="13" t="n">
        <v>2025</v>
      </c>
      <c r="G3570" s="14" t="n">
        <v>975687.2164133112</v>
      </c>
      <c r="H3570" s="14" t="n">
        <v>90376.75534718831</v>
      </c>
      <c r="I3570" s="14" t="n">
        <v>11982.71214862898</v>
      </c>
      <c r="J3570" s="14" t="n">
        <v>0</v>
      </c>
      <c r="K3570" s="14" t="n">
        <v>91484.85490686752</v>
      </c>
      <c r="L3570" s="14" t="n">
        <v>781842.8940106262</v>
      </c>
      <c r="M3570" s="14" t="n">
        <v>0</v>
      </c>
      <c r="N3570" s="14" t="n">
        <v>96127.29963100658</v>
      </c>
      <c r="O3570" s="14" t="n">
        <v>185847.4761349846</v>
      </c>
      <c r="P3570" s="14" t="n">
        <v>12767.48986376594</v>
      </c>
      <c r="Q3570" s="14" t="n">
        <v>1566814.432944294</v>
      </c>
      <c r="R3570" s="15">
        <f>IF(D3570=1,"Section 1","Control")</f>
        <v/>
      </c>
      <c r="S3570" s="16">
        <f>N3570/10000</f>
        <v/>
      </c>
      <c r="T3570" s="16">
        <f>P3570/10000</f>
        <v/>
      </c>
      <c r="U3570" s="15">
        <f>IF(N3570&gt;=Summary!$D$3,1,0)</f>
        <v/>
      </c>
      <c r="V3570" s="17">
        <f>IF(N3570&gt;0,P3570/N3570,"")</f>
        <v/>
      </c>
      <c r="W3570" s="17">
        <f>IF(O3570&gt;0,H3570/O3570,"")</f>
        <v/>
      </c>
    </row>
    <row r="3571">
      <c r="A3571" s="13" t="inlineStr">
        <is>
          <t>CW37_B2</t>
        </is>
      </c>
      <c r="B3571" s="13" t="inlineStr">
        <is>
          <t>CW37</t>
        </is>
      </c>
      <c r="C3571" s="13" t="inlineStr">
        <is>
          <t>B2</t>
        </is>
      </c>
      <c r="D3571" s="13" t="n">
        <v>0</v>
      </c>
      <c r="E3571" s="13" t="inlineStr">
        <is>
          <t>W</t>
        </is>
      </c>
      <c r="F3571" s="13" t="n">
        <v>2026</v>
      </c>
      <c r="G3571" s="14" t="n">
        <v>975687.2164133112</v>
      </c>
      <c r="H3571" s="14" t="n">
        <v>89433.63189425001</v>
      </c>
      <c r="I3571" s="14" t="n">
        <v>5232.520210266113</v>
      </c>
      <c r="J3571" s="14" t="n">
        <v>0</v>
      </c>
      <c r="K3571" s="14" t="n">
        <v>83747.01784479477</v>
      </c>
      <c r="L3571" s="14" t="n">
        <v>797274.0464640001</v>
      </c>
      <c r="M3571" s="14" t="n">
        <v>0</v>
      </c>
      <c r="N3571" s="14" t="n">
        <v>96127.29963100658</v>
      </c>
      <c r="O3571" s="14" t="n">
        <v>185847.4761349846</v>
      </c>
      <c r="P3571" s="14" t="n">
        <v>13421.40881437414</v>
      </c>
      <c r="Q3571" s="14" t="n">
        <v>1566814.432944294</v>
      </c>
      <c r="R3571" s="15">
        <f>IF(D3571=1,"Section 1","Control")</f>
        <v/>
      </c>
      <c r="S3571" s="16">
        <f>N3571/10000</f>
        <v/>
      </c>
      <c r="T3571" s="16">
        <f>P3571/10000</f>
        <v/>
      </c>
      <c r="U3571" s="15">
        <f>IF(N3571&gt;=Summary!$D$3,1,0)</f>
        <v/>
      </c>
      <c r="V3571" s="17">
        <f>IF(N3571&gt;0,P3571/N3571,"")</f>
        <v/>
      </c>
      <c r="W3571" s="17">
        <f>IF(O3571&gt;0,H3571/O3571,"")</f>
        <v/>
      </c>
    </row>
    <row r="3572">
      <c r="A3572" s="13" t="inlineStr">
        <is>
          <t>CW37_B3</t>
        </is>
      </c>
      <c r="B3572" s="13" t="inlineStr">
        <is>
          <t>CW37</t>
        </is>
      </c>
      <c r="C3572" s="13" t="inlineStr">
        <is>
          <t>B3</t>
        </is>
      </c>
      <c r="D3572" s="13" t="n">
        <v>0</v>
      </c>
      <c r="E3572" s="13" t="inlineStr">
        <is>
          <t>W</t>
        </is>
      </c>
      <c r="F3572" s="13" t="n">
        <v>2020</v>
      </c>
      <c r="G3572" s="14" t="n">
        <v>7805600.941641086</v>
      </c>
      <c r="H3572" s="14" t="n">
        <v>3273488.985033671</v>
      </c>
      <c r="I3572" s="14" t="n">
        <v>205987.0933307424</v>
      </c>
      <c r="J3572" s="14" t="n">
        <v>0</v>
      </c>
      <c r="K3572" s="14" t="n">
        <v>145045.5270718144</v>
      </c>
      <c r="L3572" s="14" t="n">
        <v>4181079.336204858</v>
      </c>
      <c r="M3572" s="14" t="n">
        <v>0</v>
      </c>
      <c r="N3572" s="14" t="n">
        <v>3273488.985033671</v>
      </c>
      <c r="O3572" s="14" t="n">
        <v>3624521.605436228</v>
      </c>
      <c r="P3572" s="14" t="n">
        <v>0</v>
      </c>
      <c r="Q3572" s="14" t="n">
        <v>31267229.93578354</v>
      </c>
      <c r="R3572" s="15">
        <f>IF(D3572=1,"Section 1","Control")</f>
        <v/>
      </c>
      <c r="S3572" s="16">
        <f>N3572/10000</f>
        <v/>
      </c>
      <c r="T3572" s="16">
        <f>P3572/10000</f>
        <v/>
      </c>
      <c r="U3572" s="15">
        <f>IF(N3572&gt;=Summary!$D$3,1,0)</f>
        <v/>
      </c>
      <c r="V3572" s="17">
        <f>IF(N3572&gt;0,P3572/N3572,"")</f>
        <v/>
      </c>
      <c r="W3572" s="17">
        <f>IF(O3572&gt;0,H3572/O3572,"")</f>
        <v/>
      </c>
    </row>
    <row r="3573">
      <c r="A3573" s="13" t="inlineStr">
        <is>
          <t>CW37_B3</t>
        </is>
      </c>
      <c r="B3573" s="13" t="inlineStr">
        <is>
          <t>CW37</t>
        </is>
      </c>
      <c r="C3573" s="13" t="inlineStr">
        <is>
          <t>B3</t>
        </is>
      </c>
      <c r="D3573" s="13" t="n">
        <v>0</v>
      </c>
      <c r="E3573" s="13" t="inlineStr">
        <is>
          <t>W</t>
        </is>
      </c>
      <c r="F3573" s="13" t="n">
        <v>2021</v>
      </c>
      <c r="G3573" s="14" t="n">
        <v>7805600.941641086</v>
      </c>
      <c r="H3573" s="14" t="n">
        <v>3215875.093873178</v>
      </c>
      <c r="I3573" s="14" t="n">
        <v>121181.1954274196</v>
      </c>
      <c r="J3573" s="14" t="n">
        <v>0</v>
      </c>
      <c r="K3573" s="14" t="n">
        <v>315366.3280164531</v>
      </c>
      <c r="L3573" s="14" t="n">
        <v>4153178.324324036</v>
      </c>
      <c r="M3573" s="14" t="n">
        <v>0</v>
      </c>
      <c r="N3573" s="14" t="n">
        <v>3273488.985033671</v>
      </c>
      <c r="O3573" s="14" t="n">
        <v>3624521.605436228</v>
      </c>
      <c r="P3573" s="14" t="n">
        <v>140208.0234540453</v>
      </c>
      <c r="Q3573" s="14" t="n">
        <v>31267229.93578354</v>
      </c>
      <c r="R3573" s="15">
        <f>IF(D3573=1,"Section 1","Control")</f>
        <v/>
      </c>
      <c r="S3573" s="16">
        <f>N3573/10000</f>
        <v/>
      </c>
      <c r="T3573" s="16">
        <f>P3573/10000</f>
        <v/>
      </c>
      <c r="U3573" s="15">
        <f>IF(N3573&gt;=Summary!$D$3,1,0)</f>
        <v/>
      </c>
      <c r="V3573" s="17">
        <f>IF(N3573&gt;0,P3573/N3573,"")</f>
        <v/>
      </c>
      <c r="W3573" s="17">
        <f>IF(O3573&gt;0,H3573/O3573,"")</f>
        <v/>
      </c>
    </row>
    <row r="3574">
      <c r="A3574" s="13" t="inlineStr">
        <is>
          <t>CW37_B3</t>
        </is>
      </c>
      <c r="B3574" s="13" t="inlineStr">
        <is>
          <t>CW37</t>
        </is>
      </c>
      <c r="C3574" s="13" t="inlineStr">
        <is>
          <t>B3</t>
        </is>
      </c>
      <c r="D3574" s="13" t="n">
        <v>0</v>
      </c>
      <c r="E3574" s="13" t="inlineStr">
        <is>
          <t>W</t>
        </is>
      </c>
      <c r="F3574" s="13" t="n">
        <v>2022</v>
      </c>
      <c r="G3574" s="14" t="n">
        <v>7805600.941641086</v>
      </c>
      <c r="H3574" s="14" t="n">
        <v>3118653.186723178</v>
      </c>
      <c r="I3574" s="14" t="n">
        <v>276239.8553810868</v>
      </c>
      <c r="J3574" s="14" t="n">
        <v>0</v>
      </c>
      <c r="K3574" s="14" t="n">
        <v>256208.5872184304</v>
      </c>
      <c r="L3574" s="14" t="n">
        <v>4154499.312318391</v>
      </c>
      <c r="M3574" s="14" t="n">
        <v>0</v>
      </c>
      <c r="N3574" s="14" t="n">
        <v>3273488.985033671</v>
      </c>
      <c r="O3574" s="14" t="n">
        <v>3624521.605436228</v>
      </c>
      <c r="P3574" s="14" t="n">
        <v>195177.5063924154</v>
      </c>
      <c r="Q3574" s="14" t="n">
        <v>31267229.93578354</v>
      </c>
      <c r="R3574" s="15">
        <f>IF(D3574=1,"Section 1","Control")</f>
        <v/>
      </c>
      <c r="S3574" s="16">
        <f>N3574/10000</f>
        <v/>
      </c>
      <c r="T3574" s="16">
        <f>P3574/10000</f>
        <v/>
      </c>
      <c r="U3574" s="15">
        <f>IF(N3574&gt;=Summary!$D$3,1,0)</f>
        <v/>
      </c>
      <c r="V3574" s="17">
        <f>IF(N3574&gt;0,P3574/N3574,"")</f>
        <v/>
      </c>
      <c r="W3574" s="17">
        <f>IF(O3574&gt;0,H3574/O3574,"")</f>
        <v/>
      </c>
    </row>
    <row r="3575">
      <c r="A3575" s="13" t="inlineStr">
        <is>
          <t>CW37_B3</t>
        </is>
      </c>
      <c r="B3575" s="13" t="inlineStr">
        <is>
          <t>CW37</t>
        </is>
      </c>
      <c r="C3575" s="13" t="inlineStr">
        <is>
          <t>B3</t>
        </is>
      </c>
      <c r="D3575" s="13" t="n">
        <v>0</v>
      </c>
      <c r="E3575" s="13" t="inlineStr">
        <is>
          <t>W</t>
        </is>
      </c>
      <c r="F3575" s="13" t="n">
        <v>2023</v>
      </c>
      <c r="G3575" s="14" t="n">
        <v>7805600.941641086</v>
      </c>
      <c r="H3575" s="14" t="n">
        <v>3190253.60877874</v>
      </c>
      <c r="I3575" s="14" t="n">
        <v>218059.8486955232</v>
      </c>
      <c r="J3575" s="14" t="n">
        <v>0</v>
      </c>
      <c r="K3575" s="14" t="n">
        <v>215654.8996547624</v>
      </c>
      <c r="L3575" s="14" t="n">
        <v>4181632.58451206</v>
      </c>
      <c r="M3575" s="14" t="n">
        <v>0</v>
      </c>
      <c r="N3575" s="14" t="n">
        <v>3273488.985033671</v>
      </c>
      <c r="O3575" s="14" t="n">
        <v>3624521.605436228</v>
      </c>
      <c r="P3575" s="14" t="n">
        <v>172420.4305967742</v>
      </c>
      <c r="Q3575" s="14" t="n">
        <v>31267229.93578354</v>
      </c>
      <c r="R3575" s="15">
        <f>IF(D3575=1,"Section 1","Control")</f>
        <v/>
      </c>
      <c r="S3575" s="16">
        <f>N3575/10000</f>
        <v/>
      </c>
      <c r="T3575" s="16">
        <f>P3575/10000</f>
        <v/>
      </c>
      <c r="U3575" s="15">
        <f>IF(N3575&gt;=Summary!$D$3,1,0)</f>
        <v/>
      </c>
      <c r="V3575" s="17">
        <f>IF(N3575&gt;0,P3575/N3575,"")</f>
        <v/>
      </c>
      <c r="W3575" s="17">
        <f>IF(O3575&gt;0,H3575/O3575,"")</f>
        <v/>
      </c>
    </row>
    <row r="3576">
      <c r="A3576" s="13" t="inlineStr">
        <is>
          <t>CW37_B3</t>
        </is>
      </c>
      <c r="B3576" s="13" t="inlineStr">
        <is>
          <t>CW37</t>
        </is>
      </c>
      <c r="C3576" s="13" t="inlineStr">
        <is>
          <t>B3</t>
        </is>
      </c>
      <c r="D3576" s="13" t="n">
        <v>0</v>
      </c>
      <c r="E3576" s="13" t="inlineStr">
        <is>
          <t>W</t>
        </is>
      </c>
      <c r="F3576" s="13" t="n">
        <v>2024</v>
      </c>
      <c r="G3576" s="14" t="n">
        <v>7805600.941641086</v>
      </c>
      <c r="H3576" s="14" t="n">
        <v>3209646.62219693</v>
      </c>
      <c r="I3576" s="14" t="n">
        <v>171316.6519174015</v>
      </c>
      <c r="J3576" s="14" t="n">
        <v>0</v>
      </c>
      <c r="K3576" s="14" t="n">
        <v>263616.6547247494</v>
      </c>
      <c r="L3576" s="14" t="n">
        <v>4161021.012802005</v>
      </c>
      <c r="M3576" s="14" t="n">
        <v>0</v>
      </c>
      <c r="N3576" s="14" t="n">
        <v>3273488.985033671</v>
      </c>
      <c r="O3576" s="14" t="n">
        <v>3624521.605436228</v>
      </c>
      <c r="P3576" s="14" t="n">
        <v>162555.8548523548</v>
      </c>
      <c r="Q3576" s="14" t="n">
        <v>31267229.93578354</v>
      </c>
      <c r="R3576" s="15">
        <f>IF(D3576=1,"Section 1","Control")</f>
        <v/>
      </c>
      <c r="S3576" s="16">
        <f>N3576/10000</f>
        <v/>
      </c>
      <c r="T3576" s="16">
        <f>P3576/10000</f>
        <v/>
      </c>
      <c r="U3576" s="15">
        <f>IF(N3576&gt;=Summary!$D$3,1,0)</f>
        <v/>
      </c>
      <c r="V3576" s="17">
        <f>IF(N3576&gt;0,P3576/N3576,"")</f>
        <v/>
      </c>
      <c r="W3576" s="17">
        <f>IF(O3576&gt;0,H3576/O3576,"")</f>
        <v/>
      </c>
    </row>
    <row r="3577">
      <c r="A3577" s="13" t="inlineStr">
        <is>
          <t>CW37_B3</t>
        </is>
      </c>
      <c r="B3577" s="13" t="inlineStr">
        <is>
          <t>CW37</t>
        </is>
      </c>
      <c r="C3577" s="13" t="inlineStr">
        <is>
          <t>B3</t>
        </is>
      </c>
      <c r="D3577" s="13" t="n">
        <v>0</v>
      </c>
      <c r="E3577" s="13" t="inlineStr">
        <is>
          <t>W</t>
        </is>
      </c>
      <c r="F3577" s="13" t="n">
        <v>2025</v>
      </c>
      <c r="G3577" s="14" t="n">
        <v>7805600.941641086</v>
      </c>
      <c r="H3577" s="14" t="n">
        <v>3166902.338375196</v>
      </c>
      <c r="I3577" s="14" t="n">
        <v>241134.9051881977</v>
      </c>
      <c r="J3577" s="14" t="n">
        <v>0</v>
      </c>
      <c r="K3577" s="14" t="n">
        <v>217410.8325312895</v>
      </c>
      <c r="L3577" s="14" t="n">
        <v>4180152.865546403</v>
      </c>
      <c r="M3577" s="14" t="n">
        <v>0</v>
      </c>
      <c r="N3577" s="14" t="n">
        <v>3273488.985033671</v>
      </c>
      <c r="O3577" s="14" t="n">
        <v>3624521.605436228</v>
      </c>
      <c r="P3577" s="14" t="n">
        <v>195644.6588241577</v>
      </c>
      <c r="Q3577" s="14" t="n">
        <v>31267229.93578354</v>
      </c>
      <c r="R3577" s="15">
        <f>IF(D3577=1,"Section 1","Control")</f>
        <v/>
      </c>
      <c r="S3577" s="16">
        <f>N3577/10000</f>
        <v/>
      </c>
      <c r="T3577" s="16">
        <f>P3577/10000</f>
        <v/>
      </c>
      <c r="U3577" s="15">
        <f>IF(N3577&gt;=Summary!$D$3,1,0)</f>
        <v/>
      </c>
      <c r="V3577" s="17">
        <f>IF(N3577&gt;0,P3577/N3577,"")</f>
        <v/>
      </c>
      <c r="W3577" s="17">
        <f>IF(O3577&gt;0,H3577/O3577,"")</f>
        <v/>
      </c>
    </row>
    <row r="3578">
      <c r="A3578" s="13" t="inlineStr">
        <is>
          <t>CW37_B3</t>
        </is>
      </c>
      <c r="B3578" s="13" t="inlineStr">
        <is>
          <t>CW37</t>
        </is>
      </c>
      <c r="C3578" s="13" t="inlineStr">
        <is>
          <t>B3</t>
        </is>
      </c>
      <c r="D3578" s="13" t="n">
        <v>0</v>
      </c>
      <c r="E3578" s="13" t="inlineStr">
        <is>
          <t>W</t>
        </is>
      </c>
      <c r="F3578" s="13" t="n">
        <v>2026</v>
      </c>
      <c r="G3578" s="14" t="n">
        <v>7805600.941641086</v>
      </c>
      <c r="H3578" s="14" t="n">
        <v>3191906.144274544</v>
      </c>
      <c r="I3578" s="14" t="n">
        <v>162784.459856729</v>
      </c>
      <c r="J3578" s="14" t="n">
        <v>0</v>
      </c>
      <c r="K3578" s="14" t="n">
        <v>271645.9993987139</v>
      </c>
      <c r="L3578" s="14" t="n">
        <v>4179264.3381111</v>
      </c>
      <c r="M3578" s="14" t="n">
        <v>0</v>
      </c>
      <c r="N3578" s="14" t="n">
        <v>3273488.985033671</v>
      </c>
      <c r="O3578" s="14" t="n">
        <v>3624521.605436228</v>
      </c>
      <c r="P3578" s="14" t="n">
        <v>184954.883887736</v>
      </c>
      <c r="Q3578" s="14" t="n">
        <v>31267229.93578354</v>
      </c>
      <c r="R3578" s="15">
        <f>IF(D3578=1,"Section 1","Control")</f>
        <v/>
      </c>
      <c r="S3578" s="16">
        <f>N3578/10000</f>
        <v/>
      </c>
      <c r="T3578" s="16">
        <f>P3578/10000</f>
        <v/>
      </c>
      <c r="U3578" s="15">
        <f>IF(N3578&gt;=Summary!$D$3,1,0)</f>
        <v/>
      </c>
      <c r="V3578" s="17">
        <f>IF(N3578&gt;0,P3578/N3578,"")</f>
        <v/>
      </c>
      <c r="W3578" s="17">
        <f>IF(O3578&gt;0,H3578/O3578,"")</f>
        <v/>
      </c>
    </row>
    <row r="3579">
      <c r="A3579" s="13" t="inlineStr">
        <is>
          <t>CW37_F</t>
        </is>
      </c>
      <c r="B3579" s="13" t="inlineStr">
        <is>
          <t>CW37</t>
        </is>
      </c>
      <c r="C3579" s="13" t="inlineStr">
        <is>
          <t>F</t>
        </is>
      </c>
      <c r="D3579" s="13" t="n">
        <v>0</v>
      </c>
      <c r="E3579" s="13" t="inlineStr">
        <is>
          <t>W</t>
        </is>
      </c>
      <c r="F3579" s="13" t="n">
        <v>2020</v>
      </c>
      <c r="G3579" s="14" t="n">
        <v>67592.9413030587</v>
      </c>
      <c r="H3579" s="14" t="n">
        <v>0</v>
      </c>
      <c r="I3579" s="14" t="n">
        <v>0</v>
      </c>
      <c r="J3579" s="14" t="n">
        <v>0</v>
      </c>
      <c r="K3579" s="14" t="n">
        <v>67000.57428340538</v>
      </c>
      <c r="L3579" s="14" t="n">
        <v>592.3670196533203</v>
      </c>
      <c r="M3579" s="14" t="n">
        <v>0</v>
      </c>
      <c r="N3579" s="14" t="n">
        <v>0</v>
      </c>
      <c r="O3579" s="14" t="n">
        <v>67000.57428340538</v>
      </c>
      <c r="P3579" s="14" t="n">
        <v>0</v>
      </c>
      <c r="Q3579" s="14" t="n">
        <v>722106.5440582874</v>
      </c>
      <c r="R3579" s="15">
        <f>IF(D3579=1,"Section 1","Control")</f>
        <v/>
      </c>
      <c r="S3579" s="16">
        <f>N3579/10000</f>
        <v/>
      </c>
      <c r="T3579" s="16">
        <f>P3579/10000</f>
        <v/>
      </c>
      <c r="U3579" s="15">
        <f>IF(N3579&gt;=Summary!$D$3,1,0)</f>
        <v/>
      </c>
      <c r="V3579" s="17">
        <f>IF(N3579&gt;0,P3579/N3579,"")</f>
        <v/>
      </c>
      <c r="W3579" s="17">
        <f>IF(O3579&gt;0,H3579/O3579,"")</f>
        <v/>
      </c>
    </row>
    <row r="3580">
      <c r="A3580" s="13" t="inlineStr">
        <is>
          <t>CW37_F</t>
        </is>
      </c>
      <c r="B3580" s="13" t="inlineStr">
        <is>
          <t>CW37</t>
        </is>
      </c>
      <c r="C3580" s="13" t="inlineStr">
        <is>
          <t>F</t>
        </is>
      </c>
      <c r="D3580" s="13" t="n">
        <v>0</v>
      </c>
      <c r="E3580" s="13" t="inlineStr">
        <is>
          <t>W</t>
        </is>
      </c>
      <c r="F3580" s="13" t="n">
        <v>2021</v>
      </c>
      <c r="G3580" s="14" t="n">
        <v>67592.9413030587</v>
      </c>
      <c r="H3580" s="14" t="n">
        <v>0</v>
      </c>
      <c r="I3580" s="14" t="n">
        <v>0</v>
      </c>
      <c r="J3580" s="14" t="n">
        <v>0</v>
      </c>
      <c r="K3580" s="14" t="n">
        <v>67592.9413030587</v>
      </c>
      <c r="L3580" s="14" t="n">
        <v>0</v>
      </c>
      <c r="M3580" s="14" t="n">
        <v>0</v>
      </c>
      <c r="N3580" s="14" t="n">
        <v>0</v>
      </c>
      <c r="O3580" s="14" t="n">
        <v>67000.57428340538</v>
      </c>
      <c r="P3580" s="14" t="n">
        <v>0</v>
      </c>
      <c r="Q3580" s="14" t="n">
        <v>722106.5440582874</v>
      </c>
      <c r="R3580" s="15">
        <f>IF(D3580=1,"Section 1","Control")</f>
        <v/>
      </c>
      <c r="S3580" s="16">
        <f>N3580/10000</f>
        <v/>
      </c>
      <c r="T3580" s="16">
        <f>P3580/10000</f>
        <v/>
      </c>
      <c r="U3580" s="15">
        <f>IF(N3580&gt;=Summary!$D$3,1,0)</f>
        <v/>
      </c>
      <c r="V3580" s="17">
        <f>IF(N3580&gt;0,P3580/N3580,"")</f>
        <v/>
      </c>
      <c r="W3580" s="17">
        <f>IF(O3580&gt;0,H3580/O3580,"")</f>
        <v/>
      </c>
    </row>
    <row r="3581">
      <c r="A3581" s="13" t="inlineStr">
        <is>
          <t>CW37_F</t>
        </is>
      </c>
      <c r="B3581" s="13" t="inlineStr">
        <is>
          <t>CW37</t>
        </is>
      </c>
      <c r="C3581" s="13" t="inlineStr">
        <is>
          <t>F</t>
        </is>
      </c>
      <c r="D3581" s="13" t="n">
        <v>0</v>
      </c>
      <c r="E3581" s="13" t="inlineStr">
        <is>
          <t>W</t>
        </is>
      </c>
      <c r="F3581" s="13" t="n">
        <v>2022</v>
      </c>
      <c r="G3581" s="14" t="n">
        <v>67592.9413030587</v>
      </c>
      <c r="H3581" s="14" t="n">
        <v>0</v>
      </c>
      <c r="I3581" s="14" t="n">
        <v>2671.845430321787</v>
      </c>
      <c r="J3581" s="14" t="n">
        <v>0</v>
      </c>
      <c r="K3581" s="14" t="n">
        <v>64921.0958727369</v>
      </c>
      <c r="L3581" s="14" t="n">
        <v>0</v>
      </c>
      <c r="M3581" s="14" t="n">
        <v>0</v>
      </c>
      <c r="N3581" s="14" t="n">
        <v>0</v>
      </c>
      <c r="O3581" s="14" t="n">
        <v>67000.57428340538</v>
      </c>
      <c r="P3581" s="14" t="n">
        <v>0</v>
      </c>
      <c r="Q3581" s="14" t="n">
        <v>722106.5440582874</v>
      </c>
      <c r="R3581" s="15">
        <f>IF(D3581=1,"Section 1","Control")</f>
        <v/>
      </c>
      <c r="S3581" s="16">
        <f>N3581/10000</f>
        <v/>
      </c>
      <c r="T3581" s="16">
        <f>P3581/10000</f>
        <v/>
      </c>
      <c r="U3581" s="15">
        <f>IF(N3581&gt;=Summary!$D$3,1,0)</f>
        <v/>
      </c>
      <c r="V3581" s="17">
        <f>IF(N3581&gt;0,P3581/N3581,"")</f>
        <v/>
      </c>
      <c r="W3581" s="17">
        <f>IF(O3581&gt;0,H3581/O3581,"")</f>
        <v/>
      </c>
    </row>
    <row r="3582">
      <c r="A3582" s="13" t="inlineStr">
        <is>
          <t>CW37_F</t>
        </is>
      </c>
      <c r="B3582" s="13" t="inlineStr">
        <is>
          <t>CW37</t>
        </is>
      </c>
      <c r="C3582" s="13" t="inlineStr">
        <is>
          <t>F</t>
        </is>
      </c>
      <c r="D3582" s="13" t="n">
        <v>0</v>
      </c>
      <c r="E3582" s="13" t="inlineStr">
        <is>
          <t>W</t>
        </is>
      </c>
      <c r="F3582" s="13" t="n">
        <v>2023</v>
      </c>
      <c r="G3582" s="14" t="n">
        <v>67592.9413030587</v>
      </c>
      <c r="H3582" s="14" t="n">
        <v>0</v>
      </c>
      <c r="I3582" s="14" t="n">
        <v>0</v>
      </c>
      <c r="J3582" s="14" t="n">
        <v>0</v>
      </c>
      <c r="K3582" s="14" t="n">
        <v>67592.9413030587</v>
      </c>
      <c r="L3582" s="14" t="n">
        <v>0</v>
      </c>
      <c r="M3582" s="14" t="n">
        <v>0</v>
      </c>
      <c r="N3582" s="14" t="n">
        <v>0</v>
      </c>
      <c r="O3582" s="14" t="n">
        <v>67000.57428340538</v>
      </c>
      <c r="P3582" s="14" t="n">
        <v>0</v>
      </c>
      <c r="Q3582" s="14" t="n">
        <v>722106.5440582874</v>
      </c>
      <c r="R3582" s="15">
        <f>IF(D3582=1,"Section 1","Control")</f>
        <v/>
      </c>
      <c r="S3582" s="16">
        <f>N3582/10000</f>
        <v/>
      </c>
      <c r="T3582" s="16">
        <f>P3582/10000</f>
        <v/>
      </c>
      <c r="U3582" s="15">
        <f>IF(N3582&gt;=Summary!$D$3,1,0)</f>
        <v/>
      </c>
      <c r="V3582" s="17">
        <f>IF(N3582&gt;0,P3582/N3582,"")</f>
        <v/>
      </c>
      <c r="W3582" s="17">
        <f>IF(O3582&gt;0,H3582/O3582,"")</f>
        <v/>
      </c>
    </row>
    <row r="3583">
      <c r="A3583" s="13" t="inlineStr">
        <is>
          <t>CW37_F</t>
        </is>
      </c>
      <c r="B3583" s="13" t="inlineStr">
        <is>
          <t>CW37</t>
        </is>
      </c>
      <c r="C3583" s="13" t="inlineStr">
        <is>
          <t>F</t>
        </is>
      </c>
      <c r="D3583" s="13" t="n">
        <v>0</v>
      </c>
      <c r="E3583" s="13" t="inlineStr">
        <is>
          <t>W</t>
        </is>
      </c>
      <c r="F3583" s="13" t="n">
        <v>2024</v>
      </c>
      <c r="G3583" s="14" t="n">
        <v>67592.9413030587</v>
      </c>
      <c r="H3583" s="14" t="n">
        <v>0</v>
      </c>
      <c r="I3583" s="14" t="n">
        <v>4721.901322099273</v>
      </c>
      <c r="J3583" s="14" t="n">
        <v>0</v>
      </c>
      <c r="K3583" s="14" t="n">
        <v>62871.03998095942</v>
      </c>
      <c r="L3583" s="14" t="n">
        <v>0</v>
      </c>
      <c r="M3583" s="14" t="n">
        <v>0</v>
      </c>
      <c r="N3583" s="14" t="n">
        <v>0</v>
      </c>
      <c r="O3583" s="14" t="n">
        <v>67000.57428340538</v>
      </c>
      <c r="P3583" s="14" t="n">
        <v>0</v>
      </c>
      <c r="Q3583" s="14" t="n">
        <v>722106.5440582874</v>
      </c>
      <c r="R3583" s="15">
        <f>IF(D3583=1,"Section 1","Control")</f>
        <v/>
      </c>
      <c r="S3583" s="16">
        <f>N3583/10000</f>
        <v/>
      </c>
      <c r="T3583" s="16">
        <f>P3583/10000</f>
        <v/>
      </c>
      <c r="U3583" s="15">
        <f>IF(N3583&gt;=Summary!$D$3,1,0)</f>
        <v/>
      </c>
      <c r="V3583" s="17">
        <f>IF(N3583&gt;0,P3583/N3583,"")</f>
        <v/>
      </c>
      <c r="W3583" s="17">
        <f>IF(O3583&gt;0,H3583/O3583,"")</f>
        <v/>
      </c>
    </row>
    <row r="3584">
      <c r="A3584" s="13" t="inlineStr">
        <is>
          <t>CW37_F</t>
        </is>
      </c>
      <c r="B3584" s="13" t="inlineStr">
        <is>
          <t>CW37</t>
        </is>
      </c>
      <c r="C3584" s="13" t="inlineStr">
        <is>
          <t>F</t>
        </is>
      </c>
      <c r="D3584" s="13" t="n">
        <v>0</v>
      </c>
      <c r="E3584" s="13" t="inlineStr">
        <is>
          <t>W</t>
        </is>
      </c>
      <c r="F3584" s="13" t="n">
        <v>2025</v>
      </c>
      <c r="G3584" s="14" t="n">
        <v>67592.9413030587</v>
      </c>
      <c r="H3584" s="14" t="n">
        <v>0</v>
      </c>
      <c r="I3584" s="14" t="n">
        <v>4391.647375727635</v>
      </c>
      <c r="J3584" s="14" t="n">
        <v>0</v>
      </c>
      <c r="K3584" s="14" t="n">
        <v>63102.56612886916</v>
      </c>
      <c r="L3584" s="14" t="n">
        <v>98.72779846191406</v>
      </c>
      <c r="M3584" s="14" t="n">
        <v>0</v>
      </c>
      <c r="N3584" s="14" t="n">
        <v>0</v>
      </c>
      <c r="O3584" s="14" t="n">
        <v>67000.57428340538</v>
      </c>
      <c r="P3584" s="14" t="n">
        <v>0</v>
      </c>
      <c r="Q3584" s="14" t="n">
        <v>722106.5440582874</v>
      </c>
      <c r="R3584" s="15">
        <f>IF(D3584=1,"Section 1","Control")</f>
        <v/>
      </c>
      <c r="S3584" s="16">
        <f>N3584/10000</f>
        <v/>
      </c>
      <c r="T3584" s="16">
        <f>P3584/10000</f>
        <v/>
      </c>
      <c r="U3584" s="15">
        <f>IF(N3584&gt;=Summary!$D$3,1,0)</f>
        <v/>
      </c>
      <c r="V3584" s="17">
        <f>IF(N3584&gt;0,P3584/N3584,"")</f>
        <v/>
      </c>
      <c r="W3584" s="17">
        <f>IF(O3584&gt;0,H3584/O3584,"")</f>
        <v/>
      </c>
    </row>
    <row r="3585">
      <c r="A3585" s="13" t="inlineStr">
        <is>
          <t>CW37_F</t>
        </is>
      </c>
      <c r="B3585" s="13" t="inlineStr">
        <is>
          <t>CW37</t>
        </is>
      </c>
      <c r="C3585" s="13" t="inlineStr">
        <is>
          <t>F</t>
        </is>
      </c>
      <c r="D3585" s="13" t="n">
        <v>0</v>
      </c>
      <c r="E3585" s="13" t="inlineStr">
        <is>
          <t>W</t>
        </is>
      </c>
      <c r="F3585" s="13" t="n">
        <v>2026</v>
      </c>
      <c r="G3585" s="14" t="n">
        <v>67592.9413030587</v>
      </c>
      <c r="H3585" s="14" t="n">
        <v>0</v>
      </c>
      <c r="I3585" s="14" t="n">
        <v>10652.92950577082</v>
      </c>
      <c r="J3585" s="14" t="n">
        <v>0</v>
      </c>
      <c r="K3585" s="14" t="n">
        <v>56940.01179728788</v>
      </c>
      <c r="L3585" s="14" t="n">
        <v>0</v>
      </c>
      <c r="M3585" s="14" t="n">
        <v>0</v>
      </c>
      <c r="N3585" s="14" t="n">
        <v>0</v>
      </c>
      <c r="O3585" s="14" t="n">
        <v>67000.57428340538</v>
      </c>
      <c r="P3585" s="14" t="n">
        <v>0</v>
      </c>
      <c r="Q3585" s="14" t="n">
        <v>722106.5440582874</v>
      </c>
      <c r="R3585" s="15">
        <f>IF(D3585=1,"Section 1","Control")</f>
        <v/>
      </c>
      <c r="S3585" s="16">
        <f>N3585/10000</f>
        <v/>
      </c>
      <c r="T3585" s="16">
        <f>P3585/10000</f>
        <v/>
      </c>
      <c r="U3585" s="15">
        <f>IF(N3585&gt;=Summary!$D$3,1,0)</f>
        <v/>
      </c>
      <c r="V3585" s="17">
        <f>IF(N3585&gt;0,P3585/N3585,"")</f>
        <v/>
      </c>
      <c r="W3585" s="17">
        <f>IF(O3585&gt;0,H3585/O3585,"")</f>
        <v/>
      </c>
    </row>
    <row r="3586">
      <c r="A3586" s="13" t="inlineStr">
        <is>
          <t>CW38_B1</t>
        </is>
      </c>
      <c r="B3586" s="13" t="inlineStr">
        <is>
          <t>CW38</t>
        </is>
      </c>
      <c r="C3586" s="13" t="inlineStr">
        <is>
          <t>B1</t>
        </is>
      </c>
      <c r="D3586" s="13" t="n">
        <v>0</v>
      </c>
      <c r="E3586" s="13" t="inlineStr">
        <is>
          <t>W</t>
        </is>
      </c>
      <c r="F3586" s="13" t="n">
        <v>2020</v>
      </c>
      <c r="G3586" s="14" t="n">
        <v>1025786.559862683</v>
      </c>
      <c r="H3586" s="14" t="n">
        <v>145124.6766385845</v>
      </c>
      <c r="I3586" s="14" t="n">
        <v>205440.3981113808</v>
      </c>
      <c r="J3586" s="14" t="n">
        <v>0</v>
      </c>
      <c r="K3586" s="14" t="n">
        <v>440458.3182585473</v>
      </c>
      <c r="L3586" s="14" t="n">
        <v>234763.1668541703</v>
      </c>
      <c r="M3586" s="14" t="n">
        <v>0</v>
      </c>
      <c r="N3586" s="14" t="n">
        <v>145124.6766385845</v>
      </c>
      <c r="O3586" s="14" t="n">
        <v>791023.3930085127</v>
      </c>
      <c r="P3586" s="14" t="n">
        <v>0</v>
      </c>
      <c r="Q3586" s="14" t="n">
        <v>7238774.628473138</v>
      </c>
      <c r="R3586" s="15">
        <f>IF(D3586=1,"Section 1","Control")</f>
        <v/>
      </c>
      <c r="S3586" s="16">
        <f>N3586/10000</f>
        <v/>
      </c>
      <c r="T3586" s="16">
        <f>P3586/10000</f>
        <v/>
      </c>
      <c r="U3586" s="15">
        <f>IF(N3586&gt;=Summary!$D$3,1,0)</f>
        <v/>
      </c>
      <c r="V3586" s="17">
        <f>IF(N3586&gt;0,P3586/N3586,"")</f>
        <v/>
      </c>
      <c r="W3586" s="17">
        <f>IF(O3586&gt;0,H3586/O3586,"")</f>
        <v/>
      </c>
    </row>
    <row r="3587">
      <c r="A3587" s="13" t="inlineStr">
        <is>
          <t>CW38_B1</t>
        </is>
      </c>
      <c r="B3587" s="13" t="inlineStr">
        <is>
          <t>CW38</t>
        </is>
      </c>
      <c r="C3587" s="13" t="inlineStr">
        <is>
          <t>B1</t>
        </is>
      </c>
      <c r="D3587" s="13" t="n">
        <v>0</v>
      </c>
      <c r="E3587" s="13" t="inlineStr">
        <is>
          <t>W</t>
        </is>
      </c>
      <c r="F3587" s="13" t="n">
        <v>2021</v>
      </c>
      <c r="G3587" s="14" t="n">
        <v>1025786.559862683</v>
      </c>
      <c r="H3587" s="14" t="n">
        <v>128664.6241020053</v>
      </c>
      <c r="I3587" s="14" t="n">
        <v>218189.5357202866</v>
      </c>
      <c r="J3587" s="14" t="n">
        <v>0</v>
      </c>
      <c r="K3587" s="14" t="n">
        <v>455488.1479490093</v>
      </c>
      <c r="L3587" s="14" t="n">
        <v>223444.2520913816</v>
      </c>
      <c r="M3587" s="14" t="n">
        <v>0</v>
      </c>
      <c r="N3587" s="14" t="n">
        <v>145124.6766385845</v>
      </c>
      <c r="O3587" s="14" t="n">
        <v>791023.3930085127</v>
      </c>
      <c r="P3587" s="14" t="n">
        <v>30516.08275481579</v>
      </c>
      <c r="Q3587" s="14" t="n">
        <v>7238774.628473138</v>
      </c>
      <c r="R3587" s="15">
        <f>IF(D3587=1,"Section 1","Control")</f>
        <v/>
      </c>
      <c r="S3587" s="16">
        <f>N3587/10000</f>
        <v/>
      </c>
      <c r="T3587" s="16">
        <f>P3587/10000</f>
        <v/>
      </c>
      <c r="U3587" s="15">
        <f>IF(N3587&gt;=Summary!$D$3,1,0)</f>
        <v/>
      </c>
      <c r="V3587" s="17">
        <f>IF(N3587&gt;0,P3587/N3587,"")</f>
        <v/>
      </c>
      <c r="W3587" s="17">
        <f>IF(O3587&gt;0,H3587/O3587,"")</f>
        <v/>
      </c>
    </row>
    <row r="3588">
      <c r="A3588" s="13" t="inlineStr">
        <is>
          <t>CW38_B1</t>
        </is>
      </c>
      <c r="B3588" s="13" t="inlineStr">
        <is>
          <t>CW38</t>
        </is>
      </c>
      <c r="C3588" s="13" t="inlineStr">
        <is>
          <t>B1</t>
        </is>
      </c>
      <c r="D3588" s="13" t="n">
        <v>0</v>
      </c>
      <c r="E3588" s="13" t="inlineStr">
        <is>
          <t>W</t>
        </is>
      </c>
      <c r="F3588" s="13" t="n">
        <v>2022</v>
      </c>
      <c r="G3588" s="14" t="n">
        <v>1025786.559862683</v>
      </c>
      <c r="H3588" s="14" t="n">
        <v>115269.1026700188</v>
      </c>
      <c r="I3588" s="14" t="n">
        <v>258331.7044261558</v>
      </c>
      <c r="J3588" s="14" t="n">
        <v>0</v>
      </c>
      <c r="K3588" s="14" t="n">
        <v>431649.1368064433</v>
      </c>
      <c r="L3588" s="14" t="n">
        <v>220536.615960065</v>
      </c>
      <c r="M3588" s="14" t="n">
        <v>0</v>
      </c>
      <c r="N3588" s="14" t="n">
        <v>145124.6766385845</v>
      </c>
      <c r="O3588" s="14" t="n">
        <v>791023.3930085127</v>
      </c>
      <c r="P3588" s="14" t="n">
        <v>41751.61571721094</v>
      </c>
      <c r="Q3588" s="14" t="n">
        <v>7238774.628473138</v>
      </c>
      <c r="R3588" s="15">
        <f>IF(D3588=1,"Section 1","Control")</f>
        <v/>
      </c>
      <c r="S3588" s="16">
        <f>N3588/10000</f>
        <v/>
      </c>
      <c r="T3588" s="16">
        <f>P3588/10000</f>
        <v/>
      </c>
      <c r="U3588" s="15">
        <f>IF(N3588&gt;=Summary!$D$3,1,0)</f>
        <v/>
      </c>
      <c r="V3588" s="17">
        <f>IF(N3588&gt;0,P3588/N3588,"")</f>
        <v/>
      </c>
      <c r="W3588" s="17">
        <f>IF(O3588&gt;0,H3588/O3588,"")</f>
        <v/>
      </c>
    </row>
    <row r="3589">
      <c r="A3589" s="13" t="inlineStr">
        <is>
          <t>CW38_B1</t>
        </is>
      </c>
      <c r="B3589" s="13" t="inlineStr">
        <is>
          <t>CW38</t>
        </is>
      </c>
      <c r="C3589" s="13" t="inlineStr">
        <is>
          <t>B1</t>
        </is>
      </c>
      <c r="D3589" s="13" t="n">
        <v>0</v>
      </c>
      <c r="E3589" s="13" t="inlineStr">
        <is>
          <t>W</t>
        </is>
      </c>
      <c r="F3589" s="13" t="n">
        <v>2023</v>
      </c>
      <c r="G3589" s="14" t="n">
        <v>1025786.559862683</v>
      </c>
      <c r="H3589" s="14" t="n">
        <v>124784.4720170264</v>
      </c>
      <c r="I3589" s="14" t="n">
        <v>200994.2654852475</v>
      </c>
      <c r="J3589" s="14" t="n">
        <v>0</v>
      </c>
      <c r="K3589" s="14" t="n">
        <v>463460.6068494011</v>
      </c>
      <c r="L3589" s="14" t="n">
        <v>236547.2155110078</v>
      </c>
      <c r="M3589" s="14" t="n">
        <v>0</v>
      </c>
      <c r="N3589" s="14" t="n">
        <v>145124.6766385845</v>
      </c>
      <c r="O3589" s="14" t="n">
        <v>791023.3930085127</v>
      </c>
      <c r="P3589" s="14" t="n">
        <v>39196.70777677646</v>
      </c>
      <c r="Q3589" s="14" t="n">
        <v>7238774.628473138</v>
      </c>
      <c r="R3589" s="15">
        <f>IF(D3589=1,"Section 1","Control")</f>
        <v/>
      </c>
      <c r="S3589" s="16">
        <f>N3589/10000</f>
        <v/>
      </c>
      <c r="T3589" s="16">
        <f>P3589/10000</f>
        <v/>
      </c>
      <c r="U3589" s="15">
        <f>IF(N3589&gt;=Summary!$D$3,1,0)</f>
        <v/>
      </c>
      <c r="V3589" s="17">
        <f>IF(N3589&gt;0,P3589/N3589,"")</f>
        <v/>
      </c>
      <c r="W3589" s="17">
        <f>IF(O3589&gt;0,H3589/O3589,"")</f>
        <v/>
      </c>
    </row>
    <row r="3590">
      <c r="A3590" s="13" t="inlineStr">
        <is>
          <t>CW38_B1</t>
        </is>
      </c>
      <c r="B3590" s="13" t="inlineStr">
        <is>
          <t>CW38</t>
        </is>
      </c>
      <c r="C3590" s="13" t="inlineStr">
        <is>
          <t>B1</t>
        </is>
      </c>
      <c r="D3590" s="13" t="n">
        <v>0</v>
      </c>
      <c r="E3590" s="13" t="inlineStr">
        <is>
          <t>W</t>
        </is>
      </c>
      <c r="F3590" s="13" t="n">
        <v>2024</v>
      </c>
      <c r="G3590" s="14" t="n">
        <v>1025786.559862683</v>
      </c>
      <c r="H3590" s="14" t="n">
        <v>138779.384214304</v>
      </c>
      <c r="I3590" s="14" t="n">
        <v>280721.0966085397</v>
      </c>
      <c r="J3590" s="14" t="n">
        <v>0</v>
      </c>
      <c r="K3590" s="14" t="n">
        <v>374182.7647729612</v>
      </c>
      <c r="L3590" s="14" t="n">
        <v>232103.314266878</v>
      </c>
      <c r="M3590" s="14" t="n">
        <v>0</v>
      </c>
      <c r="N3590" s="14" t="n">
        <v>145124.6766385845</v>
      </c>
      <c r="O3590" s="14" t="n">
        <v>791023.3930085127</v>
      </c>
      <c r="P3590" s="14" t="n">
        <v>33614.54901616713</v>
      </c>
      <c r="Q3590" s="14" t="n">
        <v>7238774.628473138</v>
      </c>
      <c r="R3590" s="15">
        <f>IF(D3590=1,"Section 1","Control")</f>
        <v/>
      </c>
      <c r="S3590" s="16">
        <f>N3590/10000</f>
        <v/>
      </c>
      <c r="T3590" s="16">
        <f>P3590/10000</f>
        <v/>
      </c>
      <c r="U3590" s="15">
        <f>IF(N3590&gt;=Summary!$D$3,1,0)</f>
        <v/>
      </c>
      <c r="V3590" s="17">
        <f>IF(N3590&gt;0,P3590/N3590,"")</f>
        <v/>
      </c>
      <c r="W3590" s="17">
        <f>IF(O3590&gt;0,H3590/O3590,"")</f>
        <v/>
      </c>
    </row>
    <row r="3591">
      <c r="A3591" s="13" t="inlineStr">
        <is>
          <t>CW38_B1</t>
        </is>
      </c>
      <c r="B3591" s="13" t="inlineStr">
        <is>
          <t>CW38</t>
        </is>
      </c>
      <c r="C3591" s="13" t="inlineStr">
        <is>
          <t>B1</t>
        </is>
      </c>
      <c r="D3591" s="13" t="n">
        <v>0</v>
      </c>
      <c r="E3591" s="13" t="inlineStr">
        <is>
          <t>W</t>
        </is>
      </c>
      <c r="F3591" s="13" t="n">
        <v>2025</v>
      </c>
      <c r="G3591" s="14" t="n">
        <v>1025786.559862683</v>
      </c>
      <c r="H3591" s="14" t="n">
        <v>128666.9222442627</v>
      </c>
      <c r="I3591" s="14" t="n">
        <v>280418.3874010273</v>
      </c>
      <c r="J3591" s="14" t="n">
        <v>0</v>
      </c>
      <c r="K3591" s="14" t="n">
        <v>384061.7094588635</v>
      </c>
      <c r="L3591" s="14" t="n">
        <v>232639.5407585294</v>
      </c>
      <c r="M3591" s="14" t="n">
        <v>0</v>
      </c>
      <c r="N3591" s="14" t="n">
        <v>145124.6766385845</v>
      </c>
      <c r="O3591" s="14" t="n">
        <v>791023.3930085127</v>
      </c>
      <c r="P3591" s="14" t="n">
        <v>38748.40614812514</v>
      </c>
      <c r="Q3591" s="14" t="n">
        <v>7238774.628473138</v>
      </c>
      <c r="R3591" s="15">
        <f>IF(D3591=1,"Section 1","Control")</f>
        <v/>
      </c>
      <c r="S3591" s="16">
        <f>N3591/10000</f>
        <v/>
      </c>
      <c r="T3591" s="16">
        <f>P3591/10000</f>
        <v/>
      </c>
      <c r="U3591" s="15">
        <f>IF(N3591&gt;=Summary!$D$3,1,0)</f>
        <v/>
      </c>
      <c r="V3591" s="17">
        <f>IF(N3591&gt;0,P3591/N3591,"")</f>
        <v/>
      </c>
      <c r="W3591" s="17">
        <f>IF(O3591&gt;0,H3591/O3591,"")</f>
        <v/>
      </c>
    </row>
    <row r="3592">
      <c r="A3592" s="13" t="inlineStr">
        <is>
          <t>CW38_B1</t>
        </is>
      </c>
      <c r="B3592" s="13" t="inlineStr">
        <is>
          <t>CW38</t>
        </is>
      </c>
      <c r="C3592" s="13" t="inlineStr">
        <is>
          <t>B1</t>
        </is>
      </c>
      <c r="D3592" s="13" t="n">
        <v>0</v>
      </c>
      <c r="E3592" s="13" t="inlineStr">
        <is>
          <t>W</t>
        </is>
      </c>
      <c r="F3592" s="13" t="n">
        <v>2026</v>
      </c>
      <c r="G3592" s="14" t="n">
        <v>1025786.559862683</v>
      </c>
      <c r="H3592" s="14" t="n">
        <v>150507.7688441557</v>
      </c>
      <c r="I3592" s="14" t="n">
        <v>226825.2492052864</v>
      </c>
      <c r="J3592" s="14" t="n">
        <v>0</v>
      </c>
      <c r="K3592" s="14" t="n">
        <v>416251.4991375493</v>
      </c>
      <c r="L3592" s="14" t="n">
        <v>232202.0426756915</v>
      </c>
      <c r="M3592" s="14" t="n">
        <v>0</v>
      </c>
      <c r="N3592" s="14" t="n">
        <v>145124.6766385845</v>
      </c>
      <c r="O3592" s="14" t="n">
        <v>791023.3930085127</v>
      </c>
      <c r="P3592" s="14" t="n">
        <v>29972.89473805147</v>
      </c>
      <c r="Q3592" s="14" t="n">
        <v>7238774.628473138</v>
      </c>
      <c r="R3592" s="15">
        <f>IF(D3592=1,"Section 1","Control")</f>
        <v/>
      </c>
      <c r="S3592" s="16">
        <f>N3592/10000</f>
        <v/>
      </c>
      <c r="T3592" s="16">
        <f>P3592/10000</f>
        <v/>
      </c>
      <c r="U3592" s="15">
        <f>IF(N3592&gt;=Summary!$D$3,1,0)</f>
        <v/>
      </c>
      <c r="V3592" s="17">
        <f>IF(N3592&gt;0,P3592/N3592,"")</f>
        <v/>
      </c>
      <c r="W3592" s="17">
        <f>IF(O3592&gt;0,H3592/O3592,"")</f>
        <v/>
      </c>
    </row>
    <row r="3593">
      <c r="A3593" s="13" t="inlineStr">
        <is>
          <t>CW38_B2</t>
        </is>
      </c>
      <c r="B3593" s="13" t="inlineStr">
        <is>
          <t>CW38</t>
        </is>
      </c>
      <c r="C3593" s="13" t="inlineStr">
        <is>
          <t>B2</t>
        </is>
      </c>
      <c r="D3593" s="13" t="n">
        <v>0</v>
      </c>
      <c r="E3593" s="13" t="inlineStr">
        <is>
          <t>W</t>
        </is>
      </c>
      <c r="F3593" s="13" t="n">
        <v>2020</v>
      </c>
      <c r="G3593" s="14" t="n">
        <v>1025752.478885696</v>
      </c>
      <c r="H3593" s="14" t="n">
        <v>453257.3772409477</v>
      </c>
      <c r="I3593" s="14" t="n">
        <v>8954.297923189049</v>
      </c>
      <c r="J3593" s="14" t="n">
        <v>0</v>
      </c>
      <c r="K3593" s="14" t="n">
        <v>19054.22829694561</v>
      </c>
      <c r="L3593" s="14" t="n">
        <v>544486.5754246133</v>
      </c>
      <c r="M3593" s="14" t="n">
        <v>0</v>
      </c>
      <c r="N3593" s="14" t="n">
        <v>453257.3772409477</v>
      </c>
      <c r="O3593" s="14" t="n">
        <v>481265.9034610824</v>
      </c>
      <c r="P3593" s="14" t="n">
        <v>0</v>
      </c>
      <c r="Q3593" s="14" t="n">
        <v>3731809.060933909</v>
      </c>
      <c r="R3593" s="15">
        <f>IF(D3593=1,"Section 1","Control")</f>
        <v/>
      </c>
      <c r="S3593" s="16">
        <f>N3593/10000</f>
        <v/>
      </c>
      <c r="T3593" s="16">
        <f>P3593/10000</f>
        <v/>
      </c>
      <c r="U3593" s="15">
        <f>IF(N3593&gt;=Summary!$D$3,1,0)</f>
        <v/>
      </c>
      <c r="V3593" s="17">
        <f>IF(N3593&gt;0,P3593/N3593,"")</f>
        <v/>
      </c>
      <c r="W3593" s="17">
        <f>IF(O3593&gt;0,H3593/O3593,"")</f>
        <v/>
      </c>
    </row>
    <row r="3594">
      <c r="A3594" s="13" t="inlineStr">
        <is>
          <t>CW38_B2</t>
        </is>
      </c>
      <c r="B3594" s="13" t="inlineStr">
        <is>
          <t>CW38</t>
        </is>
      </c>
      <c r="C3594" s="13" t="inlineStr">
        <is>
          <t>B2</t>
        </is>
      </c>
      <c r="D3594" s="13" t="n">
        <v>0</v>
      </c>
      <c r="E3594" s="13" t="inlineStr">
        <is>
          <t>W</t>
        </is>
      </c>
      <c r="F3594" s="13" t="n">
        <v>2021</v>
      </c>
      <c r="G3594" s="14" t="n">
        <v>1025752.478885696</v>
      </c>
      <c r="H3594" s="14" t="n">
        <v>437173.079449822</v>
      </c>
      <c r="I3594" s="14" t="n">
        <v>13579.74135526769</v>
      </c>
      <c r="J3594" s="14" t="n">
        <v>0</v>
      </c>
      <c r="K3594" s="14" t="n">
        <v>27087.47611431048</v>
      </c>
      <c r="L3594" s="14" t="n">
        <v>547912.1819662955</v>
      </c>
      <c r="M3594" s="14" t="n">
        <v>0</v>
      </c>
      <c r="N3594" s="14" t="n">
        <v>453257.3772409477</v>
      </c>
      <c r="O3594" s="14" t="n">
        <v>481265.9034610824</v>
      </c>
      <c r="P3594" s="14" t="n">
        <v>19798.73252820782</v>
      </c>
      <c r="Q3594" s="14" t="n">
        <v>3731809.060933909</v>
      </c>
      <c r="R3594" s="15">
        <f>IF(D3594=1,"Section 1","Control")</f>
        <v/>
      </c>
      <c r="S3594" s="16">
        <f>N3594/10000</f>
        <v/>
      </c>
      <c r="T3594" s="16">
        <f>P3594/10000</f>
        <v/>
      </c>
      <c r="U3594" s="15">
        <f>IF(N3594&gt;=Summary!$D$3,1,0)</f>
        <v/>
      </c>
      <c r="V3594" s="17">
        <f>IF(N3594&gt;0,P3594/N3594,"")</f>
        <v/>
      </c>
      <c r="W3594" s="17">
        <f>IF(O3594&gt;0,H3594/O3594,"")</f>
        <v/>
      </c>
    </row>
    <row r="3595">
      <c r="A3595" s="13" t="inlineStr">
        <is>
          <t>CW38_B2</t>
        </is>
      </c>
      <c r="B3595" s="13" t="inlineStr">
        <is>
          <t>CW38</t>
        </is>
      </c>
      <c r="C3595" s="13" t="inlineStr">
        <is>
          <t>B2</t>
        </is>
      </c>
      <c r="D3595" s="13" t="n">
        <v>0</v>
      </c>
      <c r="E3595" s="13" t="inlineStr">
        <is>
          <t>W</t>
        </is>
      </c>
      <c r="F3595" s="13" t="n">
        <v>2022</v>
      </c>
      <c r="G3595" s="14" t="n">
        <v>1025752.478885696</v>
      </c>
      <c r="H3595" s="14" t="n">
        <v>427685.252875833</v>
      </c>
      <c r="I3595" s="14" t="n">
        <v>15687.84116273768</v>
      </c>
      <c r="J3595" s="14" t="n">
        <v>0</v>
      </c>
      <c r="K3595" s="14" t="n">
        <v>39326.8553307926</v>
      </c>
      <c r="L3595" s="14" t="n">
        <v>543052.5295163324</v>
      </c>
      <c r="M3595" s="14" t="n">
        <v>0</v>
      </c>
      <c r="N3595" s="14" t="n">
        <v>453257.3772409477</v>
      </c>
      <c r="O3595" s="14" t="n">
        <v>481265.9034610824</v>
      </c>
      <c r="P3595" s="14" t="n">
        <v>28990.38147463331</v>
      </c>
      <c r="Q3595" s="14" t="n">
        <v>3731809.060933909</v>
      </c>
      <c r="R3595" s="15">
        <f>IF(D3595=1,"Section 1","Control")</f>
        <v/>
      </c>
      <c r="S3595" s="16">
        <f>N3595/10000</f>
        <v/>
      </c>
      <c r="T3595" s="16">
        <f>P3595/10000</f>
        <v/>
      </c>
      <c r="U3595" s="15">
        <f>IF(N3595&gt;=Summary!$D$3,1,0)</f>
        <v/>
      </c>
      <c r="V3595" s="17">
        <f>IF(N3595&gt;0,P3595/N3595,"")</f>
        <v/>
      </c>
      <c r="W3595" s="17">
        <f>IF(O3595&gt;0,H3595/O3595,"")</f>
        <v/>
      </c>
    </row>
    <row r="3596">
      <c r="A3596" s="13" t="inlineStr">
        <is>
          <t>CW38_B2</t>
        </is>
      </c>
      <c r="B3596" s="13" t="inlineStr">
        <is>
          <t>CW38</t>
        </is>
      </c>
      <c r="C3596" s="13" t="inlineStr">
        <is>
          <t>B2</t>
        </is>
      </c>
      <c r="D3596" s="13" t="n">
        <v>0</v>
      </c>
      <c r="E3596" s="13" t="inlineStr">
        <is>
          <t>W</t>
        </is>
      </c>
      <c r="F3596" s="13" t="n">
        <v>2023</v>
      </c>
      <c r="G3596" s="14" t="n">
        <v>1025752.478885696</v>
      </c>
      <c r="H3596" s="14" t="n">
        <v>415308.8171410954</v>
      </c>
      <c r="I3596" s="14" t="n">
        <v>19156.0421734679</v>
      </c>
      <c r="J3596" s="14" t="n">
        <v>0</v>
      </c>
      <c r="K3596" s="14" t="n">
        <v>39722.56506150189</v>
      </c>
      <c r="L3596" s="14" t="n">
        <v>551565.0545096304</v>
      </c>
      <c r="M3596" s="14" t="n">
        <v>0</v>
      </c>
      <c r="N3596" s="14" t="n">
        <v>453257.3772409477</v>
      </c>
      <c r="O3596" s="14" t="n">
        <v>481265.9034610824</v>
      </c>
      <c r="P3596" s="14" t="n">
        <v>40317.99163366579</v>
      </c>
      <c r="Q3596" s="14" t="n">
        <v>3731809.060933909</v>
      </c>
      <c r="R3596" s="15">
        <f>IF(D3596=1,"Section 1","Control")</f>
        <v/>
      </c>
      <c r="S3596" s="16">
        <f>N3596/10000</f>
        <v/>
      </c>
      <c r="T3596" s="16">
        <f>P3596/10000</f>
        <v/>
      </c>
      <c r="U3596" s="15">
        <f>IF(N3596&gt;=Summary!$D$3,1,0)</f>
        <v/>
      </c>
      <c r="V3596" s="17">
        <f>IF(N3596&gt;0,P3596/N3596,"")</f>
        <v/>
      </c>
      <c r="W3596" s="17">
        <f>IF(O3596&gt;0,H3596/O3596,"")</f>
        <v/>
      </c>
    </row>
    <row r="3597">
      <c r="A3597" s="13" t="inlineStr">
        <is>
          <t>CW38_B2</t>
        </is>
      </c>
      <c r="B3597" s="13" t="inlineStr">
        <is>
          <t>CW38</t>
        </is>
      </c>
      <c r="C3597" s="13" t="inlineStr">
        <is>
          <t>B2</t>
        </is>
      </c>
      <c r="D3597" s="13" t="n">
        <v>0</v>
      </c>
      <c r="E3597" s="13" t="inlineStr">
        <is>
          <t>W</t>
        </is>
      </c>
      <c r="F3597" s="13" t="n">
        <v>2024</v>
      </c>
      <c r="G3597" s="14" t="n">
        <v>1025752.478885696</v>
      </c>
      <c r="H3597" s="14" t="n">
        <v>430013.2530349433</v>
      </c>
      <c r="I3597" s="14" t="n">
        <v>12927.77526819566</v>
      </c>
      <c r="J3597" s="14" t="n">
        <v>0</v>
      </c>
      <c r="K3597" s="14" t="n">
        <v>36281.82419601141</v>
      </c>
      <c r="L3597" s="14" t="n">
        <v>546529.6263865454</v>
      </c>
      <c r="M3597" s="14" t="n">
        <v>0</v>
      </c>
      <c r="N3597" s="14" t="n">
        <v>453257.3772409477</v>
      </c>
      <c r="O3597" s="14" t="n">
        <v>481265.9034610824</v>
      </c>
      <c r="P3597" s="14" t="n">
        <v>28007.38163488052</v>
      </c>
      <c r="Q3597" s="14" t="n">
        <v>3731809.060933909</v>
      </c>
      <c r="R3597" s="15">
        <f>IF(D3597=1,"Section 1","Control")</f>
        <v/>
      </c>
      <c r="S3597" s="16">
        <f>N3597/10000</f>
        <v/>
      </c>
      <c r="T3597" s="16">
        <f>P3597/10000</f>
        <v/>
      </c>
      <c r="U3597" s="15">
        <f>IF(N3597&gt;=Summary!$D$3,1,0)</f>
        <v/>
      </c>
      <c r="V3597" s="17">
        <f>IF(N3597&gt;0,P3597/N3597,"")</f>
        <v/>
      </c>
      <c r="W3597" s="17">
        <f>IF(O3597&gt;0,H3597/O3597,"")</f>
        <v/>
      </c>
    </row>
    <row r="3598">
      <c r="A3598" s="13" t="inlineStr">
        <is>
          <t>CW38_B2</t>
        </is>
      </c>
      <c r="B3598" s="13" t="inlineStr">
        <is>
          <t>CW38</t>
        </is>
      </c>
      <c r="C3598" s="13" t="inlineStr">
        <is>
          <t>B2</t>
        </is>
      </c>
      <c r="D3598" s="13" t="n">
        <v>0</v>
      </c>
      <c r="E3598" s="13" t="inlineStr">
        <is>
          <t>W</t>
        </is>
      </c>
      <c r="F3598" s="13" t="n">
        <v>2025</v>
      </c>
      <c r="G3598" s="14" t="n">
        <v>1025752.478885696</v>
      </c>
      <c r="H3598" s="14" t="n">
        <v>419770.5121151195</v>
      </c>
      <c r="I3598" s="14" t="n">
        <v>28632.22856756473</v>
      </c>
      <c r="J3598" s="14" t="n">
        <v>0</v>
      </c>
      <c r="K3598" s="14" t="n">
        <v>33554.24483253629</v>
      </c>
      <c r="L3598" s="14" t="n">
        <v>543795.4933704751</v>
      </c>
      <c r="M3598" s="14" t="n">
        <v>0</v>
      </c>
      <c r="N3598" s="14" t="n">
        <v>453257.3772409477</v>
      </c>
      <c r="O3598" s="14" t="n">
        <v>481265.9034610824</v>
      </c>
      <c r="P3598" s="14" t="n">
        <v>36628.6908249799</v>
      </c>
      <c r="Q3598" s="14" t="n">
        <v>3731809.060933909</v>
      </c>
      <c r="R3598" s="15">
        <f>IF(D3598=1,"Section 1","Control")</f>
        <v/>
      </c>
      <c r="S3598" s="16">
        <f>N3598/10000</f>
        <v/>
      </c>
      <c r="T3598" s="16">
        <f>P3598/10000</f>
        <v/>
      </c>
      <c r="U3598" s="15">
        <f>IF(N3598&gt;=Summary!$D$3,1,0)</f>
        <v/>
      </c>
      <c r="V3598" s="17">
        <f>IF(N3598&gt;0,P3598/N3598,"")</f>
        <v/>
      </c>
      <c r="W3598" s="17">
        <f>IF(O3598&gt;0,H3598/O3598,"")</f>
        <v/>
      </c>
    </row>
    <row r="3599">
      <c r="A3599" s="13" t="inlineStr">
        <is>
          <t>CW38_B2</t>
        </is>
      </c>
      <c r="B3599" s="13" t="inlineStr">
        <is>
          <t>CW38</t>
        </is>
      </c>
      <c r="C3599" s="13" t="inlineStr">
        <is>
          <t>B2</t>
        </is>
      </c>
      <c r="D3599" s="13" t="n">
        <v>0</v>
      </c>
      <c r="E3599" s="13" t="inlineStr">
        <is>
          <t>W</t>
        </is>
      </c>
      <c r="F3599" s="13" t="n">
        <v>2026</v>
      </c>
      <c r="G3599" s="14" t="n">
        <v>1025752.478885696</v>
      </c>
      <c r="H3599" s="14" t="n">
        <v>419586.6088866888</v>
      </c>
      <c r="I3599" s="14" t="n">
        <v>18528.44071080825</v>
      </c>
      <c r="J3599" s="14" t="n">
        <v>0</v>
      </c>
      <c r="K3599" s="14" t="n">
        <v>35529.96287078857</v>
      </c>
      <c r="L3599" s="14" t="n">
        <v>552107.4664174099</v>
      </c>
      <c r="M3599" s="14" t="n">
        <v>0</v>
      </c>
      <c r="N3599" s="14" t="n">
        <v>453257.3772409477</v>
      </c>
      <c r="O3599" s="14" t="n">
        <v>481265.9034610824</v>
      </c>
      <c r="P3599" s="14" t="n">
        <v>38717.43230875053</v>
      </c>
      <c r="Q3599" s="14" t="n">
        <v>3731809.060933909</v>
      </c>
      <c r="R3599" s="15">
        <f>IF(D3599=1,"Section 1","Control")</f>
        <v/>
      </c>
      <c r="S3599" s="16">
        <f>N3599/10000</f>
        <v/>
      </c>
      <c r="T3599" s="16">
        <f>P3599/10000</f>
        <v/>
      </c>
      <c r="U3599" s="15">
        <f>IF(N3599&gt;=Summary!$D$3,1,0)</f>
        <v/>
      </c>
      <c r="V3599" s="17">
        <f>IF(N3599&gt;0,P3599/N3599,"")</f>
        <v/>
      </c>
      <c r="W3599" s="17">
        <f>IF(O3599&gt;0,H3599/O3599,"")</f>
        <v/>
      </c>
    </row>
    <row r="3600">
      <c r="A3600" s="13" t="inlineStr">
        <is>
          <t>CW38_B3</t>
        </is>
      </c>
      <c r="B3600" s="13" t="inlineStr">
        <is>
          <t>CW38</t>
        </is>
      </c>
      <c r="C3600" s="13" t="inlineStr">
        <is>
          <t>B3</t>
        </is>
      </c>
      <c r="D3600" s="13" t="n">
        <v>0</v>
      </c>
      <c r="E3600" s="13" t="inlineStr">
        <is>
          <t>W</t>
        </is>
      </c>
      <c r="F3600" s="13" t="n">
        <v>2020</v>
      </c>
      <c r="G3600" s="14" t="n">
        <v>8206188.054069698</v>
      </c>
      <c r="H3600" s="14" t="n">
        <v>3161471.227013412</v>
      </c>
      <c r="I3600" s="14" t="n">
        <v>152638.0681278004</v>
      </c>
      <c r="J3600" s="14" t="n">
        <v>0</v>
      </c>
      <c r="K3600" s="14" t="n">
        <v>244777.9039707557</v>
      </c>
      <c r="L3600" s="14" t="n">
        <v>4647300.854957731</v>
      </c>
      <c r="M3600" s="14" t="n">
        <v>0</v>
      </c>
      <c r="N3600" s="14" t="n">
        <v>3161471.227013412</v>
      </c>
      <c r="O3600" s="14" t="n">
        <v>3558887.199111969</v>
      </c>
      <c r="P3600" s="14" t="n">
        <v>0</v>
      </c>
      <c r="Q3600" s="14" t="n">
        <v>24857525.91917548</v>
      </c>
      <c r="R3600" s="15">
        <f>IF(D3600=1,"Section 1","Control")</f>
        <v/>
      </c>
      <c r="S3600" s="16">
        <f>N3600/10000</f>
        <v/>
      </c>
      <c r="T3600" s="16">
        <f>P3600/10000</f>
        <v/>
      </c>
      <c r="U3600" s="15">
        <f>IF(N3600&gt;=Summary!$D$3,1,0)</f>
        <v/>
      </c>
      <c r="V3600" s="17">
        <f>IF(N3600&gt;0,P3600/N3600,"")</f>
        <v/>
      </c>
      <c r="W3600" s="17">
        <f>IF(O3600&gt;0,H3600/O3600,"")</f>
        <v/>
      </c>
    </row>
    <row r="3601">
      <c r="A3601" s="13" t="inlineStr">
        <is>
          <t>CW38_B3</t>
        </is>
      </c>
      <c r="B3601" s="13" t="inlineStr">
        <is>
          <t>CW38</t>
        </is>
      </c>
      <c r="C3601" s="13" t="inlineStr">
        <is>
          <t>B3</t>
        </is>
      </c>
      <c r="D3601" s="13" t="n">
        <v>0</v>
      </c>
      <c r="E3601" s="13" t="inlineStr">
        <is>
          <t>W</t>
        </is>
      </c>
      <c r="F3601" s="13" t="n">
        <v>2021</v>
      </c>
      <c r="G3601" s="14" t="n">
        <v>8206188.0540697</v>
      </c>
      <c r="H3601" s="14" t="n">
        <v>3211589.47086415</v>
      </c>
      <c r="I3601" s="14" t="n">
        <v>65356.4147983925</v>
      </c>
      <c r="J3601" s="14" t="n">
        <v>0</v>
      </c>
      <c r="K3601" s="14" t="n">
        <v>338957.7904660692</v>
      </c>
      <c r="L3601" s="14" t="n">
        <v>4590284.377941087</v>
      </c>
      <c r="M3601" s="14" t="n">
        <v>0</v>
      </c>
      <c r="N3601" s="14" t="n">
        <v>3161471.227013412</v>
      </c>
      <c r="O3601" s="14" t="n">
        <v>3558887.199111969</v>
      </c>
      <c r="P3601" s="14" t="n">
        <v>31373.02041730694</v>
      </c>
      <c r="Q3601" s="14" t="n">
        <v>24857525.91917548</v>
      </c>
      <c r="R3601" s="15">
        <f>IF(D3601=1,"Section 1","Control")</f>
        <v/>
      </c>
      <c r="S3601" s="16">
        <f>N3601/10000</f>
        <v/>
      </c>
      <c r="T3601" s="16">
        <f>P3601/10000</f>
        <v/>
      </c>
      <c r="U3601" s="15">
        <f>IF(N3601&gt;=Summary!$D$3,1,0)</f>
        <v/>
      </c>
      <c r="V3601" s="17">
        <f>IF(N3601&gt;0,P3601/N3601,"")</f>
        <v/>
      </c>
      <c r="W3601" s="17">
        <f>IF(O3601&gt;0,H3601/O3601,"")</f>
        <v/>
      </c>
    </row>
    <row r="3602">
      <c r="A3602" s="13" t="inlineStr">
        <is>
          <t>CW38_B3</t>
        </is>
      </c>
      <c r="B3602" s="13" t="inlineStr">
        <is>
          <t>CW38</t>
        </is>
      </c>
      <c r="C3602" s="13" t="inlineStr">
        <is>
          <t>B3</t>
        </is>
      </c>
      <c r="D3602" s="13" t="n">
        <v>0</v>
      </c>
      <c r="E3602" s="13" t="inlineStr">
        <is>
          <t>W</t>
        </is>
      </c>
      <c r="F3602" s="13" t="n">
        <v>2022</v>
      </c>
      <c r="G3602" s="14" t="n">
        <v>8206188.0540697</v>
      </c>
      <c r="H3602" s="14" t="n">
        <v>3183990.157518724</v>
      </c>
      <c r="I3602" s="14" t="n">
        <v>86565.6139279833</v>
      </c>
      <c r="J3602" s="14" t="n">
        <v>0</v>
      </c>
      <c r="K3602" s="14" t="n">
        <v>343185.3613424564</v>
      </c>
      <c r="L3602" s="14" t="n">
        <v>4592446.921280536</v>
      </c>
      <c r="M3602" s="14" t="n">
        <v>0</v>
      </c>
      <c r="N3602" s="14" t="n">
        <v>3161471.227013412</v>
      </c>
      <c r="O3602" s="14" t="n">
        <v>3558887.199111969</v>
      </c>
      <c r="P3602" s="14" t="n">
        <v>46715.62251916025</v>
      </c>
      <c r="Q3602" s="14" t="n">
        <v>24857525.91917548</v>
      </c>
      <c r="R3602" s="15">
        <f>IF(D3602=1,"Section 1","Control")</f>
        <v/>
      </c>
      <c r="S3602" s="16">
        <f>N3602/10000</f>
        <v/>
      </c>
      <c r="T3602" s="16">
        <f>P3602/10000</f>
        <v/>
      </c>
      <c r="U3602" s="15">
        <f>IF(N3602&gt;=Summary!$D$3,1,0)</f>
        <v/>
      </c>
      <c r="V3602" s="17">
        <f>IF(N3602&gt;0,P3602/N3602,"")</f>
        <v/>
      </c>
      <c r="W3602" s="17">
        <f>IF(O3602&gt;0,H3602/O3602,"")</f>
        <v/>
      </c>
    </row>
    <row r="3603">
      <c r="A3603" s="13" t="inlineStr">
        <is>
          <t>CW38_B3</t>
        </is>
      </c>
      <c r="B3603" s="13" t="inlineStr">
        <is>
          <t>CW38</t>
        </is>
      </c>
      <c r="C3603" s="13" t="inlineStr">
        <is>
          <t>B3</t>
        </is>
      </c>
      <c r="D3603" s="13" t="n">
        <v>0</v>
      </c>
      <c r="E3603" s="13" t="inlineStr">
        <is>
          <t>W</t>
        </is>
      </c>
      <c r="F3603" s="13" t="n">
        <v>2023</v>
      </c>
      <c r="G3603" s="14" t="n">
        <v>8206188.0540697</v>
      </c>
      <c r="H3603" s="14" t="n">
        <v>3129941.588085758</v>
      </c>
      <c r="I3603" s="14" t="n">
        <v>135130.5529767205</v>
      </c>
      <c r="J3603" s="14" t="n">
        <v>0</v>
      </c>
      <c r="K3603" s="14" t="n">
        <v>284174.5131593592</v>
      </c>
      <c r="L3603" s="14" t="n">
        <v>4656941.399847861</v>
      </c>
      <c r="M3603" s="14" t="n">
        <v>0</v>
      </c>
      <c r="N3603" s="14" t="n">
        <v>3161471.227013412</v>
      </c>
      <c r="O3603" s="14" t="n">
        <v>3558887.199111969</v>
      </c>
      <c r="P3603" s="14" t="n">
        <v>108004.9371268478</v>
      </c>
      <c r="Q3603" s="14" t="n">
        <v>24857525.91917548</v>
      </c>
      <c r="R3603" s="15">
        <f>IF(D3603=1,"Section 1","Control")</f>
        <v/>
      </c>
      <c r="S3603" s="16">
        <f>N3603/10000</f>
        <v/>
      </c>
      <c r="T3603" s="16">
        <f>P3603/10000</f>
        <v/>
      </c>
      <c r="U3603" s="15">
        <f>IF(N3603&gt;=Summary!$D$3,1,0)</f>
        <v/>
      </c>
      <c r="V3603" s="17">
        <f>IF(N3603&gt;0,P3603/N3603,"")</f>
        <v/>
      </c>
      <c r="W3603" s="17">
        <f>IF(O3603&gt;0,H3603/O3603,"")</f>
        <v/>
      </c>
    </row>
    <row r="3604">
      <c r="A3604" s="13" t="inlineStr">
        <is>
          <t>CW38_B3</t>
        </is>
      </c>
      <c r="B3604" s="13" t="inlineStr">
        <is>
          <t>CW38</t>
        </is>
      </c>
      <c r="C3604" s="13" t="inlineStr">
        <is>
          <t>B3</t>
        </is>
      </c>
      <c r="D3604" s="13" t="n">
        <v>0</v>
      </c>
      <c r="E3604" s="13" t="inlineStr">
        <is>
          <t>W</t>
        </is>
      </c>
      <c r="F3604" s="13" t="n">
        <v>2024</v>
      </c>
      <c r="G3604" s="14" t="n">
        <v>8206188.0540697</v>
      </c>
      <c r="H3604" s="14" t="n">
        <v>3203189.612527825</v>
      </c>
      <c r="I3604" s="14" t="n">
        <v>65317.24583548751</v>
      </c>
      <c r="J3604" s="14" t="n">
        <v>0</v>
      </c>
      <c r="K3604" s="14" t="n">
        <v>301866.3177759208</v>
      </c>
      <c r="L3604" s="14" t="n">
        <v>4635814.877930465</v>
      </c>
      <c r="M3604" s="14" t="n">
        <v>0</v>
      </c>
      <c r="N3604" s="14" t="n">
        <v>3161471.227013412</v>
      </c>
      <c r="O3604" s="14" t="n">
        <v>3558887.199111969</v>
      </c>
      <c r="P3604" s="14" t="n">
        <v>47882.1125189987</v>
      </c>
      <c r="Q3604" s="14" t="n">
        <v>24857525.91917548</v>
      </c>
      <c r="R3604" s="15">
        <f>IF(D3604=1,"Section 1","Control")</f>
        <v/>
      </c>
      <c r="S3604" s="16">
        <f>N3604/10000</f>
        <v/>
      </c>
      <c r="T3604" s="16">
        <f>P3604/10000</f>
        <v/>
      </c>
      <c r="U3604" s="15">
        <f>IF(N3604&gt;=Summary!$D$3,1,0)</f>
        <v/>
      </c>
      <c r="V3604" s="17">
        <f>IF(N3604&gt;0,P3604/N3604,"")</f>
        <v/>
      </c>
      <c r="W3604" s="17">
        <f>IF(O3604&gt;0,H3604/O3604,"")</f>
        <v/>
      </c>
    </row>
    <row r="3605">
      <c r="A3605" s="13" t="inlineStr">
        <is>
          <t>CW38_B3</t>
        </is>
      </c>
      <c r="B3605" s="13" t="inlineStr">
        <is>
          <t>CW38</t>
        </is>
      </c>
      <c r="C3605" s="13" t="inlineStr">
        <is>
          <t>B3</t>
        </is>
      </c>
      <c r="D3605" s="13" t="n">
        <v>0</v>
      </c>
      <c r="E3605" s="13" t="inlineStr">
        <is>
          <t>W</t>
        </is>
      </c>
      <c r="F3605" s="13" t="n">
        <v>2025</v>
      </c>
      <c r="G3605" s="14" t="n">
        <v>8206188.054069698</v>
      </c>
      <c r="H3605" s="14" t="n">
        <v>3185177.559296224</v>
      </c>
      <c r="I3605" s="14" t="n">
        <v>81488.28593651266</v>
      </c>
      <c r="J3605" s="14" t="n">
        <v>0</v>
      </c>
      <c r="K3605" s="14" t="n">
        <v>277694.6825855928</v>
      </c>
      <c r="L3605" s="14" t="n">
        <v>4661827.52625137</v>
      </c>
      <c r="M3605" s="14" t="n">
        <v>0</v>
      </c>
      <c r="N3605" s="14" t="n">
        <v>3161471.227013412</v>
      </c>
      <c r="O3605" s="14" t="n">
        <v>3558887.199111969</v>
      </c>
      <c r="P3605" s="14" t="n">
        <v>59195.01562335445</v>
      </c>
      <c r="Q3605" s="14" t="n">
        <v>24857525.91917548</v>
      </c>
      <c r="R3605" s="15">
        <f>IF(D3605=1,"Section 1","Control")</f>
        <v/>
      </c>
      <c r="S3605" s="16">
        <f>N3605/10000</f>
        <v/>
      </c>
      <c r="T3605" s="16">
        <f>P3605/10000</f>
        <v/>
      </c>
      <c r="U3605" s="15">
        <f>IF(N3605&gt;=Summary!$D$3,1,0)</f>
        <v/>
      </c>
      <c r="V3605" s="17">
        <f>IF(N3605&gt;0,P3605/N3605,"")</f>
        <v/>
      </c>
      <c r="W3605" s="17">
        <f>IF(O3605&gt;0,H3605/O3605,"")</f>
        <v/>
      </c>
    </row>
    <row r="3606">
      <c r="A3606" s="13" t="inlineStr">
        <is>
          <t>CW38_B3</t>
        </is>
      </c>
      <c r="B3606" s="13" t="inlineStr">
        <is>
          <t>CW38</t>
        </is>
      </c>
      <c r="C3606" s="13" t="inlineStr">
        <is>
          <t>B3</t>
        </is>
      </c>
      <c r="D3606" s="13" t="n">
        <v>0</v>
      </c>
      <c r="E3606" s="13" t="inlineStr">
        <is>
          <t>W</t>
        </is>
      </c>
      <c r="F3606" s="13" t="n">
        <v>2026</v>
      </c>
      <c r="G3606" s="14" t="n">
        <v>8206188.054069701</v>
      </c>
      <c r="H3606" s="14" t="n">
        <v>3193277.157550348</v>
      </c>
      <c r="I3606" s="14" t="n">
        <v>57060.08294417437</v>
      </c>
      <c r="J3606" s="14" t="n">
        <v>0</v>
      </c>
      <c r="K3606" s="14" t="n">
        <v>290699.7772341859</v>
      </c>
      <c r="L3606" s="14" t="n">
        <v>4665151.03634099</v>
      </c>
      <c r="M3606" s="14" t="n">
        <v>0</v>
      </c>
      <c r="N3606" s="14" t="n">
        <v>3161471.227013412</v>
      </c>
      <c r="O3606" s="14" t="n">
        <v>3558887.199111969</v>
      </c>
      <c r="P3606" s="14" t="n">
        <v>68707.29081046909</v>
      </c>
      <c r="Q3606" s="14" t="n">
        <v>24857525.91917548</v>
      </c>
      <c r="R3606" s="15">
        <f>IF(D3606=1,"Section 1","Control")</f>
        <v/>
      </c>
      <c r="S3606" s="16">
        <f>N3606/10000</f>
        <v/>
      </c>
      <c r="T3606" s="16">
        <f>P3606/10000</f>
        <v/>
      </c>
      <c r="U3606" s="15">
        <f>IF(N3606&gt;=Summary!$D$3,1,0)</f>
        <v/>
      </c>
      <c r="V3606" s="17">
        <f>IF(N3606&gt;0,P3606/N3606,"")</f>
        <v/>
      </c>
      <c r="W3606" s="17">
        <f>IF(O3606&gt;0,H3606/O3606,"")</f>
        <v/>
      </c>
    </row>
    <row r="3607">
      <c r="A3607" s="13" t="inlineStr">
        <is>
          <t>CW38_F</t>
        </is>
      </c>
      <c r="B3607" s="13" t="inlineStr">
        <is>
          <t>CW38</t>
        </is>
      </c>
      <c r="C3607" s="13" t="inlineStr">
        <is>
          <t>F</t>
        </is>
      </c>
      <c r="D3607" s="13" t="n">
        <v>0</v>
      </c>
      <c r="E3607" s="13" t="inlineStr">
        <is>
          <t>W</t>
        </is>
      </c>
      <c r="F3607" s="13" t="n">
        <v>2020</v>
      </c>
      <c r="G3607" s="14" t="n">
        <v>71041.40579980589</v>
      </c>
      <c r="H3607" s="14" t="n">
        <v>0</v>
      </c>
      <c r="I3607" s="14" t="n">
        <v>4243.744313528024</v>
      </c>
      <c r="J3607" s="14" t="n">
        <v>0</v>
      </c>
      <c r="K3607" s="14" t="n">
        <v>66797.66148627787</v>
      </c>
      <c r="L3607" s="14" t="n">
        <v>0</v>
      </c>
      <c r="M3607" s="14" t="n">
        <v>0</v>
      </c>
      <c r="N3607" s="14" t="n">
        <v>0</v>
      </c>
      <c r="O3607" s="14" t="n">
        <v>71041.40579980589</v>
      </c>
      <c r="P3607" s="14" t="n">
        <v>0</v>
      </c>
      <c r="Q3607" s="14" t="n">
        <v>833648.0020996095</v>
      </c>
      <c r="R3607" s="15">
        <f>IF(D3607=1,"Section 1","Control")</f>
        <v/>
      </c>
      <c r="S3607" s="16">
        <f>N3607/10000</f>
        <v/>
      </c>
      <c r="T3607" s="16">
        <f>P3607/10000</f>
        <v/>
      </c>
      <c r="U3607" s="15">
        <f>IF(N3607&gt;=Summary!$D$3,1,0)</f>
        <v/>
      </c>
      <c r="V3607" s="17">
        <f>IF(N3607&gt;0,P3607/N3607,"")</f>
        <v/>
      </c>
      <c r="W3607" s="17">
        <f>IF(O3607&gt;0,H3607/O3607,"")</f>
        <v/>
      </c>
    </row>
    <row r="3608">
      <c r="A3608" s="13" t="inlineStr">
        <is>
          <t>CW38_F</t>
        </is>
      </c>
      <c r="B3608" s="13" t="inlineStr">
        <is>
          <t>CW38</t>
        </is>
      </c>
      <c r="C3608" s="13" t="inlineStr">
        <is>
          <t>F</t>
        </is>
      </c>
      <c r="D3608" s="13" t="n">
        <v>0</v>
      </c>
      <c r="E3608" s="13" t="inlineStr">
        <is>
          <t>W</t>
        </is>
      </c>
      <c r="F3608" s="13" t="n">
        <v>2021</v>
      </c>
      <c r="G3608" s="14" t="n">
        <v>71041.40579980589</v>
      </c>
      <c r="H3608" s="14" t="n">
        <v>0</v>
      </c>
      <c r="I3608" s="14" t="n">
        <v>3560.006382003485</v>
      </c>
      <c r="J3608" s="14" t="n">
        <v>0</v>
      </c>
      <c r="K3608" s="14" t="n">
        <v>67419.8397840313</v>
      </c>
      <c r="L3608" s="14" t="n">
        <v>61.55963377111098</v>
      </c>
      <c r="M3608" s="14" t="n">
        <v>0</v>
      </c>
      <c r="N3608" s="14" t="n">
        <v>0</v>
      </c>
      <c r="O3608" s="14" t="n">
        <v>71041.40579980589</v>
      </c>
      <c r="P3608" s="14" t="n">
        <v>0</v>
      </c>
      <c r="Q3608" s="14" t="n">
        <v>833648.0020996095</v>
      </c>
      <c r="R3608" s="15">
        <f>IF(D3608=1,"Section 1","Control")</f>
        <v/>
      </c>
      <c r="S3608" s="16">
        <f>N3608/10000</f>
        <v/>
      </c>
      <c r="T3608" s="16">
        <f>P3608/10000</f>
        <v/>
      </c>
      <c r="U3608" s="15">
        <f>IF(N3608&gt;=Summary!$D$3,1,0)</f>
        <v/>
      </c>
      <c r="V3608" s="17">
        <f>IF(N3608&gt;0,P3608/N3608,"")</f>
        <v/>
      </c>
      <c r="W3608" s="17">
        <f>IF(O3608&gt;0,H3608/O3608,"")</f>
        <v/>
      </c>
    </row>
    <row r="3609">
      <c r="A3609" s="13" t="inlineStr">
        <is>
          <t>CW38_F</t>
        </is>
      </c>
      <c r="B3609" s="13" t="inlineStr">
        <is>
          <t>CW38</t>
        </is>
      </c>
      <c r="C3609" s="13" t="inlineStr">
        <is>
          <t>F</t>
        </is>
      </c>
      <c r="D3609" s="13" t="n">
        <v>0</v>
      </c>
      <c r="E3609" s="13" t="inlineStr">
        <is>
          <t>W</t>
        </is>
      </c>
      <c r="F3609" s="13" t="n">
        <v>2022</v>
      </c>
      <c r="G3609" s="14" t="n">
        <v>71041.40579980589</v>
      </c>
      <c r="H3609" s="14" t="n">
        <v>0</v>
      </c>
      <c r="I3609" s="14" t="n">
        <v>8398.44212703331</v>
      </c>
      <c r="J3609" s="14" t="n">
        <v>0</v>
      </c>
      <c r="K3609" s="14" t="n">
        <v>62642.96367277259</v>
      </c>
      <c r="L3609" s="14" t="n">
        <v>0</v>
      </c>
      <c r="M3609" s="14" t="n">
        <v>0</v>
      </c>
      <c r="N3609" s="14" t="n">
        <v>0</v>
      </c>
      <c r="O3609" s="14" t="n">
        <v>71041.40579980589</v>
      </c>
      <c r="P3609" s="14" t="n">
        <v>0</v>
      </c>
      <c r="Q3609" s="14" t="n">
        <v>833648.0020996095</v>
      </c>
      <c r="R3609" s="15">
        <f>IF(D3609=1,"Section 1","Control")</f>
        <v/>
      </c>
      <c r="S3609" s="16">
        <f>N3609/10000</f>
        <v/>
      </c>
      <c r="T3609" s="16">
        <f>P3609/10000</f>
        <v/>
      </c>
      <c r="U3609" s="15">
        <f>IF(N3609&gt;=Summary!$D$3,1,0)</f>
        <v/>
      </c>
      <c r="V3609" s="17">
        <f>IF(N3609&gt;0,P3609/N3609,"")</f>
        <v/>
      </c>
      <c r="W3609" s="17">
        <f>IF(O3609&gt;0,H3609/O3609,"")</f>
        <v/>
      </c>
    </row>
    <row r="3610">
      <c r="A3610" s="13" t="inlineStr">
        <is>
          <t>CW38_F</t>
        </is>
      </c>
      <c r="B3610" s="13" t="inlineStr">
        <is>
          <t>CW38</t>
        </is>
      </c>
      <c r="C3610" s="13" t="inlineStr">
        <is>
          <t>F</t>
        </is>
      </c>
      <c r="D3610" s="13" t="n">
        <v>0</v>
      </c>
      <c r="E3610" s="13" t="inlineStr">
        <is>
          <t>W</t>
        </is>
      </c>
      <c r="F3610" s="13" t="n">
        <v>2023</v>
      </c>
      <c r="G3610" s="14" t="n">
        <v>71041.40579980589</v>
      </c>
      <c r="H3610" s="14" t="n">
        <v>0</v>
      </c>
      <c r="I3610" s="14" t="n">
        <v>4092.748884462841</v>
      </c>
      <c r="J3610" s="14" t="n">
        <v>0</v>
      </c>
      <c r="K3610" s="14" t="n">
        <v>65115.80559824027</v>
      </c>
      <c r="L3610" s="14" t="n">
        <v>1832.851317102769</v>
      </c>
      <c r="M3610" s="14" t="n">
        <v>0</v>
      </c>
      <c r="N3610" s="14" t="n">
        <v>0</v>
      </c>
      <c r="O3610" s="14" t="n">
        <v>71041.40579980589</v>
      </c>
      <c r="P3610" s="14" t="n">
        <v>0</v>
      </c>
      <c r="Q3610" s="14" t="n">
        <v>833648.0020996095</v>
      </c>
      <c r="R3610" s="15">
        <f>IF(D3610=1,"Section 1","Control")</f>
        <v/>
      </c>
      <c r="S3610" s="16">
        <f>N3610/10000</f>
        <v/>
      </c>
      <c r="T3610" s="16">
        <f>P3610/10000</f>
        <v/>
      </c>
      <c r="U3610" s="15">
        <f>IF(N3610&gt;=Summary!$D$3,1,0)</f>
        <v/>
      </c>
      <c r="V3610" s="17">
        <f>IF(N3610&gt;0,P3610/N3610,"")</f>
        <v/>
      </c>
      <c r="W3610" s="17">
        <f>IF(O3610&gt;0,H3610/O3610,"")</f>
        <v/>
      </c>
    </row>
    <row r="3611">
      <c r="A3611" s="13" t="inlineStr">
        <is>
          <t>CW38_F</t>
        </is>
      </c>
      <c r="B3611" s="13" t="inlineStr">
        <is>
          <t>CW38</t>
        </is>
      </c>
      <c r="C3611" s="13" t="inlineStr">
        <is>
          <t>F</t>
        </is>
      </c>
      <c r="D3611" s="13" t="n">
        <v>0</v>
      </c>
      <c r="E3611" s="13" t="inlineStr">
        <is>
          <t>W</t>
        </is>
      </c>
      <c r="F3611" s="13" t="n">
        <v>2024</v>
      </c>
      <c r="G3611" s="14" t="n">
        <v>71041.40579980589</v>
      </c>
      <c r="H3611" s="14" t="n">
        <v>122.7321502984739</v>
      </c>
      <c r="I3611" s="14" t="n">
        <v>11006.40193672928</v>
      </c>
      <c r="J3611" s="14" t="n">
        <v>0</v>
      </c>
      <c r="K3611" s="14" t="n">
        <v>59912.27171277813</v>
      </c>
      <c r="L3611" s="14" t="n">
        <v>0</v>
      </c>
      <c r="M3611" s="14" t="n">
        <v>0</v>
      </c>
      <c r="N3611" s="14" t="n">
        <v>0</v>
      </c>
      <c r="O3611" s="14" t="n">
        <v>71041.40579980589</v>
      </c>
      <c r="P3611" s="14" t="n">
        <v>0</v>
      </c>
      <c r="Q3611" s="14" t="n">
        <v>833648.0020996095</v>
      </c>
      <c r="R3611" s="15">
        <f>IF(D3611=1,"Section 1","Control")</f>
        <v/>
      </c>
      <c r="S3611" s="16">
        <f>N3611/10000</f>
        <v/>
      </c>
      <c r="T3611" s="16">
        <f>P3611/10000</f>
        <v/>
      </c>
      <c r="U3611" s="15">
        <f>IF(N3611&gt;=Summary!$D$3,1,0)</f>
        <v/>
      </c>
      <c r="V3611" s="17">
        <f>IF(N3611&gt;0,P3611/N3611,"")</f>
        <v/>
      </c>
      <c r="W3611" s="17">
        <f>IF(O3611&gt;0,H3611/O3611,"")</f>
        <v/>
      </c>
    </row>
    <row r="3612">
      <c r="A3612" s="13" t="inlineStr">
        <is>
          <t>CW38_F</t>
        </is>
      </c>
      <c r="B3612" s="13" t="inlineStr">
        <is>
          <t>CW38</t>
        </is>
      </c>
      <c r="C3612" s="13" t="inlineStr">
        <is>
          <t>F</t>
        </is>
      </c>
      <c r="D3612" s="13" t="n">
        <v>0</v>
      </c>
      <c r="E3612" s="13" t="inlineStr">
        <is>
          <t>W</t>
        </is>
      </c>
      <c r="F3612" s="13" t="n">
        <v>2025</v>
      </c>
      <c r="G3612" s="14" t="n">
        <v>71041.40579980589</v>
      </c>
      <c r="H3612" s="14" t="n">
        <v>0</v>
      </c>
      <c r="I3612" s="14" t="n">
        <v>5694.074222100951</v>
      </c>
      <c r="J3612" s="14" t="n">
        <v>0</v>
      </c>
      <c r="K3612" s="14" t="n">
        <v>64853.69281427719</v>
      </c>
      <c r="L3612" s="14" t="n">
        <v>493.6387634277344</v>
      </c>
      <c r="M3612" s="14" t="n">
        <v>0</v>
      </c>
      <c r="N3612" s="14" t="n">
        <v>0</v>
      </c>
      <c r="O3612" s="14" t="n">
        <v>71041.40579980589</v>
      </c>
      <c r="P3612" s="14" t="n">
        <v>0</v>
      </c>
      <c r="Q3612" s="14" t="n">
        <v>833648.0020996095</v>
      </c>
      <c r="R3612" s="15">
        <f>IF(D3612=1,"Section 1","Control")</f>
        <v/>
      </c>
      <c r="S3612" s="16">
        <f>N3612/10000</f>
        <v/>
      </c>
      <c r="T3612" s="16">
        <f>P3612/10000</f>
        <v/>
      </c>
      <c r="U3612" s="15">
        <f>IF(N3612&gt;=Summary!$D$3,1,0)</f>
        <v/>
      </c>
      <c r="V3612" s="17">
        <f>IF(N3612&gt;0,P3612/N3612,"")</f>
        <v/>
      </c>
      <c r="W3612" s="17">
        <f>IF(O3612&gt;0,H3612/O3612,"")</f>
        <v/>
      </c>
    </row>
    <row r="3613">
      <c r="A3613" s="13" t="inlineStr">
        <is>
          <t>CW38_F</t>
        </is>
      </c>
      <c r="B3613" s="13" t="inlineStr">
        <is>
          <t>CW38</t>
        </is>
      </c>
      <c r="C3613" s="13" t="inlineStr">
        <is>
          <t>F</t>
        </is>
      </c>
      <c r="D3613" s="13" t="n">
        <v>0</v>
      </c>
      <c r="E3613" s="13" t="inlineStr">
        <is>
          <t>W</t>
        </is>
      </c>
      <c r="F3613" s="13" t="n">
        <v>2026</v>
      </c>
      <c r="G3613" s="14" t="n">
        <v>71041.40579980589</v>
      </c>
      <c r="H3613" s="14" t="n">
        <v>0</v>
      </c>
      <c r="I3613" s="14" t="n">
        <v>6372.00503282734</v>
      </c>
      <c r="J3613" s="14" t="n">
        <v>0</v>
      </c>
      <c r="K3613" s="14" t="n">
        <v>64669.40076697854</v>
      </c>
      <c r="L3613" s="14" t="n">
        <v>0</v>
      </c>
      <c r="M3613" s="14" t="n">
        <v>0</v>
      </c>
      <c r="N3613" s="14" t="n">
        <v>0</v>
      </c>
      <c r="O3613" s="14" t="n">
        <v>71041.40579980589</v>
      </c>
      <c r="P3613" s="14" t="n">
        <v>0</v>
      </c>
      <c r="Q3613" s="14" t="n">
        <v>833648.0020996095</v>
      </c>
      <c r="R3613" s="15">
        <f>IF(D3613=1,"Section 1","Control")</f>
        <v/>
      </c>
      <c r="S3613" s="16">
        <f>N3613/10000</f>
        <v/>
      </c>
      <c r="T3613" s="16">
        <f>P3613/10000</f>
        <v/>
      </c>
      <c r="U3613" s="15">
        <f>IF(N3613&gt;=Summary!$D$3,1,0)</f>
        <v/>
      </c>
      <c r="V3613" s="17">
        <f>IF(N3613&gt;0,P3613/N3613,"")</f>
        <v/>
      </c>
      <c r="W3613" s="17">
        <f>IF(O3613&gt;0,H3613/O3613,"")</f>
        <v/>
      </c>
    </row>
    <row r="3614">
      <c r="A3614" s="13" t="inlineStr">
        <is>
          <t>CW39_B1</t>
        </is>
      </c>
      <c r="B3614" s="13" t="inlineStr">
        <is>
          <t>CW39</t>
        </is>
      </c>
      <c r="C3614" s="13" t="inlineStr">
        <is>
          <t>B1</t>
        </is>
      </c>
      <c r="D3614" s="13" t="n">
        <v>0</v>
      </c>
      <c r="E3614" s="13" t="inlineStr">
        <is>
          <t>W</t>
        </is>
      </c>
      <c r="F3614" s="13" t="n">
        <v>2020</v>
      </c>
      <c r="G3614" s="14" t="n">
        <v>1000925.163658621</v>
      </c>
      <c r="H3614" s="14" t="n">
        <v>306552.1933700861</v>
      </c>
      <c r="I3614" s="14" t="n">
        <v>375671.5889594882</v>
      </c>
      <c r="J3614" s="14" t="n">
        <v>0</v>
      </c>
      <c r="K3614" s="14" t="n">
        <v>81191.39123948041</v>
      </c>
      <c r="L3614" s="14" t="n">
        <v>237509.9900895661</v>
      </c>
      <c r="M3614" s="14" t="n">
        <v>0</v>
      </c>
      <c r="N3614" s="14" t="n">
        <v>306552.1933700861</v>
      </c>
      <c r="O3614" s="14" t="n">
        <v>763415.1735690547</v>
      </c>
      <c r="P3614" s="14" t="n">
        <v>0</v>
      </c>
      <c r="Q3614" s="14" t="n">
        <v>6592009.965541465</v>
      </c>
      <c r="R3614" s="15">
        <f>IF(D3614=1,"Section 1","Control")</f>
        <v/>
      </c>
      <c r="S3614" s="16">
        <f>N3614/10000</f>
        <v/>
      </c>
      <c r="T3614" s="16">
        <f>P3614/10000</f>
        <v/>
      </c>
      <c r="U3614" s="15">
        <f>IF(N3614&gt;=Summary!$D$3,1,0)</f>
        <v/>
      </c>
      <c r="V3614" s="17">
        <f>IF(N3614&gt;0,P3614/N3614,"")</f>
        <v/>
      </c>
      <c r="W3614" s="17">
        <f>IF(O3614&gt;0,H3614/O3614,"")</f>
        <v/>
      </c>
    </row>
    <row r="3615">
      <c r="A3615" s="13" t="inlineStr">
        <is>
          <t>CW39_B1</t>
        </is>
      </c>
      <c r="B3615" s="13" t="inlineStr">
        <is>
          <t>CW39</t>
        </is>
      </c>
      <c r="C3615" s="13" t="inlineStr">
        <is>
          <t>B1</t>
        </is>
      </c>
      <c r="D3615" s="13" t="n">
        <v>0</v>
      </c>
      <c r="E3615" s="13" t="inlineStr">
        <is>
          <t>W</t>
        </is>
      </c>
      <c r="F3615" s="13" t="n">
        <v>2021</v>
      </c>
      <c r="G3615" s="14" t="n">
        <v>1000925.163658621</v>
      </c>
      <c r="H3615" s="14" t="n">
        <v>266685.5172544592</v>
      </c>
      <c r="I3615" s="14" t="n">
        <v>374252.7685779945</v>
      </c>
      <c r="J3615" s="14" t="n">
        <v>0</v>
      </c>
      <c r="K3615" s="14" t="n">
        <v>132514.2561978508</v>
      </c>
      <c r="L3615" s="14" t="n">
        <v>227472.6216283162</v>
      </c>
      <c r="M3615" s="14" t="n">
        <v>0</v>
      </c>
      <c r="N3615" s="14" t="n">
        <v>306552.1933700861</v>
      </c>
      <c r="O3615" s="14" t="n">
        <v>763415.1735690547</v>
      </c>
      <c r="P3615" s="14" t="n">
        <v>56375.3939216165</v>
      </c>
      <c r="Q3615" s="14" t="n">
        <v>6592009.965541465</v>
      </c>
      <c r="R3615" s="15">
        <f>IF(D3615=1,"Section 1","Control")</f>
        <v/>
      </c>
      <c r="S3615" s="16">
        <f>N3615/10000</f>
        <v/>
      </c>
      <c r="T3615" s="16">
        <f>P3615/10000</f>
        <v/>
      </c>
      <c r="U3615" s="15">
        <f>IF(N3615&gt;=Summary!$D$3,1,0)</f>
        <v/>
      </c>
      <c r="V3615" s="17">
        <f>IF(N3615&gt;0,P3615/N3615,"")</f>
        <v/>
      </c>
      <c r="W3615" s="17">
        <f>IF(O3615&gt;0,H3615/O3615,"")</f>
        <v/>
      </c>
    </row>
    <row r="3616">
      <c r="A3616" s="13" t="inlineStr">
        <is>
          <t>CW39_B1</t>
        </is>
      </c>
      <c r="B3616" s="13" t="inlineStr">
        <is>
          <t>CW39</t>
        </is>
      </c>
      <c r="C3616" s="13" t="inlineStr">
        <is>
          <t>B1</t>
        </is>
      </c>
      <c r="D3616" s="13" t="n">
        <v>0</v>
      </c>
      <c r="E3616" s="13" t="inlineStr">
        <is>
          <t>W</t>
        </is>
      </c>
      <c r="F3616" s="13" t="n">
        <v>2022</v>
      </c>
      <c r="G3616" s="14" t="n">
        <v>1000925.163658621</v>
      </c>
      <c r="H3616" s="14" t="n">
        <v>274429.9491756065</v>
      </c>
      <c r="I3616" s="14" t="n">
        <v>366478.1388486077</v>
      </c>
      <c r="J3616" s="14" t="n">
        <v>0</v>
      </c>
      <c r="K3616" s="14" t="n">
        <v>132588.9792370964</v>
      </c>
      <c r="L3616" s="14" t="n">
        <v>227428.0963973101</v>
      </c>
      <c r="M3616" s="14" t="n">
        <v>0</v>
      </c>
      <c r="N3616" s="14" t="n">
        <v>306552.1933700861</v>
      </c>
      <c r="O3616" s="14" t="n">
        <v>763415.1735690547</v>
      </c>
      <c r="P3616" s="14" t="n">
        <v>69313.33830856624</v>
      </c>
      <c r="Q3616" s="14" t="n">
        <v>6592009.965541465</v>
      </c>
      <c r="R3616" s="15">
        <f>IF(D3616=1,"Section 1","Control")</f>
        <v/>
      </c>
      <c r="S3616" s="16">
        <f>N3616/10000</f>
        <v/>
      </c>
      <c r="T3616" s="16">
        <f>P3616/10000</f>
        <v/>
      </c>
      <c r="U3616" s="15">
        <f>IF(N3616&gt;=Summary!$D$3,1,0)</f>
        <v/>
      </c>
      <c r="V3616" s="17">
        <f>IF(N3616&gt;0,P3616/N3616,"")</f>
        <v/>
      </c>
      <c r="W3616" s="17">
        <f>IF(O3616&gt;0,H3616/O3616,"")</f>
        <v/>
      </c>
    </row>
    <row r="3617">
      <c r="A3617" s="13" t="inlineStr">
        <is>
          <t>CW39_B1</t>
        </is>
      </c>
      <c r="B3617" s="13" t="inlineStr">
        <is>
          <t>CW39</t>
        </is>
      </c>
      <c r="C3617" s="13" t="inlineStr">
        <is>
          <t>B1</t>
        </is>
      </c>
      <c r="D3617" s="13" t="n">
        <v>0</v>
      </c>
      <c r="E3617" s="13" t="inlineStr">
        <is>
          <t>W</t>
        </is>
      </c>
      <c r="F3617" s="13" t="n">
        <v>2023</v>
      </c>
      <c r="G3617" s="14" t="n">
        <v>1000925.163658621</v>
      </c>
      <c r="H3617" s="14" t="n">
        <v>299958.8513443292</v>
      </c>
      <c r="I3617" s="14" t="n">
        <v>334929.504821897</v>
      </c>
      <c r="J3617" s="14" t="n">
        <v>0</v>
      </c>
      <c r="K3617" s="14" t="n">
        <v>126266.5213173361</v>
      </c>
      <c r="L3617" s="14" t="n">
        <v>239770.2861750584</v>
      </c>
      <c r="M3617" s="14" t="n">
        <v>0</v>
      </c>
      <c r="N3617" s="14" t="n">
        <v>306552.1933700861</v>
      </c>
      <c r="O3617" s="14" t="n">
        <v>763415.1735690547</v>
      </c>
      <c r="P3617" s="14" t="n">
        <v>65975.59630156873</v>
      </c>
      <c r="Q3617" s="14" t="n">
        <v>6592009.965541465</v>
      </c>
      <c r="R3617" s="15">
        <f>IF(D3617=1,"Section 1","Control")</f>
        <v/>
      </c>
      <c r="S3617" s="16">
        <f>N3617/10000</f>
        <v/>
      </c>
      <c r="T3617" s="16">
        <f>P3617/10000</f>
        <v/>
      </c>
      <c r="U3617" s="15">
        <f>IF(N3617&gt;=Summary!$D$3,1,0)</f>
        <v/>
      </c>
      <c r="V3617" s="17">
        <f>IF(N3617&gt;0,P3617/N3617,"")</f>
        <v/>
      </c>
      <c r="W3617" s="17">
        <f>IF(O3617&gt;0,H3617/O3617,"")</f>
        <v/>
      </c>
    </row>
    <row r="3618">
      <c r="A3618" s="13" t="inlineStr">
        <is>
          <t>CW39_B1</t>
        </is>
      </c>
      <c r="B3618" s="13" t="inlineStr">
        <is>
          <t>CW39</t>
        </is>
      </c>
      <c r="C3618" s="13" t="inlineStr">
        <is>
          <t>B1</t>
        </is>
      </c>
      <c r="D3618" s="13" t="n">
        <v>0</v>
      </c>
      <c r="E3618" s="13" t="inlineStr">
        <is>
          <t>W</t>
        </is>
      </c>
      <c r="F3618" s="13" t="n">
        <v>2024</v>
      </c>
      <c r="G3618" s="14" t="n">
        <v>1000925.163658621</v>
      </c>
      <c r="H3618" s="14" t="n">
        <v>364677.946441441</v>
      </c>
      <c r="I3618" s="14" t="n">
        <v>268835.9458561616</v>
      </c>
      <c r="J3618" s="14" t="n">
        <v>0</v>
      </c>
      <c r="K3618" s="14" t="n">
        <v>126949.8877891092</v>
      </c>
      <c r="L3618" s="14" t="n">
        <v>240461.383571909</v>
      </c>
      <c r="M3618" s="14" t="n">
        <v>0</v>
      </c>
      <c r="N3618" s="14" t="n">
        <v>306552.1933700861</v>
      </c>
      <c r="O3618" s="14" t="n">
        <v>763415.1735690547</v>
      </c>
      <c r="P3618" s="14" t="n">
        <v>55810.93026353425</v>
      </c>
      <c r="Q3618" s="14" t="n">
        <v>6592009.965541465</v>
      </c>
      <c r="R3618" s="15">
        <f>IF(D3618=1,"Section 1","Control")</f>
        <v/>
      </c>
      <c r="S3618" s="16">
        <f>N3618/10000</f>
        <v/>
      </c>
      <c r="T3618" s="16">
        <f>P3618/10000</f>
        <v/>
      </c>
      <c r="U3618" s="15">
        <f>IF(N3618&gt;=Summary!$D$3,1,0)</f>
        <v/>
      </c>
      <c r="V3618" s="17">
        <f>IF(N3618&gt;0,P3618/N3618,"")</f>
        <v/>
      </c>
      <c r="W3618" s="17">
        <f>IF(O3618&gt;0,H3618/O3618,"")</f>
        <v/>
      </c>
    </row>
    <row r="3619">
      <c r="A3619" s="13" t="inlineStr">
        <is>
          <t>CW39_B1</t>
        </is>
      </c>
      <c r="B3619" s="13" t="inlineStr">
        <is>
          <t>CW39</t>
        </is>
      </c>
      <c r="C3619" s="13" t="inlineStr">
        <is>
          <t>B1</t>
        </is>
      </c>
      <c r="D3619" s="13" t="n">
        <v>0</v>
      </c>
      <c r="E3619" s="13" t="inlineStr">
        <is>
          <t>W</t>
        </is>
      </c>
      <c r="F3619" s="13" t="n">
        <v>2025</v>
      </c>
      <c r="G3619" s="14" t="n">
        <v>1000925.163658621</v>
      </c>
      <c r="H3619" s="14" t="n">
        <v>318519.1773912018</v>
      </c>
      <c r="I3619" s="14" t="n">
        <v>334050.7065457213</v>
      </c>
      <c r="J3619" s="14" t="n">
        <v>0</v>
      </c>
      <c r="K3619" s="14" t="n">
        <v>108881.1782466514</v>
      </c>
      <c r="L3619" s="14" t="n">
        <v>239474.1014750462</v>
      </c>
      <c r="M3619" s="14" t="n">
        <v>0</v>
      </c>
      <c r="N3619" s="14" t="n">
        <v>306552.1933700861</v>
      </c>
      <c r="O3619" s="14" t="n">
        <v>763415.1735690547</v>
      </c>
      <c r="P3619" s="14" t="n">
        <v>61268.45067958457</v>
      </c>
      <c r="Q3619" s="14" t="n">
        <v>6592009.965541466</v>
      </c>
      <c r="R3619" s="15">
        <f>IF(D3619=1,"Section 1","Control")</f>
        <v/>
      </c>
      <c r="S3619" s="16">
        <f>N3619/10000</f>
        <v/>
      </c>
      <c r="T3619" s="16">
        <f>P3619/10000</f>
        <v/>
      </c>
      <c r="U3619" s="15">
        <f>IF(N3619&gt;=Summary!$D$3,1,0)</f>
        <v/>
      </c>
      <c r="V3619" s="17">
        <f>IF(N3619&gt;0,P3619/N3619,"")</f>
        <v/>
      </c>
      <c r="W3619" s="17">
        <f>IF(O3619&gt;0,H3619/O3619,"")</f>
        <v/>
      </c>
    </row>
    <row r="3620">
      <c r="A3620" s="13" t="inlineStr">
        <is>
          <t>CW39_B1</t>
        </is>
      </c>
      <c r="B3620" s="13" t="inlineStr">
        <is>
          <t>CW39</t>
        </is>
      </c>
      <c r="C3620" s="13" t="inlineStr">
        <is>
          <t>B1</t>
        </is>
      </c>
      <c r="D3620" s="13" t="n">
        <v>0</v>
      </c>
      <c r="E3620" s="13" t="inlineStr">
        <is>
          <t>W</t>
        </is>
      </c>
      <c r="F3620" s="13" t="n">
        <v>2026</v>
      </c>
      <c r="G3620" s="14" t="n">
        <v>1000925.163658621</v>
      </c>
      <c r="H3620" s="14" t="n">
        <v>406836.4023295683</v>
      </c>
      <c r="I3620" s="14" t="n">
        <v>229254.4538120943</v>
      </c>
      <c r="J3620" s="14" t="n">
        <v>0</v>
      </c>
      <c r="K3620" s="14" t="n">
        <v>120418.7632638969</v>
      </c>
      <c r="L3620" s="14" t="n">
        <v>244415.5442530613</v>
      </c>
      <c r="M3620" s="14" t="n">
        <v>0</v>
      </c>
      <c r="N3620" s="14" t="n">
        <v>306552.1933700861</v>
      </c>
      <c r="O3620" s="14" t="n">
        <v>763415.1735690547</v>
      </c>
      <c r="P3620" s="14" t="n">
        <v>48929.46059070663</v>
      </c>
      <c r="Q3620" s="14" t="n">
        <v>6592009.965541465</v>
      </c>
      <c r="R3620" s="15">
        <f>IF(D3620=1,"Section 1","Control")</f>
        <v/>
      </c>
      <c r="S3620" s="16">
        <f>N3620/10000</f>
        <v/>
      </c>
      <c r="T3620" s="16">
        <f>P3620/10000</f>
        <v/>
      </c>
      <c r="U3620" s="15">
        <f>IF(N3620&gt;=Summary!$D$3,1,0)</f>
        <v/>
      </c>
      <c r="V3620" s="17">
        <f>IF(N3620&gt;0,P3620/N3620,"")</f>
        <v/>
      </c>
      <c r="W3620" s="17">
        <f>IF(O3620&gt;0,H3620/O3620,"")</f>
        <v/>
      </c>
    </row>
    <row r="3621">
      <c r="A3621" s="13" t="inlineStr">
        <is>
          <t>CW39_B2</t>
        </is>
      </c>
      <c r="B3621" s="13" t="inlineStr">
        <is>
          <t>CW39</t>
        </is>
      </c>
      <c r="C3621" s="13" t="inlineStr">
        <is>
          <t>B2</t>
        </is>
      </c>
      <c r="D3621" s="13" t="n">
        <v>0</v>
      </c>
      <c r="E3621" s="13" t="inlineStr">
        <is>
          <t>W</t>
        </is>
      </c>
      <c r="F3621" s="13" t="n">
        <v>2020</v>
      </c>
      <c r="G3621" s="14" t="n">
        <v>1000901.92660699</v>
      </c>
      <c r="H3621" s="14" t="n">
        <v>252434.3955367743</v>
      </c>
      <c r="I3621" s="14" t="n">
        <v>32787.67617244346</v>
      </c>
      <c r="J3621" s="14" t="n">
        <v>0</v>
      </c>
      <c r="K3621" s="14" t="n">
        <v>37355.7543947706</v>
      </c>
      <c r="L3621" s="14" t="n">
        <v>678324.1005030016</v>
      </c>
      <c r="M3621" s="14" t="n">
        <v>0</v>
      </c>
      <c r="N3621" s="14" t="n">
        <v>252434.3955367743</v>
      </c>
      <c r="O3621" s="14" t="n">
        <v>322577.8261039884</v>
      </c>
      <c r="P3621" s="14" t="n">
        <v>0</v>
      </c>
      <c r="Q3621" s="14" t="n">
        <v>2653938.262533539</v>
      </c>
      <c r="R3621" s="15">
        <f>IF(D3621=1,"Section 1","Control")</f>
        <v/>
      </c>
      <c r="S3621" s="16">
        <f>N3621/10000</f>
        <v/>
      </c>
      <c r="T3621" s="16">
        <f>P3621/10000</f>
        <v/>
      </c>
      <c r="U3621" s="15">
        <f>IF(N3621&gt;=Summary!$D$3,1,0)</f>
        <v/>
      </c>
      <c r="V3621" s="17">
        <f>IF(N3621&gt;0,P3621/N3621,"")</f>
        <v/>
      </c>
      <c r="W3621" s="17">
        <f>IF(O3621&gt;0,H3621/O3621,"")</f>
        <v/>
      </c>
    </row>
    <row r="3622">
      <c r="A3622" s="13" t="inlineStr">
        <is>
          <t>CW39_B2</t>
        </is>
      </c>
      <c r="B3622" s="13" t="inlineStr">
        <is>
          <t>CW39</t>
        </is>
      </c>
      <c r="C3622" s="13" t="inlineStr">
        <is>
          <t>B2</t>
        </is>
      </c>
      <c r="D3622" s="13" t="n">
        <v>0</v>
      </c>
      <c r="E3622" s="13" t="inlineStr">
        <is>
          <t>W</t>
        </is>
      </c>
      <c r="F3622" s="13" t="n">
        <v>2021</v>
      </c>
      <c r="G3622" s="14" t="n">
        <v>1000901.92660699</v>
      </c>
      <c r="H3622" s="14" t="n">
        <v>238292.878619684</v>
      </c>
      <c r="I3622" s="14" t="n">
        <v>30224.29544549082</v>
      </c>
      <c r="J3622" s="14" t="n">
        <v>0</v>
      </c>
      <c r="K3622" s="14" t="n">
        <v>56997.67106667312</v>
      </c>
      <c r="L3622" s="14" t="n">
        <v>675387.0814751419</v>
      </c>
      <c r="M3622" s="14" t="n">
        <v>0</v>
      </c>
      <c r="N3622" s="14" t="n">
        <v>252434.3955367743</v>
      </c>
      <c r="O3622" s="14" t="n">
        <v>322577.8261039883</v>
      </c>
      <c r="P3622" s="14" t="n">
        <v>29618.34656001072</v>
      </c>
      <c r="Q3622" s="14" t="n">
        <v>2653938.262533539</v>
      </c>
      <c r="R3622" s="15">
        <f>IF(D3622=1,"Section 1","Control")</f>
        <v/>
      </c>
      <c r="S3622" s="16">
        <f>N3622/10000</f>
        <v/>
      </c>
      <c r="T3622" s="16">
        <f>P3622/10000</f>
        <v/>
      </c>
      <c r="U3622" s="15">
        <f>IF(N3622&gt;=Summary!$D$3,1,0)</f>
        <v/>
      </c>
      <c r="V3622" s="17">
        <f>IF(N3622&gt;0,P3622/N3622,"")</f>
        <v/>
      </c>
      <c r="W3622" s="17">
        <f>IF(O3622&gt;0,H3622/O3622,"")</f>
        <v/>
      </c>
    </row>
    <row r="3623">
      <c r="A3623" s="13" t="inlineStr">
        <is>
          <t>CW39_B2</t>
        </is>
      </c>
      <c r="B3623" s="13" t="inlineStr">
        <is>
          <t>CW39</t>
        </is>
      </c>
      <c r="C3623" s="13" t="inlineStr">
        <is>
          <t>B2</t>
        </is>
      </c>
      <c r="D3623" s="13" t="n">
        <v>0</v>
      </c>
      <c r="E3623" s="13" t="inlineStr">
        <is>
          <t>W</t>
        </is>
      </c>
      <c r="F3623" s="13" t="n">
        <v>2022</v>
      </c>
      <c r="G3623" s="14" t="n">
        <v>1000901.92660699</v>
      </c>
      <c r="H3623" s="14" t="n">
        <v>205382.454460533</v>
      </c>
      <c r="I3623" s="14" t="n">
        <v>44968.99928388409</v>
      </c>
      <c r="J3623" s="14" t="n">
        <v>0</v>
      </c>
      <c r="K3623" s="14" t="n">
        <v>90193.78171593162</v>
      </c>
      <c r="L3623" s="14" t="n">
        <v>660356.6911466412</v>
      </c>
      <c r="M3623" s="14" t="n">
        <v>0</v>
      </c>
      <c r="N3623" s="14" t="n">
        <v>252434.3955367743</v>
      </c>
      <c r="O3623" s="14" t="n">
        <v>322577.8261039884</v>
      </c>
      <c r="P3623" s="14" t="n">
        <v>55344.95754047469</v>
      </c>
      <c r="Q3623" s="14" t="n">
        <v>2653938.262533539</v>
      </c>
      <c r="R3623" s="15">
        <f>IF(D3623=1,"Section 1","Control")</f>
        <v/>
      </c>
      <c r="S3623" s="16">
        <f>N3623/10000</f>
        <v/>
      </c>
      <c r="T3623" s="16">
        <f>P3623/10000</f>
        <v/>
      </c>
      <c r="U3623" s="15">
        <f>IF(N3623&gt;=Summary!$D$3,1,0)</f>
        <v/>
      </c>
      <c r="V3623" s="17">
        <f>IF(N3623&gt;0,P3623/N3623,"")</f>
        <v/>
      </c>
      <c r="W3623" s="17">
        <f>IF(O3623&gt;0,H3623/O3623,"")</f>
        <v/>
      </c>
    </row>
    <row r="3624">
      <c r="A3624" s="13" t="inlineStr">
        <is>
          <t>CW39_B2</t>
        </is>
      </c>
      <c r="B3624" s="13" t="inlineStr">
        <is>
          <t>CW39</t>
        </is>
      </c>
      <c r="C3624" s="13" t="inlineStr">
        <is>
          <t>B2</t>
        </is>
      </c>
      <c r="D3624" s="13" t="n">
        <v>0</v>
      </c>
      <c r="E3624" s="13" t="inlineStr">
        <is>
          <t>W</t>
        </is>
      </c>
      <c r="F3624" s="13" t="n">
        <v>2023</v>
      </c>
      <c r="G3624" s="14" t="n">
        <v>1000901.92660699</v>
      </c>
      <c r="H3624" s="14" t="n">
        <v>204428.1183684405</v>
      </c>
      <c r="I3624" s="14" t="n">
        <v>46481.24205495797</v>
      </c>
      <c r="J3624" s="14" t="n">
        <v>0</v>
      </c>
      <c r="K3624" s="14" t="n">
        <v>67267.21776042265</v>
      </c>
      <c r="L3624" s="14" t="n">
        <v>682725.3484231688</v>
      </c>
      <c r="M3624" s="14" t="n">
        <v>0</v>
      </c>
      <c r="N3624" s="14" t="n">
        <v>252434.3955367743</v>
      </c>
      <c r="O3624" s="14" t="n">
        <v>322577.8261039883</v>
      </c>
      <c r="P3624" s="14" t="n">
        <v>57289.27563380822</v>
      </c>
      <c r="Q3624" s="14" t="n">
        <v>2653938.262533539</v>
      </c>
      <c r="R3624" s="15">
        <f>IF(D3624=1,"Section 1","Control")</f>
        <v/>
      </c>
      <c r="S3624" s="16">
        <f>N3624/10000</f>
        <v/>
      </c>
      <c r="T3624" s="16">
        <f>P3624/10000</f>
        <v/>
      </c>
      <c r="U3624" s="15">
        <f>IF(N3624&gt;=Summary!$D$3,1,0)</f>
        <v/>
      </c>
      <c r="V3624" s="17">
        <f>IF(N3624&gt;0,P3624/N3624,"")</f>
        <v/>
      </c>
      <c r="W3624" s="17">
        <f>IF(O3624&gt;0,H3624/O3624,"")</f>
        <v/>
      </c>
    </row>
    <row r="3625">
      <c r="A3625" s="13" t="inlineStr">
        <is>
          <t>CW39_B2</t>
        </is>
      </c>
      <c r="B3625" s="13" t="inlineStr">
        <is>
          <t>CW39</t>
        </is>
      </c>
      <c r="C3625" s="13" t="inlineStr">
        <is>
          <t>B2</t>
        </is>
      </c>
      <c r="D3625" s="13" t="n">
        <v>0</v>
      </c>
      <c r="E3625" s="13" t="inlineStr">
        <is>
          <t>W</t>
        </is>
      </c>
      <c r="F3625" s="13" t="n">
        <v>2024</v>
      </c>
      <c r="G3625" s="14" t="n">
        <v>1000901.92660699</v>
      </c>
      <c r="H3625" s="14" t="n">
        <v>229100.4585876465</v>
      </c>
      <c r="I3625" s="14" t="n">
        <v>30239.77463226319</v>
      </c>
      <c r="J3625" s="14" t="n">
        <v>0</v>
      </c>
      <c r="K3625" s="14" t="n">
        <v>53801.2959603104</v>
      </c>
      <c r="L3625" s="14" t="n">
        <v>687760.3974267698</v>
      </c>
      <c r="M3625" s="14" t="n">
        <v>0</v>
      </c>
      <c r="N3625" s="14" t="n">
        <v>252434.3955367743</v>
      </c>
      <c r="O3625" s="14" t="n">
        <v>322577.8261039884</v>
      </c>
      <c r="P3625" s="14" t="n">
        <v>39317.17503760843</v>
      </c>
      <c r="Q3625" s="14" t="n">
        <v>2653938.262533539</v>
      </c>
      <c r="R3625" s="15">
        <f>IF(D3625=1,"Section 1","Control")</f>
        <v/>
      </c>
      <c r="S3625" s="16">
        <f>N3625/10000</f>
        <v/>
      </c>
      <c r="T3625" s="16">
        <f>P3625/10000</f>
        <v/>
      </c>
      <c r="U3625" s="15">
        <f>IF(N3625&gt;=Summary!$D$3,1,0)</f>
        <v/>
      </c>
      <c r="V3625" s="17">
        <f>IF(N3625&gt;0,P3625/N3625,"")</f>
        <v/>
      </c>
      <c r="W3625" s="17">
        <f>IF(O3625&gt;0,H3625/O3625,"")</f>
        <v/>
      </c>
    </row>
    <row r="3626">
      <c r="A3626" s="13" t="inlineStr">
        <is>
          <t>CW39_B2</t>
        </is>
      </c>
      <c r="B3626" s="13" t="inlineStr">
        <is>
          <t>CW39</t>
        </is>
      </c>
      <c r="C3626" s="13" t="inlineStr">
        <is>
          <t>B2</t>
        </is>
      </c>
      <c r="D3626" s="13" t="n">
        <v>0</v>
      </c>
      <c r="E3626" s="13" t="inlineStr">
        <is>
          <t>W</t>
        </is>
      </c>
      <c r="F3626" s="13" t="n">
        <v>2025</v>
      </c>
      <c r="G3626" s="14" t="n">
        <v>1000901.92660699</v>
      </c>
      <c r="H3626" s="14" t="n">
        <v>237951.0243655934</v>
      </c>
      <c r="I3626" s="14" t="n">
        <v>27592.72118889304</v>
      </c>
      <c r="J3626" s="14" t="n">
        <v>0</v>
      </c>
      <c r="K3626" s="14" t="n">
        <v>49351.2410140692</v>
      </c>
      <c r="L3626" s="14" t="n">
        <v>686006.9400384342</v>
      </c>
      <c r="M3626" s="14" t="n">
        <v>0</v>
      </c>
      <c r="N3626" s="14" t="n">
        <v>252434.3955367743</v>
      </c>
      <c r="O3626" s="14" t="n">
        <v>322577.8261039883</v>
      </c>
      <c r="P3626" s="14" t="n">
        <v>31674.18329081816</v>
      </c>
      <c r="Q3626" s="14" t="n">
        <v>2653938.26253354</v>
      </c>
      <c r="R3626" s="15">
        <f>IF(D3626=1,"Section 1","Control")</f>
        <v/>
      </c>
      <c r="S3626" s="16">
        <f>N3626/10000</f>
        <v/>
      </c>
      <c r="T3626" s="16">
        <f>P3626/10000</f>
        <v/>
      </c>
      <c r="U3626" s="15">
        <f>IF(N3626&gt;=Summary!$D$3,1,0)</f>
        <v/>
      </c>
      <c r="V3626" s="17">
        <f>IF(N3626&gt;0,P3626/N3626,"")</f>
        <v/>
      </c>
      <c r="W3626" s="17">
        <f>IF(O3626&gt;0,H3626/O3626,"")</f>
        <v/>
      </c>
    </row>
    <row r="3627">
      <c r="A3627" s="13" t="inlineStr">
        <is>
          <t>CW39_B2</t>
        </is>
      </c>
      <c r="B3627" s="13" t="inlineStr">
        <is>
          <t>CW39</t>
        </is>
      </c>
      <c r="C3627" s="13" t="inlineStr">
        <is>
          <t>B2</t>
        </is>
      </c>
      <c r="D3627" s="13" t="n">
        <v>0</v>
      </c>
      <c r="E3627" s="13" t="inlineStr">
        <is>
          <t>W</t>
        </is>
      </c>
      <c r="F3627" s="13" t="n">
        <v>2026</v>
      </c>
      <c r="G3627" s="14" t="n">
        <v>1000901.92660699</v>
      </c>
      <c r="H3627" s="14" t="n">
        <v>245486.7988261803</v>
      </c>
      <c r="I3627" s="14" t="n">
        <v>13424.85353438433</v>
      </c>
      <c r="J3627" s="14" t="n">
        <v>0</v>
      </c>
      <c r="K3627" s="14" t="n">
        <v>51959.17834858614</v>
      </c>
      <c r="L3627" s="14" t="n">
        <v>690031.0958978392</v>
      </c>
      <c r="M3627" s="14" t="n">
        <v>0</v>
      </c>
      <c r="N3627" s="14" t="n">
        <v>252434.3955367743</v>
      </c>
      <c r="O3627" s="14" t="n">
        <v>322577.8261039884</v>
      </c>
      <c r="P3627" s="14" t="n">
        <v>32370.28416957481</v>
      </c>
      <c r="Q3627" s="14" t="n">
        <v>2653938.262533539</v>
      </c>
      <c r="R3627" s="15">
        <f>IF(D3627=1,"Section 1","Control")</f>
        <v/>
      </c>
      <c r="S3627" s="16">
        <f>N3627/10000</f>
        <v/>
      </c>
      <c r="T3627" s="16">
        <f>P3627/10000</f>
        <v/>
      </c>
      <c r="U3627" s="15">
        <f>IF(N3627&gt;=Summary!$D$3,1,0)</f>
        <v/>
      </c>
      <c r="V3627" s="17">
        <f>IF(N3627&gt;0,P3627/N3627,"")</f>
        <v/>
      </c>
      <c r="W3627" s="17">
        <f>IF(O3627&gt;0,H3627/O3627,"")</f>
        <v/>
      </c>
    </row>
    <row r="3628">
      <c r="A3628" s="13" t="inlineStr">
        <is>
          <t>CW39_B3</t>
        </is>
      </c>
      <c r="B3628" s="13" t="inlineStr">
        <is>
          <t>CW39</t>
        </is>
      </c>
      <c r="C3628" s="13" t="inlineStr">
        <is>
          <t>B3</t>
        </is>
      </c>
      <c r="D3628" s="13" t="n">
        <v>0</v>
      </c>
      <c r="E3628" s="13" t="inlineStr">
        <is>
          <t>W</t>
        </is>
      </c>
      <c r="F3628" s="13" t="n">
        <v>2020</v>
      </c>
      <c r="G3628" s="14" t="n">
        <v>8005551.125687153</v>
      </c>
      <c r="H3628" s="14" t="n">
        <v>2983457.289731165</v>
      </c>
      <c r="I3628" s="14" t="n">
        <v>205929.059438668</v>
      </c>
      <c r="J3628" s="14" t="n">
        <v>0</v>
      </c>
      <c r="K3628" s="14" t="n">
        <v>204013.8739345177</v>
      </c>
      <c r="L3628" s="14" t="n">
        <v>4612150.902582803</v>
      </c>
      <c r="M3628" s="14" t="n">
        <v>0</v>
      </c>
      <c r="N3628" s="14" t="n">
        <v>2983457.289731165</v>
      </c>
      <c r="O3628" s="14" t="n">
        <v>3393400.223104351</v>
      </c>
      <c r="P3628" s="14" t="n">
        <v>0</v>
      </c>
      <c r="Q3628" s="14" t="n">
        <v>19694916.98091622</v>
      </c>
      <c r="R3628" s="15">
        <f>IF(D3628=1,"Section 1","Control")</f>
        <v/>
      </c>
      <c r="S3628" s="16">
        <f>N3628/10000</f>
        <v/>
      </c>
      <c r="T3628" s="16">
        <f>P3628/10000</f>
        <v/>
      </c>
      <c r="U3628" s="15">
        <f>IF(N3628&gt;=Summary!$D$3,1,0)</f>
        <v/>
      </c>
      <c r="V3628" s="17">
        <f>IF(N3628&gt;0,P3628/N3628,"")</f>
        <v/>
      </c>
      <c r="W3628" s="17">
        <f>IF(O3628&gt;0,H3628/O3628,"")</f>
        <v/>
      </c>
    </row>
    <row r="3629">
      <c r="A3629" s="13" t="inlineStr">
        <is>
          <t>CW39_B3</t>
        </is>
      </c>
      <c r="B3629" s="13" t="inlineStr">
        <is>
          <t>CW39</t>
        </is>
      </c>
      <c r="C3629" s="13" t="inlineStr">
        <is>
          <t>B3</t>
        </is>
      </c>
      <c r="D3629" s="13" t="n">
        <v>0</v>
      </c>
      <c r="E3629" s="13" t="inlineStr">
        <is>
          <t>W</t>
        </is>
      </c>
      <c r="F3629" s="13" t="n">
        <v>2021</v>
      </c>
      <c r="G3629" s="14" t="n">
        <v>8005551.125687152</v>
      </c>
      <c r="H3629" s="14" t="n">
        <v>3044519.516391411</v>
      </c>
      <c r="I3629" s="14" t="n">
        <v>65477.09434099384</v>
      </c>
      <c r="J3629" s="14" t="n">
        <v>0</v>
      </c>
      <c r="K3629" s="14" t="n">
        <v>334287.4266759536</v>
      </c>
      <c r="L3629" s="14" t="n">
        <v>4561267.088278797</v>
      </c>
      <c r="M3629" s="14" t="n">
        <v>0</v>
      </c>
      <c r="N3629" s="14" t="n">
        <v>2983457.289731165</v>
      </c>
      <c r="O3629" s="14" t="n">
        <v>3393400.223104351</v>
      </c>
      <c r="P3629" s="14" t="n">
        <v>82632.80763358322</v>
      </c>
      <c r="Q3629" s="14" t="n">
        <v>19694916.98091622</v>
      </c>
      <c r="R3629" s="15">
        <f>IF(D3629=1,"Section 1","Control")</f>
        <v/>
      </c>
      <c r="S3629" s="16">
        <f>N3629/10000</f>
        <v/>
      </c>
      <c r="T3629" s="16">
        <f>P3629/10000</f>
        <v/>
      </c>
      <c r="U3629" s="15">
        <f>IF(N3629&gt;=Summary!$D$3,1,0)</f>
        <v/>
      </c>
      <c r="V3629" s="17">
        <f>IF(N3629&gt;0,P3629/N3629,"")</f>
        <v/>
      </c>
      <c r="W3629" s="17">
        <f>IF(O3629&gt;0,H3629/O3629,"")</f>
        <v/>
      </c>
    </row>
    <row r="3630">
      <c r="A3630" s="13" t="inlineStr">
        <is>
          <t>CW39_B3</t>
        </is>
      </c>
      <c r="B3630" s="13" t="inlineStr">
        <is>
          <t>CW39</t>
        </is>
      </c>
      <c r="C3630" s="13" t="inlineStr">
        <is>
          <t>B3</t>
        </is>
      </c>
      <c r="D3630" s="13" t="n">
        <v>0</v>
      </c>
      <c r="E3630" s="13" t="inlineStr">
        <is>
          <t>W</t>
        </is>
      </c>
      <c r="F3630" s="13" t="n">
        <v>2022</v>
      </c>
      <c r="G3630" s="14" t="n">
        <v>8005551.125687152</v>
      </c>
      <c r="H3630" s="14" t="n">
        <v>2887328.302065413</v>
      </c>
      <c r="I3630" s="14" t="n">
        <v>205167.2889248717</v>
      </c>
      <c r="J3630" s="14" t="n">
        <v>0</v>
      </c>
      <c r="K3630" s="14" t="n">
        <v>348549.3909092024</v>
      </c>
      <c r="L3630" s="14" t="n">
        <v>4564506.143787668</v>
      </c>
      <c r="M3630" s="14" t="n">
        <v>0</v>
      </c>
      <c r="N3630" s="14" t="n">
        <v>2983457.289731165</v>
      </c>
      <c r="O3630" s="14" t="n">
        <v>3393400.223104351</v>
      </c>
      <c r="P3630" s="14" t="n">
        <v>194106.6160657995</v>
      </c>
      <c r="Q3630" s="14" t="n">
        <v>19694916.98091622</v>
      </c>
      <c r="R3630" s="15">
        <f>IF(D3630=1,"Section 1","Control")</f>
        <v/>
      </c>
      <c r="S3630" s="16">
        <f>N3630/10000</f>
        <v/>
      </c>
      <c r="T3630" s="16">
        <f>P3630/10000</f>
        <v/>
      </c>
      <c r="U3630" s="15">
        <f>IF(N3630&gt;=Summary!$D$3,1,0)</f>
        <v/>
      </c>
      <c r="V3630" s="17">
        <f>IF(N3630&gt;0,P3630/N3630,"")</f>
        <v/>
      </c>
      <c r="W3630" s="17">
        <f>IF(O3630&gt;0,H3630/O3630,"")</f>
        <v/>
      </c>
    </row>
    <row r="3631">
      <c r="A3631" s="13" t="inlineStr">
        <is>
          <t>CW39_B3</t>
        </is>
      </c>
      <c r="B3631" s="13" t="inlineStr">
        <is>
          <t>CW39</t>
        </is>
      </c>
      <c r="C3631" s="13" t="inlineStr">
        <is>
          <t>B3</t>
        </is>
      </c>
      <c r="D3631" s="13" t="n">
        <v>0</v>
      </c>
      <c r="E3631" s="13" t="inlineStr">
        <is>
          <t>W</t>
        </is>
      </c>
      <c r="F3631" s="13" t="n">
        <v>2023</v>
      </c>
      <c r="G3631" s="14" t="n">
        <v>8005551.125687152</v>
      </c>
      <c r="H3631" s="14" t="n">
        <v>3022325.481888087</v>
      </c>
      <c r="I3631" s="14" t="n">
        <v>49515.09012029311</v>
      </c>
      <c r="J3631" s="14" t="n">
        <v>0</v>
      </c>
      <c r="K3631" s="14" t="n">
        <v>317540.2156488755</v>
      </c>
      <c r="L3631" s="14" t="n">
        <v>4616170.338029899</v>
      </c>
      <c r="M3631" s="14" t="n">
        <v>0</v>
      </c>
      <c r="N3631" s="14" t="n">
        <v>2983457.289731165</v>
      </c>
      <c r="O3631" s="14" t="n">
        <v>3393400.223104351</v>
      </c>
      <c r="P3631" s="14" t="n">
        <v>124210.7159182979</v>
      </c>
      <c r="Q3631" s="14" t="n">
        <v>19694916.98091622</v>
      </c>
      <c r="R3631" s="15">
        <f>IF(D3631=1,"Section 1","Control")</f>
        <v/>
      </c>
      <c r="S3631" s="16">
        <f>N3631/10000</f>
        <v/>
      </c>
      <c r="T3631" s="16">
        <f>P3631/10000</f>
        <v/>
      </c>
      <c r="U3631" s="15">
        <f>IF(N3631&gt;=Summary!$D$3,1,0)</f>
        <v/>
      </c>
      <c r="V3631" s="17">
        <f>IF(N3631&gt;0,P3631/N3631,"")</f>
        <v/>
      </c>
      <c r="W3631" s="17">
        <f>IF(O3631&gt;0,H3631/O3631,"")</f>
        <v/>
      </c>
    </row>
    <row r="3632">
      <c r="A3632" s="13" t="inlineStr">
        <is>
          <t>CW39_B3</t>
        </is>
      </c>
      <c r="B3632" s="13" t="inlineStr">
        <is>
          <t>CW39</t>
        </is>
      </c>
      <c r="C3632" s="13" t="inlineStr">
        <is>
          <t>B3</t>
        </is>
      </c>
      <c r="D3632" s="13" t="n">
        <v>0</v>
      </c>
      <c r="E3632" s="13" t="inlineStr">
        <is>
          <t>W</t>
        </is>
      </c>
      <c r="F3632" s="13" t="n">
        <v>2024</v>
      </c>
      <c r="G3632" s="14" t="n">
        <v>8005551.125687152</v>
      </c>
      <c r="H3632" s="14" t="n">
        <v>3042092.490929608</v>
      </c>
      <c r="I3632" s="14" t="n">
        <v>28784.42685606713</v>
      </c>
      <c r="J3632" s="14" t="n">
        <v>0</v>
      </c>
      <c r="K3632" s="14" t="n">
        <v>327125.3883098527</v>
      </c>
      <c r="L3632" s="14" t="n">
        <v>4607548.819591627</v>
      </c>
      <c r="M3632" s="14" t="n">
        <v>0</v>
      </c>
      <c r="N3632" s="14" t="n">
        <v>2983457.289731165</v>
      </c>
      <c r="O3632" s="14" t="n">
        <v>3393400.223104351</v>
      </c>
      <c r="P3632" s="14" t="n">
        <v>116169.8099780812</v>
      </c>
      <c r="Q3632" s="14" t="n">
        <v>19694916.98091622</v>
      </c>
      <c r="R3632" s="15">
        <f>IF(D3632=1,"Section 1","Control")</f>
        <v/>
      </c>
      <c r="S3632" s="16">
        <f>N3632/10000</f>
        <v/>
      </c>
      <c r="T3632" s="16">
        <f>P3632/10000</f>
        <v/>
      </c>
      <c r="U3632" s="15">
        <f>IF(N3632&gt;=Summary!$D$3,1,0)</f>
        <v/>
      </c>
      <c r="V3632" s="17">
        <f>IF(N3632&gt;0,P3632/N3632,"")</f>
        <v/>
      </c>
      <c r="W3632" s="17">
        <f>IF(O3632&gt;0,H3632/O3632,"")</f>
        <v/>
      </c>
    </row>
    <row r="3633">
      <c r="A3633" s="13" t="inlineStr">
        <is>
          <t>CW39_B3</t>
        </is>
      </c>
      <c r="B3633" s="13" t="inlineStr">
        <is>
          <t>CW39</t>
        </is>
      </c>
      <c r="C3633" s="13" t="inlineStr">
        <is>
          <t>B3</t>
        </is>
      </c>
      <c r="D3633" s="13" t="n">
        <v>0</v>
      </c>
      <c r="E3633" s="13" t="inlineStr">
        <is>
          <t>W</t>
        </is>
      </c>
      <c r="F3633" s="13" t="n">
        <v>2025</v>
      </c>
      <c r="G3633" s="14" t="n">
        <v>8005551.125687151</v>
      </c>
      <c r="H3633" s="14" t="n">
        <v>3028727.233266254</v>
      </c>
      <c r="I3633" s="14" t="n">
        <v>46841.17361094157</v>
      </c>
      <c r="J3633" s="14" t="n">
        <v>0</v>
      </c>
      <c r="K3633" s="14" t="n">
        <v>304991.0323460897</v>
      </c>
      <c r="L3633" s="14" t="n">
        <v>4624991.686463867</v>
      </c>
      <c r="M3633" s="14" t="n">
        <v>0</v>
      </c>
      <c r="N3633" s="14" t="n">
        <v>2983457.289731165</v>
      </c>
      <c r="O3633" s="14" t="n">
        <v>3393400.223104351</v>
      </c>
      <c r="P3633" s="14" t="n">
        <v>123038.2337336821</v>
      </c>
      <c r="Q3633" s="14" t="n">
        <v>19694916.98091622</v>
      </c>
      <c r="R3633" s="15">
        <f>IF(D3633=1,"Section 1","Control")</f>
        <v/>
      </c>
      <c r="S3633" s="16">
        <f>N3633/10000</f>
        <v/>
      </c>
      <c r="T3633" s="16">
        <f>P3633/10000</f>
        <v/>
      </c>
      <c r="U3633" s="15">
        <f>IF(N3633&gt;=Summary!$D$3,1,0)</f>
        <v/>
      </c>
      <c r="V3633" s="17">
        <f>IF(N3633&gt;0,P3633/N3633,"")</f>
        <v/>
      </c>
      <c r="W3633" s="17">
        <f>IF(O3633&gt;0,H3633/O3633,"")</f>
        <v/>
      </c>
    </row>
    <row r="3634">
      <c r="A3634" s="13" t="inlineStr">
        <is>
          <t>CW39_B3</t>
        </is>
      </c>
      <c r="B3634" s="13" t="inlineStr">
        <is>
          <t>CW39</t>
        </is>
      </c>
      <c r="C3634" s="13" t="inlineStr">
        <is>
          <t>B3</t>
        </is>
      </c>
      <c r="D3634" s="13" t="n">
        <v>0</v>
      </c>
      <c r="E3634" s="13" t="inlineStr">
        <is>
          <t>W</t>
        </is>
      </c>
      <c r="F3634" s="13" t="n">
        <v>2026</v>
      </c>
      <c r="G3634" s="14" t="n">
        <v>8005551.125687153</v>
      </c>
      <c r="H3634" s="14" t="n">
        <v>2993445.015524622</v>
      </c>
      <c r="I3634" s="14" t="n">
        <v>69564.5039908914</v>
      </c>
      <c r="J3634" s="14" t="n">
        <v>0</v>
      </c>
      <c r="K3634" s="14" t="n">
        <v>313880.147860269</v>
      </c>
      <c r="L3634" s="14" t="n">
        <v>4628661.458311372</v>
      </c>
      <c r="M3634" s="14" t="n">
        <v>0</v>
      </c>
      <c r="N3634" s="14" t="n">
        <v>2983457.289731164</v>
      </c>
      <c r="O3634" s="14" t="n">
        <v>3393400.223104351</v>
      </c>
      <c r="P3634" s="14" t="n">
        <v>153573.9120246738</v>
      </c>
      <c r="Q3634" s="14" t="n">
        <v>19694916.98091622</v>
      </c>
      <c r="R3634" s="15">
        <f>IF(D3634=1,"Section 1","Control")</f>
        <v/>
      </c>
      <c r="S3634" s="16">
        <f>N3634/10000</f>
        <v/>
      </c>
      <c r="T3634" s="16">
        <f>P3634/10000</f>
        <v/>
      </c>
      <c r="U3634" s="15">
        <f>IF(N3634&gt;=Summary!$D$3,1,0)</f>
        <v/>
      </c>
      <c r="V3634" s="17">
        <f>IF(N3634&gt;0,P3634/N3634,"")</f>
        <v/>
      </c>
      <c r="W3634" s="17">
        <f>IF(O3634&gt;0,H3634/O3634,"")</f>
        <v/>
      </c>
    </row>
    <row r="3635">
      <c r="A3635" s="13" t="inlineStr">
        <is>
          <t>CW39_F</t>
        </is>
      </c>
      <c r="B3635" s="13" t="inlineStr">
        <is>
          <t>CW39</t>
        </is>
      </c>
      <c r="C3635" s="13" t="inlineStr">
        <is>
          <t>F</t>
        </is>
      </c>
      <c r="D3635" s="13" t="n">
        <v>0</v>
      </c>
      <c r="E3635" s="13" t="inlineStr">
        <is>
          <t>W</t>
        </is>
      </c>
      <c r="F3635" s="13" t="n">
        <v>2020</v>
      </c>
      <c r="G3635" s="14" t="n">
        <v>69080.74859517417</v>
      </c>
      <c r="H3635" s="14" t="n">
        <v>16770.93430522844</v>
      </c>
      <c r="I3635" s="14" t="n">
        <v>35312.77204826204</v>
      </c>
      <c r="J3635" s="14" t="n">
        <v>0</v>
      </c>
      <c r="K3635" s="14" t="n">
        <v>16997.04224168366</v>
      </c>
      <c r="L3635" s="14" t="n">
        <v>0</v>
      </c>
      <c r="M3635" s="14" t="n">
        <v>0</v>
      </c>
      <c r="N3635" s="14" t="n">
        <v>16770.93430522844</v>
      </c>
      <c r="O3635" s="14" t="n">
        <v>69080.74859517417</v>
      </c>
      <c r="P3635" s="14" t="n">
        <v>0</v>
      </c>
      <c r="Q3635" s="14" t="n">
        <v>854944.4526242722</v>
      </c>
      <c r="R3635" s="15">
        <f>IF(D3635=1,"Section 1","Control")</f>
        <v/>
      </c>
      <c r="S3635" s="16">
        <f>N3635/10000</f>
        <v/>
      </c>
      <c r="T3635" s="16">
        <f>P3635/10000</f>
        <v/>
      </c>
      <c r="U3635" s="15">
        <f>IF(N3635&gt;=Summary!$D$3,1,0)</f>
        <v/>
      </c>
      <c r="V3635" s="17">
        <f>IF(N3635&gt;0,P3635/N3635,"")</f>
        <v/>
      </c>
      <c r="W3635" s="17">
        <f>IF(O3635&gt;0,H3635/O3635,"")</f>
        <v/>
      </c>
    </row>
    <row r="3636">
      <c r="A3636" s="13" t="inlineStr">
        <is>
          <t>CW39_F</t>
        </is>
      </c>
      <c r="B3636" s="13" t="inlineStr">
        <is>
          <t>CW39</t>
        </is>
      </c>
      <c r="C3636" s="13" t="inlineStr">
        <is>
          <t>F</t>
        </is>
      </c>
      <c r="D3636" s="13" t="n">
        <v>0</v>
      </c>
      <c r="E3636" s="13" t="inlineStr">
        <is>
          <t>W</t>
        </is>
      </c>
      <c r="F3636" s="13" t="n">
        <v>2021</v>
      </c>
      <c r="G3636" s="14" t="n">
        <v>69080.74859517417</v>
      </c>
      <c r="H3636" s="14" t="n">
        <v>9589.75039759617</v>
      </c>
      <c r="I3636" s="14" t="n">
        <v>32507.35632201548</v>
      </c>
      <c r="J3636" s="14" t="n">
        <v>0</v>
      </c>
      <c r="K3636" s="14" t="n">
        <v>26983.64187556248</v>
      </c>
      <c r="L3636" s="14" t="n">
        <v>0</v>
      </c>
      <c r="M3636" s="14" t="n">
        <v>0</v>
      </c>
      <c r="N3636" s="14" t="n">
        <v>16770.93430522844</v>
      </c>
      <c r="O3636" s="14" t="n">
        <v>69080.74859517417</v>
      </c>
      <c r="P3636" s="14" t="n">
        <v>7181.183907632267</v>
      </c>
      <c r="Q3636" s="14" t="n">
        <v>854944.4526242722</v>
      </c>
      <c r="R3636" s="15">
        <f>IF(D3636=1,"Section 1","Control")</f>
        <v/>
      </c>
      <c r="S3636" s="16">
        <f>N3636/10000</f>
        <v/>
      </c>
      <c r="T3636" s="16">
        <f>P3636/10000</f>
        <v/>
      </c>
      <c r="U3636" s="15">
        <f>IF(N3636&gt;=Summary!$D$3,1,0)</f>
        <v/>
      </c>
      <c r="V3636" s="17">
        <f>IF(N3636&gt;0,P3636/N3636,"")</f>
        <v/>
      </c>
      <c r="W3636" s="17">
        <f>IF(O3636&gt;0,H3636/O3636,"")</f>
        <v/>
      </c>
    </row>
    <row r="3637">
      <c r="A3637" s="13" t="inlineStr">
        <is>
          <t>CW39_F</t>
        </is>
      </c>
      <c r="B3637" s="13" t="inlineStr">
        <is>
          <t>CW39</t>
        </is>
      </c>
      <c r="C3637" s="13" t="inlineStr">
        <is>
          <t>F</t>
        </is>
      </c>
      <c r="D3637" s="13" t="n">
        <v>0</v>
      </c>
      <c r="E3637" s="13" t="inlineStr">
        <is>
          <t>W</t>
        </is>
      </c>
      <c r="F3637" s="13" t="n">
        <v>2022</v>
      </c>
      <c r="G3637" s="14" t="n">
        <v>69080.74859517417</v>
      </c>
      <c r="H3637" s="14" t="n">
        <v>9274.595758056639</v>
      </c>
      <c r="I3637" s="14" t="n">
        <v>37121.61950112136</v>
      </c>
      <c r="J3637" s="14" t="n">
        <v>0</v>
      </c>
      <c r="K3637" s="14" t="n">
        <v>22684.53333599614</v>
      </c>
      <c r="L3637" s="14" t="n">
        <v>0</v>
      </c>
      <c r="M3637" s="14" t="n">
        <v>0</v>
      </c>
      <c r="N3637" s="14" t="n">
        <v>16770.93430522844</v>
      </c>
      <c r="O3637" s="14" t="n">
        <v>69080.74859517417</v>
      </c>
      <c r="P3637" s="14" t="n">
        <v>8007.786708786909</v>
      </c>
      <c r="Q3637" s="14" t="n">
        <v>854944.4526242722</v>
      </c>
      <c r="R3637" s="15">
        <f>IF(D3637=1,"Section 1","Control")</f>
        <v/>
      </c>
      <c r="S3637" s="16">
        <f>N3637/10000</f>
        <v/>
      </c>
      <c r="T3637" s="16">
        <f>P3637/10000</f>
        <v/>
      </c>
      <c r="U3637" s="15">
        <f>IF(N3637&gt;=Summary!$D$3,1,0)</f>
        <v/>
      </c>
      <c r="V3637" s="17">
        <f>IF(N3637&gt;0,P3637/N3637,"")</f>
        <v/>
      </c>
      <c r="W3637" s="17">
        <f>IF(O3637&gt;0,H3637/O3637,"")</f>
        <v/>
      </c>
    </row>
    <row r="3638">
      <c r="A3638" s="13" t="inlineStr">
        <is>
          <t>CW39_F</t>
        </is>
      </c>
      <c r="B3638" s="13" t="inlineStr">
        <is>
          <t>CW39</t>
        </is>
      </c>
      <c r="C3638" s="13" t="inlineStr">
        <is>
          <t>F</t>
        </is>
      </c>
      <c r="D3638" s="13" t="n">
        <v>0</v>
      </c>
      <c r="E3638" s="13" t="inlineStr">
        <is>
          <t>W</t>
        </is>
      </c>
      <c r="F3638" s="13" t="n">
        <v>2023</v>
      </c>
      <c r="G3638" s="14" t="n">
        <v>69080.74859517417</v>
      </c>
      <c r="H3638" s="14" t="n">
        <v>10393.89730122884</v>
      </c>
      <c r="I3638" s="14" t="n">
        <v>41792.79529984416</v>
      </c>
      <c r="J3638" s="14" t="n">
        <v>0</v>
      </c>
      <c r="K3638" s="14" t="n">
        <v>16894.05599410113</v>
      </c>
      <c r="L3638" s="14" t="n">
        <v>0</v>
      </c>
      <c r="M3638" s="14" t="n">
        <v>0</v>
      </c>
      <c r="N3638" s="14" t="n">
        <v>16770.93430522844</v>
      </c>
      <c r="O3638" s="14" t="n">
        <v>69080.74859517417</v>
      </c>
      <c r="P3638" s="14" t="n">
        <v>7832.786801895441</v>
      </c>
      <c r="Q3638" s="14" t="n">
        <v>854944.4526242722</v>
      </c>
      <c r="R3638" s="15">
        <f>IF(D3638=1,"Section 1","Control")</f>
        <v/>
      </c>
      <c r="S3638" s="16">
        <f>N3638/10000</f>
        <v/>
      </c>
      <c r="T3638" s="16">
        <f>P3638/10000</f>
        <v/>
      </c>
      <c r="U3638" s="15">
        <f>IF(N3638&gt;=Summary!$D$3,1,0)</f>
        <v/>
      </c>
      <c r="V3638" s="17">
        <f>IF(N3638&gt;0,P3638/N3638,"")</f>
        <v/>
      </c>
      <c r="W3638" s="17">
        <f>IF(O3638&gt;0,H3638/O3638,"")</f>
        <v/>
      </c>
    </row>
    <row r="3639">
      <c r="A3639" s="13" t="inlineStr">
        <is>
          <t>CW39_F</t>
        </is>
      </c>
      <c r="B3639" s="13" t="inlineStr">
        <is>
          <t>CW39</t>
        </is>
      </c>
      <c r="C3639" s="13" t="inlineStr">
        <is>
          <t>F</t>
        </is>
      </c>
      <c r="D3639" s="13" t="n">
        <v>0</v>
      </c>
      <c r="E3639" s="13" t="inlineStr">
        <is>
          <t>W</t>
        </is>
      </c>
      <c r="F3639" s="13" t="n">
        <v>2024</v>
      </c>
      <c r="G3639" s="14" t="n">
        <v>69080.74859517417</v>
      </c>
      <c r="H3639" s="14" t="n">
        <v>25285.13493652343</v>
      </c>
      <c r="I3639" s="14" t="n">
        <v>23573.07883926093</v>
      </c>
      <c r="J3639" s="14" t="n">
        <v>0</v>
      </c>
      <c r="K3639" s="14" t="n">
        <v>20222.5348193898</v>
      </c>
      <c r="L3639" s="14" t="n">
        <v>0</v>
      </c>
      <c r="M3639" s="14" t="n">
        <v>0</v>
      </c>
      <c r="N3639" s="14" t="n">
        <v>16770.93430522844</v>
      </c>
      <c r="O3639" s="14" t="n">
        <v>69080.74859517417</v>
      </c>
      <c r="P3639" s="14" t="n">
        <v>4730.41328127992</v>
      </c>
      <c r="Q3639" s="14" t="n">
        <v>854944.4526242722</v>
      </c>
      <c r="R3639" s="15">
        <f>IF(D3639=1,"Section 1","Control")</f>
        <v/>
      </c>
      <c r="S3639" s="16">
        <f>N3639/10000</f>
        <v/>
      </c>
      <c r="T3639" s="16">
        <f>P3639/10000</f>
        <v/>
      </c>
      <c r="U3639" s="15">
        <f>IF(N3639&gt;=Summary!$D$3,1,0)</f>
        <v/>
      </c>
      <c r="V3639" s="17">
        <f>IF(N3639&gt;0,P3639/N3639,"")</f>
        <v/>
      </c>
      <c r="W3639" s="17">
        <f>IF(O3639&gt;0,H3639/O3639,"")</f>
        <v/>
      </c>
    </row>
    <row r="3640">
      <c r="A3640" s="13" t="inlineStr">
        <is>
          <t>CW39_F</t>
        </is>
      </c>
      <c r="B3640" s="13" t="inlineStr">
        <is>
          <t>CW39</t>
        </is>
      </c>
      <c r="C3640" s="13" t="inlineStr">
        <is>
          <t>F</t>
        </is>
      </c>
      <c r="D3640" s="13" t="n">
        <v>0</v>
      </c>
      <c r="E3640" s="13" t="inlineStr">
        <is>
          <t>W</t>
        </is>
      </c>
      <c r="F3640" s="13" t="n">
        <v>2025</v>
      </c>
      <c r="G3640" s="14" t="n">
        <v>69080.74859517415</v>
      </c>
      <c r="H3640" s="14" t="n">
        <v>12465.63078900506</v>
      </c>
      <c r="I3640" s="14" t="n">
        <v>44408.11293460619</v>
      </c>
      <c r="J3640" s="14" t="n">
        <v>0</v>
      </c>
      <c r="K3640" s="14" t="n">
        <v>12207.00487156288</v>
      </c>
      <c r="L3640" s="14" t="n">
        <v>0</v>
      </c>
      <c r="M3640" s="14" t="n">
        <v>0</v>
      </c>
      <c r="N3640" s="14" t="n">
        <v>16770.93430522844</v>
      </c>
      <c r="O3640" s="14" t="n">
        <v>69080.74859517415</v>
      </c>
      <c r="P3640" s="14" t="n">
        <v>8415.473922220866</v>
      </c>
      <c r="Q3640" s="14" t="n">
        <v>854944.4526242722</v>
      </c>
      <c r="R3640" s="15">
        <f>IF(D3640=1,"Section 1","Control")</f>
        <v/>
      </c>
      <c r="S3640" s="16">
        <f>N3640/10000</f>
        <v/>
      </c>
      <c r="T3640" s="16">
        <f>P3640/10000</f>
        <v/>
      </c>
      <c r="U3640" s="15">
        <f>IF(N3640&gt;=Summary!$D$3,1,0)</f>
        <v/>
      </c>
      <c r="V3640" s="17">
        <f>IF(N3640&gt;0,P3640/N3640,"")</f>
        <v/>
      </c>
      <c r="W3640" s="17">
        <f>IF(O3640&gt;0,H3640/O3640,"")</f>
        <v/>
      </c>
    </row>
    <row r="3641">
      <c r="A3641" s="13" t="inlineStr">
        <is>
          <t>CW39_F</t>
        </is>
      </c>
      <c r="B3641" s="13" t="inlineStr">
        <is>
          <t>CW39</t>
        </is>
      </c>
      <c r="C3641" s="13" t="inlineStr">
        <is>
          <t>F</t>
        </is>
      </c>
      <c r="D3641" s="13" t="n">
        <v>0</v>
      </c>
      <c r="E3641" s="13" t="inlineStr">
        <is>
          <t>W</t>
        </is>
      </c>
      <c r="F3641" s="13" t="n">
        <v>2026</v>
      </c>
      <c r="G3641" s="14" t="n">
        <v>69080.74859517417</v>
      </c>
      <c r="H3641" s="14" t="n">
        <v>28962.83873419668</v>
      </c>
      <c r="I3641" s="14" t="n">
        <v>20824.57740242154</v>
      </c>
      <c r="J3641" s="14" t="n">
        <v>0</v>
      </c>
      <c r="K3641" s="14" t="n">
        <v>19293.33245855593</v>
      </c>
      <c r="L3641" s="14" t="n">
        <v>0</v>
      </c>
      <c r="M3641" s="14" t="n">
        <v>0</v>
      </c>
      <c r="N3641" s="14" t="n">
        <v>16770.93430522844</v>
      </c>
      <c r="O3641" s="14" t="n">
        <v>69080.74859517417</v>
      </c>
      <c r="P3641" s="14" t="n">
        <v>4498.11273947323</v>
      </c>
      <c r="Q3641" s="14" t="n">
        <v>854944.4526242722</v>
      </c>
      <c r="R3641" s="15">
        <f>IF(D3641=1,"Section 1","Control")</f>
        <v/>
      </c>
      <c r="S3641" s="16">
        <f>N3641/10000</f>
        <v/>
      </c>
      <c r="T3641" s="16">
        <f>P3641/10000</f>
        <v/>
      </c>
      <c r="U3641" s="15">
        <f>IF(N3641&gt;=Summary!$D$3,1,0)</f>
        <v/>
      </c>
      <c r="V3641" s="17">
        <f>IF(N3641&gt;0,P3641/N3641,"")</f>
        <v/>
      </c>
      <c r="W3641" s="17">
        <f>IF(O3641&gt;0,H3641/O3641,"")</f>
        <v/>
      </c>
    </row>
    <row r="3642">
      <c r="A3642" s="13" t="inlineStr">
        <is>
          <t>CW40_B1</t>
        </is>
      </c>
      <c r="B3642" s="13" t="inlineStr">
        <is>
          <t>CW40</t>
        </is>
      </c>
      <c r="C3642" s="13" t="inlineStr">
        <is>
          <t>B1</t>
        </is>
      </c>
      <c r="D3642" s="13" t="n">
        <v>0</v>
      </c>
      <c r="E3642" s="13" t="inlineStr">
        <is>
          <t>W</t>
        </is>
      </c>
      <c r="F3642" s="13" t="n">
        <v>2020</v>
      </c>
      <c r="G3642" s="14" t="n">
        <v>1001049.259906754</v>
      </c>
      <c r="H3642" s="14" t="n">
        <v>405769.8007783777</v>
      </c>
      <c r="I3642" s="14" t="n">
        <v>320471.8541120343</v>
      </c>
      <c r="J3642" s="14" t="n">
        <v>0</v>
      </c>
      <c r="K3642" s="14" t="n">
        <v>43305.84151033887</v>
      </c>
      <c r="L3642" s="14" t="n">
        <v>231501.763506003</v>
      </c>
      <c r="M3642" s="14" t="n">
        <v>0</v>
      </c>
      <c r="N3642" s="14" t="n">
        <v>405769.8007783777</v>
      </c>
      <c r="O3642" s="14" t="n">
        <v>769547.4964007507</v>
      </c>
      <c r="P3642" s="14" t="n">
        <v>0</v>
      </c>
      <c r="Q3642" s="14" t="n">
        <v>6024569.436687996</v>
      </c>
      <c r="R3642" s="15">
        <f>IF(D3642=1,"Section 1","Control")</f>
        <v/>
      </c>
      <c r="S3642" s="16">
        <f>N3642/10000</f>
        <v/>
      </c>
      <c r="T3642" s="16">
        <f>P3642/10000</f>
        <v/>
      </c>
      <c r="U3642" s="15">
        <f>IF(N3642&gt;=Summary!$D$3,1,0)</f>
        <v/>
      </c>
      <c r="V3642" s="17">
        <f>IF(N3642&gt;0,P3642/N3642,"")</f>
        <v/>
      </c>
      <c r="W3642" s="17">
        <f>IF(O3642&gt;0,H3642/O3642,"")</f>
        <v/>
      </c>
    </row>
    <row r="3643">
      <c r="A3643" s="13" t="inlineStr">
        <is>
          <t>CW40_B1</t>
        </is>
      </c>
      <c r="B3643" s="13" t="inlineStr">
        <is>
          <t>CW40</t>
        </is>
      </c>
      <c r="C3643" s="13" t="inlineStr">
        <is>
          <t>B1</t>
        </is>
      </c>
      <c r="D3643" s="13" t="n">
        <v>0</v>
      </c>
      <c r="E3643" s="13" t="inlineStr">
        <is>
          <t>W</t>
        </is>
      </c>
      <c r="F3643" s="13" t="n">
        <v>2021</v>
      </c>
      <c r="G3643" s="14" t="n">
        <v>1001049.259906754</v>
      </c>
      <c r="H3643" s="14" t="n">
        <v>308928.457082322</v>
      </c>
      <c r="I3643" s="14" t="n">
        <v>322788.3933339737</v>
      </c>
      <c r="J3643" s="14" t="n">
        <v>0</v>
      </c>
      <c r="K3643" s="14" t="n">
        <v>153354.2017743877</v>
      </c>
      <c r="L3643" s="14" t="n">
        <v>215978.2077160704</v>
      </c>
      <c r="M3643" s="14" t="n">
        <v>0</v>
      </c>
      <c r="N3643" s="14" t="n">
        <v>405769.8007783778</v>
      </c>
      <c r="O3643" s="14" t="n">
        <v>769547.4964007507</v>
      </c>
      <c r="P3643" s="14" t="n">
        <v>110142.0130131142</v>
      </c>
      <c r="Q3643" s="14" t="n">
        <v>6024569.436687996</v>
      </c>
      <c r="R3643" s="15">
        <f>IF(D3643=1,"Section 1","Control")</f>
        <v/>
      </c>
      <c r="S3643" s="16">
        <f>N3643/10000</f>
        <v/>
      </c>
      <c r="T3643" s="16">
        <f>P3643/10000</f>
        <v/>
      </c>
      <c r="U3643" s="15">
        <f>IF(N3643&gt;=Summary!$D$3,1,0)</f>
        <v/>
      </c>
      <c r="V3643" s="17">
        <f>IF(N3643&gt;0,P3643/N3643,"")</f>
        <v/>
      </c>
      <c r="W3643" s="17">
        <f>IF(O3643&gt;0,H3643/O3643,"")</f>
        <v/>
      </c>
    </row>
    <row r="3644">
      <c r="A3644" s="13" t="inlineStr">
        <is>
          <t>CW40_B1</t>
        </is>
      </c>
      <c r="B3644" s="13" t="inlineStr">
        <is>
          <t>CW40</t>
        </is>
      </c>
      <c r="C3644" s="13" t="inlineStr">
        <is>
          <t>B1</t>
        </is>
      </c>
      <c r="D3644" s="13" t="n">
        <v>0</v>
      </c>
      <c r="E3644" s="13" t="inlineStr">
        <is>
          <t>W</t>
        </is>
      </c>
      <c r="F3644" s="13" t="n">
        <v>2022</v>
      </c>
      <c r="G3644" s="14" t="n">
        <v>1001049.259906754</v>
      </c>
      <c r="H3644" s="14" t="n">
        <v>354872.2477624931</v>
      </c>
      <c r="I3644" s="14" t="n">
        <v>305381.0749264288</v>
      </c>
      <c r="J3644" s="14" t="n">
        <v>0</v>
      </c>
      <c r="K3644" s="14" t="n">
        <v>116061.119488675</v>
      </c>
      <c r="L3644" s="14" t="n">
        <v>224734.8177291571</v>
      </c>
      <c r="M3644" s="14" t="n">
        <v>0</v>
      </c>
      <c r="N3644" s="14" t="n">
        <v>405769.8007783778</v>
      </c>
      <c r="O3644" s="14" t="n">
        <v>769547.4964007507</v>
      </c>
      <c r="P3644" s="14" t="n">
        <v>95558.26049834608</v>
      </c>
      <c r="Q3644" s="14" t="n">
        <v>6024569.436687996</v>
      </c>
      <c r="R3644" s="15">
        <f>IF(D3644=1,"Section 1","Control")</f>
        <v/>
      </c>
      <c r="S3644" s="16">
        <f>N3644/10000</f>
        <v/>
      </c>
      <c r="T3644" s="16">
        <f>P3644/10000</f>
        <v/>
      </c>
      <c r="U3644" s="15">
        <f>IF(N3644&gt;=Summary!$D$3,1,0)</f>
        <v/>
      </c>
      <c r="V3644" s="17">
        <f>IF(N3644&gt;0,P3644/N3644,"")</f>
        <v/>
      </c>
      <c r="W3644" s="17">
        <f>IF(O3644&gt;0,H3644/O3644,"")</f>
        <v/>
      </c>
    </row>
    <row r="3645">
      <c r="A3645" s="13" t="inlineStr">
        <is>
          <t>CW40_B1</t>
        </is>
      </c>
      <c r="B3645" s="13" t="inlineStr">
        <is>
          <t>CW40</t>
        </is>
      </c>
      <c r="C3645" s="13" t="inlineStr">
        <is>
          <t>B1</t>
        </is>
      </c>
      <c r="D3645" s="13" t="n">
        <v>0</v>
      </c>
      <c r="E3645" s="13" t="inlineStr">
        <is>
          <t>W</t>
        </is>
      </c>
      <c r="F3645" s="13" t="n">
        <v>2023</v>
      </c>
      <c r="G3645" s="14" t="n">
        <v>1001049.259906754</v>
      </c>
      <c r="H3645" s="14" t="n">
        <v>348670.6361186308</v>
      </c>
      <c r="I3645" s="14" t="n">
        <v>316445.8195325964</v>
      </c>
      <c r="J3645" s="14" t="n">
        <v>0</v>
      </c>
      <c r="K3645" s="14" t="n">
        <v>100641.8153793036</v>
      </c>
      <c r="L3645" s="14" t="n">
        <v>235290.9888762232</v>
      </c>
      <c r="M3645" s="14" t="n">
        <v>0</v>
      </c>
      <c r="N3645" s="14" t="n">
        <v>405769.8007783778</v>
      </c>
      <c r="O3645" s="14" t="n">
        <v>769547.4964007507</v>
      </c>
      <c r="P3645" s="14" t="n">
        <v>103572.6052615297</v>
      </c>
      <c r="Q3645" s="14" t="n">
        <v>6024569.436687996</v>
      </c>
      <c r="R3645" s="15">
        <f>IF(D3645=1,"Section 1","Control")</f>
        <v/>
      </c>
      <c r="S3645" s="16">
        <f>N3645/10000</f>
        <v/>
      </c>
      <c r="T3645" s="16">
        <f>P3645/10000</f>
        <v/>
      </c>
      <c r="U3645" s="15">
        <f>IF(N3645&gt;=Summary!$D$3,1,0)</f>
        <v/>
      </c>
      <c r="V3645" s="17">
        <f>IF(N3645&gt;0,P3645/N3645,"")</f>
        <v/>
      </c>
      <c r="W3645" s="17">
        <f>IF(O3645&gt;0,H3645/O3645,"")</f>
        <v/>
      </c>
    </row>
    <row r="3646">
      <c r="A3646" s="13" t="inlineStr">
        <is>
          <t>CW40_B1</t>
        </is>
      </c>
      <c r="B3646" s="13" t="inlineStr">
        <is>
          <t>CW40</t>
        </is>
      </c>
      <c r="C3646" s="13" t="inlineStr">
        <is>
          <t>B1</t>
        </is>
      </c>
      <c r="D3646" s="13" t="n">
        <v>0</v>
      </c>
      <c r="E3646" s="13" t="inlineStr">
        <is>
          <t>W</t>
        </is>
      </c>
      <c r="F3646" s="13" t="n">
        <v>2024</v>
      </c>
      <c r="G3646" s="14" t="n">
        <v>1001049.259906754</v>
      </c>
      <c r="H3646" s="14" t="n">
        <v>461597.7299524944</v>
      </c>
      <c r="I3646" s="14" t="n">
        <v>190373.6389666688</v>
      </c>
      <c r="J3646" s="14" t="n">
        <v>0</v>
      </c>
      <c r="K3646" s="14" t="n">
        <v>115004.9366727941</v>
      </c>
      <c r="L3646" s="14" t="n">
        <v>234072.9543147966</v>
      </c>
      <c r="M3646" s="14" t="n">
        <v>0</v>
      </c>
      <c r="N3646" s="14" t="n">
        <v>405769.8007783777</v>
      </c>
      <c r="O3646" s="14" t="n">
        <v>769547.4964007507</v>
      </c>
      <c r="P3646" s="14" t="n">
        <v>74878.93170378443</v>
      </c>
      <c r="Q3646" s="14" t="n">
        <v>6024569.436687996</v>
      </c>
      <c r="R3646" s="15">
        <f>IF(D3646=1,"Section 1","Control")</f>
        <v/>
      </c>
      <c r="S3646" s="16">
        <f>N3646/10000</f>
        <v/>
      </c>
      <c r="T3646" s="16">
        <f>P3646/10000</f>
        <v/>
      </c>
      <c r="U3646" s="15">
        <f>IF(N3646&gt;=Summary!$D$3,1,0)</f>
        <v/>
      </c>
      <c r="V3646" s="17">
        <f>IF(N3646&gt;0,P3646/N3646,"")</f>
        <v/>
      </c>
      <c r="W3646" s="17">
        <f>IF(O3646&gt;0,H3646/O3646,"")</f>
        <v/>
      </c>
    </row>
    <row r="3647">
      <c r="A3647" s="13" t="inlineStr">
        <is>
          <t>CW40_B1</t>
        </is>
      </c>
      <c r="B3647" s="13" t="inlineStr">
        <is>
          <t>CW40</t>
        </is>
      </c>
      <c r="C3647" s="13" t="inlineStr">
        <is>
          <t>B1</t>
        </is>
      </c>
      <c r="D3647" s="13" t="n">
        <v>0</v>
      </c>
      <c r="E3647" s="13" t="inlineStr">
        <is>
          <t>W</t>
        </is>
      </c>
      <c r="F3647" s="13" t="n">
        <v>2025</v>
      </c>
      <c r="G3647" s="14" t="n">
        <v>1001049.259906754</v>
      </c>
      <c r="H3647" s="14" t="n">
        <v>373205.751246314</v>
      </c>
      <c r="I3647" s="14" t="n">
        <v>296179.6032228956</v>
      </c>
      <c r="J3647" s="14" t="n">
        <v>0</v>
      </c>
      <c r="K3647" s="14" t="n">
        <v>91765.98944519644</v>
      </c>
      <c r="L3647" s="14" t="n">
        <v>239897.9159923479</v>
      </c>
      <c r="M3647" s="14" t="n">
        <v>0</v>
      </c>
      <c r="N3647" s="14" t="n">
        <v>405769.8007783778</v>
      </c>
      <c r="O3647" s="14" t="n">
        <v>769547.4964007507</v>
      </c>
      <c r="P3647" s="14" t="n">
        <v>95326.34231722965</v>
      </c>
      <c r="Q3647" s="14" t="n">
        <v>6024569.436687996</v>
      </c>
      <c r="R3647" s="15">
        <f>IF(D3647=1,"Section 1","Control")</f>
        <v/>
      </c>
      <c r="S3647" s="16">
        <f>N3647/10000</f>
        <v/>
      </c>
      <c r="T3647" s="16">
        <f>P3647/10000</f>
        <v/>
      </c>
      <c r="U3647" s="15">
        <f>IF(N3647&gt;=Summary!$D$3,1,0)</f>
        <v/>
      </c>
      <c r="V3647" s="17">
        <f>IF(N3647&gt;0,P3647/N3647,"")</f>
        <v/>
      </c>
      <c r="W3647" s="17">
        <f>IF(O3647&gt;0,H3647/O3647,"")</f>
        <v/>
      </c>
    </row>
    <row r="3648">
      <c r="A3648" s="13" t="inlineStr">
        <is>
          <t>CW40_B1</t>
        </is>
      </c>
      <c r="B3648" s="13" t="inlineStr">
        <is>
          <t>CW40</t>
        </is>
      </c>
      <c r="C3648" s="13" t="inlineStr">
        <is>
          <t>B1</t>
        </is>
      </c>
      <c r="D3648" s="13" t="n">
        <v>0</v>
      </c>
      <c r="E3648" s="13" t="inlineStr">
        <is>
          <t>W</t>
        </is>
      </c>
      <c r="F3648" s="13" t="n">
        <v>2026</v>
      </c>
      <c r="G3648" s="14" t="n">
        <v>1001049.259906754</v>
      </c>
      <c r="H3648" s="14" t="n">
        <v>451844.2709068149</v>
      </c>
      <c r="I3648" s="14" t="n">
        <v>213427.0672484454</v>
      </c>
      <c r="J3648" s="14" t="n">
        <v>0</v>
      </c>
      <c r="K3648" s="14" t="n">
        <v>98715.2457480038</v>
      </c>
      <c r="L3648" s="14" t="n">
        <v>237062.6760034898</v>
      </c>
      <c r="M3648" s="14" t="n">
        <v>0</v>
      </c>
      <c r="N3648" s="14" t="n">
        <v>405769.8007783778</v>
      </c>
      <c r="O3648" s="14" t="n">
        <v>769547.4964007507</v>
      </c>
      <c r="P3648" s="14" t="n">
        <v>79091.27404135911</v>
      </c>
      <c r="Q3648" s="14" t="n">
        <v>6024569.436687996</v>
      </c>
      <c r="R3648" s="15">
        <f>IF(D3648=1,"Section 1","Control")</f>
        <v/>
      </c>
      <c r="S3648" s="16">
        <f>N3648/10000</f>
        <v/>
      </c>
      <c r="T3648" s="16">
        <f>P3648/10000</f>
        <v/>
      </c>
      <c r="U3648" s="15">
        <f>IF(N3648&gt;=Summary!$D$3,1,0)</f>
        <v/>
      </c>
      <c r="V3648" s="17">
        <f>IF(N3648&gt;0,P3648/N3648,"")</f>
        <v/>
      </c>
      <c r="W3648" s="17">
        <f>IF(O3648&gt;0,H3648/O3648,"")</f>
        <v/>
      </c>
    </row>
    <row r="3649">
      <c r="A3649" s="13" t="inlineStr">
        <is>
          <t>CW40_B2</t>
        </is>
      </c>
      <c r="B3649" s="13" t="inlineStr">
        <is>
          <t>CW40</t>
        </is>
      </c>
      <c r="C3649" s="13" t="inlineStr">
        <is>
          <t>B2</t>
        </is>
      </c>
      <c r="D3649" s="13" t="n">
        <v>0</v>
      </c>
      <c r="E3649" s="13" t="inlineStr">
        <is>
          <t>W</t>
        </is>
      </c>
      <c r="F3649" s="13" t="n">
        <v>2020</v>
      </c>
      <c r="G3649" s="14" t="n">
        <v>1001043.446732824</v>
      </c>
      <c r="H3649" s="14" t="n">
        <v>162372.6454427681</v>
      </c>
      <c r="I3649" s="14" t="n">
        <v>5878.68979435341</v>
      </c>
      <c r="J3649" s="14" t="n">
        <v>0</v>
      </c>
      <c r="K3649" s="14" t="n">
        <v>27351.86296383728</v>
      </c>
      <c r="L3649" s="14" t="n">
        <v>805440.2485318652</v>
      </c>
      <c r="M3649" s="14" t="n">
        <v>0</v>
      </c>
      <c r="N3649" s="14" t="n">
        <v>162372.6454427681</v>
      </c>
      <c r="O3649" s="14" t="n">
        <v>195603.1982009588</v>
      </c>
      <c r="P3649" s="14" t="n">
        <v>0</v>
      </c>
      <c r="Q3649" s="14" t="n">
        <v>1696863.271120497</v>
      </c>
      <c r="R3649" s="15">
        <f>IF(D3649=1,"Section 1","Control")</f>
        <v/>
      </c>
      <c r="S3649" s="16">
        <f>N3649/10000</f>
        <v/>
      </c>
      <c r="T3649" s="16">
        <f>P3649/10000</f>
        <v/>
      </c>
      <c r="U3649" s="15">
        <f>IF(N3649&gt;=Summary!$D$3,1,0)</f>
        <v/>
      </c>
      <c r="V3649" s="17">
        <f>IF(N3649&gt;0,P3649/N3649,"")</f>
        <v/>
      </c>
      <c r="W3649" s="17">
        <f>IF(O3649&gt;0,H3649/O3649,"")</f>
        <v/>
      </c>
    </row>
    <row r="3650">
      <c r="A3650" s="13" t="inlineStr">
        <is>
          <t>CW40_B2</t>
        </is>
      </c>
      <c r="B3650" s="13" t="inlineStr">
        <is>
          <t>CW40</t>
        </is>
      </c>
      <c r="C3650" s="13" t="inlineStr">
        <is>
          <t>B2</t>
        </is>
      </c>
      <c r="D3650" s="13" t="n">
        <v>0</v>
      </c>
      <c r="E3650" s="13" t="inlineStr">
        <is>
          <t>W</t>
        </is>
      </c>
      <c r="F3650" s="13" t="n">
        <v>2021</v>
      </c>
      <c r="G3650" s="14" t="n">
        <v>1001043.446732824</v>
      </c>
      <c r="H3650" s="14" t="n">
        <v>155360.3430535709</v>
      </c>
      <c r="I3650" s="14" t="n">
        <v>4949.099148469812</v>
      </c>
      <c r="J3650" s="14" t="n">
        <v>0</v>
      </c>
      <c r="K3650" s="14" t="n">
        <v>70821.65772675158</v>
      </c>
      <c r="L3650" s="14" t="n">
        <v>769912.3468040318</v>
      </c>
      <c r="M3650" s="14" t="n">
        <v>0</v>
      </c>
      <c r="N3650" s="14" t="n">
        <v>162372.6454427681</v>
      </c>
      <c r="O3650" s="14" t="n">
        <v>195603.1982009588</v>
      </c>
      <c r="P3650" s="14" t="n">
        <v>12863.09999676873</v>
      </c>
      <c r="Q3650" s="14" t="n">
        <v>1696863.271120497</v>
      </c>
      <c r="R3650" s="15">
        <f>IF(D3650=1,"Section 1","Control")</f>
        <v/>
      </c>
      <c r="S3650" s="16">
        <f>N3650/10000</f>
        <v/>
      </c>
      <c r="T3650" s="16">
        <f>P3650/10000</f>
        <v/>
      </c>
      <c r="U3650" s="15">
        <f>IF(N3650&gt;=Summary!$D$3,1,0)</f>
        <v/>
      </c>
      <c r="V3650" s="17">
        <f>IF(N3650&gt;0,P3650/N3650,"")</f>
        <v/>
      </c>
      <c r="W3650" s="17">
        <f>IF(O3650&gt;0,H3650/O3650,"")</f>
        <v/>
      </c>
    </row>
    <row r="3651">
      <c r="A3651" s="13" t="inlineStr">
        <is>
          <t>CW40_B2</t>
        </is>
      </c>
      <c r="B3651" s="13" t="inlineStr">
        <is>
          <t>CW40</t>
        </is>
      </c>
      <c r="C3651" s="13" t="inlineStr">
        <is>
          <t>B2</t>
        </is>
      </c>
      <c r="D3651" s="13" t="n">
        <v>0</v>
      </c>
      <c r="E3651" s="13" t="inlineStr">
        <is>
          <t>W</t>
        </is>
      </c>
      <c r="F3651" s="13" t="n">
        <v>2022</v>
      </c>
      <c r="G3651" s="14" t="n">
        <v>1001043.446732824</v>
      </c>
      <c r="H3651" s="14" t="n">
        <v>154156.6576921949</v>
      </c>
      <c r="I3651" s="14" t="n">
        <v>3274.625874986836</v>
      </c>
      <c r="J3651" s="14" t="n">
        <v>0</v>
      </c>
      <c r="K3651" s="14" t="n">
        <v>46843.94321414723</v>
      </c>
      <c r="L3651" s="14" t="n">
        <v>796768.2199514951</v>
      </c>
      <c r="M3651" s="14" t="n">
        <v>0</v>
      </c>
      <c r="N3651" s="14" t="n">
        <v>162372.6454427681</v>
      </c>
      <c r="O3651" s="14" t="n">
        <v>195603.1982009588</v>
      </c>
      <c r="P3651" s="14" t="n">
        <v>11766.26699688482</v>
      </c>
      <c r="Q3651" s="14" t="n">
        <v>1696863.271120497</v>
      </c>
      <c r="R3651" s="15">
        <f>IF(D3651=1,"Section 1","Control")</f>
        <v/>
      </c>
      <c r="S3651" s="16">
        <f>N3651/10000</f>
        <v/>
      </c>
      <c r="T3651" s="16">
        <f>P3651/10000</f>
        <v/>
      </c>
      <c r="U3651" s="15">
        <f>IF(N3651&gt;=Summary!$D$3,1,0)</f>
        <v/>
      </c>
      <c r="V3651" s="17">
        <f>IF(N3651&gt;0,P3651/N3651,"")</f>
        <v/>
      </c>
      <c r="W3651" s="17">
        <f>IF(O3651&gt;0,H3651/O3651,"")</f>
        <v/>
      </c>
    </row>
    <row r="3652">
      <c r="A3652" s="13" t="inlineStr">
        <is>
          <t>CW40_B2</t>
        </is>
      </c>
      <c r="B3652" s="13" t="inlineStr">
        <is>
          <t>CW40</t>
        </is>
      </c>
      <c r="C3652" s="13" t="inlineStr">
        <is>
          <t>B2</t>
        </is>
      </c>
      <c r="D3652" s="13" t="n">
        <v>0</v>
      </c>
      <c r="E3652" s="13" t="inlineStr">
        <is>
          <t>W</t>
        </is>
      </c>
      <c r="F3652" s="13" t="n">
        <v>2023</v>
      </c>
      <c r="G3652" s="14" t="n">
        <v>1001043.446732824</v>
      </c>
      <c r="H3652" s="14" t="n">
        <v>150143.7287857354</v>
      </c>
      <c r="I3652" s="14" t="n">
        <v>3276.949911469104</v>
      </c>
      <c r="J3652" s="14" t="n">
        <v>0</v>
      </c>
      <c r="K3652" s="14" t="n">
        <v>44391.28518739587</v>
      </c>
      <c r="L3652" s="14" t="n">
        <v>803231.4828482236</v>
      </c>
      <c r="M3652" s="14" t="n">
        <v>0</v>
      </c>
      <c r="N3652" s="14" t="n">
        <v>162372.6454427681</v>
      </c>
      <c r="O3652" s="14" t="n">
        <v>195603.1982009588</v>
      </c>
      <c r="P3652" s="14" t="n">
        <v>14930.15623812208</v>
      </c>
      <c r="Q3652" s="14" t="n">
        <v>1696863.271120497</v>
      </c>
      <c r="R3652" s="15">
        <f>IF(D3652=1,"Section 1","Control")</f>
        <v/>
      </c>
      <c r="S3652" s="16">
        <f>N3652/10000</f>
        <v/>
      </c>
      <c r="T3652" s="16">
        <f>P3652/10000</f>
        <v/>
      </c>
      <c r="U3652" s="15">
        <f>IF(N3652&gt;=Summary!$D$3,1,0)</f>
        <v/>
      </c>
      <c r="V3652" s="17">
        <f>IF(N3652&gt;0,P3652/N3652,"")</f>
        <v/>
      </c>
      <c r="W3652" s="17">
        <f>IF(O3652&gt;0,H3652/O3652,"")</f>
        <v/>
      </c>
    </row>
    <row r="3653">
      <c r="A3653" s="13" t="inlineStr">
        <is>
          <t>CW40_B2</t>
        </is>
      </c>
      <c r="B3653" s="13" t="inlineStr">
        <is>
          <t>CW40</t>
        </is>
      </c>
      <c r="C3653" s="13" t="inlineStr">
        <is>
          <t>B2</t>
        </is>
      </c>
      <c r="D3653" s="13" t="n">
        <v>0</v>
      </c>
      <c r="E3653" s="13" t="inlineStr">
        <is>
          <t>W</t>
        </is>
      </c>
      <c r="F3653" s="13" t="n">
        <v>2024</v>
      </c>
      <c r="G3653" s="14" t="n">
        <v>1001043.446732824</v>
      </c>
      <c r="H3653" s="14" t="n">
        <v>150992.7772832534</v>
      </c>
      <c r="I3653" s="14" t="n">
        <v>2450.743358447505</v>
      </c>
      <c r="J3653" s="14" t="n">
        <v>0</v>
      </c>
      <c r="K3653" s="14" t="n">
        <v>40419.38604532876</v>
      </c>
      <c r="L3653" s="14" t="n">
        <v>807180.5400457944</v>
      </c>
      <c r="M3653" s="14" t="n">
        <v>0</v>
      </c>
      <c r="N3653" s="14" t="n">
        <v>162372.6454427681</v>
      </c>
      <c r="O3653" s="14" t="n">
        <v>195603.1982009588</v>
      </c>
      <c r="P3653" s="14" t="n">
        <v>14535.2505145503</v>
      </c>
      <c r="Q3653" s="14" t="n">
        <v>1696863.271120497</v>
      </c>
      <c r="R3653" s="15">
        <f>IF(D3653=1,"Section 1","Control")</f>
        <v/>
      </c>
      <c r="S3653" s="16">
        <f>N3653/10000</f>
        <v/>
      </c>
      <c r="T3653" s="16">
        <f>P3653/10000</f>
        <v/>
      </c>
      <c r="U3653" s="15">
        <f>IF(N3653&gt;=Summary!$D$3,1,0)</f>
        <v/>
      </c>
      <c r="V3653" s="17">
        <f>IF(N3653&gt;0,P3653/N3653,"")</f>
        <v/>
      </c>
      <c r="W3653" s="17">
        <f>IF(O3653&gt;0,H3653/O3653,"")</f>
        <v/>
      </c>
    </row>
    <row r="3654">
      <c r="A3654" s="13" t="inlineStr">
        <is>
          <t>CW40_B2</t>
        </is>
      </c>
      <c r="B3654" s="13" t="inlineStr">
        <is>
          <t>CW40</t>
        </is>
      </c>
      <c r="C3654" s="13" t="inlineStr">
        <is>
          <t>B2</t>
        </is>
      </c>
      <c r="D3654" s="13" t="n">
        <v>0</v>
      </c>
      <c r="E3654" s="13" t="inlineStr">
        <is>
          <t>W</t>
        </is>
      </c>
      <c r="F3654" s="13" t="n">
        <v>2025</v>
      </c>
      <c r="G3654" s="14" t="n">
        <v>1001043.446732824</v>
      </c>
      <c r="H3654" s="14" t="n">
        <v>151104.2795433493</v>
      </c>
      <c r="I3654" s="14" t="n">
        <v>3421.36163518569</v>
      </c>
      <c r="J3654" s="14" t="n">
        <v>0</v>
      </c>
      <c r="K3654" s="14" t="n">
        <v>38352.32439811556</v>
      </c>
      <c r="L3654" s="14" t="n">
        <v>808165.4811561735</v>
      </c>
      <c r="M3654" s="14" t="n">
        <v>0</v>
      </c>
      <c r="N3654" s="14" t="n">
        <v>162372.6454427681</v>
      </c>
      <c r="O3654" s="14" t="n">
        <v>195603.1982009588</v>
      </c>
      <c r="P3654" s="14" t="n">
        <v>14991.32985681272</v>
      </c>
      <c r="Q3654" s="14" t="n">
        <v>1696863.271120497</v>
      </c>
      <c r="R3654" s="15">
        <f>IF(D3654=1,"Section 1","Control")</f>
        <v/>
      </c>
      <c r="S3654" s="16">
        <f>N3654/10000</f>
        <v/>
      </c>
      <c r="T3654" s="16">
        <f>P3654/10000</f>
        <v/>
      </c>
      <c r="U3654" s="15">
        <f>IF(N3654&gt;=Summary!$D$3,1,0)</f>
        <v/>
      </c>
      <c r="V3654" s="17">
        <f>IF(N3654&gt;0,P3654/N3654,"")</f>
        <v/>
      </c>
      <c r="W3654" s="17">
        <f>IF(O3654&gt;0,H3654/O3654,"")</f>
        <v/>
      </c>
    </row>
    <row r="3655">
      <c r="A3655" s="13" t="inlineStr">
        <is>
          <t>CW40_B2</t>
        </is>
      </c>
      <c r="B3655" s="13" t="inlineStr">
        <is>
          <t>CW40</t>
        </is>
      </c>
      <c r="C3655" s="13" t="inlineStr">
        <is>
          <t>B2</t>
        </is>
      </c>
      <c r="D3655" s="13" t="n">
        <v>0</v>
      </c>
      <c r="E3655" s="13" t="inlineStr">
        <is>
          <t>W</t>
        </is>
      </c>
      <c r="F3655" s="13" t="n">
        <v>2026</v>
      </c>
      <c r="G3655" s="14" t="n">
        <v>1001043.446732824</v>
      </c>
      <c r="H3655" s="14" t="n">
        <v>148288.8279032688</v>
      </c>
      <c r="I3655" s="14" t="n">
        <v>5508.945171161727</v>
      </c>
      <c r="J3655" s="14" t="n">
        <v>0</v>
      </c>
      <c r="K3655" s="14" t="n">
        <v>39670.22569939109</v>
      </c>
      <c r="L3655" s="14" t="n">
        <v>807575.4479590026</v>
      </c>
      <c r="M3655" s="14" t="n">
        <v>0</v>
      </c>
      <c r="N3655" s="14" t="n">
        <v>162372.6454427681</v>
      </c>
      <c r="O3655" s="14" t="n">
        <v>195603.1982009588</v>
      </c>
      <c r="P3655" s="14" t="n">
        <v>18743.32855472939</v>
      </c>
      <c r="Q3655" s="14" t="n">
        <v>1696863.271120497</v>
      </c>
      <c r="R3655" s="15">
        <f>IF(D3655=1,"Section 1","Control")</f>
        <v/>
      </c>
      <c r="S3655" s="16">
        <f>N3655/10000</f>
        <v/>
      </c>
      <c r="T3655" s="16">
        <f>P3655/10000</f>
        <v/>
      </c>
      <c r="U3655" s="15">
        <f>IF(N3655&gt;=Summary!$D$3,1,0)</f>
        <v/>
      </c>
      <c r="V3655" s="17">
        <f>IF(N3655&gt;0,P3655/N3655,"")</f>
        <v/>
      </c>
      <c r="W3655" s="17">
        <f>IF(O3655&gt;0,H3655/O3655,"")</f>
        <v/>
      </c>
    </row>
    <row r="3656">
      <c r="A3656" s="13" t="inlineStr">
        <is>
          <t>CW40_B3</t>
        </is>
      </c>
      <c r="B3656" s="13" t="inlineStr">
        <is>
          <t>CW40</t>
        </is>
      </c>
      <c r="C3656" s="13" t="inlineStr">
        <is>
          <t>B3</t>
        </is>
      </c>
      <c r="D3656" s="13" t="n">
        <v>0</v>
      </c>
      <c r="E3656" s="13" t="inlineStr">
        <is>
          <t>W</t>
        </is>
      </c>
      <c r="F3656" s="13" t="n">
        <v>2020</v>
      </c>
      <c r="G3656" s="14" t="n">
        <v>8007544.033021158</v>
      </c>
      <c r="H3656" s="14" t="n">
        <v>3364863.683352632</v>
      </c>
      <c r="I3656" s="14" t="n">
        <v>294565.2356287938</v>
      </c>
      <c r="J3656" s="14" t="n">
        <v>0</v>
      </c>
      <c r="K3656" s="14" t="n">
        <v>42066.12479903278</v>
      </c>
      <c r="L3656" s="14" t="n">
        <v>4306048.989240699</v>
      </c>
      <c r="M3656" s="14" t="n">
        <v>0</v>
      </c>
      <c r="N3656" s="14" t="n">
        <v>3364863.683352632</v>
      </c>
      <c r="O3656" s="14" t="n">
        <v>3701495.043780459</v>
      </c>
      <c r="P3656" s="14" t="n">
        <v>0</v>
      </c>
      <c r="Q3656" s="14" t="n">
        <v>21295553.41994572</v>
      </c>
      <c r="R3656" s="15">
        <f>IF(D3656=1,"Section 1","Control")</f>
        <v/>
      </c>
      <c r="S3656" s="16">
        <f>N3656/10000</f>
        <v/>
      </c>
      <c r="T3656" s="16">
        <f>P3656/10000</f>
        <v/>
      </c>
      <c r="U3656" s="15">
        <f>IF(N3656&gt;=Summary!$D$3,1,0)</f>
        <v/>
      </c>
      <c r="V3656" s="17">
        <f>IF(N3656&gt;0,P3656/N3656,"")</f>
        <v/>
      </c>
      <c r="W3656" s="17">
        <f>IF(O3656&gt;0,H3656/O3656,"")</f>
        <v/>
      </c>
    </row>
    <row r="3657">
      <c r="A3657" s="13" t="inlineStr">
        <is>
          <t>CW40_B3</t>
        </is>
      </c>
      <c r="B3657" s="13" t="inlineStr">
        <is>
          <t>CW40</t>
        </is>
      </c>
      <c r="C3657" s="13" t="inlineStr">
        <is>
          <t>B3</t>
        </is>
      </c>
      <c r="D3657" s="13" t="n">
        <v>0</v>
      </c>
      <c r="E3657" s="13" t="inlineStr">
        <is>
          <t>W</t>
        </is>
      </c>
      <c r="F3657" s="13" t="n">
        <v>2021</v>
      </c>
      <c r="G3657" s="14" t="n">
        <v>8007544.033021158</v>
      </c>
      <c r="H3657" s="14" t="n">
        <v>3449161.406802638</v>
      </c>
      <c r="I3657" s="14" t="n">
        <v>84356.6981829475</v>
      </c>
      <c r="J3657" s="14" t="n">
        <v>0</v>
      </c>
      <c r="K3657" s="14" t="n">
        <v>188136.6095130771</v>
      </c>
      <c r="L3657" s="14" t="n">
        <v>4285889.318522494</v>
      </c>
      <c r="M3657" s="14" t="n">
        <v>0</v>
      </c>
      <c r="N3657" s="14" t="n">
        <v>3364863.683352632</v>
      </c>
      <c r="O3657" s="14" t="n">
        <v>3701495.043780459</v>
      </c>
      <c r="P3657" s="14" t="n">
        <v>48221.78461558024</v>
      </c>
      <c r="Q3657" s="14" t="n">
        <v>21295553.41994572</v>
      </c>
      <c r="R3657" s="15">
        <f>IF(D3657=1,"Section 1","Control")</f>
        <v/>
      </c>
      <c r="S3657" s="16">
        <f>N3657/10000</f>
        <v/>
      </c>
      <c r="T3657" s="16">
        <f>P3657/10000</f>
        <v/>
      </c>
      <c r="U3657" s="15">
        <f>IF(N3657&gt;=Summary!$D$3,1,0)</f>
        <v/>
      </c>
      <c r="V3657" s="17">
        <f>IF(N3657&gt;0,P3657/N3657,"")</f>
        <v/>
      </c>
      <c r="W3657" s="17">
        <f>IF(O3657&gt;0,H3657/O3657,"")</f>
        <v/>
      </c>
    </row>
    <row r="3658">
      <c r="A3658" s="13" t="inlineStr">
        <is>
          <t>CW40_B3</t>
        </is>
      </c>
      <c r="B3658" s="13" t="inlineStr">
        <is>
          <t>CW40</t>
        </is>
      </c>
      <c r="C3658" s="13" t="inlineStr">
        <is>
          <t>B3</t>
        </is>
      </c>
      <c r="D3658" s="13" t="n">
        <v>0</v>
      </c>
      <c r="E3658" s="13" t="inlineStr">
        <is>
          <t>W</t>
        </is>
      </c>
      <c r="F3658" s="13" t="n">
        <v>2022</v>
      </c>
      <c r="G3658" s="14" t="n">
        <v>8007544.033021158</v>
      </c>
      <c r="H3658" s="14" t="n">
        <v>3394641.490768792</v>
      </c>
      <c r="I3658" s="14" t="n">
        <v>216631.7377826766</v>
      </c>
      <c r="J3658" s="14" t="n">
        <v>0</v>
      </c>
      <c r="K3658" s="14" t="n">
        <v>108104.9844152413</v>
      </c>
      <c r="L3658" s="14" t="n">
        <v>4288165.820054447</v>
      </c>
      <c r="M3658" s="14" t="n">
        <v>0</v>
      </c>
      <c r="N3658" s="14" t="n">
        <v>3364863.683352632</v>
      </c>
      <c r="O3658" s="14" t="n">
        <v>3701495.043780459</v>
      </c>
      <c r="P3658" s="14" t="n">
        <v>97068.02876862171</v>
      </c>
      <c r="Q3658" s="14" t="n">
        <v>21295553.41994572</v>
      </c>
      <c r="R3658" s="15">
        <f>IF(D3658=1,"Section 1","Control")</f>
        <v/>
      </c>
      <c r="S3658" s="16">
        <f>N3658/10000</f>
        <v/>
      </c>
      <c r="T3658" s="16">
        <f>P3658/10000</f>
        <v/>
      </c>
      <c r="U3658" s="15">
        <f>IF(N3658&gt;=Summary!$D$3,1,0)</f>
        <v/>
      </c>
      <c r="V3658" s="17">
        <f>IF(N3658&gt;0,P3658/N3658,"")</f>
        <v/>
      </c>
      <c r="W3658" s="17">
        <f>IF(O3658&gt;0,H3658/O3658,"")</f>
        <v/>
      </c>
    </row>
    <row r="3659">
      <c r="A3659" s="13" t="inlineStr">
        <is>
          <t>CW40_B3</t>
        </is>
      </c>
      <c r="B3659" s="13" t="inlineStr">
        <is>
          <t>CW40</t>
        </is>
      </c>
      <c r="C3659" s="13" t="inlineStr">
        <is>
          <t>B3</t>
        </is>
      </c>
      <c r="D3659" s="13" t="n">
        <v>0</v>
      </c>
      <c r="E3659" s="13" t="inlineStr">
        <is>
          <t>W</t>
        </is>
      </c>
      <c r="F3659" s="13" t="n">
        <v>2023</v>
      </c>
      <c r="G3659" s="14" t="n">
        <v>8007544.033021158</v>
      </c>
      <c r="H3659" s="14" t="n">
        <v>3502695.481103456</v>
      </c>
      <c r="I3659" s="14" t="n">
        <v>102614.0125597487</v>
      </c>
      <c r="J3659" s="14" t="n">
        <v>0</v>
      </c>
      <c r="K3659" s="14" t="n">
        <v>96316.40628234264</v>
      </c>
      <c r="L3659" s="14" t="n">
        <v>4305918.133075609</v>
      </c>
      <c r="M3659" s="14" t="n">
        <v>0</v>
      </c>
      <c r="N3659" s="14" t="n">
        <v>3364863.683352632</v>
      </c>
      <c r="O3659" s="14" t="n">
        <v>3701495.043780459</v>
      </c>
      <c r="P3659" s="14" t="n">
        <v>39345.46784856459</v>
      </c>
      <c r="Q3659" s="14" t="n">
        <v>21295553.41994572</v>
      </c>
      <c r="R3659" s="15">
        <f>IF(D3659=1,"Section 1","Control")</f>
        <v/>
      </c>
      <c r="S3659" s="16">
        <f>N3659/10000</f>
        <v/>
      </c>
      <c r="T3659" s="16">
        <f>P3659/10000</f>
        <v/>
      </c>
      <c r="U3659" s="15">
        <f>IF(N3659&gt;=Summary!$D$3,1,0)</f>
        <v/>
      </c>
      <c r="V3659" s="17">
        <f>IF(N3659&gt;0,P3659/N3659,"")</f>
        <v/>
      </c>
      <c r="W3659" s="17">
        <f>IF(O3659&gt;0,H3659/O3659,"")</f>
        <v/>
      </c>
    </row>
    <row r="3660">
      <c r="A3660" s="13" t="inlineStr">
        <is>
          <t>CW40_B3</t>
        </is>
      </c>
      <c r="B3660" s="13" t="inlineStr">
        <is>
          <t>CW40</t>
        </is>
      </c>
      <c r="C3660" s="13" t="inlineStr">
        <is>
          <t>B3</t>
        </is>
      </c>
      <c r="D3660" s="13" t="n">
        <v>0</v>
      </c>
      <c r="E3660" s="13" t="inlineStr">
        <is>
          <t>W</t>
        </is>
      </c>
      <c r="F3660" s="13" t="n">
        <v>2024</v>
      </c>
      <c r="G3660" s="14" t="n">
        <v>8007544.033021159</v>
      </c>
      <c r="H3660" s="14" t="n">
        <v>3512368.013586396</v>
      </c>
      <c r="I3660" s="14" t="n">
        <v>97754.99695129396</v>
      </c>
      <c r="J3660" s="14" t="n">
        <v>0</v>
      </c>
      <c r="K3660" s="14" t="n">
        <v>86398.99085624545</v>
      </c>
      <c r="L3660" s="14" t="n">
        <v>4311022.031627221</v>
      </c>
      <c r="M3660" s="14" t="n">
        <v>0</v>
      </c>
      <c r="N3660" s="14" t="n">
        <v>3364863.683352632</v>
      </c>
      <c r="O3660" s="14" t="n">
        <v>3701495.043780459</v>
      </c>
      <c r="P3660" s="14" t="n">
        <v>36331.97179688099</v>
      </c>
      <c r="Q3660" s="14" t="n">
        <v>21295553.41994572</v>
      </c>
      <c r="R3660" s="15">
        <f>IF(D3660=1,"Section 1","Control")</f>
        <v/>
      </c>
      <c r="S3660" s="16">
        <f>N3660/10000</f>
        <v/>
      </c>
      <c r="T3660" s="16">
        <f>P3660/10000</f>
        <v/>
      </c>
      <c r="U3660" s="15">
        <f>IF(N3660&gt;=Summary!$D$3,1,0)</f>
        <v/>
      </c>
      <c r="V3660" s="17">
        <f>IF(N3660&gt;0,P3660/N3660,"")</f>
        <v/>
      </c>
      <c r="W3660" s="17">
        <f>IF(O3660&gt;0,H3660/O3660,"")</f>
        <v/>
      </c>
    </row>
    <row r="3661">
      <c r="A3661" s="13" t="inlineStr">
        <is>
          <t>CW40_B3</t>
        </is>
      </c>
      <c r="B3661" s="13" t="inlineStr">
        <is>
          <t>CW40</t>
        </is>
      </c>
      <c r="C3661" s="13" t="inlineStr">
        <is>
          <t>B3</t>
        </is>
      </c>
      <c r="D3661" s="13" t="n">
        <v>0</v>
      </c>
      <c r="E3661" s="13" t="inlineStr">
        <is>
          <t>W</t>
        </is>
      </c>
      <c r="F3661" s="13" t="n">
        <v>2025</v>
      </c>
      <c r="G3661" s="14" t="n">
        <v>8007544.033021159</v>
      </c>
      <c r="H3661" s="14" t="n">
        <v>3494302.229388099</v>
      </c>
      <c r="I3661" s="14" t="n">
        <v>122134.916324421</v>
      </c>
      <c r="J3661" s="14" t="n">
        <v>0</v>
      </c>
      <c r="K3661" s="14" t="n">
        <v>77406.12198570101</v>
      </c>
      <c r="L3661" s="14" t="n">
        <v>4313700.765322935</v>
      </c>
      <c r="M3661" s="14" t="n">
        <v>0</v>
      </c>
      <c r="N3661" s="14" t="n">
        <v>3364863.683352632</v>
      </c>
      <c r="O3661" s="14" t="n">
        <v>3701495.043780458</v>
      </c>
      <c r="P3661" s="14" t="n">
        <v>37164.35338670319</v>
      </c>
      <c r="Q3661" s="14" t="n">
        <v>21295553.41994572</v>
      </c>
      <c r="R3661" s="15">
        <f>IF(D3661=1,"Section 1","Control")</f>
        <v/>
      </c>
      <c r="S3661" s="16">
        <f>N3661/10000</f>
        <v/>
      </c>
      <c r="T3661" s="16">
        <f>P3661/10000</f>
        <v/>
      </c>
      <c r="U3661" s="15">
        <f>IF(N3661&gt;=Summary!$D$3,1,0)</f>
        <v/>
      </c>
      <c r="V3661" s="17">
        <f>IF(N3661&gt;0,P3661/N3661,"")</f>
        <v/>
      </c>
      <c r="W3661" s="17">
        <f>IF(O3661&gt;0,H3661/O3661,"")</f>
        <v/>
      </c>
    </row>
    <row r="3662">
      <c r="A3662" s="13" t="inlineStr">
        <is>
          <t>CW40_B3</t>
        </is>
      </c>
      <c r="B3662" s="13" t="inlineStr">
        <is>
          <t>CW40</t>
        </is>
      </c>
      <c r="C3662" s="13" t="inlineStr">
        <is>
          <t>B3</t>
        </is>
      </c>
      <c r="D3662" s="13" t="n">
        <v>0</v>
      </c>
      <c r="E3662" s="13" t="inlineStr">
        <is>
          <t>W</t>
        </is>
      </c>
      <c r="F3662" s="13" t="n">
        <v>2026</v>
      </c>
      <c r="G3662" s="14" t="n">
        <v>8007544.033021158</v>
      </c>
      <c r="H3662" s="14" t="n">
        <v>3478680.166326366</v>
      </c>
      <c r="I3662" s="14" t="n">
        <v>134425.4735801846</v>
      </c>
      <c r="J3662" s="14" t="n">
        <v>0</v>
      </c>
      <c r="K3662" s="14" t="n">
        <v>81441.86383723839</v>
      </c>
      <c r="L3662" s="14" t="n">
        <v>4312996.529277368</v>
      </c>
      <c r="M3662" s="14" t="n">
        <v>0</v>
      </c>
      <c r="N3662" s="14" t="n">
        <v>3364863.683352632</v>
      </c>
      <c r="O3662" s="14" t="n">
        <v>3701495.043780459</v>
      </c>
      <c r="P3662" s="14" t="n">
        <v>55178.85905459534</v>
      </c>
      <c r="Q3662" s="14" t="n">
        <v>21295553.41994572</v>
      </c>
      <c r="R3662" s="15">
        <f>IF(D3662=1,"Section 1","Control")</f>
        <v/>
      </c>
      <c r="S3662" s="16">
        <f>N3662/10000</f>
        <v/>
      </c>
      <c r="T3662" s="16">
        <f>P3662/10000</f>
        <v/>
      </c>
      <c r="U3662" s="15">
        <f>IF(N3662&gt;=Summary!$D$3,1,0)</f>
        <v/>
      </c>
      <c r="V3662" s="17">
        <f>IF(N3662&gt;0,P3662/N3662,"")</f>
        <v/>
      </c>
      <c r="W3662" s="17">
        <f>IF(O3662&gt;0,H3662/O3662,"")</f>
        <v/>
      </c>
    </row>
    <row r="3663">
      <c r="A3663" s="13" t="inlineStr">
        <is>
          <t>CW40_F</t>
        </is>
      </c>
      <c r="B3663" s="13" t="inlineStr">
        <is>
          <t>CW40</t>
        </is>
      </c>
      <c r="C3663" s="13" t="inlineStr">
        <is>
          <t>F</t>
        </is>
      </c>
      <c r="D3663" s="13" t="n">
        <v>0</v>
      </c>
      <c r="E3663" s="13" t="inlineStr">
        <is>
          <t>W</t>
        </is>
      </c>
      <c r="F3663" s="13" t="n">
        <v>2020</v>
      </c>
      <c r="G3663" s="14" t="n">
        <v>69070.25555279302</v>
      </c>
      <c r="H3663" s="14" t="n">
        <v>21832.75178865919</v>
      </c>
      <c r="I3663" s="14" t="n">
        <v>38536.69192534804</v>
      </c>
      <c r="J3663" s="14" t="n">
        <v>0</v>
      </c>
      <c r="K3663" s="14" t="n">
        <v>8700.811838785807</v>
      </c>
      <c r="L3663" s="14" t="n">
        <v>0</v>
      </c>
      <c r="M3663" s="14" t="n">
        <v>0</v>
      </c>
      <c r="N3663" s="14" t="n">
        <v>21832.75178865919</v>
      </c>
      <c r="O3663" s="14" t="n">
        <v>69070.25555279302</v>
      </c>
      <c r="P3663" s="14" t="n">
        <v>0</v>
      </c>
      <c r="Q3663" s="14" t="n">
        <v>759842.9127570657</v>
      </c>
      <c r="R3663" s="15">
        <f>IF(D3663=1,"Section 1","Control")</f>
        <v/>
      </c>
      <c r="S3663" s="16">
        <f>N3663/10000</f>
        <v/>
      </c>
      <c r="T3663" s="16">
        <f>P3663/10000</f>
        <v/>
      </c>
      <c r="U3663" s="15">
        <f>IF(N3663&gt;=Summary!$D$3,1,0)</f>
        <v/>
      </c>
      <c r="V3663" s="17">
        <f>IF(N3663&gt;0,P3663/N3663,"")</f>
        <v/>
      </c>
      <c r="W3663" s="17">
        <f>IF(O3663&gt;0,H3663/O3663,"")</f>
        <v/>
      </c>
    </row>
    <row r="3664">
      <c r="A3664" s="13" t="inlineStr">
        <is>
          <t>CW40_F</t>
        </is>
      </c>
      <c r="B3664" s="13" t="inlineStr">
        <is>
          <t>CW40</t>
        </is>
      </c>
      <c r="C3664" s="13" t="inlineStr">
        <is>
          <t>F</t>
        </is>
      </c>
      <c r="D3664" s="13" t="n">
        <v>0</v>
      </c>
      <c r="E3664" s="13" t="inlineStr">
        <is>
          <t>W</t>
        </is>
      </c>
      <c r="F3664" s="13" t="n">
        <v>2021</v>
      </c>
      <c r="G3664" s="14" t="n">
        <v>69070.25555279302</v>
      </c>
      <c r="H3664" s="14" t="n">
        <v>9412.424723845836</v>
      </c>
      <c r="I3664" s="14" t="n">
        <v>31614.91509662704</v>
      </c>
      <c r="J3664" s="14" t="n">
        <v>0</v>
      </c>
      <c r="K3664" s="14" t="n">
        <v>28042.91573232015</v>
      </c>
      <c r="L3664" s="14" t="n">
        <v>0</v>
      </c>
      <c r="M3664" s="14" t="n">
        <v>0</v>
      </c>
      <c r="N3664" s="14" t="n">
        <v>21832.75178865919</v>
      </c>
      <c r="O3664" s="14" t="n">
        <v>69070.25555279302</v>
      </c>
      <c r="P3664" s="14" t="n">
        <v>12420.32706481335</v>
      </c>
      <c r="Q3664" s="14" t="n">
        <v>759842.9127570656</v>
      </c>
      <c r="R3664" s="15">
        <f>IF(D3664=1,"Section 1","Control")</f>
        <v/>
      </c>
      <c r="S3664" s="16">
        <f>N3664/10000</f>
        <v/>
      </c>
      <c r="T3664" s="16">
        <f>P3664/10000</f>
        <v/>
      </c>
      <c r="U3664" s="15">
        <f>IF(N3664&gt;=Summary!$D$3,1,0)</f>
        <v/>
      </c>
      <c r="V3664" s="17">
        <f>IF(N3664&gt;0,P3664/N3664,"")</f>
        <v/>
      </c>
      <c r="W3664" s="17">
        <f>IF(O3664&gt;0,H3664/O3664,"")</f>
        <v/>
      </c>
    </row>
    <row r="3665">
      <c r="A3665" s="13" t="inlineStr">
        <is>
          <t>CW40_F</t>
        </is>
      </c>
      <c r="B3665" s="13" t="inlineStr">
        <is>
          <t>CW40</t>
        </is>
      </c>
      <c r="C3665" s="13" t="inlineStr">
        <is>
          <t>F</t>
        </is>
      </c>
      <c r="D3665" s="13" t="n">
        <v>0</v>
      </c>
      <c r="E3665" s="13" t="inlineStr">
        <is>
          <t>W</t>
        </is>
      </c>
      <c r="F3665" s="13" t="n">
        <v>2022</v>
      </c>
      <c r="G3665" s="14" t="n">
        <v>69070.25555279302</v>
      </c>
      <c r="H3665" s="14" t="n">
        <v>12279.0106863882</v>
      </c>
      <c r="I3665" s="14" t="n">
        <v>34669.66533630971</v>
      </c>
      <c r="J3665" s="14" t="n">
        <v>0</v>
      </c>
      <c r="K3665" s="14" t="n">
        <v>22121.57953009512</v>
      </c>
      <c r="L3665" s="14" t="n">
        <v>0</v>
      </c>
      <c r="M3665" s="14" t="n">
        <v>0</v>
      </c>
      <c r="N3665" s="14" t="n">
        <v>21832.75178865919</v>
      </c>
      <c r="O3665" s="14" t="n">
        <v>69070.25555279302</v>
      </c>
      <c r="P3665" s="14" t="n">
        <v>11396.26978619145</v>
      </c>
      <c r="Q3665" s="14" t="n">
        <v>759842.9127570656</v>
      </c>
      <c r="R3665" s="15">
        <f>IF(D3665=1,"Section 1","Control")</f>
        <v/>
      </c>
      <c r="S3665" s="16">
        <f>N3665/10000</f>
        <v/>
      </c>
      <c r="T3665" s="16">
        <f>P3665/10000</f>
        <v/>
      </c>
      <c r="U3665" s="15">
        <f>IF(N3665&gt;=Summary!$D$3,1,0)</f>
        <v/>
      </c>
      <c r="V3665" s="17">
        <f>IF(N3665&gt;0,P3665/N3665,"")</f>
        <v/>
      </c>
      <c r="W3665" s="17">
        <f>IF(O3665&gt;0,H3665/O3665,"")</f>
        <v/>
      </c>
    </row>
    <row r="3666">
      <c r="A3666" s="13" t="inlineStr">
        <is>
          <t>CW40_F</t>
        </is>
      </c>
      <c r="B3666" s="13" t="inlineStr">
        <is>
          <t>CW40</t>
        </is>
      </c>
      <c r="C3666" s="13" t="inlineStr">
        <is>
          <t>F</t>
        </is>
      </c>
      <c r="D3666" s="13" t="n">
        <v>0</v>
      </c>
      <c r="E3666" s="13" t="inlineStr">
        <is>
          <t>W</t>
        </is>
      </c>
      <c r="F3666" s="13" t="n">
        <v>2023</v>
      </c>
      <c r="G3666" s="14" t="n">
        <v>69070.25555279302</v>
      </c>
      <c r="H3666" s="14" t="n">
        <v>14042.94392637365</v>
      </c>
      <c r="I3666" s="14" t="n">
        <v>38026.40768755745</v>
      </c>
      <c r="J3666" s="14" t="n">
        <v>0</v>
      </c>
      <c r="K3666" s="14" t="n">
        <v>17000.90393886192</v>
      </c>
      <c r="L3666" s="14" t="n">
        <v>0</v>
      </c>
      <c r="M3666" s="14" t="n">
        <v>0</v>
      </c>
      <c r="N3666" s="14" t="n">
        <v>21832.75178865919</v>
      </c>
      <c r="O3666" s="14" t="n">
        <v>69070.25555279302</v>
      </c>
      <c r="P3666" s="14" t="n">
        <v>10773.70514143402</v>
      </c>
      <c r="Q3666" s="14" t="n">
        <v>759842.9127570656</v>
      </c>
      <c r="R3666" s="15">
        <f>IF(D3666=1,"Section 1","Control")</f>
        <v/>
      </c>
      <c r="S3666" s="16">
        <f>N3666/10000</f>
        <v/>
      </c>
      <c r="T3666" s="16">
        <f>P3666/10000</f>
        <v/>
      </c>
      <c r="U3666" s="15">
        <f>IF(N3666&gt;=Summary!$D$3,1,0)</f>
        <v/>
      </c>
      <c r="V3666" s="17">
        <f>IF(N3666&gt;0,P3666/N3666,"")</f>
        <v/>
      </c>
      <c r="W3666" s="17">
        <f>IF(O3666&gt;0,H3666/O3666,"")</f>
        <v/>
      </c>
    </row>
    <row r="3667">
      <c r="A3667" s="13" t="inlineStr">
        <is>
          <t>CW40_F</t>
        </is>
      </c>
      <c r="B3667" s="13" t="inlineStr">
        <is>
          <t>CW40</t>
        </is>
      </c>
      <c r="C3667" s="13" t="inlineStr">
        <is>
          <t>F</t>
        </is>
      </c>
      <c r="D3667" s="13" t="n">
        <v>0</v>
      </c>
      <c r="E3667" s="13" t="inlineStr">
        <is>
          <t>W</t>
        </is>
      </c>
      <c r="F3667" s="13" t="n">
        <v>2024</v>
      </c>
      <c r="G3667" s="14" t="n">
        <v>69070.25555279302</v>
      </c>
      <c r="H3667" s="14" t="n">
        <v>32102.36061449238</v>
      </c>
      <c r="I3667" s="14" t="n">
        <v>19690.16643871233</v>
      </c>
      <c r="J3667" s="14" t="n">
        <v>0</v>
      </c>
      <c r="K3667" s="14" t="n">
        <v>17277.72849958831</v>
      </c>
      <c r="L3667" s="14" t="n">
        <v>0</v>
      </c>
      <c r="M3667" s="14" t="n">
        <v>0</v>
      </c>
      <c r="N3667" s="14" t="n">
        <v>21832.75178865919</v>
      </c>
      <c r="O3667" s="14" t="n">
        <v>69070.25555279302</v>
      </c>
      <c r="P3667" s="14" t="n">
        <v>8737.592000624712</v>
      </c>
      <c r="Q3667" s="14" t="n">
        <v>759842.9127570657</v>
      </c>
      <c r="R3667" s="15">
        <f>IF(D3667=1,"Section 1","Control")</f>
        <v/>
      </c>
      <c r="S3667" s="16">
        <f>N3667/10000</f>
        <v/>
      </c>
      <c r="T3667" s="16">
        <f>P3667/10000</f>
        <v/>
      </c>
      <c r="U3667" s="15">
        <f>IF(N3667&gt;=Summary!$D$3,1,0)</f>
        <v/>
      </c>
      <c r="V3667" s="17">
        <f>IF(N3667&gt;0,P3667/N3667,"")</f>
        <v/>
      </c>
      <c r="W3667" s="17">
        <f>IF(O3667&gt;0,H3667/O3667,"")</f>
        <v/>
      </c>
    </row>
    <row r="3668">
      <c r="A3668" s="13" t="inlineStr">
        <is>
          <t>CW40_F</t>
        </is>
      </c>
      <c r="B3668" s="13" t="inlineStr">
        <is>
          <t>CW40</t>
        </is>
      </c>
      <c r="C3668" s="13" t="inlineStr">
        <is>
          <t>F</t>
        </is>
      </c>
      <c r="D3668" s="13" t="n">
        <v>0</v>
      </c>
      <c r="E3668" s="13" t="inlineStr">
        <is>
          <t>W</t>
        </is>
      </c>
      <c r="F3668" s="13" t="n">
        <v>2025</v>
      </c>
      <c r="G3668" s="14" t="n">
        <v>69070.25555279302</v>
      </c>
      <c r="H3668" s="14" t="n">
        <v>16139.84206471163</v>
      </c>
      <c r="I3668" s="14" t="n">
        <v>42689.83769417559</v>
      </c>
      <c r="J3668" s="14" t="n">
        <v>0</v>
      </c>
      <c r="K3668" s="14" t="n">
        <v>10240.57579390582</v>
      </c>
      <c r="L3668" s="14" t="n">
        <v>0</v>
      </c>
      <c r="M3668" s="14" t="n">
        <v>0</v>
      </c>
      <c r="N3668" s="14" t="n">
        <v>21832.75178865919</v>
      </c>
      <c r="O3668" s="14" t="n">
        <v>69070.25555279302</v>
      </c>
      <c r="P3668" s="14" t="n">
        <v>12897.70461623248</v>
      </c>
      <c r="Q3668" s="14" t="n">
        <v>759842.9127570656</v>
      </c>
      <c r="R3668" s="15">
        <f>IF(D3668=1,"Section 1","Control")</f>
        <v/>
      </c>
      <c r="S3668" s="16">
        <f>N3668/10000</f>
        <v/>
      </c>
      <c r="T3668" s="16">
        <f>P3668/10000</f>
        <v/>
      </c>
      <c r="U3668" s="15">
        <f>IF(N3668&gt;=Summary!$D$3,1,0)</f>
        <v/>
      </c>
      <c r="V3668" s="17">
        <f>IF(N3668&gt;0,P3668/N3668,"")</f>
        <v/>
      </c>
      <c r="W3668" s="17">
        <f>IF(O3668&gt;0,H3668/O3668,"")</f>
        <v/>
      </c>
    </row>
    <row r="3669">
      <c r="A3669" s="13" t="inlineStr">
        <is>
          <t>CW40_F</t>
        </is>
      </c>
      <c r="B3669" s="13" t="inlineStr">
        <is>
          <t>CW40</t>
        </is>
      </c>
      <c r="C3669" s="13" t="inlineStr">
        <is>
          <t>F</t>
        </is>
      </c>
      <c r="D3669" s="13" t="n">
        <v>0</v>
      </c>
      <c r="E3669" s="13" t="inlineStr">
        <is>
          <t>W</t>
        </is>
      </c>
      <c r="F3669" s="13" t="n">
        <v>2026</v>
      </c>
      <c r="G3669" s="14" t="n">
        <v>69070.25555279302</v>
      </c>
      <c r="H3669" s="14" t="n">
        <v>37658.21527907429</v>
      </c>
      <c r="I3669" s="14" t="n">
        <v>17508.0868362726</v>
      </c>
      <c r="J3669" s="14" t="n">
        <v>0</v>
      </c>
      <c r="K3669" s="14" t="n">
        <v>13903.95343744614</v>
      </c>
      <c r="L3669" s="14" t="n">
        <v>0</v>
      </c>
      <c r="M3669" s="14" t="n">
        <v>0</v>
      </c>
      <c r="N3669" s="14" t="n">
        <v>21832.75178865919</v>
      </c>
      <c r="O3669" s="14" t="n">
        <v>69070.25555279302</v>
      </c>
      <c r="P3669" s="14" t="n">
        <v>7393.734126341576</v>
      </c>
      <c r="Q3669" s="14" t="n">
        <v>759842.9127570656</v>
      </c>
      <c r="R3669" s="15">
        <f>IF(D3669=1,"Section 1","Control")</f>
        <v/>
      </c>
      <c r="S3669" s="16">
        <f>N3669/10000</f>
        <v/>
      </c>
      <c r="T3669" s="16">
        <f>P3669/10000</f>
        <v/>
      </c>
      <c r="U3669" s="15">
        <f>IF(N3669&gt;=Summary!$D$3,1,0)</f>
        <v/>
      </c>
      <c r="V3669" s="17">
        <f>IF(N3669&gt;0,P3669/N3669,"")</f>
        <v/>
      </c>
      <c r="W3669" s="17">
        <f>IF(O3669&gt;0,H3669/O3669,"")</f>
        <v/>
      </c>
    </row>
    <row r="3670">
      <c r="A3670" s="13" t="inlineStr">
        <is>
          <t>CW41_B1</t>
        </is>
      </c>
      <c r="B3670" s="13" t="inlineStr">
        <is>
          <t>CW41</t>
        </is>
      </c>
      <c r="C3670" s="13" t="inlineStr">
        <is>
          <t>B1</t>
        </is>
      </c>
      <c r="D3670" s="13" t="n">
        <v>0</v>
      </c>
      <c r="E3670" s="13" t="inlineStr">
        <is>
          <t>W</t>
        </is>
      </c>
      <c r="F3670" s="13" t="n">
        <v>2020</v>
      </c>
      <c r="G3670" s="14" t="n">
        <v>1001411.464973151</v>
      </c>
      <c r="H3670" s="14" t="n">
        <v>368340.853079104</v>
      </c>
      <c r="I3670" s="14" t="n">
        <v>352022.3489019057</v>
      </c>
      <c r="J3670" s="14" t="n">
        <v>0</v>
      </c>
      <c r="K3670" s="14" t="n">
        <v>47218.58441844267</v>
      </c>
      <c r="L3670" s="14" t="n">
        <v>233829.6785736981</v>
      </c>
      <c r="M3670" s="14" t="n">
        <v>0</v>
      </c>
      <c r="N3670" s="14" t="n">
        <v>368340.853079104</v>
      </c>
      <c r="O3670" s="14" t="n">
        <v>767581.7863994525</v>
      </c>
      <c r="P3670" s="14" t="n">
        <v>0</v>
      </c>
      <c r="Q3670" s="14" t="n">
        <v>7268951.580721865</v>
      </c>
      <c r="R3670" s="15">
        <f>IF(D3670=1,"Section 1","Control")</f>
        <v/>
      </c>
      <c r="S3670" s="16">
        <f>N3670/10000</f>
        <v/>
      </c>
      <c r="T3670" s="16">
        <f>P3670/10000</f>
        <v/>
      </c>
      <c r="U3670" s="15">
        <f>IF(N3670&gt;=Summary!$D$3,1,0)</f>
        <v/>
      </c>
      <c r="V3670" s="17">
        <f>IF(N3670&gt;0,P3670/N3670,"")</f>
        <v/>
      </c>
      <c r="W3670" s="17">
        <f>IF(O3670&gt;0,H3670/O3670,"")</f>
        <v/>
      </c>
    </row>
    <row r="3671">
      <c r="A3671" s="13" t="inlineStr">
        <is>
          <t>CW41_B1</t>
        </is>
      </c>
      <c r="B3671" s="13" t="inlineStr">
        <is>
          <t>CW41</t>
        </is>
      </c>
      <c r="C3671" s="13" t="inlineStr">
        <is>
          <t>B1</t>
        </is>
      </c>
      <c r="D3671" s="13" t="n">
        <v>0</v>
      </c>
      <c r="E3671" s="13" t="inlineStr">
        <is>
          <t>W</t>
        </is>
      </c>
      <c r="F3671" s="13" t="n">
        <v>2021</v>
      </c>
      <c r="G3671" s="14" t="n">
        <v>1001411.464973151</v>
      </c>
      <c r="H3671" s="14" t="n">
        <v>324834.4826112037</v>
      </c>
      <c r="I3671" s="14" t="n">
        <v>317345.5574894027</v>
      </c>
      <c r="J3671" s="14" t="n">
        <v>0</v>
      </c>
      <c r="K3671" s="14" t="n">
        <v>138595.694810785</v>
      </c>
      <c r="L3671" s="14" t="n">
        <v>220635.7300617592</v>
      </c>
      <c r="M3671" s="14" t="n">
        <v>0</v>
      </c>
      <c r="N3671" s="14" t="n">
        <v>368340.853079104</v>
      </c>
      <c r="O3671" s="14" t="n">
        <v>767581.7863994525</v>
      </c>
      <c r="P3671" s="14" t="n">
        <v>75766.55978058459</v>
      </c>
      <c r="Q3671" s="14" t="n">
        <v>7268951.580721865</v>
      </c>
      <c r="R3671" s="15">
        <f>IF(D3671=1,"Section 1","Control")</f>
        <v/>
      </c>
      <c r="S3671" s="16">
        <f>N3671/10000</f>
        <v/>
      </c>
      <c r="T3671" s="16">
        <f>P3671/10000</f>
        <v/>
      </c>
      <c r="U3671" s="15">
        <f>IF(N3671&gt;=Summary!$D$3,1,0)</f>
        <v/>
      </c>
      <c r="V3671" s="17">
        <f>IF(N3671&gt;0,P3671/N3671,"")</f>
        <v/>
      </c>
      <c r="W3671" s="17">
        <f>IF(O3671&gt;0,H3671/O3671,"")</f>
        <v/>
      </c>
    </row>
    <row r="3672">
      <c r="A3672" s="13" t="inlineStr">
        <is>
          <t>CW41_B1</t>
        </is>
      </c>
      <c r="B3672" s="13" t="inlineStr">
        <is>
          <t>CW41</t>
        </is>
      </c>
      <c r="C3672" s="13" t="inlineStr">
        <is>
          <t>B1</t>
        </is>
      </c>
      <c r="D3672" s="13" t="n">
        <v>0</v>
      </c>
      <c r="E3672" s="13" t="inlineStr">
        <is>
          <t>W</t>
        </is>
      </c>
      <c r="F3672" s="13" t="n">
        <v>2022</v>
      </c>
      <c r="G3672" s="14" t="n">
        <v>1001411.464973151</v>
      </c>
      <c r="H3672" s="14" t="n">
        <v>329794.0929712632</v>
      </c>
      <c r="I3672" s="14" t="n">
        <v>326693.2303318997</v>
      </c>
      <c r="J3672" s="14" t="n">
        <v>0</v>
      </c>
      <c r="K3672" s="14" t="n">
        <v>115965.436027467</v>
      </c>
      <c r="L3672" s="14" t="n">
        <v>228958.7056425207</v>
      </c>
      <c r="M3672" s="14" t="n">
        <v>0</v>
      </c>
      <c r="N3672" s="14" t="n">
        <v>368340.853079104</v>
      </c>
      <c r="O3672" s="14" t="n">
        <v>767581.7863994525</v>
      </c>
      <c r="P3672" s="14" t="n">
        <v>79069.8510273952</v>
      </c>
      <c r="Q3672" s="14" t="n">
        <v>7268951.580721865</v>
      </c>
      <c r="R3672" s="15">
        <f>IF(D3672=1,"Section 1","Control")</f>
        <v/>
      </c>
      <c r="S3672" s="16">
        <f>N3672/10000</f>
        <v/>
      </c>
      <c r="T3672" s="16">
        <f>P3672/10000</f>
        <v/>
      </c>
      <c r="U3672" s="15">
        <f>IF(N3672&gt;=Summary!$D$3,1,0)</f>
        <v/>
      </c>
      <c r="V3672" s="17">
        <f>IF(N3672&gt;0,P3672/N3672,"")</f>
        <v/>
      </c>
      <c r="W3672" s="17">
        <f>IF(O3672&gt;0,H3672/O3672,"")</f>
        <v/>
      </c>
    </row>
    <row r="3673">
      <c r="A3673" s="13" t="inlineStr">
        <is>
          <t>CW41_B1</t>
        </is>
      </c>
      <c r="B3673" s="13" t="inlineStr">
        <is>
          <t>CW41</t>
        </is>
      </c>
      <c r="C3673" s="13" t="inlineStr">
        <is>
          <t>B1</t>
        </is>
      </c>
      <c r="D3673" s="13" t="n">
        <v>0</v>
      </c>
      <c r="E3673" s="13" t="inlineStr">
        <is>
          <t>W</t>
        </is>
      </c>
      <c r="F3673" s="13" t="n">
        <v>2023</v>
      </c>
      <c r="G3673" s="14" t="n">
        <v>1001411.464973151</v>
      </c>
      <c r="H3673" s="14" t="n">
        <v>325350.2666760613</v>
      </c>
      <c r="I3673" s="14" t="n">
        <v>331979.081699147</v>
      </c>
      <c r="J3673" s="14" t="n">
        <v>0</v>
      </c>
      <c r="K3673" s="14" t="n">
        <v>109298.4523219988</v>
      </c>
      <c r="L3673" s="14" t="n">
        <v>234783.6642759436</v>
      </c>
      <c r="M3673" s="14" t="n">
        <v>0</v>
      </c>
      <c r="N3673" s="14" t="n">
        <v>368340.853079104</v>
      </c>
      <c r="O3673" s="14" t="n">
        <v>767581.7863994525</v>
      </c>
      <c r="P3673" s="14" t="n">
        <v>87658.30312386308</v>
      </c>
      <c r="Q3673" s="14" t="n">
        <v>7268951.580721865</v>
      </c>
      <c r="R3673" s="15">
        <f>IF(D3673=1,"Section 1","Control")</f>
        <v/>
      </c>
      <c r="S3673" s="16">
        <f>N3673/10000</f>
        <v/>
      </c>
      <c r="T3673" s="16">
        <f>P3673/10000</f>
        <v/>
      </c>
      <c r="U3673" s="15">
        <f>IF(N3673&gt;=Summary!$D$3,1,0)</f>
        <v/>
      </c>
      <c r="V3673" s="17">
        <f>IF(N3673&gt;0,P3673/N3673,"")</f>
        <v/>
      </c>
      <c r="W3673" s="17">
        <f>IF(O3673&gt;0,H3673/O3673,"")</f>
        <v/>
      </c>
    </row>
    <row r="3674">
      <c r="A3674" s="13" t="inlineStr">
        <is>
          <t>CW41_B1</t>
        </is>
      </c>
      <c r="B3674" s="13" t="inlineStr">
        <is>
          <t>CW41</t>
        </is>
      </c>
      <c r="C3674" s="13" t="inlineStr">
        <is>
          <t>B1</t>
        </is>
      </c>
      <c r="D3674" s="13" t="n">
        <v>0</v>
      </c>
      <c r="E3674" s="13" t="inlineStr">
        <is>
          <t>W</t>
        </is>
      </c>
      <c r="F3674" s="13" t="n">
        <v>2024</v>
      </c>
      <c r="G3674" s="14" t="n">
        <v>1001411.46497315</v>
      </c>
      <c r="H3674" s="14" t="n">
        <v>427526.4300324085</v>
      </c>
      <c r="I3674" s="14" t="n">
        <v>220234.4642810896</v>
      </c>
      <c r="J3674" s="14" t="n">
        <v>0</v>
      </c>
      <c r="K3674" s="14" t="n">
        <v>114949.9174943213</v>
      </c>
      <c r="L3674" s="14" t="n">
        <v>238700.6531653311</v>
      </c>
      <c r="M3674" s="14" t="n">
        <v>0</v>
      </c>
      <c r="N3674" s="14" t="n">
        <v>368340.853079104</v>
      </c>
      <c r="O3674" s="14" t="n">
        <v>767581.7863994525</v>
      </c>
      <c r="P3674" s="14" t="n">
        <v>68600.8810752719</v>
      </c>
      <c r="Q3674" s="14" t="n">
        <v>7268951.580721865</v>
      </c>
      <c r="R3674" s="15">
        <f>IF(D3674=1,"Section 1","Control")</f>
        <v/>
      </c>
      <c r="S3674" s="16">
        <f>N3674/10000</f>
        <v/>
      </c>
      <c r="T3674" s="16">
        <f>P3674/10000</f>
        <v/>
      </c>
      <c r="U3674" s="15">
        <f>IF(N3674&gt;=Summary!$D$3,1,0)</f>
        <v/>
      </c>
      <c r="V3674" s="17">
        <f>IF(N3674&gt;0,P3674/N3674,"")</f>
        <v/>
      </c>
      <c r="W3674" s="17">
        <f>IF(O3674&gt;0,H3674/O3674,"")</f>
        <v/>
      </c>
    </row>
    <row r="3675">
      <c r="A3675" s="13" t="inlineStr">
        <is>
          <t>CW41_B1</t>
        </is>
      </c>
      <c r="B3675" s="13" t="inlineStr">
        <is>
          <t>CW41</t>
        </is>
      </c>
      <c r="C3675" s="13" t="inlineStr">
        <is>
          <t>B1</t>
        </is>
      </c>
      <c r="D3675" s="13" t="n">
        <v>0</v>
      </c>
      <c r="E3675" s="13" t="inlineStr">
        <is>
          <t>W</t>
        </is>
      </c>
      <c r="F3675" s="13" t="n">
        <v>2025</v>
      </c>
      <c r="G3675" s="14" t="n">
        <v>1001411.464973151</v>
      </c>
      <c r="H3675" s="14" t="n">
        <v>302231.0558634142</v>
      </c>
      <c r="I3675" s="14" t="n">
        <v>359569.2359946755</v>
      </c>
      <c r="J3675" s="14" t="n">
        <v>0</v>
      </c>
      <c r="K3675" s="14" t="n">
        <v>96763.93977242264</v>
      </c>
      <c r="L3675" s="14" t="n">
        <v>242847.2333426382</v>
      </c>
      <c r="M3675" s="14" t="n">
        <v>0</v>
      </c>
      <c r="N3675" s="14" t="n">
        <v>368340.853079104</v>
      </c>
      <c r="O3675" s="14" t="n">
        <v>767581.7863994525</v>
      </c>
      <c r="P3675" s="14" t="n">
        <v>96582.84517211917</v>
      </c>
      <c r="Q3675" s="14" t="n">
        <v>7268951.580721865</v>
      </c>
      <c r="R3675" s="15">
        <f>IF(D3675=1,"Section 1","Control")</f>
        <v/>
      </c>
      <c r="S3675" s="16">
        <f>N3675/10000</f>
        <v/>
      </c>
      <c r="T3675" s="16">
        <f>P3675/10000</f>
        <v/>
      </c>
      <c r="U3675" s="15">
        <f>IF(N3675&gt;=Summary!$D$3,1,0)</f>
        <v/>
      </c>
      <c r="V3675" s="17">
        <f>IF(N3675&gt;0,P3675/N3675,"")</f>
        <v/>
      </c>
      <c r="W3675" s="17">
        <f>IF(O3675&gt;0,H3675/O3675,"")</f>
        <v/>
      </c>
    </row>
    <row r="3676">
      <c r="A3676" s="13" t="inlineStr">
        <is>
          <t>CW41_B1</t>
        </is>
      </c>
      <c r="B3676" s="13" t="inlineStr">
        <is>
          <t>CW41</t>
        </is>
      </c>
      <c r="C3676" s="13" t="inlineStr">
        <is>
          <t>B1</t>
        </is>
      </c>
      <c r="D3676" s="13" t="n">
        <v>0</v>
      </c>
      <c r="E3676" s="13" t="inlineStr">
        <is>
          <t>W</t>
        </is>
      </c>
      <c r="F3676" s="13" t="n">
        <v>2026</v>
      </c>
      <c r="G3676" s="14" t="n">
        <v>1001411.464973151</v>
      </c>
      <c r="H3676" s="14" t="n">
        <v>416831.0272633273</v>
      </c>
      <c r="I3676" s="14" t="n">
        <v>239900.9089106841</v>
      </c>
      <c r="J3676" s="14" t="n">
        <v>0</v>
      </c>
      <c r="K3676" s="14" t="n">
        <v>107562.0096977982</v>
      </c>
      <c r="L3676" s="14" t="n">
        <v>237117.5191013411</v>
      </c>
      <c r="M3676" s="14" t="n">
        <v>0</v>
      </c>
      <c r="N3676" s="14" t="n">
        <v>368340.853079104</v>
      </c>
      <c r="O3676" s="14" t="n">
        <v>767581.7863994525</v>
      </c>
      <c r="P3676" s="14" t="n">
        <v>69211.03944040935</v>
      </c>
      <c r="Q3676" s="14" t="n">
        <v>7268951.580721865</v>
      </c>
      <c r="R3676" s="15">
        <f>IF(D3676=1,"Section 1","Control")</f>
        <v/>
      </c>
      <c r="S3676" s="16">
        <f>N3676/10000</f>
        <v/>
      </c>
      <c r="T3676" s="16">
        <f>P3676/10000</f>
        <v/>
      </c>
      <c r="U3676" s="15">
        <f>IF(N3676&gt;=Summary!$D$3,1,0)</f>
        <v/>
      </c>
      <c r="V3676" s="17">
        <f>IF(N3676&gt;0,P3676/N3676,"")</f>
        <v/>
      </c>
      <c r="W3676" s="17">
        <f>IF(O3676&gt;0,H3676/O3676,"")</f>
        <v/>
      </c>
    </row>
    <row r="3677">
      <c r="A3677" s="13" t="inlineStr">
        <is>
          <t>CW41_B2</t>
        </is>
      </c>
      <c r="B3677" s="13" t="inlineStr">
        <is>
          <t>CW41</t>
        </is>
      </c>
      <c r="C3677" s="13" t="inlineStr">
        <is>
          <t>B2</t>
        </is>
      </c>
      <c r="D3677" s="13" t="n">
        <v>0</v>
      </c>
      <c r="E3677" s="13" t="inlineStr">
        <is>
          <t>W</t>
        </is>
      </c>
      <c r="F3677" s="13" t="n">
        <v>2020</v>
      </c>
      <c r="G3677" s="14" t="n">
        <v>1001438.560884364</v>
      </c>
      <c r="H3677" s="14" t="n">
        <v>164772.5863446105</v>
      </c>
      <c r="I3677" s="14" t="n">
        <v>10859.91551208496</v>
      </c>
      <c r="J3677" s="14" t="n">
        <v>0</v>
      </c>
      <c r="K3677" s="14" t="n">
        <v>35130.33616754868</v>
      </c>
      <c r="L3677" s="14" t="n">
        <v>790675.7228601194</v>
      </c>
      <c r="M3677" s="14" t="n">
        <v>0</v>
      </c>
      <c r="N3677" s="14" t="n">
        <v>164772.5863446105</v>
      </c>
      <c r="O3677" s="14" t="n">
        <v>210762.8380242441</v>
      </c>
      <c r="P3677" s="14" t="n">
        <v>0</v>
      </c>
      <c r="Q3677" s="14" t="n">
        <v>1990525.5391919</v>
      </c>
      <c r="R3677" s="15">
        <f>IF(D3677=1,"Section 1","Control")</f>
        <v/>
      </c>
      <c r="S3677" s="16">
        <f>N3677/10000</f>
        <v/>
      </c>
      <c r="T3677" s="16">
        <f>P3677/10000</f>
        <v/>
      </c>
      <c r="U3677" s="15">
        <f>IF(N3677&gt;=Summary!$D$3,1,0)</f>
        <v/>
      </c>
      <c r="V3677" s="17">
        <f>IF(N3677&gt;0,P3677/N3677,"")</f>
        <v/>
      </c>
      <c r="W3677" s="17">
        <f>IF(O3677&gt;0,H3677/O3677,"")</f>
        <v/>
      </c>
    </row>
    <row r="3678">
      <c r="A3678" s="13" t="inlineStr">
        <is>
          <t>CW41_B2</t>
        </is>
      </c>
      <c r="B3678" s="13" t="inlineStr">
        <is>
          <t>CW41</t>
        </is>
      </c>
      <c r="C3678" s="13" t="inlineStr">
        <is>
          <t>B2</t>
        </is>
      </c>
      <c r="D3678" s="13" t="n">
        <v>0</v>
      </c>
      <c r="E3678" s="13" t="inlineStr">
        <is>
          <t>W</t>
        </is>
      </c>
      <c r="F3678" s="13" t="n">
        <v>2021</v>
      </c>
      <c r="G3678" s="14" t="n">
        <v>1001438.560884364</v>
      </c>
      <c r="H3678" s="14" t="n">
        <v>154164.3365029129</v>
      </c>
      <c r="I3678" s="14" t="n">
        <v>6665.008196662454</v>
      </c>
      <c r="J3678" s="14" t="n">
        <v>0</v>
      </c>
      <c r="K3678" s="14" t="n">
        <v>67178.07560532514</v>
      </c>
      <c r="L3678" s="14" t="n">
        <v>773431.140579463</v>
      </c>
      <c r="M3678" s="14" t="n">
        <v>0</v>
      </c>
      <c r="N3678" s="14" t="n">
        <v>164772.5863446105</v>
      </c>
      <c r="O3678" s="14" t="n">
        <v>210762.8380242441</v>
      </c>
      <c r="P3678" s="14" t="n">
        <v>11792.96742440018</v>
      </c>
      <c r="Q3678" s="14" t="n">
        <v>1990525.5391919</v>
      </c>
      <c r="R3678" s="15">
        <f>IF(D3678=1,"Section 1","Control")</f>
        <v/>
      </c>
      <c r="S3678" s="16">
        <f>N3678/10000</f>
        <v/>
      </c>
      <c r="T3678" s="16">
        <f>P3678/10000</f>
        <v/>
      </c>
      <c r="U3678" s="15">
        <f>IF(N3678&gt;=Summary!$D$3,1,0)</f>
        <v/>
      </c>
      <c r="V3678" s="17">
        <f>IF(N3678&gt;0,P3678/N3678,"")</f>
        <v/>
      </c>
      <c r="W3678" s="17">
        <f>IF(O3678&gt;0,H3678/O3678,"")</f>
        <v/>
      </c>
    </row>
    <row r="3679">
      <c r="A3679" s="13" t="inlineStr">
        <is>
          <t>CW41_B2</t>
        </is>
      </c>
      <c r="B3679" s="13" t="inlineStr">
        <is>
          <t>CW41</t>
        </is>
      </c>
      <c r="C3679" s="13" t="inlineStr">
        <is>
          <t>B2</t>
        </is>
      </c>
      <c r="D3679" s="13" t="n">
        <v>0</v>
      </c>
      <c r="E3679" s="13" t="inlineStr">
        <is>
          <t>W</t>
        </is>
      </c>
      <c r="F3679" s="13" t="n">
        <v>2022</v>
      </c>
      <c r="G3679" s="14" t="n">
        <v>1001438.560884364</v>
      </c>
      <c r="H3679" s="14" t="n">
        <v>154164.3374718461</v>
      </c>
      <c r="I3679" s="14" t="n">
        <v>8589.206192016602</v>
      </c>
      <c r="J3679" s="14" t="n">
        <v>0</v>
      </c>
      <c r="K3679" s="14" t="n">
        <v>55191.53607321346</v>
      </c>
      <c r="L3679" s="14" t="n">
        <v>783493.4811472874</v>
      </c>
      <c r="M3679" s="14" t="n">
        <v>0</v>
      </c>
      <c r="N3679" s="14" t="n">
        <v>164772.5863446105</v>
      </c>
      <c r="O3679" s="14" t="n">
        <v>210762.8380242441</v>
      </c>
      <c r="P3679" s="14" t="n">
        <v>12187.87244606766</v>
      </c>
      <c r="Q3679" s="14" t="n">
        <v>1990525.5391919</v>
      </c>
      <c r="R3679" s="15">
        <f>IF(D3679=1,"Section 1","Control")</f>
        <v/>
      </c>
      <c r="S3679" s="16">
        <f>N3679/10000</f>
        <v/>
      </c>
      <c r="T3679" s="16">
        <f>P3679/10000</f>
        <v/>
      </c>
      <c r="U3679" s="15">
        <f>IF(N3679&gt;=Summary!$D$3,1,0)</f>
        <v/>
      </c>
      <c r="V3679" s="17">
        <f>IF(N3679&gt;0,P3679/N3679,"")</f>
        <v/>
      </c>
      <c r="W3679" s="17">
        <f>IF(O3679&gt;0,H3679/O3679,"")</f>
        <v/>
      </c>
    </row>
    <row r="3680">
      <c r="A3680" s="13" t="inlineStr">
        <is>
          <t>CW41_B2</t>
        </is>
      </c>
      <c r="B3680" s="13" t="inlineStr">
        <is>
          <t>CW41</t>
        </is>
      </c>
      <c r="C3680" s="13" t="inlineStr">
        <is>
          <t>B2</t>
        </is>
      </c>
      <c r="D3680" s="13" t="n">
        <v>0</v>
      </c>
      <c r="E3680" s="13" t="inlineStr">
        <is>
          <t>W</t>
        </is>
      </c>
      <c r="F3680" s="13" t="n">
        <v>2023</v>
      </c>
      <c r="G3680" s="14" t="n">
        <v>1001438.560884364</v>
      </c>
      <c r="H3680" s="14" t="n">
        <v>153362.1392097622</v>
      </c>
      <c r="I3680" s="14" t="n">
        <v>8490.48152923584</v>
      </c>
      <c r="J3680" s="14" t="n">
        <v>0</v>
      </c>
      <c r="K3680" s="14" t="n">
        <v>50865.00760632684</v>
      </c>
      <c r="L3680" s="14" t="n">
        <v>788720.9325390386</v>
      </c>
      <c r="M3680" s="14" t="n">
        <v>0</v>
      </c>
      <c r="N3680" s="14" t="n">
        <v>164772.5863446105</v>
      </c>
      <c r="O3680" s="14" t="n">
        <v>210762.8380242441</v>
      </c>
      <c r="P3680" s="14" t="n">
        <v>13286.24971663531</v>
      </c>
      <c r="Q3680" s="14" t="n">
        <v>1990525.5391919</v>
      </c>
      <c r="R3680" s="15">
        <f>IF(D3680=1,"Section 1","Control")</f>
        <v/>
      </c>
      <c r="S3680" s="16">
        <f>N3680/10000</f>
        <v/>
      </c>
      <c r="T3680" s="16">
        <f>P3680/10000</f>
        <v/>
      </c>
      <c r="U3680" s="15">
        <f>IF(N3680&gt;=Summary!$D$3,1,0)</f>
        <v/>
      </c>
      <c r="V3680" s="17">
        <f>IF(N3680&gt;0,P3680/N3680,"")</f>
        <v/>
      </c>
      <c r="W3680" s="17">
        <f>IF(O3680&gt;0,H3680/O3680,"")</f>
        <v/>
      </c>
    </row>
    <row r="3681">
      <c r="A3681" s="13" t="inlineStr">
        <is>
          <t>CW41_B2</t>
        </is>
      </c>
      <c r="B3681" s="13" t="inlineStr">
        <is>
          <t>CW41</t>
        </is>
      </c>
      <c r="C3681" s="13" t="inlineStr">
        <is>
          <t>B2</t>
        </is>
      </c>
      <c r="D3681" s="13" t="n">
        <v>0</v>
      </c>
      <c r="E3681" s="13" t="inlineStr">
        <is>
          <t>W</t>
        </is>
      </c>
      <c r="F3681" s="13" t="n">
        <v>2024</v>
      </c>
      <c r="G3681" s="14" t="n">
        <v>1001438.560884364</v>
      </c>
      <c r="H3681" s="14" t="n">
        <v>158397.1930427701</v>
      </c>
      <c r="I3681" s="14" t="n">
        <v>3850.333427429199</v>
      </c>
      <c r="J3681" s="14" t="n">
        <v>0</v>
      </c>
      <c r="K3681" s="14" t="n">
        <v>53257.27553639132</v>
      </c>
      <c r="L3681" s="14" t="n">
        <v>785933.758877773</v>
      </c>
      <c r="M3681" s="14" t="n">
        <v>0</v>
      </c>
      <c r="N3681" s="14" t="n">
        <v>164772.5863446105</v>
      </c>
      <c r="O3681" s="14" t="n">
        <v>210762.8380242441</v>
      </c>
      <c r="P3681" s="14" t="n">
        <v>12595.16353499469</v>
      </c>
      <c r="Q3681" s="14" t="n">
        <v>1990525.5391919</v>
      </c>
      <c r="R3681" s="15">
        <f>IF(D3681=1,"Section 1","Control")</f>
        <v/>
      </c>
      <c r="S3681" s="16">
        <f>N3681/10000</f>
        <v/>
      </c>
      <c r="T3681" s="16">
        <f>P3681/10000</f>
        <v/>
      </c>
      <c r="U3681" s="15">
        <f>IF(N3681&gt;=Summary!$D$3,1,0)</f>
        <v/>
      </c>
      <c r="V3681" s="17">
        <f>IF(N3681&gt;0,P3681/N3681,"")</f>
        <v/>
      </c>
      <c r="W3681" s="17">
        <f>IF(O3681&gt;0,H3681/O3681,"")</f>
        <v/>
      </c>
    </row>
    <row r="3682">
      <c r="A3682" s="13" t="inlineStr">
        <is>
          <t>CW41_B2</t>
        </is>
      </c>
      <c r="B3682" s="13" t="inlineStr">
        <is>
          <t>CW41</t>
        </is>
      </c>
      <c r="C3682" s="13" t="inlineStr">
        <is>
          <t>B2</t>
        </is>
      </c>
      <c r="D3682" s="13" t="n">
        <v>0</v>
      </c>
      <c r="E3682" s="13" t="inlineStr">
        <is>
          <t>W</t>
        </is>
      </c>
      <c r="F3682" s="13" t="n">
        <v>2025</v>
      </c>
      <c r="G3682" s="14" t="n">
        <v>1001438.560884364</v>
      </c>
      <c r="H3682" s="14" t="n">
        <v>151591.2562657973</v>
      </c>
      <c r="I3682" s="14" t="n">
        <v>13624.25877380371</v>
      </c>
      <c r="J3682" s="14" t="n">
        <v>0</v>
      </c>
      <c r="K3682" s="14" t="n">
        <v>47299.6268694111</v>
      </c>
      <c r="L3682" s="14" t="n">
        <v>788923.4189753514</v>
      </c>
      <c r="M3682" s="14" t="n">
        <v>0</v>
      </c>
      <c r="N3682" s="14" t="n">
        <v>164772.5863446105</v>
      </c>
      <c r="O3682" s="14" t="n">
        <v>210762.8380242441</v>
      </c>
      <c r="P3682" s="14" t="n">
        <v>14464.77376625211</v>
      </c>
      <c r="Q3682" s="14" t="n">
        <v>1990525.5391919</v>
      </c>
      <c r="R3682" s="15">
        <f>IF(D3682=1,"Section 1","Control")</f>
        <v/>
      </c>
      <c r="S3682" s="16">
        <f>N3682/10000</f>
        <v/>
      </c>
      <c r="T3682" s="16">
        <f>P3682/10000</f>
        <v/>
      </c>
      <c r="U3682" s="15">
        <f>IF(N3682&gt;=Summary!$D$3,1,0)</f>
        <v/>
      </c>
      <c r="V3682" s="17">
        <f>IF(N3682&gt;0,P3682/N3682,"")</f>
        <v/>
      </c>
      <c r="W3682" s="17">
        <f>IF(O3682&gt;0,H3682/O3682,"")</f>
        <v/>
      </c>
    </row>
    <row r="3683">
      <c r="A3683" s="13" t="inlineStr">
        <is>
          <t>CW41_B2</t>
        </is>
      </c>
      <c r="B3683" s="13" t="inlineStr">
        <is>
          <t>CW41</t>
        </is>
      </c>
      <c r="C3683" s="13" t="inlineStr">
        <is>
          <t>B2</t>
        </is>
      </c>
      <c r="D3683" s="13" t="n">
        <v>0</v>
      </c>
      <c r="E3683" s="13" t="inlineStr">
        <is>
          <t>W</t>
        </is>
      </c>
      <c r="F3683" s="13" t="n">
        <v>2026</v>
      </c>
      <c r="G3683" s="14" t="n">
        <v>1001438.560884364</v>
      </c>
      <c r="H3683" s="14" t="n">
        <v>152165.0307069666</v>
      </c>
      <c r="I3683" s="14" t="n">
        <v>3923.896294537713</v>
      </c>
      <c r="J3683" s="14" t="n">
        <v>0</v>
      </c>
      <c r="K3683" s="14" t="n">
        <v>52840.31652535832</v>
      </c>
      <c r="L3683" s="14" t="n">
        <v>792509.3173575009</v>
      </c>
      <c r="M3683" s="14" t="n">
        <v>0</v>
      </c>
      <c r="N3683" s="14" t="n">
        <v>164772.5863446105</v>
      </c>
      <c r="O3683" s="14" t="n">
        <v>210762.8380242441</v>
      </c>
      <c r="P3683" s="14" t="n">
        <v>17148.97471265606</v>
      </c>
      <c r="Q3683" s="14" t="n">
        <v>1990525.5391919</v>
      </c>
      <c r="R3683" s="15">
        <f>IF(D3683=1,"Section 1","Control")</f>
        <v/>
      </c>
      <c r="S3683" s="16">
        <f>N3683/10000</f>
        <v/>
      </c>
      <c r="T3683" s="16">
        <f>P3683/10000</f>
        <v/>
      </c>
      <c r="U3683" s="15">
        <f>IF(N3683&gt;=Summary!$D$3,1,0)</f>
        <v/>
      </c>
      <c r="V3683" s="17">
        <f>IF(N3683&gt;0,P3683/N3683,"")</f>
        <v/>
      </c>
      <c r="W3683" s="17">
        <f>IF(O3683&gt;0,H3683/O3683,"")</f>
        <v/>
      </c>
    </row>
    <row r="3684">
      <c r="A3684" s="13" t="inlineStr">
        <is>
          <t>CW41_B3</t>
        </is>
      </c>
      <c r="B3684" s="13" t="inlineStr">
        <is>
          <t>CW41</t>
        </is>
      </c>
      <c r="C3684" s="13" t="inlineStr">
        <is>
          <t>B3</t>
        </is>
      </c>
      <c r="D3684" s="13" t="n">
        <v>0</v>
      </c>
      <c r="E3684" s="13" t="inlineStr">
        <is>
          <t>W</t>
        </is>
      </c>
      <c r="F3684" s="13" t="n">
        <v>2020</v>
      </c>
      <c r="G3684" s="14" t="n">
        <v>8008567.73595189</v>
      </c>
      <c r="H3684" s="14" t="n">
        <v>3599571.678627552</v>
      </c>
      <c r="I3684" s="14" t="n">
        <v>341981.3920729394</v>
      </c>
      <c r="J3684" s="14" t="n">
        <v>0</v>
      </c>
      <c r="K3684" s="14" t="n">
        <v>20403.55938035553</v>
      </c>
      <c r="L3684" s="14" t="n">
        <v>4046611.105871044</v>
      </c>
      <c r="M3684" s="14" t="n">
        <v>0</v>
      </c>
      <c r="N3684" s="14" t="n">
        <v>3599571.678627552</v>
      </c>
      <c r="O3684" s="14" t="n">
        <v>3961956.630080847</v>
      </c>
      <c r="P3684" s="14" t="n">
        <v>0</v>
      </c>
      <c r="Q3684" s="14" t="n">
        <v>19945641.00115575</v>
      </c>
      <c r="R3684" s="15">
        <f>IF(D3684=1,"Section 1","Control")</f>
        <v/>
      </c>
      <c r="S3684" s="16">
        <f>N3684/10000</f>
        <v/>
      </c>
      <c r="T3684" s="16">
        <f>P3684/10000</f>
        <v/>
      </c>
      <c r="U3684" s="15">
        <f>IF(N3684&gt;=Summary!$D$3,1,0)</f>
        <v/>
      </c>
      <c r="V3684" s="17">
        <f>IF(N3684&gt;0,P3684/N3684,"")</f>
        <v/>
      </c>
      <c r="W3684" s="17">
        <f>IF(O3684&gt;0,H3684/O3684,"")</f>
        <v/>
      </c>
    </row>
    <row r="3685">
      <c r="A3685" s="13" t="inlineStr">
        <is>
          <t>CW41_B3</t>
        </is>
      </c>
      <c r="B3685" s="13" t="inlineStr">
        <is>
          <t>CW41</t>
        </is>
      </c>
      <c r="C3685" s="13" t="inlineStr">
        <is>
          <t>B3</t>
        </is>
      </c>
      <c r="D3685" s="13" t="n">
        <v>0</v>
      </c>
      <c r="E3685" s="13" t="inlineStr">
        <is>
          <t>W</t>
        </is>
      </c>
      <c r="F3685" s="13" t="n">
        <v>2021</v>
      </c>
      <c r="G3685" s="14" t="n">
        <v>8008567.735951889</v>
      </c>
      <c r="H3685" s="14" t="n">
        <v>3567289.728426226</v>
      </c>
      <c r="I3685" s="14" t="n">
        <v>207025.4401574826</v>
      </c>
      <c r="J3685" s="14" t="n">
        <v>0</v>
      </c>
      <c r="K3685" s="14" t="n">
        <v>194873.2193418017</v>
      </c>
      <c r="L3685" s="14" t="n">
        <v>4039379.34802638</v>
      </c>
      <c r="M3685" s="14" t="n">
        <v>0</v>
      </c>
      <c r="N3685" s="14" t="n">
        <v>3599571.678627552</v>
      </c>
      <c r="O3685" s="14" t="n">
        <v>3961956.630080847</v>
      </c>
      <c r="P3685" s="14" t="n">
        <v>132803.827971335</v>
      </c>
      <c r="Q3685" s="14" t="n">
        <v>19945641.00115575</v>
      </c>
      <c r="R3685" s="15">
        <f>IF(D3685=1,"Section 1","Control")</f>
        <v/>
      </c>
      <c r="S3685" s="16">
        <f>N3685/10000</f>
        <v/>
      </c>
      <c r="T3685" s="16">
        <f>P3685/10000</f>
        <v/>
      </c>
      <c r="U3685" s="15">
        <f>IF(N3685&gt;=Summary!$D$3,1,0)</f>
        <v/>
      </c>
      <c r="V3685" s="17">
        <f>IF(N3685&gt;0,P3685/N3685,"")</f>
        <v/>
      </c>
      <c r="W3685" s="17">
        <f>IF(O3685&gt;0,H3685/O3685,"")</f>
        <v/>
      </c>
    </row>
    <row r="3686">
      <c r="A3686" s="13" t="inlineStr">
        <is>
          <t>CW41_B3</t>
        </is>
      </c>
      <c r="B3686" s="13" t="inlineStr">
        <is>
          <t>CW41</t>
        </is>
      </c>
      <c r="C3686" s="13" t="inlineStr">
        <is>
          <t>B3</t>
        </is>
      </c>
      <c r="D3686" s="13" t="n">
        <v>0</v>
      </c>
      <c r="E3686" s="13" t="inlineStr">
        <is>
          <t>W</t>
        </is>
      </c>
      <c r="F3686" s="13" t="n">
        <v>2022</v>
      </c>
      <c r="G3686" s="14" t="n">
        <v>8008567.73595189</v>
      </c>
      <c r="H3686" s="14" t="n">
        <v>3495942.014588778</v>
      </c>
      <c r="I3686" s="14" t="n">
        <v>369150.2482211544</v>
      </c>
      <c r="J3686" s="14" t="n">
        <v>0</v>
      </c>
      <c r="K3686" s="14" t="n">
        <v>100344.5472194597</v>
      </c>
      <c r="L3686" s="14" t="n">
        <v>4043130.925922498</v>
      </c>
      <c r="M3686" s="14" t="n">
        <v>0</v>
      </c>
      <c r="N3686" s="14" t="n">
        <v>3599571.678627552</v>
      </c>
      <c r="O3686" s="14" t="n">
        <v>3961956.630080847</v>
      </c>
      <c r="P3686" s="14" t="n">
        <v>211353.62128628</v>
      </c>
      <c r="Q3686" s="14" t="n">
        <v>19945641.00115575</v>
      </c>
      <c r="R3686" s="15">
        <f>IF(D3686=1,"Section 1","Control")</f>
        <v/>
      </c>
      <c r="S3686" s="16">
        <f>N3686/10000</f>
        <v/>
      </c>
      <c r="T3686" s="16">
        <f>P3686/10000</f>
        <v/>
      </c>
      <c r="U3686" s="15">
        <f>IF(N3686&gt;=Summary!$D$3,1,0)</f>
        <v/>
      </c>
      <c r="V3686" s="17">
        <f>IF(N3686&gt;0,P3686/N3686,"")</f>
        <v/>
      </c>
      <c r="W3686" s="17">
        <f>IF(O3686&gt;0,H3686/O3686,"")</f>
        <v/>
      </c>
    </row>
    <row r="3687">
      <c r="A3687" s="13" t="inlineStr">
        <is>
          <t>CW41_B3</t>
        </is>
      </c>
      <c r="B3687" s="13" t="inlineStr">
        <is>
          <t>CW41</t>
        </is>
      </c>
      <c r="C3687" s="13" t="inlineStr">
        <is>
          <t>B3</t>
        </is>
      </c>
      <c r="D3687" s="13" t="n">
        <v>0</v>
      </c>
      <c r="E3687" s="13" t="inlineStr">
        <is>
          <t>W</t>
        </is>
      </c>
      <c r="F3687" s="13" t="n">
        <v>2023</v>
      </c>
      <c r="G3687" s="14" t="n">
        <v>8008567.73595189</v>
      </c>
      <c r="H3687" s="14" t="n">
        <v>3603925.155226553</v>
      </c>
      <c r="I3687" s="14" t="n">
        <v>271841.6542036169</v>
      </c>
      <c r="J3687" s="14" t="n">
        <v>0</v>
      </c>
      <c r="K3687" s="14" t="n">
        <v>79928.28476828781</v>
      </c>
      <c r="L3687" s="14" t="n">
        <v>4052872.641753432</v>
      </c>
      <c r="M3687" s="14" t="n">
        <v>0</v>
      </c>
      <c r="N3687" s="14" t="n">
        <v>3599571.678627552</v>
      </c>
      <c r="O3687" s="14" t="n">
        <v>3961956.630080847</v>
      </c>
      <c r="P3687" s="14" t="n">
        <v>101424.0051563637</v>
      </c>
      <c r="Q3687" s="14" t="n">
        <v>19945641.00115575</v>
      </c>
      <c r="R3687" s="15">
        <f>IF(D3687=1,"Section 1","Control")</f>
        <v/>
      </c>
      <c r="S3687" s="16">
        <f>N3687/10000</f>
        <v/>
      </c>
      <c r="T3687" s="16">
        <f>P3687/10000</f>
        <v/>
      </c>
      <c r="U3687" s="15">
        <f>IF(N3687&gt;=Summary!$D$3,1,0)</f>
        <v/>
      </c>
      <c r="V3687" s="17">
        <f>IF(N3687&gt;0,P3687/N3687,"")</f>
        <v/>
      </c>
      <c r="W3687" s="17">
        <f>IF(O3687&gt;0,H3687/O3687,"")</f>
        <v/>
      </c>
    </row>
    <row r="3688">
      <c r="A3688" s="13" t="inlineStr">
        <is>
          <t>CW41_B3</t>
        </is>
      </c>
      <c r="B3688" s="13" t="inlineStr">
        <is>
          <t>CW41</t>
        </is>
      </c>
      <c r="C3688" s="13" t="inlineStr">
        <is>
          <t>B3</t>
        </is>
      </c>
      <c r="D3688" s="13" t="n">
        <v>0</v>
      </c>
      <c r="E3688" s="13" t="inlineStr">
        <is>
          <t>W</t>
        </is>
      </c>
      <c r="F3688" s="13" t="n">
        <v>2024</v>
      </c>
      <c r="G3688" s="14" t="n">
        <v>8008567.735951889</v>
      </c>
      <c r="H3688" s="14" t="n">
        <v>3539525.806883149</v>
      </c>
      <c r="I3688" s="14" t="n">
        <v>347745.2595741422</v>
      </c>
      <c r="J3688" s="14" t="n">
        <v>0</v>
      </c>
      <c r="K3688" s="14" t="n">
        <v>68095.71672426112</v>
      </c>
      <c r="L3688" s="14" t="n">
        <v>4053200.952770338</v>
      </c>
      <c r="M3688" s="14" t="n">
        <v>0</v>
      </c>
      <c r="N3688" s="14" t="n">
        <v>3599571.678627552</v>
      </c>
      <c r="O3688" s="14" t="n">
        <v>3961956.630080847</v>
      </c>
      <c r="P3688" s="14" t="n">
        <v>204077.8616608863</v>
      </c>
      <c r="Q3688" s="14" t="n">
        <v>19945641.00115575</v>
      </c>
      <c r="R3688" s="15">
        <f>IF(D3688=1,"Section 1","Control")</f>
        <v/>
      </c>
      <c r="S3688" s="16">
        <f>N3688/10000</f>
        <v/>
      </c>
      <c r="T3688" s="16">
        <f>P3688/10000</f>
        <v/>
      </c>
      <c r="U3688" s="15">
        <f>IF(N3688&gt;=Summary!$D$3,1,0)</f>
        <v/>
      </c>
      <c r="V3688" s="17">
        <f>IF(N3688&gt;0,P3688/N3688,"")</f>
        <v/>
      </c>
      <c r="W3688" s="17">
        <f>IF(O3688&gt;0,H3688/O3688,"")</f>
        <v/>
      </c>
    </row>
    <row r="3689">
      <c r="A3689" s="13" t="inlineStr">
        <is>
          <t>CW41_B3</t>
        </is>
      </c>
      <c r="B3689" s="13" t="inlineStr">
        <is>
          <t>CW41</t>
        </is>
      </c>
      <c r="C3689" s="13" t="inlineStr">
        <is>
          <t>B3</t>
        </is>
      </c>
      <c r="D3689" s="13" t="n">
        <v>0</v>
      </c>
      <c r="E3689" s="13" t="inlineStr">
        <is>
          <t>W</t>
        </is>
      </c>
      <c r="F3689" s="13" t="n">
        <v>2025</v>
      </c>
      <c r="G3689" s="14" t="n">
        <v>8008567.735951889</v>
      </c>
      <c r="H3689" s="14" t="n">
        <v>3733020.396620986</v>
      </c>
      <c r="I3689" s="14" t="n">
        <v>156718.7813093896</v>
      </c>
      <c r="J3689" s="14" t="n">
        <v>0</v>
      </c>
      <c r="K3689" s="14" t="n">
        <v>67700.84615693934</v>
      </c>
      <c r="L3689" s="14" t="n">
        <v>4051127.711864576</v>
      </c>
      <c r="M3689" s="14" t="n">
        <v>0</v>
      </c>
      <c r="N3689" s="14" t="n">
        <v>3599571.678627552</v>
      </c>
      <c r="O3689" s="14" t="n">
        <v>3961956.630080847</v>
      </c>
      <c r="P3689" s="14" t="n">
        <v>86909.68549631156</v>
      </c>
      <c r="Q3689" s="14" t="n">
        <v>19945641.00115575</v>
      </c>
      <c r="R3689" s="15">
        <f>IF(D3689=1,"Section 1","Control")</f>
        <v/>
      </c>
      <c r="S3689" s="16">
        <f>N3689/10000</f>
        <v/>
      </c>
      <c r="T3689" s="16">
        <f>P3689/10000</f>
        <v/>
      </c>
      <c r="U3689" s="15">
        <f>IF(N3689&gt;=Summary!$D$3,1,0)</f>
        <v/>
      </c>
      <c r="V3689" s="17">
        <f>IF(N3689&gt;0,P3689/N3689,"")</f>
        <v/>
      </c>
      <c r="W3689" s="17">
        <f>IF(O3689&gt;0,H3689/O3689,"")</f>
        <v/>
      </c>
    </row>
    <row r="3690">
      <c r="A3690" s="13" t="inlineStr">
        <is>
          <t>CW41_B3</t>
        </is>
      </c>
      <c r="B3690" s="13" t="inlineStr">
        <is>
          <t>CW41</t>
        </is>
      </c>
      <c r="C3690" s="13" t="inlineStr">
        <is>
          <t>B3</t>
        </is>
      </c>
      <c r="D3690" s="13" t="n">
        <v>0</v>
      </c>
      <c r="E3690" s="13" t="inlineStr">
        <is>
          <t>W</t>
        </is>
      </c>
      <c r="F3690" s="13" t="n">
        <v>2026</v>
      </c>
      <c r="G3690" s="14" t="n">
        <v>8008567.735951889</v>
      </c>
      <c r="H3690" s="14" t="n">
        <v>3498823.593811663</v>
      </c>
      <c r="I3690" s="14" t="n">
        <v>381740.889693077</v>
      </c>
      <c r="J3690" s="14" t="n">
        <v>0</v>
      </c>
      <c r="K3690" s="14" t="n">
        <v>74981.94542864632</v>
      </c>
      <c r="L3690" s="14" t="n">
        <v>4053021.307018504</v>
      </c>
      <c r="M3690" s="14" t="n">
        <v>0</v>
      </c>
      <c r="N3690" s="14" t="n">
        <v>3599571.678627552</v>
      </c>
      <c r="O3690" s="14" t="n">
        <v>3961956.630080847</v>
      </c>
      <c r="P3690" s="14" t="n">
        <v>200566.5597414802</v>
      </c>
      <c r="Q3690" s="14" t="n">
        <v>19945641.00115575</v>
      </c>
      <c r="R3690" s="15">
        <f>IF(D3690=1,"Section 1","Control")</f>
        <v/>
      </c>
      <c r="S3690" s="16">
        <f>N3690/10000</f>
        <v/>
      </c>
      <c r="T3690" s="16">
        <f>P3690/10000</f>
        <v/>
      </c>
      <c r="U3690" s="15">
        <f>IF(N3690&gt;=Summary!$D$3,1,0)</f>
        <v/>
      </c>
      <c r="V3690" s="17">
        <f>IF(N3690&gt;0,P3690/N3690,"")</f>
        <v/>
      </c>
      <c r="W3690" s="17">
        <f>IF(O3690&gt;0,H3690/O3690,"")</f>
        <v/>
      </c>
    </row>
    <row r="3691">
      <c r="A3691" s="13" t="inlineStr">
        <is>
          <t>CW41_F</t>
        </is>
      </c>
      <c r="B3691" s="13" t="inlineStr">
        <is>
          <t>CW41</t>
        </is>
      </c>
      <c r="C3691" s="13" t="inlineStr">
        <is>
          <t>F</t>
        </is>
      </c>
      <c r="D3691" s="13" t="n">
        <v>0</v>
      </c>
      <c r="E3691" s="13" t="inlineStr">
        <is>
          <t>W</t>
        </is>
      </c>
      <c r="F3691" s="13" t="n">
        <v>2020</v>
      </c>
      <c r="G3691" s="14" t="n">
        <v>69094.607478901</v>
      </c>
      <c r="H3691" s="14" t="n">
        <v>19270.07940027573</v>
      </c>
      <c r="I3691" s="14" t="n">
        <v>44756.12326250262</v>
      </c>
      <c r="J3691" s="14" t="n">
        <v>0</v>
      </c>
      <c r="K3691" s="14" t="n">
        <v>5068.404816122616</v>
      </c>
      <c r="L3691" s="14" t="n">
        <v>0</v>
      </c>
      <c r="M3691" s="14" t="n">
        <v>0</v>
      </c>
      <c r="N3691" s="14" t="n">
        <v>19270.07940027573</v>
      </c>
      <c r="O3691" s="14" t="n">
        <v>69094.607478901</v>
      </c>
      <c r="P3691" s="14" t="n">
        <v>0</v>
      </c>
      <c r="Q3691" s="14" t="n">
        <v>859844.6181056603</v>
      </c>
      <c r="R3691" s="15">
        <f>IF(D3691=1,"Section 1","Control")</f>
        <v/>
      </c>
      <c r="S3691" s="16">
        <f>N3691/10000</f>
        <v/>
      </c>
      <c r="T3691" s="16">
        <f>P3691/10000</f>
        <v/>
      </c>
      <c r="U3691" s="15">
        <f>IF(N3691&gt;=Summary!$D$3,1,0)</f>
        <v/>
      </c>
      <c r="V3691" s="17">
        <f>IF(N3691&gt;0,P3691/N3691,"")</f>
        <v/>
      </c>
      <c r="W3691" s="17">
        <f>IF(O3691&gt;0,H3691/O3691,"")</f>
        <v/>
      </c>
    </row>
    <row r="3692">
      <c r="A3692" s="13" t="inlineStr">
        <is>
          <t>CW41_F</t>
        </is>
      </c>
      <c r="B3692" s="13" t="inlineStr">
        <is>
          <t>CW41</t>
        </is>
      </c>
      <c r="C3692" s="13" t="inlineStr">
        <is>
          <t>F</t>
        </is>
      </c>
      <c r="D3692" s="13" t="n">
        <v>0</v>
      </c>
      <c r="E3692" s="13" t="inlineStr">
        <is>
          <t>W</t>
        </is>
      </c>
      <c r="F3692" s="13" t="n">
        <v>2021</v>
      </c>
      <c r="G3692" s="14" t="n">
        <v>69094.607478901</v>
      </c>
      <c r="H3692" s="14" t="n">
        <v>8809.597905476889</v>
      </c>
      <c r="I3692" s="14" t="n">
        <v>43187.32293608422</v>
      </c>
      <c r="J3692" s="14" t="n">
        <v>0</v>
      </c>
      <c r="K3692" s="14" t="n">
        <v>17097.68663733987</v>
      </c>
      <c r="L3692" s="14" t="n">
        <v>0</v>
      </c>
      <c r="M3692" s="14" t="n">
        <v>0</v>
      </c>
      <c r="N3692" s="14" t="n">
        <v>19270.07940027573</v>
      </c>
      <c r="O3692" s="14" t="n">
        <v>69094.607478901</v>
      </c>
      <c r="P3692" s="14" t="n">
        <v>11102.01709080116</v>
      </c>
      <c r="Q3692" s="14" t="n">
        <v>859844.6181056603</v>
      </c>
      <c r="R3692" s="15">
        <f>IF(D3692=1,"Section 1","Control")</f>
        <v/>
      </c>
      <c r="S3692" s="16">
        <f>N3692/10000</f>
        <v/>
      </c>
      <c r="T3692" s="16">
        <f>P3692/10000</f>
        <v/>
      </c>
      <c r="U3692" s="15">
        <f>IF(N3692&gt;=Summary!$D$3,1,0)</f>
        <v/>
      </c>
      <c r="V3692" s="17">
        <f>IF(N3692&gt;0,P3692/N3692,"")</f>
        <v/>
      </c>
      <c r="W3692" s="17">
        <f>IF(O3692&gt;0,H3692/O3692,"")</f>
        <v/>
      </c>
    </row>
    <row r="3693">
      <c r="A3693" s="13" t="inlineStr">
        <is>
          <t>CW41_F</t>
        </is>
      </c>
      <c r="B3693" s="13" t="inlineStr">
        <is>
          <t>CW41</t>
        </is>
      </c>
      <c r="C3693" s="13" t="inlineStr">
        <is>
          <t>F</t>
        </is>
      </c>
      <c r="D3693" s="13" t="n">
        <v>0</v>
      </c>
      <c r="E3693" s="13" t="inlineStr">
        <is>
          <t>W</t>
        </is>
      </c>
      <c r="F3693" s="13" t="n">
        <v>2022</v>
      </c>
      <c r="G3693" s="14" t="n">
        <v>69094.607478901</v>
      </c>
      <c r="H3693" s="14" t="n">
        <v>11416.39393436208</v>
      </c>
      <c r="I3693" s="14" t="n">
        <v>46717.89984032125</v>
      </c>
      <c r="J3693" s="14" t="n">
        <v>0</v>
      </c>
      <c r="K3693" s="14" t="n">
        <v>10960.31370421765</v>
      </c>
      <c r="L3693" s="14" t="n">
        <v>0</v>
      </c>
      <c r="M3693" s="14" t="n">
        <v>0</v>
      </c>
      <c r="N3693" s="14" t="n">
        <v>19270.07940027573</v>
      </c>
      <c r="O3693" s="14" t="n">
        <v>69094.607478901</v>
      </c>
      <c r="P3693" s="14" t="n">
        <v>10374.53000000598</v>
      </c>
      <c r="Q3693" s="14" t="n">
        <v>859844.6181056603</v>
      </c>
      <c r="R3693" s="15">
        <f>IF(D3693=1,"Section 1","Control")</f>
        <v/>
      </c>
      <c r="S3693" s="16">
        <f>N3693/10000</f>
        <v/>
      </c>
      <c r="T3693" s="16">
        <f>P3693/10000</f>
        <v/>
      </c>
      <c r="U3693" s="15">
        <f>IF(N3693&gt;=Summary!$D$3,1,0)</f>
        <v/>
      </c>
      <c r="V3693" s="17">
        <f>IF(N3693&gt;0,P3693/N3693,"")</f>
        <v/>
      </c>
      <c r="W3693" s="17">
        <f>IF(O3693&gt;0,H3693/O3693,"")</f>
        <v/>
      </c>
    </row>
    <row r="3694">
      <c r="A3694" s="13" t="inlineStr">
        <is>
          <t>CW41_F</t>
        </is>
      </c>
      <c r="B3694" s="13" t="inlineStr">
        <is>
          <t>CW41</t>
        </is>
      </c>
      <c r="C3694" s="13" t="inlineStr">
        <is>
          <t>F</t>
        </is>
      </c>
      <c r="D3694" s="13" t="n">
        <v>0</v>
      </c>
      <c r="E3694" s="13" t="inlineStr">
        <is>
          <t>W</t>
        </is>
      </c>
      <c r="F3694" s="13" t="n">
        <v>2023</v>
      </c>
      <c r="G3694" s="14" t="n">
        <v>69094.607478901</v>
      </c>
      <c r="H3694" s="14" t="n">
        <v>15520.75173791623</v>
      </c>
      <c r="I3694" s="14" t="n">
        <v>42188.81936148848</v>
      </c>
      <c r="J3694" s="14" t="n">
        <v>0</v>
      </c>
      <c r="K3694" s="14" t="n">
        <v>11385.03637949626</v>
      </c>
      <c r="L3694" s="14" t="n">
        <v>0</v>
      </c>
      <c r="M3694" s="14" t="n">
        <v>0</v>
      </c>
      <c r="N3694" s="14" t="n">
        <v>19270.07940027573</v>
      </c>
      <c r="O3694" s="14" t="n">
        <v>69094.607478901</v>
      </c>
      <c r="P3694" s="14" t="n">
        <v>8357.389374886307</v>
      </c>
      <c r="Q3694" s="14" t="n">
        <v>859844.6181056603</v>
      </c>
      <c r="R3694" s="15">
        <f>IF(D3694=1,"Section 1","Control")</f>
        <v/>
      </c>
      <c r="S3694" s="16">
        <f>N3694/10000</f>
        <v/>
      </c>
      <c r="T3694" s="16">
        <f>P3694/10000</f>
        <v/>
      </c>
      <c r="U3694" s="15">
        <f>IF(N3694&gt;=Summary!$D$3,1,0)</f>
        <v/>
      </c>
      <c r="V3694" s="17">
        <f>IF(N3694&gt;0,P3694/N3694,"")</f>
        <v/>
      </c>
      <c r="W3694" s="17">
        <f>IF(O3694&gt;0,H3694/O3694,"")</f>
        <v/>
      </c>
    </row>
    <row r="3695">
      <c r="A3695" s="13" t="inlineStr">
        <is>
          <t>CW41_F</t>
        </is>
      </c>
      <c r="B3695" s="13" t="inlineStr">
        <is>
          <t>CW41</t>
        </is>
      </c>
      <c r="C3695" s="13" t="inlineStr">
        <is>
          <t>F</t>
        </is>
      </c>
      <c r="D3695" s="13" t="n">
        <v>0</v>
      </c>
      <c r="E3695" s="13" t="inlineStr">
        <is>
          <t>W</t>
        </is>
      </c>
      <c r="F3695" s="13" t="n">
        <v>2024</v>
      </c>
      <c r="G3695" s="14" t="n">
        <v>69094.607478901</v>
      </c>
      <c r="H3695" s="14" t="n">
        <v>27898.09470947864</v>
      </c>
      <c r="I3695" s="14" t="n">
        <v>30003.89844910864</v>
      </c>
      <c r="J3695" s="14" t="n">
        <v>0</v>
      </c>
      <c r="K3695" s="14" t="n">
        <v>11192.6143203137</v>
      </c>
      <c r="L3695" s="14" t="n">
        <v>0</v>
      </c>
      <c r="M3695" s="14" t="n">
        <v>0</v>
      </c>
      <c r="N3695" s="14" t="n">
        <v>19270.07940027573</v>
      </c>
      <c r="O3695" s="14" t="n">
        <v>69094.607478901</v>
      </c>
      <c r="P3695" s="14" t="n">
        <v>6722.383035786946</v>
      </c>
      <c r="Q3695" s="14" t="n">
        <v>859844.6181056603</v>
      </c>
      <c r="R3695" s="15">
        <f>IF(D3695=1,"Section 1","Control")</f>
        <v/>
      </c>
      <c r="S3695" s="16">
        <f>N3695/10000</f>
        <v/>
      </c>
      <c r="T3695" s="16">
        <f>P3695/10000</f>
        <v/>
      </c>
      <c r="U3695" s="15">
        <f>IF(N3695&gt;=Summary!$D$3,1,0)</f>
        <v/>
      </c>
      <c r="V3695" s="17">
        <f>IF(N3695&gt;0,P3695/N3695,"")</f>
        <v/>
      </c>
      <c r="W3695" s="17">
        <f>IF(O3695&gt;0,H3695/O3695,"")</f>
        <v/>
      </c>
    </row>
    <row r="3696">
      <c r="A3696" s="13" t="inlineStr">
        <is>
          <t>CW41_F</t>
        </is>
      </c>
      <c r="B3696" s="13" t="inlineStr">
        <is>
          <t>CW41</t>
        </is>
      </c>
      <c r="C3696" s="13" t="inlineStr">
        <is>
          <t>F</t>
        </is>
      </c>
      <c r="D3696" s="13" t="n">
        <v>0</v>
      </c>
      <c r="E3696" s="13" t="inlineStr">
        <is>
          <t>W</t>
        </is>
      </c>
      <c r="F3696" s="13" t="n">
        <v>2025</v>
      </c>
      <c r="G3696" s="14" t="n">
        <v>69094.607478901</v>
      </c>
      <c r="H3696" s="14" t="n">
        <v>11606.88090682684</v>
      </c>
      <c r="I3696" s="14" t="n">
        <v>48800.08339305204</v>
      </c>
      <c r="J3696" s="14" t="n">
        <v>0</v>
      </c>
      <c r="K3696" s="14" t="n">
        <v>8687.643179022098</v>
      </c>
      <c r="L3696" s="14" t="n">
        <v>0</v>
      </c>
      <c r="M3696" s="14" t="n">
        <v>0</v>
      </c>
      <c r="N3696" s="14" t="n">
        <v>19270.07940027573</v>
      </c>
      <c r="O3696" s="14" t="n">
        <v>69094.607478901</v>
      </c>
      <c r="P3696" s="14" t="n">
        <v>11411.75021861955</v>
      </c>
      <c r="Q3696" s="14" t="n">
        <v>859844.6181056603</v>
      </c>
      <c r="R3696" s="15">
        <f>IF(D3696=1,"Section 1","Control")</f>
        <v/>
      </c>
      <c r="S3696" s="16">
        <f>N3696/10000</f>
        <v/>
      </c>
      <c r="T3696" s="16">
        <f>P3696/10000</f>
        <v/>
      </c>
      <c r="U3696" s="15">
        <f>IF(N3696&gt;=Summary!$D$3,1,0)</f>
        <v/>
      </c>
      <c r="V3696" s="17">
        <f>IF(N3696&gt;0,P3696/N3696,"")</f>
        <v/>
      </c>
      <c r="W3696" s="17">
        <f>IF(O3696&gt;0,H3696/O3696,"")</f>
        <v/>
      </c>
    </row>
    <row r="3697">
      <c r="A3697" s="13" t="inlineStr">
        <is>
          <t>CW41_F</t>
        </is>
      </c>
      <c r="B3697" s="13" t="inlineStr">
        <is>
          <t>CW41</t>
        </is>
      </c>
      <c r="C3697" s="13" t="inlineStr">
        <is>
          <t>F</t>
        </is>
      </c>
      <c r="D3697" s="13" t="n">
        <v>0</v>
      </c>
      <c r="E3697" s="13" t="inlineStr">
        <is>
          <t>W</t>
        </is>
      </c>
      <c r="F3697" s="13" t="n">
        <v>2026</v>
      </c>
      <c r="G3697" s="14" t="n">
        <v>69094.607478901</v>
      </c>
      <c r="H3697" s="14" t="n">
        <v>30631.10692288268</v>
      </c>
      <c r="I3697" s="14" t="n">
        <v>28510.59535791733</v>
      </c>
      <c r="J3697" s="14" t="n">
        <v>0</v>
      </c>
      <c r="K3697" s="14" t="n">
        <v>9952.905198100969</v>
      </c>
      <c r="L3697" s="14" t="n">
        <v>0</v>
      </c>
      <c r="M3697" s="14" t="n">
        <v>0</v>
      </c>
      <c r="N3697" s="14" t="n">
        <v>19270.07940027573</v>
      </c>
      <c r="O3697" s="14" t="n">
        <v>69094.607478901</v>
      </c>
      <c r="P3697" s="14" t="n">
        <v>5659.99650071088</v>
      </c>
      <c r="Q3697" s="14" t="n">
        <v>859844.6181056603</v>
      </c>
      <c r="R3697" s="15">
        <f>IF(D3697=1,"Section 1","Control")</f>
        <v/>
      </c>
      <c r="S3697" s="16">
        <f>N3697/10000</f>
        <v/>
      </c>
      <c r="T3697" s="16">
        <f>P3697/10000</f>
        <v/>
      </c>
      <c r="U3697" s="15">
        <f>IF(N3697&gt;=Summary!$D$3,1,0)</f>
        <v/>
      </c>
      <c r="V3697" s="17">
        <f>IF(N3697&gt;0,P3697/N3697,"")</f>
        <v/>
      </c>
      <c r="W3697" s="17">
        <f>IF(O3697&gt;0,H3697/O3697,"")</f>
        <v/>
      </c>
    </row>
    <row r="3698">
      <c r="A3698" s="13" t="inlineStr">
        <is>
          <t>CW42_B1</t>
        </is>
      </c>
      <c r="B3698" s="13" t="inlineStr">
        <is>
          <t>CW42</t>
        </is>
      </c>
      <c r="C3698" s="13" t="inlineStr">
        <is>
          <t>B1</t>
        </is>
      </c>
      <c r="D3698" s="13" t="n">
        <v>0</v>
      </c>
      <c r="E3698" s="13" t="inlineStr">
        <is>
          <t>W</t>
        </is>
      </c>
      <c r="F3698" s="13" t="n">
        <v>2020</v>
      </c>
      <c r="G3698" s="14" t="n">
        <v>975051.0330575079</v>
      </c>
      <c r="H3698" s="14" t="n">
        <v>545965.4348708506</v>
      </c>
      <c r="I3698" s="14" t="n">
        <v>186934.3046371161</v>
      </c>
      <c r="J3698" s="14" t="n">
        <v>0</v>
      </c>
      <c r="K3698" s="14" t="n">
        <v>15580.01285271738</v>
      </c>
      <c r="L3698" s="14" t="n">
        <v>226571.280696824</v>
      </c>
      <c r="M3698" s="14" t="n">
        <v>0</v>
      </c>
      <c r="N3698" s="14" t="n">
        <v>545965.4348708506</v>
      </c>
      <c r="O3698" s="14" t="n">
        <v>748479.7523606842</v>
      </c>
      <c r="P3698" s="14" t="n">
        <v>0</v>
      </c>
      <c r="Q3698" s="14" t="n">
        <v>7875416.356482172</v>
      </c>
      <c r="R3698" s="15">
        <f>IF(D3698=1,"Section 1","Control")</f>
        <v/>
      </c>
      <c r="S3698" s="16">
        <f>N3698/10000</f>
        <v/>
      </c>
      <c r="T3698" s="16">
        <f>P3698/10000</f>
        <v/>
      </c>
      <c r="U3698" s="15">
        <f>IF(N3698&gt;=Summary!$D$3,1,0)</f>
        <v/>
      </c>
      <c r="V3698" s="17">
        <f>IF(N3698&gt;0,P3698/N3698,"")</f>
        <v/>
      </c>
      <c r="W3698" s="17">
        <f>IF(O3698&gt;0,H3698/O3698,"")</f>
        <v/>
      </c>
    </row>
    <row r="3699">
      <c r="A3699" s="13" t="inlineStr">
        <is>
          <t>CW42_B1</t>
        </is>
      </c>
      <c r="B3699" s="13" t="inlineStr">
        <is>
          <t>CW42</t>
        </is>
      </c>
      <c r="C3699" s="13" t="inlineStr">
        <is>
          <t>B1</t>
        </is>
      </c>
      <c r="D3699" s="13" t="n">
        <v>0</v>
      </c>
      <c r="E3699" s="13" t="inlineStr">
        <is>
          <t>W</t>
        </is>
      </c>
      <c r="F3699" s="13" t="n">
        <v>2021</v>
      </c>
      <c r="G3699" s="14" t="n">
        <v>975051.0330575079</v>
      </c>
      <c r="H3699" s="14" t="n">
        <v>516349.8263919305</v>
      </c>
      <c r="I3699" s="14" t="n">
        <v>190315.8660901837</v>
      </c>
      <c r="J3699" s="14" t="n">
        <v>0</v>
      </c>
      <c r="K3699" s="14" t="n">
        <v>52476.69089816224</v>
      </c>
      <c r="L3699" s="14" t="n">
        <v>215908.6496772317</v>
      </c>
      <c r="M3699" s="14" t="n">
        <v>0</v>
      </c>
      <c r="N3699" s="14" t="n">
        <v>545965.4348708506</v>
      </c>
      <c r="O3699" s="14" t="n">
        <v>748479.7523606842</v>
      </c>
      <c r="P3699" s="14" t="n">
        <v>38348.90667296765</v>
      </c>
      <c r="Q3699" s="14" t="n">
        <v>7875416.356482172</v>
      </c>
      <c r="R3699" s="15">
        <f>IF(D3699=1,"Section 1","Control")</f>
        <v/>
      </c>
      <c r="S3699" s="16">
        <f>N3699/10000</f>
        <v/>
      </c>
      <c r="T3699" s="16">
        <f>P3699/10000</f>
        <v/>
      </c>
      <c r="U3699" s="15">
        <f>IF(N3699&gt;=Summary!$D$3,1,0)</f>
        <v/>
      </c>
      <c r="V3699" s="17">
        <f>IF(N3699&gt;0,P3699/N3699,"")</f>
        <v/>
      </c>
      <c r="W3699" s="17">
        <f>IF(O3699&gt;0,H3699/O3699,"")</f>
        <v/>
      </c>
    </row>
    <row r="3700">
      <c r="A3700" s="13" t="inlineStr">
        <is>
          <t>CW42_B1</t>
        </is>
      </c>
      <c r="B3700" s="13" t="inlineStr">
        <is>
          <t>CW42</t>
        </is>
      </c>
      <c r="C3700" s="13" t="inlineStr">
        <is>
          <t>B1</t>
        </is>
      </c>
      <c r="D3700" s="13" t="n">
        <v>0</v>
      </c>
      <c r="E3700" s="13" t="inlineStr">
        <is>
          <t>W</t>
        </is>
      </c>
      <c r="F3700" s="13" t="n">
        <v>2022</v>
      </c>
      <c r="G3700" s="14" t="n">
        <v>975051.0330575079</v>
      </c>
      <c r="H3700" s="14" t="n">
        <v>532865.9306638229</v>
      </c>
      <c r="I3700" s="14" t="n">
        <v>174663.5286376654</v>
      </c>
      <c r="J3700" s="14" t="n">
        <v>0</v>
      </c>
      <c r="K3700" s="14" t="n">
        <v>50883.88490008186</v>
      </c>
      <c r="L3700" s="14" t="n">
        <v>216637.6888559379</v>
      </c>
      <c r="M3700" s="14" t="n">
        <v>0</v>
      </c>
      <c r="N3700" s="14" t="n">
        <v>545965.4348708506</v>
      </c>
      <c r="O3700" s="14" t="n">
        <v>748479.7523606842</v>
      </c>
      <c r="P3700" s="14" t="n">
        <v>35448.66049879485</v>
      </c>
      <c r="Q3700" s="14" t="n">
        <v>7875416.356482172</v>
      </c>
      <c r="R3700" s="15">
        <f>IF(D3700=1,"Section 1","Control")</f>
        <v/>
      </c>
      <c r="S3700" s="16">
        <f>N3700/10000</f>
        <v/>
      </c>
      <c r="T3700" s="16">
        <f>P3700/10000</f>
        <v/>
      </c>
      <c r="U3700" s="15">
        <f>IF(N3700&gt;=Summary!$D$3,1,0)</f>
        <v/>
      </c>
      <c r="V3700" s="17">
        <f>IF(N3700&gt;0,P3700/N3700,"")</f>
        <v/>
      </c>
      <c r="W3700" s="17">
        <f>IF(O3700&gt;0,H3700/O3700,"")</f>
        <v/>
      </c>
    </row>
    <row r="3701">
      <c r="A3701" s="13" t="inlineStr">
        <is>
          <t>CW42_B1</t>
        </is>
      </c>
      <c r="B3701" s="13" t="inlineStr">
        <is>
          <t>CW42</t>
        </is>
      </c>
      <c r="C3701" s="13" t="inlineStr">
        <is>
          <t>B1</t>
        </is>
      </c>
      <c r="D3701" s="13" t="n">
        <v>0</v>
      </c>
      <c r="E3701" s="13" t="inlineStr">
        <is>
          <t>W</t>
        </is>
      </c>
      <c r="F3701" s="13" t="n">
        <v>2023</v>
      </c>
      <c r="G3701" s="14" t="n">
        <v>975051.0330575079</v>
      </c>
      <c r="H3701" s="14" t="n">
        <v>527013.1551070567</v>
      </c>
      <c r="I3701" s="14" t="n">
        <v>171335.3653591381</v>
      </c>
      <c r="J3701" s="14" t="n">
        <v>0</v>
      </c>
      <c r="K3701" s="14" t="n">
        <v>51080.56922640333</v>
      </c>
      <c r="L3701" s="14" t="n">
        <v>225621.9433649101</v>
      </c>
      <c r="M3701" s="14" t="n">
        <v>0</v>
      </c>
      <c r="N3701" s="14" t="n">
        <v>545965.4348708506</v>
      </c>
      <c r="O3701" s="14" t="n">
        <v>748479.7523606842</v>
      </c>
      <c r="P3701" s="14" t="n">
        <v>38493.32507315243</v>
      </c>
      <c r="Q3701" s="14" t="n">
        <v>7875416.356482172</v>
      </c>
      <c r="R3701" s="15">
        <f>IF(D3701=1,"Section 1","Control")</f>
        <v/>
      </c>
      <c r="S3701" s="16">
        <f>N3701/10000</f>
        <v/>
      </c>
      <c r="T3701" s="16">
        <f>P3701/10000</f>
        <v/>
      </c>
      <c r="U3701" s="15">
        <f>IF(N3701&gt;=Summary!$D$3,1,0)</f>
        <v/>
      </c>
      <c r="V3701" s="17">
        <f>IF(N3701&gt;0,P3701/N3701,"")</f>
        <v/>
      </c>
      <c r="W3701" s="17">
        <f>IF(O3701&gt;0,H3701/O3701,"")</f>
        <v/>
      </c>
    </row>
    <row r="3702">
      <c r="A3702" s="13" t="inlineStr">
        <is>
          <t>CW42_B1</t>
        </is>
      </c>
      <c r="B3702" s="13" t="inlineStr">
        <is>
          <t>CW42</t>
        </is>
      </c>
      <c r="C3702" s="13" t="inlineStr">
        <is>
          <t>B1</t>
        </is>
      </c>
      <c r="D3702" s="13" t="n">
        <v>0</v>
      </c>
      <c r="E3702" s="13" t="inlineStr">
        <is>
          <t>W</t>
        </is>
      </c>
      <c r="F3702" s="13" t="n">
        <v>2024</v>
      </c>
      <c r="G3702" s="14" t="n">
        <v>975051.0330575079</v>
      </c>
      <c r="H3702" s="14" t="n">
        <v>549250.0476391061</v>
      </c>
      <c r="I3702" s="14" t="n">
        <v>142320.6997229782</v>
      </c>
      <c r="J3702" s="14" t="n">
        <v>0</v>
      </c>
      <c r="K3702" s="14" t="n">
        <v>52821.66306328868</v>
      </c>
      <c r="L3702" s="14" t="n">
        <v>230658.6226321351</v>
      </c>
      <c r="M3702" s="14" t="n">
        <v>0</v>
      </c>
      <c r="N3702" s="14" t="n">
        <v>545965.4348708506</v>
      </c>
      <c r="O3702" s="14" t="n">
        <v>748479.7523606842</v>
      </c>
      <c r="P3702" s="14" t="n">
        <v>35943.44760727228</v>
      </c>
      <c r="Q3702" s="14" t="n">
        <v>7875416.356482172</v>
      </c>
      <c r="R3702" s="15">
        <f>IF(D3702=1,"Section 1","Control")</f>
        <v/>
      </c>
      <c r="S3702" s="16">
        <f>N3702/10000</f>
        <v/>
      </c>
      <c r="T3702" s="16">
        <f>P3702/10000</f>
        <v/>
      </c>
      <c r="U3702" s="15">
        <f>IF(N3702&gt;=Summary!$D$3,1,0)</f>
        <v/>
      </c>
      <c r="V3702" s="17">
        <f>IF(N3702&gt;0,P3702/N3702,"")</f>
        <v/>
      </c>
      <c r="W3702" s="17">
        <f>IF(O3702&gt;0,H3702/O3702,"")</f>
        <v/>
      </c>
    </row>
    <row r="3703">
      <c r="A3703" s="13" t="inlineStr">
        <is>
          <t>CW42_B1</t>
        </is>
      </c>
      <c r="B3703" s="13" t="inlineStr">
        <is>
          <t>CW42</t>
        </is>
      </c>
      <c r="C3703" s="13" t="inlineStr">
        <is>
          <t>B1</t>
        </is>
      </c>
      <c r="D3703" s="13" t="n">
        <v>0</v>
      </c>
      <c r="E3703" s="13" t="inlineStr">
        <is>
          <t>W</t>
        </is>
      </c>
      <c r="F3703" s="13" t="n">
        <v>2025</v>
      </c>
      <c r="G3703" s="14" t="n">
        <v>975051.0330575079</v>
      </c>
      <c r="H3703" s="14" t="n">
        <v>510266.2991534662</v>
      </c>
      <c r="I3703" s="14" t="n">
        <v>181881.7003906549</v>
      </c>
      <c r="J3703" s="14" t="n">
        <v>0</v>
      </c>
      <c r="K3703" s="14" t="n">
        <v>47308.00878164254</v>
      </c>
      <c r="L3703" s="14" t="n">
        <v>235595.0247317445</v>
      </c>
      <c r="M3703" s="14" t="n">
        <v>0</v>
      </c>
      <c r="N3703" s="14" t="n">
        <v>545965.4348708506</v>
      </c>
      <c r="O3703" s="14" t="n">
        <v>748479.7523606842</v>
      </c>
      <c r="P3703" s="14" t="n">
        <v>44158.32956378414</v>
      </c>
      <c r="Q3703" s="14" t="n">
        <v>7875416.356482172</v>
      </c>
      <c r="R3703" s="15">
        <f>IF(D3703=1,"Section 1","Control")</f>
        <v/>
      </c>
      <c r="S3703" s="16">
        <f>N3703/10000</f>
        <v/>
      </c>
      <c r="T3703" s="16">
        <f>P3703/10000</f>
        <v/>
      </c>
      <c r="U3703" s="15">
        <f>IF(N3703&gt;=Summary!$D$3,1,0)</f>
        <v/>
      </c>
      <c r="V3703" s="17">
        <f>IF(N3703&gt;0,P3703/N3703,"")</f>
        <v/>
      </c>
      <c r="W3703" s="17">
        <f>IF(O3703&gt;0,H3703/O3703,"")</f>
        <v/>
      </c>
    </row>
    <row r="3704">
      <c r="A3704" s="13" t="inlineStr">
        <is>
          <t>CW42_B1</t>
        </is>
      </c>
      <c r="B3704" s="13" t="inlineStr">
        <is>
          <t>CW42</t>
        </is>
      </c>
      <c r="C3704" s="13" t="inlineStr">
        <is>
          <t>B1</t>
        </is>
      </c>
      <c r="D3704" s="13" t="n">
        <v>0</v>
      </c>
      <c r="E3704" s="13" t="inlineStr">
        <is>
          <t>W</t>
        </is>
      </c>
      <c r="F3704" s="13" t="n">
        <v>2026</v>
      </c>
      <c r="G3704" s="14" t="n">
        <v>975051.0330575079</v>
      </c>
      <c r="H3704" s="14" t="n">
        <v>535579.2666602638</v>
      </c>
      <c r="I3704" s="14" t="n">
        <v>159632.0218529197</v>
      </c>
      <c r="J3704" s="14" t="n">
        <v>0</v>
      </c>
      <c r="K3704" s="14" t="n">
        <v>48914.74999446496</v>
      </c>
      <c r="L3704" s="14" t="n">
        <v>230924.9945498597</v>
      </c>
      <c r="M3704" s="14" t="n">
        <v>0</v>
      </c>
      <c r="N3704" s="14" t="n">
        <v>545965.4348708506</v>
      </c>
      <c r="O3704" s="14" t="n">
        <v>748479.7523606842</v>
      </c>
      <c r="P3704" s="14" t="n">
        <v>46008.54814034256</v>
      </c>
      <c r="Q3704" s="14" t="n">
        <v>7875416.356482172</v>
      </c>
      <c r="R3704" s="15">
        <f>IF(D3704=1,"Section 1","Control")</f>
        <v/>
      </c>
      <c r="S3704" s="16">
        <f>N3704/10000</f>
        <v/>
      </c>
      <c r="T3704" s="16">
        <f>P3704/10000</f>
        <v/>
      </c>
      <c r="U3704" s="15">
        <f>IF(N3704&gt;=Summary!$D$3,1,0)</f>
        <v/>
      </c>
      <c r="V3704" s="17">
        <f>IF(N3704&gt;0,P3704/N3704,"")</f>
        <v/>
      </c>
      <c r="W3704" s="17">
        <f>IF(O3704&gt;0,H3704/O3704,"")</f>
        <v/>
      </c>
    </row>
    <row r="3705">
      <c r="A3705" s="13" t="inlineStr">
        <is>
          <t>CW42_B2</t>
        </is>
      </c>
      <c r="B3705" s="13" t="inlineStr">
        <is>
          <t>CW42</t>
        </is>
      </c>
      <c r="C3705" s="13" t="inlineStr">
        <is>
          <t>B2</t>
        </is>
      </c>
      <c r="D3705" s="13" t="n">
        <v>0</v>
      </c>
      <c r="E3705" s="13" t="inlineStr">
        <is>
          <t>W</t>
        </is>
      </c>
      <c r="F3705" s="13" t="n">
        <v>2020</v>
      </c>
      <c r="G3705" s="14" t="n">
        <v>975317.784044812</v>
      </c>
      <c r="H3705" s="14" t="n">
        <v>107613.459643076</v>
      </c>
      <c r="I3705" s="14" t="n">
        <v>691.0854187011719</v>
      </c>
      <c r="J3705" s="14" t="n">
        <v>0</v>
      </c>
      <c r="K3705" s="14" t="n">
        <v>9773.52292917289</v>
      </c>
      <c r="L3705" s="14" t="n">
        <v>857239.7160538619</v>
      </c>
      <c r="M3705" s="14" t="n">
        <v>0</v>
      </c>
      <c r="N3705" s="14" t="n">
        <v>107613.459643076</v>
      </c>
      <c r="O3705" s="14" t="n">
        <v>118078.0679909501</v>
      </c>
      <c r="P3705" s="14" t="n">
        <v>0</v>
      </c>
      <c r="Q3705" s="14" t="n">
        <v>630655.6049183864</v>
      </c>
      <c r="R3705" s="15">
        <f>IF(D3705=1,"Section 1","Control")</f>
        <v/>
      </c>
      <c r="S3705" s="16">
        <f>N3705/10000</f>
        <v/>
      </c>
      <c r="T3705" s="16">
        <f>P3705/10000</f>
        <v/>
      </c>
      <c r="U3705" s="15">
        <f>IF(N3705&gt;=Summary!$D$3,1,0)</f>
        <v/>
      </c>
      <c r="V3705" s="17">
        <f>IF(N3705&gt;0,P3705/N3705,"")</f>
        <v/>
      </c>
      <c r="W3705" s="17">
        <f>IF(O3705&gt;0,H3705/O3705,"")</f>
        <v/>
      </c>
    </row>
    <row r="3706">
      <c r="A3706" s="13" t="inlineStr">
        <is>
          <t>CW42_B2</t>
        </is>
      </c>
      <c r="B3706" s="13" t="inlineStr">
        <is>
          <t>CW42</t>
        </is>
      </c>
      <c r="C3706" s="13" t="inlineStr">
        <is>
          <t>B2</t>
        </is>
      </c>
      <c r="D3706" s="13" t="n">
        <v>0</v>
      </c>
      <c r="E3706" s="13" t="inlineStr">
        <is>
          <t>W</t>
        </is>
      </c>
      <c r="F3706" s="13" t="n">
        <v>2021</v>
      </c>
      <c r="G3706" s="14" t="n">
        <v>975317.784044812</v>
      </c>
      <c r="H3706" s="14" t="n">
        <v>104247.856963124</v>
      </c>
      <c r="I3706" s="14" t="n">
        <v>296.1787719726562</v>
      </c>
      <c r="J3706" s="14" t="n">
        <v>0</v>
      </c>
      <c r="K3706" s="14" t="n">
        <v>14225.11833068249</v>
      </c>
      <c r="L3706" s="14" t="n">
        <v>856548.6299790328</v>
      </c>
      <c r="M3706" s="14" t="n">
        <v>0</v>
      </c>
      <c r="N3706" s="14" t="n">
        <v>107613.459643076</v>
      </c>
      <c r="O3706" s="14" t="n">
        <v>118078.0679909501</v>
      </c>
      <c r="P3706" s="14" t="n">
        <v>3957.961604817708</v>
      </c>
      <c r="Q3706" s="14" t="n">
        <v>630655.6049183864</v>
      </c>
      <c r="R3706" s="15">
        <f>IF(D3706=1,"Section 1","Control")</f>
        <v/>
      </c>
      <c r="S3706" s="16">
        <f>N3706/10000</f>
        <v/>
      </c>
      <c r="T3706" s="16">
        <f>P3706/10000</f>
        <v/>
      </c>
      <c r="U3706" s="15">
        <f>IF(N3706&gt;=Summary!$D$3,1,0)</f>
        <v/>
      </c>
      <c r="V3706" s="17">
        <f>IF(N3706&gt;0,P3706/N3706,"")</f>
        <v/>
      </c>
      <c r="W3706" s="17">
        <f>IF(O3706&gt;0,H3706/O3706,"")</f>
        <v/>
      </c>
    </row>
    <row r="3707">
      <c r="A3707" s="13" t="inlineStr">
        <is>
          <t>CW42_B2</t>
        </is>
      </c>
      <c r="B3707" s="13" t="inlineStr">
        <is>
          <t>CW42</t>
        </is>
      </c>
      <c r="C3707" s="13" t="inlineStr">
        <is>
          <t>B2</t>
        </is>
      </c>
      <c r="D3707" s="13" t="n">
        <v>0</v>
      </c>
      <c r="E3707" s="13" t="inlineStr">
        <is>
          <t>W</t>
        </is>
      </c>
      <c r="F3707" s="13" t="n">
        <v>2022</v>
      </c>
      <c r="G3707" s="14" t="n">
        <v>975317.784044812</v>
      </c>
      <c r="H3707" s="14" t="n">
        <v>103754.2243947646</v>
      </c>
      <c r="I3707" s="14" t="n">
        <v>394.9059448242188</v>
      </c>
      <c r="J3707" s="14" t="n">
        <v>0</v>
      </c>
      <c r="K3707" s="14" t="n">
        <v>15311.1080004823</v>
      </c>
      <c r="L3707" s="14" t="n">
        <v>855857.545704741</v>
      </c>
      <c r="M3707" s="14" t="n">
        <v>0</v>
      </c>
      <c r="N3707" s="14" t="n">
        <v>107613.459643076</v>
      </c>
      <c r="O3707" s="14" t="n">
        <v>118078.0679909501</v>
      </c>
      <c r="P3707" s="14" t="n">
        <v>4254.141216023763</v>
      </c>
      <c r="Q3707" s="14" t="n">
        <v>630655.6049183864</v>
      </c>
      <c r="R3707" s="15">
        <f>IF(D3707=1,"Section 1","Control")</f>
        <v/>
      </c>
      <c r="S3707" s="16">
        <f>N3707/10000</f>
        <v/>
      </c>
      <c r="T3707" s="16">
        <f>P3707/10000</f>
        <v/>
      </c>
      <c r="U3707" s="15">
        <f>IF(N3707&gt;=Summary!$D$3,1,0)</f>
        <v/>
      </c>
      <c r="V3707" s="17">
        <f>IF(N3707&gt;0,P3707/N3707,"")</f>
        <v/>
      </c>
      <c r="W3707" s="17">
        <f>IF(O3707&gt;0,H3707/O3707,"")</f>
        <v/>
      </c>
    </row>
    <row r="3708">
      <c r="A3708" s="13" t="inlineStr">
        <is>
          <t>CW42_B2</t>
        </is>
      </c>
      <c r="B3708" s="13" t="inlineStr">
        <is>
          <t>CW42</t>
        </is>
      </c>
      <c r="C3708" s="13" t="inlineStr">
        <is>
          <t>B2</t>
        </is>
      </c>
      <c r="D3708" s="13" t="n">
        <v>0</v>
      </c>
      <c r="E3708" s="13" t="inlineStr">
        <is>
          <t>W</t>
        </is>
      </c>
      <c r="F3708" s="13" t="n">
        <v>2023</v>
      </c>
      <c r="G3708" s="14" t="n">
        <v>975317.784044812</v>
      </c>
      <c r="H3708" s="14" t="n">
        <v>102947.7656203625</v>
      </c>
      <c r="I3708" s="14" t="n">
        <v>880.0205914964863</v>
      </c>
      <c r="J3708" s="14" t="n">
        <v>0</v>
      </c>
      <c r="K3708" s="14" t="n">
        <v>8761.09670155843</v>
      </c>
      <c r="L3708" s="14" t="n">
        <v>862728.9011313946</v>
      </c>
      <c r="M3708" s="14" t="n">
        <v>0</v>
      </c>
      <c r="N3708" s="14" t="n">
        <v>107613.459643076</v>
      </c>
      <c r="O3708" s="14" t="n">
        <v>118078.0679909501</v>
      </c>
      <c r="P3708" s="14" t="n">
        <v>5159.326484261307</v>
      </c>
      <c r="Q3708" s="14" t="n">
        <v>630655.6049183864</v>
      </c>
      <c r="R3708" s="15">
        <f>IF(D3708=1,"Section 1","Control")</f>
        <v/>
      </c>
      <c r="S3708" s="16">
        <f>N3708/10000</f>
        <v/>
      </c>
      <c r="T3708" s="16">
        <f>P3708/10000</f>
        <v/>
      </c>
      <c r="U3708" s="15">
        <f>IF(N3708&gt;=Summary!$D$3,1,0)</f>
        <v/>
      </c>
      <c r="V3708" s="17">
        <f>IF(N3708&gt;0,P3708/N3708,"")</f>
        <v/>
      </c>
      <c r="W3708" s="17">
        <f>IF(O3708&gt;0,H3708/O3708,"")</f>
        <v/>
      </c>
    </row>
    <row r="3709">
      <c r="A3709" s="13" t="inlineStr">
        <is>
          <t>CW42_B2</t>
        </is>
      </c>
      <c r="B3709" s="13" t="inlineStr">
        <is>
          <t>CW42</t>
        </is>
      </c>
      <c r="C3709" s="13" t="inlineStr">
        <is>
          <t>B2</t>
        </is>
      </c>
      <c r="D3709" s="13" t="n">
        <v>0</v>
      </c>
      <c r="E3709" s="13" t="inlineStr">
        <is>
          <t>W</t>
        </is>
      </c>
      <c r="F3709" s="13" t="n">
        <v>2024</v>
      </c>
      <c r="G3709" s="14" t="n">
        <v>975317.784044812</v>
      </c>
      <c r="H3709" s="14" t="n">
        <v>103827.7861203063</v>
      </c>
      <c r="I3709" s="14" t="n">
        <v>0</v>
      </c>
      <c r="J3709" s="14" t="n">
        <v>0</v>
      </c>
      <c r="K3709" s="14" t="n">
        <v>15083.84697130989</v>
      </c>
      <c r="L3709" s="14" t="n">
        <v>856406.1509531959</v>
      </c>
      <c r="M3709" s="14" t="n">
        <v>0</v>
      </c>
      <c r="N3709" s="14" t="n">
        <v>107613.459643076</v>
      </c>
      <c r="O3709" s="14" t="n">
        <v>118078.0679909501</v>
      </c>
      <c r="P3709" s="14" t="n">
        <v>4476.758941470876</v>
      </c>
      <c r="Q3709" s="14" t="n">
        <v>630655.6049183864</v>
      </c>
      <c r="R3709" s="15">
        <f>IF(D3709=1,"Section 1","Control")</f>
        <v/>
      </c>
      <c r="S3709" s="16">
        <f>N3709/10000</f>
        <v/>
      </c>
      <c r="T3709" s="16">
        <f>P3709/10000</f>
        <v/>
      </c>
      <c r="U3709" s="15">
        <f>IF(N3709&gt;=Summary!$D$3,1,0)</f>
        <v/>
      </c>
      <c r="V3709" s="17">
        <f>IF(N3709&gt;0,P3709/N3709,"")</f>
        <v/>
      </c>
      <c r="W3709" s="17">
        <f>IF(O3709&gt;0,H3709/O3709,"")</f>
        <v/>
      </c>
    </row>
    <row r="3710">
      <c r="A3710" s="13" t="inlineStr">
        <is>
          <t>CW42_B2</t>
        </is>
      </c>
      <c r="B3710" s="13" t="inlineStr">
        <is>
          <t>CW42</t>
        </is>
      </c>
      <c r="C3710" s="13" t="inlineStr">
        <is>
          <t>B2</t>
        </is>
      </c>
      <c r="D3710" s="13" t="n">
        <v>0</v>
      </c>
      <c r="E3710" s="13" t="inlineStr">
        <is>
          <t>W</t>
        </is>
      </c>
      <c r="F3710" s="13" t="n">
        <v>2025</v>
      </c>
      <c r="G3710" s="14" t="n">
        <v>975317.784044812</v>
      </c>
      <c r="H3710" s="14" t="n">
        <v>103827.7861203063</v>
      </c>
      <c r="I3710" s="14" t="n">
        <v>0</v>
      </c>
      <c r="J3710" s="14" t="n">
        <v>0</v>
      </c>
      <c r="K3710" s="14" t="n">
        <v>11062.00403636858</v>
      </c>
      <c r="L3710" s="14" t="n">
        <v>860427.9938881372</v>
      </c>
      <c r="M3710" s="14" t="n">
        <v>0</v>
      </c>
      <c r="N3710" s="14" t="n">
        <v>107613.459643076</v>
      </c>
      <c r="O3710" s="14" t="n">
        <v>118078.0679909501</v>
      </c>
      <c r="P3710" s="14" t="n">
        <v>4476.758941470876</v>
      </c>
      <c r="Q3710" s="14" t="n">
        <v>630655.6049183864</v>
      </c>
      <c r="R3710" s="15">
        <f>IF(D3710=1,"Section 1","Control")</f>
        <v/>
      </c>
      <c r="S3710" s="16">
        <f>N3710/10000</f>
        <v/>
      </c>
      <c r="T3710" s="16">
        <f>P3710/10000</f>
        <v/>
      </c>
      <c r="U3710" s="15">
        <f>IF(N3710&gt;=Summary!$D$3,1,0)</f>
        <v/>
      </c>
      <c r="V3710" s="17">
        <f>IF(N3710&gt;0,P3710/N3710,"")</f>
        <v/>
      </c>
      <c r="W3710" s="17">
        <f>IF(O3710&gt;0,H3710/O3710,"")</f>
        <v/>
      </c>
    </row>
    <row r="3711">
      <c r="A3711" s="13" t="inlineStr">
        <is>
          <t>CW42_B2</t>
        </is>
      </c>
      <c r="B3711" s="13" t="inlineStr">
        <is>
          <t>CW42</t>
        </is>
      </c>
      <c r="C3711" s="13" t="inlineStr">
        <is>
          <t>B2</t>
        </is>
      </c>
      <c r="D3711" s="13" t="n">
        <v>0</v>
      </c>
      <c r="E3711" s="13" t="inlineStr">
        <is>
          <t>W</t>
        </is>
      </c>
      <c r="F3711" s="13" t="n">
        <v>2026</v>
      </c>
      <c r="G3711" s="14" t="n">
        <v>975317.784044812</v>
      </c>
      <c r="H3711" s="14" t="n">
        <v>101894.6831751206</v>
      </c>
      <c r="I3711" s="14" t="n">
        <v>0</v>
      </c>
      <c r="J3711" s="14" t="n">
        <v>0</v>
      </c>
      <c r="K3711" s="14" t="n">
        <v>6676.615244188496</v>
      </c>
      <c r="L3711" s="14" t="n">
        <v>866746.4856255029</v>
      </c>
      <c r="M3711" s="14" t="n">
        <v>0</v>
      </c>
      <c r="N3711" s="14" t="n">
        <v>107613.459643076</v>
      </c>
      <c r="O3711" s="14" t="n">
        <v>118078.0679909501</v>
      </c>
      <c r="P3711" s="14" t="n">
        <v>6409.861886656518</v>
      </c>
      <c r="Q3711" s="14" t="n">
        <v>630655.6049183864</v>
      </c>
      <c r="R3711" s="15">
        <f>IF(D3711=1,"Section 1","Control")</f>
        <v/>
      </c>
      <c r="S3711" s="16">
        <f>N3711/10000</f>
        <v/>
      </c>
      <c r="T3711" s="16">
        <f>P3711/10000</f>
        <v/>
      </c>
      <c r="U3711" s="15">
        <f>IF(N3711&gt;=Summary!$D$3,1,0)</f>
        <v/>
      </c>
      <c r="V3711" s="17">
        <f>IF(N3711&gt;0,P3711/N3711,"")</f>
        <v/>
      </c>
      <c r="W3711" s="17">
        <f>IF(O3711&gt;0,H3711/O3711,"")</f>
        <v/>
      </c>
    </row>
    <row r="3712">
      <c r="A3712" s="13" t="inlineStr">
        <is>
          <t>CW42_B3</t>
        </is>
      </c>
      <c r="B3712" s="13" t="inlineStr">
        <is>
          <t>CW42</t>
        </is>
      </c>
      <c r="C3712" s="13" t="inlineStr">
        <is>
          <t>B3</t>
        </is>
      </c>
      <c r="D3712" s="13" t="n">
        <v>0</v>
      </c>
      <c r="E3712" s="13" t="inlineStr">
        <is>
          <t>W</t>
        </is>
      </c>
      <c r="F3712" s="13" t="n">
        <v>2020</v>
      </c>
      <c r="G3712" s="14" t="n">
        <v>7800423.202172251</v>
      </c>
      <c r="H3712" s="14" t="n">
        <v>3521563.733020648</v>
      </c>
      <c r="I3712" s="14" t="n">
        <v>148852.7111678479</v>
      </c>
      <c r="J3712" s="14" t="n">
        <v>0</v>
      </c>
      <c r="K3712" s="14" t="n">
        <v>25985.62098957137</v>
      </c>
      <c r="L3712" s="14" t="n">
        <v>4104021.136994186</v>
      </c>
      <c r="M3712" s="14" t="n">
        <v>0</v>
      </c>
      <c r="N3712" s="14" t="n">
        <v>3521563.733020648</v>
      </c>
      <c r="O3712" s="14" t="n">
        <v>3696402.065178066</v>
      </c>
      <c r="P3712" s="14" t="n">
        <v>0</v>
      </c>
      <c r="Q3712" s="14" t="n">
        <v>24517414.1576554</v>
      </c>
      <c r="R3712" s="15">
        <f>IF(D3712=1,"Section 1","Control")</f>
        <v/>
      </c>
      <c r="S3712" s="16">
        <f>N3712/10000</f>
        <v/>
      </c>
      <c r="T3712" s="16">
        <f>P3712/10000</f>
        <v/>
      </c>
      <c r="U3712" s="15">
        <f>IF(N3712&gt;=Summary!$D$3,1,0)</f>
        <v/>
      </c>
      <c r="V3712" s="17">
        <f>IF(N3712&gt;0,P3712/N3712,"")</f>
        <v/>
      </c>
      <c r="W3712" s="17">
        <f>IF(O3712&gt;0,H3712/O3712,"")</f>
        <v/>
      </c>
    </row>
    <row r="3713">
      <c r="A3713" s="13" t="inlineStr">
        <is>
          <t>CW42_B3</t>
        </is>
      </c>
      <c r="B3713" s="13" t="inlineStr">
        <is>
          <t>CW42</t>
        </is>
      </c>
      <c r="C3713" s="13" t="inlineStr">
        <is>
          <t>B3</t>
        </is>
      </c>
      <c r="D3713" s="13" t="n">
        <v>0</v>
      </c>
      <c r="E3713" s="13" t="inlineStr">
        <is>
          <t>W</t>
        </is>
      </c>
      <c r="F3713" s="13" t="n">
        <v>2021</v>
      </c>
      <c r="G3713" s="14" t="n">
        <v>7800423.202172252</v>
      </c>
      <c r="H3713" s="14" t="n">
        <v>3504734.782817616</v>
      </c>
      <c r="I3713" s="14" t="n">
        <v>56384.42686417523</v>
      </c>
      <c r="J3713" s="14" t="n">
        <v>0</v>
      </c>
      <c r="K3713" s="14" t="n">
        <v>140120.3921326282</v>
      </c>
      <c r="L3713" s="14" t="n">
        <v>4099183.600357834</v>
      </c>
      <c r="M3713" s="14" t="n">
        <v>0</v>
      </c>
      <c r="N3713" s="14" t="n">
        <v>3521563.733020648</v>
      </c>
      <c r="O3713" s="14" t="n">
        <v>3696402.065178066</v>
      </c>
      <c r="P3713" s="14" t="n">
        <v>84119.19966167375</v>
      </c>
      <c r="Q3713" s="14" t="n">
        <v>24517414.1576554</v>
      </c>
      <c r="R3713" s="15">
        <f>IF(D3713=1,"Section 1","Control")</f>
        <v/>
      </c>
      <c r="S3713" s="16">
        <f>N3713/10000</f>
        <v/>
      </c>
      <c r="T3713" s="16">
        <f>P3713/10000</f>
        <v/>
      </c>
      <c r="U3713" s="15">
        <f>IF(N3713&gt;=Summary!$D$3,1,0)</f>
        <v/>
      </c>
      <c r="V3713" s="17">
        <f>IF(N3713&gt;0,P3713/N3713,"")</f>
        <v/>
      </c>
      <c r="W3713" s="17">
        <f>IF(O3713&gt;0,H3713/O3713,"")</f>
        <v/>
      </c>
    </row>
    <row r="3714">
      <c r="A3714" s="13" t="inlineStr">
        <is>
          <t>CW42_B3</t>
        </is>
      </c>
      <c r="B3714" s="13" t="inlineStr">
        <is>
          <t>CW42</t>
        </is>
      </c>
      <c r="C3714" s="13" t="inlineStr">
        <is>
          <t>B3</t>
        </is>
      </c>
      <c r="D3714" s="13" t="n">
        <v>0</v>
      </c>
      <c r="E3714" s="13" t="inlineStr">
        <is>
          <t>W</t>
        </is>
      </c>
      <c r="F3714" s="13" t="n">
        <v>2022</v>
      </c>
      <c r="G3714" s="14" t="n">
        <v>7800423.202172252</v>
      </c>
      <c r="H3714" s="14" t="n">
        <v>3458628.779587449</v>
      </c>
      <c r="I3714" s="14" t="n">
        <v>123024.8102016374</v>
      </c>
      <c r="J3714" s="14" t="n">
        <v>0</v>
      </c>
      <c r="K3714" s="14" t="n">
        <v>107837.7023176904</v>
      </c>
      <c r="L3714" s="14" t="n">
        <v>4110931.910065475</v>
      </c>
      <c r="M3714" s="14" t="n">
        <v>0</v>
      </c>
      <c r="N3714" s="14" t="n">
        <v>3521563.733020648</v>
      </c>
      <c r="O3714" s="14" t="n">
        <v>3696402.065178066</v>
      </c>
      <c r="P3714" s="14" t="n">
        <v>113833.1874138926</v>
      </c>
      <c r="Q3714" s="14" t="n">
        <v>24517414.15765539</v>
      </c>
      <c r="R3714" s="15">
        <f>IF(D3714=1,"Section 1","Control")</f>
        <v/>
      </c>
      <c r="S3714" s="16">
        <f>N3714/10000</f>
        <v/>
      </c>
      <c r="T3714" s="16">
        <f>P3714/10000</f>
        <v/>
      </c>
      <c r="U3714" s="15">
        <f>IF(N3714&gt;=Summary!$D$3,1,0)</f>
        <v/>
      </c>
      <c r="V3714" s="17">
        <f>IF(N3714&gt;0,P3714/N3714,"")</f>
        <v/>
      </c>
      <c r="W3714" s="17">
        <f>IF(O3714&gt;0,H3714/O3714,"")</f>
        <v/>
      </c>
    </row>
    <row r="3715">
      <c r="A3715" s="13" t="inlineStr">
        <is>
          <t>CW42_B3</t>
        </is>
      </c>
      <c r="B3715" s="13" t="inlineStr">
        <is>
          <t>CW42</t>
        </is>
      </c>
      <c r="C3715" s="13" t="inlineStr">
        <is>
          <t>B3</t>
        </is>
      </c>
      <c r="D3715" s="13" t="n">
        <v>0</v>
      </c>
      <c r="E3715" s="13" t="inlineStr">
        <is>
          <t>W</t>
        </is>
      </c>
      <c r="F3715" s="13" t="n">
        <v>2023</v>
      </c>
      <c r="G3715" s="14" t="n">
        <v>7800423.202172252</v>
      </c>
      <c r="H3715" s="14" t="n">
        <v>3495328.355593722</v>
      </c>
      <c r="I3715" s="14" t="n">
        <v>94848.99758635876</v>
      </c>
      <c r="J3715" s="14" t="n">
        <v>0</v>
      </c>
      <c r="K3715" s="14" t="n">
        <v>92426.0109684963</v>
      </c>
      <c r="L3715" s="14" t="n">
        <v>4117819.838023676</v>
      </c>
      <c r="M3715" s="14" t="n">
        <v>0</v>
      </c>
      <c r="N3715" s="14" t="n">
        <v>3521563.733020648</v>
      </c>
      <c r="O3715" s="14" t="n">
        <v>3696402.065178066</v>
      </c>
      <c r="P3715" s="14" t="n">
        <v>92646.1361396939</v>
      </c>
      <c r="Q3715" s="14" t="n">
        <v>24517414.15765539</v>
      </c>
      <c r="R3715" s="15">
        <f>IF(D3715=1,"Section 1","Control")</f>
        <v/>
      </c>
      <c r="S3715" s="16">
        <f>N3715/10000</f>
        <v/>
      </c>
      <c r="T3715" s="16">
        <f>P3715/10000</f>
        <v/>
      </c>
      <c r="U3715" s="15">
        <f>IF(N3715&gt;=Summary!$D$3,1,0)</f>
        <v/>
      </c>
      <c r="V3715" s="17">
        <f>IF(N3715&gt;0,P3715/N3715,"")</f>
        <v/>
      </c>
      <c r="W3715" s="17">
        <f>IF(O3715&gt;0,H3715/O3715,"")</f>
        <v/>
      </c>
    </row>
    <row r="3716">
      <c r="A3716" s="13" t="inlineStr">
        <is>
          <t>CW42_B3</t>
        </is>
      </c>
      <c r="B3716" s="13" t="inlineStr">
        <is>
          <t>CW42</t>
        </is>
      </c>
      <c r="C3716" s="13" t="inlineStr">
        <is>
          <t>B3</t>
        </is>
      </c>
      <c r="D3716" s="13" t="n">
        <v>0</v>
      </c>
      <c r="E3716" s="13" t="inlineStr">
        <is>
          <t>W</t>
        </is>
      </c>
      <c r="F3716" s="13" t="n">
        <v>2024</v>
      </c>
      <c r="G3716" s="14" t="n">
        <v>7800423.202172252</v>
      </c>
      <c r="H3716" s="14" t="n">
        <v>3546712.872485561</v>
      </c>
      <c r="I3716" s="14" t="n">
        <v>45735.08854364134</v>
      </c>
      <c r="J3716" s="14" t="n">
        <v>0</v>
      </c>
      <c r="K3716" s="14" t="n">
        <v>94301.86400346944</v>
      </c>
      <c r="L3716" s="14" t="n">
        <v>4113673.377139581</v>
      </c>
      <c r="M3716" s="14" t="n">
        <v>0</v>
      </c>
      <c r="N3716" s="14" t="n">
        <v>3521563.733020648</v>
      </c>
      <c r="O3716" s="14" t="n">
        <v>3696402.065178066</v>
      </c>
      <c r="P3716" s="14" t="n">
        <v>78531.4703449025</v>
      </c>
      <c r="Q3716" s="14" t="n">
        <v>24517414.1576554</v>
      </c>
      <c r="R3716" s="15">
        <f>IF(D3716=1,"Section 1","Control")</f>
        <v/>
      </c>
      <c r="S3716" s="16">
        <f>N3716/10000</f>
        <v/>
      </c>
      <c r="T3716" s="16">
        <f>P3716/10000</f>
        <v/>
      </c>
      <c r="U3716" s="15">
        <f>IF(N3716&gt;=Summary!$D$3,1,0)</f>
        <v/>
      </c>
      <c r="V3716" s="17">
        <f>IF(N3716&gt;0,P3716/N3716,"")</f>
        <v/>
      </c>
      <c r="W3716" s="17">
        <f>IF(O3716&gt;0,H3716/O3716,"")</f>
        <v/>
      </c>
    </row>
    <row r="3717">
      <c r="A3717" s="13" t="inlineStr">
        <is>
          <t>CW42_B3</t>
        </is>
      </c>
      <c r="B3717" s="13" t="inlineStr">
        <is>
          <t>CW42</t>
        </is>
      </c>
      <c r="C3717" s="13" t="inlineStr">
        <is>
          <t>B3</t>
        </is>
      </c>
      <c r="D3717" s="13" t="n">
        <v>0</v>
      </c>
      <c r="E3717" s="13" t="inlineStr">
        <is>
          <t>W</t>
        </is>
      </c>
      <c r="F3717" s="13" t="n">
        <v>2025</v>
      </c>
      <c r="G3717" s="14" t="n">
        <v>7800423.202172252</v>
      </c>
      <c r="H3717" s="14" t="n">
        <v>3521565.450961753</v>
      </c>
      <c r="I3717" s="14" t="n">
        <v>73942.8632168639</v>
      </c>
      <c r="J3717" s="14" t="n">
        <v>0</v>
      </c>
      <c r="K3717" s="14" t="n">
        <v>87687.39515428731</v>
      </c>
      <c r="L3717" s="14" t="n">
        <v>4117227.49283935</v>
      </c>
      <c r="M3717" s="14" t="n">
        <v>0</v>
      </c>
      <c r="N3717" s="14" t="n">
        <v>3521563.733020648</v>
      </c>
      <c r="O3717" s="14" t="n">
        <v>3696402.065178066</v>
      </c>
      <c r="P3717" s="14" t="n">
        <v>100229.4857859593</v>
      </c>
      <c r="Q3717" s="14" t="n">
        <v>24517414.1576554</v>
      </c>
      <c r="R3717" s="15">
        <f>IF(D3717=1,"Section 1","Control")</f>
        <v/>
      </c>
      <c r="S3717" s="16">
        <f>N3717/10000</f>
        <v/>
      </c>
      <c r="T3717" s="16">
        <f>P3717/10000</f>
        <v/>
      </c>
      <c r="U3717" s="15">
        <f>IF(N3717&gt;=Summary!$D$3,1,0)</f>
        <v/>
      </c>
      <c r="V3717" s="17">
        <f>IF(N3717&gt;0,P3717/N3717,"")</f>
        <v/>
      </c>
      <c r="W3717" s="17">
        <f>IF(O3717&gt;0,H3717/O3717,"")</f>
        <v/>
      </c>
    </row>
    <row r="3718">
      <c r="A3718" s="13" t="inlineStr">
        <is>
          <t>CW42_B3</t>
        </is>
      </c>
      <c r="B3718" s="13" t="inlineStr">
        <is>
          <t>CW42</t>
        </is>
      </c>
      <c r="C3718" s="13" t="inlineStr">
        <is>
          <t>B3</t>
        </is>
      </c>
      <c r="D3718" s="13" t="n">
        <v>0</v>
      </c>
      <c r="E3718" s="13" t="inlineStr">
        <is>
          <t>W</t>
        </is>
      </c>
      <c r="F3718" s="13" t="n">
        <v>2026</v>
      </c>
      <c r="G3718" s="14" t="n">
        <v>7800423.202172252</v>
      </c>
      <c r="H3718" s="14" t="n">
        <v>3480593.451328831</v>
      </c>
      <c r="I3718" s="14" t="n">
        <v>88116.60316323674</v>
      </c>
      <c r="J3718" s="14" t="n">
        <v>0</v>
      </c>
      <c r="K3718" s="14" t="n">
        <v>111277.6642221189</v>
      </c>
      <c r="L3718" s="14" t="n">
        <v>4120435.483458065</v>
      </c>
      <c r="M3718" s="14" t="n">
        <v>0</v>
      </c>
      <c r="N3718" s="14" t="n">
        <v>3521563.733020648</v>
      </c>
      <c r="O3718" s="14" t="n">
        <v>3696402.065178066</v>
      </c>
      <c r="P3718" s="14" t="n">
        <v>107961.7855336806</v>
      </c>
      <c r="Q3718" s="14" t="n">
        <v>24517414.1576554</v>
      </c>
      <c r="R3718" s="15">
        <f>IF(D3718=1,"Section 1","Control")</f>
        <v/>
      </c>
      <c r="S3718" s="16">
        <f>N3718/10000</f>
        <v/>
      </c>
      <c r="T3718" s="16">
        <f>P3718/10000</f>
        <v/>
      </c>
      <c r="U3718" s="15">
        <f>IF(N3718&gt;=Summary!$D$3,1,0)</f>
        <v/>
      </c>
      <c r="V3718" s="17">
        <f>IF(N3718&gt;0,P3718/N3718,"")</f>
        <v/>
      </c>
      <c r="W3718" s="17">
        <f>IF(O3718&gt;0,H3718/O3718,"")</f>
        <v/>
      </c>
    </row>
    <row r="3719">
      <c r="A3719" s="13" t="inlineStr">
        <is>
          <t>CW42_F</t>
        </is>
      </c>
      <c r="B3719" s="13" t="inlineStr">
        <is>
          <t>CW42</t>
        </is>
      </c>
      <c r="C3719" s="13" t="inlineStr">
        <is>
          <t>F</t>
        </is>
      </c>
      <c r="D3719" s="13" t="n">
        <v>0</v>
      </c>
      <c r="E3719" s="13" t="inlineStr">
        <is>
          <t>W</t>
        </is>
      </c>
      <c r="F3719" s="13" t="n">
        <v>2020</v>
      </c>
      <c r="G3719" s="14" t="n">
        <v>67561.00057669247</v>
      </c>
      <c r="H3719" s="14" t="n">
        <v>35847.00095244764</v>
      </c>
      <c r="I3719" s="14" t="n">
        <v>30837.84063627954</v>
      </c>
      <c r="J3719" s="14" t="n">
        <v>0</v>
      </c>
      <c r="K3719" s="14" t="n">
        <v>876.1589879653034</v>
      </c>
      <c r="L3719" s="14" t="n">
        <v>0</v>
      </c>
      <c r="M3719" s="14" t="n">
        <v>0</v>
      </c>
      <c r="N3719" s="14" t="n">
        <v>35847.00095244764</v>
      </c>
      <c r="O3719" s="14" t="n">
        <v>67561.00057669247</v>
      </c>
      <c r="P3719" s="14" t="n">
        <v>0</v>
      </c>
      <c r="Q3719" s="14" t="n">
        <v>859822.4441734164</v>
      </c>
      <c r="R3719" s="15">
        <f>IF(D3719=1,"Section 1","Control")</f>
        <v/>
      </c>
      <c r="S3719" s="16">
        <f>N3719/10000</f>
        <v/>
      </c>
      <c r="T3719" s="16">
        <f>P3719/10000</f>
        <v/>
      </c>
      <c r="U3719" s="15">
        <f>IF(N3719&gt;=Summary!$D$3,1,0)</f>
        <v/>
      </c>
      <c r="V3719" s="17">
        <f>IF(N3719&gt;0,P3719/N3719,"")</f>
        <v/>
      </c>
      <c r="W3719" s="17">
        <f>IF(O3719&gt;0,H3719/O3719,"")</f>
        <v/>
      </c>
    </row>
    <row r="3720">
      <c r="A3720" s="13" t="inlineStr">
        <is>
          <t>CW42_F</t>
        </is>
      </c>
      <c r="B3720" s="13" t="inlineStr">
        <is>
          <t>CW42</t>
        </is>
      </c>
      <c r="C3720" s="13" t="inlineStr">
        <is>
          <t>F</t>
        </is>
      </c>
      <c r="D3720" s="13" t="n">
        <v>0</v>
      </c>
      <c r="E3720" s="13" t="inlineStr">
        <is>
          <t>W</t>
        </is>
      </c>
      <c r="F3720" s="13" t="n">
        <v>2021</v>
      </c>
      <c r="G3720" s="14" t="n">
        <v>67561.00057669247</v>
      </c>
      <c r="H3720" s="14" t="n">
        <v>37601.64005668492</v>
      </c>
      <c r="I3720" s="14" t="n">
        <v>26983.98209793988</v>
      </c>
      <c r="J3720" s="14" t="n">
        <v>0</v>
      </c>
      <c r="K3720" s="14" t="n">
        <v>2975.37842206768</v>
      </c>
      <c r="L3720" s="14" t="n">
        <v>0</v>
      </c>
      <c r="M3720" s="14" t="n">
        <v>0</v>
      </c>
      <c r="N3720" s="14" t="n">
        <v>35847.00095244764</v>
      </c>
      <c r="O3720" s="14" t="n">
        <v>67561.00057669247</v>
      </c>
      <c r="P3720" s="14" t="n">
        <v>2029.529546730191</v>
      </c>
      <c r="Q3720" s="14" t="n">
        <v>859822.4441734164</v>
      </c>
      <c r="R3720" s="15">
        <f>IF(D3720=1,"Section 1","Control")</f>
        <v/>
      </c>
      <c r="S3720" s="16">
        <f>N3720/10000</f>
        <v/>
      </c>
      <c r="T3720" s="16">
        <f>P3720/10000</f>
        <v/>
      </c>
      <c r="U3720" s="15">
        <f>IF(N3720&gt;=Summary!$D$3,1,0)</f>
        <v/>
      </c>
      <c r="V3720" s="17">
        <f>IF(N3720&gt;0,P3720/N3720,"")</f>
        <v/>
      </c>
      <c r="W3720" s="17">
        <f>IF(O3720&gt;0,H3720/O3720,"")</f>
        <v/>
      </c>
    </row>
    <row r="3721">
      <c r="A3721" s="13" t="inlineStr">
        <is>
          <t>CW42_F</t>
        </is>
      </c>
      <c r="B3721" s="13" t="inlineStr">
        <is>
          <t>CW42</t>
        </is>
      </c>
      <c r="C3721" s="13" t="inlineStr">
        <is>
          <t>F</t>
        </is>
      </c>
      <c r="D3721" s="13" t="n">
        <v>0</v>
      </c>
      <c r="E3721" s="13" t="inlineStr">
        <is>
          <t>W</t>
        </is>
      </c>
      <c r="F3721" s="13" t="n">
        <v>2022</v>
      </c>
      <c r="G3721" s="14" t="n">
        <v>67561.00057669247</v>
      </c>
      <c r="H3721" s="14" t="n">
        <v>43675.12641903748</v>
      </c>
      <c r="I3721" s="14" t="n">
        <v>21246.16944870295</v>
      </c>
      <c r="J3721" s="14" t="n">
        <v>0</v>
      </c>
      <c r="K3721" s="14" t="n">
        <v>2639.704708952062</v>
      </c>
      <c r="L3721" s="14" t="n">
        <v>0</v>
      </c>
      <c r="M3721" s="14" t="n">
        <v>0</v>
      </c>
      <c r="N3721" s="14" t="n">
        <v>35847.00095244764</v>
      </c>
      <c r="O3721" s="14" t="n">
        <v>67561.00057669247</v>
      </c>
      <c r="P3721" s="14" t="n">
        <v>1375.604433276606</v>
      </c>
      <c r="Q3721" s="14" t="n">
        <v>859822.4441734164</v>
      </c>
      <c r="R3721" s="15">
        <f>IF(D3721=1,"Section 1","Control")</f>
        <v/>
      </c>
      <c r="S3721" s="16">
        <f>N3721/10000</f>
        <v/>
      </c>
      <c r="T3721" s="16">
        <f>P3721/10000</f>
        <v/>
      </c>
      <c r="U3721" s="15">
        <f>IF(N3721&gt;=Summary!$D$3,1,0)</f>
        <v/>
      </c>
      <c r="V3721" s="17">
        <f>IF(N3721&gt;0,P3721/N3721,"")</f>
        <v/>
      </c>
      <c r="W3721" s="17">
        <f>IF(O3721&gt;0,H3721/O3721,"")</f>
        <v/>
      </c>
    </row>
    <row r="3722">
      <c r="A3722" s="13" t="inlineStr">
        <is>
          <t>CW42_F</t>
        </is>
      </c>
      <c r="B3722" s="13" t="inlineStr">
        <is>
          <t>CW42</t>
        </is>
      </c>
      <c r="C3722" s="13" t="inlineStr">
        <is>
          <t>F</t>
        </is>
      </c>
      <c r="D3722" s="13" t="n">
        <v>0</v>
      </c>
      <c r="E3722" s="13" t="inlineStr">
        <is>
          <t>W</t>
        </is>
      </c>
      <c r="F3722" s="13" t="n">
        <v>2023</v>
      </c>
      <c r="G3722" s="14" t="n">
        <v>67561.00057669247</v>
      </c>
      <c r="H3722" s="14" t="n">
        <v>44684.85697000542</v>
      </c>
      <c r="I3722" s="14" t="n">
        <v>20936.04964620553</v>
      </c>
      <c r="J3722" s="14" t="n">
        <v>0</v>
      </c>
      <c r="K3722" s="14" t="n">
        <v>1940.093960481532</v>
      </c>
      <c r="L3722" s="14" t="n">
        <v>0</v>
      </c>
      <c r="M3722" s="14" t="n">
        <v>0</v>
      </c>
      <c r="N3722" s="14" t="n">
        <v>35847.00095244764</v>
      </c>
      <c r="O3722" s="14" t="n">
        <v>67561.00057669247</v>
      </c>
      <c r="P3722" s="14" t="n">
        <v>1733.733875379375</v>
      </c>
      <c r="Q3722" s="14" t="n">
        <v>859822.4441734164</v>
      </c>
      <c r="R3722" s="15">
        <f>IF(D3722=1,"Section 1","Control")</f>
        <v/>
      </c>
      <c r="S3722" s="16">
        <f>N3722/10000</f>
        <v/>
      </c>
      <c r="T3722" s="16">
        <f>P3722/10000</f>
        <v/>
      </c>
      <c r="U3722" s="15">
        <f>IF(N3722&gt;=Summary!$D$3,1,0)</f>
        <v/>
      </c>
      <c r="V3722" s="17">
        <f>IF(N3722&gt;0,P3722/N3722,"")</f>
        <v/>
      </c>
      <c r="W3722" s="17">
        <f>IF(O3722&gt;0,H3722/O3722,"")</f>
        <v/>
      </c>
    </row>
    <row r="3723">
      <c r="A3723" s="13" t="inlineStr">
        <is>
          <t>CW42_F</t>
        </is>
      </c>
      <c r="B3723" s="13" t="inlineStr">
        <is>
          <t>CW42</t>
        </is>
      </c>
      <c r="C3723" s="13" t="inlineStr">
        <is>
          <t>F</t>
        </is>
      </c>
      <c r="D3723" s="13" t="n">
        <v>0</v>
      </c>
      <c r="E3723" s="13" t="inlineStr">
        <is>
          <t>W</t>
        </is>
      </c>
      <c r="F3723" s="13" t="n">
        <v>2024</v>
      </c>
      <c r="G3723" s="14" t="n">
        <v>67561.00057669247</v>
      </c>
      <c r="H3723" s="14" t="n">
        <v>51360.00081727272</v>
      </c>
      <c r="I3723" s="14" t="n">
        <v>13919.03729843439</v>
      </c>
      <c r="J3723" s="14" t="n">
        <v>0</v>
      </c>
      <c r="K3723" s="14" t="n">
        <v>2281.962460985371</v>
      </c>
      <c r="L3723" s="14" t="n">
        <v>0</v>
      </c>
      <c r="M3723" s="14" t="n">
        <v>0</v>
      </c>
      <c r="N3723" s="14" t="n">
        <v>35847.00095244764</v>
      </c>
      <c r="O3723" s="14" t="n">
        <v>67561.00057669247</v>
      </c>
      <c r="P3723" s="14" t="n">
        <v>1473.944838879155</v>
      </c>
      <c r="Q3723" s="14" t="n">
        <v>859822.4441734164</v>
      </c>
      <c r="R3723" s="15">
        <f>IF(D3723=1,"Section 1","Control")</f>
        <v/>
      </c>
      <c r="S3723" s="16">
        <f>N3723/10000</f>
        <v/>
      </c>
      <c r="T3723" s="16">
        <f>P3723/10000</f>
        <v/>
      </c>
      <c r="U3723" s="15">
        <f>IF(N3723&gt;=Summary!$D$3,1,0)</f>
        <v/>
      </c>
      <c r="V3723" s="17">
        <f>IF(N3723&gt;0,P3723/N3723,"")</f>
        <v/>
      </c>
      <c r="W3723" s="17">
        <f>IF(O3723&gt;0,H3723/O3723,"")</f>
        <v/>
      </c>
    </row>
    <row r="3724">
      <c r="A3724" s="13" t="inlineStr">
        <is>
          <t>CW42_F</t>
        </is>
      </c>
      <c r="B3724" s="13" t="inlineStr">
        <is>
          <t>CW42</t>
        </is>
      </c>
      <c r="C3724" s="13" t="inlineStr">
        <is>
          <t>F</t>
        </is>
      </c>
      <c r="D3724" s="13" t="n">
        <v>0</v>
      </c>
      <c r="E3724" s="13" t="inlineStr">
        <is>
          <t>W</t>
        </is>
      </c>
      <c r="F3724" s="13" t="n">
        <v>2025</v>
      </c>
      <c r="G3724" s="14" t="n">
        <v>67561.00057669247</v>
      </c>
      <c r="H3724" s="14" t="n">
        <v>37226.86350875557</v>
      </c>
      <c r="I3724" s="14" t="n">
        <v>28708.80985206154</v>
      </c>
      <c r="J3724" s="14" t="n">
        <v>0</v>
      </c>
      <c r="K3724" s="14" t="n">
        <v>1625.327215875364</v>
      </c>
      <c r="L3724" s="14" t="n">
        <v>0</v>
      </c>
      <c r="M3724" s="14" t="n">
        <v>0</v>
      </c>
      <c r="N3724" s="14" t="n">
        <v>35847.00095244764</v>
      </c>
      <c r="O3724" s="14" t="n">
        <v>67561.00057669247</v>
      </c>
      <c r="P3724" s="14" t="n">
        <v>2251.763117292815</v>
      </c>
      <c r="Q3724" s="14" t="n">
        <v>859822.4441734164</v>
      </c>
      <c r="R3724" s="15">
        <f>IF(D3724=1,"Section 1","Control")</f>
        <v/>
      </c>
      <c r="S3724" s="16">
        <f>N3724/10000</f>
        <v/>
      </c>
      <c r="T3724" s="16">
        <f>P3724/10000</f>
        <v/>
      </c>
      <c r="U3724" s="15">
        <f>IF(N3724&gt;=Summary!$D$3,1,0)</f>
        <v/>
      </c>
      <c r="V3724" s="17">
        <f>IF(N3724&gt;0,P3724/N3724,"")</f>
        <v/>
      </c>
      <c r="W3724" s="17">
        <f>IF(O3724&gt;0,H3724/O3724,"")</f>
        <v/>
      </c>
    </row>
    <row r="3725">
      <c r="A3725" s="13" t="inlineStr">
        <is>
          <t>CW42_F</t>
        </is>
      </c>
      <c r="B3725" s="13" t="inlineStr">
        <is>
          <t>CW42</t>
        </is>
      </c>
      <c r="C3725" s="13" t="inlineStr">
        <is>
          <t>F</t>
        </is>
      </c>
      <c r="D3725" s="13" t="n">
        <v>0</v>
      </c>
      <c r="E3725" s="13" t="inlineStr">
        <is>
          <t>W</t>
        </is>
      </c>
      <c r="F3725" s="13" t="n">
        <v>2026</v>
      </c>
      <c r="G3725" s="14" t="n">
        <v>67561.00057669249</v>
      </c>
      <c r="H3725" s="14" t="n">
        <v>48800.0536685121</v>
      </c>
      <c r="I3725" s="14" t="n">
        <v>16627.65655194451</v>
      </c>
      <c r="J3725" s="14" t="n">
        <v>0</v>
      </c>
      <c r="K3725" s="14" t="n">
        <v>2133.290356235878</v>
      </c>
      <c r="L3725" s="14" t="n">
        <v>0</v>
      </c>
      <c r="M3725" s="14" t="n">
        <v>0</v>
      </c>
      <c r="N3725" s="14" t="n">
        <v>35847.00095244765</v>
      </c>
      <c r="O3725" s="14" t="n">
        <v>67561.00057669249</v>
      </c>
      <c r="P3725" s="14" t="n">
        <v>1178.923580304314</v>
      </c>
      <c r="Q3725" s="14" t="n">
        <v>859822.4441734164</v>
      </c>
      <c r="R3725" s="15">
        <f>IF(D3725=1,"Section 1","Control")</f>
        <v/>
      </c>
      <c r="S3725" s="16">
        <f>N3725/10000</f>
        <v/>
      </c>
      <c r="T3725" s="16">
        <f>P3725/10000</f>
        <v/>
      </c>
      <c r="U3725" s="15">
        <f>IF(N3725&gt;=Summary!$D$3,1,0)</f>
        <v/>
      </c>
      <c r="V3725" s="17">
        <f>IF(N3725&gt;0,P3725/N3725,"")</f>
        <v/>
      </c>
      <c r="W3725" s="17">
        <f>IF(O3725&gt;0,H3725/O3725,"")</f>
        <v/>
      </c>
    </row>
    <row r="3726">
      <c r="A3726" s="13" t="inlineStr">
        <is>
          <t>CW43_B1</t>
        </is>
      </c>
      <c r="B3726" s="13" t="inlineStr">
        <is>
          <t>CW43</t>
        </is>
      </c>
      <c r="C3726" s="13" t="inlineStr">
        <is>
          <t>B1</t>
        </is>
      </c>
      <c r="D3726" s="13" t="n">
        <v>0</v>
      </c>
      <c r="E3726" s="13" t="inlineStr">
        <is>
          <t>W</t>
        </is>
      </c>
      <c r="F3726" s="13" t="n">
        <v>2020</v>
      </c>
      <c r="G3726" s="14" t="n">
        <v>1001028.591892407</v>
      </c>
      <c r="H3726" s="14" t="n">
        <v>383740.5692437864</v>
      </c>
      <c r="I3726" s="14" t="n">
        <v>164408.9983450796</v>
      </c>
      <c r="J3726" s="14" t="n">
        <v>0</v>
      </c>
      <c r="K3726" s="14" t="n">
        <v>42451.9914556466</v>
      </c>
      <c r="L3726" s="14" t="n">
        <v>410427.0328478945</v>
      </c>
      <c r="M3726" s="14" t="n">
        <v>0</v>
      </c>
      <c r="N3726" s="14" t="n">
        <v>383740.5692437864</v>
      </c>
      <c r="O3726" s="14" t="n">
        <v>590601.5590445128</v>
      </c>
      <c r="P3726" s="14" t="n">
        <v>0</v>
      </c>
      <c r="Q3726" s="14" t="n">
        <v>4908971.910912786</v>
      </c>
      <c r="R3726" s="15">
        <f>IF(D3726=1,"Section 1","Control")</f>
        <v/>
      </c>
      <c r="S3726" s="16">
        <f>N3726/10000</f>
        <v/>
      </c>
      <c r="T3726" s="16">
        <f>P3726/10000</f>
        <v/>
      </c>
      <c r="U3726" s="15">
        <f>IF(N3726&gt;=Summary!$D$3,1,0)</f>
        <v/>
      </c>
      <c r="V3726" s="17">
        <f>IF(N3726&gt;0,P3726/N3726,"")</f>
        <v/>
      </c>
      <c r="W3726" s="17">
        <f>IF(O3726&gt;0,H3726/O3726,"")</f>
        <v/>
      </c>
    </row>
    <row r="3727">
      <c r="A3727" s="13" t="inlineStr">
        <is>
          <t>CW43_B1</t>
        </is>
      </c>
      <c r="B3727" s="13" t="inlineStr">
        <is>
          <t>CW43</t>
        </is>
      </c>
      <c r="C3727" s="13" t="inlineStr">
        <is>
          <t>B1</t>
        </is>
      </c>
      <c r="D3727" s="13" t="n">
        <v>0</v>
      </c>
      <c r="E3727" s="13" t="inlineStr">
        <is>
          <t>W</t>
        </is>
      </c>
      <c r="F3727" s="13" t="n">
        <v>2021</v>
      </c>
      <c r="G3727" s="14" t="n">
        <v>1001028.591892407</v>
      </c>
      <c r="H3727" s="14" t="n">
        <v>360162.093959943</v>
      </c>
      <c r="I3727" s="14" t="n">
        <v>165498.9468354468</v>
      </c>
      <c r="J3727" s="14" t="n">
        <v>0</v>
      </c>
      <c r="K3727" s="14" t="n">
        <v>90178.36439370547</v>
      </c>
      <c r="L3727" s="14" t="n">
        <v>385189.1867033117</v>
      </c>
      <c r="M3727" s="14" t="n">
        <v>0</v>
      </c>
      <c r="N3727" s="14" t="n">
        <v>383740.5692437864</v>
      </c>
      <c r="O3727" s="14" t="n">
        <v>590601.5590445128</v>
      </c>
      <c r="P3727" s="14" t="n">
        <v>32601.382359673</v>
      </c>
      <c r="Q3727" s="14" t="n">
        <v>4908971.910912786</v>
      </c>
      <c r="R3727" s="15">
        <f>IF(D3727=1,"Section 1","Control")</f>
        <v/>
      </c>
      <c r="S3727" s="16">
        <f>N3727/10000</f>
        <v/>
      </c>
      <c r="T3727" s="16">
        <f>P3727/10000</f>
        <v/>
      </c>
      <c r="U3727" s="15">
        <f>IF(N3727&gt;=Summary!$D$3,1,0)</f>
        <v/>
      </c>
      <c r="V3727" s="17">
        <f>IF(N3727&gt;0,P3727/N3727,"")</f>
        <v/>
      </c>
      <c r="W3727" s="17">
        <f>IF(O3727&gt;0,H3727/O3727,"")</f>
        <v/>
      </c>
    </row>
    <row r="3728">
      <c r="A3728" s="13" t="inlineStr">
        <is>
          <t>CW43_B1</t>
        </is>
      </c>
      <c r="B3728" s="13" t="inlineStr">
        <is>
          <t>CW43</t>
        </is>
      </c>
      <c r="C3728" s="13" t="inlineStr">
        <is>
          <t>B1</t>
        </is>
      </c>
      <c r="D3728" s="13" t="n">
        <v>0</v>
      </c>
      <c r="E3728" s="13" t="inlineStr">
        <is>
          <t>W</t>
        </is>
      </c>
      <c r="F3728" s="13" t="n">
        <v>2022</v>
      </c>
      <c r="G3728" s="14" t="n">
        <v>1001028.591892407</v>
      </c>
      <c r="H3728" s="14" t="n">
        <v>359548.0484942866</v>
      </c>
      <c r="I3728" s="14" t="n">
        <v>169417.8480872958</v>
      </c>
      <c r="J3728" s="14" t="n">
        <v>0</v>
      </c>
      <c r="K3728" s="14" t="n">
        <v>92703.80584725772</v>
      </c>
      <c r="L3728" s="14" t="n">
        <v>379358.8894635669</v>
      </c>
      <c r="M3728" s="14" t="n">
        <v>0</v>
      </c>
      <c r="N3728" s="14" t="n">
        <v>383740.5692437864</v>
      </c>
      <c r="O3728" s="14" t="n">
        <v>590601.5590445128</v>
      </c>
      <c r="P3728" s="14" t="n">
        <v>33698.22719594918</v>
      </c>
      <c r="Q3728" s="14" t="n">
        <v>4908971.910912786</v>
      </c>
      <c r="R3728" s="15">
        <f>IF(D3728=1,"Section 1","Control")</f>
        <v/>
      </c>
      <c r="S3728" s="16">
        <f>N3728/10000</f>
        <v/>
      </c>
      <c r="T3728" s="16">
        <f>P3728/10000</f>
        <v/>
      </c>
      <c r="U3728" s="15">
        <f>IF(N3728&gt;=Summary!$D$3,1,0)</f>
        <v/>
      </c>
      <c r="V3728" s="17">
        <f>IF(N3728&gt;0,P3728/N3728,"")</f>
        <v/>
      </c>
      <c r="W3728" s="17">
        <f>IF(O3728&gt;0,H3728/O3728,"")</f>
        <v/>
      </c>
    </row>
    <row r="3729">
      <c r="A3729" s="13" t="inlineStr">
        <is>
          <t>CW43_B1</t>
        </is>
      </c>
      <c r="B3729" s="13" t="inlineStr">
        <is>
          <t>CW43</t>
        </is>
      </c>
      <c r="C3729" s="13" t="inlineStr">
        <is>
          <t>B1</t>
        </is>
      </c>
      <c r="D3729" s="13" t="n">
        <v>0</v>
      </c>
      <c r="E3729" s="13" t="inlineStr">
        <is>
          <t>W</t>
        </is>
      </c>
      <c r="F3729" s="13" t="n">
        <v>2023</v>
      </c>
      <c r="G3729" s="14" t="n">
        <v>1001028.591892407</v>
      </c>
      <c r="H3729" s="14" t="n">
        <v>357098.8396744373</v>
      </c>
      <c r="I3729" s="14" t="n">
        <v>150620.0408016728</v>
      </c>
      <c r="J3729" s="14" t="n">
        <v>0</v>
      </c>
      <c r="K3729" s="14" t="n">
        <v>70372.56147721234</v>
      </c>
      <c r="L3729" s="14" t="n">
        <v>422937.1499390845</v>
      </c>
      <c r="M3729" s="14" t="n">
        <v>0</v>
      </c>
      <c r="N3729" s="14" t="n">
        <v>383740.5692437864</v>
      </c>
      <c r="O3729" s="14" t="n">
        <v>590601.5590445128</v>
      </c>
      <c r="P3729" s="14" t="n">
        <v>36719.28172149658</v>
      </c>
      <c r="Q3729" s="14" t="n">
        <v>4908971.910912786</v>
      </c>
      <c r="R3729" s="15">
        <f>IF(D3729=1,"Section 1","Control")</f>
        <v/>
      </c>
      <c r="S3729" s="16">
        <f>N3729/10000</f>
        <v/>
      </c>
      <c r="T3729" s="16">
        <f>P3729/10000</f>
        <v/>
      </c>
      <c r="U3729" s="15">
        <f>IF(N3729&gt;=Summary!$D$3,1,0)</f>
        <v/>
      </c>
      <c r="V3729" s="17">
        <f>IF(N3729&gt;0,P3729/N3729,"")</f>
        <v/>
      </c>
      <c r="W3729" s="17">
        <f>IF(O3729&gt;0,H3729/O3729,"")</f>
        <v/>
      </c>
    </row>
    <row r="3730">
      <c r="A3730" s="13" t="inlineStr">
        <is>
          <t>CW43_B1</t>
        </is>
      </c>
      <c r="B3730" s="13" t="inlineStr">
        <is>
          <t>CW43</t>
        </is>
      </c>
      <c r="C3730" s="13" t="inlineStr">
        <is>
          <t>B1</t>
        </is>
      </c>
      <c r="D3730" s="13" t="n">
        <v>0</v>
      </c>
      <c r="E3730" s="13" t="inlineStr">
        <is>
          <t>W</t>
        </is>
      </c>
      <c r="F3730" s="13" t="n">
        <v>2024</v>
      </c>
      <c r="G3730" s="14" t="n">
        <v>1001028.591892407</v>
      </c>
      <c r="H3730" s="14" t="n">
        <v>362571.4475315767</v>
      </c>
      <c r="I3730" s="14" t="n">
        <v>147600.9212046305</v>
      </c>
      <c r="J3730" s="14" t="n">
        <v>0</v>
      </c>
      <c r="K3730" s="14" t="n">
        <v>81899.23828020283</v>
      </c>
      <c r="L3730" s="14" t="n">
        <v>408956.9848759969</v>
      </c>
      <c r="M3730" s="14" t="n">
        <v>0</v>
      </c>
      <c r="N3730" s="14" t="n">
        <v>383740.5692437864</v>
      </c>
      <c r="O3730" s="14" t="n">
        <v>590601.5590445128</v>
      </c>
      <c r="P3730" s="14" t="n">
        <v>35040.91174926757</v>
      </c>
      <c r="Q3730" s="14" t="n">
        <v>4908971.910912786</v>
      </c>
      <c r="R3730" s="15">
        <f>IF(D3730=1,"Section 1","Control")</f>
        <v/>
      </c>
      <c r="S3730" s="16">
        <f>N3730/10000</f>
        <v/>
      </c>
      <c r="T3730" s="16">
        <f>P3730/10000</f>
        <v/>
      </c>
      <c r="U3730" s="15">
        <f>IF(N3730&gt;=Summary!$D$3,1,0)</f>
        <v/>
      </c>
      <c r="V3730" s="17">
        <f>IF(N3730&gt;0,P3730/N3730,"")</f>
        <v/>
      </c>
      <c r="W3730" s="17">
        <f>IF(O3730&gt;0,H3730/O3730,"")</f>
        <v/>
      </c>
    </row>
    <row r="3731">
      <c r="A3731" s="13" t="inlineStr">
        <is>
          <t>CW43_B1</t>
        </is>
      </c>
      <c r="B3731" s="13" t="inlineStr">
        <is>
          <t>CW43</t>
        </is>
      </c>
      <c r="C3731" s="13" t="inlineStr">
        <is>
          <t>B1</t>
        </is>
      </c>
      <c r="D3731" s="13" t="n">
        <v>0</v>
      </c>
      <c r="E3731" s="13" t="inlineStr">
        <is>
          <t>W</t>
        </is>
      </c>
      <c r="F3731" s="13" t="n">
        <v>2025</v>
      </c>
      <c r="G3731" s="14" t="n">
        <v>1001028.591892407</v>
      </c>
      <c r="H3731" s="14" t="n">
        <v>346639.1512601367</v>
      </c>
      <c r="I3731" s="14" t="n">
        <v>171022.1770369884</v>
      </c>
      <c r="J3731" s="14" t="n">
        <v>0</v>
      </c>
      <c r="K3731" s="14" t="n">
        <v>69449.11953531901</v>
      </c>
      <c r="L3731" s="14" t="n">
        <v>413918.1440599629</v>
      </c>
      <c r="M3731" s="14" t="n">
        <v>0</v>
      </c>
      <c r="N3731" s="14" t="n">
        <v>383740.5692437864</v>
      </c>
      <c r="O3731" s="14" t="n">
        <v>590601.5590445128</v>
      </c>
      <c r="P3731" s="14" t="n">
        <v>45813.04937367159</v>
      </c>
      <c r="Q3731" s="14" t="n">
        <v>4908971.910912786</v>
      </c>
      <c r="R3731" s="15">
        <f>IF(D3731=1,"Section 1","Control")</f>
        <v/>
      </c>
      <c r="S3731" s="16">
        <f>N3731/10000</f>
        <v/>
      </c>
      <c r="T3731" s="16">
        <f>P3731/10000</f>
        <v/>
      </c>
      <c r="U3731" s="15">
        <f>IF(N3731&gt;=Summary!$D$3,1,0)</f>
        <v/>
      </c>
      <c r="V3731" s="17">
        <f>IF(N3731&gt;0,P3731/N3731,"")</f>
        <v/>
      </c>
      <c r="W3731" s="17">
        <f>IF(O3731&gt;0,H3731/O3731,"")</f>
        <v/>
      </c>
    </row>
    <row r="3732">
      <c r="A3732" s="13" t="inlineStr">
        <is>
          <t>CW43_B1</t>
        </is>
      </c>
      <c r="B3732" s="13" t="inlineStr">
        <is>
          <t>CW43</t>
        </is>
      </c>
      <c r="C3732" s="13" t="inlineStr">
        <is>
          <t>B1</t>
        </is>
      </c>
      <c r="D3732" s="13" t="n">
        <v>0</v>
      </c>
      <c r="E3732" s="13" t="inlineStr">
        <is>
          <t>W</t>
        </is>
      </c>
      <c r="F3732" s="13" t="n">
        <v>2026</v>
      </c>
      <c r="G3732" s="14" t="n">
        <v>1001028.591892407</v>
      </c>
      <c r="H3732" s="14" t="n">
        <v>356513.0611577053</v>
      </c>
      <c r="I3732" s="14" t="n">
        <v>161970.6438172882</v>
      </c>
      <c r="J3732" s="14" t="n">
        <v>0</v>
      </c>
      <c r="K3732" s="14" t="n">
        <v>61814.6051468793</v>
      </c>
      <c r="L3732" s="14" t="n">
        <v>420730.2817705342</v>
      </c>
      <c r="M3732" s="14" t="n">
        <v>0</v>
      </c>
      <c r="N3732" s="14" t="n">
        <v>383740.5692437864</v>
      </c>
      <c r="O3732" s="14" t="n">
        <v>590601.5590445128</v>
      </c>
      <c r="P3732" s="14" t="n">
        <v>40051.23307378432</v>
      </c>
      <c r="Q3732" s="14" t="n">
        <v>4908971.910912786</v>
      </c>
      <c r="R3732" s="15">
        <f>IF(D3732=1,"Section 1","Control")</f>
        <v/>
      </c>
      <c r="S3732" s="16">
        <f>N3732/10000</f>
        <v/>
      </c>
      <c r="T3732" s="16">
        <f>P3732/10000</f>
        <v/>
      </c>
      <c r="U3732" s="15">
        <f>IF(N3732&gt;=Summary!$D$3,1,0)</f>
        <v/>
      </c>
      <c r="V3732" s="17">
        <f>IF(N3732&gt;0,P3732/N3732,"")</f>
        <v/>
      </c>
      <c r="W3732" s="17">
        <f>IF(O3732&gt;0,H3732/O3732,"")</f>
        <v/>
      </c>
    </row>
    <row r="3733">
      <c r="A3733" s="13" t="inlineStr">
        <is>
          <t>CW43_B2</t>
        </is>
      </c>
      <c r="B3733" s="13" t="inlineStr">
        <is>
          <t>CW43</t>
        </is>
      </c>
      <c r="C3733" s="13" t="inlineStr">
        <is>
          <t>B2</t>
        </is>
      </c>
      <c r="D3733" s="13" t="n">
        <v>0</v>
      </c>
      <c r="E3733" s="13" t="inlineStr">
        <is>
          <t>W</t>
        </is>
      </c>
      <c r="F3733" s="13" t="n">
        <v>2020</v>
      </c>
      <c r="G3733" s="14" t="n">
        <v>1001302.699178988</v>
      </c>
      <c r="H3733" s="14" t="n">
        <v>207432.1278720932</v>
      </c>
      <c r="I3733" s="14" t="n">
        <v>8878.7478708903</v>
      </c>
      <c r="J3733" s="14" t="n">
        <v>0</v>
      </c>
      <c r="K3733" s="14" t="n">
        <v>35378.3751248528</v>
      </c>
      <c r="L3733" s="14" t="n">
        <v>749613.4483111515</v>
      </c>
      <c r="M3733" s="14" t="n">
        <v>0</v>
      </c>
      <c r="N3733" s="14" t="n">
        <v>207432.1278720932</v>
      </c>
      <c r="O3733" s="14" t="n">
        <v>251689.2508678363</v>
      </c>
      <c r="P3733" s="14" t="n">
        <v>0</v>
      </c>
      <c r="Q3733" s="14" t="n">
        <v>1726223.067976499</v>
      </c>
      <c r="R3733" s="15">
        <f>IF(D3733=1,"Section 1","Control")</f>
        <v/>
      </c>
      <c r="S3733" s="16">
        <f>N3733/10000</f>
        <v/>
      </c>
      <c r="T3733" s="16">
        <f>P3733/10000</f>
        <v/>
      </c>
      <c r="U3733" s="15">
        <f>IF(N3733&gt;=Summary!$D$3,1,0)</f>
        <v/>
      </c>
      <c r="V3733" s="17">
        <f>IF(N3733&gt;0,P3733/N3733,"")</f>
        <v/>
      </c>
      <c r="W3733" s="17">
        <f>IF(O3733&gt;0,H3733/O3733,"")</f>
        <v/>
      </c>
    </row>
    <row r="3734">
      <c r="A3734" s="13" t="inlineStr">
        <is>
          <t>CW43_B2</t>
        </is>
      </c>
      <c r="B3734" s="13" t="inlineStr">
        <is>
          <t>CW43</t>
        </is>
      </c>
      <c r="C3734" s="13" t="inlineStr">
        <is>
          <t>B2</t>
        </is>
      </c>
      <c r="D3734" s="13" t="n">
        <v>0</v>
      </c>
      <c r="E3734" s="13" t="inlineStr">
        <is>
          <t>W</t>
        </is>
      </c>
      <c r="F3734" s="13" t="n">
        <v>2021</v>
      </c>
      <c r="G3734" s="14" t="n">
        <v>1001302.699178988</v>
      </c>
      <c r="H3734" s="14" t="n">
        <v>204275.2171080048</v>
      </c>
      <c r="I3734" s="14" t="n">
        <v>10168.76824951172</v>
      </c>
      <c r="J3734" s="14" t="n">
        <v>0</v>
      </c>
      <c r="K3734" s="14" t="n">
        <v>42052.65183664957</v>
      </c>
      <c r="L3734" s="14" t="n">
        <v>744806.0619848216</v>
      </c>
      <c r="M3734" s="14" t="n">
        <v>0</v>
      </c>
      <c r="N3734" s="14" t="n">
        <v>207432.1278720932</v>
      </c>
      <c r="O3734" s="14" t="n">
        <v>251689.2508678362</v>
      </c>
      <c r="P3734" s="14" t="n">
        <v>7889.171704131481</v>
      </c>
      <c r="Q3734" s="14" t="n">
        <v>1726223.067976499</v>
      </c>
      <c r="R3734" s="15">
        <f>IF(D3734=1,"Section 1","Control")</f>
        <v/>
      </c>
      <c r="S3734" s="16">
        <f>N3734/10000</f>
        <v/>
      </c>
      <c r="T3734" s="16">
        <f>P3734/10000</f>
        <v/>
      </c>
      <c r="U3734" s="15">
        <f>IF(N3734&gt;=Summary!$D$3,1,0)</f>
        <v/>
      </c>
      <c r="V3734" s="17">
        <f>IF(N3734&gt;0,P3734/N3734,"")</f>
        <v/>
      </c>
      <c r="W3734" s="17">
        <f>IF(O3734&gt;0,H3734/O3734,"")</f>
        <v/>
      </c>
    </row>
    <row r="3735">
      <c r="A3735" s="13" t="inlineStr">
        <is>
          <t>CW43_B2</t>
        </is>
      </c>
      <c r="B3735" s="13" t="inlineStr">
        <is>
          <t>CW43</t>
        </is>
      </c>
      <c r="C3735" s="13" t="inlineStr">
        <is>
          <t>B2</t>
        </is>
      </c>
      <c r="D3735" s="13" t="n">
        <v>0</v>
      </c>
      <c r="E3735" s="13" t="inlineStr">
        <is>
          <t>W</t>
        </is>
      </c>
      <c r="F3735" s="13" t="n">
        <v>2022</v>
      </c>
      <c r="G3735" s="14" t="n">
        <v>1001302.699178988</v>
      </c>
      <c r="H3735" s="14" t="n">
        <v>205558.6510908539</v>
      </c>
      <c r="I3735" s="14" t="n">
        <v>9779.282534101898</v>
      </c>
      <c r="J3735" s="14" t="n">
        <v>0</v>
      </c>
      <c r="K3735" s="14" t="n">
        <v>41664.34172234629</v>
      </c>
      <c r="L3735" s="14" t="n">
        <v>744300.4238316856</v>
      </c>
      <c r="M3735" s="14" t="n">
        <v>0</v>
      </c>
      <c r="N3735" s="14" t="n">
        <v>207432.1278720932</v>
      </c>
      <c r="O3735" s="14" t="n">
        <v>251689.2508678362</v>
      </c>
      <c r="P3735" s="14" t="n">
        <v>7592.995930510877</v>
      </c>
      <c r="Q3735" s="14" t="n">
        <v>1726223.067976499</v>
      </c>
      <c r="R3735" s="15">
        <f>IF(D3735=1,"Section 1","Control")</f>
        <v/>
      </c>
      <c r="S3735" s="16">
        <f>N3735/10000</f>
        <v/>
      </c>
      <c r="T3735" s="16">
        <f>P3735/10000</f>
        <v/>
      </c>
      <c r="U3735" s="15">
        <f>IF(N3735&gt;=Summary!$D$3,1,0)</f>
        <v/>
      </c>
      <c r="V3735" s="17">
        <f>IF(N3735&gt;0,P3735/N3735,"")</f>
        <v/>
      </c>
      <c r="W3735" s="17">
        <f>IF(O3735&gt;0,H3735/O3735,"")</f>
        <v/>
      </c>
    </row>
    <row r="3736">
      <c r="A3736" s="13" t="inlineStr">
        <is>
          <t>CW43_B2</t>
        </is>
      </c>
      <c r="B3736" s="13" t="inlineStr">
        <is>
          <t>CW43</t>
        </is>
      </c>
      <c r="C3736" s="13" t="inlineStr">
        <is>
          <t>B2</t>
        </is>
      </c>
      <c r="D3736" s="13" t="n">
        <v>0</v>
      </c>
      <c r="E3736" s="13" t="inlineStr">
        <is>
          <t>W</t>
        </is>
      </c>
      <c r="F3736" s="13" t="n">
        <v>2023</v>
      </c>
      <c r="G3736" s="14" t="n">
        <v>1001302.699178988</v>
      </c>
      <c r="H3736" s="14" t="n">
        <v>204887.3153394214</v>
      </c>
      <c r="I3736" s="14" t="n">
        <v>7581.760298186658</v>
      </c>
      <c r="J3736" s="14" t="n">
        <v>0</v>
      </c>
      <c r="K3736" s="14" t="n">
        <v>39296.45054348216</v>
      </c>
      <c r="L3736" s="14" t="n">
        <v>749537.1729978975</v>
      </c>
      <c r="M3736" s="14" t="n">
        <v>0</v>
      </c>
      <c r="N3736" s="14" t="n">
        <v>207432.1278720932</v>
      </c>
      <c r="O3736" s="14" t="n">
        <v>251689.2508678362</v>
      </c>
      <c r="P3736" s="14" t="n">
        <v>7277.073686337939</v>
      </c>
      <c r="Q3736" s="14" t="n">
        <v>1726223.067976499</v>
      </c>
      <c r="R3736" s="15">
        <f>IF(D3736=1,"Section 1","Control")</f>
        <v/>
      </c>
      <c r="S3736" s="16">
        <f>N3736/10000</f>
        <v/>
      </c>
      <c r="T3736" s="16">
        <f>P3736/10000</f>
        <v/>
      </c>
      <c r="U3736" s="15">
        <f>IF(N3736&gt;=Summary!$D$3,1,0)</f>
        <v/>
      </c>
      <c r="V3736" s="17">
        <f>IF(N3736&gt;0,P3736/N3736,"")</f>
        <v/>
      </c>
      <c r="W3736" s="17">
        <f>IF(O3736&gt;0,H3736/O3736,"")</f>
        <v/>
      </c>
    </row>
    <row r="3737">
      <c r="A3737" s="13" t="inlineStr">
        <is>
          <t>CW43_B2</t>
        </is>
      </c>
      <c r="B3737" s="13" t="inlineStr">
        <is>
          <t>CW43</t>
        </is>
      </c>
      <c r="C3737" s="13" t="inlineStr">
        <is>
          <t>B2</t>
        </is>
      </c>
      <c r="D3737" s="13" t="n">
        <v>0</v>
      </c>
      <c r="E3737" s="13" t="inlineStr">
        <is>
          <t>W</t>
        </is>
      </c>
      <c r="F3737" s="13" t="n">
        <v>2024</v>
      </c>
      <c r="G3737" s="14" t="n">
        <v>1001302.699178988</v>
      </c>
      <c r="H3737" s="14" t="n">
        <v>207730.6208937104</v>
      </c>
      <c r="I3737" s="14" t="n">
        <v>6915.842754378972</v>
      </c>
      <c r="J3737" s="14" t="n">
        <v>0</v>
      </c>
      <c r="K3737" s="14" t="n">
        <v>35245.97525039373</v>
      </c>
      <c r="L3737" s="14" t="n">
        <v>751410.2602805046</v>
      </c>
      <c r="M3737" s="14" t="n">
        <v>0</v>
      </c>
      <c r="N3737" s="14" t="n">
        <v>207432.1278720932</v>
      </c>
      <c r="O3737" s="14" t="n">
        <v>251689.2508678362</v>
      </c>
      <c r="P3737" s="14" t="n">
        <v>6605.736904937145</v>
      </c>
      <c r="Q3737" s="14" t="n">
        <v>1726223.067976499</v>
      </c>
      <c r="R3737" s="15">
        <f>IF(D3737=1,"Section 1","Control")</f>
        <v/>
      </c>
      <c r="S3737" s="16">
        <f>N3737/10000</f>
        <v/>
      </c>
      <c r="T3737" s="16">
        <f>P3737/10000</f>
        <v/>
      </c>
      <c r="U3737" s="15">
        <f>IF(N3737&gt;=Summary!$D$3,1,0)</f>
        <v/>
      </c>
      <c r="V3737" s="17">
        <f>IF(N3737&gt;0,P3737/N3737,"")</f>
        <v/>
      </c>
      <c r="W3737" s="17">
        <f>IF(O3737&gt;0,H3737/O3737,"")</f>
        <v/>
      </c>
    </row>
    <row r="3738">
      <c r="A3738" s="13" t="inlineStr">
        <is>
          <t>CW43_B2</t>
        </is>
      </c>
      <c r="B3738" s="13" t="inlineStr">
        <is>
          <t>CW43</t>
        </is>
      </c>
      <c r="C3738" s="13" t="inlineStr">
        <is>
          <t>B2</t>
        </is>
      </c>
      <c r="D3738" s="13" t="n">
        <v>0</v>
      </c>
      <c r="E3738" s="13" t="inlineStr">
        <is>
          <t>W</t>
        </is>
      </c>
      <c r="F3738" s="13" t="n">
        <v>2025</v>
      </c>
      <c r="G3738" s="14" t="n">
        <v>1001302.699178988</v>
      </c>
      <c r="H3738" s="14" t="n">
        <v>202668.4922132605</v>
      </c>
      <c r="I3738" s="14" t="n">
        <v>6900.746558006137</v>
      </c>
      <c r="J3738" s="14" t="n">
        <v>0</v>
      </c>
      <c r="K3738" s="14" t="n">
        <v>40356.11406965068</v>
      </c>
      <c r="L3738" s="14" t="n">
        <v>751377.3463380703</v>
      </c>
      <c r="M3738" s="14" t="n">
        <v>0</v>
      </c>
      <c r="N3738" s="14" t="n">
        <v>207432.1278720932</v>
      </c>
      <c r="O3738" s="14" t="n">
        <v>251689.2508678362</v>
      </c>
      <c r="P3738" s="14" t="n">
        <v>10057.66614167457</v>
      </c>
      <c r="Q3738" s="14" t="n">
        <v>1726223.067976499</v>
      </c>
      <c r="R3738" s="15">
        <f>IF(D3738=1,"Section 1","Control")</f>
        <v/>
      </c>
      <c r="S3738" s="16">
        <f>N3738/10000</f>
        <v/>
      </c>
      <c r="T3738" s="16">
        <f>P3738/10000</f>
        <v/>
      </c>
      <c r="U3738" s="15">
        <f>IF(N3738&gt;=Summary!$D$3,1,0)</f>
        <v/>
      </c>
      <c r="V3738" s="17">
        <f>IF(N3738&gt;0,P3738/N3738,"")</f>
        <v/>
      </c>
      <c r="W3738" s="17">
        <f>IF(O3738&gt;0,H3738/O3738,"")</f>
        <v/>
      </c>
    </row>
    <row r="3739">
      <c r="A3739" s="13" t="inlineStr">
        <is>
          <t>CW43_B2</t>
        </is>
      </c>
      <c r="B3739" s="13" t="inlineStr">
        <is>
          <t>CW43</t>
        </is>
      </c>
      <c r="C3739" s="13" t="inlineStr">
        <is>
          <t>B2</t>
        </is>
      </c>
      <c r="D3739" s="13" t="n">
        <v>0</v>
      </c>
      <c r="E3739" s="13" t="inlineStr">
        <is>
          <t>W</t>
        </is>
      </c>
      <c r="F3739" s="13" t="n">
        <v>2026</v>
      </c>
      <c r="G3739" s="14" t="n">
        <v>1001302.699178988</v>
      </c>
      <c r="H3739" s="14" t="n">
        <v>202311.9151792938</v>
      </c>
      <c r="I3739" s="14" t="n">
        <v>4577.784425354004</v>
      </c>
      <c r="J3739" s="14" t="n">
        <v>0</v>
      </c>
      <c r="K3739" s="14" t="n">
        <v>44487.50568781834</v>
      </c>
      <c r="L3739" s="14" t="n">
        <v>749925.4938865214</v>
      </c>
      <c r="M3739" s="14" t="n">
        <v>0</v>
      </c>
      <c r="N3739" s="14" t="n">
        <v>207432.1278720932</v>
      </c>
      <c r="O3739" s="14" t="n">
        <v>251689.2508678362</v>
      </c>
      <c r="P3739" s="14" t="n">
        <v>11197.46807442459</v>
      </c>
      <c r="Q3739" s="14" t="n">
        <v>1726223.067976499</v>
      </c>
      <c r="R3739" s="15">
        <f>IF(D3739=1,"Section 1","Control")</f>
        <v/>
      </c>
      <c r="S3739" s="16">
        <f>N3739/10000</f>
        <v/>
      </c>
      <c r="T3739" s="16">
        <f>P3739/10000</f>
        <v/>
      </c>
      <c r="U3739" s="15">
        <f>IF(N3739&gt;=Summary!$D$3,1,0)</f>
        <v/>
      </c>
      <c r="V3739" s="17">
        <f>IF(N3739&gt;0,P3739/N3739,"")</f>
        <v/>
      </c>
      <c r="W3739" s="17">
        <f>IF(O3739&gt;0,H3739/O3739,"")</f>
        <v/>
      </c>
    </row>
    <row r="3740">
      <c r="A3740" s="13" t="inlineStr">
        <is>
          <t>CW43_B3</t>
        </is>
      </c>
      <c r="B3740" s="13" t="inlineStr">
        <is>
          <t>CW43</t>
        </is>
      </c>
      <c r="C3740" s="13" t="inlineStr">
        <is>
          <t>B3</t>
        </is>
      </c>
      <c r="D3740" s="13" t="n">
        <v>0</v>
      </c>
      <c r="E3740" s="13" t="inlineStr">
        <is>
          <t>W</t>
        </is>
      </c>
      <c r="F3740" s="13" t="n">
        <v>2020</v>
      </c>
      <c r="G3740" s="14" t="n">
        <v>8009290.774639265</v>
      </c>
      <c r="H3740" s="14" t="n">
        <v>3774796.496995036</v>
      </c>
      <c r="I3740" s="14" t="n">
        <v>220889.5997154685</v>
      </c>
      <c r="J3740" s="14" t="n">
        <v>0</v>
      </c>
      <c r="K3740" s="14" t="n">
        <v>9593.030980966603</v>
      </c>
      <c r="L3740" s="14" t="n">
        <v>4004011.646947794</v>
      </c>
      <c r="M3740" s="14" t="n">
        <v>0</v>
      </c>
      <c r="N3740" s="14" t="n">
        <v>3774796.496995036</v>
      </c>
      <c r="O3740" s="14" t="n">
        <v>4005279.127691471</v>
      </c>
      <c r="P3740" s="14" t="n">
        <v>0</v>
      </c>
      <c r="Q3740" s="14" t="n">
        <v>23284801.64357482</v>
      </c>
      <c r="R3740" s="15">
        <f>IF(D3740=1,"Section 1","Control")</f>
        <v/>
      </c>
      <c r="S3740" s="16">
        <f>N3740/10000</f>
        <v/>
      </c>
      <c r="T3740" s="16">
        <f>P3740/10000</f>
        <v/>
      </c>
      <c r="U3740" s="15">
        <f>IF(N3740&gt;=Summary!$D$3,1,0)</f>
        <v/>
      </c>
      <c r="V3740" s="17">
        <f>IF(N3740&gt;0,P3740/N3740,"")</f>
        <v/>
      </c>
      <c r="W3740" s="17">
        <f>IF(O3740&gt;0,H3740/O3740,"")</f>
        <v/>
      </c>
    </row>
    <row r="3741">
      <c r="A3741" s="13" t="inlineStr">
        <is>
          <t>CW43_B3</t>
        </is>
      </c>
      <c r="B3741" s="13" t="inlineStr">
        <is>
          <t>CW43</t>
        </is>
      </c>
      <c r="C3741" s="13" t="inlineStr">
        <is>
          <t>B3</t>
        </is>
      </c>
      <c r="D3741" s="13" t="n">
        <v>0</v>
      </c>
      <c r="E3741" s="13" t="inlineStr">
        <is>
          <t>W</t>
        </is>
      </c>
      <c r="F3741" s="13" t="n">
        <v>2021</v>
      </c>
      <c r="G3741" s="14" t="n">
        <v>8009290.774639265</v>
      </c>
      <c r="H3741" s="14" t="n">
        <v>3727512.978522955</v>
      </c>
      <c r="I3741" s="14" t="n">
        <v>145870.3437030867</v>
      </c>
      <c r="J3741" s="14" t="n">
        <v>0</v>
      </c>
      <c r="K3741" s="14" t="n">
        <v>131895.805465429</v>
      </c>
      <c r="L3741" s="14" t="n">
        <v>4004011.646947794</v>
      </c>
      <c r="M3741" s="14" t="n">
        <v>0</v>
      </c>
      <c r="N3741" s="14" t="n">
        <v>3774796.496995036</v>
      </c>
      <c r="O3741" s="14" t="n">
        <v>4005279.127691471</v>
      </c>
      <c r="P3741" s="14" t="n">
        <v>106355.5283465816</v>
      </c>
      <c r="Q3741" s="14" t="n">
        <v>23284801.64357482</v>
      </c>
      <c r="R3741" s="15">
        <f>IF(D3741=1,"Section 1","Control")</f>
        <v/>
      </c>
      <c r="S3741" s="16">
        <f>N3741/10000</f>
        <v/>
      </c>
      <c r="T3741" s="16">
        <f>P3741/10000</f>
        <v/>
      </c>
      <c r="U3741" s="15">
        <f>IF(N3741&gt;=Summary!$D$3,1,0)</f>
        <v/>
      </c>
      <c r="V3741" s="17">
        <f>IF(N3741&gt;0,P3741/N3741,"")</f>
        <v/>
      </c>
      <c r="W3741" s="17">
        <f>IF(O3741&gt;0,H3741/O3741,"")</f>
        <v/>
      </c>
    </row>
    <row r="3742">
      <c r="A3742" s="13" t="inlineStr">
        <is>
          <t>CW43_B3</t>
        </is>
      </c>
      <c r="B3742" s="13" t="inlineStr">
        <is>
          <t>CW43</t>
        </is>
      </c>
      <c r="C3742" s="13" t="inlineStr">
        <is>
          <t>B3</t>
        </is>
      </c>
      <c r="D3742" s="13" t="n">
        <v>0</v>
      </c>
      <c r="E3742" s="13" t="inlineStr">
        <is>
          <t>W</t>
        </is>
      </c>
      <c r="F3742" s="13" t="n">
        <v>2022</v>
      </c>
      <c r="G3742" s="14" t="n">
        <v>8009290.774639265</v>
      </c>
      <c r="H3742" s="14" t="n">
        <v>3754752.55299533</v>
      </c>
      <c r="I3742" s="14" t="n">
        <v>140342.9734731038</v>
      </c>
      <c r="J3742" s="14" t="n">
        <v>0</v>
      </c>
      <c r="K3742" s="14" t="n">
        <v>110183.6012230368</v>
      </c>
      <c r="L3742" s="14" t="n">
        <v>4004011.646947794</v>
      </c>
      <c r="M3742" s="14" t="n">
        <v>0</v>
      </c>
      <c r="N3742" s="14" t="n">
        <v>3774796.496995036</v>
      </c>
      <c r="O3742" s="14" t="n">
        <v>4005279.127691471</v>
      </c>
      <c r="P3742" s="14" t="n">
        <v>132241.5730459176</v>
      </c>
      <c r="Q3742" s="14" t="n">
        <v>23284801.64357482</v>
      </c>
      <c r="R3742" s="15">
        <f>IF(D3742=1,"Section 1","Control")</f>
        <v/>
      </c>
      <c r="S3742" s="16">
        <f>N3742/10000</f>
        <v/>
      </c>
      <c r="T3742" s="16">
        <f>P3742/10000</f>
        <v/>
      </c>
      <c r="U3742" s="15">
        <f>IF(N3742&gt;=Summary!$D$3,1,0)</f>
        <v/>
      </c>
      <c r="V3742" s="17">
        <f>IF(N3742&gt;0,P3742/N3742,"")</f>
        <v/>
      </c>
      <c r="W3742" s="17">
        <f>IF(O3742&gt;0,H3742/O3742,"")</f>
        <v/>
      </c>
    </row>
    <row r="3743">
      <c r="A3743" s="13" t="inlineStr">
        <is>
          <t>CW43_B3</t>
        </is>
      </c>
      <c r="B3743" s="13" t="inlineStr">
        <is>
          <t>CW43</t>
        </is>
      </c>
      <c r="C3743" s="13" t="inlineStr">
        <is>
          <t>B3</t>
        </is>
      </c>
      <c r="D3743" s="13" t="n">
        <v>0</v>
      </c>
      <c r="E3743" s="13" t="inlineStr">
        <is>
          <t>W</t>
        </is>
      </c>
      <c r="F3743" s="13" t="n">
        <v>2023</v>
      </c>
      <c r="G3743" s="14" t="n">
        <v>8009290.774639265</v>
      </c>
      <c r="H3743" s="14" t="n">
        <v>3733798.063208306</v>
      </c>
      <c r="I3743" s="14" t="n">
        <v>188159.5616566976</v>
      </c>
      <c r="J3743" s="14" t="n">
        <v>0</v>
      </c>
      <c r="K3743" s="14" t="n">
        <v>83321.50282646628</v>
      </c>
      <c r="L3743" s="14" t="n">
        <v>4004011.646947794</v>
      </c>
      <c r="M3743" s="14" t="n">
        <v>0</v>
      </c>
      <c r="N3743" s="14" t="n">
        <v>3774796.496995036</v>
      </c>
      <c r="O3743" s="14" t="n">
        <v>4005279.127691471</v>
      </c>
      <c r="P3743" s="14" t="n">
        <v>111081.3151645436</v>
      </c>
      <c r="Q3743" s="14" t="n">
        <v>23284801.64357482</v>
      </c>
      <c r="R3743" s="15">
        <f>IF(D3743=1,"Section 1","Control")</f>
        <v/>
      </c>
      <c r="S3743" s="16">
        <f>N3743/10000</f>
        <v/>
      </c>
      <c r="T3743" s="16">
        <f>P3743/10000</f>
        <v/>
      </c>
      <c r="U3743" s="15">
        <f>IF(N3743&gt;=Summary!$D$3,1,0)</f>
        <v/>
      </c>
      <c r="V3743" s="17">
        <f>IF(N3743&gt;0,P3743/N3743,"")</f>
        <v/>
      </c>
      <c r="W3743" s="17">
        <f>IF(O3743&gt;0,H3743/O3743,"")</f>
        <v/>
      </c>
    </row>
    <row r="3744">
      <c r="A3744" s="13" t="inlineStr">
        <is>
          <t>CW43_B3</t>
        </is>
      </c>
      <c r="B3744" s="13" t="inlineStr">
        <is>
          <t>CW43</t>
        </is>
      </c>
      <c r="C3744" s="13" t="inlineStr">
        <is>
          <t>B3</t>
        </is>
      </c>
      <c r="D3744" s="13" t="n">
        <v>0</v>
      </c>
      <c r="E3744" s="13" t="inlineStr">
        <is>
          <t>W</t>
        </is>
      </c>
      <c r="F3744" s="13" t="n">
        <v>2024</v>
      </c>
      <c r="G3744" s="14" t="n">
        <v>8009290.774639265</v>
      </c>
      <c r="H3744" s="14" t="n">
        <v>3730377.088087522</v>
      </c>
      <c r="I3744" s="14" t="n">
        <v>198681.6903072881</v>
      </c>
      <c r="J3744" s="14" t="n">
        <v>0</v>
      </c>
      <c r="K3744" s="14" t="n">
        <v>76220.34929665958</v>
      </c>
      <c r="L3744" s="14" t="n">
        <v>4004011.646947794</v>
      </c>
      <c r="M3744" s="14" t="n">
        <v>0</v>
      </c>
      <c r="N3744" s="14" t="n">
        <v>3774796.496995035</v>
      </c>
      <c r="O3744" s="14" t="n">
        <v>4005279.127691471</v>
      </c>
      <c r="P3744" s="14" t="n">
        <v>116598.265730884</v>
      </c>
      <c r="Q3744" s="14" t="n">
        <v>23284801.64357482</v>
      </c>
      <c r="R3744" s="15">
        <f>IF(D3744=1,"Section 1","Control")</f>
        <v/>
      </c>
      <c r="S3744" s="16">
        <f>N3744/10000</f>
        <v/>
      </c>
      <c r="T3744" s="16">
        <f>P3744/10000</f>
        <v/>
      </c>
      <c r="U3744" s="15">
        <f>IF(N3744&gt;=Summary!$D$3,1,0)</f>
        <v/>
      </c>
      <c r="V3744" s="17">
        <f>IF(N3744&gt;0,P3744/N3744,"")</f>
        <v/>
      </c>
      <c r="W3744" s="17">
        <f>IF(O3744&gt;0,H3744/O3744,"")</f>
        <v/>
      </c>
    </row>
    <row r="3745">
      <c r="A3745" s="13" t="inlineStr">
        <is>
          <t>CW43_B3</t>
        </is>
      </c>
      <c r="B3745" s="13" t="inlineStr">
        <is>
          <t>CW43</t>
        </is>
      </c>
      <c r="C3745" s="13" t="inlineStr">
        <is>
          <t>B3</t>
        </is>
      </c>
      <c r="D3745" s="13" t="n">
        <v>0</v>
      </c>
      <c r="E3745" s="13" t="inlineStr">
        <is>
          <t>W</t>
        </is>
      </c>
      <c r="F3745" s="13" t="n">
        <v>2025</v>
      </c>
      <c r="G3745" s="14" t="n">
        <v>8009290.774639265</v>
      </c>
      <c r="H3745" s="14" t="n">
        <v>3809234.889708634</v>
      </c>
      <c r="I3745" s="14" t="n">
        <v>123421.9728162279</v>
      </c>
      <c r="J3745" s="14" t="n">
        <v>0</v>
      </c>
      <c r="K3745" s="14" t="n">
        <v>72622.26516660803</v>
      </c>
      <c r="L3745" s="14" t="n">
        <v>4004011.646947794</v>
      </c>
      <c r="M3745" s="14" t="n">
        <v>0</v>
      </c>
      <c r="N3745" s="14" t="n">
        <v>3774796.496995035</v>
      </c>
      <c r="O3745" s="14" t="n">
        <v>4005279.127691471</v>
      </c>
      <c r="P3745" s="14" t="n">
        <v>104535.8962900199</v>
      </c>
      <c r="Q3745" s="14" t="n">
        <v>23284801.64357482</v>
      </c>
      <c r="R3745" s="15">
        <f>IF(D3745=1,"Section 1","Control")</f>
        <v/>
      </c>
      <c r="S3745" s="16">
        <f>N3745/10000</f>
        <v/>
      </c>
      <c r="T3745" s="16">
        <f>P3745/10000</f>
        <v/>
      </c>
      <c r="U3745" s="15">
        <f>IF(N3745&gt;=Summary!$D$3,1,0)</f>
        <v/>
      </c>
      <c r="V3745" s="17">
        <f>IF(N3745&gt;0,P3745/N3745,"")</f>
        <v/>
      </c>
      <c r="W3745" s="17">
        <f>IF(O3745&gt;0,H3745/O3745,"")</f>
        <v/>
      </c>
    </row>
    <row r="3746">
      <c r="A3746" s="13" t="inlineStr">
        <is>
          <t>CW43_B3</t>
        </is>
      </c>
      <c r="B3746" s="13" t="inlineStr">
        <is>
          <t>CW43</t>
        </is>
      </c>
      <c r="C3746" s="13" t="inlineStr">
        <is>
          <t>B3</t>
        </is>
      </c>
      <c r="D3746" s="13" t="n">
        <v>0</v>
      </c>
      <c r="E3746" s="13" t="inlineStr">
        <is>
          <t>W</t>
        </is>
      </c>
      <c r="F3746" s="13" t="n">
        <v>2026</v>
      </c>
      <c r="G3746" s="14" t="n">
        <v>8009290.774639263</v>
      </c>
      <c r="H3746" s="14" t="n">
        <v>3713707.733814554</v>
      </c>
      <c r="I3746" s="14" t="n">
        <v>204741.9151470109</v>
      </c>
      <c r="J3746" s="14" t="n">
        <v>0</v>
      </c>
      <c r="K3746" s="14" t="n">
        <v>86829.47872990627</v>
      </c>
      <c r="L3746" s="14" t="n">
        <v>4004011.646947794</v>
      </c>
      <c r="M3746" s="14" t="n">
        <v>0</v>
      </c>
      <c r="N3746" s="14" t="n">
        <v>3774796.496995036</v>
      </c>
      <c r="O3746" s="14" t="n">
        <v>4005279.127691471</v>
      </c>
      <c r="P3746" s="14" t="n">
        <v>143047.1710141051</v>
      </c>
      <c r="Q3746" s="14" t="n">
        <v>23284801.64357482</v>
      </c>
      <c r="R3746" s="15">
        <f>IF(D3746=1,"Section 1","Control")</f>
        <v/>
      </c>
      <c r="S3746" s="16">
        <f>N3746/10000</f>
        <v/>
      </c>
      <c r="T3746" s="16">
        <f>P3746/10000</f>
        <v/>
      </c>
      <c r="U3746" s="15">
        <f>IF(N3746&gt;=Summary!$D$3,1,0)</f>
        <v/>
      </c>
      <c r="V3746" s="17">
        <f>IF(N3746&gt;0,P3746/N3746,"")</f>
        <v/>
      </c>
      <c r="W3746" s="17">
        <f>IF(O3746&gt;0,H3746/O3746,"")</f>
        <v/>
      </c>
    </row>
    <row r="3747">
      <c r="A3747" s="13" t="inlineStr">
        <is>
          <t>CW43_F</t>
        </is>
      </c>
      <c r="B3747" s="13" t="inlineStr">
        <is>
          <t>CW43</t>
        </is>
      </c>
      <c r="C3747" s="13" t="inlineStr">
        <is>
          <t>F</t>
        </is>
      </c>
      <c r="D3747" s="13" t="n">
        <v>0</v>
      </c>
      <c r="E3747" s="13" t="inlineStr">
        <is>
          <t>W</t>
        </is>
      </c>
      <c r="F3747" s="13" t="n">
        <v>2020</v>
      </c>
      <c r="G3747" s="14" t="n">
        <v>69345.80042126225</v>
      </c>
      <c r="H3747" s="14" t="n">
        <v>49892.22428756415</v>
      </c>
      <c r="I3747" s="14" t="n">
        <v>17190.19983131558</v>
      </c>
      <c r="J3747" s="14" t="n">
        <v>0</v>
      </c>
      <c r="K3747" s="14" t="n">
        <v>2263.376302382525</v>
      </c>
      <c r="L3747" s="14" t="n">
        <v>0</v>
      </c>
      <c r="M3747" s="14" t="n">
        <v>0</v>
      </c>
      <c r="N3747" s="14" t="n">
        <v>49892.22428756415</v>
      </c>
      <c r="O3747" s="14" t="n">
        <v>69345.80042126225</v>
      </c>
      <c r="P3747" s="14" t="n">
        <v>0</v>
      </c>
      <c r="Q3747" s="14" t="n">
        <v>895155.9396659106</v>
      </c>
      <c r="R3747" s="15">
        <f>IF(D3747=1,"Section 1","Control")</f>
        <v/>
      </c>
      <c r="S3747" s="16">
        <f>N3747/10000</f>
        <v/>
      </c>
      <c r="T3747" s="16">
        <f>P3747/10000</f>
        <v/>
      </c>
      <c r="U3747" s="15">
        <f>IF(N3747&gt;=Summary!$D$3,1,0)</f>
        <v/>
      </c>
      <c r="V3747" s="17">
        <f>IF(N3747&gt;0,P3747/N3747,"")</f>
        <v/>
      </c>
      <c r="W3747" s="17">
        <f>IF(O3747&gt;0,H3747/O3747,"")</f>
        <v/>
      </c>
    </row>
    <row r="3748">
      <c r="A3748" s="13" t="inlineStr">
        <is>
          <t>CW43_F</t>
        </is>
      </c>
      <c r="B3748" s="13" t="inlineStr">
        <is>
          <t>CW43</t>
        </is>
      </c>
      <c r="C3748" s="13" t="inlineStr">
        <is>
          <t>F</t>
        </is>
      </c>
      <c r="D3748" s="13" t="n">
        <v>0</v>
      </c>
      <c r="E3748" s="13" t="inlineStr">
        <is>
          <t>W</t>
        </is>
      </c>
      <c r="F3748" s="13" t="n">
        <v>2021</v>
      </c>
      <c r="G3748" s="14" t="n">
        <v>69345.80042126225</v>
      </c>
      <c r="H3748" s="14" t="n">
        <v>53749.56446320777</v>
      </c>
      <c r="I3748" s="14" t="n">
        <v>11746.63724628523</v>
      </c>
      <c r="J3748" s="14" t="n">
        <v>0</v>
      </c>
      <c r="K3748" s="14" t="n">
        <v>3849.598711769254</v>
      </c>
      <c r="L3748" s="14" t="n">
        <v>0</v>
      </c>
      <c r="M3748" s="14" t="n">
        <v>0</v>
      </c>
      <c r="N3748" s="14" t="n">
        <v>49892.22428756415</v>
      </c>
      <c r="O3748" s="14" t="n">
        <v>69345.80042126225</v>
      </c>
      <c r="P3748" s="14" t="n">
        <v>740.6501531264362</v>
      </c>
      <c r="Q3748" s="14" t="n">
        <v>895155.9396659106</v>
      </c>
      <c r="R3748" s="15">
        <f>IF(D3748=1,"Section 1","Control")</f>
        <v/>
      </c>
      <c r="S3748" s="16">
        <f>N3748/10000</f>
        <v/>
      </c>
      <c r="T3748" s="16">
        <f>P3748/10000</f>
        <v/>
      </c>
      <c r="U3748" s="15">
        <f>IF(N3748&gt;=Summary!$D$3,1,0)</f>
        <v/>
      </c>
      <c r="V3748" s="17">
        <f>IF(N3748&gt;0,P3748/N3748,"")</f>
        <v/>
      </c>
      <c r="W3748" s="17">
        <f>IF(O3748&gt;0,H3748/O3748,"")</f>
        <v/>
      </c>
    </row>
    <row r="3749">
      <c r="A3749" s="13" t="inlineStr">
        <is>
          <t>CW43_F</t>
        </is>
      </c>
      <c r="B3749" s="13" t="inlineStr">
        <is>
          <t>CW43</t>
        </is>
      </c>
      <c r="C3749" s="13" t="inlineStr">
        <is>
          <t>F</t>
        </is>
      </c>
      <c r="D3749" s="13" t="n">
        <v>0</v>
      </c>
      <c r="E3749" s="13" t="inlineStr">
        <is>
          <t>W</t>
        </is>
      </c>
      <c r="F3749" s="13" t="n">
        <v>2022</v>
      </c>
      <c r="G3749" s="14" t="n">
        <v>69345.80042126225</v>
      </c>
      <c r="H3749" s="14" t="n">
        <v>58690.58636238247</v>
      </c>
      <c r="I3749" s="14" t="n">
        <v>7852.514051878687</v>
      </c>
      <c r="J3749" s="14" t="n">
        <v>0</v>
      </c>
      <c r="K3749" s="14" t="n">
        <v>2802.700007001092</v>
      </c>
      <c r="L3749" s="14" t="n">
        <v>0</v>
      </c>
      <c r="M3749" s="14" t="n">
        <v>0</v>
      </c>
      <c r="N3749" s="14" t="n">
        <v>49892.22428756415</v>
      </c>
      <c r="O3749" s="14" t="n">
        <v>69345.80042126225</v>
      </c>
      <c r="P3749" s="14" t="n">
        <v>1184.730178833008</v>
      </c>
      <c r="Q3749" s="14" t="n">
        <v>895155.9396659106</v>
      </c>
      <c r="R3749" s="15">
        <f>IF(D3749=1,"Section 1","Control")</f>
        <v/>
      </c>
      <c r="S3749" s="16">
        <f>N3749/10000</f>
        <v/>
      </c>
      <c r="T3749" s="16">
        <f>P3749/10000</f>
        <v/>
      </c>
      <c r="U3749" s="15">
        <f>IF(N3749&gt;=Summary!$D$3,1,0)</f>
        <v/>
      </c>
      <c r="V3749" s="17">
        <f>IF(N3749&gt;0,P3749/N3749,"")</f>
        <v/>
      </c>
      <c r="W3749" s="17">
        <f>IF(O3749&gt;0,H3749/O3749,"")</f>
        <v/>
      </c>
    </row>
    <row r="3750">
      <c r="A3750" s="13" t="inlineStr">
        <is>
          <t>CW43_F</t>
        </is>
      </c>
      <c r="B3750" s="13" t="inlineStr">
        <is>
          <t>CW43</t>
        </is>
      </c>
      <c r="C3750" s="13" t="inlineStr">
        <is>
          <t>F</t>
        </is>
      </c>
      <c r="D3750" s="13" t="n">
        <v>0</v>
      </c>
      <c r="E3750" s="13" t="inlineStr">
        <is>
          <t>W</t>
        </is>
      </c>
      <c r="F3750" s="13" t="n">
        <v>2023</v>
      </c>
      <c r="G3750" s="14" t="n">
        <v>69345.80042126225</v>
      </c>
      <c r="H3750" s="14" t="n">
        <v>53786.34587803261</v>
      </c>
      <c r="I3750" s="14" t="n">
        <v>12316.93362348968</v>
      </c>
      <c r="J3750" s="14" t="n">
        <v>0</v>
      </c>
      <c r="K3750" s="14" t="n">
        <v>3242.520919739966</v>
      </c>
      <c r="L3750" s="14" t="n">
        <v>0</v>
      </c>
      <c r="M3750" s="14" t="n">
        <v>0</v>
      </c>
      <c r="N3750" s="14" t="n">
        <v>49892.22428756415</v>
      </c>
      <c r="O3750" s="14" t="n">
        <v>69345.80042126225</v>
      </c>
      <c r="P3750" s="14" t="n">
        <v>2046.563063049316</v>
      </c>
      <c r="Q3750" s="14" t="n">
        <v>895155.9396659106</v>
      </c>
      <c r="R3750" s="15">
        <f>IF(D3750=1,"Section 1","Control")</f>
        <v/>
      </c>
      <c r="S3750" s="16">
        <f>N3750/10000</f>
        <v/>
      </c>
      <c r="T3750" s="16">
        <f>P3750/10000</f>
        <v/>
      </c>
      <c r="U3750" s="15">
        <f>IF(N3750&gt;=Summary!$D$3,1,0)</f>
        <v/>
      </c>
      <c r="V3750" s="17">
        <f>IF(N3750&gt;0,P3750/N3750,"")</f>
        <v/>
      </c>
      <c r="W3750" s="17">
        <f>IF(O3750&gt;0,H3750/O3750,"")</f>
        <v/>
      </c>
    </row>
    <row r="3751">
      <c r="A3751" s="13" t="inlineStr">
        <is>
          <t>CW43_F</t>
        </is>
      </c>
      <c r="B3751" s="13" t="inlineStr">
        <is>
          <t>CW43</t>
        </is>
      </c>
      <c r="C3751" s="13" t="inlineStr">
        <is>
          <t>F</t>
        </is>
      </c>
      <c r="D3751" s="13" t="n">
        <v>0</v>
      </c>
      <c r="E3751" s="13" t="inlineStr">
        <is>
          <t>W</t>
        </is>
      </c>
      <c r="F3751" s="13" t="n">
        <v>2024</v>
      </c>
      <c r="G3751" s="14" t="n">
        <v>69345.80042126225</v>
      </c>
      <c r="H3751" s="14" t="n">
        <v>58472.22391201841</v>
      </c>
      <c r="I3751" s="14" t="n">
        <v>7680.225714619954</v>
      </c>
      <c r="J3751" s="14" t="n">
        <v>0</v>
      </c>
      <c r="K3751" s="14" t="n">
        <v>3193.35079462388</v>
      </c>
      <c r="L3751" s="14" t="n">
        <v>0</v>
      </c>
      <c r="M3751" s="14" t="n">
        <v>0</v>
      </c>
      <c r="N3751" s="14" t="n">
        <v>49892.22428756415</v>
      </c>
      <c r="O3751" s="14" t="n">
        <v>69345.80042126225</v>
      </c>
      <c r="P3751" s="14" t="n">
        <v>1361.278129398122</v>
      </c>
      <c r="Q3751" s="14" t="n">
        <v>895155.9396659106</v>
      </c>
      <c r="R3751" s="15">
        <f>IF(D3751=1,"Section 1","Control")</f>
        <v/>
      </c>
      <c r="S3751" s="16">
        <f>N3751/10000</f>
        <v/>
      </c>
      <c r="T3751" s="16">
        <f>P3751/10000</f>
        <v/>
      </c>
      <c r="U3751" s="15">
        <f>IF(N3751&gt;=Summary!$D$3,1,0)</f>
        <v/>
      </c>
      <c r="V3751" s="17">
        <f>IF(N3751&gt;0,P3751/N3751,"")</f>
        <v/>
      </c>
      <c r="W3751" s="17">
        <f>IF(O3751&gt;0,H3751/O3751,"")</f>
        <v/>
      </c>
    </row>
    <row r="3752">
      <c r="A3752" s="13" t="inlineStr">
        <is>
          <t>CW43_F</t>
        </is>
      </c>
      <c r="B3752" s="13" t="inlineStr">
        <is>
          <t>CW43</t>
        </is>
      </c>
      <c r="C3752" s="13" t="inlineStr">
        <is>
          <t>F</t>
        </is>
      </c>
      <c r="D3752" s="13" t="n">
        <v>0</v>
      </c>
      <c r="E3752" s="13" t="inlineStr">
        <is>
          <t>W</t>
        </is>
      </c>
      <c r="F3752" s="13" t="n">
        <v>2025</v>
      </c>
      <c r="G3752" s="14" t="n">
        <v>69345.80042126225</v>
      </c>
      <c r="H3752" s="14" t="n">
        <v>47895.60655035879</v>
      </c>
      <c r="I3752" s="14" t="n">
        <v>18669.94981692445</v>
      </c>
      <c r="J3752" s="14" t="n">
        <v>0</v>
      </c>
      <c r="K3752" s="14" t="n">
        <v>2780.244053979014</v>
      </c>
      <c r="L3752" s="14" t="n">
        <v>0</v>
      </c>
      <c r="M3752" s="14" t="n">
        <v>0</v>
      </c>
      <c r="N3752" s="14" t="n">
        <v>49892.22428756415</v>
      </c>
      <c r="O3752" s="14" t="n">
        <v>69345.80042126225</v>
      </c>
      <c r="P3752" s="14" t="n">
        <v>5675.088110022452</v>
      </c>
      <c r="Q3752" s="14" t="n">
        <v>895155.9396659106</v>
      </c>
      <c r="R3752" s="15">
        <f>IF(D3752=1,"Section 1","Control")</f>
        <v/>
      </c>
      <c r="S3752" s="16">
        <f>N3752/10000</f>
        <v/>
      </c>
      <c r="T3752" s="16">
        <f>P3752/10000</f>
        <v/>
      </c>
      <c r="U3752" s="15">
        <f>IF(N3752&gt;=Summary!$D$3,1,0)</f>
        <v/>
      </c>
      <c r="V3752" s="17">
        <f>IF(N3752&gt;0,P3752/N3752,"")</f>
        <v/>
      </c>
      <c r="W3752" s="17">
        <f>IF(O3752&gt;0,H3752/O3752,"")</f>
        <v/>
      </c>
    </row>
    <row r="3753">
      <c r="A3753" s="13" t="inlineStr">
        <is>
          <t>CW43_F</t>
        </is>
      </c>
      <c r="B3753" s="13" t="inlineStr">
        <is>
          <t>CW43</t>
        </is>
      </c>
      <c r="C3753" s="13" t="inlineStr">
        <is>
          <t>F</t>
        </is>
      </c>
      <c r="D3753" s="13" t="n">
        <v>0</v>
      </c>
      <c r="E3753" s="13" t="inlineStr">
        <is>
          <t>W</t>
        </is>
      </c>
      <c r="F3753" s="13" t="n">
        <v>2026</v>
      </c>
      <c r="G3753" s="14" t="n">
        <v>69345.80042126225</v>
      </c>
      <c r="H3753" s="14" t="n">
        <v>57521.34290618896</v>
      </c>
      <c r="I3753" s="14" t="n">
        <v>8474.690901034486</v>
      </c>
      <c r="J3753" s="14" t="n">
        <v>0</v>
      </c>
      <c r="K3753" s="14" t="n">
        <v>3349.766614038804</v>
      </c>
      <c r="L3753" s="14" t="n">
        <v>0</v>
      </c>
      <c r="M3753" s="14" t="n">
        <v>0</v>
      </c>
      <c r="N3753" s="14" t="n">
        <v>49892.22428756415</v>
      </c>
      <c r="O3753" s="14" t="n">
        <v>69345.80042126225</v>
      </c>
      <c r="P3753" s="14" t="n">
        <v>2212.657454097972</v>
      </c>
      <c r="Q3753" s="14" t="n">
        <v>895155.9396659106</v>
      </c>
      <c r="R3753" s="15">
        <f>IF(D3753=1,"Section 1","Control")</f>
        <v/>
      </c>
      <c r="S3753" s="16">
        <f>N3753/10000</f>
        <v/>
      </c>
      <c r="T3753" s="16">
        <f>P3753/10000</f>
        <v/>
      </c>
      <c r="U3753" s="15">
        <f>IF(N3753&gt;=Summary!$D$3,1,0)</f>
        <v/>
      </c>
      <c r="V3753" s="17">
        <f>IF(N3753&gt;0,P3753/N3753,"")</f>
        <v/>
      </c>
      <c r="W3753" s="17">
        <f>IF(O3753&gt;0,H3753/O3753,"")</f>
        <v/>
      </c>
    </row>
    <row r="3754">
      <c r="A3754" s="13" t="inlineStr">
        <is>
          <t>CW44_B1</t>
        </is>
      </c>
      <c r="B3754" s="13" t="inlineStr">
        <is>
          <t>CW44</t>
        </is>
      </c>
      <c r="C3754" s="13" t="inlineStr">
        <is>
          <t>B1</t>
        </is>
      </c>
      <c r="D3754" s="13" t="n">
        <v>0</v>
      </c>
      <c r="E3754" s="13" t="inlineStr">
        <is>
          <t>W</t>
        </is>
      </c>
      <c r="F3754" s="13" t="n">
        <v>2020</v>
      </c>
      <c r="G3754" s="14" t="n">
        <v>1000787.256010048</v>
      </c>
      <c r="H3754" s="14" t="n">
        <v>357399.6994158576</v>
      </c>
      <c r="I3754" s="14" t="n">
        <v>202807.0191634534</v>
      </c>
      <c r="J3754" s="14" t="n">
        <v>0</v>
      </c>
      <c r="K3754" s="14" t="n">
        <v>50959.88881058039</v>
      </c>
      <c r="L3754" s="14" t="n">
        <v>389620.6486201566</v>
      </c>
      <c r="M3754" s="14" t="n">
        <v>0</v>
      </c>
      <c r="N3754" s="14" t="n">
        <v>357399.6994158576</v>
      </c>
      <c r="O3754" s="14" t="n">
        <v>611166.6073898916</v>
      </c>
      <c r="P3754" s="14" t="n">
        <v>0</v>
      </c>
      <c r="Q3754" s="14" t="n">
        <v>4969541.384907801</v>
      </c>
      <c r="R3754" s="15">
        <f>IF(D3754=1,"Section 1","Control")</f>
        <v/>
      </c>
      <c r="S3754" s="16">
        <f>N3754/10000</f>
        <v/>
      </c>
      <c r="T3754" s="16">
        <f>P3754/10000</f>
        <v/>
      </c>
      <c r="U3754" s="15">
        <f>IF(N3754&gt;=Summary!$D$3,1,0)</f>
        <v/>
      </c>
      <c r="V3754" s="17">
        <f>IF(N3754&gt;0,P3754/N3754,"")</f>
        <v/>
      </c>
      <c r="W3754" s="17">
        <f>IF(O3754&gt;0,H3754/O3754,"")</f>
        <v/>
      </c>
    </row>
    <row r="3755">
      <c r="A3755" s="13" t="inlineStr">
        <is>
          <t>CW44_B1</t>
        </is>
      </c>
      <c r="B3755" s="13" t="inlineStr">
        <is>
          <t>CW44</t>
        </is>
      </c>
      <c r="C3755" s="13" t="inlineStr">
        <is>
          <t>B1</t>
        </is>
      </c>
      <c r="D3755" s="13" t="n">
        <v>0</v>
      </c>
      <c r="E3755" s="13" t="inlineStr">
        <is>
          <t>W</t>
        </is>
      </c>
      <c r="F3755" s="13" t="n">
        <v>2021</v>
      </c>
      <c r="G3755" s="14" t="n">
        <v>1000787.256010048</v>
      </c>
      <c r="H3755" s="14" t="n">
        <v>344710.3006625007</v>
      </c>
      <c r="I3755" s="14" t="n">
        <v>198798.7647921693</v>
      </c>
      <c r="J3755" s="14" t="n">
        <v>0</v>
      </c>
      <c r="K3755" s="14" t="n">
        <v>74544.52056235519</v>
      </c>
      <c r="L3755" s="14" t="n">
        <v>382733.6699930228</v>
      </c>
      <c r="M3755" s="14" t="n">
        <v>0</v>
      </c>
      <c r="N3755" s="14" t="n">
        <v>357399.6994158576</v>
      </c>
      <c r="O3755" s="14" t="n">
        <v>611166.6073898916</v>
      </c>
      <c r="P3755" s="14" t="n">
        <v>25635.06788354013</v>
      </c>
      <c r="Q3755" s="14" t="n">
        <v>4969541.384907801</v>
      </c>
      <c r="R3755" s="15">
        <f>IF(D3755=1,"Section 1","Control")</f>
        <v/>
      </c>
      <c r="S3755" s="16">
        <f>N3755/10000</f>
        <v/>
      </c>
      <c r="T3755" s="16">
        <f>P3755/10000</f>
        <v/>
      </c>
      <c r="U3755" s="15">
        <f>IF(N3755&gt;=Summary!$D$3,1,0)</f>
        <v/>
      </c>
      <c r="V3755" s="17">
        <f>IF(N3755&gt;0,P3755/N3755,"")</f>
        <v/>
      </c>
      <c r="W3755" s="17">
        <f>IF(O3755&gt;0,H3755/O3755,"")</f>
        <v/>
      </c>
    </row>
    <row r="3756">
      <c r="A3756" s="13" t="inlineStr">
        <is>
          <t>CW44_B1</t>
        </is>
      </c>
      <c r="B3756" s="13" t="inlineStr">
        <is>
          <t>CW44</t>
        </is>
      </c>
      <c r="C3756" s="13" t="inlineStr">
        <is>
          <t>B1</t>
        </is>
      </c>
      <c r="D3756" s="13" t="n">
        <v>0</v>
      </c>
      <c r="E3756" s="13" t="inlineStr">
        <is>
          <t>W</t>
        </is>
      </c>
      <c r="F3756" s="13" t="n">
        <v>2022</v>
      </c>
      <c r="G3756" s="14" t="n">
        <v>1000787.256010048</v>
      </c>
      <c r="H3756" s="14" t="n">
        <v>349240.5593541462</v>
      </c>
      <c r="I3756" s="14" t="n">
        <v>197627.1555743648</v>
      </c>
      <c r="J3756" s="14" t="n">
        <v>0</v>
      </c>
      <c r="K3756" s="14" t="n">
        <v>76133.02732059253</v>
      </c>
      <c r="L3756" s="14" t="n">
        <v>377786.5137609444</v>
      </c>
      <c r="M3756" s="14" t="n">
        <v>0</v>
      </c>
      <c r="N3756" s="14" t="n">
        <v>357399.6994158576</v>
      </c>
      <c r="O3756" s="14" t="n">
        <v>611166.6073898916</v>
      </c>
      <c r="P3756" s="14" t="n">
        <v>25615.3037419637</v>
      </c>
      <c r="Q3756" s="14" t="n">
        <v>4969541.384907801</v>
      </c>
      <c r="R3756" s="15">
        <f>IF(D3756=1,"Section 1","Control")</f>
        <v/>
      </c>
      <c r="S3756" s="16">
        <f>N3756/10000</f>
        <v/>
      </c>
      <c r="T3756" s="16">
        <f>P3756/10000</f>
        <v/>
      </c>
      <c r="U3756" s="15">
        <f>IF(N3756&gt;=Summary!$D$3,1,0)</f>
        <v/>
      </c>
      <c r="V3756" s="17">
        <f>IF(N3756&gt;0,P3756/N3756,"")</f>
        <v/>
      </c>
      <c r="W3756" s="17">
        <f>IF(O3756&gt;0,H3756/O3756,"")</f>
        <v/>
      </c>
    </row>
    <row r="3757">
      <c r="A3757" s="13" t="inlineStr">
        <is>
          <t>CW44_B1</t>
        </is>
      </c>
      <c r="B3757" s="13" t="inlineStr">
        <is>
          <t>CW44</t>
        </is>
      </c>
      <c r="C3757" s="13" t="inlineStr">
        <is>
          <t>B1</t>
        </is>
      </c>
      <c r="D3757" s="13" t="n">
        <v>0</v>
      </c>
      <c r="E3757" s="13" t="inlineStr">
        <is>
          <t>W</t>
        </is>
      </c>
      <c r="F3757" s="13" t="n">
        <v>2023</v>
      </c>
      <c r="G3757" s="14" t="n">
        <v>1000787.256010048</v>
      </c>
      <c r="H3757" s="14" t="n">
        <v>350551.4926433488</v>
      </c>
      <c r="I3757" s="14" t="n">
        <v>175244.5910726211</v>
      </c>
      <c r="J3757" s="14" t="n">
        <v>0</v>
      </c>
      <c r="K3757" s="14" t="n">
        <v>67135.35839508654</v>
      </c>
      <c r="L3757" s="14" t="n">
        <v>407855.8138989917</v>
      </c>
      <c r="M3757" s="14" t="n">
        <v>0</v>
      </c>
      <c r="N3757" s="14" t="n">
        <v>357399.6994158576</v>
      </c>
      <c r="O3757" s="14" t="n">
        <v>611166.6073898916</v>
      </c>
      <c r="P3757" s="14" t="n">
        <v>25449.99250760546</v>
      </c>
      <c r="Q3757" s="14" t="n">
        <v>4969541.384907801</v>
      </c>
      <c r="R3757" s="15">
        <f>IF(D3757=1,"Section 1","Control")</f>
        <v/>
      </c>
      <c r="S3757" s="16">
        <f>N3757/10000</f>
        <v/>
      </c>
      <c r="T3757" s="16">
        <f>P3757/10000</f>
        <v/>
      </c>
      <c r="U3757" s="15">
        <f>IF(N3757&gt;=Summary!$D$3,1,0)</f>
        <v/>
      </c>
      <c r="V3757" s="17">
        <f>IF(N3757&gt;0,P3757/N3757,"")</f>
        <v/>
      </c>
      <c r="W3757" s="17">
        <f>IF(O3757&gt;0,H3757/O3757,"")</f>
        <v/>
      </c>
    </row>
    <row r="3758">
      <c r="A3758" s="13" t="inlineStr">
        <is>
          <t>CW44_B1</t>
        </is>
      </c>
      <c r="B3758" s="13" t="inlineStr">
        <is>
          <t>CW44</t>
        </is>
      </c>
      <c r="C3758" s="13" t="inlineStr">
        <is>
          <t>B1</t>
        </is>
      </c>
      <c r="D3758" s="13" t="n">
        <v>0</v>
      </c>
      <c r="E3758" s="13" t="inlineStr">
        <is>
          <t>W</t>
        </is>
      </c>
      <c r="F3758" s="13" t="n">
        <v>2024</v>
      </c>
      <c r="G3758" s="14" t="n">
        <v>1000787.256010048</v>
      </c>
      <c r="H3758" s="14" t="n">
        <v>356542.1172763898</v>
      </c>
      <c r="I3758" s="14" t="n">
        <v>179706.7441040039</v>
      </c>
      <c r="J3758" s="14" t="n">
        <v>0</v>
      </c>
      <c r="K3758" s="14" t="n">
        <v>78777.78466464773</v>
      </c>
      <c r="L3758" s="14" t="n">
        <v>385760.6099650065</v>
      </c>
      <c r="M3758" s="14" t="n">
        <v>0</v>
      </c>
      <c r="N3758" s="14" t="n">
        <v>357399.6994158576</v>
      </c>
      <c r="O3758" s="14" t="n">
        <v>611166.6073898916</v>
      </c>
      <c r="P3758" s="14" t="n">
        <v>33465.5048262353</v>
      </c>
      <c r="Q3758" s="14" t="n">
        <v>4969541.384907801</v>
      </c>
      <c r="R3758" s="15">
        <f>IF(D3758=1,"Section 1","Control")</f>
        <v/>
      </c>
      <c r="S3758" s="16">
        <f>N3758/10000</f>
        <v/>
      </c>
      <c r="T3758" s="16">
        <f>P3758/10000</f>
        <v/>
      </c>
      <c r="U3758" s="15">
        <f>IF(N3758&gt;=Summary!$D$3,1,0)</f>
        <v/>
      </c>
      <c r="V3758" s="17">
        <f>IF(N3758&gt;0,P3758/N3758,"")</f>
        <v/>
      </c>
      <c r="W3758" s="17">
        <f>IF(O3758&gt;0,H3758/O3758,"")</f>
        <v/>
      </c>
    </row>
    <row r="3759">
      <c r="A3759" s="13" t="inlineStr">
        <is>
          <t>CW44_B1</t>
        </is>
      </c>
      <c r="B3759" s="13" t="inlineStr">
        <is>
          <t>CW44</t>
        </is>
      </c>
      <c r="C3759" s="13" t="inlineStr">
        <is>
          <t>B1</t>
        </is>
      </c>
      <c r="D3759" s="13" t="n">
        <v>0</v>
      </c>
      <c r="E3759" s="13" t="inlineStr">
        <is>
          <t>W</t>
        </is>
      </c>
      <c r="F3759" s="13" t="n">
        <v>2025</v>
      </c>
      <c r="G3759" s="14" t="n">
        <v>1000787.256010048</v>
      </c>
      <c r="H3759" s="14" t="n">
        <v>326500.6966166776</v>
      </c>
      <c r="I3759" s="14" t="n">
        <v>214770.0873320636</v>
      </c>
      <c r="J3759" s="14" t="n">
        <v>0</v>
      </c>
      <c r="K3759" s="14" t="n">
        <v>60526.39897679348</v>
      </c>
      <c r="L3759" s="14" t="n">
        <v>398990.0730845133</v>
      </c>
      <c r="M3759" s="14" t="n">
        <v>0</v>
      </c>
      <c r="N3759" s="14" t="n">
        <v>357399.6994158576</v>
      </c>
      <c r="O3759" s="14" t="n">
        <v>611166.6073898916</v>
      </c>
      <c r="P3759" s="14" t="n">
        <v>49824.85107745002</v>
      </c>
      <c r="Q3759" s="14" t="n">
        <v>4969541.384907801</v>
      </c>
      <c r="R3759" s="15">
        <f>IF(D3759=1,"Section 1","Control")</f>
        <v/>
      </c>
      <c r="S3759" s="16">
        <f>N3759/10000</f>
        <v/>
      </c>
      <c r="T3759" s="16">
        <f>P3759/10000</f>
        <v/>
      </c>
      <c r="U3759" s="15">
        <f>IF(N3759&gt;=Summary!$D$3,1,0)</f>
        <v/>
      </c>
      <c r="V3759" s="17">
        <f>IF(N3759&gt;0,P3759/N3759,"")</f>
        <v/>
      </c>
      <c r="W3759" s="17">
        <f>IF(O3759&gt;0,H3759/O3759,"")</f>
        <v/>
      </c>
    </row>
    <row r="3760">
      <c r="A3760" s="13" t="inlineStr">
        <is>
          <t>CW44_B1</t>
        </is>
      </c>
      <c r="B3760" s="13" t="inlineStr">
        <is>
          <t>CW44</t>
        </is>
      </c>
      <c r="C3760" s="13" t="inlineStr">
        <is>
          <t>B1</t>
        </is>
      </c>
      <c r="D3760" s="13" t="n">
        <v>0</v>
      </c>
      <c r="E3760" s="13" t="inlineStr">
        <is>
          <t>W</t>
        </is>
      </c>
      <c r="F3760" s="13" t="n">
        <v>2026</v>
      </c>
      <c r="G3760" s="14" t="n">
        <v>1000787.256010048</v>
      </c>
      <c r="H3760" s="14" t="n">
        <v>352047.0998946545</v>
      </c>
      <c r="I3760" s="14" t="n">
        <v>179671.8786584891</v>
      </c>
      <c r="J3760" s="14" t="n">
        <v>0</v>
      </c>
      <c r="K3760" s="14" t="n">
        <v>62581.49200158212</v>
      </c>
      <c r="L3760" s="14" t="n">
        <v>406486.7854553223</v>
      </c>
      <c r="M3760" s="14" t="n">
        <v>0</v>
      </c>
      <c r="N3760" s="14" t="n">
        <v>357399.6994158576</v>
      </c>
      <c r="O3760" s="14" t="n">
        <v>611166.6073898916</v>
      </c>
      <c r="P3760" s="14" t="n">
        <v>36433.53514733408</v>
      </c>
      <c r="Q3760" s="14" t="n">
        <v>4969541.384907801</v>
      </c>
      <c r="R3760" s="15">
        <f>IF(D3760=1,"Section 1","Control")</f>
        <v/>
      </c>
      <c r="S3760" s="16">
        <f>N3760/10000</f>
        <v/>
      </c>
      <c r="T3760" s="16">
        <f>P3760/10000</f>
        <v/>
      </c>
      <c r="U3760" s="15">
        <f>IF(N3760&gt;=Summary!$D$3,1,0)</f>
        <v/>
      </c>
      <c r="V3760" s="17">
        <f>IF(N3760&gt;0,P3760/N3760,"")</f>
        <v/>
      </c>
      <c r="W3760" s="17">
        <f>IF(O3760&gt;0,H3760/O3760,"")</f>
        <v/>
      </c>
    </row>
    <row r="3761">
      <c r="A3761" s="13" t="inlineStr">
        <is>
          <t>CW44_B2</t>
        </is>
      </c>
      <c r="B3761" s="13" t="inlineStr">
        <is>
          <t>CW44</t>
        </is>
      </c>
      <c r="C3761" s="13" t="inlineStr">
        <is>
          <t>B2</t>
        </is>
      </c>
      <c r="D3761" s="13" t="n">
        <v>0</v>
      </c>
      <c r="E3761" s="13" t="inlineStr">
        <is>
          <t>W</t>
        </is>
      </c>
      <c r="F3761" s="13" t="n">
        <v>2020</v>
      </c>
      <c r="G3761" s="14" t="n">
        <v>1000779.022741699</v>
      </c>
      <c r="H3761" s="14" t="n">
        <v>231484.4285045251</v>
      </c>
      <c r="I3761" s="14" t="n">
        <v>3363.260338338216</v>
      </c>
      <c r="J3761" s="14" t="n">
        <v>0</v>
      </c>
      <c r="K3761" s="14" t="n">
        <v>14095.36669356402</v>
      </c>
      <c r="L3761" s="14" t="n">
        <v>751835.9672052721</v>
      </c>
      <c r="M3761" s="14" t="n">
        <v>0</v>
      </c>
      <c r="N3761" s="14" t="n">
        <v>231484.4285045251</v>
      </c>
      <c r="O3761" s="14" t="n">
        <v>248943.0555364273</v>
      </c>
      <c r="P3761" s="14" t="n">
        <v>0</v>
      </c>
      <c r="Q3761" s="14" t="n">
        <v>1909989.824044261</v>
      </c>
      <c r="R3761" s="15">
        <f>IF(D3761=1,"Section 1","Control")</f>
        <v/>
      </c>
      <c r="S3761" s="16">
        <f>N3761/10000</f>
        <v/>
      </c>
      <c r="T3761" s="16">
        <f>P3761/10000</f>
        <v/>
      </c>
      <c r="U3761" s="15">
        <f>IF(N3761&gt;=Summary!$D$3,1,0)</f>
        <v/>
      </c>
      <c r="V3761" s="17">
        <f>IF(N3761&gt;0,P3761/N3761,"")</f>
        <v/>
      </c>
      <c r="W3761" s="17">
        <f>IF(O3761&gt;0,H3761/O3761,"")</f>
        <v/>
      </c>
    </row>
    <row r="3762">
      <c r="A3762" s="13" t="inlineStr">
        <is>
          <t>CW44_B2</t>
        </is>
      </c>
      <c r="B3762" s="13" t="inlineStr">
        <is>
          <t>CW44</t>
        </is>
      </c>
      <c r="C3762" s="13" t="inlineStr">
        <is>
          <t>B2</t>
        </is>
      </c>
      <c r="D3762" s="13" t="n">
        <v>0</v>
      </c>
      <c r="E3762" s="13" t="inlineStr">
        <is>
          <t>W</t>
        </is>
      </c>
      <c r="F3762" s="13" t="n">
        <v>2021</v>
      </c>
      <c r="G3762" s="14" t="n">
        <v>1000779.022741699</v>
      </c>
      <c r="H3762" s="14" t="n">
        <v>231250.5849256628</v>
      </c>
      <c r="I3762" s="14" t="n">
        <v>715.8589683083927</v>
      </c>
      <c r="J3762" s="14" t="n">
        <v>0</v>
      </c>
      <c r="K3762" s="14" t="n">
        <v>23048.07018444585</v>
      </c>
      <c r="L3762" s="14" t="n">
        <v>745764.5086632823</v>
      </c>
      <c r="M3762" s="14" t="n">
        <v>0</v>
      </c>
      <c r="N3762" s="14" t="n">
        <v>231484.428504525</v>
      </c>
      <c r="O3762" s="14" t="n">
        <v>248943.0555364273</v>
      </c>
      <c r="P3762" s="14" t="n">
        <v>3202.201031763413</v>
      </c>
      <c r="Q3762" s="14" t="n">
        <v>1909989.824044261</v>
      </c>
      <c r="R3762" s="15">
        <f>IF(D3762=1,"Section 1","Control")</f>
        <v/>
      </c>
      <c r="S3762" s="16">
        <f>N3762/10000</f>
        <v/>
      </c>
      <c r="T3762" s="16">
        <f>P3762/10000</f>
        <v/>
      </c>
      <c r="U3762" s="15">
        <f>IF(N3762&gt;=Summary!$D$3,1,0)</f>
        <v/>
      </c>
      <c r="V3762" s="17">
        <f>IF(N3762&gt;0,P3762/N3762,"")</f>
        <v/>
      </c>
      <c r="W3762" s="17">
        <f>IF(O3762&gt;0,H3762/O3762,"")</f>
        <v/>
      </c>
    </row>
    <row r="3763">
      <c r="A3763" s="13" t="inlineStr">
        <is>
          <t>CW44_B2</t>
        </is>
      </c>
      <c r="B3763" s="13" t="inlineStr">
        <is>
          <t>CW44</t>
        </is>
      </c>
      <c r="C3763" s="13" t="inlineStr">
        <is>
          <t>B2</t>
        </is>
      </c>
      <c r="D3763" s="13" t="n">
        <v>0</v>
      </c>
      <c r="E3763" s="13" t="inlineStr">
        <is>
          <t>W</t>
        </is>
      </c>
      <c r="F3763" s="13" t="n">
        <v>2022</v>
      </c>
      <c r="G3763" s="14" t="n">
        <v>1000779.022741699</v>
      </c>
      <c r="H3763" s="14" t="n">
        <v>229464.6092560114</v>
      </c>
      <c r="I3763" s="14" t="n">
        <v>1308.214093735639</v>
      </c>
      <c r="J3763" s="14" t="n">
        <v>0</v>
      </c>
      <c r="K3763" s="14" t="n">
        <v>35222.71050178677</v>
      </c>
      <c r="L3763" s="14" t="n">
        <v>734783.4888901655</v>
      </c>
      <c r="M3763" s="14" t="n">
        <v>0</v>
      </c>
      <c r="N3763" s="14" t="n">
        <v>231484.428504525</v>
      </c>
      <c r="O3763" s="14" t="n">
        <v>248943.0555364273</v>
      </c>
      <c r="P3763" s="14" t="n">
        <v>4790.724362242456</v>
      </c>
      <c r="Q3763" s="14" t="n">
        <v>1909989.824044261</v>
      </c>
      <c r="R3763" s="15">
        <f>IF(D3763=1,"Section 1","Control")</f>
        <v/>
      </c>
      <c r="S3763" s="16">
        <f>N3763/10000</f>
        <v/>
      </c>
      <c r="T3763" s="16">
        <f>P3763/10000</f>
        <v/>
      </c>
      <c r="U3763" s="15">
        <f>IF(N3763&gt;=Summary!$D$3,1,0)</f>
        <v/>
      </c>
      <c r="V3763" s="17">
        <f>IF(N3763&gt;0,P3763/N3763,"")</f>
        <v/>
      </c>
      <c r="W3763" s="17">
        <f>IF(O3763&gt;0,H3763/O3763,"")</f>
        <v/>
      </c>
    </row>
    <row r="3764">
      <c r="A3764" s="13" t="inlineStr">
        <is>
          <t>CW44_B2</t>
        </is>
      </c>
      <c r="B3764" s="13" t="inlineStr">
        <is>
          <t>CW44</t>
        </is>
      </c>
      <c r="C3764" s="13" t="inlineStr">
        <is>
          <t>B2</t>
        </is>
      </c>
      <c r="D3764" s="13" t="n">
        <v>0</v>
      </c>
      <c r="E3764" s="13" t="inlineStr">
        <is>
          <t>W</t>
        </is>
      </c>
      <c r="F3764" s="13" t="n">
        <v>2023</v>
      </c>
      <c r="G3764" s="14" t="n">
        <v>1000779.022741699</v>
      </c>
      <c r="H3764" s="14" t="n">
        <v>227323.6116564583</v>
      </c>
      <c r="I3764" s="14" t="n">
        <v>1480.88818359375</v>
      </c>
      <c r="J3764" s="14" t="n">
        <v>0</v>
      </c>
      <c r="K3764" s="14" t="n">
        <v>20831.18862678677</v>
      </c>
      <c r="L3764" s="14" t="n">
        <v>751143.3342748604</v>
      </c>
      <c r="M3764" s="14" t="n">
        <v>0</v>
      </c>
      <c r="N3764" s="14" t="n">
        <v>231484.428504525</v>
      </c>
      <c r="O3764" s="14" t="n">
        <v>248943.0555364273</v>
      </c>
      <c r="P3764" s="14" t="n">
        <v>6536.818931400075</v>
      </c>
      <c r="Q3764" s="14" t="n">
        <v>1909989.824044261</v>
      </c>
      <c r="R3764" s="15">
        <f>IF(D3764=1,"Section 1","Control")</f>
        <v/>
      </c>
      <c r="S3764" s="16">
        <f>N3764/10000</f>
        <v/>
      </c>
      <c r="T3764" s="16">
        <f>P3764/10000</f>
        <v/>
      </c>
      <c r="U3764" s="15">
        <f>IF(N3764&gt;=Summary!$D$3,1,0)</f>
        <v/>
      </c>
      <c r="V3764" s="17">
        <f>IF(N3764&gt;0,P3764/N3764,"")</f>
        <v/>
      </c>
      <c r="W3764" s="17">
        <f>IF(O3764&gt;0,H3764/O3764,"")</f>
        <v/>
      </c>
    </row>
    <row r="3765">
      <c r="A3765" s="13" t="inlineStr">
        <is>
          <t>CW44_B2</t>
        </is>
      </c>
      <c r="B3765" s="13" t="inlineStr">
        <is>
          <t>CW44</t>
        </is>
      </c>
      <c r="C3765" s="13" t="inlineStr">
        <is>
          <t>B2</t>
        </is>
      </c>
      <c r="D3765" s="13" t="n">
        <v>0</v>
      </c>
      <c r="E3765" s="13" t="inlineStr">
        <is>
          <t>W</t>
        </is>
      </c>
      <c r="F3765" s="13" t="n">
        <v>2024</v>
      </c>
      <c r="G3765" s="14" t="n">
        <v>1000779.022741699</v>
      </c>
      <c r="H3765" s="14" t="n">
        <v>223584.4093361351</v>
      </c>
      <c r="I3765" s="14" t="n">
        <v>320.955968430463</v>
      </c>
      <c r="J3765" s="14" t="n">
        <v>0</v>
      </c>
      <c r="K3765" s="14" t="n">
        <v>28363.39485677084</v>
      </c>
      <c r="L3765" s="14" t="n">
        <v>748510.262580363</v>
      </c>
      <c r="M3765" s="14" t="n">
        <v>0</v>
      </c>
      <c r="N3765" s="14" t="n">
        <v>231484.428504525</v>
      </c>
      <c r="O3765" s="14" t="n">
        <v>248943.0555364273</v>
      </c>
      <c r="P3765" s="14" t="n">
        <v>11065.82796864229</v>
      </c>
      <c r="Q3765" s="14" t="n">
        <v>1909989.824044261</v>
      </c>
      <c r="R3765" s="15">
        <f>IF(D3765=1,"Section 1","Control")</f>
        <v/>
      </c>
      <c r="S3765" s="16">
        <f>N3765/10000</f>
        <v/>
      </c>
      <c r="T3765" s="16">
        <f>P3765/10000</f>
        <v/>
      </c>
      <c r="U3765" s="15">
        <f>IF(N3765&gt;=Summary!$D$3,1,0)</f>
        <v/>
      </c>
      <c r="V3765" s="17">
        <f>IF(N3765&gt;0,P3765/N3765,"")</f>
        <v/>
      </c>
      <c r="W3765" s="17">
        <f>IF(O3765&gt;0,H3765/O3765,"")</f>
        <v/>
      </c>
    </row>
    <row r="3766">
      <c r="A3766" s="13" t="inlineStr">
        <is>
          <t>CW44_B2</t>
        </is>
      </c>
      <c r="B3766" s="13" t="inlineStr">
        <is>
          <t>CW44</t>
        </is>
      </c>
      <c r="C3766" s="13" t="inlineStr">
        <is>
          <t>B2</t>
        </is>
      </c>
      <c r="D3766" s="13" t="n">
        <v>0</v>
      </c>
      <c r="E3766" s="13" t="inlineStr">
        <is>
          <t>W</t>
        </is>
      </c>
      <c r="F3766" s="13" t="n">
        <v>2025</v>
      </c>
      <c r="G3766" s="14" t="n">
        <v>1000779.022741699</v>
      </c>
      <c r="H3766" s="14" t="n">
        <v>220798.0149233352</v>
      </c>
      <c r="I3766" s="14" t="n">
        <v>1688.018640525668</v>
      </c>
      <c r="J3766" s="14" t="n">
        <v>0</v>
      </c>
      <c r="K3766" s="14" t="n">
        <v>26297.11643799426</v>
      </c>
      <c r="L3766" s="14" t="n">
        <v>751995.8727398443</v>
      </c>
      <c r="M3766" s="14" t="n">
        <v>0</v>
      </c>
      <c r="N3766" s="14" t="n">
        <v>231484.428504525</v>
      </c>
      <c r="O3766" s="14" t="n">
        <v>248943.0555364273</v>
      </c>
      <c r="P3766" s="14" t="n">
        <v>12574.59397418452</v>
      </c>
      <c r="Q3766" s="14" t="n">
        <v>1909989.824044261</v>
      </c>
      <c r="R3766" s="15">
        <f>IF(D3766=1,"Section 1","Control")</f>
        <v/>
      </c>
      <c r="S3766" s="16">
        <f>N3766/10000</f>
        <v/>
      </c>
      <c r="T3766" s="16">
        <f>P3766/10000</f>
        <v/>
      </c>
      <c r="U3766" s="15">
        <f>IF(N3766&gt;=Summary!$D$3,1,0)</f>
        <v/>
      </c>
      <c r="V3766" s="17">
        <f>IF(N3766&gt;0,P3766/N3766,"")</f>
        <v/>
      </c>
      <c r="W3766" s="17">
        <f>IF(O3766&gt;0,H3766/O3766,"")</f>
        <v/>
      </c>
    </row>
    <row r="3767">
      <c r="A3767" s="13" t="inlineStr">
        <is>
          <t>CW44_B2</t>
        </is>
      </c>
      <c r="B3767" s="13" t="inlineStr">
        <is>
          <t>CW44</t>
        </is>
      </c>
      <c r="C3767" s="13" t="inlineStr">
        <is>
          <t>B2</t>
        </is>
      </c>
      <c r="D3767" s="13" t="n">
        <v>0</v>
      </c>
      <c r="E3767" s="13" t="inlineStr">
        <is>
          <t>W</t>
        </is>
      </c>
      <c r="F3767" s="13" t="n">
        <v>2026</v>
      </c>
      <c r="G3767" s="14" t="n">
        <v>1000779.022741699</v>
      </c>
      <c r="H3767" s="14" t="n">
        <v>220664.4423927457</v>
      </c>
      <c r="I3767" s="14" t="n">
        <v>691.0810699462891</v>
      </c>
      <c r="J3767" s="14" t="n">
        <v>0</v>
      </c>
      <c r="K3767" s="14" t="n">
        <v>24242.07849776324</v>
      </c>
      <c r="L3767" s="14" t="n">
        <v>755181.4207812439</v>
      </c>
      <c r="M3767" s="14" t="n">
        <v>0</v>
      </c>
      <c r="N3767" s="14" t="n">
        <v>231484.428504525</v>
      </c>
      <c r="O3767" s="14" t="n">
        <v>248943.0555364273</v>
      </c>
      <c r="P3767" s="14" t="n">
        <v>13492.16593711703</v>
      </c>
      <c r="Q3767" s="14" t="n">
        <v>1909989.824044261</v>
      </c>
      <c r="R3767" s="15">
        <f>IF(D3767=1,"Section 1","Control")</f>
        <v/>
      </c>
      <c r="S3767" s="16">
        <f>N3767/10000</f>
        <v/>
      </c>
      <c r="T3767" s="16">
        <f>P3767/10000</f>
        <v/>
      </c>
      <c r="U3767" s="15">
        <f>IF(N3767&gt;=Summary!$D$3,1,0)</f>
        <v/>
      </c>
      <c r="V3767" s="17">
        <f>IF(N3767&gt;0,P3767/N3767,"")</f>
        <v/>
      </c>
      <c r="W3767" s="17">
        <f>IF(O3767&gt;0,H3767/O3767,"")</f>
        <v/>
      </c>
    </row>
    <row r="3768">
      <c r="A3768" s="13" t="inlineStr">
        <is>
          <t>CW44_B3</t>
        </is>
      </c>
      <c r="B3768" s="13" t="inlineStr">
        <is>
          <t>CW44</t>
        </is>
      </c>
      <c r="C3768" s="13" t="inlineStr">
        <is>
          <t>B3</t>
        </is>
      </c>
      <c r="D3768" s="13" t="n">
        <v>0</v>
      </c>
      <c r="E3768" s="13" t="inlineStr">
        <is>
          <t>W</t>
        </is>
      </c>
      <c r="F3768" s="13" t="n">
        <v>2020</v>
      </c>
      <c r="G3768" s="14" t="n">
        <v>8005180.246258873</v>
      </c>
      <c r="H3768" s="14" t="n">
        <v>3753141.106786063</v>
      </c>
      <c r="I3768" s="14" t="n">
        <v>224394.0373742795</v>
      </c>
      <c r="J3768" s="14" t="n">
        <v>0</v>
      </c>
      <c r="K3768" s="14" t="n">
        <v>36532.21811577292</v>
      </c>
      <c r="L3768" s="14" t="n">
        <v>3991112.883982759</v>
      </c>
      <c r="M3768" s="14" t="n">
        <v>0</v>
      </c>
      <c r="N3768" s="14" t="n">
        <v>3753141.106786063</v>
      </c>
      <c r="O3768" s="14" t="n">
        <v>4014067.362276115</v>
      </c>
      <c r="P3768" s="14" t="n">
        <v>0</v>
      </c>
      <c r="Q3768" s="14" t="n">
        <v>20804557.14503458</v>
      </c>
      <c r="R3768" s="15">
        <f>IF(D3768=1,"Section 1","Control")</f>
        <v/>
      </c>
      <c r="S3768" s="16">
        <f>N3768/10000</f>
        <v/>
      </c>
      <c r="T3768" s="16">
        <f>P3768/10000</f>
        <v/>
      </c>
      <c r="U3768" s="15">
        <f>IF(N3768&gt;=Summary!$D$3,1,0)</f>
        <v/>
      </c>
      <c r="V3768" s="17">
        <f>IF(N3768&gt;0,P3768/N3768,"")</f>
        <v/>
      </c>
      <c r="W3768" s="17">
        <f>IF(O3768&gt;0,H3768/O3768,"")</f>
        <v/>
      </c>
    </row>
    <row r="3769">
      <c r="A3769" s="13" t="inlineStr">
        <is>
          <t>CW44_B3</t>
        </is>
      </c>
      <c r="B3769" s="13" t="inlineStr">
        <is>
          <t>CW44</t>
        </is>
      </c>
      <c r="C3769" s="13" t="inlineStr">
        <is>
          <t>B3</t>
        </is>
      </c>
      <c r="D3769" s="13" t="n">
        <v>0</v>
      </c>
      <c r="E3769" s="13" t="inlineStr">
        <is>
          <t>W</t>
        </is>
      </c>
      <c r="F3769" s="13" t="n">
        <v>2021</v>
      </c>
      <c r="G3769" s="14" t="n">
        <v>8005180.246258873</v>
      </c>
      <c r="H3769" s="14" t="n">
        <v>3833144.526111768</v>
      </c>
      <c r="I3769" s="14" t="n">
        <v>65385.74259188783</v>
      </c>
      <c r="J3769" s="14" t="n">
        <v>0</v>
      </c>
      <c r="K3769" s="14" t="n">
        <v>119813.6477064843</v>
      </c>
      <c r="L3769" s="14" t="n">
        <v>3986836.329848734</v>
      </c>
      <c r="M3769" s="14" t="n">
        <v>0</v>
      </c>
      <c r="N3769" s="14" t="n">
        <v>3753141.106786063</v>
      </c>
      <c r="O3769" s="14" t="n">
        <v>4014067.362276115</v>
      </c>
      <c r="P3769" s="14" t="n">
        <v>87970.38913834517</v>
      </c>
      <c r="Q3769" s="14" t="n">
        <v>20804557.14503458</v>
      </c>
      <c r="R3769" s="15">
        <f>IF(D3769=1,"Section 1","Control")</f>
        <v/>
      </c>
      <c r="S3769" s="16">
        <f>N3769/10000</f>
        <v/>
      </c>
      <c r="T3769" s="16">
        <f>P3769/10000</f>
        <v/>
      </c>
      <c r="U3769" s="15">
        <f>IF(N3769&gt;=Summary!$D$3,1,0)</f>
        <v/>
      </c>
      <c r="V3769" s="17">
        <f>IF(N3769&gt;0,P3769/N3769,"")</f>
        <v/>
      </c>
      <c r="W3769" s="17">
        <f>IF(O3769&gt;0,H3769/O3769,"")</f>
        <v/>
      </c>
    </row>
    <row r="3770">
      <c r="A3770" s="13" t="inlineStr">
        <is>
          <t>CW44_B3</t>
        </is>
      </c>
      <c r="B3770" s="13" t="inlineStr">
        <is>
          <t>CW44</t>
        </is>
      </c>
      <c r="C3770" s="13" t="inlineStr">
        <is>
          <t>B3</t>
        </is>
      </c>
      <c r="D3770" s="13" t="n">
        <v>0</v>
      </c>
      <c r="E3770" s="13" t="inlineStr">
        <is>
          <t>W</t>
        </is>
      </c>
      <c r="F3770" s="13" t="n">
        <v>2022</v>
      </c>
      <c r="G3770" s="14" t="n">
        <v>8005180.246258873</v>
      </c>
      <c r="H3770" s="14" t="n">
        <v>3712010.032422863</v>
      </c>
      <c r="I3770" s="14" t="n">
        <v>208952.7123763739</v>
      </c>
      <c r="J3770" s="14" t="n">
        <v>0</v>
      </c>
      <c r="K3770" s="14" t="n">
        <v>102256.2787238626</v>
      </c>
      <c r="L3770" s="14" t="n">
        <v>3981961.222735775</v>
      </c>
      <c r="M3770" s="14" t="n">
        <v>0</v>
      </c>
      <c r="N3770" s="14" t="n">
        <v>3753141.106786063</v>
      </c>
      <c r="O3770" s="14" t="n">
        <v>4014067.362276116</v>
      </c>
      <c r="P3770" s="14" t="n">
        <v>127561.264718598</v>
      </c>
      <c r="Q3770" s="14" t="n">
        <v>20804557.14503458</v>
      </c>
      <c r="R3770" s="15">
        <f>IF(D3770=1,"Section 1","Control")</f>
        <v/>
      </c>
      <c r="S3770" s="16">
        <f>N3770/10000</f>
        <v/>
      </c>
      <c r="T3770" s="16">
        <f>P3770/10000</f>
        <v/>
      </c>
      <c r="U3770" s="15">
        <f>IF(N3770&gt;=Summary!$D$3,1,0)</f>
        <v/>
      </c>
      <c r="V3770" s="17">
        <f>IF(N3770&gt;0,P3770/N3770,"")</f>
        <v/>
      </c>
      <c r="W3770" s="17">
        <f>IF(O3770&gt;0,H3770/O3770,"")</f>
        <v/>
      </c>
    </row>
    <row r="3771">
      <c r="A3771" s="13" t="inlineStr">
        <is>
          <t>CW44_B3</t>
        </is>
      </c>
      <c r="B3771" s="13" t="inlineStr">
        <is>
          <t>CW44</t>
        </is>
      </c>
      <c r="C3771" s="13" t="inlineStr">
        <is>
          <t>B3</t>
        </is>
      </c>
      <c r="D3771" s="13" t="n">
        <v>0</v>
      </c>
      <c r="E3771" s="13" t="inlineStr">
        <is>
          <t>W</t>
        </is>
      </c>
      <c r="F3771" s="13" t="n">
        <v>2023</v>
      </c>
      <c r="G3771" s="14" t="n">
        <v>8005180.246258873</v>
      </c>
      <c r="H3771" s="14" t="n">
        <v>3716905.246513965</v>
      </c>
      <c r="I3771" s="14" t="n">
        <v>207427.7846812528</v>
      </c>
      <c r="J3771" s="14" t="n">
        <v>0</v>
      </c>
      <c r="K3771" s="14" t="n">
        <v>84434.91690772561</v>
      </c>
      <c r="L3771" s="14" t="n">
        <v>3996412.29815593</v>
      </c>
      <c r="M3771" s="14" t="n">
        <v>0</v>
      </c>
      <c r="N3771" s="14" t="n">
        <v>3753141.106786063</v>
      </c>
      <c r="O3771" s="14" t="n">
        <v>4014067.362276115</v>
      </c>
      <c r="P3771" s="14" t="n">
        <v>115471.2466677198</v>
      </c>
      <c r="Q3771" s="14" t="n">
        <v>20804557.14503458</v>
      </c>
      <c r="R3771" s="15">
        <f>IF(D3771=1,"Section 1","Control")</f>
        <v/>
      </c>
      <c r="S3771" s="16">
        <f>N3771/10000</f>
        <v/>
      </c>
      <c r="T3771" s="16">
        <f>P3771/10000</f>
        <v/>
      </c>
      <c r="U3771" s="15">
        <f>IF(N3771&gt;=Summary!$D$3,1,0)</f>
        <v/>
      </c>
      <c r="V3771" s="17">
        <f>IF(N3771&gt;0,P3771/N3771,"")</f>
        <v/>
      </c>
      <c r="W3771" s="17">
        <f>IF(O3771&gt;0,H3771/O3771,"")</f>
        <v/>
      </c>
    </row>
    <row r="3772">
      <c r="A3772" s="13" t="inlineStr">
        <is>
          <t>CW44_B3</t>
        </is>
      </c>
      <c r="B3772" s="13" t="inlineStr">
        <is>
          <t>CW44</t>
        </is>
      </c>
      <c r="C3772" s="13" t="inlineStr">
        <is>
          <t>B3</t>
        </is>
      </c>
      <c r="D3772" s="13" t="n">
        <v>0</v>
      </c>
      <c r="E3772" s="13" t="inlineStr">
        <is>
          <t>W</t>
        </is>
      </c>
      <c r="F3772" s="13" t="n">
        <v>2024</v>
      </c>
      <c r="G3772" s="14" t="n">
        <v>8005180.246258873</v>
      </c>
      <c r="H3772" s="14" t="n">
        <v>3704612.145371141</v>
      </c>
      <c r="I3772" s="14" t="n">
        <v>226997.3215249753</v>
      </c>
      <c r="J3772" s="14" t="n">
        <v>0</v>
      </c>
      <c r="K3772" s="14" t="n">
        <v>84161.78150841208</v>
      </c>
      <c r="L3772" s="14" t="n">
        <v>3989408.997854344</v>
      </c>
      <c r="M3772" s="14" t="n">
        <v>0</v>
      </c>
      <c r="N3772" s="14" t="n">
        <v>3753141.106786063</v>
      </c>
      <c r="O3772" s="14" t="n">
        <v>4014067.362276115</v>
      </c>
      <c r="P3772" s="14" t="n">
        <v>130693.7751643461</v>
      </c>
      <c r="Q3772" s="14" t="n">
        <v>20804557.14503458</v>
      </c>
      <c r="R3772" s="15">
        <f>IF(D3772=1,"Section 1","Control")</f>
        <v/>
      </c>
      <c r="S3772" s="16">
        <f>N3772/10000</f>
        <v/>
      </c>
      <c r="T3772" s="16">
        <f>P3772/10000</f>
        <v/>
      </c>
      <c r="U3772" s="15">
        <f>IF(N3772&gt;=Summary!$D$3,1,0)</f>
        <v/>
      </c>
      <c r="V3772" s="17">
        <f>IF(N3772&gt;0,P3772/N3772,"")</f>
        <v/>
      </c>
      <c r="W3772" s="17">
        <f>IF(O3772&gt;0,H3772/O3772,"")</f>
        <v/>
      </c>
    </row>
    <row r="3773">
      <c r="A3773" s="13" t="inlineStr">
        <is>
          <t>CW44_B3</t>
        </is>
      </c>
      <c r="B3773" s="13" t="inlineStr">
        <is>
          <t>CW44</t>
        </is>
      </c>
      <c r="C3773" s="13" t="inlineStr">
        <is>
          <t>B3</t>
        </is>
      </c>
      <c r="D3773" s="13" t="n">
        <v>0</v>
      </c>
      <c r="E3773" s="13" t="inlineStr">
        <is>
          <t>W</t>
        </is>
      </c>
      <c r="F3773" s="13" t="n">
        <v>2025</v>
      </c>
      <c r="G3773" s="14" t="n">
        <v>8005180.246258873</v>
      </c>
      <c r="H3773" s="14" t="n">
        <v>3693695.450324564</v>
      </c>
      <c r="I3773" s="14" t="n">
        <v>245148.6476761463</v>
      </c>
      <c r="J3773" s="14" t="n">
        <v>0</v>
      </c>
      <c r="K3773" s="14" t="n">
        <v>74483.02328874177</v>
      </c>
      <c r="L3773" s="14" t="n">
        <v>3991853.124969422</v>
      </c>
      <c r="M3773" s="14" t="n">
        <v>0</v>
      </c>
      <c r="N3773" s="14" t="n">
        <v>3753141.106786063</v>
      </c>
      <c r="O3773" s="14" t="n">
        <v>4014067.362276115</v>
      </c>
      <c r="P3773" s="14" t="n">
        <v>146395.6453483133</v>
      </c>
      <c r="Q3773" s="14" t="n">
        <v>20804557.14503458</v>
      </c>
      <c r="R3773" s="15">
        <f>IF(D3773=1,"Section 1","Control")</f>
        <v/>
      </c>
      <c r="S3773" s="16">
        <f>N3773/10000</f>
        <v/>
      </c>
      <c r="T3773" s="16">
        <f>P3773/10000</f>
        <v/>
      </c>
      <c r="U3773" s="15">
        <f>IF(N3773&gt;=Summary!$D$3,1,0)</f>
        <v/>
      </c>
      <c r="V3773" s="17">
        <f>IF(N3773&gt;0,P3773/N3773,"")</f>
        <v/>
      </c>
      <c r="W3773" s="17">
        <f>IF(O3773&gt;0,H3773/O3773,"")</f>
        <v/>
      </c>
    </row>
    <row r="3774">
      <c r="A3774" s="13" t="inlineStr">
        <is>
          <t>CW44_B3</t>
        </is>
      </c>
      <c r="B3774" s="13" t="inlineStr">
        <is>
          <t>CW44</t>
        </is>
      </c>
      <c r="C3774" s="13" t="inlineStr">
        <is>
          <t>B3</t>
        </is>
      </c>
      <c r="D3774" s="13" t="n">
        <v>0</v>
      </c>
      <c r="E3774" s="13" t="inlineStr">
        <is>
          <t>W</t>
        </is>
      </c>
      <c r="F3774" s="13" t="n">
        <v>2026</v>
      </c>
      <c r="G3774" s="14" t="n">
        <v>8005180.246258873</v>
      </c>
      <c r="H3774" s="14" t="n">
        <v>3703434.710506485</v>
      </c>
      <c r="I3774" s="14" t="n">
        <v>220174.6642056035</v>
      </c>
      <c r="J3774" s="14" t="n">
        <v>0</v>
      </c>
      <c r="K3774" s="14" t="n">
        <v>86318.49377725639</v>
      </c>
      <c r="L3774" s="14" t="n">
        <v>3995252.37776953</v>
      </c>
      <c r="M3774" s="14" t="n">
        <v>0</v>
      </c>
      <c r="N3774" s="14" t="n">
        <v>3753141.106786063</v>
      </c>
      <c r="O3774" s="14" t="n">
        <v>4014067.362276115</v>
      </c>
      <c r="P3774" s="14" t="n">
        <v>174577.600963039</v>
      </c>
      <c r="Q3774" s="14" t="n">
        <v>20804557.14503458</v>
      </c>
      <c r="R3774" s="15">
        <f>IF(D3774=1,"Section 1","Control")</f>
        <v/>
      </c>
      <c r="S3774" s="16">
        <f>N3774/10000</f>
        <v/>
      </c>
      <c r="T3774" s="16">
        <f>P3774/10000</f>
        <v/>
      </c>
      <c r="U3774" s="15">
        <f>IF(N3774&gt;=Summary!$D$3,1,0)</f>
        <v/>
      </c>
      <c r="V3774" s="17">
        <f>IF(N3774&gt;0,P3774/N3774,"")</f>
        <v/>
      </c>
      <c r="W3774" s="17">
        <f>IF(O3774&gt;0,H3774/O3774,"")</f>
        <v/>
      </c>
    </row>
    <row r="3775">
      <c r="A3775" s="13" t="inlineStr">
        <is>
          <t>CW44_F</t>
        </is>
      </c>
      <c r="B3775" s="13" t="inlineStr">
        <is>
          <t>CW44</t>
        </is>
      </c>
      <c r="C3775" s="13" t="inlineStr">
        <is>
          <t>F</t>
        </is>
      </c>
      <c r="D3775" s="13" t="n">
        <v>0</v>
      </c>
      <c r="E3775" s="13" t="inlineStr">
        <is>
          <t>W</t>
        </is>
      </c>
      <c r="F3775" s="13" t="n">
        <v>2020</v>
      </c>
      <c r="G3775" s="14" t="n">
        <v>69527.34711450317</v>
      </c>
      <c r="H3775" s="14" t="n">
        <v>51304.9696298936</v>
      </c>
      <c r="I3775" s="14" t="n">
        <v>15445.61981054568</v>
      </c>
      <c r="J3775" s="14" t="n">
        <v>0</v>
      </c>
      <c r="K3775" s="14" t="n">
        <v>2776.757674063888</v>
      </c>
      <c r="L3775" s="14" t="n">
        <v>0</v>
      </c>
      <c r="M3775" s="14" t="n">
        <v>0</v>
      </c>
      <c r="N3775" s="14" t="n">
        <v>51304.9696298936</v>
      </c>
      <c r="O3775" s="14" t="n">
        <v>69527.34711450317</v>
      </c>
      <c r="P3775" s="14" t="n">
        <v>0</v>
      </c>
      <c r="Q3775" s="14" t="n">
        <v>761500.2370143515</v>
      </c>
      <c r="R3775" s="15">
        <f>IF(D3775=1,"Section 1","Control")</f>
        <v/>
      </c>
      <c r="S3775" s="16">
        <f>N3775/10000</f>
        <v/>
      </c>
      <c r="T3775" s="16">
        <f>P3775/10000</f>
        <v/>
      </c>
      <c r="U3775" s="15">
        <f>IF(N3775&gt;=Summary!$D$3,1,0)</f>
        <v/>
      </c>
      <c r="V3775" s="17">
        <f>IF(N3775&gt;0,P3775/N3775,"")</f>
        <v/>
      </c>
      <c r="W3775" s="17">
        <f>IF(O3775&gt;0,H3775/O3775,"")</f>
        <v/>
      </c>
    </row>
    <row r="3776">
      <c r="A3776" s="13" t="inlineStr">
        <is>
          <t>CW44_F</t>
        </is>
      </c>
      <c r="B3776" s="13" t="inlineStr">
        <is>
          <t>CW44</t>
        </is>
      </c>
      <c r="C3776" s="13" t="inlineStr">
        <is>
          <t>F</t>
        </is>
      </c>
      <c r="D3776" s="13" t="n">
        <v>0</v>
      </c>
      <c r="E3776" s="13" t="inlineStr">
        <is>
          <t>W</t>
        </is>
      </c>
      <c r="F3776" s="13" t="n">
        <v>2021</v>
      </c>
      <c r="G3776" s="14" t="n">
        <v>69527.34711450317</v>
      </c>
      <c r="H3776" s="14" t="n">
        <v>52970.94554392498</v>
      </c>
      <c r="I3776" s="14" t="n">
        <v>9424.795175320494</v>
      </c>
      <c r="J3776" s="14" t="n">
        <v>0</v>
      </c>
      <c r="K3776" s="14" t="n">
        <v>7131.606395257688</v>
      </c>
      <c r="L3776" s="14" t="n">
        <v>0</v>
      </c>
      <c r="M3776" s="14" t="n">
        <v>0</v>
      </c>
      <c r="N3776" s="14" t="n">
        <v>51304.9696298936</v>
      </c>
      <c r="O3776" s="14" t="n">
        <v>69527.34711450317</v>
      </c>
      <c r="P3776" s="14" t="n">
        <v>4039.695421076756</v>
      </c>
      <c r="Q3776" s="14" t="n">
        <v>761500.2370143515</v>
      </c>
      <c r="R3776" s="15">
        <f>IF(D3776=1,"Section 1","Control")</f>
        <v/>
      </c>
      <c r="S3776" s="16">
        <f>N3776/10000</f>
        <v/>
      </c>
      <c r="T3776" s="16">
        <f>P3776/10000</f>
        <v/>
      </c>
      <c r="U3776" s="15">
        <f>IF(N3776&gt;=Summary!$D$3,1,0)</f>
        <v/>
      </c>
      <c r="V3776" s="17">
        <f>IF(N3776&gt;0,P3776/N3776,"")</f>
        <v/>
      </c>
      <c r="W3776" s="17">
        <f>IF(O3776&gt;0,H3776/O3776,"")</f>
        <v/>
      </c>
    </row>
    <row r="3777">
      <c r="A3777" s="13" t="inlineStr">
        <is>
          <t>CW44_F</t>
        </is>
      </c>
      <c r="B3777" s="13" t="inlineStr">
        <is>
          <t>CW44</t>
        </is>
      </c>
      <c r="C3777" s="13" t="inlineStr">
        <is>
          <t>F</t>
        </is>
      </c>
      <c r="D3777" s="13" t="n">
        <v>0</v>
      </c>
      <c r="E3777" s="13" t="inlineStr">
        <is>
          <t>W</t>
        </is>
      </c>
      <c r="F3777" s="13" t="n">
        <v>2022</v>
      </c>
      <c r="G3777" s="14" t="n">
        <v>69527.34711450317</v>
      </c>
      <c r="H3777" s="14" t="n">
        <v>50541.47684221456</v>
      </c>
      <c r="I3777" s="14" t="n">
        <v>13841.58962590835</v>
      </c>
      <c r="J3777" s="14" t="n">
        <v>0</v>
      </c>
      <c r="K3777" s="14" t="n">
        <v>5144.280646380256</v>
      </c>
      <c r="L3777" s="14" t="n">
        <v>0</v>
      </c>
      <c r="M3777" s="14" t="n">
        <v>0</v>
      </c>
      <c r="N3777" s="14" t="n">
        <v>51304.9696298936</v>
      </c>
      <c r="O3777" s="14" t="n">
        <v>69527.34711450317</v>
      </c>
      <c r="P3777" s="14" t="n">
        <v>5183.384713356168</v>
      </c>
      <c r="Q3777" s="14" t="n">
        <v>761500.2370143515</v>
      </c>
      <c r="R3777" s="15">
        <f>IF(D3777=1,"Section 1","Control")</f>
        <v/>
      </c>
      <c r="S3777" s="16">
        <f>N3777/10000</f>
        <v/>
      </c>
      <c r="T3777" s="16">
        <f>P3777/10000</f>
        <v/>
      </c>
      <c r="U3777" s="15">
        <f>IF(N3777&gt;=Summary!$D$3,1,0)</f>
        <v/>
      </c>
      <c r="V3777" s="17">
        <f>IF(N3777&gt;0,P3777/N3777,"")</f>
        <v/>
      </c>
      <c r="W3777" s="17">
        <f>IF(O3777&gt;0,H3777/O3777,"")</f>
        <v/>
      </c>
    </row>
    <row r="3778">
      <c r="A3778" s="13" t="inlineStr">
        <is>
          <t>CW44_F</t>
        </is>
      </c>
      <c r="B3778" s="13" t="inlineStr">
        <is>
          <t>CW44</t>
        </is>
      </c>
      <c r="C3778" s="13" t="inlineStr">
        <is>
          <t>F</t>
        </is>
      </c>
      <c r="D3778" s="13" t="n">
        <v>0</v>
      </c>
      <c r="E3778" s="13" t="inlineStr">
        <is>
          <t>W</t>
        </is>
      </c>
      <c r="F3778" s="13" t="n">
        <v>2023</v>
      </c>
      <c r="G3778" s="14" t="n">
        <v>69527.34711450317</v>
      </c>
      <c r="H3778" s="14" t="n">
        <v>49930.52873933084</v>
      </c>
      <c r="I3778" s="14" t="n">
        <v>13282.13304189046</v>
      </c>
      <c r="J3778" s="14" t="n">
        <v>0</v>
      </c>
      <c r="K3778" s="14" t="n">
        <v>6314.685333281872</v>
      </c>
      <c r="L3778" s="14" t="n">
        <v>0</v>
      </c>
      <c r="M3778" s="14" t="n">
        <v>0</v>
      </c>
      <c r="N3778" s="14" t="n">
        <v>51304.9696298936</v>
      </c>
      <c r="O3778" s="14" t="n">
        <v>69527.34711450317</v>
      </c>
      <c r="P3778" s="14" t="n">
        <v>5372.708962952857</v>
      </c>
      <c r="Q3778" s="14" t="n">
        <v>761500.2370143515</v>
      </c>
      <c r="R3778" s="15">
        <f>IF(D3778=1,"Section 1","Control")</f>
        <v/>
      </c>
      <c r="S3778" s="16">
        <f>N3778/10000</f>
        <v/>
      </c>
      <c r="T3778" s="16">
        <f>P3778/10000</f>
        <v/>
      </c>
      <c r="U3778" s="15">
        <f>IF(N3778&gt;=Summary!$D$3,1,0)</f>
        <v/>
      </c>
      <c r="V3778" s="17">
        <f>IF(N3778&gt;0,P3778/N3778,"")</f>
        <v/>
      </c>
      <c r="W3778" s="17">
        <f>IF(O3778&gt;0,H3778/O3778,"")</f>
        <v/>
      </c>
    </row>
    <row r="3779">
      <c r="A3779" s="13" t="inlineStr">
        <is>
          <t>CW44_F</t>
        </is>
      </c>
      <c r="B3779" s="13" t="inlineStr">
        <is>
          <t>CW44</t>
        </is>
      </c>
      <c r="C3779" s="13" t="inlineStr">
        <is>
          <t>F</t>
        </is>
      </c>
      <c r="D3779" s="13" t="n">
        <v>0</v>
      </c>
      <c r="E3779" s="13" t="inlineStr">
        <is>
          <t>W</t>
        </is>
      </c>
      <c r="F3779" s="13" t="n">
        <v>2024</v>
      </c>
      <c r="G3779" s="14" t="n">
        <v>69527.34711450317</v>
      </c>
      <c r="H3779" s="14" t="n">
        <v>55290.07340889726</v>
      </c>
      <c r="I3779" s="14" t="n">
        <v>7223.75284947414</v>
      </c>
      <c r="J3779" s="14" t="n">
        <v>0</v>
      </c>
      <c r="K3779" s="14" t="n">
        <v>7013.52085613176</v>
      </c>
      <c r="L3779" s="14" t="n">
        <v>0</v>
      </c>
      <c r="M3779" s="14" t="n">
        <v>0</v>
      </c>
      <c r="N3779" s="14" t="n">
        <v>51304.9696298936</v>
      </c>
      <c r="O3779" s="14" t="n">
        <v>69527.34711450317</v>
      </c>
      <c r="P3779" s="14" t="n">
        <v>5291.404557351505</v>
      </c>
      <c r="Q3779" s="14" t="n">
        <v>761500.2370143515</v>
      </c>
      <c r="R3779" s="15">
        <f>IF(D3779=1,"Section 1","Control")</f>
        <v/>
      </c>
      <c r="S3779" s="16">
        <f>N3779/10000</f>
        <v/>
      </c>
      <c r="T3779" s="16">
        <f>P3779/10000</f>
        <v/>
      </c>
      <c r="U3779" s="15">
        <f>IF(N3779&gt;=Summary!$D$3,1,0)</f>
        <v/>
      </c>
      <c r="V3779" s="17">
        <f>IF(N3779&gt;0,P3779/N3779,"")</f>
        <v/>
      </c>
      <c r="W3779" s="17">
        <f>IF(O3779&gt;0,H3779/O3779,"")</f>
        <v/>
      </c>
    </row>
    <row r="3780">
      <c r="A3780" s="13" t="inlineStr">
        <is>
          <t>CW44_F</t>
        </is>
      </c>
      <c r="B3780" s="13" t="inlineStr">
        <is>
          <t>CW44</t>
        </is>
      </c>
      <c r="C3780" s="13" t="inlineStr">
        <is>
          <t>F</t>
        </is>
      </c>
      <c r="D3780" s="13" t="n">
        <v>0</v>
      </c>
      <c r="E3780" s="13" t="inlineStr">
        <is>
          <t>W</t>
        </is>
      </c>
      <c r="F3780" s="13" t="n">
        <v>2025</v>
      </c>
      <c r="G3780" s="14" t="n">
        <v>69527.34711450317</v>
      </c>
      <c r="H3780" s="14" t="n">
        <v>42981.66443215165</v>
      </c>
      <c r="I3780" s="14" t="n">
        <v>22264.00859291226</v>
      </c>
      <c r="J3780" s="14" t="n">
        <v>0</v>
      </c>
      <c r="K3780" s="14" t="n">
        <v>4281.674089439242</v>
      </c>
      <c r="L3780" s="14" t="n">
        <v>0</v>
      </c>
      <c r="M3780" s="14" t="n">
        <v>0</v>
      </c>
      <c r="N3780" s="14" t="n">
        <v>51304.9696298936</v>
      </c>
      <c r="O3780" s="14" t="n">
        <v>69527.34711450317</v>
      </c>
      <c r="P3780" s="14" t="n">
        <v>12629.37007482192</v>
      </c>
      <c r="Q3780" s="14" t="n">
        <v>761500.2370143515</v>
      </c>
      <c r="R3780" s="15">
        <f>IF(D3780=1,"Section 1","Control")</f>
        <v/>
      </c>
      <c r="S3780" s="16">
        <f>N3780/10000</f>
        <v/>
      </c>
      <c r="T3780" s="16">
        <f>P3780/10000</f>
        <v/>
      </c>
      <c r="U3780" s="15">
        <f>IF(N3780&gt;=Summary!$D$3,1,0)</f>
        <v/>
      </c>
      <c r="V3780" s="17">
        <f>IF(N3780&gt;0,P3780/N3780,"")</f>
        <v/>
      </c>
      <c r="W3780" s="17">
        <f>IF(O3780&gt;0,H3780/O3780,"")</f>
        <v/>
      </c>
    </row>
    <row r="3781">
      <c r="A3781" s="13" t="inlineStr">
        <is>
          <t>CW44_F</t>
        </is>
      </c>
      <c r="B3781" s="13" t="inlineStr">
        <is>
          <t>CW44</t>
        </is>
      </c>
      <c r="C3781" s="13" t="inlineStr">
        <is>
          <t>F</t>
        </is>
      </c>
      <c r="D3781" s="13" t="n">
        <v>0</v>
      </c>
      <c r="E3781" s="13" t="inlineStr">
        <is>
          <t>W</t>
        </is>
      </c>
      <c r="F3781" s="13" t="n">
        <v>2026</v>
      </c>
      <c r="G3781" s="14" t="n">
        <v>69527.34711450317</v>
      </c>
      <c r="H3781" s="14" t="n">
        <v>54446.8250450284</v>
      </c>
      <c r="I3781" s="14" t="n">
        <v>8995.426182645911</v>
      </c>
      <c r="J3781" s="14" t="n">
        <v>0</v>
      </c>
      <c r="K3781" s="14" t="n">
        <v>6085.095886828854</v>
      </c>
      <c r="L3781" s="14" t="n">
        <v>0</v>
      </c>
      <c r="M3781" s="14" t="n">
        <v>0</v>
      </c>
      <c r="N3781" s="14" t="n">
        <v>51304.9696298936</v>
      </c>
      <c r="O3781" s="14" t="n">
        <v>69527.34711450317</v>
      </c>
      <c r="P3781" s="14" t="n">
        <v>5100.144161897548</v>
      </c>
      <c r="Q3781" s="14" t="n">
        <v>761500.2370143515</v>
      </c>
      <c r="R3781" s="15">
        <f>IF(D3781=1,"Section 1","Control")</f>
        <v/>
      </c>
      <c r="S3781" s="16">
        <f>N3781/10000</f>
        <v/>
      </c>
      <c r="T3781" s="16">
        <f>P3781/10000</f>
        <v/>
      </c>
      <c r="U3781" s="15">
        <f>IF(N3781&gt;=Summary!$D$3,1,0)</f>
        <v/>
      </c>
      <c r="V3781" s="17">
        <f>IF(N3781&gt;0,P3781/N3781,"")</f>
        <v/>
      </c>
      <c r="W3781" s="17">
        <f>IF(O3781&gt;0,H3781/O3781,"")</f>
        <v/>
      </c>
    </row>
    <row r="3782">
      <c r="A3782" s="13" t="inlineStr">
        <is>
          <t>CW45_B1</t>
        </is>
      </c>
      <c r="B3782" s="13" t="inlineStr">
        <is>
          <t>CW45</t>
        </is>
      </c>
      <c r="C3782" s="13" t="inlineStr">
        <is>
          <t>B1</t>
        </is>
      </c>
      <c r="D3782" s="13" t="n">
        <v>0</v>
      </c>
      <c r="E3782" s="13" t="inlineStr">
        <is>
          <t>W</t>
        </is>
      </c>
      <c r="F3782" s="13" t="n">
        <v>2020</v>
      </c>
      <c r="G3782" s="14" t="n">
        <v>1000450.43541538</v>
      </c>
      <c r="H3782" s="14" t="n">
        <v>437576.9453573491</v>
      </c>
      <c r="I3782" s="14" t="n">
        <v>336570.6706020879</v>
      </c>
      <c r="J3782" s="14" t="n">
        <v>0</v>
      </c>
      <c r="K3782" s="14" t="n">
        <v>38104.94052231733</v>
      </c>
      <c r="L3782" s="14" t="n">
        <v>188197.8789336261</v>
      </c>
      <c r="M3782" s="14" t="n">
        <v>0</v>
      </c>
      <c r="N3782" s="14" t="n">
        <v>437576.9453573491</v>
      </c>
      <c r="O3782" s="14" t="n">
        <v>812252.5564817543</v>
      </c>
      <c r="P3782" s="14" t="n">
        <v>0</v>
      </c>
      <c r="Q3782" s="14" t="n">
        <v>5989704.176403273</v>
      </c>
      <c r="R3782" s="15">
        <f>IF(D3782=1,"Section 1","Control")</f>
        <v/>
      </c>
      <c r="S3782" s="16">
        <f>N3782/10000</f>
        <v/>
      </c>
      <c r="T3782" s="16">
        <f>P3782/10000</f>
        <v/>
      </c>
      <c r="U3782" s="15">
        <f>IF(N3782&gt;=Summary!$D$3,1,0)</f>
        <v/>
      </c>
      <c r="V3782" s="17">
        <f>IF(N3782&gt;0,P3782/N3782,"")</f>
        <v/>
      </c>
      <c r="W3782" s="17">
        <f>IF(O3782&gt;0,H3782/O3782,"")</f>
        <v/>
      </c>
    </row>
    <row r="3783">
      <c r="A3783" s="13" t="inlineStr">
        <is>
          <t>CW45_B1</t>
        </is>
      </c>
      <c r="B3783" s="13" t="inlineStr">
        <is>
          <t>CW45</t>
        </is>
      </c>
      <c r="C3783" s="13" t="inlineStr">
        <is>
          <t>B1</t>
        </is>
      </c>
      <c r="D3783" s="13" t="n">
        <v>0</v>
      </c>
      <c r="E3783" s="13" t="inlineStr">
        <is>
          <t>W</t>
        </is>
      </c>
      <c r="F3783" s="13" t="n">
        <v>2021</v>
      </c>
      <c r="G3783" s="14" t="n">
        <v>1000450.43541538</v>
      </c>
      <c r="H3783" s="14" t="n">
        <v>433437.2668475582</v>
      </c>
      <c r="I3783" s="14" t="n">
        <v>317501.3053995169</v>
      </c>
      <c r="J3783" s="14" t="n">
        <v>0</v>
      </c>
      <c r="K3783" s="14" t="n">
        <v>60962.42945706237</v>
      </c>
      <c r="L3783" s="14" t="n">
        <v>188549.4337112427</v>
      </c>
      <c r="M3783" s="14" t="n">
        <v>0</v>
      </c>
      <c r="N3783" s="14" t="n">
        <v>437576.9453573491</v>
      </c>
      <c r="O3783" s="14" t="n">
        <v>812252.5564817543</v>
      </c>
      <c r="P3783" s="14" t="n">
        <v>35108.59210842357</v>
      </c>
      <c r="Q3783" s="14" t="n">
        <v>5989704.176403273</v>
      </c>
      <c r="R3783" s="15">
        <f>IF(D3783=1,"Section 1","Control")</f>
        <v/>
      </c>
      <c r="S3783" s="16">
        <f>N3783/10000</f>
        <v/>
      </c>
      <c r="T3783" s="16">
        <f>P3783/10000</f>
        <v/>
      </c>
      <c r="U3783" s="15">
        <f>IF(N3783&gt;=Summary!$D$3,1,0)</f>
        <v/>
      </c>
      <c r="V3783" s="17">
        <f>IF(N3783&gt;0,P3783/N3783,"")</f>
        <v/>
      </c>
      <c r="W3783" s="17">
        <f>IF(O3783&gt;0,H3783/O3783,"")</f>
        <v/>
      </c>
    </row>
    <row r="3784">
      <c r="A3784" s="13" t="inlineStr">
        <is>
          <t>CW45_B1</t>
        </is>
      </c>
      <c r="B3784" s="13" t="inlineStr">
        <is>
          <t>CW45</t>
        </is>
      </c>
      <c r="C3784" s="13" t="inlineStr">
        <is>
          <t>B1</t>
        </is>
      </c>
      <c r="D3784" s="13" t="n">
        <v>0</v>
      </c>
      <c r="E3784" s="13" t="inlineStr">
        <is>
          <t>W</t>
        </is>
      </c>
      <c r="F3784" s="13" t="n">
        <v>2022</v>
      </c>
      <c r="G3784" s="14" t="n">
        <v>1000450.43541538</v>
      </c>
      <c r="H3784" s="14" t="n">
        <v>465172.0586042817</v>
      </c>
      <c r="I3784" s="14" t="n">
        <v>298220.888573022</v>
      </c>
      <c r="J3784" s="14" t="n">
        <v>0</v>
      </c>
      <c r="K3784" s="14" t="n">
        <v>48930.45378391042</v>
      </c>
      <c r="L3784" s="14" t="n">
        <v>188127.0344541662</v>
      </c>
      <c r="M3784" s="14" t="n">
        <v>0</v>
      </c>
      <c r="N3784" s="14" t="n">
        <v>437576.9453573491</v>
      </c>
      <c r="O3784" s="14" t="n">
        <v>812252.5564817543</v>
      </c>
      <c r="P3784" s="14" t="n">
        <v>34118.9950364356</v>
      </c>
      <c r="Q3784" s="14" t="n">
        <v>5989704.176403273</v>
      </c>
      <c r="R3784" s="15">
        <f>IF(D3784=1,"Section 1","Control")</f>
        <v/>
      </c>
      <c r="S3784" s="16">
        <f>N3784/10000</f>
        <v/>
      </c>
      <c r="T3784" s="16">
        <f>P3784/10000</f>
        <v/>
      </c>
      <c r="U3784" s="15">
        <f>IF(N3784&gt;=Summary!$D$3,1,0)</f>
        <v/>
      </c>
      <c r="V3784" s="17">
        <f>IF(N3784&gt;0,P3784/N3784,"")</f>
        <v/>
      </c>
      <c r="W3784" s="17">
        <f>IF(O3784&gt;0,H3784/O3784,"")</f>
        <v/>
      </c>
    </row>
    <row r="3785">
      <c r="A3785" s="13" t="inlineStr">
        <is>
          <t>CW45_B1</t>
        </is>
      </c>
      <c r="B3785" s="13" t="inlineStr">
        <is>
          <t>CW45</t>
        </is>
      </c>
      <c r="C3785" s="13" t="inlineStr">
        <is>
          <t>B1</t>
        </is>
      </c>
      <c r="D3785" s="13" t="n">
        <v>0</v>
      </c>
      <c r="E3785" s="13" t="inlineStr">
        <is>
          <t>W</t>
        </is>
      </c>
      <c r="F3785" s="13" t="n">
        <v>2023</v>
      </c>
      <c r="G3785" s="14" t="n">
        <v>1000450.43541538</v>
      </c>
      <c r="H3785" s="14" t="n">
        <v>459997.2126722749</v>
      </c>
      <c r="I3785" s="14" t="n">
        <v>277633.2327196906</v>
      </c>
      <c r="J3785" s="14" t="n">
        <v>0</v>
      </c>
      <c r="K3785" s="14" t="n">
        <v>62653.18880618227</v>
      </c>
      <c r="L3785" s="14" t="n">
        <v>200166.8012172325</v>
      </c>
      <c r="M3785" s="14" t="n">
        <v>0</v>
      </c>
      <c r="N3785" s="14" t="n">
        <v>437576.9453573491</v>
      </c>
      <c r="O3785" s="14" t="n">
        <v>812252.5564817543</v>
      </c>
      <c r="P3785" s="14" t="n">
        <v>36411.78920437682</v>
      </c>
      <c r="Q3785" s="14" t="n">
        <v>5989704.176403273</v>
      </c>
      <c r="R3785" s="15">
        <f>IF(D3785=1,"Section 1","Control")</f>
        <v/>
      </c>
      <c r="S3785" s="16">
        <f>N3785/10000</f>
        <v/>
      </c>
      <c r="T3785" s="16">
        <f>P3785/10000</f>
        <v/>
      </c>
      <c r="U3785" s="15">
        <f>IF(N3785&gt;=Summary!$D$3,1,0)</f>
        <v/>
      </c>
      <c r="V3785" s="17">
        <f>IF(N3785&gt;0,P3785/N3785,"")</f>
        <v/>
      </c>
      <c r="W3785" s="17">
        <f>IF(O3785&gt;0,H3785/O3785,"")</f>
        <v/>
      </c>
    </row>
    <row r="3786">
      <c r="A3786" s="13" t="inlineStr">
        <is>
          <t>CW45_B1</t>
        </is>
      </c>
      <c r="B3786" s="13" t="inlineStr">
        <is>
          <t>CW45</t>
        </is>
      </c>
      <c r="C3786" s="13" t="inlineStr">
        <is>
          <t>B1</t>
        </is>
      </c>
      <c r="D3786" s="13" t="n">
        <v>0</v>
      </c>
      <c r="E3786" s="13" t="inlineStr">
        <is>
          <t>W</t>
        </is>
      </c>
      <c r="F3786" s="13" t="n">
        <v>2024</v>
      </c>
      <c r="G3786" s="14" t="n">
        <v>1000450.43541538</v>
      </c>
      <c r="H3786" s="14" t="n">
        <v>496022.6095792287</v>
      </c>
      <c r="I3786" s="14" t="n">
        <v>238310.7528733496</v>
      </c>
      <c r="J3786" s="14" t="n">
        <v>0</v>
      </c>
      <c r="K3786" s="14" t="n">
        <v>70019.00571636125</v>
      </c>
      <c r="L3786" s="14" t="n">
        <v>196098.0672464408</v>
      </c>
      <c r="M3786" s="14" t="n">
        <v>0</v>
      </c>
      <c r="N3786" s="14" t="n">
        <v>437576.9453573491</v>
      </c>
      <c r="O3786" s="14" t="n">
        <v>812252.5564817543</v>
      </c>
      <c r="P3786" s="14" t="n">
        <v>32919.94466005214</v>
      </c>
      <c r="Q3786" s="14" t="n">
        <v>5989704.176403273</v>
      </c>
      <c r="R3786" s="15">
        <f>IF(D3786=1,"Section 1","Control")</f>
        <v/>
      </c>
      <c r="S3786" s="16">
        <f>N3786/10000</f>
        <v/>
      </c>
      <c r="T3786" s="16">
        <f>P3786/10000</f>
        <v/>
      </c>
      <c r="U3786" s="15">
        <f>IF(N3786&gt;=Summary!$D$3,1,0)</f>
        <v/>
      </c>
      <c r="V3786" s="17">
        <f>IF(N3786&gt;0,P3786/N3786,"")</f>
        <v/>
      </c>
      <c r="W3786" s="17">
        <f>IF(O3786&gt;0,H3786/O3786,"")</f>
        <v/>
      </c>
    </row>
    <row r="3787">
      <c r="A3787" s="13" t="inlineStr">
        <is>
          <t>CW45_B1</t>
        </is>
      </c>
      <c r="B3787" s="13" t="inlineStr">
        <is>
          <t>CW45</t>
        </is>
      </c>
      <c r="C3787" s="13" t="inlineStr">
        <is>
          <t>B1</t>
        </is>
      </c>
      <c r="D3787" s="13" t="n">
        <v>0</v>
      </c>
      <c r="E3787" s="13" t="inlineStr">
        <is>
          <t>W</t>
        </is>
      </c>
      <c r="F3787" s="13" t="n">
        <v>2025</v>
      </c>
      <c r="G3787" s="14" t="n">
        <v>1000450.43541538</v>
      </c>
      <c r="H3787" s="14" t="n">
        <v>419980.5881098131</v>
      </c>
      <c r="I3787" s="14" t="n">
        <v>327960.129072182</v>
      </c>
      <c r="J3787" s="14" t="n">
        <v>0</v>
      </c>
      <c r="K3787" s="14" t="n">
        <v>49943.62430590461</v>
      </c>
      <c r="L3787" s="14" t="n">
        <v>202566.0939274806</v>
      </c>
      <c r="M3787" s="14" t="n">
        <v>0</v>
      </c>
      <c r="N3787" s="14" t="n">
        <v>437576.9453573491</v>
      </c>
      <c r="O3787" s="14" t="n">
        <v>812252.5564817543</v>
      </c>
      <c r="P3787" s="14" t="n">
        <v>56840.95299084234</v>
      </c>
      <c r="Q3787" s="14" t="n">
        <v>5989704.176403273</v>
      </c>
      <c r="R3787" s="15">
        <f>IF(D3787=1,"Section 1","Control")</f>
        <v/>
      </c>
      <c r="S3787" s="16">
        <f>N3787/10000</f>
        <v/>
      </c>
      <c r="T3787" s="16">
        <f>P3787/10000</f>
        <v/>
      </c>
      <c r="U3787" s="15">
        <f>IF(N3787&gt;=Summary!$D$3,1,0)</f>
        <v/>
      </c>
      <c r="V3787" s="17">
        <f>IF(N3787&gt;0,P3787/N3787,"")</f>
        <v/>
      </c>
      <c r="W3787" s="17">
        <f>IF(O3787&gt;0,H3787/O3787,"")</f>
        <v/>
      </c>
    </row>
    <row r="3788">
      <c r="A3788" s="13" t="inlineStr">
        <is>
          <t>CW45_B1</t>
        </is>
      </c>
      <c r="B3788" s="13" t="inlineStr">
        <is>
          <t>CW45</t>
        </is>
      </c>
      <c r="C3788" s="13" t="inlineStr">
        <is>
          <t>B1</t>
        </is>
      </c>
      <c r="D3788" s="13" t="n">
        <v>0</v>
      </c>
      <c r="E3788" s="13" t="inlineStr">
        <is>
          <t>W</t>
        </is>
      </c>
      <c r="F3788" s="13" t="n">
        <v>2026</v>
      </c>
      <c r="G3788" s="14" t="n">
        <v>1000450.43541538</v>
      </c>
      <c r="H3788" s="14" t="n">
        <v>508402.6367623725</v>
      </c>
      <c r="I3788" s="14" t="n">
        <v>227260.6493693632</v>
      </c>
      <c r="J3788" s="14" t="n">
        <v>0</v>
      </c>
      <c r="K3788" s="14" t="n">
        <v>59858.94250216016</v>
      </c>
      <c r="L3788" s="14" t="n">
        <v>204928.2067814846</v>
      </c>
      <c r="M3788" s="14" t="n">
        <v>0</v>
      </c>
      <c r="N3788" s="14" t="n">
        <v>437576.9453573491</v>
      </c>
      <c r="O3788" s="14" t="n">
        <v>812252.5564817543</v>
      </c>
      <c r="P3788" s="14" t="n">
        <v>36247.63238298005</v>
      </c>
      <c r="Q3788" s="14" t="n">
        <v>5989704.176403273</v>
      </c>
      <c r="R3788" s="15">
        <f>IF(D3788=1,"Section 1","Control")</f>
        <v/>
      </c>
      <c r="S3788" s="16">
        <f>N3788/10000</f>
        <v/>
      </c>
      <c r="T3788" s="16">
        <f>P3788/10000</f>
        <v/>
      </c>
      <c r="U3788" s="15">
        <f>IF(N3788&gt;=Summary!$D$3,1,0)</f>
        <v/>
      </c>
      <c r="V3788" s="17">
        <f>IF(N3788&gt;0,P3788/N3788,"")</f>
        <v/>
      </c>
      <c r="W3788" s="17">
        <f>IF(O3788&gt;0,H3788/O3788,"")</f>
        <v/>
      </c>
    </row>
    <row r="3789">
      <c r="A3789" s="13" t="inlineStr">
        <is>
          <t>CW45_B2</t>
        </is>
      </c>
      <c r="B3789" s="13" t="inlineStr">
        <is>
          <t>CW45</t>
        </is>
      </c>
      <c r="C3789" s="13" t="inlineStr">
        <is>
          <t>B2</t>
        </is>
      </c>
      <c r="D3789" s="13" t="n">
        <v>0</v>
      </c>
      <c r="E3789" s="13" t="inlineStr">
        <is>
          <t>W</t>
        </is>
      </c>
      <c r="F3789" s="13" t="n">
        <v>2020</v>
      </c>
      <c r="G3789" s="14" t="n">
        <v>1000475.596357757</v>
      </c>
      <c r="H3789" s="14" t="n">
        <v>214639.9540078257</v>
      </c>
      <c r="I3789" s="14" t="n">
        <v>6217.826969221526</v>
      </c>
      <c r="J3789" s="14" t="n">
        <v>0</v>
      </c>
      <c r="K3789" s="14" t="n">
        <v>25186.37881320131</v>
      </c>
      <c r="L3789" s="14" t="n">
        <v>754431.4365675086</v>
      </c>
      <c r="M3789" s="14" t="n">
        <v>0</v>
      </c>
      <c r="N3789" s="14" t="n">
        <v>214639.9540078257</v>
      </c>
      <c r="O3789" s="14" t="n">
        <v>246044.1597902485</v>
      </c>
      <c r="P3789" s="14" t="n">
        <v>0</v>
      </c>
      <c r="Q3789" s="14" t="n">
        <v>1738990.960884453</v>
      </c>
      <c r="R3789" s="15">
        <f>IF(D3789=1,"Section 1","Control")</f>
        <v/>
      </c>
      <c r="S3789" s="16">
        <f>N3789/10000</f>
        <v/>
      </c>
      <c r="T3789" s="16">
        <f>P3789/10000</f>
        <v/>
      </c>
      <c r="U3789" s="15">
        <f>IF(N3789&gt;=Summary!$D$3,1,0)</f>
        <v/>
      </c>
      <c r="V3789" s="17">
        <f>IF(N3789&gt;0,P3789/N3789,"")</f>
        <v/>
      </c>
      <c r="W3789" s="17">
        <f>IF(O3789&gt;0,H3789/O3789,"")</f>
        <v/>
      </c>
    </row>
    <row r="3790">
      <c r="A3790" s="13" t="inlineStr">
        <is>
          <t>CW45_B2</t>
        </is>
      </c>
      <c r="B3790" s="13" t="inlineStr">
        <is>
          <t>CW45</t>
        </is>
      </c>
      <c r="C3790" s="13" t="inlineStr">
        <is>
          <t>B2</t>
        </is>
      </c>
      <c r="D3790" s="13" t="n">
        <v>0</v>
      </c>
      <c r="E3790" s="13" t="inlineStr">
        <is>
          <t>W</t>
        </is>
      </c>
      <c r="F3790" s="13" t="n">
        <v>2021</v>
      </c>
      <c r="G3790" s="14" t="n">
        <v>1000475.596357757</v>
      </c>
      <c r="H3790" s="14" t="n">
        <v>202159.7957211064</v>
      </c>
      <c r="I3790" s="14" t="n">
        <v>17063.0028456744</v>
      </c>
      <c r="J3790" s="14" t="n">
        <v>0</v>
      </c>
      <c r="K3790" s="14" t="n">
        <v>35120.92033060111</v>
      </c>
      <c r="L3790" s="14" t="n">
        <v>746131.8774603752</v>
      </c>
      <c r="M3790" s="14" t="n">
        <v>0</v>
      </c>
      <c r="N3790" s="14" t="n">
        <v>214639.9540078257</v>
      </c>
      <c r="O3790" s="14" t="n">
        <v>246044.1597902485</v>
      </c>
      <c r="P3790" s="14" t="n">
        <v>15771.81318583769</v>
      </c>
      <c r="Q3790" s="14" t="n">
        <v>1738990.960884453</v>
      </c>
      <c r="R3790" s="15">
        <f>IF(D3790=1,"Section 1","Control")</f>
        <v/>
      </c>
      <c r="S3790" s="16">
        <f>N3790/10000</f>
        <v/>
      </c>
      <c r="T3790" s="16">
        <f>P3790/10000</f>
        <v/>
      </c>
      <c r="U3790" s="15">
        <f>IF(N3790&gt;=Summary!$D$3,1,0)</f>
        <v/>
      </c>
      <c r="V3790" s="17">
        <f>IF(N3790&gt;0,P3790/N3790,"")</f>
        <v/>
      </c>
      <c r="W3790" s="17">
        <f>IF(O3790&gt;0,H3790/O3790,"")</f>
        <v/>
      </c>
    </row>
    <row r="3791">
      <c r="A3791" s="13" t="inlineStr">
        <is>
          <t>CW45_B2</t>
        </is>
      </c>
      <c r="B3791" s="13" t="inlineStr">
        <is>
          <t>CW45</t>
        </is>
      </c>
      <c r="C3791" s="13" t="inlineStr">
        <is>
          <t>B2</t>
        </is>
      </c>
      <c r="D3791" s="13" t="n">
        <v>0</v>
      </c>
      <c r="E3791" s="13" t="inlineStr">
        <is>
          <t>W</t>
        </is>
      </c>
      <c r="F3791" s="13" t="n">
        <v>2022</v>
      </c>
      <c r="G3791" s="14" t="n">
        <v>1000475.596357757</v>
      </c>
      <c r="H3791" s="14" t="n">
        <v>197091.8399620804</v>
      </c>
      <c r="I3791" s="14" t="n">
        <v>22182.83930849561</v>
      </c>
      <c r="J3791" s="14" t="n">
        <v>0</v>
      </c>
      <c r="K3791" s="14" t="n">
        <v>41293.03278922287</v>
      </c>
      <c r="L3791" s="14" t="n">
        <v>739907.8842979582</v>
      </c>
      <c r="M3791" s="14" t="n">
        <v>0</v>
      </c>
      <c r="N3791" s="14" t="n">
        <v>214639.9540078257</v>
      </c>
      <c r="O3791" s="14" t="n">
        <v>246044.1597902485</v>
      </c>
      <c r="P3791" s="14" t="n">
        <v>19203.23164119346</v>
      </c>
      <c r="Q3791" s="14" t="n">
        <v>1738990.960884453</v>
      </c>
      <c r="R3791" s="15">
        <f>IF(D3791=1,"Section 1","Control")</f>
        <v/>
      </c>
      <c r="S3791" s="16">
        <f>N3791/10000</f>
        <v/>
      </c>
      <c r="T3791" s="16">
        <f>P3791/10000</f>
        <v/>
      </c>
      <c r="U3791" s="15">
        <f>IF(N3791&gt;=Summary!$D$3,1,0)</f>
        <v/>
      </c>
      <c r="V3791" s="17">
        <f>IF(N3791&gt;0,P3791/N3791,"")</f>
        <v/>
      </c>
      <c r="W3791" s="17">
        <f>IF(O3791&gt;0,H3791/O3791,"")</f>
        <v/>
      </c>
    </row>
    <row r="3792">
      <c r="A3792" s="13" t="inlineStr">
        <is>
          <t>CW45_B2</t>
        </is>
      </c>
      <c r="B3792" s="13" t="inlineStr">
        <is>
          <t>CW45</t>
        </is>
      </c>
      <c r="C3792" s="13" t="inlineStr">
        <is>
          <t>B2</t>
        </is>
      </c>
      <c r="D3792" s="13" t="n">
        <v>0</v>
      </c>
      <c r="E3792" s="13" t="inlineStr">
        <is>
          <t>W</t>
        </is>
      </c>
      <c r="F3792" s="13" t="n">
        <v>2023</v>
      </c>
      <c r="G3792" s="14" t="n">
        <v>1000475.596357757</v>
      </c>
      <c r="H3792" s="14" t="n">
        <v>208040.0187291463</v>
      </c>
      <c r="I3792" s="14" t="n">
        <v>9916.768403326296</v>
      </c>
      <c r="J3792" s="14" t="n">
        <v>0</v>
      </c>
      <c r="K3792" s="14" t="n">
        <v>26338.16956347297</v>
      </c>
      <c r="L3792" s="14" t="n">
        <v>756180.6396618115</v>
      </c>
      <c r="M3792" s="14" t="n">
        <v>0</v>
      </c>
      <c r="N3792" s="14" t="n">
        <v>214639.9540078257</v>
      </c>
      <c r="O3792" s="14" t="n">
        <v>246044.1597902485</v>
      </c>
      <c r="P3792" s="14" t="n">
        <v>11440.62182315004</v>
      </c>
      <c r="Q3792" s="14" t="n">
        <v>1738990.960884453</v>
      </c>
      <c r="R3792" s="15">
        <f>IF(D3792=1,"Section 1","Control")</f>
        <v/>
      </c>
      <c r="S3792" s="16">
        <f>N3792/10000</f>
        <v/>
      </c>
      <c r="T3792" s="16">
        <f>P3792/10000</f>
        <v/>
      </c>
      <c r="U3792" s="15">
        <f>IF(N3792&gt;=Summary!$D$3,1,0)</f>
        <v/>
      </c>
      <c r="V3792" s="17">
        <f>IF(N3792&gt;0,P3792/N3792,"")</f>
        <v/>
      </c>
      <c r="W3792" s="17">
        <f>IF(O3792&gt;0,H3792/O3792,"")</f>
        <v/>
      </c>
    </row>
    <row r="3793">
      <c r="A3793" s="13" t="inlineStr">
        <is>
          <t>CW45_B2</t>
        </is>
      </c>
      <c r="B3793" s="13" t="inlineStr">
        <is>
          <t>CW45</t>
        </is>
      </c>
      <c r="C3793" s="13" t="inlineStr">
        <is>
          <t>B2</t>
        </is>
      </c>
      <c r="D3793" s="13" t="n">
        <v>0</v>
      </c>
      <c r="E3793" s="13" t="inlineStr">
        <is>
          <t>W</t>
        </is>
      </c>
      <c r="F3793" s="13" t="n">
        <v>2024</v>
      </c>
      <c r="G3793" s="14" t="n">
        <v>1000475.596357757</v>
      </c>
      <c r="H3793" s="14" t="n">
        <v>198324.9622162165</v>
      </c>
      <c r="I3793" s="14" t="n">
        <v>19335.64824236702</v>
      </c>
      <c r="J3793" s="14" t="n">
        <v>0</v>
      </c>
      <c r="K3793" s="14" t="n">
        <v>30316.64506195667</v>
      </c>
      <c r="L3793" s="14" t="n">
        <v>752498.3408372171</v>
      </c>
      <c r="M3793" s="14" t="n">
        <v>0</v>
      </c>
      <c r="N3793" s="14" t="n">
        <v>214639.9540078257</v>
      </c>
      <c r="O3793" s="14" t="n">
        <v>246044.1597902485</v>
      </c>
      <c r="P3793" s="14" t="n">
        <v>20005.03484960818</v>
      </c>
      <c r="Q3793" s="14" t="n">
        <v>1738990.960884453</v>
      </c>
      <c r="R3793" s="15">
        <f>IF(D3793=1,"Section 1","Control")</f>
        <v/>
      </c>
      <c r="S3793" s="16">
        <f>N3793/10000</f>
        <v/>
      </c>
      <c r="T3793" s="16">
        <f>P3793/10000</f>
        <v/>
      </c>
      <c r="U3793" s="15">
        <f>IF(N3793&gt;=Summary!$D$3,1,0)</f>
        <v/>
      </c>
      <c r="V3793" s="17">
        <f>IF(N3793&gt;0,P3793/N3793,"")</f>
        <v/>
      </c>
      <c r="W3793" s="17">
        <f>IF(O3793&gt;0,H3793/O3793,"")</f>
        <v/>
      </c>
    </row>
    <row r="3794">
      <c r="A3794" s="13" t="inlineStr">
        <is>
          <t>CW45_B2</t>
        </is>
      </c>
      <c r="B3794" s="13" t="inlineStr">
        <is>
          <t>CW45</t>
        </is>
      </c>
      <c r="C3794" s="13" t="inlineStr">
        <is>
          <t>B2</t>
        </is>
      </c>
      <c r="D3794" s="13" t="n">
        <v>0</v>
      </c>
      <c r="E3794" s="13" t="inlineStr">
        <is>
          <t>W</t>
        </is>
      </c>
      <c r="F3794" s="13" t="n">
        <v>2025</v>
      </c>
      <c r="G3794" s="14" t="n">
        <v>1000475.596357757</v>
      </c>
      <c r="H3794" s="14" t="n">
        <v>192919.02361151</v>
      </c>
      <c r="I3794" s="14" t="n">
        <v>24741.58822799384</v>
      </c>
      <c r="J3794" s="14" t="n">
        <v>0</v>
      </c>
      <c r="K3794" s="14" t="n">
        <v>28936.02387856876</v>
      </c>
      <c r="L3794" s="14" t="n">
        <v>753878.9606396846</v>
      </c>
      <c r="M3794" s="14" t="n">
        <v>0</v>
      </c>
      <c r="N3794" s="14" t="n">
        <v>214639.9540078257</v>
      </c>
      <c r="O3794" s="14" t="n">
        <v>246044.1597902485</v>
      </c>
      <c r="P3794" s="14" t="n">
        <v>25165.51221866981</v>
      </c>
      <c r="Q3794" s="14" t="n">
        <v>1738990.960884453</v>
      </c>
      <c r="R3794" s="15">
        <f>IF(D3794=1,"Section 1","Control")</f>
        <v/>
      </c>
      <c r="S3794" s="16">
        <f>N3794/10000</f>
        <v/>
      </c>
      <c r="T3794" s="16">
        <f>P3794/10000</f>
        <v/>
      </c>
      <c r="U3794" s="15">
        <f>IF(N3794&gt;=Summary!$D$3,1,0)</f>
        <v/>
      </c>
      <c r="V3794" s="17">
        <f>IF(N3794&gt;0,P3794/N3794,"")</f>
        <v/>
      </c>
      <c r="W3794" s="17">
        <f>IF(O3794&gt;0,H3794/O3794,"")</f>
        <v/>
      </c>
    </row>
    <row r="3795">
      <c r="A3795" s="13" t="inlineStr">
        <is>
          <t>CW45_B2</t>
        </is>
      </c>
      <c r="B3795" s="13" t="inlineStr">
        <is>
          <t>CW45</t>
        </is>
      </c>
      <c r="C3795" s="13" t="inlineStr">
        <is>
          <t>B2</t>
        </is>
      </c>
      <c r="D3795" s="13" t="n">
        <v>0</v>
      </c>
      <c r="E3795" s="13" t="inlineStr">
        <is>
          <t>W</t>
        </is>
      </c>
      <c r="F3795" s="13" t="n">
        <v>2026</v>
      </c>
      <c r="G3795" s="14" t="n">
        <v>1000475.596357757</v>
      </c>
      <c r="H3795" s="14" t="n">
        <v>201116.404981845</v>
      </c>
      <c r="I3795" s="14" t="n">
        <v>14372.23047063491</v>
      </c>
      <c r="J3795" s="14" t="n">
        <v>0</v>
      </c>
      <c r="K3795" s="14" t="n">
        <v>25266.12353686164</v>
      </c>
      <c r="L3795" s="14" t="n">
        <v>759720.8373684154</v>
      </c>
      <c r="M3795" s="14" t="n">
        <v>0</v>
      </c>
      <c r="N3795" s="14" t="n">
        <v>214639.9540078257</v>
      </c>
      <c r="O3795" s="14" t="n">
        <v>246044.1597902485</v>
      </c>
      <c r="P3795" s="14" t="n">
        <v>17216.30312497008</v>
      </c>
      <c r="Q3795" s="14" t="n">
        <v>1738990.960884453</v>
      </c>
      <c r="R3795" s="15">
        <f>IF(D3795=1,"Section 1","Control")</f>
        <v/>
      </c>
      <c r="S3795" s="16">
        <f>N3795/10000</f>
        <v/>
      </c>
      <c r="T3795" s="16">
        <f>P3795/10000</f>
        <v/>
      </c>
      <c r="U3795" s="15">
        <f>IF(N3795&gt;=Summary!$D$3,1,0)</f>
        <v/>
      </c>
      <c r="V3795" s="17">
        <f>IF(N3795&gt;0,P3795/N3795,"")</f>
        <v/>
      </c>
      <c r="W3795" s="17">
        <f>IF(O3795&gt;0,H3795/O3795,"")</f>
        <v/>
      </c>
    </row>
    <row r="3796">
      <c r="A3796" s="13" t="inlineStr">
        <is>
          <t>CW45_B3</t>
        </is>
      </c>
      <c r="B3796" s="13" t="inlineStr">
        <is>
          <t>CW45</t>
        </is>
      </c>
      <c r="C3796" s="13" t="inlineStr">
        <is>
          <t>B3</t>
        </is>
      </c>
      <c r="D3796" s="13" t="n">
        <v>0</v>
      </c>
      <c r="E3796" s="13" t="inlineStr">
        <is>
          <t>W</t>
        </is>
      </c>
      <c r="F3796" s="13" t="n">
        <v>2020</v>
      </c>
      <c r="G3796" s="14" t="n">
        <v>8003811.489324173</v>
      </c>
      <c r="H3796" s="14" t="n">
        <v>2956890.86945394</v>
      </c>
      <c r="I3796" s="14" t="n">
        <v>56839.5357939477</v>
      </c>
      <c r="J3796" s="14" t="n">
        <v>0</v>
      </c>
      <c r="K3796" s="14" t="n">
        <v>193843.0172031477</v>
      </c>
      <c r="L3796" s="14" t="n">
        <v>4796238.066873138</v>
      </c>
      <c r="M3796" s="14" t="n">
        <v>0</v>
      </c>
      <c r="N3796" s="14" t="n">
        <v>2956890.86945394</v>
      </c>
      <c r="O3796" s="14" t="n">
        <v>3207573.422451034</v>
      </c>
      <c r="P3796" s="14" t="n">
        <v>0</v>
      </c>
      <c r="Q3796" s="14" t="n">
        <v>20330930.06105062</v>
      </c>
      <c r="R3796" s="15">
        <f>IF(D3796=1,"Section 1","Control")</f>
        <v/>
      </c>
      <c r="S3796" s="16">
        <f>N3796/10000</f>
        <v/>
      </c>
      <c r="T3796" s="16">
        <f>P3796/10000</f>
        <v/>
      </c>
      <c r="U3796" s="15">
        <f>IF(N3796&gt;=Summary!$D$3,1,0)</f>
        <v/>
      </c>
      <c r="V3796" s="17">
        <f>IF(N3796&gt;0,P3796/N3796,"")</f>
        <v/>
      </c>
      <c r="W3796" s="17">
        <f>IF(O3796&gt;0,H3796/O3796,"")</f>
        <v/>
      </c>
    </row>
    <row r="3797">
      <c r="A3797" s="13" t="inlineStr">
        <is>
          <t>CW45_B3</t>
        </is>
      </c>
      <c r="B3797" s="13" t="inlineStr">
        <is>
          <t>CW45</t>
        </is>
      </c>
      <c r="C3797" s="13" t="inlineStr">
        <is>
          <t>B3</t>
        </is>
      </c>
      <c r="D3797" s="13" t="n">
        <v>0</v>
      </c>
      <c r="E3797" s="13" t="inlineStr">
        <is>
          <t>W</t>
        </is>
      </c>
      <c r="F3797" s="13" t="n">
        <v>2021</v>
      </c>
      <c r="G3797" s="14" t="n">
        <v>8003811.489324173</v>
      </c>
      <c r="H3797" s="14" t="n">
        <v>2754774.001047321</v>
      </c>
      <c r="I3797" s="14" t="n">
        <v>30680.23951667337</v>
      </c>
      <c r="J3797" s="14" t="n">
        <v>0</v>
      </c>
      <c r="K3797" s="14" t="n">
        <v>479463.942130115</v>
      </c>
      <c r="L3797" s="14" t="n">
        <v>4738893.306630063</v>
      </c>
      <c r="M3797" s="14" t="n">
        <v>0</v>
      </c>
      <c r="N3797" s="14" t="n">
        <v>2956890.86945394</v>
      </c>
      <c r="O3797" s="14" t="n">
        <v>3207573.422451034</v>
      </c>
      <c r="P3797" s="14" t="n">
        <v>222386.4697692572</v>
      </c>
      <c r="Q3797" s="14" t="n">
        <v>20330930.06105062</v>
      </c>
      <c r="R3797" s="15">
        <f>IF(D3797=1,"Section 1","Control")</f>
        <v/>
      </c>
      <c r="S3797" s="16">
        <f>N3797/10000</f>
        <v/>
      </c>
      <c r="T3797" s="16">
        <f>P3797/10000</f>
        <v/>
      </c>
      <c r="U3797" s="15">
        <f>IF(N3797&gt;=Summary!$D$3,1,0)</f>
        <v/>
      </c>
      <c r="V3797" s="17">
        <f>IF(N3797&gt;0,P3797/N3797,"")</f>
        <v/>
      </c>
      <c r="W3797" s="17">
        <f>IF(O3797&gt;0,H3797/O3797,"")</f>
        <v/>
      </c>
    </row>
    <row r="3798">
      <c r="A3798" s="13" t="inlineStr">
        <is>
          <t>CW45_B3</t>
        </is>
      </c>
      <c r="B3798" s="13" t="inlineStr">
        <is>
          <t>CW45</t>
        </is>
      </c>
      <c r="C3798" s="13" t="inlineStr">
        <is>
          <t>B3</t>
        </is>
      </c>
      <c r="D3798" s="13" t="n">
        <v>0</v>
      </c>
      <c r="E3798" s="13" t="inlineStr">
        <is>
          <t>W</t>
        </is>
      </c>
      <c r="F3798" s="13" t="n">
        <v>2022</v>
      </c>
      <c r="G3798" s="14" t="n">
        <v>8003811.489324173</v>
      </c>
      <c r="H3798" s="14" t="n">
        <v>2732511.280906139</v>
      </c>
      <c r="I3798" s="14" t="n">
        <v>133114.4598100849</v>
      </c>
      <c r="J3798" s="14" t="n">
        <v>0</v>
      </c>
      <c r="K3798" s="14" t="n">
        <v>387216.5144347546</v>
      </c>
      <c r="L3798" s="14" t="n">
        <v>4750969.234173194</v>
      </c>
      <c r="M3798" s="14" t="n">
        <v>0</v>
      </c>
      <c r="N3798" s="14" t="n">
        <v>2956890.86945394</v>
      </c>
      <c r="O3798" s="14" t="n">
        <v>3207573.422451034</v>
      </c>
      <c r="P3798" s="14" t="n">
        <v>242209.1370761049</v>
      </c>
      <c r="Q3798" s="14" t="n">
        <v>20330930.06105062</v>
      </c>
      <c r="R3798" s="15">
        <f>IF(D3798=1,"Section 1","Control")</f>
        <v/>
      </c>
      <c r="S3798" s="16">
        <f>N3798/10000</f>
        <v/>
      </c>
      <c r="T3798" s="16">
        <f>P3798/10000</f>
        <v/>
      </c>
      <c r="U3798" s="15">
        <f>IF(N3798&gt;=Summary!$D$3,1,0)</f>
        <v/>
      </c>
      <c r="V3798" s="17">
        <f>IF(N3798&gt;0,P3798/N3798,"")</f>
        <v/>
      </c>
      <c r="W3798" s="17">
        <f>IF(O3798&gt;0,H3798/O3798,"")</f>
        <v/>
      </c>
    </row>
    <row r="3799">
      <c r="A3799" s="13" t="inlineStr">
        <is>
          <t>CW45_B3</t>
        </is>
      </c>
      <c r="B3799" s="13" t="inlineStr">
        <is>
          <t>CW45</t>
        </is>
      </c>
      <c r="C3799" s="13" t="inlineStr">
        <is>
          <t>B3</t>
        </is>
      </c>
      <c r="D3799" s="13" t="n">
        <v>0</v>
      </c>
      <c r="E3799" s="13" t="inlineStr">
        <is>
          <t>W</t>
        </is>
      </c>
      <c r="F3799" s="13" t="n">
        <v>2023</v>
      </c>
      <c r="G3799" s="14" t="n">
        <v>8003811.489324173</v>
      </c>
      <c r="H3799" s="14" t="n">
        <v>2758499.287953066</v>
      </c>
      <c r="I3799" s="14" t="n">
        <v>114822.4202211268</v>
      </c>
      <c r="J3799" s="14" t="n">
        <v>0</v>
      </c>
      <c r="K3799" s="14" t="n">
        <v>282872.9160244511</v>
      </c>
      <c r="L3799" s="14" t="n">
        <v>4847616.865125529</v>
      </c>
      <c r="M3799" s="14" t="n">
        <v>0</v>
      </c>
      <c r="N3799" s="14" t="n">
        <v>2956890.86945394</v>
      </c>
      <c r="O3799" s="14" t="n">
        <v>3207573.422451034</v>
      </c>
      <c r="P3799" s="14" t="n">
        <v>224303.1661091225</v>
      </c>
      <c r="Q3799" s="14" t="n">
        <v>20330930.06105062</v>
      </c>
      <c r="R3799" s="15">
        <f>IF(D3799=1,"Section 1","Control")</f>
        <v/>
      </c>
      <c r="S3799" s="16">
        <f>N3799/10000</f>
        <v/>
      </c>
      <c r="T3799" s="16">
        <f>P3799/10000</f>
        <v/>
      </c>
      <c r="U3799" s="15">
        <f>IF(N3799&gt;=Summary!$D$3,1,0)</f>
        <v/>
      </c>
      <c r="V3799" s="17">
        <f>IF(N3799&gt;0,P3799/N3799,"")</f>
        <v/>
      </c>
      <c r="W3799" s="17">
        <f>IF(O3799&gt;0,H3799/O3799,"")</f>
        <v/>
      </c>
    </row>
    <row r="3800">
      <c r="A3800" s="13" t="inlineStr">
        <is>
          <t>CW45_B3</t>
        </is>
      </c>
      <c r="B3800" s="13" t="inlineStr">
        <is>
          <t>CW45</t>
        </is>
      </c>
      <c r="C3800" s="13" t="inlineStr">
        <is>
          <t>B3</t>
        </is>
      </c>
      <c r="D3800" s="13" t="n">
        <v>0</v>
      </c>
      <c r="E3800" s="13" t="inlineStr">
        <is>
          <t>W</t>
        </is>
      </c>
      <c r="F3800" s="13" t="n">
        <v>2024</v>
      </c>
      <c r="G3800" s="14" t="n">
        <v>8003811.489324173</v>
      </c>
      <c r="H3800" s="14" t="n">
        <v>2772039.486054963</v>
      </c>
      <c r="I3800" s="14" t="n">
        <v>123260.9197347903</v>
      </c>
      <c r="J3800" s="14" t="n">
        <v>0</v>
      </c>
      <c r="K3800" s="14" t="n">
        <v>325816.2464460186</v>
      </c>
      <c r="L3800" s="14" t="n">
        <v>4782694.8370884</v>
      </c>
      <c r="M3800" s="14" t="n">
        <v>0</v>
      </c>
      <c r="N3800" s="14" t="n">
        <v>2956890.869453939</v>
      </c>
      <c r="O3800" s="14" t="n">
        <v>3207573.422451034</v>
      </c>
      <c r="P3800" s="14" t="n">
        <v>226232.8524031097</v>
      </c>
      <c r="Q3800" s="14" t="n">
        <v>20330930.06105062</v>
      </c>
      <c r="R3800" s="15">
        <f>IF(D3800=1,"Section 1","Control")</f>
        <v/>
      </c>
      <c r="S3800" s="16">
        <f>N3800/10000</f>
        <v/>
      </c>
      <c r="T3800" s="16">
        <f>P3800/10000</f>
        <v/>
      </c>
      <c r="U3800" s="15">
        <f>IF(N3800&gt;=Summary!$D$3,1,0)</f>
        <v/>
      </c>
      <c r="V3800" s="17">
        <f>IF(N3800&gt;0,P3800/N3800,"")</f>
        <v/>
      </c>
      <c r="W3800" s="17">
        <f>IF(O3800&gt;0,H3800/O3800,"")</f>
        <v/>
      </c>
    </row>
    <row r="3801">
      <c r="A3801" s="13" t="inlineStr">
        <is>
          <t>CW45_B3</t>
        </is>
      </c>
      <c r="B3801" s="13" t="inlineStr">
        <is>
          <t>CW45</t>
        </is>
      </c>
      <c r="C3801" s="13" t="inlineStr">
        <is>
          <t>B3</t>
        </is>
      </c>
      <c r="D3801" s="13" t="n">
        <v>0</v>
      </c>
      <c r="E3801" s="13" t="inlineStr">
        <is>
          <t>W</t>
        </is>
      </c>
      <c r="F3801" s="13" t="n">
        <v>2025</v>
      </c>
      <c r="G3801" s="14" t="n">
        <v>8003811.489324173</v>
      </c>
      <c r="H3801" s="14" t="n">
        <v>2771623.81419573</v>
      </c>
      <c r="I3801" s="14" t="n">
        <v>128412.0140650432</v>
      </c>
      <c r="J3801" s="14" t="n">
        <v>0</v>
      </c>
      <c r="K3801" s="14" t="n">
        <v>274372.1285895852</v>
      </c>
      <c r="L3801" s="14" t="n">
        <v>4829403.532473814</v>
      </c>
      <c r="M3801" s="14" t="n">
        <v>0</v>
      </c>
      <c r="N3801" s="14" t="n">
        <v>2956890.86945394</v>
      </c>
      <c r="O3801" s="14" t="n">
        <v>3207573.422451034</v>
      </c>
      <c r="P3801" s="14" t="n">
        <v>222305.3555007636</v>
      </c>
      <c r="Q3801" s="14" t="n">
        <v>20330930.06105062</v>
      </c>
      <c r="R3801" s="15">
        <f>IF(D3801=1,"Section 1","Control")</f>
        <v/>
      </c>
      <c r="S3801" s="16">
        <f>N3801/10000</f>
        <v/>
      </c>
      <c r="T3801" s="16">
        <f>P3801/10000</f>
        <v/>
      </c>
      <c r="U3801" s="15">
        <f>IF(N3801&gt;=Summary!$D$3,1,0)</f>
        <v/>
      </c>
      <c r="V3801" s="17">
        <f>IF(N3801&gt;0,P3801/N3801,"")</f>
        <v/>
      </c>
      <c r="W3801" s="17">
        <f>IF(O3801&gt;0,H3801/O3801,"")</f>
        <v/>
      </c>
    </row>
    <row r="3802">
      <c r="A3802" s="13" t="inlineStr">
        <is>
          <t>CW45_B3</t>
        </is>
      </c>
      <c r="B3802" s="13" t="inlineStr">
        <is>
          <t>CW45</t>
        </is>
      </c>
      <c r="C3802" s="13" t="inlineStr">
        <is>
          <t>B3</t>
        </is>
      </c>
      <c r="D3802" s="13" t="n">
        <v>0</v>
      </c>
      <c r="E3802" s="13" t="inlineStr">
        <is>
          <t>W</t>
        </is>
      </c>
      <c r="F3802" s="13" t="n">
        <v>2026</v>
      </c>
      <c r="G3802" s="14" t="n">
        <v>8003811.489324173</v>
      </c>
      <c r="H3802" s="14" t="n">
        <v>2776642.977310151</v>
      </c>
      <c r="I3802" s="14" t="n">
        <v>102904.1974575866</v>
      </c>
      <c r="J3802" s="14" t="n">
        <v>0</v>
      </c>
      <c r="K3802" s="14" t="n">
        <v>292839.0945246977</v>
      </c>
      <c r="L3802" s="14" t="n">
        <v>4831425.220031737</v>
      </c>
      <c r="M3802" s="14" t="n">
        <v>0</v>
      </c>
      <c r="N3802" s="14" t="n">
        <v>2956890.86945394</v>
      </c>
      <c r="O3802" s="14" t="n">
        <v>3207573.422451034</v>
      </c>
      <c r="P3802" s="14" t="n">
        <v>218629.1036660886</v>
      </c>
      <c r="Q3802" s="14" t="n">
        <v>20330930.06105062</v>
      </c>
      <c r="R3802" s="15">
        <f>IF(D3802=1,"Section 1","Control")</f>
        <v/>
      </c>
      <c r="S3802" s="16">
        <f>N3802/10000</f>
        <v/>
      </c>
      <c r="T3802" s="16">
        <f>P3802/10000</f>
        <v/>
      </c>
      <c r="U3802" s="15">
        <f>IF(N3802&gt;=Summary!$D$3,1,0)</f>
        <v/>
      </c>
      <c r="V3802" s="17">
        <f>IF(N3802&gt;0,P3802/N3802,"")</f>
        <v/>
      </c>
      <c r="W3802" s="17">
        <f>IF(O3802&gt;0,H3802/O3802,"")</f>
        <v/>
      </c>
    </row>
    <row r="3803">
      <c r="A3803" s="13" t="inlineStr">
        <is>
          <t>CW45_F</t>
        </is>
      </c>
      <c r="B3803" s="13" t="inlineStr">
        <is>
          <t>CW45</t>
        </is>
      </c>
      <c r="C3803" s="13" t="inlineStr">
        <is>
          <t>F</t>
        </is>
      </c>
      <c r="D3803" s="13" t="n">
        <v>0</v>
      </c>
      <c r="E3803" s="13" t="inlineStr">
        <is>
          <t>W</t>
        </is>
      </c>
      <c r="F3803" s="13" t="n">
        <v>2020</v>
      </c>
      <c r="G3803" s="14" t="n">
        <v>69536.61157950603</v>
      </c>
      <c r="H3803" s="14" t="n">
        <v>21171.41416506301</v>
      </c>
      <c r="I3803" s="14" t="n">
        <v>45609.73502786673</v>
      </c>
      <c r="J3803" s="14" t="n">
        <v>0</v>
      </c>
      <c r="K3803" s="14" t="n">
        <v>2755.462386576334</v>
      </c>
      <c r="L3803" s="14" t="n">
        <v>0</v>
      </c>
      <c r="M3803" s="14" t="n">
        <v>0</v>
      </c>
      <c r="N3803" s="14" t="n">
        <v>21171.41416506301</v>
      </c>
      <c r="O3803" s="14" t="n">
        <v>69536.61157950603</v>
      </c>
      <c r="P3803" s="14" t="n">
        <v>0</v>
      </c>
      <c r="Q3803" s="14" t="n">
        <v>772796.685010483</v>
      </c>
      <c r="R3803" s="15">
        <f>IF(D3803=1,"Section 1","Control")</f>
        <v/>
      </c>
      <c r="S3803" s="16">
        <f>N3803/10000</f>
        <v/>
      </c>
      <c r="T3803" s="16">
        <f>P3803/10000</f>
        <v/>
      </c>
      <c r="U3803" s="15">
        <f>IF(N3803&gt;=Summary!$D$3,1,0)</f>
        <v/>
      </c>
      <c r="V3803" s="17">
        <f>IF(N3803&gt;0,P3803/N3803,"")</f>
        <v/>
      </c>
      <c r="W3803" s="17">
        <f>IF(O3803&gt;0,H3803/O3803,"")</f>
        <v/>
      </c>
    </row>
    <row r="3804">
      <c r="A3804" s="13" t="inlineStr">
        <is>
          <t>CW45_F</t>
        </is>
      </c>
      <c r="B3804" s="13" t="inlineStr">
        <is>
          <t>CW45</t>
        </is>
      </c>
      <c r="C3804" s="13" t="inlineStr">
        <is>
          <t>F</t>
        </is>
      </c>
      <c r="D3804" s="13" t="n">
        <v>0</v>
      </c>
      <c r="E3804" s="13" t="inlineStr">
        <is>
          <t>W</t>
        </is>
      </c>
      <c r="F3804" s="13" t="n">
        <v>2021</v>
      </c>
      <c r="G3804" s="14" t="n">
        <v>69536.61157950603</v>
      </c>
      <c r="H3804" s="14" t="n">
        <v>11719.90972245161</v>
      </c>
      <c r="I3804" s="14" t="n">
        <v>50362.20145748362</v>
      </c>
      <c r="J3804" s="14" t="n">
        <v>0</v>
      </c>
      <c r="K3804" s="14" t="n">
        <v>7454.500399570837</v>
      </c>
      <c r="L3804" s="14" t="n">
        <v>0</v>
      </c>
      <c r="M3804" s="14" t="n">
        <v>0</v>
      </c>
      <c r="N3804" s="14" t="n">
        <v>21171.41416506301</v>
      </c>
      <c r="O3804" s="14" t="n">
        <v>69536.61157950603</v>
      </c>
      <c r="P3804" s="14" t="n">
        <v>10474.78464693556</v>
      </c>
      <c r="Q3804" s="14" t="n">
        <v>772796.685010483</v>
      </c>
      <c r="R3804" s="15">
        <f>IF(D3804=1,"Section 1","Control")</f>
        <v/>
      </c>
      <c r="S3804" s="16">
        <f>N3804/10000</f>
        <v/>
      </c>
      <c r="T3804" s="16">
        <f>P3804/10000</f>
        <v/>
      </c>
      <c r="U3804" s="15">
        <f>IF(N3804&gt;=Summary!$D$3,1,0)</f>
        <v/>
      </c>
      <c r="V3804" s="17">
        <f>IF(N3804&gt;0,P3804/N3804,"")</f>
        <v/>
      </c>
      <c r="W3804" s="17">
        <f>IF(O3804&gt;0,H3804/O3804,"")</f>
        <v/>
      </c>
    </row>
    <row r="3805">
      <c r="A3805" s="13" t="inlineStr">
        <is>
          <t>CW45_F</t>
        </is>
      </c>
      <c r="B3805" s="13" t="inlineStr">
        <is>
          <t>CW45</t>
        </is>
      </c>
      <c r="C3805" s="13" t="inlineStr">
        <is>
          <t>F</t>
        </is>
      </c>
      <c r="D3805" s="13" t="n">
        <v>0</v>
      </c>
      <c r="E3805" s="13" t="inlineStr">
        <is>
          <t>W</t>
        </is>
      </c>
      <c r="F3805" s="13" t="n">
        <v>2022</v>
      </c>
      <c r="G3805" s="14" t="n">
        <v>69536.61157950603</v>
      </c>
      <c r="H3805" s="14" t="n">
        <v>16333.77057719512</v>
      </c>
      <c r="I3805" s="14" t="n">
        <v>48713.26010730219</v>
      </c>
      <c r="J3805" s="14" t="n">
        <v>0</v>
      </c>
      <c r="K3805" s="14" t="n">
        <v>4489.58089500876</v>
      </c>
      <c r="L3805" s="14" t="n">
        <v>0</v>
      </c>
      <c r="M3805" s="14" t="n">
        <v>0</v>
      </c>
      <c r="N3805" s="14" t="n">
        <v>21171.41416506301</v>
      </c>
      <c r="O3805" s="14" t="n">
        <v>69536.61157950603</v>
      </c>
      <c r="P3805" s="14" t="n">
        <v>9370.586525142897</v>
      </c>
      <c r="Q3805" s="14" t="n">
        <v>772796.685010483</v>
      </c>
      <c r="R3805" s="15">
        <f>IF(D3805=1,"Section 1","Control")</f>
        <v/>
      </c>
      <c r="S3805" s="16">
        <f>N3805/10000</f>
        <v/>
      </c>
      <c r="T3805" s="16">
        <f>P3805/10000</f>
        <v/>
      </c>
      <c r="U3805" s="15">
        <f>IF(N3805&gt;=Summary!$D$3,1,0)</f>
        <v/>
      </c>
      <c r="V3805" s="17">
        <f>IF(N3805&gt;0,P3805/N3805,"")</f>
        <v/>
      </c>
      <c r="W3805" s="17">
        <f>IF(O3805&gt;0,H3805/O3805,"")</f>
        <v/>
      </c>
    </row>
    <row r="3806">
      <c r="A3806" s="13" t="inlineStr">
        <is>
          <t>CW45_F</t>
        </is>
      </c>
      <c r="B3806" s="13" t="inlineStr">
        <is>
          <t>CW45</t>
        </is>
      </c>
      <c r="C3806" s="13" t="inlineStr">
        <is>
          <t>F</t>
        </is>
      </c>
      <c r="D3806" s="13" t="n">
        <v>0</v>
      </c>
      <c r="E3806" s="13" t="inlineStr">
        <is>
          <t>W</t>
        </is>
      </c>
      <c r="F3806" s="13" t="n">
        <v>2023</v>
      </c>
      <c r="G3806" s="14" t="n">
        <v>69536.61157950603</v>
      </c>
      <c r="H3806" s="14" t="n">
        <v>17130.17271528057</v>
      </c>
      <c r="I3806" s="14" t="n">
        <v>44719.25179527133</v>
      </c>
      <c r="J3806" s="14" t="n">
        <v>0</v>
      </c>
      <c r="K3806" s="14" t="n">
        <v>7687.187068954169</v>
      </c>
      <c r="L3806" s="14" t="n">
        <v>0</v>
      </c>
      <c r="M3806" s="14" t="n">
        <v>0</v>
      </c>
      <c r="N3806" s="14" t="n">
        <v>21171.41416506301</v>
      </c>
      <c r="O3806" s="14" t="n">
        <v>69536.61157950603</v>
      </c>
      <c r="P3806" s="14" t="n">
        <v>8921.859750725242</v>
      </c>
      <c r="Q3806" s="14" t="n">
        <v>772796.685010483</v>
      </c>
      <c r="R3806" s="15">
        <f>IF(D3806=1,"Section 1","Control")</f>
        <v/>
      </c>
      <c r="S3806" s="16">
        <f>N3806/10000</f>
        <v/>
      </c>
      <c r="T3806" s="16">
        <f>P3806/10000</f>
        <v/>
      </c>
      <c r="U3806" s="15">
        <f>IF(N3806&gt;=Summary!$D$3,1,0)</f>
        <v/>
      </c>
      <c r="V3806" s="17">
        <f>IF(N3806&gt;0,P3806/N3806,"")</f>
        <v/>
      </c>
      <c r="W3806" s="17">
        <f>IF(O3806&gt;0,H3806/O3806,"")</f>
        <v/>
      </c>
    </row>
    <row r="3807">
      <c r="A3807" s="13" t="inlineStr">
        <is>
          <t>CW45_F</t>
        </is>
      </c>
      <c r="B3807" s="13" t="inlineStr">
        <is>
          <t>CW45</t>
        </is>
      </c>
      <c r="C3807" s="13" t="inlineStr">
        <is>
          <t>F</t>
        </is>
      </c>
      <c r="D3807" s="13" t="n">
        <v>0</v>
      </c>
      <c r="E3807" s="13" t="inlineStr">
        <is>
          <t>W</t>
        </is>
      </c>
      <c r="F3807" s="13" t="n">
        <v>2024</v>
      </c>
      <c r="G3807" s="14" t="n">
        <v>69536.61157950603</v>
      </c>
      <c r="H3807" s="14" t="n">
        <v>27104.73638503131</v>
      </c>
      <c r="I3807" s="14" t="n">
        <v>29704.94454297832</v>
      </c>
      <c r="J3807" s="14" t="n">
        <v>0</v>
      </c>
      <c r="K3807" s="14" t="n">
        <v>12726.93065149644</v>
      </c>
      <c r="L3807" s="14" t="n">
        <v>0</v>
      </c>
      <c r="M3807" s="14" t="n">
        <v>0</v>
      </c>
      <c r="N3807" s="14" t="n">
        <v>21171.41416506301</v>
      </c>
      <c r="O3807" s="14" t="n">
        <v>69536.61157950603</v>
      </c>
      <c r="P3807" s="14" t="n">
        <v>7531.933531009449</v>
      </c>
      <c r="Q3807" s="14" t="n">
        <v>772796.685010483</v>
      </c>
      <c r="R3807" s="15">
        <f>IF(D3807=1,"Section 1","Control")</f>
        <v/>
      </c>
      <c r="S3807" s="16">
        <f>N3807/10000</f>
        <v/>
      </c>
      <c r="T3807" s="16">
        <f>P3807/10000</f>
        <v/>
      </c>
      <c r="U3807" s="15">
        <f>IF(N3807&gt;=Summary!$D$3,1,0)</f>
        <v/>
      </c>
      <c r="V3807" s="17">
        <f>IF(N3807&gt;0,P3807/N3807,"")</f>
        <v/>
      </c>
      <c r="W3807" s="17">
        <f>IF(O3807&gt;0,H3807/O3807,"")</f>
        <v/>
      </c>
    </row>
    <row r="3808">
      <c r="A3808" s="13" t="inlineStr">
        <is>
          <t>CW45_F</t>
        </is>
      </c>
      <c r="B3808" s="13" t="inlineStr">
        <is>
          <t>CW45</t>
        </is>
      </c>
      <c r="C3808" s="13" t="inlineStr">
        <is>
          <t>F</t>
        </is>
      </c>
      <c r="D3808" s="13" t="n">
        <v>0</v>
      </c>
      <c r="E3808" s="13" t="inlineStr">
        <is>
          <t>W</t>
        </is>
      </c>
      <c r="F3808" s="13" t="n">
        <v>2025</v>
      </c>
      <c r="G3808" s="14" t="n">
        <v>69536.61157950603</v>
      </c>
      <c r="H3808" s="14" t="n">
        <v>9320.64034989301</v>
      </c>
      <c r="I3808" s="14" t="n">
        <v>55422.85282410264</v>
      </c>
      <c r="J3808" s="14" t="n">
        <v>0</v>
      </c>
      <c r="K3808" s="14" t="n">
        <v>4793.118405510397</v>
      </c>
      <c r="L3808" s="14" t="n">
        <v>0</v>
      </c>
      <c r="M3808" s="14" t="n">
        <v>0</v>
      </c>
      <c r="N3808" s="14" t="n">
        <v>21171.41416506301</v>
      </c>
      <c r="O3808" s="14" t="n">
        <v>69536.61157950603</v>
      </c>
      <c r="P3808" s="14" t="n">
        <v>13547.72317289465</v>
      </c>
      <c r="Q3808" s="14" t="n">
        <v>772796.685010483</v>
      </c>
      <c r="R3808" s="15">
        <f>IF(D3808=1,"Section 1","Control")</f>
        <v/>
      </c>
      <c r="S3808" s="16">
        <f>N3808/10000</f>
        <v/>
      </c>
      <c r="T3808" s="16">
        <f>P3808/10000</f>
        <v/>
      </c>
      <c r="U3808" s="15">
        <f>IF(N3808&gt;=Summary!$D$3,1,0)</f>
        <v/>
      </c>
      <c r="V3808" s="17">
        <f>IF(N3808&gt;0,P3808/N3808,"")</f>
        <v/>
      </c>
      <c r="W3808" s="17">
        <f>IF(O3808&gt;0,H3808/O3808,"")</f>
        <v/>
      </c>
    </row>
    <row r="3809">
      <c r="A3809" s="13" t="inlineStr">
        <is>
          <t>CW45_F</t>
        </is>
      </c>
      <c r="B3809" s="13" t="inlineStr">
        <is>
          <t>CW45</t>
        </is>
      </c>
      <c r="C3809" s="13" t="inlineStr">
        <is>
          <t>F</t>
        </is>
      </c>
      <c r="D3809" s="13" t="n">
        <v>0</v>
      </c>
      <c r="E3809" s="13" t="inlineStr">
        <is>
          <t>W</t>
        </is>
      </c>
      <c r="F3809" s="13" t="n">
        <v>2026</v>
      </c>
      <c r="G3809" s="14" t="n">
        <v>69536.61157950603</v>
      </c>
      <c r="H3809" s="14" t="n">
        <v>32436.78996228984</v>
      </c>
      <c r="I3809" s="14" t="n">
        <v>28386.25808075548</v>
      </c>
      <c r="J3809" s="14" t="n">
        <v>0</v>
      </c>
      <c r="K3809" s="14" t="n">
        <v>8713.563536460726</v>
      </c>
      <c r="L3809" s="14" t="n">
        <v>0</v>
      </c>
      <c r="M3809" s="14" t="n">
        <v>0</v>
      </c>
      <c r="N3809" s="14" t="n">
        <v>21171.41416506301</v>
      </c>
      <c r="O3809" s="14" t="n">
        <v>69536.61157950603</v>
      </c>
      <c r="P3809" s="14" t="n">
        <v>8016.277920472388</v>
      </c>
      <c r="Q3809" s="14" t="n">
        <v>772796.685010483</v>
      </c>
      <c r="R3809" s="15">
        <f>IF(D3809=1,"Section 1","Control")</f>
        <v/>
      </c>
      <c r="S3809" s="16">
        <f>N3809/10000</f>
        <v/>
      </c>
      <c r="T3809" s="16">
        <f>P3809/10000</f>
        <v/>
      </c>
      <c r="U3809" s="15">
        <f>IF(N3809&gt;=Summary!$D$3,1,0)</f>
        <v/>
      </c>
      <c r="V3809" s="17">
        <f>IF(N3809&gt;0,P3809/N3809,"")</f>
        <v/>
      </c>
      <c r="W3809" s="17">
        <f>IF(O3809&gt;0,H3809/O3809,"")</f>
        <v/>
      </c>
    </row>
    <row r="3810">
      <c r="A3810" s="13" t="inlineStr">
        <is>
          <t>CW46_B1</t>
        </is>
      </c>
      <c r="B3810" s="13" t="inlineStr">
        <is>
          <t>CW46</t>
        </is>
      </c>
      <c r="C3810" s="13" t="inlineStr">
        <is>
          <t>B1</t>
        </is>
      </c>
      <c r="D3810" s="13" t="n">
        <v>0</v>
      </c>
      <c r="E3810" s="13" t="inlineStr">
        <is>
          <t>W</t>
        </is>
      </c>
      <c r="F3810" s="13" t="n">
        <v>2020</v>
      </c>
      <c r="G3810" s="14" t="n">
        <v>1000943.679222107</v>
      </c>
      <c r="H3810" s="14" t="n">
        <v>226943.4327289956</v>
      </c>
      <c r="I3810" s="14" t="n">
        <v>266040.6376256606</v>
      </c>
      <c r="J3810" s="14" t="n">
        <v>0</v>
      </c>
      <c r="K3810" s="14" t="n">
        <v>84938.87945125805</v>
      </c>
      <c r="L3810" s="14" t="n">
        <v>423020.7294161928</v>
      </c>
      <c r="M3810" s="14" t="n">
        <v>0</v>
      </c>
      <c r="N3810" s="14" t="n">
        <v>226943.4327289956</v>
      </c>
      <c r="O3810" s="14" t="n">
        <v>577922.9498059141</v>
      </c>
      <c r="P3810" s="14" t="n">
        <v>0</v>
      </c>
      <c r="Q3810" s="14" t="n">
        <v>4017974.611293927</v>
      </c>
      <c r="R3810" s="15">
        <f>IF(D3810=1,"Section 1","Control")</f>
        <v/>
      </c>
      <c r="S3810" s="16">
        <f>N3810/10000</f>
        <v/>
      </c>
      <c r="T3810" s="16">
        <f>P3810/10000</f>
        <v/>
      </c>
      <c r="U3810" s="15">
        <f>IF(N3810&gt;=Summary!$D$3,1,0)</f>
        <v/>
      </c>
      <c r="V3810" s="17">
        <f>IF(N3810&gt;0,P3810/N3810,"")</f>
        <v/>
      </c>
      <c r="W3810" s="17">
        <f>IF(O3810&gt;0,H3810/O3810,"")</f>
        <v/>
      </c>
    </row>
    <row r="3811">
      <c r="A3811" s="13" t="inlineStr">
        <is>
          <t>CW46_B1</t>
        </is>
      </c>
      <c r="B3811" s="13" t="inlineStr">
        <is>
          <t>CW46</t>
        </is>
      </c>
      <c r="C3811" s="13" t="inlineStr">
        <is>
          <t>B1</t>
        </is>
      </c>
      <c r="D3811" s="13" t="n">
        <v>0</v>
      </c>
      <c r="E3811" s="13" t="inlineStr">
        <is>
          <t>W</t>
        </is>
      </c>
      <c r="F3811" s="13" t="n">
        <v>2021</v>
      </c>
      <c r="G3811" s="14" t="n">
        <v>1000943.679222107</v>
      </c>
      <c r="H3811" s="14" t="n">
        <v>212412.2861591713</v>
      </c>
      <c r="I3811" s="14" t="n">
        <v>256241.8895705578</v>
      </c>
      <c r="J3811" s="14" t="n">
        <v>0</v>
      </c>
      <c r="K3811" s="14" t="n">
        <v>125569.5774738985</v>
      </c>
      <c r="L3811" s="14" t="n">
        <v>406719.9260184793</v>
      </c>
      <c r="M3811" s="14" t="n">
        <v>0</v>
      </c>
      <c r="N3811" s="14" t="n">
        <v>226943.4327289956</v>
      </c>
      <c r="O3811" s="14" t="n">
        <v>577922.9498059141</v>
      </c>
      <c r="P3811" s="14" t="n">
        <v>22284.90570364559</v>
      </c>
      <c r="Q3811" s="14" t="n">
        <v>4017974.611293927</v>
      </c>
      <c r="R3811" s="15">
        <f>IF(D3811=1,"Section 1","Control")</f>
        <v/>
      </c>
      <c r="S3811" s="16">
        <f>N3811/10000</f>
        <v/>
      </c>
      <c r="T3811" s="16">
        <f>P3811/10000</f>
        <v/>
      </c>
      <c r="U3811" s="15">
        <f>IF(N3811&gt;=Summary!$D$3,1,0)</f>
        <v/>
      </c>
      <c r="V3811" s="17">
        <f>IF(N3811&gt;0,P3811/N3811,"")</f>
        <v/>
      </c>
      <c r="W3811" s="17">
        <f>IF(O3811&gt;0,H3811/O3811,"")</f>
        <v/>
      </c>
    </row>
    <row r="3812">
      <c r="A3812" s="13" t="inlineStr">
        <is>
          <t>CW46_B1</t>
        </is>
      </c>
      <c r="B3812" s="13" t="inlineStr">
        <is>
          <t>CW46</t>
        </is>
      </c>
      <c r="C3812" s="13" t="inlineStr">
        <is>
          <t>B1</t>
        </is>
      </c>
      <c r="D3812" s="13" t="n">
        <v>0</v>
      </c>
      <c r="E3812" s="13" t="inlineStr">
        <is>
          <t>W</t>
        </is>
      </c>
      <c r="F3812" s="13" t="n">
        <v>2022</v>
      </c>
      <c r="G3812" s="14" t="n">
        <v>1000943.679222107</v>
      </c>
      <c r="H3812" s="14" t="n">
        <v>216397.0031641642</v>
      </c>
      <c r="I3812" s="14" t="n">
        <v>273571.4741270177</v>
      </c>
      <c r="J3812" s="14" t="n">
        <v>0</v>
      </c>
      <c r="K3812" s="14" t="n">
        <v>109293.4813869402</v>
      </c>
      <c r="L3812" s="14" t="n">
        <v>401681.7205439848</v>
      </c>
      <c r="M3812" s="14" t="n">
        <v>0</v>
      </c>
      <c r="N3812" s="14" t="n">
        <v>226943.4327289956</v>
      </c>
      <c r="O3812" s="14" t="n">
        <v>577922.9498059141</v>
      </c>
      <c r="P3812" s="14" t="n">
        <v>24434.83624168844</v>
      </c>
      <c r="Q3812" s="14" t="n">
        <v>4017974.611293927</v>
      </c>
      <c r="R3812" s="15">
        <f>IF(D3812=1,"Section 1","Control")</f>
        <v/>
      </c>
      <c r="S3812" s="16">
        <f>N3812/10000</f>
        <v/>
      </c>
      <c r="T3812" s="16">
        <f>P3812/10000</f>
        <v/>
      </c>
      <c r="U3812" s="15">
        <f>IF(N3812&gt;=Summary!$D$3,1,0)</f>
        <v/>
      </c>
      <c r="V3812" s="17">
        <f>IF(N3812&gt;0,P3812/N3812,"")</f>
        <v/>
      </c>
      <c r="W3812" s="17">
        <f>IF(O3812&gt;0,H3812/O3812,"")</f>
        <v/>
      </c>
    </row>
    <row r="3813">
      <c r="A3813" s="13" t="inlineStr">
        <is>
          <t>CW46_B1</t>
        </is>
      </c>
      <c r="B3813" s="13" t="inlineStr">
        <is>
          <t>CW46</t>
        </is>
      </c>
      <c r="C3813" s="13" t="inlineStr">
        <is>
          <t>B1</t>
        </is>
      </c>
      <c r="D3813" s="13" t="n">
        <v>0</v>
      </c>
      <c r="E3813" s="13" t="inlineStr">
        <is>
          <t>W</t>
        </is>
      </c>
      <c r="F3813" s="13" t="n">
        <v>2023</v>
      </c>
      <c r="G3813" s="14" t="n">
        <v>1000943.679222107</v>
      </c>
      <c r="H3813" s="14" t="n">
        <v>221299.677959517</v>
      </c>
      <c r="I3813" s="14" t="n">
        <v>245567.6696467081</v>
      </c>
      <c r="J3813" s="14" t="n">
        <v>0</v>
      </c>
      <c r="K3813" s="14" t="n">
        <v>104281.3529666976</v>
      </c>
      <c r="L3813" s="14" t="n">
        <v>429794.9786491844</v>
      </c>
      <c r="M3813" s="14" t="n">
        <v>0</v>
      </c>
      <c r="N3813" s="14" t="n">
        <v>226943.4327289956</v>
      </c>
      <c r="O3813" s="14" t="n">
        <v>577922.9498059141</v>
      </c>
      <c r="P3813" s="14" t="n">
        <v>24047.28954575483</v>
      </c>
      <c r="Q3813" s="14" t="n">
        <v>4017974.611293927</v>
      </c>
      <c r="R3813" s="15">
        <f>IF(D3813=1,"Section 1","Control")</f>
        <v/>
      </c>
      <c r="S3813" s="16">
        <f>N3813/10000</f>
        <v/>
      </c>
      <c r="T3813" s="16">
        <f>P3813/10000</f>
        <v/>
      </c>
      <c r="U3813" s="15">
        <f>IF(N3813&gt;=Summary!$D$3,1,0)</f>
        <v/>
      </c>
      <c r="V3813" s="17">
        <f>IF(N3813&gt;0,P3813/N3813,"")</f>
        <v/>
      </c>
      <c r="W3813" s="17">
        <f>IF(O3813&gt;0,H3813/O3813,"")</f>
        <v/>
      </c>
    </row>
    <row r="3814">
      <c r="A3814" s="13" t="inlineStr">
        <is>
          <t>CW46_B1</t>
        </is>
      </c>
      <c r="B3814" s="13" t="inlineStr">
        <is>
          <t>CW46</t>
        </is>
      </c>
      <c r="C3814" s="13" t="inlineStr">
        <is>
          <t>B1</t>
        </is>
      </c>
      <c r="D3814" s="13" t="n">
        <v>0</v>
      </c>
      <c r="E3814" s="13" t="inlineStr">
        <is>
          <t>W</t>
        </is>
      </c>
      <c r="F3814" s="13" t="n">
        <v>2024</v>
      </c>
      <c r="G3814" s="14" t="n">
        <v>1000943.679222107</v>
      </c>
      <c r="H3814" s="14" t="n">
        <v>232486.8339901793</v>
      </c>
      <c r="I3814" s="14" t="n">
        <v>230451.1295017916</v>
      </c>
      <c r="J3814" s="14" t="n">
        <v>0</v>
      </c>
      <c r="K3814" s="14" t="n">
        <v>113837.7149105596</v>
      </c>
      <c r="L3814" s="14" t="n">
        <v>424168.0008195765</v>
      </c>
      <c r="M3814" s="14" t="n">
        <v>0</v>
      </c>
      <c r="N3814" s="14" t="n">
        <v>226943.4327289956</v>
      </c>
      <c r="O3814" s="14" t="n">
        <v>577922.9498059141</v>
      </c>
      <c r="P3814" s="14" t="n">
        <v>23484.73713528502</v>
      </c>
      <c r="Q3814" s="14" t="n">
        <v>4017974.611293927</v>
      </c>
      <c r="R3814" s="15">
        <f>IF(D3814=1,"Section 1","Control")</f>
        <v/>
      </c>
      <c r="S3814" s="16">
        <f>N3814/10000</f>
        <v/>
      </c>
      <c r="T3814" s="16">
        <f>P3814/10000</f>
        <v/>
      </c>
      <c r="U3814" s="15">
        <f>IF(N3814&gt;=Summary!$D$3,1,0)</f>
        <v/>
      </c>
      <c r="V3814" s="17">
        <f>IF(N3814&gt;0,P3814/N3814,"")</f>
        <v/>
      </c>
      <c r="W3814" s="17">
        <f>IF(O3814&gt;0,H3814/O3814,"")</f>
        <v/>
      </c>
    </row>
    <row r="3815">
      <c r="A3815" s="13" t="inlineStr">
        <is>
          <t>CW46_B1</t>
        </is>
      </c>
      <c r="B3815" s="13" t="inlineStr">
        <is>
          <t>CW46</t>
        </is>
      </c>
      <c r="C3815" s="13" t="inlineStr">
        <is>
          <t>B1</t>
        </is>
      </c>
      <c r="D3815" s="13" t="n">
        <v>0</v>
      </c>
      <c r="E3815" s="13" t="inlineStr">
        <is>
          <t>W</t>
        </is>
      </c>
      <c r="F3815" s="13" t="n">
        <v>2025</v>
      </c>
      <c r="G3815" s="14" t="n">
        <v>1000943.679222107</v>
      </c>
      <c r="H3815" s="14" t="n">
        <v>210798.945498747</v>
      </c>
      <c r="I3815" s="14" t="n">
        <v>272197.7550009335</v>
      </c>
      <c r="J3815" s="14" t="n">
        <v>0</v>
      </c>
      <c r="K3815" s="14" t="n">
        <v>90361.51262883206</v>
      </c>
      <c r="L3815" s="14" t="n">
        <v>427585.4660935945</v>
      </c>
      <c r="M3815" s="14" t="n">
        <v>0</v>
      </c>
      <c r="N3815" s="14" t="n">
        <v>226943.4327289956</v>
      </c>
      <c r="O3815" s="14" t="n">
        <v>577922.9498059141</v>
      </c>
      <c r="P3815" s="14" t="n">
        <v>28835.38369203456</v>
      </c>
      <c r="Q3815" s="14" t="n">
        <v>4017974.611293927</v>
      </c>
      <c r="R3815" s="15">
        <f>IF(D3815=1,"Section 1","Control")</f>
        <v/>
      </c>
      <c r="S3815" s="16">
        <f>N3815/10000</f>
        <v/>
      </c>
      <c r="T3815" s="16">
        <f>P3815/10000</f>
        <v/>
      </c>
      <c r="U3815" s="15">
        <f>IF(N3815&gt;=Summary!$D$3,1,0)</f>
        <v/>
      </c>
      <c r="V3815" s="17">
        <f>IF(N3815&gt;0,P3815/N3815,"")</f>
        <v/>
      </c>
      <c r="W3815" s="17">
        <f>IF(O3815&gt;0,H3815/O3815,"")</f>
        <v/>
      </c>
    </row>
    <row r="3816">
      <c r="A3816" s="13" t="inlineStr">
        <is>
          <t>CW46_B1</t>
        </is>
      </c>
      <c r="B3816" s="13" t="inlineStr">
        <is>
          <t>CW46</t>
        </is>
      </c>
      <c r="C3816" s="13" t="inlineStr">
        <is>
          <t>B1</t>
        </is>
      </c>
      <c r="D3816" s="13" t="n">
        <v>0</v>
      </c>
      <c r="E3816" s="13" t="inlineStr">
        <is>
          <t>W</t>
        </is>
      </c>
      <c r="F3816" s="13" t="n">
        <v>2026</v>
      </c>
      <c r="G3816" s="14" t="n">
        <v>1000943.679222107</v>
      </c>
      <c r="H3816" s="14" t="n">
        <v>253926.9192882164</v>
      </c>
      <c r="I3816" s="14" t="n">
        <v>219773.5527690214</v>
      </c>
      <c r="J3816" s="14" t="n">
        <v>0</v>
      </c>
      <c r="K3816" s="14" t="n">
        <v>98731.27598640592</v>
      </c>
      <c r="L3816" s="14" t="n">
        <v>428511.9311784633</v>
      </c>
      <c r="M3816" s="14" t="n">
        <v>0</v>
      </c>
      <c r="N3816" s="14" t="n">
        <v>226943.4327289956</v>
      </c>
      <c r="O3816" s="14" t="n">
        <v>577922.9498059141</v>
      </c>
      <c r="P3816" s="14" t="n">
        <v>24445.67881068809</v>
      </c>
      <c r="Q3816" s="14" t="n">
        <v>4017974.611293927</v>
      </c>
      <c r="R3816" s="15">
        <f>IF(D3816=1,"Section 1","Control")</f>
        <v/>
      </c>
      <c r="S3816" s="16">
        <f>N3816/10000</f>
        <v/>
      </c>
      <c r="T3816" s="16">
        <f>P3816/10000</f>
        <v/>
      </c>
      <c r="U3816" s="15">
        <f>IF(N3816&gt;=Summary!$D$3,1,0)</f>
        <v/>
      </c>
      <c r="V3816" s="17">
        <f>IF(N3816&gt;0,P3816/N3816,"")</f>
        <v/>
      </c>
      <c r="W3816" s="17">
        <f>IF(O3816&gt;0,H3816/O3816,"")</f>
        <v/>
      </c>
    </row>
    <row r="3817">
      <c r="A3817" s="13" t="inlineStr">
        <is>
          <t>CW46_B2</t>
        </is>
      </c>
      <c r="B3817" s="13" t="inlineStr">
        <is>
          <t>CW46</t>
        </is>
      </c>
      <c r="C3817" s="13" t="inlineStr">
        <is>
          <t>B2</t>
        </is>
      </c>
      <c r="D3817" s="13" t="n">
        <v>0</v>
      </c>
      <c r="E3817" s="13" t="inlineStr">
        <is>
          <t>W</t>
        </is>
      </c>
      <c r="F3817" s="13" t="n">
        <v>2020</v>
      </c>
      <c r="G3817" s="14" t="n">
        <v>1000954.897724915</v>
      </c>
      <c r="H3817" s="14" t="n">
        <v>361814.3140735402</v>
      </c>
      <c r="I3817" s="14" t="n">
        <v>888.5340118408203</v>
      </c>
      <c r="J3817" s="14" t="n">
        <v>0</v>
      </c>
      <c r="K3817" s="14" t="n">
        <v>13216.14099342496</v>
      </c>
      <c r="L3817" s="14" t="n">
        <v>625035.9086461086</v>
      </c>
      <c r="M3817" s="14" t="n">
        <v>0</v>
      </c>
      <c r="N3817" s="14" t="n">
        <v>361814.3140735402</v>
      </c>
      <c r="O3817" s="14" t="n">
        <v>375918.9890788059</v>
      </c>
      <c r="P3817" s="14" t="n">
        <v>0</v>
      </c>
      <c r="Q3817" s="14" t="n">
        <v>3021231.281127481</v>
      </c>
      <c r="R3817" s="15">
        <f>IF(D3817=1,"Section 1","Control")</f>
        <v/>
      </c>
      <c r="S3817" s="16">
        <f>N3817/10000</f>
        <v/>
      </c>
      <c r="T3817" s="16">
        <f>P3817/10000</f>
        <v/>
      </c>
      <c r="U3817" s="15">
        <f>IF(N3817&gt;=Summary!$D$3,1,0)</f>
        <v/>
      </c>
      <c r="V3817" s="17">
        <f>IF(N3817&gt;0,P3817/N3817,"")</f>
        <v/>
      </c>
      <c r="W3817" s="17">
        <f>IF(O3817&gt;0,H3817/O3817,"")</f>
        <v/>
      </c>
    </row>
    <row r="3818">
      <c r="A3818" s="13" t="inlineStr">
        <is>
          <t>CW46_B2</t>
        </is>
      </c>
      <c r="B3818" s="13" t="inlineStr">
        <is>
          <t>CW46</t>
        </is>
      </c>
      <c r="C3818" s="13" t="inlineStr">
        <is>
          <t>B2</t>
        </is>
      </c>
      <c r="D3818" s="13" t="n">
        <v>0</v>
      </c>
      <c r="E3818" s="13" t="inlineStr">
        <is>
          <t>W</t>
        </is>
      </c>
      <c r="F3818" s="13" t="n">
        <v>2021</v>
      </c>
      <c r="G3818" s="14" t="n">
        <v>1000954.897724915</v>
      </c>
      <c r="H3818" s="14" t="n">
        <v>360913.3909218283</v>
      </c>
      <c r="I3818" s="14" t="n">
        <v>1579.617683410644</v>
      </c>
      <c r="J3818" s="14" t="n">
        <v>0</v>
      </c>
      <c r="K3818" s="14" t="n">
        <v>21292.70673645618</v>
      </c>
      <c r="L3818" s="14" t="n">
        <v>617169.1823832195</v>
      </c>
      <c r="M3818" s="14" t="n">
        <v>0</v>
      </c>
      <c r="N3818" s="14" t="n">
        <v>361814.3140735402</v>
      </c>
      <c r="O3818" s="14" t="n">
        <v>375918.9890788059</v>
      </c>
      <c r="P3818" s="14" t="n">
        <v>1974.520034790039</v>
      </c>
      <c r="Q3818" s="14" t="n">
        <v>3021231.281127481</v>
      </c>
      <c r="R3818" s="15">
        <f>IF(D3818=1,"Section 1","Control")</f>
        <v/>
      </c>
      <c r="S3818" s="16">
        <f>N3818/10000</f>
        <v/>
      </c>
      <c r="T3818" s="16">
        <f>P3818/10000</f>
        <v/>
      </c>
      <c r="U3818" s="15">
        <f>IF(N3818&gt;=Summary!$D$3,1,0)</f>
        <v/>
      </c>
      <c r="V3818" s="17">
        <f>IF(N3818&gt;0,P3818/N3818,"")</f>
        <v/>
      </c>
      <c r="W3818" s="17">
        <f>IF(O3818&gt;0,H3818/O3818,"")</f>
        <v/>
      </c>
    </row>
    <row r="3819">
      <c r="A3819" s="13" t="inlineStr">
        <is>
          <t>CW46_B2</t>
        </is>
      </c>
      <c r="B3819" s="13" t="inlineStr">
        <is>
          <t>CW46</t>
        </is>
      </c>
      <c r="C3819" s="13" t="inlineStr">
        <is>
          <t>B2</t>
        </is>
      </c>
      <c r="D3819" s="13" t="n">
        <v>0</v>
      </c>
      <c r="E3819" s="13" t="inlineStr">
        <is>
          <t>W</t>
        </is>
      </c>
      <c r="F3819" s="13" t="n">
        <v>2022</v>
      </c>
      <c r="G3819" s="14" t="n">
        <v>1000954.897724915</v>
      </c>
      <c r="H3819" s="14" t="n">
        <v>358420.4560340432</v>
      </c>
      <c r="I3819" s="14" t="n">
        <v>506.0193349501666</v>
      </c>
      <c r="J3819" s="14" t="n">
        <v>0</v>
      </c>
      <c r="K3819" s="14" t="n">
        <v>30262.06616593903</v>
      </c>
      <c r="L3819" s="14" t="n">
        <v>611766.3561899822</v>
      </c>
      <c r="M3819" s="14" t="n">
        <v>0</v>
      </c>
      <c r="N3819" s="14" t="n">
        <v>361814.3140735402</v>
      </c>
      <c r="O3819" s="14" t="n">
        <v>375918.9890788059</v>
      </c>
      <c r="P3819" s="14" t="n">
        <v>4455.065195240693</v>
      </c>
      <c r="Q3819" s="14" t="n">
        <v>3021231.281127481</v>
      </c>
      <c r="R3819" s="15">
        <f>IF(D3819=1,"Section 1","Control")</f>
        <v/>
      </c>
      <c r="S3819" s="16">
        <f>N3819/10000</f>
        <v/>
      </c>
      <c r="T3819" s="16">
        <f>P3819/10000</f>
        <v/>
      </c>
      <c r="U3819" s="15">
        <f>IF(N3819&gt;=Summary!$D$3,1,0)</f>
        <v/>
      </c>
      <c r="V3819" s="17">
        <f>IF(N3819&gt;0,P3819/N3819,"")</f>
        <v/>
      </c>
      <c r="W3819" s="17">
        <f>IF(O3819&gt;0,H3819/O3819,"")</f>
        <v/>
      </c>
    </row>
    <row r="3820">
      <c r="A3820" s="13" t="inlineStr">
        <is>
          <t>CW46_B2</t>
        </is>
      </c>
      <c r="B3820" s="13" t="inlineStr">
        <is>
          <t>CW46</t>
        </is>
      </c>
      <c r="C3820" s="13" t="inlineStr">
        <is>
          <t>B2</t>
        </is>
      </c>
      <c r="D3820" s="13" t="n">
        <v>0</v>
      </c>
      <c r="E3820" s="13" t="inlineStr">
        <is>
          <t>W</t>
        </is>
      </c>
      <c r="F3820" s="13" t="n">
        <v>2023</v>
      </c>
      <c r="G3820" s="14" t="n">
        <v>1000954.897724915</v>
      </c>
      <c r="H3820" s="14" t="n">
        <v>355173.3353286743</v>
      </c>
      <c r="I3820" s="14" t="n">
        <v>1579.616104125977</v>
      </c>
      <c r="J3820" s="14" t="n">
        <v>0</v>
      </c>
      <c r="K3820" s="14" t="n">
        <v>14532.87311586866</v>
      </c>
      <c r="L3820" s="14" t="n">
        <v>629669.0731762457</v>
      </c>
      <c r="M3820" s="14" t="n">
        <v>0</v>
      </c>
      <c r="N3820" s="14" t="n">
        <v>361814.3140735402</v>
      </c>
      <c r="O3820" s="14" t="n">
        <v>375918.9890788059</v>
      </c>
      <c r="P3820" s="14" t="n">
        <v>7023.493222853716</v>
      </c>
      <c r="Q3820" s="14" t="n">
        <v>3021231.281127481</v>
      </c>
      <c r="R3820" s="15">
        <f>IF(D3820=1,"Section 1","Control")</f>
        <v/>
      </c>
      <c r="S3820" s="16">
        <f>N3820/10000</f>
        <v/>
      </c>
      <c r="T3820" s="16">
        <f>P3820/10000</f>
        <v/>
      </c>
      <c r="U3820" s="15">
        <f>IF(N3820&gt;=Summary!$D$3,1,0)</f>
        <v/>
      </c>
      <c r="V3820" s="17">
        <f>IF(N3820&gt;0,P3820/N3820,"")</f>
        <v/>
      </c>
      <c r="W3820" s="17">
        <f>IF(O3820&gt;0,H3820/O3820,"")</f>
        <v/>
      </c>
    </row>
    <row r="3821">
      <c r="A3821" s="13" t="inlineStr">
        <is>
          <t>CW46_B2</t>
        </is>
      </c>
      <c r="B3821" s="13" t="inlineStr">
        <is>
          <t>CW46</t>
        </is>
      </c>
      <c r="C3821" s="13" t="inlineStr">
        <is>
          <t>B2</t>
        </is>
      </c>
      <c r="D3821" s="13" t="n">
        <v>0</v>
      </c>
      <c r="E3821" s="13" t="inlineStr">
        <is>
          <t>W</t>
        </is>
      </c>
      <c r="F3821" s="13" t="n">
        <v>2024</v>
      </c>
      <c r="G3821" s="14" t="n">
        <v>1000954.897724915</v>
      </c>
      <c r="H3821" s="14" t="n">
        <v>355152.4321666044</v>
      </c>
      <c r="I3821" s="14" t="n">
        <v>1579.615165710449</v>
      </c>
      <c r="J3821" s="14" t="n">
        <v>0</v>
      </c>
      <c r="K3821" s="14" t="n">
        <v>27016.50154344147</v>
      </c>
      <c r="L3821" s="14" t="n">
        <v>617206.3488491583</v>
      </c>
      <c r="M3821" s="14" t="n">
        <v>0</v>
      </c>
      <c r="N3821" s="14" t="n">
        <v>361814.3140735402</v>
      </c>
      <c r="O3821" s="14" t="n">
        <v>375918.9890788059</v>
      </c>
      <c r="P3821" s="14" t="n">
        <v>7517.119588515337</v>
      </c>
      <c r="Q3821" s="14" t="n">
        <v>3021231.281127481</v>
      </c>
      <c r="R3821" s="15">
        <f>IF(D3821=1,"Section 1","Control")</f>
        <v/>
      </c>
      <c r="S3821" s="16">
        <f>N3821/10000</f>
        <v/>
      </c>
      <c r="T3821" s="16">
        <f>P3821/10000</f>
        <v/>
      </c>
      <c r="U3821" s="15">
        <f>IF(N3821&gt;=Summary!$D$3,1,0)</f>
        <v/>
      </c>
      <c r="V3821" s="17">
        <f>IF(N3821&gt;0,P3821/N3821,"")</f>
        <v/>
      </c>
      <c r="W3821" s="17">
        <f>IF(O3821&gt;0,H3821/O3821,"")</f>
        <v/>
      </c>
    </row>
    <row r="3822">
      <c r="A3822" s="13" t="inlineStr">
        <is>
          <t>CW46_B2</t>
        </is>
      </c>
      <c r="B3822" s="13" t="inlineStr">
        <is>
          <t>CW46</t>
        </is>
      </c>
      <c r="C3822" s="13" t="inlineStr">
        <is>
          <t>B2</t>
        </is>
      </c>
      <c r="D3822" s="13" t="n">
        <v>0</v>
      </c>
      <c r="E3822" s="13" t="inlineStr">
        <is>
          <t>W</t>
        </is>
      </c>
      <c r="F3822" s="13" t="n">
        <v>2025</v>
      </c>
      <c r="G3822" s="14" t="n">
        <v>1000954.897724915</v>
      </c>
      <c r="H3822" s="14" t="n">
        <v>354423.0251126458</v>
      </c>
      <c r="I3822" s="14" t="n">
        <v>2344.645260350844</v>
      </c>
      <c r="J3822" s="14" t="n">
        <v>0</v>
      </c>
      <c r="K3822" s="14" t="n">
        <v>21129.70695456711</v>
      </c>
      <c r="L3822" s="14" t="n">
        <v>623057.5203973509</v>
      </c>
      <c r="M3822" s="14" t="n">
        <v>0</v>
      </c>
      <c r="N3822" s="14" t="n">
        <v>361814.3140735402</v>
      </c>
      <c r="O3822" s="14" t="n">
        <v>375918.9890788059</v>
      </c>
      <c r="P3822" s="14" t="n">
        <v>8740.158936175178</v>
      </c>
      <c r="Q3822" s="14" t="n">
        <v>3021231.281127481</v>
      </c>
      <c r="R3822" s="15">
        <f>IF(D3822=1,"Section 1","Control")</f>
        <v/>
      </c>
      <c r="S3822" s="16">
        <f>N3822/10000</f>
        <v/>
      </c>
      <c r="T3822" s="16">
        <f>P3822/10000</f>
        <v/>
      </c>
      <c r="U3822" s="15">
        <f>IF(N3822&gt;=Summary!$D$3,1,0)</f>
        <v/>
      </c>
      <c r="V3822" s="17">
        <f>IF(N3822&gt;0,P3822/N3822,"")</f>
        <v/>
      </c>
      <c r="W3822" s="17">
        <f>IF(O3822&gt;0,H3822/O3822,"")</f>
        <v/>
      </c>
    </row>
    <row r="3823">
      <c r="A3823" s="13" t="inlineStr">
        <is>
          <t>CW46_B2</t>
        </is>
      </c>
      <c r="B3823" s="13" t="inlineStr">
        <is>
          <t>CW46</t>
        </is>
      </c>
      <c r="C3823" s="13" t="inlineStr">
        <is>
          <t>B2</t>
        </is>
      </c>
      <c r="D3823" s="13" t="n">
        <v>0</v>
      </c>
      <c r="E3823" s="13" t="inlineStr">
        <is>
          <t>W</t>
        </is>
      </c>
      <c r="F3823" s="13" t="n">
        <v>2026</v>
      </c>
      <c r="G3823" s="14" t="n">
        <v>1000954.897724914</v>
      </c>
      <c r="H3823" s="14" t="n">
        <v>352329.6484585033</v>
      </c>
      <c r="I3823" s="14" t="n">
        <v>2073.245559692383</v>
      </c>
      <c r="J3823" s="14" t="n">
        <v>0</v>
      </c>
      <c r="K3823" s="14" t="n">
        <v>19190.80809412937</v>
      </c>
      <c r="L3823" s="14" t="n">
        <v>627361.1956125896</v>
      </c>
      <c r="M3823" s="14" t="n">
        <v>0</v>
      </c>
      <c r="N3823" s="14" t="n">
        <v>361814.3140735402</v>
      </c>
      <c r="O3823" s="14" t="n">
        <v>375918.9890788059</v>
      </c>
      <c r="P3823" s="14" t="n">
        <v>9879.570003464642</v>
      </c>
      <c r="Q3823" s="14" t="n">
        <v>3021231.281127481</v>
      </c>
      <c r="R3823" s="15">
        <f>IF(D3823=1,"Section 1","Control")</f>
        <v/>
      </c>
      <c r="S3823" s="16">
        <f>N3823/10000</f>
        <v/>
      </c>
      <c r="T3823" s="16">
        <f>P3823/10000</f>
        <v/>
      </c>
      <c r="U3823" s="15">
        <f>IF(N3823&gt;=Summary!$D$3,1,0)</f>
        <v/>
      </c>
      <c r="V3823" s="17">
        <f>IF(N3823&gt;0,P3823/N3823,"")</f>
        <v/>
      </c>
      <c r="W3823" s="17">
        <f>IF(O3823&gt;0,H3823/O3823,"")</f>
        <v/>
      </c>
    </row>
    <row r="3824">
      <c r="A3824" s="13" t="inlineStr">
        <is>
          <t>CW46_B3</t>
        </is>
      </c>
      <c r="B3824" s="13" t="inlineStr">
        <is>
          <t>CW46</t>
        </is>
      </c>
      <c r="C3824" s="13" t="inlineStr">
        <is>
          <t>B3</t>
        </is>
      </c>
      <c r="D3824" s="13" t="n">
        <v>0</v>
      </c>
      <c r="E3824" s="13" t="inlineStr">
        <is>
          <t>W</t>
        </is>
      </c>
      <c r="F3824" s="13" t="n">
        <v>2020</v>
      </c>
      <c r="G3824" s="14" t="n">
        <v>8008850.408361397</v>
      </c>
      <c r="H3824" s="14" t="n">
        <v>3506745.241811266</v>
      </c>
      <c r="I3824" s="14" t="n">
        <v>31844.51855504653</v>
      </c>
      <c r="J3824" s="14" t="n">
        <v>0</v>
      </c>
      <c r="K3824" s="14" t="n">
        <v>79354.81761450674</v>
      </c>
      <c r="L3824" s="14" t="n">
        <v>4390905.830380578</v>
      </c>
      <c r="M3824" s="14" t="n">
        <v>0</v>
      </c>
      <c r="N3824" s="14" t="n">
        <v>3506745.241811266</v>
      </c>
      <c r="O3824" s="14" t="n">
        <v>3617944.577980819</v>
      </c>
      <c r="P3824" s="14" t="n">
        <v>0</v>
      </c>
      <c r="Q3824" s="14" t="n">
        <v>22609437.7685806</v>
      </c>
      <c r="R3824" s="15">
        <f>IF(D3824=1,"Section 1","Control")</f>
        <v/>
      </c>
      <c r="S3824" s="16">
        <f>N3824/10000</f>
        <v/>
      </c>
      <c r="T3824" s="16">
        <f>P3824/10000</f>
        <v/>
      </c>
      <c r="U3824" s="15">
        <f>IF(N3824&gt;=Summary!$D$3,1,0)</f>
        <v/>
      </c>
      <c r="V3824" s="17">
        <f>IF(N3824&gt;0,P3824/N3824,"")</f>
        <v/>
      </c>
      <c r="W3824" s="17">
        <f>IF(O3824&gt;0,H3824/O3824,"")</f>
        <v/>
      </c>
    </row>
    <row r="3825">
      <c r="A3825" s="13" t="inlineStr">
        <is>
          <t>CW46_B3</t>
        </is>
      </c>
      <c r="B3825" s="13" t="inlineStr">
        <is>
          <t>CW46</t>
        </is>
      </c>
      <c r="C3825" s="13" t="inlineStr">
        <is>
          <t>B3</t>
        </is>
      </c>
      <c r="D3825" s="13" t="n">
        <v>0</v>
      </c>
      <c r="E3825" s="13" t="inlineStr">
        <is>
          <t>W</t>
        </is>
      </c>
      <c r="F3825" s="13" t="n">
        <v>2021</v>
      </c>
      <c r="G3825" s="14" t="n">
        <v>8008850.408361395</v>
      </c>
      <c r="H3825" s="14" t="n">
        <v>3415509.90499127</v>
      </c>
      <c r="I3825" s="14" t="n">
        <v>47466.04104856604</v>
      </c>
      <c r="J3825" s="14" t="n">
        <v>0</v>
      </c>
      <c r="K3825" s="14" t="n">
        <v>238591.9543442072</v>
      </c>
      <c r="L3825" s="14" t="n">
        <v>4307282.507977354</v>
      </c>
      <c r="M3825" s="14" t="n">
        <v>0</v>
      </c>
      <c r="N3825" s="14" t="n">
        <v>3506745.241811265</v>
      </c>
      <c r="O3825" s="14" t="n">
        <v>3617944.57798082</v>
      </c>
      <c r="P3825" s="14" t="n">
        <v>105077.082006836</v>
      </c>
      <c r="Q3825" s="14" t="n">
        <v>22609437.7685806</v>
      </c>
      <c r="R3825" s="15">
        <f>IF(D3825=1,"Section 1","Control")</f>
        <v/>
      </c>
      <c r="S3825" s="16">
        <f>N3825/10000</f>
        <v/>
      </c>
      <c r="T3825" s="16">
        <f>P3825/10000</f>
        <v/>
      </c>
      <c r="U3825" s="15">
        <f>IF(N3825&gt;=Summary!$D$3,1,0)</f>
        <v/>
      </c>
      <c r="V3825" s="17">
        <f>IF(N3825&gt;0,P3825/N3825,"")</f>
        <v/>
      </c>
      <c r="W3825" s="17">
        <f>IF(O3825&gt;0,H3825/O3825,"")</f>
        <v/>
      </c>
    </row>
    <row r="3826">
      <c r="A3826" s="13" t="inlineStr">
        <is>
          <t>CW46_B3</t>
        </is>
      </c>
      <c r="B3826" s="13" t="inlineStr">
        <is>
          <t>CW46</t>
        </is>
      </c>
      <c r="C3826" s="13" t="inlineStr">
        <is>
          <t>B3</t>
        </is>
      </c>
      <c r="D3826" s="13" t="n">
        <v>0</v>
      </c>
      <c r="E3826" s="13" t="inlineStr">
        <is>
          <t>W</t>
        </is>
      </c>
      <c r="F3826" s="13" t="n">
        <v>2022</v>
      </c>
      <c r="G3826" s="14" t="n">
        <v>8008850.408361397</v>
      </c>
      <c r="H3826" s="14" t="n">
        <v>3367478.371786708</v>
      </c>
      <c r="I3826" s="14" t="n">
        <v>97625.56634335984</v>
      </c>
      <c r="J3826" s="14" t="n">
        <v>0</v>
      </c>
      <c r="K3826" s="14" t="n">
        <v>239569.4704178455</v>
      </c>
      <c r="L3826" s="14" t="n">
        <v>4304176.999813483</v>
      </c>
      <c r="M3826" s="14" t="n">
        <v>0</v>
      </c>
      <c r="N3826" s="14" t="n">
        <v>3506745.241811266</v>
      </c>
      <c r="O3826" s="14" t="n">
        <v>3617944.577980819</v>
      </c>
      <c r="P3826" s="14" t="n">
        <v>152824.4562578987</v>
      </c>
      <c r="Q3826" s="14" t="n">
        <v>22609437.7685806</v>
      </c>
      <c r="R3826" s="15">
        <f>IF(D3826=1,"Section 1","Control")</f>
        <v/>
      </c>
      <c r="S3826" s="16">
        <f>N3826/10000</f>
        <v/>
      </c>
      <c r="T3826" s="16">
        <f>P3826/10000</f>
        <v/>
      </c>
      <c r="U3826" s="15">
        <f>IF(N3826&gt;=Summary!$D$3,1,0)</f>
        <v/>
      </c>
      <c r="V3826" s="17">
        <f>IF(N3826&gt;0,P3826/N3826,"")</f>
        <v/>
      </c>
      <c r="W3826" s="17">
        <f>IF(O3826&gt;0,H3826/O3826,"")</f>
        <v/>
      </c>
    </row>
    <row r="3827">
      <c r="A3827" s="13" t="inlineStr">
        <is>
          <t>CW46_B3</t>
        </is>
      </c>
      <c r="B3827" s="13" t="inlineStr">
        <is>
          <t>CW46</t>
        </is>
      </c>
      <c r="C3827" s="13" t="inlineStr">
        <is>
          <t>B3</t>
        </is>
      </c>
      <c r="D3827" s="13" t="n">
        <v>0</v>
      </c>
      <c r="E3827" s="13" t="inlineStr">
        <is>
          <t>W</t>
        </is>
      </c>
      <c r="F3827" s="13" t="n">
        <v>2023</v>
      </c>
      <c r="G3827" s="14" t="n">
        <v>8008850.408361397</v>
      </c>
      <c r="H3827" s="14" t="n">
        <v>3412043.976870638</v>
      </c>
      <c r="I3827" s="14" t="n">
        <v>45830.67300588571</v>
      </c>
      <c r="J3827" s="14" t="n">
        <v>0</v>
      </c>
      <c r="K3827" s="14" t="n">
        <v>154344.0230399936</v>
      </c>
      <c r="L3827" s="14" t="n">
        <v>4396631.735444879</v>
      </c>
      <c r="M3827" s="14" t="n">
        <v>0</v>
      </c>
      <c r="N3827" s="14" t="n">
        <v>3506745.241811266</v>
      </c>
      <c r="O3827" s="14" t="n">
        <v>3617944.57798082</v>
      </c>
      <c r="P3827" s="14" t="n">
        <v>116513.3602160585</v>
      </c>
      <c r="Q3827" s="14" t="n">
        <v>22609437.7685806</v>
      </c>
      <c r="R3827" s="15">
        <f>IF(D3827=1,"Section 1","Control")</f>
        <v/>
      </c>
      <c r="S3827" s="16">
        <f>N3827/10000</f>
        <v/>
      </c>
      <c r="T3827" s="16">
        <f>P3827/10000</f>
        <v/>
      </c>
      <c r="U3827" s="15">
        <f>IF(N3827&gt;=Summary!$D$3,1,0)</f>
        <v/>
      </c>
      <c r="V3827" s="17">
        <f>IF(N3827&gt;0,P3827/N3827,"")</f>
        <v/>
      </c>
      <c r="W3827" s="17">
        <f>IF(O3827&gt;0,H3827/O3827,"")</f>
        <v/>
      </c>
    </row>
    <row r="3828">
      <c r="A3828" s="13" t="inlineStr">
        <is>
          <t>CW46_B3</t>
        </is>
      </c>
      <c r="B3828" s="13" t="inlineStr">
        <is>
          <t>CW46</t>
        </is>
      </c>
      <c r="C3828" s="13" t="inlineStr">
        <is>
          <t>B3</t>
        </is>
      </c>
      <c r="D3828" s="13" t="n">
        <v>0</v>
      </c>
      <c r="E3828" s="13" t="inlineStr">
        <is>
          <t>W</t>
        </is>
      </c>
      <c r="F3828" s="13" t="n">
        <v>2024</v>
      </c>
      <c r="G3828" s="14" t="n">
        <v>8008850.408361397</v>
      </c>
      <c r="H3828" s="14" t="n">
        <v>3403766.494970254</v>
      </c>
      <c r="I3828" s="14" t="n">
        <v>60022.2346031937</v>
      </c>
      <c r="J3828" s="14" t="n">
        <v>0</v>
      </c>
      <c r="K3828" s="14" t="n">
        <v>187840.4719015383</v>
      </c>
      <c r="L3828" s="14" t="n">
        <v>4357221.206886411</v>
      </c>
      <c r="M3828" s="14" t="n">
        <v>0</v>
      </c>
      <c r="N3828" s="14" t="n">
        <v>3506745.241811266</v>
      </c>
      <c r="O3828" s="14" t="n">
        <v>3617944.57798082</v>
      </c>
      <c r="P3828" s="14" t="n">
        <v>124075.0128962199</v>
      </c>
      <c r="Q3828" s="14" t="n">
        <v>22609437.7685806</v>
      </c>
      <c r="R3828" s="15">
        <f>IF(D3828=1,"Section 1","Control")</f>
        <v/>
      </c>
      <c r="S3828" s="16">
        <f>N3828/10000</f>
        <v/>
      </c>
      <c r="T3828" s="16">
        <f>P3828/10000</f>
        <v/>
      </c>
      <c r="U3828" s="15">
        <f>IF(N3828&gt;=Summary!$D$3,1,0)</f>
        <v/>
      </c>
      <c r="V3828" s="17">
        <f>IF(N3828&gt;0,P3828/N3828,"")</f>
        <v/>
      </c>
      <c r="W3828" s="17">
        <f>IF(O3828&gt;0,H3828/O3828,"")</f>
        <v/>
      </c>
    </row>
    <row r="3829">
      <c r="A3829" s="13" t="inlineStr">
        <is>
          <t>CW46_B3</t>
        </is>
      </c>
      <c r="B3829" s="13" t="inlineStr">
        <is>
          <t>CW46</t>
        </is>
      </c>
      <c r="C3829" s="13" t="inlineStr">
        <is>
          <t>B3</t>
        </is>
      </c>
      <c r="D3829" s="13" t="n">
        <v>0</v>
      </c>
      <c r="E3829" s="13" t="inlineStr">
        <is>
          <t>W</t>
        </is>
      </c>
      <c r="F3829" s="13" t="n">
        <v>2025</v>
      </c>
      <c r="G3829" s="14" t="n">
        <v>8008850.408361397</v>
      </c>
      <c r="H3829" s="14" t="n">
        <v>3414553.736539864</v>
      </c>
      <c r="I3829" s="14" t="n">
        <v>51173.81716697544</v>
      </c>
      <c r="J3829" s="14" t="n">
        <v>0</v>
      </c>
      <c r="K3829" s="14" t="n">
        <v>153728.9742444207</v>
      </c>
      <c r="L3829" s="14" t="n">
        <v>4389393.880410138</v>
      </c>
      <c r="M3829" s="14" t="n">
        <v>0</v>
      </c>
      <c r="N3829" s="14" t="n">
        <v>3506745.241811266</v>
      </c>
      <c r="O3829" s="14" t="n">
        <v>3617944.577980819</v>
      </c>
      <c r="P3829" s="14" t="n">
        <v>113682.6714959836</v>
      </c>
      <c r="Q3829" s="14" t="n">
        <v>22609437.7685806</v>
      </c>
      <c r="R3829" s="15">
        <f>IF(D3829=1,"Section 1","Control")</f>
        <v/>
      </c>
      <c r="S3829" s="16">
        <f>N3829/10000</f>
        <v/>
      </c>
      <c r="T3829" s="16">
        <f>P3829/10000</f>
        <v/>
      </c>
      <c r="U3829" s="15">
        <f>IF(N3829&gt;=Summary!$D$3,1,0)</f>
        <v/>
      </c>
      <c r="V3829" s="17">
        <f>IF(N3829&gt;0,P3829/N3829,"")</f>
        <v/>
      </c>
      <c r="W3829" s="17">
        <f>IF(O3829&gt;0,H3829/O3829,"")</f>
        <v/>
      </c>
    </row>
    <row r="3830">
      <c r="A3830" s="13" t="inlineStr">
        <is>
          <t>CW46_B3</t>
        </is>
      </c>
      <c r="B3830" s="13" t="inlineStr">
        <is>
          <t>CW46</t>
        </is>
      </c>
      <c r="C3830" s="13" t="inlineStr">
        <is>
          <t>B3</t>
        </is>
      </c>
      <c r="D3830" s="13" t="n">
        <v>0</v>
      </c>
      <c r="E3830" s="13" t="inlineStr">
        <is>
          <t>W</t>
        </is>
      </c>
      <c r="F3830" s="13" t="n">
        <v>2026</v>
      </c>
      <c r="G3830" s="14" t="n">
        <v>8008850.408361397</v>
      </c>
      <c r="H3830" s="14" t="n">
        <v>3374063.844073127</v>
      </c>
      <c r="I3830" s="14" t="n">
        <v>72482.28072186639</v>
      </c>
      <c r="J3830" s="14" t="n">
        <v>0</v>
      </c>
      <c r="K3830" s="14" t="n">
        <v>147680.2588502473</v>
      </c>
      <c r="L3830" s="14" t="n">
        <v>4414624.024716156</v>
      </c>
      <c r="M3830" s="14" t="n">
        <v>0</v>
      </c>
      <c r="N3830" s="14" t="n">
        <v>3506745.241811266</v>
      </c>
      <c r="O3830" s="14" t="n">
        <v>3617944.57798082</v>
      </c>
      <c r="P3830" s="14" t="n">
        <v>148623.3647124646</v>
      </c>
      <c r="Q3830" s="14" t="n">
        <v>22609437.7685806</v>
      </c>
      <c r="R3830" s="15">
        <f>IF(D3830=1,"Section 1","Control")</f>
        <v/>
      </c>
      <c r="S3830" s="16">
        <f>N3830/10000</f>
        <v/>
      </c>
      <c r="T3830" s="16">
        <f>P3830/10000</f>
        <v/>
      </c>
      <c r="U3830" s="15">
        <f>IF(N3830&gt;=Summary!$D$3,1,0)</f>
        <v/>
      </c>
      <c r="V3830" s="17">
        <f>IF(N3830&gt;0,P3830/N3830,"")</f>
        <v/>
      </c>
      <c r="W3830" s="17">
        <f>IF(O3830&gt;0,H3830/O3830,"")</f>
        <v/>
      </c>
    </row>
    <row r="3831">
      <c r="A3831" s="13" t="inlineStr">
        <is>
          <t>CW46_F</t>
        </is>
      </c>
      <c r="B3831" s="13" t="inlineStr">
        <is>
          <t>CW46</t>
        </is>
      </c>
      <c r="C3831" s="13" t="inlineStr">
        <is>
          <t>F</t>
        </is>
      </c>
      <c r="D3831" s="13" t="n">
        <v>0</v>
      </c>
      <c r="E3831" s="13" t="inlineStr">
        <is>
          <t>W</t>
        </is>
      </c>
      <c r="F3831" s="13" t="n">
        <v>2020</v>
      </c>
      <c r="G3831" s="14" t="n">
        <v>69570.26860465253</v>
      </c>
      <c r="H3831" s="14" t="n">
        <v>22051.43518598968</v>
      </c>
      <c r="I3831" s="14" t="n">
        <v>39138.23451382507</v>
      </c>
      <c r="J3831" s="14" t="n">
        <v>0</v>
      </c>
      <c r="K3831" s="14" t="n">
        <v>8380.598904837814</v>
      </c>
      <c r="L3831" s="14" t="n">
        <v>0</v>
      </c>
      <c r="M3831" s="14" t="n">
        <v>0</v>
      </c>
      <c r="N3831" s="14" t="n">
        <v>22051.43518598968</v>
      </c>
      <c r="O3831" s="14" t="n">
        <v>69570.26860465253</v>
      </c>
      <c r="P3831" s="14" t="n">
        <v>0</v>
      </c>
      <c r="Q3831" s="14" t="n">
        <v>793675.8738731237</v>
      </c>
      <c r="R3831" s="15">
        <f>IF(D3831=1,"Section 1","Control")</f>
        <v/>
      </c>
      <c r="S3831" s="16">
        <f>N3831/10000</f>
        <v/>
      </c>
      <c r="T3831" s="16">
        <f>P3831/10000</f>
        <v/>
      </c>
      <c r="U3831" s="15">
        <f>IF(N3831&gt;=Summary!$D$3,1,0)</f>
        <v/>
      </c>
      <c r="V3831" s="17">
        <f>IF(N3831&gt;0,P3831/N3831,"")</f>
        <v/>
      </c>
      <c r="W3831" s="17">
        <f>IF(O3831&gt;0,H3831/O3831,"")</f>
        <v/>
      </c>
    </row>
    <row r="3832">
      <c r="A3832" s="13" t="inlineStr">
        <is>
          <t>CW46_F</t>
        </is>
      </c>
      <c r="B3832" s="13" t="inlineStr">
        <is>
          <t>CW46</t>
        </is>
      </c>
      <c r="C3832" s="13" t="inlineStr">
        <is>
          <t>F</t>
        </is>
      </c>
      <c r="D3832" s="13" t="n">
        <v>0</v>
      </c>
      <c r="E3832" s="13" t="inlineStr">
        <is>
          <t>W</t>
        </is>
      </c>
      <c r="F3832" s="13" t="n">
        <v>2021</v>
      </c>
      <c r="G3832" s="14" t="n">
        <v>69570.26860465253</v>
      </c>
      <c r="H3832" s="14" t="n">
        <v>21518.30766538732</v>
      </c>
      <c r="I3832" s="14" t="n">
        <v>34105.84929761699</v>
      </c>
      <c r="J3832" s="14" t="n">
        <v>0</v>
      </c>
      <c r="K3832" s="14" t="n">
        <v>13946.11164164824</v>
      </c>
      <c r="L3832" s="14" t="n">
        <v>0</v>
      </c>
      <c r="M3832" s="14" t="n">
        <v>0</v>
      </c>
      <c r="N3832" s="14" t="n">
        <v>22051.43518598968</v>
      </c>
      <c r="O3832" s="14" t="n">
        <v>69570.26860465253</v>
      </c>
      <c r="P3832" s="14" t="n">
        <v>1818.131925994275</v>
      </c>
      <c r="Q3832" s="14" t="n">
        <v>793675.8738731237</v>
      </c>
      <c r="R3832" s="15">
        <f>IF(D3832=1,"Section 1","Control")</f>
        <v/>
      </c>
      <c r="S3832" s="16">
        <f>N3832/10000</f>
        <v/>
      </c>
      <c r="T3832" s="16">
        <f>P3832/10000</f>
        <v/>
      </c>
      <c r="U3832" s="15">
        <f>IF(N3832&gt;=Summary!$D$3,1,0)</f>
        <v/>
      </c>
      <c r="V3832" s="17">
        <f>IF(N3832&gt;0,P3832/N3832,"")</f>
        <v/>
      </c>
      <c r="W3832" s="17">
        <f>IF(O3832&gt;0,H3832/O3832,"")</f>
        <v/>
      </c>
    </row>
    <row r="3833">
      <c r="A3833" s="13" t="inlineStr">
        <is>
          <t>CW46_F</t>
        </is>
      </c>
      <c r="B3833" s="13" t="inlineStr">
        <is>
          <t>CW46</t>
        </is>
      </c>
      <c r="C3833" s="13" t="inlineStr">
        <is>
          <t>F</t>
        </is>
      </c>
      <c r="D3833" s="13" t="n">
        <v>0</v>
      </c>
      <c r="E3833" s="13" t="inlineStr">
        <is>
          <t>W</t>
        </is>
      </c>
      <c r="F3833" s="13" t="n">
        <v>2022</v>
      </c>
      <c r="G3833" s="14" t="n">
        <v>69570.26860465253</v>
      </c>
      <c r="H3833" s="14" t="n">
        <v>25347.76785721124</v>
      </c>
      <c r="I3833" s="14" t="n">
        <v>36385.48326864804</v>
      </c>
      <c r="J3833" s="14" t="n">
        <v>0</v>
      </c>
      <c r="K3833" s="14" t="n">
        <v>7837.017478793275</v>
      </c>
      <c r="L3833" s="14" t="n">
        <v>0</v>
      </c>
      <c r="M3833" s="14" t="n">
        <v>0</v>
      </c>
      <c r="N3833" s="14" t="n">
        <v>22051.43518598968</v>
      </c>
      <c r="O3833" s="14" t="n">
        <v>69570.26860465253</v>
      </c>
      <c r="P3833" s="14" t="n">
        <v>1505.688782007554</v>
      </c>
      <c r="Q3833" s="14" t="n">
        <v>793675.8738731237</v>
      </c>
      <c r="R3833" s="15">
        <f>IF(D3833=1,"Section 1","Control")</f>
        <v/>
      </c>
      <c r="S3833" s="16">
        <f>N3833/10000</f>
        <v/>
      </c>
      <c r="T3833" s="16">
        <f>P3833/10000</f>
        <v/>
      </c>
      <c r="U3833" s="15">
        <f>IF(N3833&gt;=Summary!$D$3,1,0)</f>
        <v/>
      </c>
      <c r="V3833" s="17">
        <f>IF(N3833&gt;0,P3833/N3833,"")</f>
        <v/>
      </c>
      <c r="W3833" s="17">
        <f>IF(O3833&gt;0,H3833/O3833,"")</f>
        <v/>
      </c>
    </row>
    <row r="3834">
      <c r="A3834" s="13" t="inlineStr">
        <is>
          <t>CW46_F</t>
        </is>
      </c>
      <c r="B3834" s="13" t="inlineStr">
        <is>
          <t>CW46</t>
        </is>
      </c>
      <c r="C3834" s="13" t="inlineStr">
        <is>
          <t>F</t>
        </is>
      </c>
      <c r="D3834" s="13" t="n">
        <v>0</v>
      </c>
      <c r="E3834" s="13" t="inlineStr">
        <is>
          <t>W</t>
        </is>
      </c>
      <c r="F3834" s="13" t="n">
        <v>2023</v>
      </c>
      <c r="G3834" s="14" t="n">
        <v>69570.26860465253</v>
      </c>
      <c r="H3834" s="14" t="n">
        <v>26168.17326169481</v>
      </c>
      <c r="I3834" s="14" t="n">
        <v>32356.24419241513</v>
      </c>
      <c r="J3834" s="14" t="n">
        <v>0</v>
      </c>
      <c r="K3834" s="14" t="n">
        <v>11045.85115054262</v>
      </c>
      <c r="L3834" s="14" t="n">
        <v>0</v>
      </c>
      <c r="M3834" s="14" t="n">
        <v>0</v>
      </c>
      <c r="N3834" s="14" t="n">
        <v>22051.43518598968</v>
      </c>
      <c r="O3834" s="14" t="n">
        <v>69570.26860465253</v>
      </c>
      <c r="P3834" s="14" t="n">
        <v>3159.662700069652</v>
      </c>
      <c r="Q3834" s="14" t="n">
        <v>793675.8738731237</v>
      </c>
      <c r="R3834" s="15">
        <f>IF(D3834=1,"Section 1","Control")</f>
        <v/>
      </c>
      <c r="S3834" s="16">
        <f>N3834/10000</f>
        <v/>
      </c>
      <c r="T3834" s="16">
        <f>P3834/10000</f>
        <v/>
      </c>
      <c r="U3834" s="15">
        <f>IF(N3834&gt;=Summary!$D$3,1,0)</f>
        <v/>
      </c>
      <c r="V3834" s="17">
        <f>IF(N3834&gt;0,P3834/N3834,"")</f>
        <v/>
      </c>
      <c r="W3834" s="17">
        <f>IF(O3834&gt;0,H3834/O3834,"")</f>
        <v/>
      </c>
    </row>
    <row r="3835">
      <c r="A3835" s="13" t="inlineStr">
        <is>
          <t>CW46_F</t>
        </is>
      </c>
      <c r="B3835" s="13" t="inlineStr">
        <is>
          <t>CW46</t>
        </is>
      </c>
      <c r="C3835" s="13" t="inlineStr">
        <is>
          <t>F</t>
        </is>
      </c>
      <c r="D3835" s="13" t="n">
        <v>0</v>
      </c>
      <c r="E3835" s="13" t="inlineStr">
        <is>
          <t>W</t>
        </is>
      </c>
      <c r="F3835" s="13" t="n">
        <v>2024</v>
      </c>
      <c r="G3835" s="14" t="n">
        <v>69570.26860465253</v>
      </c>
      <c r="H3835" s="14" t="n">
        <v>28620.09653682335</v>
      </c>
      <c r="I3835" s="14" t="n">
        <v>30835.84326572793</v>
      </c>
      <c r="J3835" s="14" t="n">
        <v>0</v>
      </c>
      <c r="K3835" s="14" t="n">
        <v>10114.32880210129</v>
      </c>
      <c r="L3835" s="14" t="n">
        <v>0</v>
      </c>
      <c r="M3835" s="14" t="n">
        <v>0</v>
      </c>
      <c r="N3835" s="14" t="n">
        <v>22051.43518598968</v>
      </c>
      <c r="O3835" s="14" t="n">
        <v>69570.26860465253</v>
      </c>
      <c r="P3835" s="14" t="n">
        <v>2369.45672897638</v>
      </c>
      <c r="Q3835" s="14" t="n">
        <v>793675.8738731237</v>
      </c>
      <c r="R3835" s="15">
        <f>IF(D3835=1,"Section 1","Control")</f>
        <v/>
      </c>
      <c r="S3835" s="16">
        <f>N3835/10000</f>
        <v/>
      </c>
      <c r="T3835" s="16">
        <f>P3835/10000</f>
        <v/>
      </c>
      <c r="U3835" s="15">
        <f>IF(N3835&gt;=Summary!$D$3,1,0)</f>
        <v/>
      </c>
      <c r="V3835" s="17">
        <f>IF(N3835&gt;0,P3835/N3835,"")</f>
        <v/>
      </c>
      <c r="W3835" s="17">
        <f>IF(O3835&gt;0,H3835/O3835,"")</f>
        <v/>
      </c>
    </row>
    <row r="3836">
      <c r="A3836" s="13" t="inlineStr">
        <is>
          <t>CW46_F</t>
        </is>
      </c>
      <c r="B3836" s="13" t="inlineStr">
        <is>
          <t>CW46</t>
        </is>
      </c>
      <c r="C3836" s="13" t="inlineStr">
        <is>
          <t>F</t>
        </is>
      </c>
      <c r="D3836" s="13" t="n">
        <v>0</v>
      </c>
      <c r="E3836" s="13" t="inlineStr">
        <is>
          <t>W</t>
        </is>
      </c>
      <c r="F3836" s="13" t="n">
        <v>2025</v>
      </c>
      <c r="G3836" s="14" t="n">
        <v>69570.26860465253</v>
      </c>
      <c r="H3836" s="14" t="n">
        <v>20676.60787287693</v>
      </c>
      <c r="I3836" s="14" t="n">
        <v>41836.78310531916</v>
      </c>
      <c r="J3836" s="14" t="n">
        <v>0</v>
      </c>
      <c r="K3836" s="14" t="n">
        <v>7056.877626456467</v>
      </c>
      <c r="L3836" s="14" t="n">
        <v>0</v>
      </c>
      <c r="M3836" s="14" t="n">
        <v>0</v>
      </c>
      <c r="N3836" s="14" t="n">
        <v>22051.43518598968</v>
      </c>
      <c r="O3836" s="14" t="n">
        <v>69570.26860465253</v>
      </c>
      <c r="P3836" s="14" t="n">
        <v>4961.921310544481</v>
      </c>
      <c r="Q3836" s="14" t="n">
        <v>793675.8738731237</v>
      </c>
      <c r="R3836" s="15">
        <f>IF(D3836=1,"Section 1","Control")</f>
        <v/>
      </c>
      <c r="S3836" s="16">
        <f>N3836/10000</f>
        <v/>
      </c>
      <c r="T3836" s="16">
        <f>P3836/10000</f>
        <v/>
      </c>
      <c r="U3836" s="15">
        <f>IF(N3836&gt;=Summary!$D$3,1,0)</f>
        <v/>
      </c>
      <c r="V3836" s="17">
        <f>IF(N3836&gt;0,P3836/N3836,"")</f>
        <v/>
      </c>
      <c r="W3836" s="17">
        <f>IF(O3836&gt;0,H3836/O3836,"")</f>
        <v/>
      </c>
    </row>
    <row r="3837">
      <c r="A3837" s="13" t="inlineStr">
        <is>
          <t>CW46_F</t>
        </is>
      </c>
      <c r="B3837" s="13" t="inlineStr">
        <is>
          <t>CW46</t>
        </is>
      </c>
      <c r="C3837" s="13" t="inlineStr">
        <is>
          <t>F</t>
        </is>
      </c>
      <c r="D3837" s="13" t="n">
        <v>0</v>
      </c>
      <c r="E3837" s="13" t="inlineStr">
        <is>
          <t>W</t>
        </is>
      </c>
      <c r="F3837" s="13" t="n">
        <v>2026</v>
      </c>
      <c r="G3837" s="14" t="n">
        <v>69570.26860465253</v>
      </c>
      <c r="H3837" s="14" t="n">
        <v>35911.20866672291</v>
      </c>
      <c r="I3837" s="14" t="n">
        <v>23384.05685062783</v>
      </c>
      <c r="J3837" s="14" t="n">
        <v>0</v>
      </c>
      <c r="K3837" s="14" t="n">
        <v>10275.00308730182</v>
      </c>
      <c r="L3837" s="14" t="n">
        <v>0</v>
      </c>
      <c r="M3837" s="14" t="n">
        <v>0</v>
      </c>
      <c r="N3837" s="14" t="n">
        <v>22051.43518598968</v>
      </c>
      <c r="O3837" s="14" t="n">
        <v>69570.26860465253</v>
      </c>
      <c r="P3837" s="14" t="n">
        <v>1567.248229382085</v>
      </c>
      <c r="Q3837" s="14" t="n">
        <v>793675.8738731237</v>
      </c>
      <c r="R3837" s="15">
        <f>IF(D3837=1,"Section 1","Control")</f>
        <v/>
      </c>
      <c r="S3837" s="16">
        <f>N3837/10000</f>
        <v/>
      </c>
      <c r="T3837" s="16">
        <f>P3837/10000</f>
        <v/>
      </c>
      <c r="U3837" s="15">
        <f>IF(N3837&gt;=Summary!$D$3,1,0)</f>
        <v/>
      </c>
      <c r="V3837" s="17">
        <f>IF(N3837&gt;0,P3837/N3837,"")</f>
        <v/>
      </c>
      <c r="W3837" s="17">
        <f>IF(O3837&gt;0,H3837/O3837,"")</f>
        <v/>
      </c>
    </row>
    <row r="3838">
      <c r="A3838" s="13" t="inlineStr">
        <is>
          <t>CW47_B1</t>
        </is>
      </c>
      <c r="B3838" s="13" t="inlineStr">
        <is>
          <t>CW47</t>
        </is>
      </c>
      <c r="C3838" s="13" t="inlineStr">
        <is>
          <t>B1</t>
        </is>
      </c>
      <c r="D3838" s="13" t="n">
        <v>0</v>
      </c>
      <c r="E3838" s="13" t="inlineStr">
        <is>
          <t>W</t>
        </is>
      </c>
      <c r="F3838" s="13" t="n">
        <v>2020</v>
      </c>
      <c r="G3838" s="14" t="n">
        <v>1025798.955350121</v>
      </c>
      <c r="H3838" s="14" t="n">
        <v>347630.2788826737</v>
      </c>
      <c r="I3838" s="14" t="n">
        <v>175464.7405349133</v>
      </c>
      <c r="J3838" s="14" t="n">
        <v>0</v>
      </c>
      <c r="K3838" s="14" t="n">
        <v>64578.88108311074</v>
      </c>
      <c r="L3838" s="14" t="n">
        <v>438125.0548494228</v>
      </c>
      <c r="M3838" s="14" t="n">
        <v>0</v>
      </c>
      <c r="N3838" s="14" t="n">
        <v>347630.2788826737</v>
      </c>
      <c r="O3838" s="14" t="n">
        <v>587673.9005006977</v>
      </c>
      <c r="P3838" s="14" t="n">
        <v>0</v>
      </c>
      <c r="Q3838" s="14" t="n">
        <v>4004771.14433878</v>
      </c>
      <c r="R3838" s="15">
        <f>IF(D3838=1,"Section 1","Control")</f>
        <v/>
      </c>
      <c r="S3838" s="16">
        <f>N3838/10000</f>
        <v/>
      </c>
      <c r="T3838" s="16">
        <f>P3838/10000</f>
        <v/>
      </c>
      <c r="U3838" s="15">
        <f>IF(N3838&gt;=Summary!$D$3,1,0)</f>
        <v/>
      </c>
      <c r="V3838" s="17">
        <f>IF(N3838&gt;0,P3838/N3838,"")</f>
        <v/>
      </c>
      <c r="W3838" s="17">
        <f>IF(O3838&gt;0,H3838/O3838,"")</f>
        <v/>
      </c>
    </row>
    <row r="3839">
      <c r="A3839" s="13" t="inlineStr">
        <is>
          <t>CW47_B1</t>
        </is>
      </c>
      <c r="B3839" s="13" t="inlineStr">
        <is>
          <t>CW47</t>
        </is>
      </c>
      <c r="C3839" s="13" t="inlineStr">
        <is>
          <t>B1</t>
        </is>
      </c>
      <c r="D3839" s="13" t="n">
        <v>0</v>
      </c>
      <c r="E3839" s="13" t="inlineStr">
        <is>
          <t>W</t>
        </is>
      </c>
      <c r="F3839" s="13" t="n">
        <v>2021</v>
      </c>
      <c r="G3839" s="14" t="n">
        <v>1025798.955350121</v>
      </c>
      <c r="H3839" s="14" t="n">
        <v>326653.5959994147</v>
      </c>
      <c r="I3839" s="14" t="n">
        <v>177472.9811425302</v>
      </c>
      <c r="J3839" s="14" t="n">
        <v>0</v>
      </c>
      <c r="K3839" s="14" t="n">
        <v>95537.81589822212</v>
      </c>
      <c r="L3839" s="14" t="n">
        <v>426134.5623099533</v>
      </c>
      <c r="M3839" s="14" t="n">
        <v>0</v>
      </c>
      <c r="N3839" s="14" t="n">
        <v>347630.2788826737</v>
      </c>
      <c r="O3839" s="14" t="n">
        <v>587673.9005006977</v>
      </c>
      <c r="P3839" s="14" t="n">
        <v>23328.3210669424</v>
      </c>
      <c r="Q3839" s="14" t="n">
        <v>4004771.14433878</v>
      </c>
      <c r="R3839" s="15">
        <f>IF(D3839=1,"Section 1","Control")</f>
        <v/>
      </c>
      <c r="S3839" s="16">
        <f>N3839/10000</f>
        <v/>
      </c>
      <c r="T3839" s="16">
        <f>P3839/10000</f>
        <v/>
      </c>
      <c r="U3839" s="15">
        <f>IF(N3839&gt;=Summary!$D$3,1,0)</f>
        <v/>
      </c>
      <c r="V3839" s="17">
        <f>IF(N3839&gt;0,P3839/N3839,"")</f>
        <v/>
      </c>
      <c r="W3839" s="17">
        <f>IF(O3839&gt;0,H3839/O3839,"")</f>
        <v/>
      </c>
    </row>
    <row r="3840">
      <c r="A3840" s="13" t="inlineStr">
        <is>
          <t>CW47_B1</t>
        </is>
      </c>
      <c r="B3840" s="13" t="inlineStr">
        <is>
          <t>CW47</t>
        </is>
      </c>
      <c r="C3840" s="13" t="inlineStr">
        <is>
          <t>B1</t>
        </is>
      </c>
      <c r="D3840" s="13" t="n">
        <v>0</v>
      </c>
      <c r="E3840" s="13" t="inlineStr">
        <is>
          <t>W</t>
        </is>
      </c>
      <c r="F3840" s="13" t="n">
        <v>2022</v>
      </c>
      <c r="G3840" s="14" t="n">
        <v>1025798.955350121</v>
      </c>
      <c r="H3840" s="14" t="n">
        <v>326019.0484107821</v>
      </c>
      <c r="I3840" s="14" t="n">
        <v>179666.2915680829</v>
      </c>
      <c r="J3840" s="14" t="n">
        <v>0</v>
      </c>
      <c r="K3840" s="14" t="n">
        <v>107141.5274833231</v>
      </c>
      <c r="L3840" s="14" t="n">
        <v>412972.0878879324</v>
      </c>
      <c r="M3840" s="14" t="n">
        <v>0</v>
      </c>
      <c r="N3840" s="14" t="n">
        <v>347630.2788826737</v>
      </c>
      <c r="O3840" s="14" t="n">
        <v>587673.9005006977</v>
      </c>
      <c r="P3840" s="14" t="n">
        <v>26061.70058683508</v>
      </c>
      <c r="Q3840" s="14" t="n">
        <v>4004771.14433878</v>
      </c>
      <c r="R3840" s="15">
        <f>IF(D3840=1,"Section 1","Control")</f>
        <v/>
      </c>
      <c r="S3840" s="16">
        <f>N3840/10000</f>
        <v/>
      </c>
      <c r="T3840" s="16">
        <f>P3840/10000</f>
        <v/>
      </c>
      <c r="U3840" s="15">
        <f>IF(N3840&gt;=Summary!$D$3,1,0)</f>
        <v/>
      </c>
      <c r="V3840" s="17">
        <f>IF(N3840&gt;0,P3840/N3840,"")</f>
        <v/>
      </c>
      <c r="W3840" s="17">
        <f>IF(O3840&gt;0,H3840/O3840,"")</f>
        <v/>
      </c>
    </row>
    <row r="3841">
      <c r="A3841" s="13" t="inlineStr">
        <is>
          <t>CW47_B1</t>
        </is>
      </c>
      <c r="B3841" s="13" t="inlineStr">
        <is>
          <t>CW47</t>
        </is>
      </c>
      <c r="C3841" s="13" t="inlineStr">
        <is>
          <t>B1</t>
        </is>
      </c>
      <c r="D3841" s="13" t="n">
        <v>0</v>
      </c>
      <c r="E3841" s="13" t="inlineStr">
        <is>
          <t>W</t>
        </is>
      </c>
      <c r="F3841" s="13" t="n">
        <v>2023</v>
      </c>
      <c r="G3841" s="14" t="n">
        <v>1025798.955350121</v>
      </c>
      <c r="H3841" s="14" t="n">
        <v>324118.0677658978</v>
      </c>
      <c r="I3841" s="14" t="n">
        <v>162250.3320730172</v>
      </c>
      <c r="J3841" s="14" t="n">
        <v>0</v>
      </c>
      <c r="K3841" s="14" t="n">
        <v>83136.18593824795</v>
      </c>
      <c r="L3841" s="14" t="n">
        <v>456294.3695729575</v>
      </c>
      <c r="M3841" s="14" t="n">
        <v>0</v>
      </c>
      <c r="N3841" s="14" t="n">
        <v>347630.2788826736</v>
      </c>
      <c r="O3841" s="14" t="n">
        <v>587673.9005006977</v>
      </c>
      <c r="P3841" s="14" t="n">
        <v>29718.48100615857</v>
      </c>
      <c r="Q3841" s="14" t="n">
        <v>4004771.14433878</v>
      </c>
      <c r="R3841" s="15">
        <f>IF(D3841=1,"Section 1","Control")</f>
        <v/>
      </c>
      <c r="S3841" s="16">
        <f>N3841/10000</f>
        <v/>
      </c>
      <c r="T3841" s="16">
        <f>P3841/10000</f>
        <v/>
      </c>
      <c r="U3841" s="15">
        <f>IF(N3841&gt;=Summary!$D$3,1,0)</f>
        <v/>
      </c>
      <c r="V3841" s="17">
        <f>IF(N3841&gt;0,P3841/N3841,"")</f>
        <v/>
      </c>
      <c r="W3841" s="17">
        <f>IF(O3841&gt;0,H3841/O3841,"")</f>
        <v/>
      </c>
    </row>
    <row r="3842">
      <c r="A3842" s="13" t="inlineStr">
        <is>
          <t>CW47_B1</t>
        </is>
      </c>
      <c r="B3842" s="13" t="inlineStr">
        <is>
          <t>CW47</t>
        </is>
      </c>
      <c r="C3842" s="13" t="inlineStr">
        <is>
          <t>B1</t>
        </is>
      </c>
      <c r="D3842" s="13" t="n">
        <v>0</v>
      </c>
      <c r="E3842" s="13" t="inlineStr">
        <is>
          <t>W</t>
        </is>
      </c>
      <c r="F3842" s="13" t="n">
        <v>2024</v>
      </c>
      <c r="G3842" s="14" t="n">
        <v>1025798.955350121</v>
      </c>
      <c r="H3842" s="14" t="n">
        <v>325565.6878322826</v>
      </c>
      <c r="I3842" s="14" t="n">
        <v>155833.0179609411</v>
      </c>
      <c r="J3842" s="14" t="n">
        <v>0</v>
      </c>
      <c r="K3842" s="14" t="n">
        <v>103217.6399941837</v>
      </c>
      <c r="L3842" s="14" t="n">
        <v>441182.6095627132</v>
      </c>
      <c r="M3842" s="14" t="n">
        <v>0</v>
      </c>
      <c r="N3842" s="14" t="n">
        <v>347630.2788826737</v>
      </c>
      <c r="O3842" s="14" t="n">
        <v>587673.9005006977</v>
      </c>
      <c r="P3842" s="14" t="n">
        <v>30409.95680308622</v>
      </c>
      <c r="Q3842" s="14" t="n">
        <v>4004771.14433878</v>
      </c>
      <c r="R3842" s="15">
        <f>IF(D3842=1,"Section 1","Control")</f>
        <v/>
      </c>
      <c r="S3842" s="16">
        <f>N3842/10000</f>
        <v/>
      </c>
      <c r="T3842" s="16">
        <f>P3842/10000</f>
        <v/>
      </c>
      <c r="U3842" s="15">
        <f>IF(N3842&gt;=Summary!$D$3,1,0)</f>
        <v/>
      </c>
      <c r="V3842" s="17">
        <f>IF(N3842&gt;0,P3842/N3842,"")</f>
        <v/>
      </c>
      <c r="W3842" s="17">
        <f>IF(O3842&gt;0,H3842/O3842,"")</f>
        <v/>
      </c>
    </row>
    <row r="3843">
      <c r="A3843" s="13" t="inlineStr">
        <is>
          <t>CW47_B1</t>
        </is>
      </c>
      <c r="B3843" s="13" t="inlineStr">
        <is>
          <t>CW47</t>
        </is>
      </c>
      <c r="C3843" s="13" t="inlineStr">
        <is>
          <t>B1</t>
        </is>
      </c>
      <c r="D3843" s="13" t="n">
        <v>0</v>
      </c>
      <c r="E3843" s="13" t="inlineStr">
        <is>
          <t>W</t>
        </is>
      </c>
      <c r="F3843" s="13" t="n">
        <v>2025</v>
      </c>
      <c r="G3843" s="14" t="n">
        <v>1025798.955350121</v>
      </c>
      <c r="H3843" s="14" t="n">
        <v>318609.462154882</v>
      </c>
      <c r="I3843" s="14" t="n">
        <v>170111.3535260369</v>
      </c>
      <c r="J3843" s="14" t="n">
        <v>0</v>
      </c>
      <c r="K3843" s="14" t="n">
        <v>88269.58182764989</v>
      </c>
      <c r="L3843" s="14" t="n">
        <v>448808.5578415517</v>
      </c>
      <c r="M3843" s="14" t="n">
        <v>0</v>
      </c>
      <c r="N3843" s="14" t="n">
        <v>347630.2788826737</v>
      </c>
      <c r="O3843" s="14" t="n">
        <v>587673.9005006977</v>
      </c>
      <c r="P3843" s="14" t="n">
        <v>34914.64285263361</v>
      </c>
      <c r="Q3843" s="14" t="n">
        <v>4004771.14433878</v>
      </c>
      <c r="R3843" s="15">
        <f>IF(D3843=1,"Section 1","Control")</f>
        <v/>
      </c>
      <c r="S3843" s="16">
        <f>N3843/10000</f>
        <v/>
      </c>
      <c r="T3843" s="16">
        <f>P3843/10000</f>
        <v/>
      </c>
      <c r="U3843" s="15">
        <f>IF(N3843&gt;=Summary!$D$3,1,0)</f>
        <v/>
      </c>
      <c r="V3843" s="17">
        <f>IF(N3843&gt;0,P3843/N3843,"")</f>
        <v/>
      </c>
      <c r="W3843" s="17">
        <f>IF(O3843&gt;0,H3843/O3843,"")</f>
        <v/>
      </c>
    </row>
    <row r="3844">
      <c r="A3844" s="13" t="inlineStr">
        <is>
          <t>CW47_B1</t>
        </is>
      </c>
      <c r="B3844" s="13" t="inlineStr">
        <is>
          <t>CW47</t>
        </is>
      </c>
      <c r="C3844" s="13" t="inlineStr">
        <is>
          <t>B1</t>
        </is>
      </c>
      <c r="D3844" s="13" t="n">
        <v>0</v>
      </c>
      <c r="E3844" s="13" t="inlineStr">
        <is>
          <t>W</t>
        </is>
      </c>
      <c r="F3844" s="13" t="n">
        <v>2026</v>
      </c>
      <c r="G3844" s="14" t="n">
        <v>1025798.955350121</v>
      </c>
      <c r="H3844" s="14" t="n">
        <v>320602.6274202234</v>
      </c>
      <c r="I3844" s="14" t="n">
        <v>150877.6545389512</v>
      </c>
      <c r="J3844" s="14" t="n">
        <v>0</v>
      </c>
      <c r="K3844" s="14" t="n">
        <v>94797.21435172881</v>
      </c>
      <c r="L3844" s="14" t="n">
        <v>459521.459039217</v>
      </c>
      <c r="M3844" s="14" t="n">
        <v>0</v>
      </c>
      <c r="N3844" s="14" t="n">
        <v>347630.2788826737</v>
      </c>
      <c r="O3844" s="14" t="n">
        <v>587673.9005006977</v>
      </c>
      <c r="P3844" s="14" t="n">
        <v>39410.77949027268</v>
      </c>
      <c r="Q3844" s="14" t="n">
        <v>4004771.14433878</v>
      </c>
      <c r="R3844" s="15">
        <f>IF(D3844=1,"Section 1","Control")</f>
        <v/>
      </c>
      <c r="S3844" s="16">
        <f>N3844/10000</f>
        <v/>
      </c>
      <c r="T3844" s="16">
        <f>P3844/10000</f>
        <v/>
      </c>
      <c r="U3844" s="15">
        <f>IF(N3844&gt;=Summary!$D$3,1,0)</f>
        <v/>
      </c>
      <c r="V3844" s="17">
        <f>IF(N3844&gt;0,P3844/N3844,"")</f>
        <v/>
      </c>
      <c r="W3844" s="17">
        <f>IF(O3844&gt;0,H3844/O3844,"")</f>
        <v/>
      </c>
    </row>
    <row r="3845">
      <c r="A3845" s="13" t="inlineStr">
        <is>
          <t>CW47_B2</t>
        </is>
      </c>
      <c r="B3845" s="13" t="inlineStr">
        <is>
          <t>CW47</t>
        </is>
      </c>
      <c r="C3845" s="13" t="inlineStr">
        <is>
          <t>B2</t>
        </is>
      </c>
      <c r="D3845" s="13" t="n">
        <v>0</v>
      </c>
      <c r="E3845" s="13" t="inlineStr">
        <is>
          <t>W</t>
        </is>
      </c>
      <c r="F3845" s="13" t="n">
        <v>2020</v>
      </c>
      <c r="G3845" s="14" t="n">
        <v>1025783.463626158</v>
      </c>
      <c r="H3845" s="14" t="n">
        <v>233048.6396742877</v>
      </c>
      <c r="I3845" s="14" t="n">
        <v>7342.506315642712</v>
      </c>
      <c r="J3845" s="14" t="n">
        <v>0</v>
      </c>
      <c r="K3845" s="14" t="n">
        <v>26504.99178018008</v>
      </c>
      <c r="L3845" s="14" t="n">
        <v>758887.3258560477</v>
      </c>
      <c r="M3845" s="14" t="n">
        <v>0</v>
      </c>
      <c r="N3845" s="14" t="n">
        <v>233048.6396742877</v>
      </c>
      <c r="O3845" s="14" t="n">
        <v>266896.1377701105</v>
      </c>
      <c r="P3845" s="14" t="n">
        <v>0</v>
      </c>
      <c r="Q3845" s="14" t="n">
        <v>1674906.357621167</v>
      </c>
      <c r="R3845" s="15">
        <f>IF(D3845=1,"Section 1","Control")</f>
        <v/>
      </c>
      <c r="S3845" s="16">
        <f>N3845/10000</f>
        <v/>
      </c>
      <c r="T3845" s="16">
        <f>P3845/10000</f>
        <v/>
      </c>
      <c r="U3845" s="15">
        <f>IF(N3845&gt;=Summary!$D$3,1,0)</f>
        <v/>
      </c>
      <c r="V3845" s="17">
        <f>IF(N3845&gt;0,P3845/N3845,"")</f>
        <v/>
      </c>
      <c r="W3845" s="17">
        <f>IF(O3845&gt;0,H3845/O3845,"")</f>
        <v/>
      </c>
    </row>
    <row r="3846">
      <c r="A3846" s="13" t="inlineStr">
        <is>
          <t>CW47_B2</t>
        </is>
      </c>
      <c r="B3846" s="13" t="inlineStr">
        <is>
          <t>CW47</t>
        </is>
      </c>
      <c r="C3846" s="13" t="inlineStr">
        <is>
          <t>B2</t>
        </is>
      </c>
      <c r="D3846" s="13" t="n">
        <v>0</v>
      </c>
      <c r="E3846" s="13" t="inlineStr">
        <is>
          <t>W</t>
        </is>
      </c>
      <c r="F3846" s="13" t="n">
        <v>2021</v>
      </c>
      <c r="G3846" s="14" t="n">
        <v>1025783.463626158</v>
      </c>
      <c r="H3846" s="14" t="n">
        <v>231148.4575075038</v>
      </c>
      <c r="I3846" s="14" t="n">
        <v>6885.653019774194</v>
      </c>
      <c r="J3846" s="14" t="n">
        <v>0</v>
      </c>
      <c r="K3846" s="14" t="n">
        <v>47109.66578988468</v>
      </c>
      <c r="L3846" s="14" t="n">
        <v>740639.6873089956</v>
      </c>
      <c r="M3846" s="14" t="n">
        <v>0</v>
      </c>
      <c r="N3846" s="14" t="n">
        <v>233048.6396742877</v>
      </c>
      <c r="O3846" s="14" t="n">
        <v>266896.1377701105</v>
      </c>
      <c r="P3846" s="14" t="n">
        <v>6540.309554784438</v>
      </c>
      <c r="Q3846" s="14" t="n">
        <v>1674906.357621167</v>
      </c>
      <c r="R3846" s="15">
        <f>IF(D3846=1,"Section 1","Control")</f>
        <v/>
      </c>
      <c r="S3846" s="16">
        <f>N3846/10000</f>
        <v/>
      </c>
      <c r="T3846" s="16">
        <f>P3846/10000</f>
        <v/>
      </c>
      <c r="U3846" s="15">
        <f>IF(N3846&gt;=Summary!$D$3,1,0)</f>
        <v/>
      </c>
      <c r="V3846" s="17">
        <f>IF(N3846&gt;0,P3846/N3846,"")</f>
        <v/>
      </c>
      <c r="W3846" s="17">
        <f>IF(O3846&gt;0,H3846/O3846,"")</f>
        <v/>
      </c>
    </row>
    <row r="3847">
      <c r="A3847" s="13" t="inlineStr">
        <is>
          <t>CW47_B2</t>
        </is>
      </c>
      <c r="B3847" s="13" t="inlineStr">
        <is>
          <t>CW47</t>
        </is>
      </c>
      <c r="C3847" s="13" t="inlineStr">
        <is>
          <t>B2</t>
        </is>
      </c>
      <c r="D3847" s="13" t="n">
        <v>0</v>
      </c>
      <c r="E3847" s="13" t="inlineStr">
        <is>
          <t>W</t>
        </is>
      </c>
      <c r="F3847" s="13" t="n">
        <v>2022</v>
      </c>
      <c r="G3847" s="14" t="n">
        <v>1025783.463626158</v>
      </c>
      <c r="H3847" s="14" t="n">
        <v>228564.9348160987</v>
      </c>
      <c r="I3847" s="14" t="n">
        <v>6309.945842458688</v>
      </c>
      <c r="J3847" s="14" t="n">
        <v>0</v>
      </c>
      <c r="K3847" s="14" t="n">
        <v>44200.54047788732</v>
      </c>
      <c r="L3847" s="14" t="n">
        <v>746708.0424897135</v>
      </c>
      <c r="M3847" s="14" t="n">
        <v>0</v>
      </c>
      <c r="N3847" s="14" t="n">
        <v>233048.6396742877</v>
      </c>
      <c r="O3847" s="14" t="n">
        <v>266896.1377701105</v>
      </c>
      <c r="P3847" s="14" t="n">
        <v>9716.188241367714</v>
      </c>
      <c r="Q3847" s="14" t="n">
        <v>1674906.357621167</v>
      </c>
      <c r="R3847" s="15">
        <f>IF(D3847=1,"Section 1","Control")</f>
        <v/>
      </c>
      <c r="S3847" s="16">
        <f>N3847/10000</f>
        <v/>
      </c>
      <c r="T3847" s="16">
        <f>P3847/10000</f>
        <v/>
      </c>
      <c r="U3847" s="15">
        <f>IF(N3847&gt;=Summary!$D$3,1,0)</f>
        <v/>
      </c>
      <c r="V3847" s="17">
        <f>IF(N3847&gt;0,P3847/N3847,"")</f>
        <v/>
      </c>
      <c r="W3847" s="17">
        <f>IF(O3847&gt;0,H3847/O3847,"")</f>
        <v/>
      </c>
    </row>
    <row r="3848">
      <c r="A3848" s="13" t="inlineStr">
        <is>
          <t>CW47_B2</t>
        </is>
      </c>
      <c r="B3848" s="13" t="inlineStr">
        <is>
          <t>CW47</t>
        </is>
      </c>
      <c r="C3848" s="13" t="inlineStr">
        <is>
          <t>B2</t>
        </is>
      </c>
      <c r="D3848" s="13" t="n">
        <v>0</v>
      </c>
      <c r="E3848" s="13" t="inlineStr">
        <is>
          <t>W</t>
        </is>
      </c>
      <c r="F3848" s="13" t="n">
        <v>2023</v>
      </c>
      <c r="G3848" s="14" t="n">
        <v>1025783.463626158</v>
      </c>
      <c r="H3848" s="14" t="n">
        <v>229687.7027665681</v>
      </c>
      <c r="I3848" s="14" t="n">
        <v>2941.648872764438</v>
      </c>
      <c r="J3848" s="14" t="n">
        <v>0</v>
      </c>
      <c r="K3848" s="14" t="n">
        <v>30577.92297608617</v>
      </c>
      <c r="L3848" s="14" t="n">
        <v>762576.1890107396</v>
      </c>
      <c r="M3848" s="14" t="n">
        <v>0</v>
      </c>
      <c r="N3848" s="14" t="n">
        <v>233048.6396742877</v>
      </c>
      <c r="O3848" s="14" t="n">
        <v>266896.1377701105</v>
      </c>
      <c r="P3848" s="14" t="n">
        <v>9087.051363896389</v>
      </c>
      <c r="Q3848" s="14" t="n">
        <v>1674906.357621167</v>
      </c>
      <c r="R3848" s="15">
        <f>IF(D3848=1,"Section 1","Control")</f>
        <v/>
      </c>
      <c r="S3848" s="16">
        <f>N3848/10000</f>
        <v/>
      </c>
      <c r="T3848" s="16">
        <f>P3848/10000</f>
        <v/>
      </c>
      <c r="U3848" s="15">
        <f>IF(N3848&gt;=Summary!$D$3,1,0)</f>
        <v/>
      </c>
      <c r="V3848" s="17">
        <f>IF(N3848&gt;0,P3848/N3848,"")</f>
        <v/>
      </c>
      <c r="W3848" s="17">
        <f>IF(O3848&gt;0,H3848/O3848,"")</f>
        <v/>
      </c>
    </row>
    <row r="3849">
      <c r="A3849" s="13" t="inlineStr">
        <is>
          <t>CW47_B2</t>
        </is>
      </c>
      <c r="B3849" s="13" t="inlineStr">
        <is>
          <t>CW47</t>
        </is>
      </c>
      <c r="C3849" s="13" t="inlineStr">
        <is>
          <t>B2</t>
        </is>
      </c>
      <c r="D3849" s="13" t="n">
        <v>0</v>
      </c>
      <c r="E3849" s="13" t="inlineStr">
        <is>
          <t>W</t>
        </is>
      </c>
      <c r="F3849" s="13" t="n">
        <v>2024</v>
      </c>
      <c r="G3849" s="14" t="n">
        <v>1025783.463626158</v>
      </c>
      <c r="H3849" s="14" t="n">
        <v>224735.1399662392</v>
      </c>
      <c r="I3849" s="14" t="n">
        <v>9037.495984335506</v>
      </c>
      <c r="J3849" s="14" t="n">
        <v>0</v>
      </c>
      <c r="K3849" s="14" t="n">
        <v>38972.72155615114</v>
      </c>
      <c r="L3849" s="14" t="n">
        <v>753038.1061194323</v>
      </c>
      <c r="M3849" s="14" t="n">
        <v>0</v>
      </c>
      <c r="N3849" s="14" t="n">
        <v>233048.6396742877</v>
      </c>
      <c r="O3849" s="14" t="n">
        <v>266896.1377701105</v>
      </c>
      <c r="P3849" s="14" t="n">
        <v>12974.14689767875</v>
      </c>
      <c r="Q3849" s="14" t="n">
        <v>1674906.357621167</v>
      </c>
      <c r="R3849" s="15">
        <f>IF(D3849=1,"Section 1","Control")</f>
        <v/>
      </c>
      <c r="S3849" s="16">
        <f>N3849/10000</f>
        <v/>
      </c>
      <c r="T3849" s="16">
        <f>P3849/10000</f>
        <v/>
      </c>
      <c r="U3849" s="15">
        <f>IF(N3849&gt;=Summary!$D$3,1,0)</f>
        <v/>
      </c>
      <c r="V3849" s="17">
        <f>IF(N3849&gt;0,P3849/N3849,"")</f>
        <v/>
      </c>
      <c r="W3849" s="17">
        <f>IF(O3849&gt;0,H3849/O3849,"")</f>
        <v/>
      </c>
    </row>
    <row r="3850">
      <c r="A3850" s="13" t="inlineStr">
        <is>
          <t>CW47_B2</t>
        </is>
      </c>
      <c r="B3850" s="13" t="inlineStr">
        <is>
          <t>CW47</t>
        </is>
      </c>
      <c r="C3850" s="13" t="inlineStr">
        <is>
          <t>B2</t>
        </is>
      </c>
      <c r="D3850" s="13" t="n">
        <v>0</v>
      </c>
      <c r="E3850" s="13" t="inlineStr">
        <is>
          <t>W</t>
        </is>
      </c>
      <c r="F3850" s="13" t="n">
        <v>2025</v>
      </c>
      <c r="G3850" s="14" t="n">
        <v>1025783.463626158</v>
      </c>
      <c r="H3850" s="14" t="n">
        <v>220921.6026798921</v>
      </c>
      <c r="I3850" s="14" t="n">
        <v>13110.43707314286</v>
      </c>
      <c r="J3850" s="14" t="n">
        <v>0</v>
      </c>
      <c r="K3850" s="14" t="n">
        <v>36590.91708843754</v>
      </c>
      <c r="L3850" s="14" t="n">
        <v>755160.5067846857</v>
      </c>
      <c r="M3850" s="14" t="n">
        <v>0</v>
      </c>
      <c r="N3850" s="14" t="n">
        <v>233048.6396742877</v>
      </c>
      <c r="O3850" s="14" t="n">
        <v>266896.1377701105</v>
      </c>
      <c r="P3850" s="14" t="n">
        <v>17972.39958472158</v>
      </c>
      <c r="Q3850" s="14" t="n">
        <v>1674906.357621167</v>
      </c>
      <c r="R3850" s="15">
        <f>IF(D3850=1,"Section 1","Control")</f>
        <v/>
      </c>
      <c r="S3850" s="16">
        <f>N3850/10000</f>
        <v/>
      </c>
      <c r="T3850" s="16">
        <f>P3850/10000</f>
        <v/>
      </c>
      <c r="U3850" s="15">
        <f>IF(N3850&gt;=Summary!$D$3,1,0)</f>
        <v/>
      </c>
      <c r="V3850" s="17">
        <f>IF(N3850&gt;0,P3850/N3850,"")</f>
        <v/>
      </c>
      <c r="W3850" s="17">
        <f>IF(O3850&gt;0,H3850/O3850,"")</f>
        <v/>
      </c>
    </row>
    <row r="3851">
      <c r="A3851" s="13" t="inlineStr">
        <is>
          <t>CW47_B2</t>
        </is>
      </c>
      <c r="B3851" s="13" t="inlineStr">
        <is>
          <t>CW47</t>
        </is>
      </c>
      <c r="C3851" s="13" t="inlineStr">
        <is>
          <t>B2</t>
        </is>
      </c>
      <c r="D3851" s="13" t="n">
        <v>0</v>
      </c>
      <c r="E3851" s="13" t="inlineStr">
        <is>
          <t>W</t>
        </is>
      </c>
      <c r="F3851" s="13" t="n">
        <v>2026</v>
      </c>
      <c r="G3851" s="14" t="n">
        <v>1025783.463626158</v>
      </c>
      <c r="H3851" s="14" t="n">
        <v>220547.9920750936</v>
      </c>
      <c r="I3851" s="14" t="n">
        <v>11130.87823187136</v>
      </c>
      <c r="J3851" s="14" t="n">
        <v>0</v>
      </c>
      <c r="K3851" s="14" t="n">
        <v>36630.01912802902</v>
      </c>
      <c r="L3851" s="14" t="n">
        <v>757474.5741911642</v>
      </c>
      <c r="M3851" s="14" t="n">
        <v>0</v>
      </c>
      <c r="N3851" s="14" t="n">
        <v>233048.6396742877</v>
      </c>
      <c r="O3851" s="14" t="n">
        <v>266896.1377701105</v>
      </c>
      <c r="P3851" s="14" t="n">
        <v>16844.59682557349</v>
      </c>
      <c r="Q3851" s="14" t="n">
        <v>1674906.357621167</v>
      </c>
      <c r="R3851" s="15">
        <f>IF(D3851=1,"Section 1","Control")</f>
        <v/>
      </c>
      <c r="S3851" s="16">
        <f>N3851/10000</f>
        <v/>
      </c>
      <c r="T3851" s="16">
        <f>P3851/10000</f>
        <v/>
      </c>
      <c r="U3851" s="15">
        <f>IF(N3851&gt;=Summary!$D$3,1,0)</f>
        <v/>
      </c>
      <c r="V3851" s="17">
        <f>IF(N3851&gt;0,P3851/N3851,"")</f>
        <v/>
      </c>
      <c r="W3851" s="17">
        <f>IF(O3851&gt;0,H3851/O3851,"")</f>
        <v/>
      </c>
    </row>
    <row r="3852">
      <c r="A3852" s="13" t="inlineStr">
        <is>
          <t>CW47_B3</t>
        </is>
      </c>
      <c r="B3852" s="13" t="inlineStr">
        <is>
          <t>CW47</t>
        </is>
      </c>
      <c r="C3852" s="13" t="inlineStr">
        <is>
          <t>B3</t>
        </is>
      </c>
      <c r="D3852" s="13" t="n">
        <v>0</v>
      </c>
      <c r="E3852" s="13" t="inlineStr">
        <is>
          <t>W</t>
        </is>
      </c>
      <c r="F3852" s="13" t="n">
        <v>2020</v>
      </c>
      <c r="G3852" s="14" t="n">
        <v>8205614.737713685</v>
      </c>
      <c r="H3852" s="14" t="n">
        <v>3673896.166493645</v>
      </c>
      <c r="I3852" s="14" t="n">
        <v>60065.36603647868</v>
      </c>
      <c r="J3852" s="14" t="n">
        <v>0</v>
      </c>
      <c r="K3852" s="14" t="n">
        <v>182455.4345712998</v>
      </c>
      <c r="L3852" s="14" t="n">
        <v>4289197.77061226</v>
      </c>
      <c r="M3852" s="14" t="n">
        <v>0</v>
      </c>
      <c r="N3852" s="14" t="n">
        <v>3673896.166493645</v>
      </c>
      <c r="O3852" s="14" t="n">
        <v>3916416.967101422</v>
      </c>
      <c r="P3852" s="14" t="n">
        <v>0</v>
      </c>
      <c r="Q3852" s="14" t="n">
        <v>24544902.08041649</v>
      </c>
      <c r="R3852" s="15">
        <f>IF(D3852=1,"Section 1","Control")</f>
        <v/>
      </c>
      <c r="S3852" s="16">
        <f>N3852/10000</f>
        <v/>
      </c>
      <c r="T3852" s="16">
        <f>P3852/10000</f>
        <v/>
      </c>
      <c r="U3852" s="15">
        <f>IF(N3852&gt;=Summary!$D$3,1,0)</f>
        <v/>
      </c>
      <c r="V3852" s="17">
        <f>IF(N3852&gt;0,P3852/N3852,"")</f>
        <v/>
      </c>
      <c r="W3852" s="17">
        <f>IF(O3852&gt;0,H3852/O3852,"")</f>
        <v/>
      </c>
    </row>
    <row r="3853">
      <c r="A3853" s="13" t="inlineStr">
        <is>
          <t>CW47_B3</t>
        </is>
      </c>
      <c r="B3853" s="13" t="inlineStr">
        <is>
          <t>CW47</t>
        </is>
      </c>
      <c r="C3853" s="13" t="inlineStr">
        <is>
          <t>B3</t>
        </is>
      </c>
      <c r="D3853" s="13" t="n">
        <v>0</v>
      </c>
      <c r="E3853" s="13" t="inlineStr">
        <is>
          <t>W</t>
        </is>
      </c>
      <c r="F3853" s="13" t="n">
        <v>2021</v>
      </c>
      <c r="G3853" s="14" t="n">
        <v>8205614.737713684</v>
      </c>
      <c r="H3853" s="14" t="n">
        <v>3544037.057511423</v>
      </c>
      <c r="I3853" s="14" t="n">
        <v>102549.5541349523</v>
      </c>
      <c r="J3853" s="14" t="n">
        <v>0</v>
      </c>
      <c r="K3853" s="14" t="n">
        <v>338445.4919380936</v>
      </c>
      <c r="L3853" s="14" t="n">
        <v>4220582.634129213</v>
      </c>
      <c r="M3853" s="14" t="n">
        <v>0</v>
      </c>
      <c r="N3853" s="14" t="n">
        <v>3673896.166493644</v>
      </c>
      <c r="O3853" s="14" t="n">
        <v>3916416.967101423</v>
      </c>
      <c r="P3853" s="14" t="n">
        <v>155118.3395322313</v>
      </c>
      <c r="Q3853" s="14" t="n">
        <v>24544902.08041649</v>
      </c>
      <c r="R3853" s="15">
        <f>IF(D3853=1,"Section 1","Control")</f>
        <v/>
      </c>
      <c r="S3853" s="16">
        <f>N3853/10000</f>
        <v/>
      </c>
      <c r="T3853" s="16">
        <f>P3853/10000</f>
        <v/>
      </c>
      <c r="U3853" s="15">
        <f>IF(N3853&gt;=Summary!$D$3,1,0)</f>
        <v/>
      </c>
      <c r="V3853" s="17">
        <f>IF(N3853&gt;0,P3853/N3853,"")</f>
        <v/>
      </c>
      <c r="W3853" s="17">
        <f>IF(O3853&gt;0,H3853/O3853,"")</f>
        <v/>
      </c>
    </row>
    <row r="3854">
      <c r="A3854" s="13" t="inlineStr">
        <is>
          <t>CW47_B3</t>
        </is>
      </c>
      <c r="B3854" s="13" t="inlineStr">
        <is>
          <t>CW47</t>
        </is>
      </c>
      <c r="C3854" s="13" t="inlineStr">
        <is>
          <t>B3</t>
        </is>
      </c>
      <c r="D3854" s="13" t="n">
        <v>0</v>
      </c>
      <c r="E3854" s="13" t="inlineStr">
        <is>
          <t>W</t>
        </is>
      </c>
      <c r="F3854" s="13" t="n">
        <v>2022</v>
      </c>
      <c r="G3854" s="14" t="n">
        <v>8205614.737713684</v>
      </c>
      <c r="H3854" s="14" t="n">
        <v>3435874.191947757</v>
      </c>
      <c r="I3854" s="14" t="n">
        <v>186435.3917587879</v>
      </c>
      <c r="J3854" s="14" t="n">
        <v>0</v>
      </c>
      <c r="K3854" s="14" t="n">
        <v>323578.4237535963</v>
      </c>
      <c r="L3854" s="14" t="n">
        <v>4259726.730253542</v>
      </c>
      <c r="M3854" s="14" t="n">
        <v>0</v>
      </c>
      <c r="N3854" s="14" t="n">
        <v>3673896.166493644</v>
      </c>
      <c r="O3854" s="14" t="n">
        <v>3916416.967101423</v>
      </c>
      <c r="P3854" s="14" t="n">
        <v>254292.2557245592</v>
      </c>
      <c r="Q3854" s="14" t="n">
        <v>24544902.08041649</v>
      </c>
      <c r="R3854" s="15">
        <f>IF(D3854=1,"Section 1","Control")</f>
        <v/>
      </c>
      <c r="S3854" s="16">
        <f>N3854/10000</f>
        <v/>
      </c>
      <c r="T3854" s="16">
        <f>P3854/10000</f>
        <v/>
      </c>
      <c r="U3854" s="15">
        <f>IF(N3854&gt;=Summary!$D$3,1,0)</f>
        <v/>
      </c>
      <c r="V3854" s="17">
        <f>IF(N3854&gt;0,P3854/N3854,"")</f>
        <v/>
      </c>
      <c r="W3854" s="17">
        <f>IF(O3854&gt;0,H3854/O3854,"")</f>
        <v/>
      </c>
    </row>
    <row r="3855">
      <c r="A3855" s="13" t="inlineStr">
        <is>
          <t>CW47_B3</t>
        </is>
      </c>
      <c r="B3855" s="13" t="inlineStr">
        <is>
          <t>CW47</t>
        </is>
      </c>
      <c r="C3855" s="13" t="inlineStr">
        <is>
          <t>B3</t>
        </is>
      </c>
      <c r="D3855" s="13" t="n">
        <v>0</v>
      </c>
      <c r="E3855" s="13" t="inlineStr">
        <is>
          <t>W</t>
        </is>
      </c>
      <c r="F3855" s="13" t="n">
        <v>2023</v>
      </c>
      <c r="G3855" s="14" t="n">
        <v>8205614.737713684</v>
      </c>
      <c r="H3855" s="14" t="n">
        <v>3506170.061342577</v>
      </c>
      <c r="I3855" s="14" t="n">
        <v>106300.6928508085</v>
      </c>
      <c r="J3855" s="14" t="n">
        <v>0</v>
      </c>
      <c r="K3855" s="14" t="n">
        <v>304274.9873757456</v>
      </c>
      <c r="L3855" s="14" t="n">
        <v>4288868.996144553</v>
      </c>
      <c r="M3855" s="14" t="n">
        <v>0</v>
      </c>
      <c r="N3855" s="14" t="n">
        <v>3673896.166493644</v>
      </c>
      <c r="O3855" s="14" t="n">
        <v>3916416.967101423</v>
      </c>
      <c r="P3855" s="14" t="n">
        <v>197643.0243053661</v>
      </c>
      <c r="Q3855" s="14" t="n">
        <v>24544902.08041649</v>
      </c>
      <c r="R3855" s="15">
        <f>IF(D3855=1,"Section 1","Control")</f>
        <v/>
      </c>
      <c r="S3855" s="16">
        <f>N3855/10000</f>
        <v/>
      </c>
      <c r="T3855" s="16">
        <f>P3855/10000</f>
        <v/>
      </c>
      <c r="U3855" s="15">
        <f>IF(N3855&gt;=Summary!$D$3,1,0)</f>
        <v/>
      </c>
      <c r="V3855" s="17">
        <f>IF(N3855&gt;0,P3855/N3855,"")</f>
        <v/>
      </c>
      <c r="W3855" s="17">
        <f>IF(O3855&gt;0,H3855/O3855,"")</f>
        <v/>
      </c>
    </row>
    <row r="3856">
      <c r="A3856" s="13" t="inlineStr">
        <is>
          <t>CW47_B3</t>
        </is>
      </c>
      <c r="B3856" s="13" t="inlineStr">
        <is>
          <t>CW47</t>
        </is>
      </c>
      <c r="C3856" s="13" t="inlineStr">
        <is>
          <t>B3</t>
        </is>
      </c>
      <c r="D3856" s="13" t="n">
        <v>0</v>
      </c>
      <c r="E3856" s="13" t="inlineStr">
        <is>
          <t>W</t>
        </is>
      </c>
      <c r="F3856" s="13" t="n">
        <v>2024</v>
      </c>
      <c r="G3856" s="14" t="n">
        <v>8205614.737713685</v>
      </c>
      <c r="H3856" s="14" t="n">
        <v>3469856.318716819</v>
      </c>
      <c r="I3856" s="14" t="n">
        <v>142771.3195066864</v>
      </c>
      <c r="J3856" s="14" t="n">
        <v>0</v>
      </c>
      <c r="K3856" s="14" t="n">
        <v>320011.7440057194</v>
      </c>
      <c r="L3856" s="14" t="n">
        <v>4272975.355484457</v>
      </c>
      <c r="M3856" s="14" t="n">
        <v>0</v>
      </c>
      <c r="N3856" s="14" t="n">
        <v>3673896.166493644</v>
      </c>
      <c r="O3856" s="14" t="n">
        <v>3916416.967101422</v>
      </c>
      <c r="P3856" s="14" t="n">
        <v>231121.9760552201</v>
      </c>
      <c r="Q3856" s="14" t="n">
        <v>24544902.08041649</v>
      </c>
      <c r="R3856" s="15">
        <f>IF(D3856=1,"Section 1","Control")</f>
        <v/>
      </c>
      <c r="S3856" s="16">
        <f>N3856/10000</f>
        <v/>
      </c>
      <c r="T3856" s="16">
        <f>P3856/10000</f>
        <v/>
      </c>
      <c r="U3856" s="15">
        <f>IF(N3856&gt;=Summary!$D$3,1,0)</f>
        <v/>
      </c>
      <c r="V3856" s="17">
        <f>IF(N3856&gt;0,P3856/N3856,"")</f>
        <v/>
      </c>
      <c r="W3856" s="17">
        <f>IF(O3856&gt;0,H3856/O3856,"")</f>
        <v/>
      </c>
    </row>
    <row r="3857">
      <c r="A3857" s="13" t="inlineStr">
        <is>
          <t>CW47_B3</t>
        </is>
      </c>
      <c r="B3857" s="13" t="inlineStr">
        <is>
          <t>CW47</t>
        </is>
      </c>
      <c r="C3857" s="13" t="inlineStr">
        <is>
          <t>B3</t>
        </is>
      </c>
      <c r="D3857" s="13" t="n">
        <v>0</v>
      </c>
      <c r="E3857" s="13" t="inlineStr">
        <is>
          <t>W</t>
        </is>
      </c>
      <c r="F3857" s="13" t="n">
        <v>2025</v>
      </c>
      <c r="G3857" s="14" t="n">
        <v>8205614.737713684</v>
      </c>
      <c r="H3857" s="14" t="n">
        <v>3500091.33911459</v>
      </c>
      <c r="I3857" s="14" t="n">
        <v>108261.5507709578</v>
      </c>
      <c r="J3857" s="14" t="n">
        <v>0</v>
      </c>
      <c r="K3857" s="14" t="n">
        <v>287276.0162555171</v>
      </c>
      <c r="L3857" s="14" t="n">
        <v>4309985.831572619</v>
      </c>
      <c r="M3857" s="14" t="n">
        <v>0</v>
      </c>
      <c r="N3857" s="14" t="n">
        <v>3673896.166493644</v>
      </c>
      <c r="O3857" s="14" t="n">
        <v>3916416.967101423</v>
      </c>
      <c r="P3857" s="14" t="n">
        <v>210575.7282944922</v>
      </c>
      <c r="Q3857" s="14" t="n">
        <v>24544902.08041649</v>
      </c>
      <c r="R3857" s="15">
        <f>IF(D3857=1,"Section 1","Control")</f>
        <v/>
      </c>
      <c r="S3857" s="16">
        <f>N3857/10000</f>
        <v/>
      </c>
      <c r="T3857" s="16">
        <f>P3857/10000</f>
        <v/>
      </c>
      <c r="U3857" s="15">
        <f>IF(N3857&gt;=Summary!$D$3,1,0)</f>
        <v/>
      </c>
      <c r="V3857" s="17">
        <f>IF(N3857&gt;0,P3857/N3857,"")</f>
        <v/>
      </c>
      <c r="W3857" s="17">
        <f>IF(O3857&gt;0,H3857/O3857,"")</f>
        <v/>
      </c>
    </row>
    <row r="3858">
      <c r="A3858" s="13" t="inlineStr">
        <is>
          <t>CW47_B3</t>
        </is>
      </c>
      <c r="B3858" s="13" t="inlineStr">
        <is>
          <t>CW47</t>
        </is>
      </c>
      <c r="C3858" s="13" t="inlineStr">
        <is>
          <t>B3</t>
        </is>
      </c>
      <c r="D3858" s="13" t="n">
        <v>0</v>
      </c>
      <c r="E3858" s="13" t="inlineStr">
        <is>
          <t>W</t>
        </is>
      </c>
      <c r="F3858" s="13" t="n">
        <v>2026</v>
      </c>
      <c r="G3858" s="14" t="n">
        <v>8205614.737713684</v>
      </c>
      <c r="H3858" s="14" t="n">
        <v>3459533.898244761</v>
      </c>
      <c r="I3858" s="14" t="n">
        <v>114546.4866586124</v>
      </c>
      <c r="J3858" s="14" t="n">
        <v>0</v>
      </c>
      <c r="K3858" s="14" t="n">
        <v>320412.6511646046</v>
      </c>
      <c r="L3858" s="14" t="n">
        <v>4311121.701645705</v>
      </c>
      <c r="M3858" s="14" t="n">
        <v>0</v>
      </c>
      <c r="N3858" s="14" t="n">
        <v>3673896.166493644</v>
      </c>
      <c r="O3858" s="14" t="n">
        <v>3916416.967101423</v>
      </c>
      <c r="P3858" s="14" t="n">
        <v>242543.9970647476</v>
      </c>
      <c r="Q3858" s="14" t="n">
        <v>24544902.08041649</v>
      </c>
      <c r="R3858" s="15">
        <f>IF(D3858=1,"Section 1","Control")</f>
        <v/>
      </c>
      <c r="S3858" s="16">
        <f>N3858/10000</f>
        <v/>
      </c>
      <c r="T3858" s="16">
        <f>P3858/10000</f>
        <v/>
      </c>
      <c r="U3858" s="15">
        <f>IF(N3858&gt;=Summary!$D$3,1,0)</f>
        <v/>
      </c>
      <c r="V3858" s="17">
        <f>IF(N3858&gt;0,P3858/N3858,"")</f>
        <v/>
      </c>
      <c r="W3858" s="17">
        <f>IF(O3858&gt;0,H3858/O3858,"")</f>
        <v/>
      </c>
    </row>
    <row r="3859">
      <c r="A3859" s="13" t="inlineStr">
        <is>
          <t>CW47_F</t>
        </is>
      </c>
      <c r="B3859" s="13" t="inlineStr">
        <is>
          <t>CW47</t>
        </is>
      </c>
      <c r="C3859" s="13" t="inlineStr">
        <is>
          <t>F</t>
        </is>
      </c>
      <c r="D3859" s="13" t="n">
        <v>0</v>
      </c>
      <c r="E3859" s="13" t="inlineStr">
        <is>
          <t>W</t>
        </is>
      </c>
      <c r="F3859" s="13" t="n">
        <v>2020</v>
      </c>
      <c r="G3859" s="14" t="n">
        <v>71300.48566837686</v>
      </c>
      <c r="H3859" s="14" t="n">
        <v>37081.20916673249</v>
      </c>
      <c r="I3859" s="14" t="n">
        <v>9137.506458147833</v>
      </c>
      <c r="J3859" s="14" t="n">
        <v>0</v>
      </c>
      <c r="K3859" s="14" t="n">
        <v>18959.90442181755</v>
      </c>
      <c r="L3859" s="14" t="n">
        <v>6121.865621678969</v>
      </c>
      <c r="M3859" s="14" t="n">
        <v>0</v>
      </c>
      <c r="N3859" s="14" t="n">
        <v>37081.20916673249</v>
      </c>
      <c r="O3859" s="14" t="n">
        <v>65178.62004669788</v>
      </c>
      <c r="P3859" s="14" t="n">
        <v>0</v>
      </c>
      <c r="Q3859" s="14" t="n">
        <v>684380.9388236252</v>
      </c>
      <c r="R3859" s="15">
        <f>IF(D3859=1,"Section 1","Control")</f>
        <v/>
      </c>
      <c r="S3859" s="16">
        <f>N3859/10000</f>
        <v/>
      </c>
      <c r="T3859" s="16">
        <f>P3859/10000</f>
        <v/>
      </c>
      <c r="U3859" s="15">
        <f>IF(N3859&gt;=Summary!$D$3,1,0)</f>
        <v/>
      </c>
      <c r="V3859" s="17">
        <f>IF(N3859&gt;0,P3859/N3859,"")</f>
        <v/>
      </c>
      <c r="W3859" s="17">
        <f>IF(O3859&gt;0,H3859/O3859,"")</f>
        <v/>
      </c>
    </row>
    <row r="3860">
      <c r="A3860" s="13" t="inlineStr">
        <is>
          <t>CW47_F</t>
        </is>
      </c>
      <c r="B3860" s="13" t="inlineStr">
        <is>
          <t>CW47</t>
        </is>
      </c>
      <c r="C3860" s="13" t="inlineStr">
        <is>
          <t>F</t>
        </is>
      </c>
      <c r="D3860" s="13" t="n">
        <v>0</v>
      </c>
      <c r="E3860" s="13" t="inlineStr">
        <is>
          <t>W</t>
        </is>
      </c>
      <c r="F3860" s="13" t="n">
        <v>2021</v>
      </c>
      <c r="G3860" s="14" t="n">
        <v>71300.48566837686</v>
      </c>
      <c r="H3860" s="14" t="n">
        <v>34280.45006902359</v>
      </c>
      <c r="I3860" s="14" t="n">
        <v>8270.2545397291</v>
      </c>
      <c r="J3860" s="14" t="n">
        <v>0</v>
      </c>
      <c r="K3860" s="14" t="n">
        <v>23424.31550550273</v>
      </c>
      <c r="L3860" s="14" t="n">
        <v>5325.465554121429</v>
      </c>
      <c r="M3860" s="14" t="n">
        <v>0</v>
      </c>
      <c r="N3860" s="14" t="n">
        <v>37081.20916673249</v>
      </c>
      <c r="O3860" s="14" t="n">
        <v>65178.62004669788</v>
      </c>
      <c r="P3860" s="14" t="n">
        <v>3380.733658794328</v>
      </c>
      <c r="Q3860" s="14" t="n">
        <v>684380.9388236251</v>
      </c>
      <c r="R3860" s="15">
        <f>IF(D3860=1,"Section 1","Control")</f>
        <v/>
      </c>
      <c r="S3860" s="16">
        <f>N3860/10000</f>
        <v/>
      </c>
      <c r="T3860" s="16">
        <f>P3860/10000</f>
        <v/>
      </c>
      <c r="U3860" s="15">
        <f>IF(N3860&gt;=Summary!$D$3,1,0)</f>
        <v/>
      </c>
      <c r="V3860" s="17">
        <f>IF(N3860&gt;0,P3860/N3860,"")</f>
        <v/>
      </c>
      <c r="W3860" s="17">
        <f>IF(O3860&gt;0,H3860/O3860,"")</f>
        <v/>
      </c>
    </row>
    <row r="3861">
      <c r="A3861" s="13" t="inlineStr">
        <is>
          <t>CW47_F</t>
        </is>
      </c>
      <c r="B3861" s="13" t="inlineStr">
        <is>
          <t>CW47</t>
        </is>
      </c>
      <c r="C3861" s="13" t="inlineStr">
        <is>
          <t>F</t>
        </is>
      </c>
      <c r="D3861" s="13" t="n">
        <v>0</v>
      </c>
      <c r="E3861" s="13" t="inlineStr">
        <is>
          <t>W</t>
        </is>
      </c>
      <c r="F3861" s="13" t="n">
        <v>2022</v>
      </c>
      <c r="G3861" s="14" t="n">
        <v>71300.48566837686</v>
      </c>
      <c r="H3861" s="14" t="n">
        <v>34647.48355739818</v>
      </c>
      <c r="I3861" s="14" t="n">
        <v>10414.7668183869</v>
      </c>
      <c r="J3861" s="14" t="n">
        <v>0</v>
      </c>
      <c r="K3861" s="14" t="n">
        <v>22583.7773658902</v>
      </c>
      <c r="L3861" s="14" t="n">
        <v>3654.457926701564</v>
      </c>
      <c r="M3861" s="14" t="n">
        <v>0</v>
      </c>
      <c r="N3861" s="14" t="n">
        <v>37081.20916673249</v>
      </c>
      <c r="O3861" s="14" t="n">
        <v>65178.62004669788</v>
      </c>
      <c r="P3861" s="14" t="n">
        <v>3100.038204477348</v>
      </c>
      <c r="Q3861" s="14" t="n">
        <v>684380.9388236252</v>
      </c>
      <c r="R3861" s="15">
        <f>IF(D3861=1,"Section 1","Control")</f>
        <v/>
      </c>
      <c r="S3861" s="16">
        <f>N3861/10000</f>
        <v/>
      </c>
      <c r="T3861" s="16">
        <f>P3861/10000</f>
        <v/>
      </c>
      <c r="U3861" s="15">
        <f>IF(N3861&gt;=Summary!$D$3,1,0)</f>
        <v/>
      </c>
      <c r="V3861" s="17">
        <f>IF(N3861&gt;0,P3861/N3861,"")</f>
        <v/>
      </c>
      <c r="W3861" s="17">
        <f>IF(O3861&gt;0,H3861/O3861,"")</f>
        <v/>
      </c>
    </row>
    <row r="3862">
      <c r="A3862" s="13" t="inlineStr">
        <is>
          <t>CW47_F</t>
        </is>
      </c>
      <c r="B3862" s="13" t="inlineStr">
        <is>
          <t>CW47</t>
        </is>
      </c>
      <c r="C3862" s="13" t="inlineStr">
        <is>
          <t>F</t>
        </is>
      </c>
      <c r="D3862" s="13" t="n">
        <v>0</v>
      </c>
      <c r="E3862" s="13" t="inlineStr">
        <is>
          <t>W</t>
        </is>
      </c>
      <c r="F3862" s="13" t="n">
        <v>2023</v>
      </c>
      <c r="G3862" s="14" t="n">
        <v>71300.48566837686</v>
      </c>
      <c r="H3862" s="14" t="n">
        <v>34506.16799792122</v>
      </c>
      <c r="I3862" s="14" t="n">
        <v>8051.505624599083</v>
      </c>
      <c r="J3862" s="14" t="n">
        <v>0</v>
      </c>
      <c r="K3862" s="14" t="n">
        <v>20419.90811833401</v>
      </c>
      <c r="L3862" s="14" t="n">
        <v>8322.903927522548</v>
      </c>
      <c r="M3862" s="14" t="n">
        <v>0</v>
      </c>
      <c r="N3862" s="14" t="n">
        <v>37081.20916673249</v>
      </c>
      <c r="O3862" s="14" t="n">
        <v>65178.62004669788</v>
      </c>
      <c r="P3862" s="14" t="n">
        <v>4277.022767519484</v>
      </c>
      <c r="Q3862" s="14" t="n">
        <v>684380.9388236251</v>
      </c>
      <c r="R3862" s="15">
        <f>IF(D3862=1,"Section 1","Control")</f>
        <v/>
      </c>
      <c r="S3862" s="16">
        <f>N3862/10000</f>
        <v/>
      </c>
      <c r="T3862" s="16">
        <f>P3862/10000</f>
        <v/>
      </c>
      <c r="U3862" s="15">
        <f>IF(N3862&gt;=Summary!$D$3,1,0)</f>
        <v/>
      </c>
      <c r="V3862" s="17">
        <f>IF(N3862&gt;0,P3862/N3862,"")</f>
        <v/>
      </c>
      <c r="W3862" s="17">
        <f>IF(O3862&gt;0,H3862/O3862,"")</f>
        <v/>
      </c>
    </row>
    <row r="3863">
      <c r="A3863" s="13" t="inlineStr">
        <is>
          <t>CW47_F</t>
        </is>
      </c>
      <c r="B3863" s="13" t="inlineStr">
        <is>
          <t>CW47</t>
        </is>
      </c>
      <c r="C3863" s="13" t="inlineStr">
        <is>
          <t>F</t>
        </is>
      </c>
      <c r="D3863" s="13" t="n">
        <v>0</v>
      </c>
      <c r="E3863" s="13" t="inlineStr">
        <is>
          <t>W</t>
        </is>
      </c>
      <c r="F3863" s="13" t="n">
        <v>2024</v>
      </c>
      <c r="G3863" s="14" t="n">
        <v>71300.48566837686</v>
      </c>
      <c r="H3863" s="14" t="n">
        <v>36147.36479121191</v>
      </c>
      <c r="I3863" s="14" t="n">
        <v>8318.649900668275</v>
      </c>
      <c r="J3863" s="14" t="n">
        <v>0</v>
      </c>
      <c r="K3863" s="14" t="n">
        <v>22150.53918400185</v>
      </c>
      <c r="L3863" s="14" t="n">
        <v>4683.93179249483</v>
      </c>
      <c r="M3863" s="14" t="n">
        <v>0</v>
      </c>
      <c r="N3863" s="14" t="n">
        <v>37081.20916673249</v>
      </c>
      <c r="O3863" s="14" t="n">
        <v>65178.62004669788</v>
      </c>
      <c r="P3863" s="14" t="n">
        <v>3882.500708307005</v>
      </c>
      <c r="Q3863" s="14" t="n">
        <v>684380.9388236252</v>
      </c>
      <c r="R3863" s="15">
        <f>IF(D3863=1,"Section 1","Control")</f>
        <v/>
      </c>
      <c r="S3863" s="16">
        <f>N3863/10000</f>
        <v/>
      </c>
      <c r="T3863" s="16">
        <f>P3863/10000</f>
        <v/>
      </c>
      <c r="U3863" s="15">
        <f>IF(N3863&gt;=Summary!$D$3,1,0)</f>
        <v/>
      </c>
      <c r="V3863" s="17">
        <f>IF(N3863&gt;0,P3863/N3863,"")</f>
        <v/>
      </c>
      <c r="W3863" s="17">
        <f>IF(O3863&gt;0,H3863/O3863,"")</f>
        <v/>
      </c>
    </row>
    <row r="3864">
      <c r="A3864" s="13" t="inlineStr">
        <is>
          <t>CW47_F</t>
        </is>
      </c>
      <c r="B3864" s="13" t="inlineStr">
        <is>
          <t>CW47</t>
        </is>
      </c>
      <c r="C3864" s="13" t="inlineStr">
        <is>
          <t>F</t>
        </is>
      </c>
      <c r="D3864" s="13" t="n">
        <v>0</v>
      </c>
      <c r="E3864" s="13" t="inlineStr">
        <is>
          <t>W</t>
        </is>
      </c>
      <c r="F3864" s="13" t="n">
        <v>2025</v>
      </c>
      <c r="G3864" s="14" t="n">
        <v>71300.48566837686</v>
      </c>
      <c r="H3864" s="14" t="n">
        <v>33075.97705595728</v>
      </c>
      <c r="I3864" s="14" t="n">
        <v>13109.82889948826</v>
      </c>
      <c r="J3864" s="14" t="n">
        <v>0</v>
      </c>
      <c r="K3864" s="14" t="n">
        <v>20653.36831602209</v>
      </c>
      <c r="L3864" s="14" t="n">
        <v>4461.311396909229</v>
      </c>
      <c r="M3864" s="14" t="n">
        <v>0</v>
      </c>
      <c r="N3864" s="14" t="n">
        <v>37081.20916673249</v>
      </c>
      <c r="O3864" s="14" t="n">
        <v>65178.62004669788</v>
      </c>
      <c r="P3864" s="14" t="n">
        <v>5201.574905305751</v>
      </c>
      <c r="Q3864" s="14" t="n">
        <v>684380.9388236252</v>
      </c>
      <c r="R3864" s="15">
        <f>IF(D3864=1,"Section 1","Control")</f>
        <v/>
      </c>
      <c r="S3864" s="16">
        <f>N3864/10000</f>
        <v/>
      </c>
      <c r="T3864" s="16">
        <f>P3864/10000</f>
        <v/>
      </c>
      <c r="U3864" s="15">
        <f>IF(N3864&gt;=Summary!$D$3,1,0)</f>
        <v/>
      </c>
      <c r="V3864" s="17">
        <f>IF(N3864&gt;0,P3864/N3864,"")</f>
        <v/>
      </c>
      <c r="W3864" s="17">
        <f>IF(O3864&gt;0,H3864/O3864,"")</f>
        <v/>
      </c>
    </row>
    <row r="3865">
      <c r="A3865" s="13" t="inlineStr">
        <is>
          <t>CW47_F</t>
        </is>
      </c>
      <c r="B3865" s="13" t="inlineStr">
        <is>
          <t>CW47</t>
        </is>
      </c>
      <c r="C3865" s="13" t="inlineStr">
        <is>
          <t>F</t>
        </is>
      </c>
      <c r="D3865" s="13" t="n">
        <v>0</v>
      </c>
      <c r="E3865" s="13" t="inlineStr">
        <is>
          <t>W</t>
        </is>
      </c>
      <c r="F3865" s="13" t="n">
        <v>2026</v>
      </c>
      <c r="G3865" s="14" t="n">
        <v>71300.48566837686</v>
      </c>
      <c r="H3865" s="14" t="n">
        <v>38169.14617447199</v>
      </c>
      <c r="I3865" s="14" t="n">
        <v>4463.250532920687</v>
      </c>
      <c r="J3865" s="14" t="n">
        <v>0</v>
      </c>
      <c r="K3865" s="14" t="n">
        <v>22714.25327387791</v>
      </c>
      <c r="L3865" s="14" t="n">
        <v>5953.835687106263</v>
      </c>
      <c r="M3865" s="14" t="n">
        <v>0</v>
      </c>
      <c r="N3865" s="14" t="n">
        <v>37081.20916673249</v>
      </c>
      <c r="O3865" s="14" t="n">
        <v>65178.62004669788</v>
      </c>
      <c r="P3865" s="14" t="n">
        <v>4264.633464080212</v>
      </c>
      <c r="Q3865" s="14" t="n">
        <v>684380.9388236251</v>
      </c>
      <c r="R3865" s="15">
        <f>IF(D3865=1,"Section 1","Control")</f>
        <v/>
      </c>
      <c r="S3865" s="16">
        <f>N3865/10000</f>
        <v/>
      </c>
      <c r="T3865" s="16">
        <f>P3865/10000</f>
        <v/>
      </c>
      <c r="U3865" s="15">
        <f>IF(N3865&gt;=Summary!$D$3,1,0)</f>
        <v/>
      </c>
      <c r="V3865" s="17">
        <f>IF(N3865&gt;0,P3865/N3865,"")</f>
        <v/>
      </c>
      <c r="W3865" s="17">
        <f>IF(O3865&gt;0,H3865/O3865,"")</f>
        <v/>
      </c>
    </row>
    <row r="3866">
      <c r="A3866" s="13" t="inlineStr">
        <is>
          <t>CW48_B1</t>
        </is>
      </c>
      <c r="B3866" s="13" t="inlineStr">
        <is>
          <t>CW48</t>
        </is>
      </c>
      <c r="C3866" s="13" t="inlineStr">
        <is>
          <t>B1</t>
        </is>
      </c>
      <c r="D3866" s="13" t="n">
        <v>0</v>
      </c>
      <c r="E3866" s="13" t="inlineStr">
        <is>
          <t>W</t>
        </is>
      </c>
      <c r="F3866" s="13" t="n">
        <v>2020</v>
      </c>
      <c r="G3866" s="14" t="n">
        <v>1000952.182769416</v>
      </c>
      <c r="H3866" s="14" t="n">
        <v>496371.0921569825</v>
      </c>
      <c r="I3866" s="14" t="n">
        <v>197619.7455236098</v>
      </c>
      <c r="J3866" s="14" t="n">
        <v>0</v>
      </c>
      <c r="K3866" s="14" t="n">
        <v>41439.5268598968</v>
      </c>
      <c r="L3866" s="14" t="n">
        <v>265521.8182289273</v>
      </c>
      <c r="M3866" s="14" t="n">
        <v>0</v>
      </c>
      <c r="N3866" s="14" t="n">
        <v>496371.0921569825</v>
      </c>
      <c r="O3866" s="14" t="n">
        <v>735430.3645404892</v>
      </c>
      <c r="P3866" s="14" t="n">
        <v>0</v>
      </c>
      <c r="Q3866" s="14" t="n">
        <v>5549329.268858008</v>
      </c>
      <c r="R3866" s="15">
        <f>IF(D3866=1,"Section 1","Control")</f>
        <v/>
      </c>
      <c r="S3866" s="16">
        <f>N3866/10000</f>
        <v/>
      </c>
      <c r="T3866" s="16">
        <f>P3866/10000</f>
        <v/>
      </c>
      <c r="U3866" s="15">
        <f>IF(N3866&gt;=Summary!$D$3,1,0)</f>
        <v/>
      </c>
      <c r="V3866" s="17">
        <f>IF(N3866&gt;0,P3866/N3866,"")</f>
        <v/>
      </c>
      <c r="W3866" s="17">
        <f>IF(O3866&gt;0,H3866/O3866,"")</f>
        <v/>
      </c>
    </row>
    <row r="3867">
      <c r="A3867" s="13" t="inlineStr">
        <is>
          <t>CW48_B1</t>
        </is>
      </c>
      <c r="B3867" s="13" t="inlineStr">
        <is>
          <t>CW48</t>
        </is>
      </c>
      <c r="C3867" s="13" t="inlineStr">
        <is>
          <t>B1</t>
        </is>
      </c>
      <c r="D3867" s="13" t="n">
        <v>0</v>
      </c>
      <c r="E3867" s="13" t="inlineStr">
        <is>
          <t>W</t>
        </is>
      </c>
      <c r="F3867" s="13" t="n">
        <v>2021</v>
      </c>
      <c r="G3867" s="14" t="n">
        <v>1000952.182769416</v>
      </c>
      <c r="H3867" s="14" t="n">
        <v>484019.3324555042</v>
      </c>
      <c r="I3867" s="14" t="n">
        <v>196299.1311257156</v>
      </c>
      <c r="J3867" s="14" t="n">
        <v>0</v>
      </c>
      <c r="K3867" s="14" t="n">
        <v>54989.94678105372</v>
      </c>
      <c r="L3867" s="14" t="n">
        <v>265643.7724071428</v>
      </c>
      <c r="M3867" s="14" t="n">
        <v>0</v>
      </c>
      <c r="N3867" s="14" t="n">
        <v>496371.0921569825</v>
      </c>
      <c r="O3867" s="14" t="n">
        <v>735430.3645404892</v>
      </c>
      <c r="P3867" s="14" t="n">
        <v>21887.24579282274</v>
      </c>
      <c r="Q3867" s="14" t="n">
        <v>5549329.268858008</v>
      </c>
      <c r="R3867" s="15">
        <f>IF(D3867=1,"Section 1","Control")</f>
        <v/>
      </c>
      <c r="S3867" s="16">
        <f>N3867/10000</f>
        <v/>
      </c>
      <c r="T3867" s="16">
        <f>P3867/10000</f>
        <v/>
      </c>
      <c r="U3867" s="15">
        <f>IF(N3867&gt;=Summary!$D$3,1,0)</f>
        <v/>
      </c>
      <c r="V3867" s="17">
        <f>IF(N3867&gt;0,P3867/N3867,"")</f>
        <v/>
      </c>
      <c r="W3867" s="17">
        <f>IF(O3867&gt;0,H3867/O3867,"")</f>
        <v/>
      </c>
    </row>
    <row r="3868">
      <c r="A3868" s="13" t="inlineStr">
        <is>
          <t>CW48_B1</t>
        </is>
      </c>
      <c r="B3868" s="13" t="inlineStr">
        <is>
          <t>CW48</t>
        </is>
      </c>
      <c r="C3868" s="13" t="inlineStr">
        <is>
          <t>B1</t>
        </is>
      </c>
      <c r="D3868" s="13" t="n">
        <v>0</v>
      </c>
      <c r="E3868" s="13" t="inlineStr">
        <is>
          <t>W</t>
        </is>
      </c>
      <c r="F3868" s="13" t="n">
        <v>2022</v>
      </c>
      <c r="G3868" s="14" t="n">
        <v>1000952.182769416</v>
      </c>
      <c r="H3868" s="14" t="n">
        <v>492899.33971049</v>
      </c>
      <c r="I3868" s="14" t="n">
        <v>189884.2043570425</v>
      </c>
      <c r="J3868" s="14" t="n">
        <v>0</v>
      </c>
      <c r="K3868" s="14" t="n">
        <v>57486.36291135899</v>
      </c>
      <c r="L3868" s="14" t="n">
        <v>260682.275790525</v>
      </c>
      <c r="M3868" s="14" t="n">
        <v>0</v>
      </c>
      <c r="N3868" s="14" t="n">
        <v>496371.0921569825</v>
      </c>
      <c r="O3868" s="14" t="n">
        <v>735430.3645404892</v>
      </c>
      <c r="P3868" s="14" t="n">
        <v>21344.44920995376</v>
      </c>
      <c r="Q3868" s="14" t="n">
        <v>5549329.268858009</v>
      </c>
      <c r="R3868" s="15">
        <f>IF(D3868=1,"Section 1","Control")</f>
        <v/>
      </c>
      <c r="S3868" s="16">
        <f>N3868/10000</f>
        <v/>
      </c>
      <c r="T3868" s="16">
        <f>P3868/10000</f>
        <v/>
      </c>
      <c r="U3868" s="15">
        <f>IF(N3868&gt;=Summary!$D$3,1,0)</f>
        <v/>
      </c>
      <c r="V3868" s="17">
        <f>IF(N3868&gt;0,P3868/N3868,"")</f>
        <v/>
      </c>
      <c r="W3868" s="17">
        <f>IF(O3868&gt;0,H3868/O3868,"")</f>
        <v/>
      </c>
    </row>
    <row r="3869">
      <c r="A3869" s="13" t="inlineStr">
        <is>
          <t>CW48_B1</t>
        </is>
      </c>
      <c r="B3869" s="13" t="inlineStr">
        <is>
          <t>CW48</t>
        </is>
      </c>
      <c r="C3869" s="13" t="inlineStr">
        <is>
          <t>B1</t>
        </is>
      </c>
      <c r="D3869" s="13" t="n">
        <v>0</v>
      </c>
      <c r="E3869" s="13" t="inlineStr">
        <is>
          <t>W</t>
        </is>
      </c>
      <c r="F3869" s="13" t="n">
        <v>2023</v>
      </c>
      <c r="G3869" s="14" t="n">
        <v>1000952.182769416</v>
      </c>
      <c r="H3869" s="14" t="n">
        <v>488925.4763259888</v>
      </c>
      <c r="I3869" s="14" t="n">
        <v>183185.7959606095</v>
      </c>
      <c r="J3869" s="14" t="n">
        <v>0</v>
      </c>
      <c r="K3869" s="14" t="n">
        <v>54301.9671750237</v>
      </c>
      <c r="L3869" s="14" t="n">
        <v>274538.9433077943</v>
      </c>
      <c r="M3869" s="14" t="n">
        <v>0</v>
      </c>
      <c r="N3869" s="14" t="n">
        <v>496371.0921569825</v>
      </c>
      <c r="O3869" s="14" t="n">
        <v>735430.3645404892</v>
      </c>
      <c r="P3869" s="14" t="n">
        <v>22182.66659830131</v>
      </c>
      <c r="Q3869" s="14" t="n">
        <v>5549329.268858009</v>
      </c>
      <c r="R3869" s="15">
        <f>IF(D3869=1,"Section 1","Control")</f>
        <v/>
      </c>
      <c r="S3869" s="16">
        <f>N3869/10000</f>
        <v/>
      </c>
      <c r="T3869" s="16">
        <f>P3869/10000</f>
        <v/>
      </c>
      <c r="U3869" s="15">
        <f>IF(N3869&gt;=Summary!$D$3,1,0)</f>
        <v/>
      </c>
      <c r="V3869" s="17">
        <f>IF(N3869&gt;0,P3869/N3869,"")</f>
        <v/>
      </c>
      <c r="W3869" s="17">
        <f>IF(O3869&gt;0,H3869/O3869,"")</f>
        <v/>
      </c>
    </row>
    <row r="3870">
      <c r="A3870" s="13" t="inlineStr">
        <is>
          <t>CW48_B1</t>
        </is>
      </c>
      <c r="B3870" s="13" t="inlineStr">
        <is>
          <t>CW48</t>
        </is>
      </c>
      <c r="C3870" s="13" t="inlineStr">
        <is>
          <t>B1</t>
        </is>
      </c>
      <c r="D3870" s="13" t="n">
        <v>0</v>
      </c>
      <c r="E3870" s="13" t="inlineStr">
        <is>
          <t>W</t>
        </is>
      </c>
      <c r="F3870" s="13" t="n">
        <v>2024</v>
      </c>
      <c r="G3870" s="14" t="n">
        <v>1000952.182769416</v>
      </c>
      <c r="H3870" s="14" t="n">
        <v>508657.7472395954</v>
      </c>
      <c r="I3870" s="14" t="n">
        <v>153926.8737615249</v>
      </c>
      <c r="J3870" s="14" t="n">
        <v>0</v>
      </c>
      <c r="K3870" s="14" t="n">
        <v>58379.18698206883</v>
      </c>
      <c r="L3870" s="14" t="n">
        <v>279988.3747862274</v>
      </c>
      <c r="M3870" s="14" t="n">
        <v>0</v>
      </c>
      <c r="N3870" s="14" t="n">
        <v>496371.0921569825</v>
      </c>
      <c r="O3870" s="14" t="n">
        <v>735430.3645404892</v>
      </c>
      <c r="P3870" s="14" t="n">
        <v>18206.09424983006</v>
      </c>
      <c r="Q3870" s="14" t="n">
        <v>5549329.268858008</v>
      </c>
      <c r="R3870" s="15">
        <f>IF(D3870=1,"Section 1","Control")</f>
        <v/>
      </c>
      <c r="S3870" s="16">
        <f>N3870/10000</f>
        <v/>
      </c>
      <c r="T3870" s="16">
        <f>P3870/10000</f>
        <v/>
      </c>
      <c r="U3870" s="15">
        <f>IF(N3870&gt;=Summary!$D$3,1,0)</f>
        <v/>
      </c>
      <c r="V3870" s="17">
        <f>IF(N3870&gt;0,P3870/N3870,"")</f>
        <v/>
      </c>
      <c r="W3870" s="17">
        <f>IF(O3870&gt;0,H3870/O3870,"")</f>
        <v/>
      </c>
    </row>
    <row r="3871">
      <c r="A3871" s="13" t="inlineStr">
        <is>
          <t>CW48_B1</t>
        </is>
      </c>
      <c r="B3871" s="13" t="inlineStr">
        <is>
          <t>CW48</t>
        </is>
      </c>
      <c r="C3871" s="13" t="inlineStr">
        <is>
          <t>B1</t>
        </is>
      </c>
      <c r="D3871" s="13" t="n">
        <v>0</v>
      </c>
      <c r="E3871" s="13" t="inlineStr">
        <is>
          <t>W</t>
        </is>
      </c>
      <c r="F3871" s="13" t="n">
        <v>2025</v>
      </c>
      <c r="G3871" s="14" t="n">
        <v>1000952.182769416</v>
      </c>
      <c r="H3871" s="14" t="n">
        <v>469979.9344055476</v>
      </c>
      <c r="I3871" s="14" t="n">
        <v>201104.5487325929</v>
      </c>
      <c r="J3871" s="14" t="n">
        <v>0</v>
      </c>
      <c r="K3871" s="14" t="n">
        <v>51872.48419563442</v>
      </c>
      <c r="L3871" s="14" t="n">
        <v>277995.2154356414</v>
      </c>
      <c r="M3871" s="14" t="n">
        <v>0</v>
      </c>
      <c r="N3871" s="14" t="n">
        <v>496371.0921569825</v>
      </c>
      <c r="O3871" s="14" t="n">
        <v>735430.3645404892</v>
      </c>
      <c r="P3871" s="14" t="n">
        <v>36406.72839738435</v>
      </c>
      <c r="Q3871" s="14" t="n">
        <v>5549329.268858008</v>
      </c>
      <c r="R3871" s="15">
        <f>IF(D3871=1,"Section 1","Control")</f>
        <v/>
      </c>
      <c r="S3871" s="16">
        <f>N3871/10000</f>
        <v/>
      </c>
      <c r="T3871" s="16">
        <f>P3871/10000</f>
        <v/>
      </c>
      <c r="U3871" s="15">
        <f>IF(N3871&gt;=Summary!$D$3,1,0)</f>
        <v/>
      </c>
      <c r="V3871" s="17">
        <f>IF(N3871&gt;0,P3871/N3871,"")</f>
        <v/>
      </c>
      <c r="W3871" s="17">
        <f>IF(O3871&gt;0,H3871/O3871,"")</f>
        <v/>
      </c>
    </row>
    <row r="3872">
      <c r="A3872" s="13" t="inlineStr">
        <is>
          <t>CW48_B1</t>
        </is>
      </c>
      <c r="B3872" s="13" t="inlineStr">
        <is>
          <t>CW48</t>
        </is>
      </c>
      <c r="C3872" s="13" t="inlineStr">
        <is>
          <t>B1</t>
        </is>
      </c>
      <c r="D3872" s="13" t="n">
        <v>0</v>
      </c>
      <c r="E3872" s="13" t="inlineStr">
        <is>
          <t>W</t>
        </is>
      </c>
      <c r="F3872" s="13" t="n">
        <v>2026</v>
      </c>
      <c r="G3872" s="14" t="n">
        <v>1000952.182769416</v>
      </c>
      <c r="H3872" s="14" t="n">
        <v>504541.0392429427</v>
      </c>
      <c r="I3872" s="14" t="n">
        <v>156066.3331621656</v>
      </c>
      <c r="J3872" s="14" t="n">
        <v>0</v>
      </c>
      <c r="K3872" s="14" t="n">
        <v>56229.63467380299</v>
      </c>
      <c r="L3872" s="14" t="n">
        <v>284115.1756905051</v>
      </c>
      <c r="M3872" s="14" t="n">
        <v>0</v>
      </c>
      <c r="N3872" s="14" t="n">
        <v>496371.0921569825</v>
      </c>
      <c r="O3872" s="14" t="n">
        <v>735430.3645404892</v>
      </c>
      <c r="P3872" s="14" t="n">
        <v>22172.19685656977</v>
      </c>
      <c r="Q3872" s="14" t="n">
        <v>5549329.268858008</v>
      </c>
      <c r="R3872" s="15">
        <f>IF(D3872=1,"Section 1","Control")</f>
        <v/>
      </c>
      <c r="S3872" s="16">
        <f>N3872/10000</f>
        <v/>
      </c>
      <c r="T3872" s="16">
        <f>P3872/10000</f>
        <v/>
      </c>
      <c r="U3872" s="15">
        <f>IF(N3872&gt;=Summary!$D$3,1,0)</f>
        <v/>
      </c>
      <c r="V3872" s="17">
        <f>IF(N3872&gt;0,P3872/N3872,"")</f>
        <v/>
      </c>
      <c r="W3872" s="17">
        <f>IF(O3872&gt;0,H3872/O3872,"")</f>
        <v/>
      </c>
    </row>
    <row r="3873">
      <c r="A3873" s="13" t="inlineStr">
        <is>
          <t>CW48_B2</t>
        </is>
      </c>
      <c r="B3873" s="13" t="inlineStr">
        <is>
          <t>CW48</t>
        </is>
      </c>
      <c r="C3873" s="13" t="inlineStr">
        <is>
          <t>B2</t>
        </is>
      </c>
      <c r="D3873" s="13" t="n">
        <v>0</v>
      </c>
      <c r="E3873" s="13" t="inlineStr">
        <is>
          <t>W</t>
        </is>
      </c>
      <c r="F3873" s="13" t="n">
        <v>2020</v>
      </c>
      <c r="G3873" s="14" t="n">
        <v>1000964.175549735</v>
      </c>
      <c r="H3873" s="14" t="n">
        <v>99407.1914402382</v>
      </c>
      <c r="I3873" s="14" t="n">
        <v>197.4512481689453</v>
      </c>
      <c r="J3873" s="14" t="n">
        <v>0</v>
      </c>
      <c r="K3873" s="14" t="n">
        <v>19107.12893383549</v>
      </c>
      <c r="L3873" s="14" t="n">
        <v>882252.4039274922</v>
      </c>
      <c r="M3873" s="14" t="n">
        <v>0</v>
      </c>
      <c r="N3873" s="14" t="n">
        <v>99407.1914402382</v>
      </c>
      <c r="O3873" s="14" t="n">
        <v>118711.7716222426</v>
      </c>
      <c r="P3873" s="14" t="n">
        <v>0</v>
      </c>
      <c r="Q3873" s="14" t="n">
        <v>946761.5900191362</v>
      </c>
      <c r="R3873" s="15">
        <f>IF(D3873=1,"Section 1","Control")</f>
        <v/>
      </c>
      <c r="S3873" s="16">
        <f>N3873/10000</f>
        <v/>
      </c>
      <c r="T3873" s="16">
        <f>P3873/10000</f>
        <v/>
      </c>
      <c r="U3873" s="15">
        <f>IF(N3873&gt;=Summary!$D$3,1,0)</f>
        <v/>
      </c>
      <c r="V3873" s="17">
        <f>IF(N3873&gt;0,P3873/N3873,"")</f>
        <v/>
      </c>
      <c r="W3873" s="17">
        <f>IF(O3873&gt;0,H3873/O3873,"")</f>
        <v/>
      </c>
    </row>
    <row r="3874">
      <c r="A3874" s="13" t="inlineStr">
        <is>
          <t>CW48_B2</t>
        </is>
      </c>
      <c r="B3874" s="13" t="inlineStr">
        <is>
          <t>CW48</t>
        </is>
      </c>
      <c r="C3874" s="13" t="inlineStr">
        <is>
          <t>B2</t>
        </is>
      </c>
      <c r="D3874" s="13" t="n">
        <v>0</v>
      </c>
      <c r="E3874" s="13" t="inlineStr">
        <is>
          <t>W</t>
        </is>
      </c>
      <c r="F3874" s="13" t="n">
        <v>2021</v>
      </c>
      <c r="G3874" s="14" t="n">
        <v>1000964.175549735</v>
      </c>
      <c r="H3874" s="14" t="n">
        <v>95331.16559642716</v>
      </c>
      <c r="I3874" s="14" t="n">
        <v>789.8050384521484</v>
      </c>
      <c r="J3874" s="14" t="n">
        <v>0</v>
      </c>
      <c r="K3874" s="14" t="n">
        <v>27573.16089767756</v>
      </c>
      <c r="L3874" s="14" t="n">
        <v>877270.044017178</v>
      </c>
      <c r="M3874" s="14" t="n">
        <v>0</v>
      </c>
      <c r="N3874" s="14" t="n">
        <v>99407.1914402382</v>
      </c>
      <c r="O3874" s="14" t="n">
        <v>118711.7716222426</v>
      </c>
      <c r="P3874" s="14" t="n">
        <v>4076.025843811035</v>
      </c>
      <c r="Q3874" s="14" t="n">
        <v>946761.5900191362</v>
      </c>
      <c r="R3874" s="15">
        <f>IF(D3874=1,"Section 1","Control")</f>
        <v/>
      </c>
      <c r="S3874" s="16">
        <f>N3874/10000</f>
        <v/>
      </c>
      <c r="T3874" s="16">
        <f>P3874/10000</f>
        <v/>
      </c>
      <c r="U3874" s="15">
        <f>IF(N3874&gt;=Summary!$D$3,1,0)</f>
        <v/>
      </c>
      <c r="V3874" s="17">
        <f>IF(N3874&gt;0,P3874/N3874,"")</f>
        <v/>
      </c>
      <c r="W3874" s="17">
        <f>IF(O3874&gt;0,H3874/O3874,"")</f>
        <v/>
      </c>
    </row>
    <row r="3875">
      <c r="A3875" s="13" t="inlineStr">
        <is>
          <t>CW48_B2</t>
        </is>
      </c>
      <c r="B3875" s="13" t="inlineStr">
        <is>
          <t>CW48</t>
        </is>
      </c>
      <c r="C3875" s="13" t="inlineStr">
        <is>
          <t>B2</t>
        </is>
      </c>
      <c r="D3875" s="13" t="n">
        <v>0</v>
      </c>
      <c r="E3875" s="13" t="inlineStr">
        <is>
          <t>W</t>
        </is>
      </c>
      <c r="F3875" s="13" t="n">
        <v>2022</v>
      </c>
      <c r="G3875" s="14" t="n">
        <v>1000964.175549735</v>
      </c>
      <c r="H3875" s="14" t="n">
        <v>93534.36000713274</v>
      </c>
      <c r="I3875" s="14" t="n">
        <v>908.2776885986328</v>
      </c>
      <c r="J3875" s="14" t="n">
        <v>0</v>
      </c>
      <c r="K3875" s="14" t="n">
        <v>31228.34732609169</v>
      </c>
      <c r="L3875" s="14" t="n">
        <v>875293.1905279119</v>
      </c>
      <c r="M3875" s="14" t="n">
        <v>0</v>
      </c>
      <c r="N3875" s="14" t="n">
        <v>99407.1914402382</v>
      </c>
      <c r="O3875" s="14" t="n">
        <v>118711.7716222426</v>
      </c>
      <c r="P3875" s="14" t="n">
        <v>5971.557637023925</v>
      </c>
      <c r="Q3875" s="14" t="n">
        <v>946761.5900191362</v>
      </c>
      <c r="R3875" s="15">
        <f>IF(D3875=1,"Section 1","Control")</f>
        <v/>
      </c>
      <c r="S3875" s="16">
        <f>N3875/10000</f>
        <v/>
      </c>
      <c r="T3875" s="16">
        <f>P3875/10000</f>
        <v/>
      </c>
      <c r="U3875" s="15">
        <f>IF(N3875&gt;=Summary!$D$3,1,0)</f>
        <v/>
      </c>
      <c r="V3875" s="17">
        <f>IF(N3875&gt;0,P3875/N3875,"")</f>
        <v/>
      </c>
      <c r="W3875" s="17">
        <f>IF(O3875&gt;0,H3875/O3875,"")</f>
        <v/>
      </c>
    </row>
    <row r="3876">
      <c r="A3876" s="13" t="inlineStr">
        <is>
          <t>CW48_B2</t>
        </is>
      </c>
      <c r="B3876" s="13" t="inlineStr">
        <is>
          <t>CW48</t>
        </is>
      </c>
      <c r="C3876" s="13" t="inlineStr">
        <is>
          <t>B2</t>
        </is>
      </c>
      <c r="D3876" s="13" t="n">
        <v>0</v>
      </c>
      <c r="E3876" s="13" t="inlineStr">
        <is>
          <t>W</t>
        </is>
      </c>
      <c r="F3876" s="13" t="n">
        <v>2023</v>
      </c>
      <c r="G3876" s="14" t="n">
        <v>1000964.175549735</v>
      </c>
      <c r="H3876" s="14" t="n">
        <v>93534.35930522844</v>
      </c>
      <c r="I3876" s="14" t="n">
        <v>513.3759170532227</v>
      </c>
      <c r="J3876" s="14" t="n">
        <v>0</v>
      </c>
      <c r="K3876" s="14" t="n">
        <v>17654.11816316492</v>
      </c>
      <c r="L3876" s="14" t="n">
        <v>889262.3221642884</v>
      </c>
      <c r="M3876" s="14" t="n">
        <v>0</v>
      </c>
      <c r="N3876" s="14" t="n">
        <v>99407.1914402382</v>
      </c>
      <c r="O3876" s="14" t="n">
        <v>118711.7716222426</v>
      </c>
      <c r="P3876" s="14" t="n">
        <v>5971.558323669433</v>
      </c>
      <c r="Q3876" s="14" t="n">
        <v>946761.5900191364</v>
      </c>
      <c r="R3876" s="15">
        <f>IF(D3876=1,"Section 1","Control")</f>
        <v/>
      </c>
      <c r="S3876" s="16">
        <f>N3876/10000</f>
        <v/>
      </c>
      <c r="T3876" s="16">
        <f>P3876/10000</f>
        <v/>
      </c>
      <c r="U3876" s="15">
        <f>IF(N3876&gt;=Summary!$D$3,1,0)</f>
        <v/>
      </c>
      <c r="V3876" s="17">
        <f>IF(N3876&gt;0,P3876/N3876,"")</f>
        <v/>
      </c>
      <c r="W3876" s="17">
        <f>IF(O3876&gt;0,H3876/O3876,"")</f>
        <v/>
      </c>
    </row>
    <row r="3877">
      <c r="A3877" s="13" t="inlineStr">
        <is>
          <t>CW48_B2</t>
        </is>
      </c>
      <c r="B3877" s="13" t="inlineStr">
        <is>
          <t>CW48</t>
        </is>
      </c>
      <c r="C3877" s="13" t="inlineStr">
        <is>
          <t>B2</t>
        </is>
      </c>
      <c r="D3877" s="13" t="n">
        <v>0</v>
      </c>
      <c r="E3877" s="13" t="inlineStr">
        <is>
          <t>W</t>
        </is>
      </c>
      <c r="F3877" s="13" t="n">
        <v>2024</v>
      </c>
      <c r="G3877" s="14" t="n">
        <v>1000964.175549735</v>
      </c>
      <c r="H3877" s="14" t="n">
        <v>93830.53742870256</v>
      </c>
      <c r="I3877" s="14" t="n">
        <v>513.3765426635742</v>
      </c>
      <c r="J3877" s="14" t="n">
        <v>0</v>
      </c>
      <c r="K3877" s="14" t="n">
        <v>26866.98051198324</v>
      </c>
      <c r="L3877" s="14" t="n">
        <v>879753.2810663856</v>
      </c>
      <c r="M3877" s="14" t="n">
        <v>0</v>
      </c>
      <c r="N3877" s="14" t="n">
        <v>99407.1914402382</v>
      </c>
      <c r="O3877" s="14" t="n">
        <v>118711.7716222426</v>
      </c>
      <c r="P3877" s="14" t="n">
        <v>5774.106419372558</v>
      </c>
      <c r="Q3877" s="14" t="n">
        <v>946761.5900191364</v>
      </c>
      <c r="R3877" s="15">
        <f>IF(D3877=1,"Section 1","Control")</f>
        <v/>
      </c>
      <c r="S3877" s="16">
        <f>N3877/10000</f>
        <v/>
      </c>
      <c r="T3877" s="16">
        <f>P3877/10000</f>
        <v/>
      </c>
      <c r="U3877" s="15">
        <f>IF(N3877&gt;=Summary!$D$3,1,0)</f>
        <v/>
      </c>
      <c r="V3877" s="17">
        <f>IF(N3877&gt;0,P3877/N3877,"")</f>
        <v/>
      </c>
      <c r="W3877" s="17">
        <f>IF(O3877&gt;0,H3877/O3877,"")</f>
        <v/>
      </c>
    </row>
    <row r="3878">
      <c r="A3878" s="13" t="inlineStr">
        <is>
          <t>CW48_B2</t>
        </is>
      </c>
      <c r="B3878" s="13" t="inlineStr">
        <is>
          <t>CW48</t>
        </is>
      </c>
      <c r="C3878" s="13" t="inlineStr">
        <is>
          <t>B2</t>
        </is>
      </c>
      <c r="D3878" s="13" t="n">
        <v>0</v>
      </c>
      <c r="E3878" s="13" t="inlineStr">
        <is>
          <t>W</t>
        </is>
      </c>
      <c r="F3878" s="13" t="n">
        <v>2025</v>
      </c>
      <c r="G3878" s="14" t="n">
        <v>1000964.175549735</v>
      </c>
      <c r="H3878" s="14" t="n">
        <v>92633.43366214528</v>
      </c>
      <c r="I3878" s="14" t="n">
        <v>1513.028389665192</v>
      </c>
      <c r="J3878" s="14" t="n">
        <v>0</v>
      </c>
      <c r="K3878" s="14" t="n">
        <v>22294.23205476649</v>
      </c>
      <c r="L3878" s="14" t="n">
        <v>884523.4814431581</v>
      </c>
      <c r="M3878" s="14" t="n">
        <v>0</v>
      </c>
      <c r="N3878" s="14" t="n">
        <v>99407.1914402382</v>
      </c>
      <c r="O3878" s="14" t="n">
        <v>118711.7716222426</v>
      </c>
      <c r="P3878" s="14" t="n">
        <v>6872.483982011385</v>
      </c>
      <c r="Q3878" s="14" t="n">
        <v>946761.5900191362</v>
      </c>
      <c r="R3878" s="15">
        <f>IF(D3878=1,"Section 1","Control")</f>
        <v/>
      </c>
      <c r="S3878" s="16">
        <f>N3878/10000</f>
        <v/>
      </c>
      <c r="T3878" s="16">
        <f>P3878/10000</f>
        <v/>
      </c>
      <c r="U3878" s="15">
        <f>IF(N3878&gt;=Summary!$D$3,1,0)</f>
        <v/>
      </c>
      <c r="V3878" s="17">
        <f>IF(N3878&gt;0,P3878/N3878,"")</f>
        <v/>
      </c>
      <c r="W3878" s="17">
        <f>IF(O3878&gt;0,H3878/O3878,"")</f>
        <v/>
      </c>
    </row>
    <row r="3879">
      <c r="A3879" s="13" t="inlineStr">
        <is>
          <t>CW48_B2</t>
        </is>
      </c>
      <c r="B3879" s="13" t="inlineStr">
        <is>
          <t>CW48</t>
        </is>
      </c>
      <c r="C3879" s="13" t="inlineStr">
        <is>
          <t>B2</t>
        </is>
      </c>
      <c r="D3879" s="13" t="n">
        <v>0</v>
      </c>
      <c r="E3879" s="13" t="inlineStr">
        <is>
          <t>W</t>
        </is>
      </c>
      <c r="F3879" s="13" t="n">
        <v>2026</v>
      </c>
      <c r="G3879" s="14" t="n">
        <v>1000964.175549735</v>
      </c>
      <c r="H3879" s="14" t="n">
        <v>92073.2139515297</v>
      </c>
      <c r="I3879" s="14" t="n">
        <v>592.356803894043</v>
      </c>
      <c r="J3879" s="14" t="n">
        <v>0</v>
      </c>
      <c r="K3879" s="14" t="n">
        <v>24960.22521984624</v>
      </c>
      <c r="L3879" s="14" t="n">
        <v>883338.3795744649</v>
      </c>
      <c r="M3879" s="14" t="n">
        <v>0</v>
      </c>
      <c r="N3879" s="14" t="n">
        <v>99407.1914402382</v>
      </c>
      <c r="O3879" s="14" t="n">
        <v>118711.7716222426</v>
      </c>
      <c r="P3879" s="14" t="n">
        <v>7333.977488708497</v>
      </c>
      <c r="Q3879" s="14" t="n">
        <v>946761.5900191362</v>
      </c>
      <c r="R3879" s="15">
        <f>IF(D3879=1,"Section 1","Control")</f>
        <v/>
      </c>
      <c r="S3879" s="16">
        <f>N3879/10000</f>
        <v/>
      </c>
      <c r="T3879" s="16">
        <f>P3879/10000</f>
        <v/>
      </c>
      <c r="U3879" s="15">
        <f>IF(N3879&gt;=Summary!$D$3,1,0)</f>
        <v/>
      </c>
      <c r="V3879" s="17">
        <f>IF(N3879&gt;0,P3879/N3879,"")</f>
        <v/>
      </c>
      <c r="W3879" s="17">
        <f>IF(O3879&gt;0,H3879/O3879,"")</f>
        <v/>
      </c>
    </row>
    <row r="3880">
      <c r="A3880" s="13" t="inlineStr">
        <is>
          <t>CW48_B3</t>
        </is>
      </c>
      <c r="B3880" s="13" t="inlineStr">
        <is>
          <t>CW48</t>
        </is>
      </c>
      <c r="C3880" s="13" t="inlineStr">
        <is>
          <t>B3</t>
        </is>
      </c>
      <c r="D3880" s="13" t="n">
        <v>0</v>
      </c>
      <c r="E3880" s="13" t="inlineStr">
        <is>
          <t>W</t>
        </is>
      </c>
      <c r="F3880" s="13" t="n">
        <v>2020</v>
      </c>
      <c r="G3880" s="14" t="n">
        <v>8008891.34157233</v>
      </c>
      <c r="H3880" s="14" t="n">
        <v>3306969.646370741</v>
      </c>
      <c r="I3880" s="14" t="n">
        <v>136436.8220003016</v>
      </c>
      <c r="J3880" s="14" t="n">
        <v>0</v>
      </c>
      <c r="K3880" s="14" t="n">
        <v>379823.5074631934</v>
      </c>
      <c r="L3880" s="14" t="n">
        <v>4185661.365738094</v>
      </c>
      <c r="M3880" s="14" t="n">
        <v>0</v>
      </c>
      <c r="N3880" s="14" t="n">
        <v>3306969.646370741</v>
      </c>
      <c r="O3880" s="14" t="n">
        <v>3823229.975834237</v>
      </c>
      <c r="P3880" s="14" t="n">
        <v>0</v>
      </c>
      <c r="Q3880" s="14" t="n">
        <v>22491745.4054242</v>
      </c>
      <c r="R3880" s="15">
        <f>IF(D3880=1,"Section 1","Control")</f>
        <v/>
      </c>
      <c r="S3880" s="16">
        <f>N3880/10000</f>
        <v/>
      </c>
      <c r="T3880" s="16">
        <f>P3880/10000</f>
        <v/>
      </c>
      <c r="U3880" s="15">
        <f>IF(N3880&gt;=Summary!$D$3,1,0)</f>
        <v/>
      </c>
      <c r="V3880" s="17">
        <f>IF(N3880&gt;0,P3880/N3880,"")</f>
        <v/>
      </c>
      <c r="W3880" s="17">
        <f>IF(O3880&gt;0,H3880/O3880,"")</f>
        <v/>
      </c>
    </row>
    <row r="3881">
      <c r="A3881" s="13" t="inlineStr">
        <is>
          <t>CW48_B3</t>
        </is>
      </c>
      <c r="B3881" s="13" t="inlineStr">
        <is>
          <t>CW48</t>
        </is>
      </c>
      <c r="C3881" s="13" t="inlineStr">
        <is>
          <t>B3</t>
        </is>
      </c>
      <c r="D3881" s="13" t="n">
        <v>0</v>
      </c>
      <c r="E3881" s="13" t="inlineStr">
        <is>
          <t>W</t>
        </is>
      </c>
      <c r="F3881" s="13" t="n">
        <v>2021</v>
      </c>
      <c r="G3881" s="14" t="n">
        <v>8008891.34157233</v>
      </c>
      <c r="H3881" s="14" t="n">
        <v>3152690.178555986</v>
      </c>
      <c r="I3881" s="14" t="n">
        <v>151491.8072081323</v>
      </c>
      <c r="J3881" s="14" t="n">
        <v>0</v>
      </c>
      <c r="K3881" s="14" t="n">
        <v>598714.212205984</v>
      </c>
      <c r="L3881" s="14" t="n">
        <v>4105995.14360223</v>
      </c>
      <c r="M3881" s="14" t="n">
        <v>0</v>
      </c>
      <c r="N3881" s="14" t="n">
        <v>3306969.646370741</v>
      </c>
      <c r="O3881" s="14" t="n">
        <v>3823229.975834237</v>
      </c>
      <c r="P3881" s="14" t="n">
        <v>201927.6140105902</v>
      </c>
      <c r="Q3881" s="14" t="n">
        <v>22491745.4054242</v>
      </c>
      <c r="R3881" s="15">
        <f>IF(D3881=1,"Section 1","Control")</f>
        <v/>
      </c>
      <c r="S3881" s="16">
        <f>N3881/10000</f>
        <v/>
      </c>
      <c r="T3881" s="16">
        <f>P3881/10000</f>
        <v/>
      </c>
      <c r="U3881" s="15">
        <f>IF(N3881&gt;=Summary!$D$3,1,0)</f>
        <v/>
      </c>
      <c r="V3881" s="17">
        <f>IF(N3881&gt;0,P3881/N3881,"")</f>
        <v/>
      </c>
      <c r="W3881" s="17">
        <f>IF(O3881&gt;0,H3881/O3881,"")</f>
        <v/>
      </c>
    </row>
    <row r="3882">
      <c r="A3882" s="13" t="inlineStr">
        <is>
          <t>CW48_B3</t>
        </is>
      </c>
      <c r="B3882" s="13" t="inlineStr">
        <is>
          <t>CW48</t>
        </is>
      </c>
      <c r="C3882" s="13" t="inlineStr">
        <is>
          <t>B3</t>
        </is>
      </c>
      <c r="D3882" s="13" t="n">
        <v>0</v>
      </c>
      <c r="E3882" s="13" t="inlineStr">
        <is>
          <t>W</t>
        </is>
      </c>
      <c r="F3882" s="13" t="n">
        <v>2022</v>
      </c>
      <c r="G3882" s="14" t="n">
        <v>8008891.34157233</v>
      </c>
      <c r="H3882" s="14" t="n">
        <v>3082659.555566706</v>
      </c>
      <c r="I3882" s="14" t="n">
        <v>213068.5582895017</v>
      </c>
      <c r="J3882" s="14" t="n">
        <v>0</v>
      </c>
      <c r="K3882" s="14" t="n">
        <v>568658.6383374084</v>
      </c>
      <c r="L3882" s="14" t="n">
        <v>4144504.589378716</v>
      </c>
      <c r="M3882" s="14" t="n">
        <v>0</v>
      </c>
      <c r="N3882" s="14" t="n">
        <v>3306969.646370741</v>
      </c>
      <c r="O3882" s="14" t="n">
        <v>3823229.975834237</v>
      </c>
      <c r="P3882" s="14" t="n">
        <v>264559.0068449731</v>
      </c>
      <c r="Q3882" s="14" t="n">
        <v>22491745.4054242</v>
      </c>
      <c r="R3882" s="15">
        <f>IF(D3882=1,"Section 1","Control")</f>
        <v/>
      </c>
      <c r="S3882" s="16">
        <f>N3882/10000</f>
        <v/>
      </c>
      <c r="T3882" s="16">
        <f>P3882/10000</f>
        <v/>
      </c>
      <c r="U3882" s="15">
        <f>IF(N3882&gt;=Summary!$D$3,1,0)</f>
        <v/>
      </c>
      <c r="V3882" s="17">
        <f>IF(N3882&gt;0,P3882/N3882,"")</f>
        <v/>
      </c>
      <c r="W3882" s="17">
        <f>IF(O3882&gt;0,H3882/O3882,"")</f>
        <v/>
      </c>
    </row>
    <row r="3883">
      <c r="A3883" s="13" t="inlineStr">
        <is>
          <t>CW48_B3</t>
        </is>
      </c>
      <c r="B3883" s="13" t="inlineStr">
        <is>
          <t>CW48</t>
        </is>
      </c>
      <c r="C3883" s="13" t="inlineStr">
        <is>
          <t>B3</t>
        </is>
      </c>
      <c r="D3883" s="13" t="n">
        <v>0</v>
      </c>
      <c r="E3883" s="13" t="inlineStr">
        <is>
          <t>W</t>
        </is>
      </c>
      <c r="F3883" s="13" t="n">
        <v>2023</v>
      </c>
      <c r="G3883" s="14" t="n">
        <v>8008891.341572329</v>
      </c>
      <c r="H3883" s="14" t="n">
        <v>3100640.635318682</v>
      </c>
      <c r="I3883" s="14" t="n">
        <v>194643.0926316206</v>
      </c>
      <c r="J3883" s="14" t="n">
        <v>0</v>
      </c>
      <c r="K3883" s="14" t="n">
        <v>492685.8119689942</v>
      </c>
      <c r="L3883" s="14" t="n">
        <v>4220921.801653036</v>
      </c>
      <c r="M3883" s="14" t="n">
        <v>0</v>
      </c>
      <c r="N3883" s="14" t="n">
        <v>3306969.646370741</v>
      </c>
      <c r="O3883" s="14" t="n">
        <v>3823229.975834237</v>
      </c>
      <c r="P3883" s="14" t="n">
        <v>253816.6418788237</v>
      </c>
      <c r="Q3883" s="14" t="n">
        <v>22491745.4054242</v>
      </c>
      <c r="R3883" s="15">
        <f>IF(D3883=1,"Section 1","Control")</f>
        <v/>
      </c>
      <c r="S3883" s="16">
        <f>N3883/10000</f>
        <v/>
      </c>
      <c r="T3883" s="16">
        <f>P3883/10000</f>
        <v/>
      </c>
      <c r="U3883" s="15">
        <f>IF(N3883&gt;=Summary!$D$3,1,0)</f>
        <v/>
      </c>
      <c r="V3883" s="17">
        <f>IF(N3883&gt;0,P3883/N3883,"")</f>
        <v/>
      </c>
      <c r="W3883" s="17">
        <f>IF(O3883&gt;0,H3883/O3883,"")</f>
        <v/>
      </c>
    </row>
    <row r="3884">
      <c r="A3884" s="13" t="inlineStr">
        <is>
          <t>CW48_B3</t>
        </is>
      </c>
      <c r="B3884" s="13" t="inlineStr">
        <is>
          <t>CW48</t>
        </is>
      </c>
      <c r="C3884" s="13" t="inlineStr">
        <is>
          <t>B3</t>
        </is>
      </c>
      <c r="D3884" s="13" t="n">
        <v>0</v>
      </c>
      <c r="E3884" s="13" t="inlineStr">
        <is>
          <t>W</t>
        </is>
      </c>
      <c r="F3884" s="13" t="n">
        <v>2024</v>
      </c>
      <c r="G3884" s="14" t="n">
        <v>8008891.34157233</v>
      </c>
      <c r="H3884" s="14" t="n">
        <v>3129830.382004742</v>
      </c>
      <c r="I3884" s="14" t="n">
        <v>160944.6247458365</v>
      </c>
      <c r="J3884" s="14" t="n">
        <v>0</v>
      </c>
      <c r="K3884" s="14" t="n">
        <v>560525.3808402567</v>
      </c>
      <c r="L3884" s="14" t="n">
        <v>4157590.953981497</v>
      </c>
      <c r="M3884" s="14" t="n">
        <v>0</v>
      </c>
      <c r="N3884" s="14" t="n">
        <v>3306969.646370741</v>
      </c>
      <c r="O3884" s="14" t="n">
        <v>3823229.975834237</v>
      </c>
      <c r="P3884" s="14" t="n">
        <v>247121.8986698525</v>
      </c>
      <c r="Q3884" s="14" t="n">
        <v>22491745.4054242</v>
      </c>
      <c r="R3884" s="15">
        <f>IF(D3884=1,"Section 1","Control")</f>
        <v/>
      </c>
      <c r="S3884" s="16">
        <f>N3884/10000</f>
        <v/>
      </c>
      <c r="T3884" s="16">
        <f>P3884/10000</f>
        <v/>
      </c>
      <c r="U3884" s="15">
        <f>IF(N3884&gt;=Summary!$D$3,1,0)</f>
        <v/>
      </c>
      <c r="V3884" s="17">
        <f>IF(N3884&gt;0,P3884/N3884,"")</f>
        <v/>
      </c>
      <c r="W3884" s="17">
        <f>IF(O3884&gt;0,H3884/O3884,"")</f>
        <v/>
      </c>
    </row>
    <row r="3885">
      <c r="A3885" s="13" t="inlineStr">
        <is>
          <t>CW48_B3</t>
        </is>
      </c>
      <c r="B3885" s="13" t="inlineStr">
        <is>
          <t>CW48</t>
        </is>
      </c>
      <c r="C3885" s="13" t="inlineStr">
        <is>
          <t>B3</t>
        </is>
      </c>
      <c r="D3885" s="13" t="n">
        <v>0</v>
      </c>
      <c r="E3885" s="13" t="inlineStr">
        <is>
          <t>W</t>
        </is>
      </c>
      <c r="F3885" s="13" t="n">
        <v>2025</v>
      </c>
      <c r="G3885" s="14" t="n">
        <v>8008891.34157233</v>
      </c>
      <c r="H3885" s="14" t="n">
        <v>3143779.480466326</v>
      </c>
      <c r="I3885" s="14" t="n">
        <v>143350.1870386759</v>
      </c>
      <c r="J3885" s="14" t="n">
        <v>0</v>
      </c>
      <c r="K3885" s="14" t="n">
        <v>520382.818603755</v>
      </c>
      <c r="L3885" s="14" t="n">
        <v>4201378.855463574</v>
      </c>
      <c r="M3885" s="14" t="n">
        <v>0</v>
      </c>
      <c r="N3885" s="14" t="n">
        <v>3306969.646370741</v>
      </c>
      <c r="O3885" s="14" t="n">
        <v>3823229.975834237</v>
      </c>
      <c r="P3885" s="14" t="n">
        <v>233905.2893975052</v>
      </c>
      <c r="Q3885" s="14" t="n">
        <v>22491745.4054242</v>
      </c>
      <c r="R3885" s="15">
        <f>IF(D3885=1,"Section 1","Control")</f>
        <v/>
      </c>
      <c r="S3885" s="16">
        <f>N3885/10000</f>
        <v/>
      </c>
      <c r="T3885" s="16">
        <f>P3885/10000</f>
        <v/>
      </c>
      <c r="U3885" s="15">
        <f>IF(N3885&gt;=Summary!$D$3,1,0)</f>
        <v/>
      </c>
      <c r="V3885" s="17">
        <f>IF(N3885&gt;0,P3885/N3885,"")</f>
        <v/>
      </c>
      <c r="W3885" s="17">
        <f>IF(O3885&gt;0,H3885/O3885,"")</f>
        <v/>
      </c>
    </row>
    <row r="3886">
      <c r="A3886" s="13" t="inlineStr">
        <is>
          <t>CW48_B3</t>
        </is>
      </c>
      <c r="B3886" s="13" t="inlineStr">
        <is>
          <t>CW48</t>
        </is>
      </c>
      <c r="C3886" s="13" t="inlineStr">
        <is>
          <t>B3</t>
        </is>
      </c>
      <c r="D3886" s="13" t="n">
        <v>0</v>
      </c>
      <c r="E3886" s="13" t="inlineStr">
        <is>
          <t>W</t>
        </is>
      </c>
      <c r="F3886" s="13" t="n">
        <v>2026</v>
      </c>
      <c r="G3886" s="14" t="n">
        <v>8008891.34157233</v>
      </c>
      <c r="H3886" s="14" t="n">
        <v>3112227.764899161</v>
      </c>
      <c r="I3886" s="14" t="n">
        <v>122530.9770411772</v>
      </c>
      <c r="J3886" s="14" t="n">
        <v>0</v>
      </c>
      <c r="K3886" s="14" t="n">
        <v>561893.7939074348</v>
      </c>
      <c r="L3886" s="14" t="n">
        <v>4212238.805724558</v>
      </c>
      <c r="M3886" s="14" t="n">
        <v>0</v>
      </c>
      <c r="N3886" s="14" t="n">
        <v>3306969.646370741</v>
      </c>
      <c r="O3886" s="14" t="n">
        <v>3823229.975834237</v>
      </c>
      <c r="P3886" s="14" t="n">
        <v>276122.0952685487</v>
      </c>
      <c r="Q3886" s="14" t="n">
        <v>22491745.4054242</v>
      </c>
      <c r="R3886" s="15">
        <f>IF(D3886=1,"Section 1","Control")</f>
        <v/>
      </c>
      <c r="S3886" s="16">
        <f>N3886/10000</f>
        <v/>
      </c>
      <c r="T3886" s="16">
        <f>P3886/10000</f>
        <v/>
      </c>
      <c r="U3886" s="15">
        <f>IF(N3886&gt;=Summary!$D$3,1,0)</f>
        <v/>
      </c>
      <c r="V3886" s="17">
        <f>IF(N3886&gt;0,P3886/N3886,"")</f>
        <v/>
      </c>
      <c r="W3886" s="17">
        <f>IF(O3886&gt;0,H3886/O3886,"")</f>
        <v/>
      </c>
    </row>
    <row r="3887">
      <c r="A3887" s="13" t="inlineStr">
        <is>
          <t>CW48_F</t>
        </is>
      </c>
      <c r="B3887" s="13" t="inlineStr">
        <is>
          <t>CW48</t>
        </is>
      </c>
      <c r="C3887" s="13" t="inlineStr">
        <is>
          <t>F</t>
        </is>
      </c>
      <c r="D3887" s="13" t="n">
        <v>0</v>
      </c>
      <c r="E3887" s="13" t="inlineStr">
        <is>
          <t>W</t>
        </is>
      </c>
      <c r="F3887" s="13" t="n">
        <v>2020</v>
      </c>
      <c r="G3887" s="14" t="n">
        <v>69565.56787827429</v>
      </c>
      <c r="H3887" s="14" t="n">
        <v>40135.93233107024</v>
      </c>
      <c r="I3887" s="14" t="n">
        <v>23614.79178574506</v>
      </c>
      <c r="J3887" s="14" t="n">
        <v>0</v>
      </c>
      <c r="K3887" s="14" t="n">
        <v>5814.843761459051</v>
      </c>
      <c r="L3887" s="14" t="n">
        <v>0</v>
      </c>
      <c r="M3887" s="14" t="n">
        <v>0</v>
      </c>
      <c r="N3887" s="14" t="n">
        <v>40135.93233107024</v>
      </c>
      <c r="O3887" s="14" t="n">
        <v>69565.56787827429</v>
      </c>
      <c r="P3887" s="14" t="n">
        <v>0</v>
      </c>
      <c r="Q3887" s="14" t="n">
        <v>766965.8386863562</v>
      </c>
      <c r="R3887" s="15">
        <f>IF(D3887=1,"Section 1","Control")</f>
        <v/>
      </c>
      <c r="S3887" s="16">
        <f>N3887/10000</f>
        <v/>
      </c>
      <c r="T3887" s="16">
        <f>P3887/10000</f>
        <v/>
      </c>
      <c r="U3887" s="15">
        <f>IF(N3887&gt;=Summary!$D$3,1,0)</f>
        <v/>
      </c>
      <c r="V3887" s="17">
        <f>IF(N3887&gt;0,P3887/N3887,"")</f>
        <v/>
      </c>
      <c r="W3887" s="17">
        <f>IF(O3887&gt;0,H3887/O3887,"")</f>
        <v/>
      </c>
    </row>
    <row r="3888">
      <c r="A3888" s="13" t="inlineStr">
        <is>
          <t>CW48_F</t>
        </is>
      </c>
      <c r="B3888" s="13" t="inlineStr">
        <is>
          <t>CW48</t>
        </is>
      </c>
      <c r="C3888" s="13" t="inlineStr">
        <is>
          <t>F</t>
        </is>
      </c>
      <c r="D3888" s="13" t="n">
        <v>0</v>
      </c>
      <c r="E3888" s="13" t="inlineStr">
        <is>
          <t>W</t>
        </is>
      </c>
      <c r="F3888" s="13" t="n">
        <v>2021</v>
      </c>
      <c r="G3888" s="14" t="n">
        <v>69565.56787827429</v>
      </c>
      <c r="H3888" s="14" t="n">
        <v>31493.22941939411</v>
      </c>
      <c r="I3888" s="14" t="n">
        <v>25079.43972194895</v>
      </c>
      <c r="J3888" s="14" t="n">
        <v>0</v>
      </c>
      <c r="K3888" s="14" t="n">
        <v>12992.8987369313</v>
      </c>
      <c r="L3888" s="14" t="n">
        <v>0</v>
      </c>
      <c r="M3888" s="14" t="n">
        <v>0</v>
      </c>
      <c r="N3888" s="14" t="n">
        <v>40135.93233107024</v>
      </c>
      <c r="O3888" s="14" t="n">
        <v>69565.56787827429</v>
      </c>
      <c r="P3888" s="14" t="n">
        <v>10194.07601363238</v>
      </c>
      <c r="Q3888" s="14" t="n">
        <v>766965.8386863562</v>
      </c>
      <c r="R3888" s="15">
        <f>IF(D3888=1,"Section 1","Control")</f>
        <v/>
      </c>
      <c r="S3888" s="16">
        <f>N3888/10000</f>
        <v/>
      </c>
      <c r="T3888" s="16">
        <f>P3888/10000</f>
        <v/>
      </c>
      <c r="U3888" s="15">
        <f>IF(N3888&gt;=Summary!$D$3,1,0)</f>
        <v/>
      </c>
      <c r="V3888" s="17">
        <f>IF(N3888&gt;0,P3888/N3888,"")</f>
        <v/>
      </c>
      <c r="W3888" s="17">
        <f>IF(O3888&gt;0,H3888/O3888,"")</f>
        <v/>
      </c>
    </row>
    <row r="3889">
      <c r="A3889" s="13" t="inlineStr">
        <is>
          <t>CW48_F</t>
        </is>
      </c>
      <c r="B3889" s="13" t="inlineStr">
        <is>
          <t>CW48</t>
        </is>
      </c>
      <c r="C3889" s="13" t="inlineStr">
        <is>
          <t>F</t>
        </is>
      </c>
      <c r="D3889" s="13" t="n">
        <v>0</v>
      </c>
      <c r="E3889" s="13" t="inlineStr">
        <is>
          <t>W</t>
        </is>
      </c>
      <c r="F3889" s="13" t="n">
        <v>2022</v>
      </c>
      <c r="G3889" s="14" t="n">
        <v>69565.56787827429</v>
      </c>
      <c r="H3889" s="14" t="n">
        <v>36828.37339944278</v>
      </c>
      <c r="I3889" s="14" t="n">
        <v>22104.84584904091</v>
      </c>
      <c r="J3889" s="14" t="n">
        <v>0</v>
      </c>
      <c r="K3889" s="14" t="n">
        <v>10632.34862979066</v>
      </c>
      <c r="L3889" s="14" t="n">
        <v>0</v>
      </c>
      <c r="M3889" s="14" t="n">
        <v>0</v>
      </c>
      <c r="N3889" s="14" t="n">
        <v>40135.93233107024</v>
      </c>
      <c r="O3889" s="14" t="n">
        <v>69565.56787827429</v>
      </c>
      <c r="P3889" s="14" t="n">
        <v>8268.70079016592</v>
      </c>
      <c r="Q3889" s="14" t="n">
        <v>766965.8386863562</v>
      </c>
      <c r="R3889" s="15">
        <f>IF(D3889=1,"Section 1","Control")</f>
        <v/>
      </c>
      <c r="S3889" s="16">
        <f>N3889/10000</f>
        <v/>
      </c>
      <c r="T3889" s="16">
        <f>P3889/10000</f>
        <v/>
      </c>
      <c r="U3889" s="15">
        <f>IF(N3889&gt;=Summary!$D$3,1,0)</f>
        <v/>
      </c>
      <c r="V3889" s="17">
        <f>IF(N3889&gt;0,P3889/N3889,"")</f>
        <v/>
      </c>
      <c r="W3889" s="17">
        <f>IF(O3889&gt;0,H3889/O3889,"")</f>
        <v/>
      </c>
    </row>
    <row r="3890">
      <c r="A3890" s="13" t="inlineStr">
        <is>
          <t>CW48_F</t>
        </is>
      </c>
      <c r="B3890" s="13" t="inlineStr">
        <is>
          <t>CW48</t>
        </is>
      </c>
      <c r="C3890" s="13" t="inlineStr">
        <is>
          <t>F</t>
        </is>
      </c>
      <c r="D3890" s="13" t="n">
        <v>0</v>
      </c>
      <c r="E3890" s="13" t="inlineStr">
        <is>
          <t>W</t>
        </is>
      </c>
      <c r="F3890" s="13" t="n">
        <v>2023</v>
      </c>
      <c r="G3890" s="14" t="n">
        <v>69565.56787827429</v>
      </c>
      <c r="H3890" s="14" t="n">
        <v>34483.69703503777</v>
      </c>
      <c r="I3890" s="14" t="n">
        <v>24501.78929021499</v>
      </c>
      <c r="J3890" s="14" t="n">
        <v>0</v>
      </c>
      <c r="K3890" s="14" t="n">
        <v>10580.0815530216</v>
      </c>
      <c r="L3890" s="14" t="n">
        <v>0</v>
      </c>
      <c r="M3890" s="14" t="n">
        <v>0</v>
      </c>
      <c r="N3890" s="14" t="n">
        <v>40135.93233107024</v>
      </c>
      <c r="O3890" s="14" t="n">
        <v>69565.56787827429</v>
      </c>
      <c r="P3890" s="14" t="n">
        <v>9306.692856134152</v>
      </c>
      <c r="Q3890" s="14" t="n">
        <v>766965.8386863562</v>
      </c>
      <c r="R3890" s="15">
        <f>IF(D3890=1,"Section 1","Control")</f>
        <v/>
      </c>
      <c r="S3890" s="16">
        <f>N3890/10000</f>
        <v/>
      </c>
      <c r="T3890" s="16">
        <f>P3890/10000</f>
        <v/>
      </c>
      <c r="U3890" s="15">
        <f>IF(N3890&gt;=Summary!$D$3,1,0)</f>
        <v/>
      </c>
      <c r="V3890" s="17">
        <f>IF(N3890&gt;0,P3890/N3890,"")</f>
        <v/>
      </c>
      <c r="W3890" s="17">
        <f>IF(O3890&gt;0,H3890/O3890,"")</f>
        <v/>
      </c>
    </row>
    <row r="3891">
      <c r="A3891" s="13" t="inlineStr">
        <is>
          <t>CW48_F</t>
        </is>
      </c>
      <c r="B3891" s="13" t="inlineStr">
        <is>
          <t>CW48</t>
        </is>
      </c>
      <c r="C3891" s="13" t="inlineStr">
        <is>
          <t>F</t>
        </is>
      </c>
      <c r="D3891" s="13" t="n">
        <v>0</v>
      </c>
      <c r="E3891" s="13" t="inlineStr">
        <is>
          <t>W</t>
        </is>
      </c>
      <c r="F3891" s="13" t="n">
        <v>2024</v>
      </c>
      <c r="G3891" s="14" t="n">
        <v>69565.56787827429</v>
      </c>
      <c r="H3891" s="14" t="n">
        <v>42886.74341236189</v>
      </c>
      <c r="I3891" s="14" t="n">
        <v>14963.95978755577</v>
      </c>
      <c r="J3891" s="14" t="n">
        <v>0</v>
      </c>
      <c r="K3891" s="14" t="n">
        <v>11714.86467835669</v>
      </c>
      <c r="L3891" s="14" t="n">
        <v>0</v>
      </c>
      <c r="M3891" s="14" t="n">
        <v>0</v>
      </c>
      <c r="N3891" s="14" t="n">
        <v>40135.93233107024</v>
      </c>
      <c r="O3891" s="14" t="n">
        <v>69565.56787827429</v>
      </c>
      <c r="P3891" s="14" t="n">
        <v>7755.706609239765</v>
      </c>
      <c r="Q3891" s="14" t="n">
        <v>766965.8386863562</v>
      </c>
      <c r="R3891" s="15">
        <f>IF(D3891=1,"Section 1","Control")</f>
        <v/>
      </c>
      <c r="S3891" s="16">
        <f>N3891/10000</f>
        <v/>
      </c>
      <c r="T3891" s="16">
        <f>P3891/10000</f>
        <v/>
      </c>
      <c r="U3891" s="15">
        <f>IF(N3891&gt;=Summary!$D$3,1,0)</f>
        <v/>
      </c>
      <c r="V3891" s="17">
        <f>IF(N3891&gt;0,P3891/N3891,"")</f>
        <v/>
      </c>
      <c r="W3891" s="17">
        <f>IF(O3891&gt;0,H3891/O3891,"")</f>
        <v/>
      </c>
    </row>
    <row r="3892">
      <c r="A3892" s="13" t="inlineStr">
        <is>
          <t>CW48_F</t>
        </is>
      </c>
      <c r="B3892" s="13" t="inlineStr">
        <is>
          <t>CW48</t>
        </is>
      </c>
      <c r="C3892" s="13" t="inlineStr">
        <is>
          <t>F</t>
        </is>
      </c>
      <c r="D3892" s="13" t="n">
        <v>0</v>
      </c>
      <c r="E3892" s="13" t="inlineStr">
        <is>
          <t>W</t>
        </is>
      </c>
      <c r="F3892" s="13" t="n">
        <v>2025</v>
      </c>
      <c r="G3892" s="14" t="n">
        <v>69565.56787827429</v>
      </c>
      <c r="H3892" s="14" t="n">
        <v>25486.74034453748</v>
      </c>
      <c r="I3892" s="14" t="n">
        <v>38317.41158878101</v>
      </c>
      <c r="J3892" s="14" t="n">
        <v>0</v>
      </c>
      <c r="K3892" s="14" t="n">
        <v>5761.415944955863</v>
      </c>
      <c r="L3892" s="14" t="n">
        <v>0</v>
      </c>
      <c r="M3892" s="14" t="n">
        <v>0</v>
      </c>
      <c r="N3892" s="14" t="n">
        <v>40135.93233107024</v>
      </c>
      <c r="O3892" s="14" t="n">
        <v>69565.56787827429</v>
      </c>
      <c r="P3892" s="14" t="n">
        <v>16213.342135291</v>
      </c>
      <c r="Q3892" s="14" t="n">
        <v>766965.8386863562</v>
      </c>
      <c r="R3892" s="15">
        <f>IF(D3892=1,"Section 1","Control")</f>
        <v/>
      </c>
      <c r="S3892" s="16">
        <f>N3892/10000</f>
        <v/>
      </c>
      <c r="T3892" s="16">
        <f>P3892/10000</f>
        <v/>
      </c>
      <c r="U3892" s="15">
        <f>IF(N3892&gt;=Summary!$D$3,1,0)</f>
        <v/>
      </c>
      <c r="V3892" s="17">
        <f>IF(N3892&gt;0,P3892/N3892,"")</f>
        <v/>
      </c>
      <c r="W3892" s="17">
        <f>IF(O3892&gt;0,H3892/O3892,"")</f>
        <v/>
      </c>
    </row>
    <row r="3893">
      <c r="A3893" s="13" t="inlineStr">
        <is>
          <t>CW48_F</t>
        </is>
      </c>
      <c r="B3893" s="13" t="inlineStr">
        <is>
          <t>CW48</t>
        </is>
      </c>
      <c r="C3893" s="13" t="inlineStr">
        <is>
          <t>F</t>
        </is>
      </c>
      <c r="D3893" s="13" t="n">
        <v>0</v>
      </c>
      <c r="E3893" s="13" t="inlineStr">
        <is>
          <t>W</t>
        </is>
      </c>
      <c r="F3893" s="13" t="n">
        <v>2026</v>
      </c>
      <c r="G3893" s="14" t="n">
        <v>69565.56787827429</v>
      </c>
      <c r="H3893" s="14" t="n">
        <v>46350.32954870485</v>
      </c>
      <c r="I3893" s="14" t="n">
        <v>15590.39334992054</v>
      </c>
      <c r="J3893" s="14" t="n">
        <v>0</v>
      </c>
      <c r="K3893" s="14" t="n">
        <v>7624.844979648964</v>
      </c>
      <c r="L3893" s="14" t="n">
        <v>0</v>
      </c>
      <c r="M3893" s="14" t="n">
        <v>0</v>
      </c>
      <c r="N3893" s="14" t="n">
        <v>40135.93233107024</v>
      </c>
      <c r="O3893" s="14" t="n">
        <v>69565.56787827429</v>
      </c>
      <c r="P3893" s="14" t="n">
        <v>4736.974260547115</v>
      </c>
      <c r="Q3893" s="14" t="n">
        <v>766965.8386863562</v>
      </c>
      <c r="R3893" s="15">
        <f>IF(D3893=1,"Section 1","Control")</f>
        <v/>
      </c>
      <c r="S3893" s="16">
        <f>N3893/10000</f>
        <v/>
      </c>
      <c r="T3893" s="16">
        <f>P3893/10000</f>
        <v/>
      </c>
      <c r="U3893" s="15">
        <f>IF(N3893&gt;=Summary!$D$3,1,0)</f>
        <v/>
      </c>
      <c r="V3893" s="17">
        <f>IF(N3893&gt;0,P3893/N3893,"")</f>
        <v/>
      </c>
      <c r="W3893" s="17">
        <f>IF(O3893&gt;0,H3893/O3893,"")</f>
        <v/>
      </c>
    </row>
    <row r="3894">
      <c r="A3894" s="13" t="inlineStr">
        <is>
          <t>CW49_B1</t>
        </is>
      </c>
      <c r="B3894" s="13" t="inlineStr">
        <is>
          <t>CW49</t>
        </is>
      </c>
      <c r="C3894" s="13" t="inlineStr">
        <is>
          <t>B1</t>
        </is>
      </c>
      <c r="D3894" s="13" t="n">
        <v>0</v>
      </c>
      <c r="E3894" s="13" t="inlineStr">
        <is>
          <t>W</t>
        </is>
      </c>
      <c r="F3894" s="13" t="n">
        <v>2020</v>
      </c>
      <c r="G3894" s="14" t="n">
        <v>1000702.072854554</v>
      </c>
      <c r="H3894" s="14" t="n">
        <v>531190.9245935179</v>
      </c>
      <c r="I3894" s="14" t="n">
        <v>167216.646821295</v>
      </c>
      <c r="J3894" s="14" t="n">
        <v>0</v>
      </c>
      <c r="K3894" s="14" t="n">
        <v>56407.77561869901</v>
      </c>
      <c r="L3894" s="14" t="n">
        <v>245886.7258210425</v>
      </c>
      <c r="M3894" s="14" t="n">
        <v>0</v>
      </c>
      <c r="N3894" s="14" t="n">
        <v>531190.9245935179</v>
      </c>
      <c r="O3894" s="14" t="n">
        <v>754815.3470335121</v>
      </c>
      <c r="P3894" s="14" t="n">
        <v>0</v>
      </c>
      <c r="Q3894" s="14" t="n">
        <v>5722296.742859072</v>
      </c>
      <c r="R3894" s="15">
        <f>IF(D3894=1,"Section 1","Control")</f>
        <v/>
      </c>
      <c r="S3894" s="16">
        <f>N3894/10000</f>
        <v/>
      </c>
      <c r="T3894" s="16">
        <f>P3894/10000</f>
        <v/>
      </c>
      <c r="U3894" s="15">
        <f>IF(N3894&gt;=Summary!$D$3,1,0)</f>
        <v/>
      </c>
      <c r="V3894" s="17">
        <f>IF(N3894&gt;0,P3894/N3894,"")</f>
        <v/>
      </c>
      <c r="W3894" s="17">
        <f>IF(O3894&gt;0,H3894/O3894,"")</f>
        <v/>
      </c>
    </row>
    <row r="3895">
      <c r="A3895" s="13" t="inlineStr">
        <is>
          <t>CW49_B1</t>
        </is>
      </c>
      <c r="B3895" s="13" t="inlineStr">
        <is>
          <t>CW49</t>
        </is>
      </c>
      <c r="C3895" s="13" t="inlineStr">
        <is>
          <t>B1</t>
        </is>
      </c>
      <c r="D3895" s="13" t="n">
        <v>0</v>
      </c>
      <c r="E3895" s="13" t="inlineStr">
        <is>
          <t>W</t>
        </is>
      </c>
      <c r="F3895" s="13" t="n">
        <v>2021</v>
      </c>
      <c r="G3895" s="14" t="n">
        <v>1000702.072854554</v>
      </c>
      <c r="H3895" s="14" t="n">
        <v>520543.0805300845</v>
      </c>
      <c r="I3895" s="14" t="n">
        <v>170729.4410209506</v>
      </c>
      <c r="J3895" s="14" t="n">
        <v>0</v>
      </c>
      <c r="K3895" s="14" t="n">
        <v>74014.5296109667</v>
      </c>
      <c r="L3895" s="14" t="n">
        <v>235415.0216925527</v>
      </c>
      <c r="M3895" s="14" t="n">
        <v>0</v>
      </c>
      <c r="N3895" s="14" t="n">
        <v>531190.924593518</v>
      </c>
      <c r="O3895" s="14" t="n">
        <v>754815.347033512</v>
      </c>
      <c r="P3895" s="14" t="n">
        <v>13984.04099833171</v>
      </c>
      <c r="Q3895" s="14" t="n">
        <v>5722296.742859071</v>
      </c>
      <c r="R3895" s="15">
        <f>IF(D3895=1,"Section 1","Control")</f>
        <v/>
      </c>
      <c r="S3895" s="16">
        <f>N3895/10000</f>
        <v/>
      </c>
      <c r="T3895" s="16">
        <f>P3895/10000</f>
        <v/>
      </c>
      <c r="U3895" s="15">
        <f>IF(N3895&gt;=Summary!$D$3,1,0)</f>
        <v/>
      </c>
      <c r="V3895" s="17">
        <f>IF(N3895&gt;0,P3895/N3895,"")</f>
        <v/>
      </c>
      <c r="W3895" s="17">
        <f>IF(O3895&gt;0,H3895/O3895,"")</f>
        <v/>
      </c>
    </row>
    <row r="3896">
      <c r="A3896" s="13" t="inlineStr">
        <is>
          <t>CW49_B1</t>
        </is>
      </c>
      <c r="B3896" s="13" t="inlineStr">
        <is>
          <t>CW49</t>
        </is>
      </c>
      <c r="C3896" s="13" t="inlineStr">
        <is>
          <t>B1</t>
        </is>
      </c>
      <c r="D3896" s="13" t="n">
        <v>0</v>
      </c>
      <c r="E3896" s="13" t="inlineStr">
        <is>
          <t>W</t>
        </is>
      </c>
      <c r="F3896" s="13" t="n">
        <v>2022</v>
      </c>
      <c r="G3896" s="14" t="n">
        <v>1000702.072854554</v>
      </c>
      <c r="H3896" s="14" t="n">
        <v>508078.7164799112</v>
      </c>
      <c r="I3896" s="14" t="n">
        <v>182688.1391332888</v>
      </c>
      <c r="J3896" s="14" t="n">
        <v>0</v>
      </c>
      <c r="K3896" s="14" t="n">
        <v>67925.58229331221</v>
      </c>
      <c r="L3896" s="14" t="n">
        <v>242009.6349480423</v>
      </c>
      <c r="M3896" s="14" t="n">
        <v>0</v>
      </c>
      <c r="N3896" s="14" t="n">
        <v>531190.924593518</v>
      </c>
      <c r="O3896" s="14" t="n">
        <v>754815.347033512</v>
      </c>
      <c r="P3896" s="14" t="n">
        <v>25578.8361214432</v>
      </c>
      <c r="Q3896" s="14" t="n">
        <v>5722296.742859071</v>
      </c>
      <c r="R3896" s="15">
        <f>IF(D3896=1,"Section 1","Control")</f>
        <v/>
      </c>
      <c r="S3896" s="16">
        <f>N3896/10000</f>
        <v/>
      </c>
      <c r="T3896" s="16">
        <f>P3896/10000</f>
        <v/>
      </c>
      <c r="U3896" s="15">
        <f>IF(N3896&gt;=Summary!$D$3,1,0)</f>
        <v/>
      </c>
      <c r="V3896" s="17">
        <f>IF(N3896&gt;0,P3896/N3896,"")</f>
        <v/>
      </c>
      <c r="W3896" s="17">
        <f>IF(O3896&gt;0,H3896/O3896,"")</f>
        <v/>
      </c>
    </row>
    <row r="3897">
      <c r="A3897" s="13" t="inlineStr">
        <is>
          <t>CW49_B1</t>
        </is>
      </c>
      <c r="B3897" s="13" t="inlineStr">
        <is>
          <t>CW49</t>
        </is>
      </c>
      <c r="C3897" s="13" t="inlineStr">
        <is>
          <t>B1</t>
        </is>
      </c>
      <c r="D3897" s="13" t="n">
        <v>0</v>
      </c>
      <c r="E3897" s="13" t="inlineStr">
        <is>
          <t>W</t>
        </is>
      </c>
      <c r="F3897" s="13" t="n">
        <v>2023</v>
      </c>
      <c r="G3897" s="14" t="n">
        <v>1000702.072854554</v>
      </c>
      <c r="H3897" s="14" t="n">
        <v>518733.083748552</v>
      </c>
      <c r="I3897" s="14" t="n">
        <v>159979.7142880608</v>
      </c>
      <c r="J3897" s="14" t="n">
        <v>0</v>
      </c>
      <c r="K3897" s="14" t="n">
        <v>72033.41897080364</v>
      </c>
      <c r="L3897" s="14" t="n">
        <v>249955.855847138</v>
      </c>
      <c r="M3897" s="14" t="n">
        <v>0</v>
      </c>
      <c r="N3897" s="14" t="n">
        <v>531190.924593518</v>
      </c>
      <c r="O3897" s="14" t="n">
        <v>754815.3470335121</v>
      </c>
      <c r="P3897" s="14" t="n">
        <v>16387.56249742695</v>
      </c>
      <c r="Q3897" s="14" t="n">
        <v>5722296.742859071</v>
      </c>
      <c r="R3897" s="15">
        <f>IF(D3897=1,"Section 1","Control")</f>
        <v/>
      </c>
      <c r="S3897" s="16">
        <f>N3897/10000</f>
        <v/>
      </c>
      <c r="T3897" s="16">
        <f>P3897/10000</f>
        <v/>
      </c>
      <c r="U3897" s="15">
        <f>IF(N3897&gt;=Summary!$D$3,1,0)</f>
        <v/>
      </c>
      <c r="V3897" s="17">
        <f>IF(N3897&gt;0,P3897/N3897,"")</f>
        <v/>
      </c>
      <c r="W3897" s="17">
        <f>IF(O3897&gt;0,H3897/O3897,"")</f>
        <v/>
      </c>
    </row>
    <row r="3898">
      <c r="A3898" s="13" t="inlineStr">
        <is>
          <t>CW49_B1</t>
        </is>
      </c>
      <c r="B3898" s="13" t="inlineStr">
        <is>
          <t>CW49</t>
        </is>
      </c>
      <c r="C3898" s="13" t="inlineStr">
        <is>
          <t>B1</t>
        </is>
      </c>
      <c r="D3898" s="13" t="n">
        <v>0</v>
      </c>
      <c r="E3898" s="13" t="inlineStr">
        <is>
          <t>W</t>
        </is>
      </c>
      <c r="F3898" s="13" t="n">
        <v>2024</v>
      </c>
      <c r="G3898" s="14" t="n">
        <v>1000702.072854554</v>
      </c>
      <c r="H3898" s="14" t="n">
        <v>521637.9835817825</v>
      </c>
      <c r="I3898" s="14" t="n">
        <v>157662.9239435532</v>
      </c>
      <c r="J3898" s="14" t="n">
        <v>0</v>
      </c>
      <c r="K3898" s="14" t="n">
        <v>74281.68169394102</v>
      </c>
      <c r="L3898" s="14" t="n">
        <v>247119.4836352778</v>
      </c>
      <c r="M3898" s="14" t="n">
        <v>0</v>
      </c>
      <c r="N3898" s="14" t="n">
        <v>531190.924593518</v>
      </c>
      <c r="O3898" s="14" t="n">
        <v>754815.347033512</v>
      </c>
      <c r="P3898" s="14" t="n">
        <v>16412.3425773471</v>
      </c>
      <c r="Q3898" s="14" t="n">
        <v>5722296.742859071</v>
      </c>
      <c r="R3898" s="15">
        <f>IF(D3898=1,"Section 1","Control")</f>
        <v/>
      </c>
      <c r="S3898" s="16">
        <f>N3898/10000</f>
        <v/>
      </c>
      <c r="T3898" s="16">
        <f>P3898/10000</f>
        <v/>
      </c>
      <c r="U3898" s="15">
        <f>IF(N3898&gt;=Summary!$D$3,1,0)</f>
        <v/>
      </c>
      <c r="V3898" s="17">
        <f>IF(N3898&gt;0,P3898/N3898,"")</f>
        <v/>
      </c>
      <c r="W3898" s="17">
        <f>IF(O3898&gt;0,H3898/O3898,"")</f>
        <v/>
      </c>
    </row>
    <row r="3899">
      <c r="A3899" s="13" t="inlineStr">
        <is>
          <t>CW49_B1</t>
        </is>
      </c>
      <c r="B3899" s="13" t="inlineStr">
        <is>
          <t>CW49</t>
        </is>
      </c>
      <c r="C3899" s="13" t="inlineStr">
        <is>
          <t>B1</t>
        </is>
      </c>
      <c r="D3899" s="13" t="n">
        <v>0</v>
      </c>
      <c r="E3899" s="13" t="inlineStr">
        <is>
          <t>W</t>
        </is>
      </c>
      <c r="F3899" s="13" t="n">
        <v>2025</v>
      </c>
      <c r="G3899" s="14" t="n">
        <v>1000702.072854554</v>
      </c>
      <c r="H3899" s="14" t="n">
        <v>500057.7906234144</v>
      </c>
      <c r="I3899" s="14" t="n">
        <v>187375.9360497867</v>
      </c>
      <c r="J3899" s="14" t="n">
        <v>0</v>
      </c>
      <c r="K3899" s="14" t="n">
        <v>66865.5227098652</v>
      </c>
      <c r="L3899" s="14" t="n">
        <v>246402.8234714882</v>
      </c>
      <c r="M3899" s="14" t="n">
        <v>0</v>
      </c>
      <c r="N3899" s="14" t="n">
        <v>531190.924593518</v>
      </c>
      <c r="O3899" s="14" t="n">
        <v>754815.3470335121</v>
      </c>
      <c r="P3899" s="14" t="n">
        <v>33066.63243363325</v>
      </c>
      <c r="Q3899" s="14" t="n">
        <v>5722296.742859072</v>
      </c>
      <c r="R3899" s="15">
        <f>IF(D3899=1,"Section 1","Control")</f>
        <v/>
      </c>
      <c r="S3899" s="16">
        <f>N3899/10000</f>
        <v/>
      </c>
      <c r="T3899" s="16">
        <f>P3899/10000</f>
        <v/>
      </c>
      <c r="U3899" s="15">
        <f>IF(N3899&gt;=Summary!$D$3,1,0)</f>
        <v/>
      </c>
      <c r="V3899" s="17">
        <f>IF(N3899&gt;0,P3899/N3899,"")</f>
        <v/>
      </c>
      <c r="W3899" s="17">
        <f>IF(O3899&gt;0,H3899/O3899,"")</f>
        <v/>
      </c>
    </row>
    <row r="3900">
      <c r="A3900" s="13" t="inlineStr">
        <is>
          <t>CW49_B1</t>
        </is>
      </c>
      <c r="B3900" s="13" t="inlineStr">
        <is>
          <t>CW49</t>
        </is>
      </c>
      <c r="C3900" s="13" t="inlineStr">
        <is>
          <t>B1</t>
        </is>
      </c>
      <c r="D3900" s="13" t="n">
        <v>0</v>
      </c>
      <c r="E3900" s="13" t="inlineStr">
        <is>
          <t>W</t>
        </is>
      </c>
      <c r="F3900" s="13" t="n">
        <v>2026</v>
      </c>
      <c r="G3900" s="14" t="n">
        <v>1000702.072854554</v>
      </c>
      <c r="H3900" s="14" t="n">
        <v>521806.8032284009</v>
      </c>
      <c r="I3900" s="14" t="n">
        <v>158031.8917116651</v>
      </c>
      <c r="J3900" s="14" t="n">
        <v>0</v>
      </c>
      <c r="K3900" s="14" t="n">
        <v>70610.18373072006</v>
      </c>
      <c r="L3900" s="14" t="n">
        <v>250253.1941837684</v>
      </c>
      <c r="M3900" s="14" t="n">
        <v>0</v>
      </c>
      <c r="N3900" s="14" t="n">
        <v>531190.9245935179</v>
      </c>
      <c r="O3900" s="14" t="n">
        <v>754815.3470335121</v>
      </c>
      <c r="P3900" s="14" t="n">
        <v>19371.43939050413</v>
      </c>
      <c r="Q3900" s="14" t="n">
        <v>5722296.742859072</v>
      </c>
      <c r="R3900" s="15">
        <f>IF(D3900=1,"Section 1","Control")</f>
        <v/>
      </c>
      <c r="S3900" s="16">
        <f>N3900/10000</f>
        <v/>
      </c>
      <c r="T3900" s="16">
        <f>P3900/10000</f>
        <v/>
      </c>
      <c r="U3900" s="15">
        <f>IF(N3900&gt;=Summary!$D$3,1,0)</f>
        <v/>
      </c>
      <c r="V3900" s="17">
        <f>IF(N3900&gt;0,P3900/N3900,"")</f>
        <v/>
      </c>
      <c r="W3900" s="17">
        <f>IF(O3900&gt;0,H3900/O3900,"")</f>
        <v/>
      </c>
    </row>
    <row r="3901">
      <c r="A3901" s="13" t="inlineStr">
        <is>
          <t>CW49_B2</t>
        </is>
      </c>
      <c r="B3901" s="13" t="inlineStr">
        <is>
          <t>CW49</t>
        </is>
      </c>
      <c r="C3901" s="13" t="inlineStr">
        <is>
          <t>B2</t>
        </is>
      </c>
      <c r="D3901" s="13" t="n">
        <v>0</v>
      </c>
      <c r="E3901" s="13" t="inlineStr">
        <is>
          <t>W</t>
        </is>
      </c>
      <c r="F3901" s="13" t="n">
        <v>2020</v>
      </c>
      <c r="G3901" s="14" t="n">
        <v>1000591.725501236</v>
      </c>
      <c r="H3901" s="14" t="n">
        <v>218641.4917369469</v>
      </c>
      <c r="I3901" s="14" t="n">
        <v>195.9031511493758</v>
      </c>
      <c r="J3901" s="14" t="n">
        <v>0</v>
      </c>
      <c r="K3901" s="14" t="n">
        <v>19343.70451043821</v>
      </c>
      <c r="L3901" s="14" t="n">
        <v>762410.6261027018</v>
      </c>
      <c r="M3901" s="14" t="n">
        <v>0</v>
      </c>
      <c r="N3901" s="14" t="n">
        <v>218641.4917369469</v>
      </c>
      <c r="O3901" s="14" t="n">
        <v>238181.0993985344</v>
      </c>
      <c r="P3901" s="14" t="n">
        <v>0</v>
      </c>
      <c r="Q3901" s="14" t="n">
        <v>2089391.332270962</v>
      </c>
      <c r="R3901" s="15">
        <f>IF(D3901=1,"Section 1","Control")</f>
        <v/>
      </c>
      <c r="S3901" s="16">
        <f>N3901/10000</f>
        <v/>
      </c>
      <c r="T3901" s="16">
        <f>P3901/10000</f>
        <v/>
      </c>
      <c r="U3901" s="15">
        <f>IF(N3901&gt;=Summary!$D$3,1,0)</f>
        <v/>
      </c>
      <c r="V3901" s="17">
        <f>IF(N3901&gt;0,P3901/N3901,"")</f>
        <v/>
      </c>
      <c r="W3901" s="17">
        <f>IF(O3901&gt;0,H3901/O3901,"")</f>
        <v/>
      </c>
    </row>
    <row r="3902">
      <c r="A3902" s="13" t="inlineStr">
        <is>
          <t>CW49_B2</t>
        </is>
      </c>
      <c r="B3902" s="13" t="inlineStr">
        <is>
          <t>CW49</t>
        </is>
      </c>
      <c r="C3902" s="13" t="inlineStr">
        <is>
          <t>B2</t>
        </is>
      </c>
      <c r="D3902" s="13" t="n">
        <v>0</v>
      </c>
      <c r="E3902" s="13" t="inlineStr">
        <is>
          <t>W</t>
        </is>
      </c>
      <c r="F3902" s="13" t="n">
        <v>2021</v>
      </c>
      <c r="G3902" s="14" t="n">
        <v>1000591.725501236</v>
      </c>
      <c r="H3902" s="14" t="n">
        <v>215373.4682798198</v>
      </c>
      <c r="I3902" s="14" t="n">
        <v>394.9047698974609</v>
      </c>
      <c r="J3902" s="14" t="n">
        <v>0</v>
      </c>
      <c r="K3902" s="14" t="n">
        <v>30815.26845323151</v>
      </c>
      <c r="L3902" s="14" t="n">
        <v>754008.0839982873</v>
      </c>
      <c r="M3902" s="14" t="n">
        <v>0</v>
      </c>
      <c r="N3902" s="14" t="n">
        <v>218641.4917369469</v>
      </c>
      <c r="O3902" s="14" t="n">
        <v>238181.0993985344</v>
      </c>
      <c r="P3902" s="14" t="n">
        <v>3465.474629001992</v>
      </c>
      <c r="Q3902" s="14" t="n">
        <v>2089391.332270963</v>
      </c>
      <c r="R3902" s="15">
        <f>IF(D3902=1,"Section 1","Control")</f>
        <v/>
      </c>
      <c r="S3902" s="16">
        <f>N3902/10000</f>
        <v/>
      </c>
      <c r="T3902" s="16">
        <f>P3902/10000</f>
        <v/>
      </c>
      <c r="U3902" s="15">
        <f>IF(N3902&gt;=Summary!$D$3,1,0)</f>
        <v/>
      </c>
      <c r="V3902" s="17">
        <f>IF(N3902&gt;0,P3902/N3902,"")</f>
        <v/>
      </c>
      <c r="W3902" s="17">
        <f>IF(O3902&gt;0,H3902/O3902,"")</f>
        <v/>
      </c>
    </row>
    <row r="3903">
      <c r="A3903" s="13" t="inlineStr">
        <is>
          <t>CW49_B2</t>
        </is>
      </c>
      <c r="B3903" s="13" t="inlineStr">
        <is>
          <t>CW49</t>
        </is>
      </c>
      <c r="C3903" s="13" t="inlineStr">
        <is>
          <t>B2</t>
        </is>
      </c>
      <c r="D3903" s="13" t="n">
        <v>0</v>
      </c>
      <c r="E3903" s="13" t="inlineStr">
        <is>
          <t>W</t>
        </is>
      </c>
      <c r="F3903" s="13" t="n">
        <v>2022</v>
      </c>
      <c r="G3903" s="14" t="n">
        <v>1000591.725501236</v>
      </c>
      <c r="H3903" s="14" t="n">
        <v>214287.4856519513</v>
      </c>
      <c r="I3903" s="14" t="n">
        <v>296.1783905029297</v>
      </c>
      <c r="J3903" s="14" t="n">
        <v>0</v>
      </c>
      <c r="K3903" s="14" t="n">
        <v>34134.78185191435</v>
      </c>
      <c r="L3903" s="14" t="n">
        <v>751873.2796068677</v>
      </c>
      <c r="M3903" s="14" t="n">
        <v>0</v>
      </c>
      <c r="N3903" s="14" t="n">
        <v>218641.4917369469</v>
      </c>
      <c r="O3903" s="14" t="n">
        <v>238181.0993985344</v>
      </c>
      <c r="P3903" s="14" t="n">
        <v>4650.184628086465</v>
      </c>
      <c r="Q3903" s="14" t="n">
        <v>2089391.332270963</v>
      </c>
      <c r="R3903" s="15">
        <f>IF(D3903=1,"Section 1","Control")</f>
        <v/>
      </c>
      <c r="S3903" s="16">
        <f>N3903/10000</f>
        <v/>
      </c>
      <c r="T3903" s="16">
        <f>P3903/10000</f>
        <v/>
      </c>
      <c r="U3903" s="15">
        <f>IF(N3903&gt;=Summary!$D$3,1,0)</f>
        <v/>
      </c>
      <c r="V3903" s="17">
        <f>IF(N3903&gt;0,P3903/N3903,"")</f>
        <v/>
      </c>
      <c r="W3903" s="17">
        <f>IF(O3903&gt;0,H3903/O3903,"")</f>
        <v/>
      </c>
    </row>
    <row r="3904">
      <c r="A3904" s="13" t="inlineStr">
        <is>
          <t>CW49_B2</t>
        </is>
      </c>
      <c r="B3904" s="13" t="inlineStr">
        <is>
          <t>CW49</t>
        </is>
      </c>
      <c r="C3904" s="13" t="inlineStr">
        <is>
          <t>B2</t>
        </is>
      </c>
      <c r="D3904" s="13" t="n">
        <v>0</v>
      </c>
      <c r="E3904" s="13" t="inlineStr">
        <is>
          <t>W</t>
        </is>
      </c>
      <c r="F3904" s="13" t="n">
        <v>2023</v>
      </c>
      <c r="G3904" s="14" t="n">
        <v>1000591.725501236</v>
      </c>
      <c r="H3904" s="14" t="n">
        <v>213596.4048642925</v>
      </c>
      <c r="I3904" s="14" t="n">
        <v>98.7259521484375</v>
      </c>
      <c r="J3904" s="14" t="n">
        <v>0</v>
      </c>
      <c r="K3904" s="14" t="n">
        <v>22310.12625412286</v>
      </c>
      <c r="L3904" s="14" t="n">
        <v>764586.4684306724</v>
      </c>
      <c r="M3904" s="14" t="n">
        <v>0</v>
      </c>
      <c r="N3904" s="14" t="n">
        <v>218641.4917369469</v>
      </c>
      <c r="O3904" s="14" t="n">
        <v>238181.0993985344</v>
      </c>
      <c r="P3904" s="14" t="n">
        <v>5045.086872654336</v>
      </c>
      <c r="Q3904" s="14" t="n">
        <v>2089391.332270963</v>
      </c>
      <c r="R3904" s="15">
        <f>IF(D3904=1,"Section 1","Control")</f>
        <v/>
      </c>
      <c r="S3904" s="16">
        <f>N3904/10000</f>
        <v/>
      </c>
      <c r="T3904" s="16">
        <f>P3904/10000</f>
        <v/>
      </c>
      <c r="U3904" s="15">
        <f>IF(N3904&gt;=Summary!$D$3,1,0)</f>
        <v/>
      </c>
      <c r="V3904" s="17">
        <f>IF(N3904&gt;0,P3904/N3904,"")</f>
        <v/>
      </c>
      <c r="W3904" s="17">
        <f>IF(O3904&gt;0,H3904/O3904,"")</f>
        <v/>
      </c>
    </row>
    <row r="3905">
      <c r="A3905" s="13" t="inlineStr">
        <is>
          <t>CW49_B2</t>
        </is>
      </c>
      <c r="B3905" s="13" t="inlineStr">
        <is>
          <t>CW49</t>
        </is>
      </c>
      <c r="C3905" s="13" t="inlineStr">
        <is>
          <t>B2</t>
        </is>
      </c>
      <c r="D3905" s="13" t="n">
        <v>0</v>
      </c>
      <c r="E3905" s="13" t="inlineStr">
        <is>
          <t>W</t>
        </is>
      </c>
      <c r="F3905" s="13" t="n">
        <v>2024</v>
      </c>
      <c r="G3905" s="14" t="n">
        <v>1000591.725501236</v>
      </c>
      <c r="H3905" s="14" t="n">
        <v>213695.131243687</v>
      </c>
      <c r="I3905" s="14" t="n">
        <v>0</v>
      </c>
      <c r="J3905" s="14" t="n">
        <v>0</v>
      </c>
      <c r="K3905" s="14" t="n">
        <v>34048.4417975033</v>
      </c>
      <c r="L3905" s="14" t="n">
        <v>752848.1524600458</v>
      </c>
      <c r="M3905" s="14" t="n">
        <v>0</v>
      </c>
      <c r="N3905" s="14" t="n">
        <v>218641.4917369469</v>
      </c>
      <c r="O3905" s="14" t="n">
        <v>238181.0993985344</v>
      </c>
      <c r="P3905" s="14" t="n">
        <v>5143.812809543984</v>
      </c>
      <c r="Q3905" s="14" t="n">
        <v>2089391.332270963</v>
      </c>
      <c r="R3905" s="15">
        <f>IF(D3905=1,"Section 1","Control")</f>
        <v/>
      </c>
      <c r="S3905" s="16">
        <f>N3905/10000</f>
        <v/>
      </c>
      <c r="T3905" s="16">
        <f>P3905/10000</f>
        <v/>
      </c>
      <c r="U3905" s="15">
        <f>IF(N3905&gt;=Summary!$D$3,1,0)</f>
        <v/>
      </c>
      <c r="V3905" s="17">
        <f>IF(N3905&gt;0,P3905/N3905,"")</f>
        <v/>
      </c>
      <c r="W3905" s="17">
        <f>IF(O3905&gt;0,H3905/O3905,"")</f>
        <v/>
      </c>
    </row>
    <row r="3906">
      <c r="A3906" s="13" t="inlineStr">
        <is>
          <t>CW49_B2</t>
        </is>
      </c>
      <c r="B3906" s="13" t="inlineStr">
        <is>
          <t>CW49</t>
        </is>
      </c>
      <c r="C3906" s="13" t="inlineStr">
        <is>
          <t>B2</t>
        </is>
      </c>
      <c r="D3906" s="13" t="n">
        <v>0</v>
      </c>
      <c r="E3906" s="13" t="inlineStr">
        <is>
          <t>W</t>
        </is>
      </c>
      <c r="F3906" s="13" t="n">
        <v>2025</v>
      </c>
      <c r="G3906" s="14" t="n">
        <v>1000591.725501236</v>
      </c>
      <c r="H3906" s="14" t="n">
        <v>213147.2985027538</v>
      </c>
      <c r="I3906" s="14" t="n">
        <v>449.1071626251819</v>
      </c>
      <c r="J3906" s="14" t="n">
        <v>0</v>
      </c>
      <c r="K3906" s="14" t="n">
        <v>27345.92533485562</v>
      </c>
      <c r="L3906" s="14" t="n">
        <v>759649.3945010017</v>
      </c>
      <c r="M3906" s="14" t="n">
        <v>0</v>
      </c>
      <c r="N3906" s="14" t="n">
        <v>218641.4917369469</v>
      </c>
      <c r="O3906" s="14" t="n">
        <v>238181.0993985344</v>
      </c>
      <c r="P3906" s="14" t="n">
        <v>5691.645550477271</v>
      </c>
      <c r="Q3906" s="14" t="n">
        <v>2089391.332270963</v>
      </c>
      <c r="R3906" s="15">
        <f>IF(D3906=1,"Section 1","Control")</f>
        <v/>
      </c>
      <c r="S3906" s="16">
        <f>N3906/10000</f>
        <v/>
      </c>
      <c r="T3906" s="16">
        <f>P3906/10000</f>
        <v/>
      </c>
      <c r="U3906" s="15">
        <f>IF(N3906&gt;=Summary!$D$3,1,0)</f>
        <v/>
      </c>
      <c r="V3906" s="17">
        <f>IF(N3906&gt;0,P3906/N3906,"")</f>
        <v/>
      </c>
      <c r="W3906" s="17">
        <f>IF(O3906&gt;0,H3906/O3906,"")</f>
        <v/>
      </c>
    </row>
    <row r="3907">
      <c r="A3907" s="13" t="inlineStr">
        <is>
          <t>CW49_B2</t>
        </is>
      </c>
      <c r="B3907" s="13" t="inlineStr">
        <is>
          <t>CW49</t>
        </is>
      </c>
      <c r="C3907" s="13" t="inlineStr">
        <is>
          <t>B2</t>
        </is>
      </c>
      <c r="D3907" s="13" t="n">
        <v>0</v>
      </c>
      <c r="E3907" s="13" t="inlineStr">
        <is>
          <t>W</t>
        </is>
      </c>
      <c r="F3907" s="13" t="n">
        <v>2026</v>
      </c>
      <c r="G3907" s="14" t="n">
        <v>1000591.725501236</v>
      </c>
      <c r="H3907" s="14" t="n">
        <v>212312.9669446758</v>
      </c>
      <c r="I3907" s="14" t="n">
        <v>493.6300201416016</v>
      </c>
      <c r="J3907" s="14" t="n">
        <v>0</v>
      </c>
      <c r="K3907" s="14" t="n">
        <v>28458.61614233279</v>
      </c>
      <c r="L3907" s="14" t="n">
        <v>759326.512394086</v>
      </c>
      <c r="M3907" s="14" t="n">
        <v>0</v>
      </c>
      <c r="N3907" s="14" t="n">
        <v>218641.4917369469</v>
      </c>
      <c r="O3907" s="14" t="n">
        <v>238181.0993985344</v>
      </c>
      <c r="P3907" s="14" t="n">
        <v>6328.524792271034</v>
      </c>
      <c r="Q3907" s="14" t="n">
        <v>2089391.332270962</v>
      </c>
      <c r="R3907" s="15">
        <f>IF(D3907=1,"Section 1","Control")</f>
        <v/>
      </c>
      <c r="S3907" s="16">
        <f>N3907/10000</f>
        <v/>
      </c>
      <c r="T3907" s="16">
        <f>P3907/10000</f>
        <v/>
      </c>
      <c r="U3907" s="15">
        <f>IF(N3907&gt;=Summary!$D$3,1,0)</f>
        <v/>
      </c>
      <c r="V3907" s="17">
        <f>IF(N3907&gt;0,P3907/N3907,"")</f>
        <v/>
      </c>
      <c r="W3907" s="17">
        <f>IF(O3907&gt;0,H3907/O3907,"")</f>
        <v/>
      </c>
    </row>
    <row r="3908">
      <c r="A3908" s="13" t="inlineStr">
        <is>
          <t>CW49_B3</t>
        </is>
      </c>
      <c r="B3908" s="13" t="inlineStr">
        <is>
          <t>CW49</t>
        </is>
      </c>
      <c r="C3908" s="13" t="inlineStr">
        <is>
          <t>B3</t>
        </is>
      </c>
      <c r="D3908" s="13" t="n">
        <v>0</v>
      </c>
      <c r="E3908" s="13" t="inlineStr">
        <is>
          <t>W</t>
        </is>
      </c>
      <c r="F3908" s="13" t="n">
        <v>2020</v>
      </c>
      <c r="G3908" s="14" t="n">
        <v>8002808.248217894</v>
      </c>
      <c r="H3908" s="14" t="n">
        <v>3370489.266312663</v>
      </c>
      <c r="I3908" s="14" t="n">
        <v>94873.76343117507</v>
      </c>
      <c r="J3908" s="14" t="n">
        <v>0</v>
      </c>
      <c r="K3908" s="14" t="n">
        <v>311331.3087978886</v>
      </c>
      <c r="L3908" s="14" t="n">
        <v>4226113.909676166</v>
      </c>
      <c r="M3908" s="14" t="n">
        <v>0</v>
      </c>
      <c r="N3908" s="14" t="n">
        <v>3370489.266312663</v>
      </c>
      <c r="O3908" s="14" t="n">
        <v>3776694.338541727</v>
      </c>
      <c r="P3908" s="14" t="n">
        <v>0</v>
      </c>
      <c r="Q3908" s="14" t="n">
        <v>21079779.50184653</v>
      </c>
      <c r="R3908" s="15">
        <f>IF(D3908=1,"Section 1","Control")</f>
        <v/>
      </c>
      <c r="S3908" s="16">
        <f>N3908/10000</f>
        <v/>
      </c>
      <c r="T3908" s="16">
        <f>P3908/10000</f>
        <v/>
      </c>
      <c r="U3908" s="15">
        <f>IF(N3908&gt;=Summary!$D$3,1,0)</f>
        <v/>
      </c>
      <c r="V3908" s="17">
        <f>IF(N3908&gt;0,P3908/N3908,"")</f>
        <v/>
      </c>
      <c r="W3908" s="17">
        <f>IF(O3908&gt;0,H3908/O3908,"")</f>
        <v/>
      </c>
    </row>
    <row r="3909">
      <c r="A3909" s="13" t="inlineStr">
        <is>
          <t>CW49_B3</t>
        </is>
      </c>
      <c r="B3909" s="13" t="inlineStr">
        <is>
          <t>CW49</t>
        </is>
      </c>
      <c r="C3909" s="13" t="inlineStr">
        <is>
          <t>B3</t>
        </is>
      </c>
      <c r="D3909" s="13" t="n">
        <v>0</v>
      </c>
      <c r="E3909" s="13" t="inlineStr">
        <is>
          <t>W</t>
        </is>
      </c>
      <c r="F3909" s="13" t="n">
        <v>2021</v>
      </c>
      <c r="G3909" s="14" t="n">
        <v>8002808.248217895</v>
      </c>
      <c r="H3909" s="14" t="n">
        <v>3217524.035126511</v>
      </c>
      <c r="I3909" s="14" t="n">
        <v>131327.226576203</v>
      </c>
      <c r="J3909" s="14" t="n">
        <v>0</v>
      </c>
      <c r="K3909" s="14" t="n">
        <v>527765.5738539153</v>
      </c>
      <c r="L3909" s="14" t="n">
        <v>4126191.412661264</v>
      </c>
      <c r="M3909" s="14" t="n">
        <v>0</v>
      </c>
      <c r="N3909" s="14" t="n">
        <v>3370489.266312663</v>
      </c>
      <c r="O3909" s="14" t="n">
        <v>3776694.338541727</v>
      </c>
      <c r="P3909" s="14" t="n">
        <v>168637.6966803457</v>
      </c>
      <c r="Q3909" s="14" t="n">
        <v>21079779.50184653</v>
      </c>
      <c r="R3909" s="15">
        <f>IF(D3909=1,"Section 1","Control")</f>
        <v/>
      </c>
      <c r="S3909" s="16">
        <f>N3909/10000</f>
        <v/>
      </c>
      <c r="T3909" s="16">
        <f>P3909/10000</f>
        <v/>
      </c>
      <c r="U3909" s="15">
        <f>IF(N3909&gt;=Summary!$D$3,1,0)</f>
        <v/>
      </c>
      <c r="V3909" s="17">
        <f>IF(N3909&gt;0,P3909/N3909,"")</f>
        <v/>
      </c>
      <c r="W3909" s="17">
        <f>IF(O3909&gt;0,H3909/O3909,"")</f>
        <v/>
      </c>
    </row>
    <row r="3910">
      <c r="A3910" s="13" t="inlineStr">
        <is>
          <t>CW49_B3</t>
        </is>
      </c>
      <c r="B3910" s="13" t="inlineStr">
        <is>
          <t>CW49</t>
        </is>
      </c>
      <c r="C3910" s="13" t="inlineStr">
        <is>
          <t>B3</t>
        </is>
      </c>
      <c r="D3910" s="13" t="n">
        <v>0</v>
      </c>
      <c r="E3910" s="13" t="inlineStr">
        <is>
          <t>W</t>
        </is>
      </c>
      <c r="F3910" s="13" t="n">
        <v>2022</v>
      </c>
      <c r="G3910" s="14" t="n">
        <v>8002808.248217895</v>
      </c>
      <c r="H3910" s="14" t="n">
        <v>3183373.907423191</v>
      </c>
      <c r="I3910" s="14" t="n">
        <v>152802.4306877884</v>
      </c>
      <c r="J3910" s="14" t="n">
        <v>0</v>
      </c>
      <c r="K3910" s="14" t="n">
        <v>498831.3123354145</v>
      </c>
      <c r="L3910" s="14" t="n">
        <v>4167800.597771497</v>
      </c>
      <c r="M3910" s="14" t="n">
        <v>0</v>
      </c>
      <c r="N3910" s="14" t="n">
        <v>3370489.266312663</v>
      </c>
      <c r="O3910" s="14" t="n">
        <v>3776694.338541727</v>
      </c>
      <c r="P3910" s="14" t="n">
        <v>211296.552432999</v>
      </c>
      <c r="Q3910" s="14" t="n">
        <v>21079779.50184653</v>
      </c>
      <c r="R3910" s="15">
        <f>IF(D3910=1,"Section 1","Control")</f>
        <v/>
      </c>
      <c r="S3910" s="16">
        <f>N3910/10000</f>
        <v/>
      </c>
      <c r="T3910" s="16">
        <f>P3910/10000</f>
        <v/>
      </c>
      <c r="U3910" s="15">
        <f>IF(N3910&gt;=Summary!$D$3,1,0)</f>
        <v/>
      </c>
      <c r="V3910" s="17">
        <f>IF(N3910&gt;0,P3910/N3910,"")</f>
        <v/>
      </c>
      <c r="W3910" s="17">
        <f>IF(O3910&gt;0,H3910/O3910,"")</f>
        <v/>
      </c>
    </row>
    <row r="3911">
      <c r="A3911" s="13" t="inlineStr">
        <is>
          <t>CW49_B3</t>
        </is>
      </c>
      <c r="B3911" s="13" t="inlineStr">
        <is>
          <t>CW49</t>
        </is>
      </c>
      <c r="C3911" s="13" t="inlineStr">
        <is>
          <t>B3</t>
        </is>
      </c>
      <c r="D3911" s="13" t="n">
        <v>0</v>
      </c>
      <c r="E3911" s="13" t="inlineStr">
        <is>
          <t>W</t>
        </is>
      </c>
      <c r="F3911" s="13" t="n">
        <v>2023</v>
      </c>
      <c r="G3911" s="14" t="n">
        <v>8002808.248217895</v>
      </c>
      <c r="H3911" s="14" t="n">
        <v>3235826.973429062</v>
      </c>
      <c r="I3911" s="14" t="n">
        <v>87130.65384925394</v>
      </c>
      <c r="J3911" s="14" t="n">
        <v>0</v>
      </c>
      <c r="K3911" s="14" t="n">
        <v>418517.2747035606</v>
      </c>
      <c r="L3911" s="14" t="n">
        <v>4261333.346236016</v>
      </c>
      <c r="M3911" s="14" t="n">
        <v>0</v>
      </c>
      <c r="N3911" s="14" t="n">
        <v>3370489.266312663</v>
      </c>
      <c r="O3911" s="14" t="n">
        <v>3776694.338541727</v>
      </c>
      <c r="P3911" s="14" t="n">
        <v>181006.0345389273</v>
      </c>
      <c r="Q3911" s="14" t="n">
        <v>21079779.50184653</v>
      </c>
      <c r="R3911" s="15">
        <f>IF(D3911=1,"Section 1","Control")</f>
        <v/>
      </c>
      <c r="S3911" s="16">
        <f>N3911/10000</f>
        <v/>
      </c>
      <c r="T3911" s="16">
        <f>P3911/10000</f>
        <v/>
      </c>
      <c r="U3911" s="15">
        <f>IF(N3911&gt;=Summary!$D$3,1,0)</f>
        <v/>
      </c>
      <c r="V3911" s="17">
        <f>IF(N3911&gt;0,P3911/N3911,"")</f>
        <v/>
      </c>
      <c r="W3911" s="17">
        <f>IF(O3911&gt;0,H3911/O3911,"")</f>
        <v/>
      </c>
    </row>
    <row r="3912">
      <c r="A3912" s="13" t="inlineStr">
        <is>
          <t>CW49_B3</t>
        </is>
      </c>
      <c r="B3912" s="13" t="inlineStr">
        <is>
          <t>CW49</t>
        </is>
      </c>
      <c r="C3912" s="13" t="inlineStr">
        <is>
          <t>B3</t>
        </is>
      </c>
      <c r="D3912" s="13" t="n">
        <v>0</v>
      </c>
      <c r="E3912" s="13" t="inlineStr">
        <is>
          <t>W</t>
        </is>
      </c>
      <c r="F3912" s="13" t="n">
        <v>2024</v>
      </c>
      <c r="G3912" s="14" t="n">
        <v>8002808.248217895</v>
      </c>
      <c r="H3912" s="14" t="n">
        <v>3221094.271079598</v>
      </c>
      <c r="I3912" s="14" t="n">
        <v>90963.90047777961</v>
      </c>
      <c r="J3912" s="14" t="n">
        <v>0</v>
      </c>
      <c r="K3912" s="14" t="n">
        <v>513180.9063560934</v>
      </c>
      <c r="L3912" s="14" t="n">
        <v>4177569.170304421</v>
      </c>
      <c r="M3912" s="14" t="n">
        <v>0</v>
      </c>
      <c r="N3912" s="14" t="n">
        <v>3370489.266312663</v>
      </c>
      <c r="O3912" s="14" t="n">
        <v>3776694.338541727</v>
      </c>
      <c r="P3912" s="14" t="n">
        <v>195258.9946421605</v>
      </c>
      <c r="Q3912" s="14" t="n">
        <v>21079779.50184653</v>
      </c>
      <c r="R3912" s="15">
        <f>IF(D3912=1,"Section 1","Control")</f>
        <v/>
      </c>
      <c r="S3912" s="16">
        <f>N3912/10000</f>
        <v/>
      </c>
      <c r="T3912" s="16">
        <f>P3912/10000</f>
        <v/>
      </c>
      <c r="U3912" s="15">
        <f>IF(N3912&gt;=Summary!$D$3,1,0)</f>
        <v/>
      </c>
      <c r="V3912" s="17">
        <f>IF(N3912&gt;0,P3912/N3912,"")</f>
        <v/>
      </c>
      <c r="W3912" s="17">
        <f>IF(O3912&gt;0,H3912/O3912,"")</f>
        <v/>
      </c>
    </row>
    <row r="3913">
      <c r="A3913" s="13" t="inlineStr">
        <is>
          <t>CW49_B3</t>
        </is>
      </c>
      <c r="B3913" s="13" t="inlineStr">
        <is>
          <t>CW49</t>
        </is>
      </c>
      <c r="C3913" s="13" t="inlineStr">
        <is>
          <t>B3</t>
        </is>
      </c>
      <c r="D3913" s="13" t="n">
        <v>0</v>
      </c>
      <c r="E3913" s="13" t="inlineStr">
        <is>
          <t>W</t>
        </is>
      </c>
      <c r="F3913" s="13" t="n">
        <v>2025</v>
      </c>
      <c r="G3913" s="14" t="n">
        <v>8002808.248217895</v>
      </c>
      <c r="H3913" s="14" t="n">
        <v>3164894.652693984</v>
      </c>
      <c r="I3913" s="14" t="n">
        <v>146462.7636630787</v>
      </c>
      <c r="J3913" s="14" t="n">
        <v>0</v>
      </c>
      <c r="K3913" s="14" t="n">
        <v>454142.5110974779</v>
      </c>
      <c r="L3913" s="14" t="n">
        <v>4237308.320763352</v>
      </c>
      <c r="M3913" s="14" t="n">
        <v>0</v>
      </c>
      <c r="N3913" s="14" t="n">
        <v>3370489.266312663</v>
      </c>
      <c r="O3913" s="14" t="n">
        <v>3776694.338541727</v>
      </c>
      <c r="P3913" s="14" t="n">
        <v>239013.0293967752</v>
      </c>
      <c r="Q3913" s="14" t="n">
        <v>21079779.50184653</v>
      </c>
      <c r="R3913" s="15">
        <f>IF(D3913=1,"Section 1","Control")</f>
        <v/>
      </c>
      <c r="S3913" s="16">
        <f>N3913/10000</f>
        <v/>
      </c>
      <c r="T3913" s="16">
        <f>P3913/10000</f>
        <v/>
      </c>
      <c r="U3913" s="15">
        <f>IF(N3913&gt;=Summary!$D$3,1,0)</f>
        <v/>
      </c>
      <c r="V3913" s="17">
        <f>IF(N3913&gt;0,P3913/N3913,"")</f>
        <v/>
      </c>
      <c r="W3913" s="17">
        <f>IF(O3913&gt;0,H3913/O3913,"")</f>
        <v/>
      </c>
    </row>
    <row r="3914">
      <c r="A3914" s="13" t="inlineStr">
        <is>
          <t>CW49_B3</t>
        </is>
      </c>
      <c r="B3914" s="13" t="inlineStr">
        <is>
          <t>CW49</t>
        </is>
      </c>
      <c r="C3914" s="13" t="inlineStr">
        <is>
          <t>B3</t>
        </is>
      </c>
      <c r="D3914" s="13" t="n">
        <v>0</v>
      </c>
      <c r="E3914" s="13" t="inlineStr">
        <is>
          <t>W</t>
        </is>
      </c>
      <c r="F3914" s="13" t="n">
        <v>2026</v>
      </c>
      <c r="G3914" s="14" t="n">
        <v>8002808.248217895</v>
      </c>
      <c r="H3914" s="14" t="n">
        <v>3131392.820392384</v>
      </c>
      <c r="I3914" s="14" t="n">
        <v>132976.0046433393</v>
      </c>
      <c r="J3914" s="14" t="n">
        <v>0</v>
      </c>
      <c r="K3914" s="14" t="n">
        <v>478343.6778714647</v>
      </c>
      <c r="L3914" s="14" t="n">
        <v>4260095.745310704</v>
      </c>
      <c r="M3914" s="14" t="n">
        <v>0</v>
      </c>
      <c r="N3914" s="14" t="n">
        <v>3370489.266312663</v>
      </c>
      <c r="O3914" s="14" t="n">
        <v>3776694.338541726</v>
      </c>
      <c r="P3914" s="14" t="n">
        <v>280122.3475941078</v>
      </c>
      <c r="Q3914" s="14" t="n">
        <v>21079779.50184653</v>
      </c>
      <c r="R3914" s="15">
        <f>IF(D3914=1,"Section 1","Control")</f>
        <v/>
      </c>
      <c r="S3914" s="16">
        <f>N3914/10000</f>
        <v/>
      </c>
      <c r="T3914" s="16">
        <f>P3914/10000</f>
        <v/>
      </c>
      <c r="U3914" s="15">
        <f>IF(N3914&gt;=Summary!$D$3,1,0)</f>
        <v/>
      </c>
      <c r="V3914" s="17">
        <f>IF(N3914&gt;0,P3914/N3914,"")</f>
        <v/>
      </c>
      <c r="W3914" s="17">
        <f>IF(O3914&gt;0,H3914/O3914,"")</f>
        <v/>
      </c>
    </row>
    <row r="3915">
      <c r="A3915" s="13" t="inlineStr">
        <is>
          <t>CW49_F</t>
        </is>
      </c>
      <c r="B3915" s="13" t="inlineStr">
        <is>
          <t>CW49</t>
        </is>
      </c>
      <c r="C3915" s="13" t="inlineStr">
        <is>
          <t>F</t>
        </is>
      </c>
      <c r="D3915" s="13" t="n">
        <v>0</v>
      </c>
      <c r="E3915" s="13" t="inlineStr">
        <is>
          <t>W</t>
        </is>
      </c>
      <c r="F3915" s="13" t="n">
        <v>2020</v>
      </c>
      <c r="G3915" s="14" t="n">
        <v>69540.76156565355</v>
      </c>
      <c r="H3915" s="14" t="n">
        <v>51916.59159150968</v>
      </c>
      <c r="I3915" s="14" t="n">
        <v>10026.81584391875</v>
      </c>
      <c r="J3915" s="14" t="n">
        <v>0</v>
      </c>
      <c r="K3915" s="14" t="n">
        <v>7597.354130225088</v>
      </c>
      <c r="L3915" s="14" t="n">
        <v>0</v>
      </c>
      <c r="M3915" s="14" t="n">
        <v>0</v>
      </c>
      <c r="N3915" s="14" t="n">
        <v>51916.59159150968</v>
      </c>
      <c r="O3915" s="14" t="n">
        <v>69540.76156565355</v>
      </c>
      <c r="P3915" s="14" t="n">
        <v>0</v>
      </c>
      <c r="Q3915" s="14" t="n">
        <v>844438.1472912363</v>
      </c>
      <c r="R3915" s="15">
        <f>IF(D3915=1,"Section 1","Control")</f>
        <v/>
      </c>
      <c r="S3915" s="16">
        <f>N3915/10000</f>
        <v/>
      </c>
      <c r="T3915" s="16">
        <f>P3915/10000</f>
        <v/>
      </c>
      <c r="U3915" s="15">
        <f>IF(N3915&gt;=Summary!$D$3,1,0)</f>
        <v/>
      </c>
      <c r="V3915" s="17">
        <f>IF(N3915&gt;0,P3915/N3915,"")</f>
        <v/>
      </c>
      <c r="W3915" s="17">
        <f>IF(O3915&gt;0,H3915/O3915,"")</f>
        <v/>
      </c>
    </row>
    <row r="3916">
      <c r="A3916" s="13" t="inlineStr">
        <is>
          <t>CW49_F</t>
        </is>
      </c>
      <c r="B3916" s="13" t="inlineStr">
        <is>
          <t>CW49</t>
        </is>
      </c>
      <c r="C3916" s="13" t="inlineStr">
        <is>
          <t>F</t>
        </is>
      </c>
      <c r="D3916" s="13" t="n">
        <v>0</v>
      </c>
      <c r="E3916" s="13" t="inlineStr">
        <is>
          <t>W</t>
        </is>
      </c>
      <c r="F3916" s="13" t="n">
        <v>2021</v>
      </c>
      <c r="G3916" s="14" t="n">
        <v>69540.76156565355</v>
      </c>
      <c r="H3916" s="14" t="n">
        <v>42176.2764736699</v>
      </c>
      <c r="I3916" s="14" t="n">
        <v>7170.307106436936</v>
      </c>
      <c r="J3916" s="14" t="n">
        <v>0</v>
      </c>
      <c r="K3916" s="14" t="n">
        <v>20194.17798554664</v>
      </c>
      <c r="L3916" s="14" t="n">
        <v>0</v>
      </c>
      <c r="M3916" s="14" t="n">
        <v>0</v>
      </c>
      <c r="N3916" s="14" t="n">
        <v>51916.59159150968</v>
      </c>
      <c r="O3916" s="14" t="n">
        <v>69540.76156565355</v>
      </c>
      <c r="P3916" s="14" t="n">
        <v>10233.95123386757</v>
      </c>
      <c r="Q3916" s="14" t="n">
        <v>844438.1472912363</v>
      </c>
      <c r="R3916" s="15">
        <f>IF(D3916=1,"Section 1","Control")</f>
        <v/>
      </c>
      <c r="S3916" s="16">
        <f>N3916/10000</f>
        <v/>
      </c>
      <c r="T3916" s="16">
        <f>P3916/10000</f>
        <v/>
      </c>
      <c r="U3916" s="15">
        <f>IF(N3916&gt;=Summary!$D$3,1,0)</f>
        <v/>
      </c>
      <c r="V3916" s="17">
        <f>IF(N3916&gt;0,P3916/N3916,"")</f>
        <v/>
      </c>
      <c r="W3916" s="17">
        <f>IF(O3916&gt;0,H3916/O3916,"")</f>
        <v/>
      </c>
    </row>
    <row r="3917">
      <c r="A3917" s="13" t="inlineStr">
        <is>
          <t>CW49_F</t>
        </is>
      </c>
      <c r="B3917" s="13" t="inlineStr">
        <is>
          <t>CW49</t>
        </is>
      </c>
      <c r="C3917" s="13" t="inlineStr">
        <is>
          <t>F</t>
        </is>
      </c>
      <c r="D3917" s="13" t="n">
        <v>0</v>
      </c>
      <c r="E3917" s="13" t="inlineStr">
        <is>
          <t>W</t>
        </is>
      </c>
      <c r="F3917" s="13" t="n">
        <v>2022</v>
      </c>
      <c r="G3917" s="14" t="n">
        <v>69540.76156565355</v>
      </c>
      <c r="H3917" s="14" t="n">
        <v>42203.76517932367</v>
      </c>
      <c r="I3917" s="14" t="n">
        <v>11062.48414525051</v>
      </c>
      <c r="J3917" s="14" t="n">
        <v>0</v>
      </c>
      <c r="K3917" s="14" t="n">
        <v>16274.51224107929</v>
      </c>
      <c r="L3917" s="14" t="n">
        <v>0</v>
      </c>
      <c r="M3917" s="14" t="n">
        <v>0</v>
      </c>
      <c r="N3917" s="14" t="n">
        <v>51916.59159150968</v>
      </c>
      <c r="O3917" s="14" t="n">
        <v>69540.76156565355</v>
      </c>
      <c r="P3917" s="14" t="n">
        <v>10213.43149201636</v>
      </c>
      <c r="Q3917" s="14" t="n">
        <v>844438.1472912363</v>
      </c>
      <c r="R3917" s="15">
        <f>IF(D3917=1,"Section 1","Control")</f>
        <v/>
      </c>
      <c r="S3917" s="16">
        <f>N3917/10000</f>
        <v/>
      </c>
      <c r="T3917" s="16">
        <f>P3917/10000</f>
        <v/>
      </c>
      <c r="U3917" s="15">
        <f>IF(N3917&gt;=Summary!$D$3,1,0)</f>
        <v/>
      </c>
      <c r="V3917" s="17">
        <f>IF(N3917&gt;0,P3917/N3917,"")</f>
        <v/>
      </c>
      <c r="W3917" s="17">
        <f>IF(O3917&gt;0,H3917/O3917,"")</f>
        <v/>
      </c>
    </row>
    <row r="3918">
      <c r="A3918" s="13" t="inlineStr">
        <is>
          <t>CW49_F</t>
        </is>
      </c>
      <c r="B3918" s="13" t="inlineStr">
        <is>
          <t>CW49</t>
        </is>
      </c>
      <c r="C3918" s="13" t="inlineStr">
        <is>
          <t>F</t>
        </is>
      </c>
      <c r="D3918" s="13" t="n">
        <v>0</v>
      </c>
      <c r="E3918" s="13" t="inlineStr">
        <is>
          <t>W</t>
        </is>
      </c>
      <c r="F3918" s="13" t="n">
        <v>2023</v>
      </c>
      <c r="G3918" s="14" t="n">
        <v>69540.76156565355</v>
      </c>
      <c r="H3918" s="14" t="n">
        <v>43472.50673834109</v>
      </c>
      <c r="I3918" s="14" t="n">
        <v>9447.229187879377</v>
      </c>
      <c r="J3918" s="14" t="n">
        <v>0</v>
      </c>
      <c r="K3918" s="14" t="n">
        <v>16621.02563943302</v>
      </c>
      <c r="L3918" s="14" t="n">
        <v>0</v>
      </c>
      <c r="M3918" s="14" t="n">
        <v>0</v>
      </c>
      <c r="N3918" s="14" t="n">
        <v>51916.59159150968</v>
      </c>
      <c r="O3918" s="14" t="n">
        <v>69540.76156565355</v>
      </c>
      <c r="P3918" s="14" t="n">
        <v>10398.49667199827</v>
      </c>
      <c r="Q3918" s="14" t="n">
        <v>844438.1472912363</v>
      </c>
      <c r="R3918" s="15">
        <f>IF(D3918=1,"Section 1","Control")</f>
        <v/>
      </c>
      <c r="S3918" s="16">
        <f>N3918/10000</f>
        <v/>
      </c>
      <c r="T3918" s="16">
        <f>P3918/10000</f>
        <v/>
      </c>
      <c r="U3918" s="15">
        <f>IF(N3918&gt;=Summary!$D$3,1,0)</f>
        <v/>
      </c>
      <c r="V3918" s="17">
        <f>IF(N3918&gt;0,P3918/N3918,"")</f>
        <v/>
      </c>
      <c r="W3918" s="17">
        <f>IF(O3918&gt;0,H3918/O3918,"")</f>
        <v/>
      </c>
    </row>
    <row r="3919">
      <c r="A3919" s="13" t="inlineStr">
        <is>
          <t>CW49_F</t>
        </is>
      </c>
      <c r="B3919" s="13" t="inlineStr">
        <is>
          <t>CW49</t>
        </is>
      </c>
      <c r="C3919" s="13" t="inlineStr">
        <is>
          <t>F</t>
        </is>
      </c>
      <c r="D3919" s="13" t="n">
        <v>0</v>
      </c>
      <c r="E3919" s="13" t="inlineStr">
        <is>
          <t>W</t>
        </is>
      </c>
      <c r="F3919" s="13" t="n">
        <v>2024</v>
      </c>
      <c r="G3919" s="14" t="n">
        <v>69540.76156565355</v>
      </c>
      <c r="H3919" s="14" t="n">
        <v>45309.60796428006</v>
      </c>
      <c r="I3919" s="14" t="n">
        <v>6938.008469854616</v>
      </c>
      <c r="J3919" s="14" t="n">
        <v>0</v>
      </c>
      <c r="K3919" s="14" t="n">
        <v>17293.1451315188</v>
      </c>
      <c r="L3919" s="14" t="n">
        <v>0</v>
      </c>
      <c r="M3919" s="14" t="n">
        <v>0</v>
      </c>
      <c r="N3919" s="14" t="n">
        <v>51916.59159150968</v>
      </c>
      <c r="O3919" s="14" t="n">
        <v>69540.76156565355</v>
      </c>
      <c r="P3919" s="14" t="n">
        <v>9978.809060339832</v>
      </c>
      <c r="Q3919" s="14" t="n">
        <v>844438.1472912363</v>
      </c>
      <c r="R3919" s="15">
        <f>IF(D3919=1,"Section 1","Control")</f>
        <v/>
      </c>
      <c r="S3919" s="16">
        <f>N3919/10000</f>
        <v/>
      </c>
      <c r="T3919" s="16">
        <f>P3919/10000</f>
        <v/>
      </c>
      <c r="U3919" s="15">
        <f>IF(N3919&gt;=Summary!$D$3,1,0)</f>
        <v/>
      </c>
      <c r="V3919" s="17">
        <f>IF(N3919&gt;0,P3919/N3919,"")</f>
        <v/>
      </c>
      <c r="W3919" s="17">
        <f>IF(O3919&gt;0,H3919/O3919,"")</f>
        <v/>
      </c>
    </row>
    <row r="3920">
      <c r="A3920" s="13" t="inlineStr">
        <is>
          <t>CW49_F</t>
        </is>
      </c>
      <c r="B3920" s="13" t="inlineStr">
        <is>
          <t>CW49</t>
        </is>
      </c>
      <c r="C3920" s="13" t="inlineStr">
        <is>
          <t>F</t>
        </is>
      </c>
      <c r="D3920" s="13" t="n">
        <v>0</v>
      </c>
      <c r="E3920" s="13" t="inlineStr">
        <is>
          <t>W</t>
        </is>
      </c>
      <c r="F3920" s="13" t="n">
        <v>2025</v>
      </c>
      <c r="G3920" s="14" t="n">
        <v>69540.76156565355</v>
      </c>
      <c r="H3920" s="14" t="n">
        <v>32999.67668971641</v>
      </c>
      <c r="I3920" s="14" t="n">
        <v>24839.77387165742</v>
      </c>
      <c r="J3920" s="14" t="n">
        <v>0</v>
      </c>
      <c r="K3920" s="14" t="n">
        <v>11701.31100427964</v>
      </c>
      <c r="L3920" s="14" t="n">
        <v>0</v>
      </c>
      <c r="M3920" s="14" t="n">
        <v>0</v>
      </c>
      <c r="N3920" s="14" t="n">
        <v>51916.59159150968</v>
      </c>
      <c r="O3920" s="14" t="n">
        <v>69540.76156565355</v>
      </c>
      <c r="P3920" s="14" t="n">
        <v>19311.82386785769</v>
      </c>
      <c r="Q3920" s="14" t="n">
        <v>844438.1472912363</v>
      </c>
      <c r="R3920" s="15">
        <f>IF(D3920=1,"Section 1","Control")</f>
        <v/>
      </c>
      <c r="S3920" s="16">
        <f>N3920/10000</f>
        <v/>
      </c>
      <c r="T3920" s="16">
        <f>P3920/10000</f>
        <v/>
      </c>
      <c r="U3920" s="15">
        <f>IF(N3920&gt;=Summary!$D$3,1,0)</f>
        <v/>
      </c>
      <c r="V3920" s="17">
        <f>IF(N3920&gt;0,P3920/N3920,"")</f>
        <v/>
      </c>
      <c r="W3920" s="17">
        <f>IF(O3920&gt;0,H3920/O3920,"")</f>
        <v/>
      </c>
    </row>
    <row r="3921">
      <c r="A3921" s="13" t="inlineStr">
        <is>
          <t>CW49_F</t>
        </is>
      </c>
      <c r="B3921" s="13" t="inlineStr">
        <is>
          <t>CW49</t>
        </is>
      </c>
      <c r="C3921" s="13" t="inlineStr">
        <is>
          <t>F</t>
        </is>
      </c>
      <c r="D3921" s="13" t="n">
        <v>0</v>
      </c>
      <c r="E3921" s="13" t="inlineStr">
        <is>
          <t>W</t>
        </is>
      </c>
      <c r="F3921" s="13" t="n">
        <v>2026</v>
      </c>
      <c r="G3921" s="14" t="n">
        <v>69540.76156565355</v>
      </c>
      <c r="H3921" s="14" t="n">
        <v>51163.16497051762</v>
      </c>
      <c r="I3921" s="14" t="n">
        <v>3677.29951653574</v>
      </c>
      <c r="J3921" s="14" t="n">
        <v>0</v>
      </c>
      <c r="K3921" s="14" t="n">
        <v>14700.29707860012</v>
      </c>
      <c r="L3921" s="14" t="n">
        <v>0</v>
      </c>
      <c r="M3921" s="14" t="n">
        <v>0</v>
      </c>
      <c r="N3921" s="14" t="n">
        <v>51916.59159150968</v>
      </c>
      <c r="O3921" s="14" t="n">
        <v>69540.76156565355</v>
      </c>
      <c r="P3921" s="14" t="n">
        <v>7897.406463533289</v>
      </c>
      <c r="Q3921" s="14" t="n">
        <v>844438.1472912363</v>
      </c>
      <c r="R3921" s="15">
        <f>IF(D3921=1,"Section 1","Control")</f>
        <v/>
      </c>
      <c r="S3921" s="16">
        <f>N3921/10000</f>
        <v/>
      </c>
      <c r="T3921" s="16">
        <f>P3921/10000</f>
        <v/>
      </c>
      <c r="U3921" s="15">
        <f>IF(N3921&gt;=Summary!$D$3,1,0)</f>
        <v/>
      </c>
      <c r="V3921" s="17">
        <f>IF(N3921&gt;0,P3921/N3921,"")</f>
        <v/>
      </c>
      <c r="W3921" s="17">
        <f>IF(O3921&gt;0,H3921/O3921,"")</f>
        <v/>
      </c>
    </row>
    <row r="3922">
      <c r="A3922" s="13" t="inlineStr">
        <is>
          <t>CW50_B1</t>
        </is>
      </c>
      <c r="B3922" s="13" t="inlineStr">
        <is>
          <t>CW50</t>
        </is>
      </c>
      <c r="C3922" s="13" t="inlineStr">
        <is>
          <t>B1</t>
        </is>
      </c>
      <c r="D3922" s="13" t="n">
        <v>0</v>
      </c>
      <c r="E3922" s="13" t="inlineStr">
        <is>
          <t>W</t>
        </is>
      </c>
      <c r="F3922" s="13" t="n">
        <v>2020</v>
      </c>
      <c r="G3922" s="14" t="n">
        <v>975506.8923276716</v>
      </c>
      <c r="H3922" s="14" t="n">
        <v>233496.4810725193</v>
      </c>
      <c r="I3922" s="14" t="n">
        <v>135898.6240938972</v>
      </c>
      <c r="J3922" s="14" t="n">
        <v>0</v>
      </c>
      <c r="K3922" s="14" t="n">
        <v>47837.78915414248</v>
      </c>
      <c r="L3922" s="14" t="n">
        <v>558273.9980071124</v>
      </c>
      <c r="M3922" s="14" t="n">
        <v>0</v>
      </c>
      <c r="N3922" s="14" t="n">
        <v>233496.4810725193</v>
      </c>
      <c r="O3922" s="14" t="n">
        <v>417232.8943205589</v>
      </c>
      <c r="P3922" s="14" t="n">
        <v>0</v>
      </c>
      <c r="Q3922" s="14" t="n">
        <v>3322678.552870867</v>
      </c>
      <c r="R3922" s="15">
        <f>IF(D3922=1,"Section 1","Control")</f>
        <v/>
      </c>
      <c r="S3922" s="16">
        <f>N3922/10000</f>
        <v/>
      </c>
      <c r="T3922" s="16">
        <f>P3922/10000</f>
        <v/>
      </c>
      <c r="U3922" s="15">
        <f>IF(N3922&gt;=Summary!$D$3,1,0)</f>
        <v/>
      </c>
      <c r="V3922" s="17">
        <f>IF(N3922&gt;0,P3922/N3922,"")</f>
        <v/>
      </c>
      <c r="W3922" s="17">
        <f>IF(O3922&gt;0,H3922/O3922,"")</f>
        <v/>
      </c>
    </row>
    <row r="3923">
      <c r="A3923" s="13" t="inlineStr">
        <is>
          <t>CW50_B1</t>
        </is>
      </c>
      <c r="B3923" s="13" t="inlineStr">
        <is>
          <t>CW50</t>
        </is>
      </c>
      <c r="C3923" s="13" t="inlineStr">
        <is>
          <t>B1</t>
        </is>
      </c>
      <c r="D3923" s="13" t="n">
        <v>0</v>
      </c>
      <c r="E3923" s="13" t="inlineStr">
        <is>
          <t>W</t>
        </is>
      </c>
      <c r="F3923" s="13" t="n">
        <v>2021</v>
      </c>
      <c r="G3923" s="14" t="n">
        <v>975506.8923276716</v>
      </c>
      <c r="H3923" s="14" t="n">
        <v>203246.8466027055</v>
      </c>
      <c r="I3923" s="14" t="n">
        <v>135151.0258698407</v>
      </c>
      <c r="J3923" s="14" t="n">
        <v>0</v>
      </c>
      <c r="K3923" s="14" t="n">
        <v>90636.18633563472</v>
      </c>
      <c r="L3923" s="14" t="n">
        <v>546472.8335194906</v>
      </c>
      <c r="M3923" s="14" t="n">
        <v>0</v>
      </c>
      <c r="N3923" s="14" t="n">
        <v>233496.4810725193</v>
      </c>
      <c r="O3923" s="14" t="n">
        <v>417232.894320559</v>
      </c>
      <c r="P3923" s="14" t="n">
        <v>30886.1335734947</v>
      </c>
      <c r="Q3923" s="14" t="n">
        <v>3322678.552870867</v>
      </c>
      <c r="R3923" s="15">
        <f>IF(D3923=1,"Section 1","Control")</f>
        <v/>
      </c>
      <c r="S3923" s="16">
        <f>N3923/10000</f>
        <v/>
      </c>
      <c r="T3923" s="16">
        <f>P3923/10000</f>
        <v/>
      </c>
      <c r="U3923" s="15">
        <f>IF(N3923&gt;=Summary!$D$3,1,0)</f>
        <v/>
      </c>
      <c r="V3923" s="17">
        <f>IF(N3923&gt;0,P3923/N3923,"")</f>
        <v/>
      </c>
      <c r="W3923" s="17">
        <f>IF(O3923&gt;0,H3923/O3923,"")</f>
        <v/>
      </c>
    </row>
    <row r="3924">
      <c r="A3924" s="13" t="inlineStr">
        <is>
          <t>CW50_B1</t>
        </is>
      </c>
      <c r="B3924" s="13" t="inlineStr">
        <is>
          <t>CW50</t>
        </is>
      </c>
      <c r="C3924" s="13" t="inlineStr">
        <is>
          <t>B1</t>
        </is>
      </c>
      <c r="D3924" s="13" t="n">
        <v>0</v>
      </c>
      <c r="E3924" s="13" t="inlineStr">
        <is>
          <t>W</t>
        </is>
      </c>
      <c r="F3924" s="13" t="n">
        <v>2022</v>
      </c>
      <c r="G3924" s="14" t="n">
        <v>975506.8923276716</v>
      </c>
      <c r="H3924" s="14" t="n">
        <v>200587.7933004044</v>
      </c>
      <c r="I3924" s="14" t="n">
        <v>144672.5671939625</v>
      </c>
      <c r="J3924" s="14" t="n">
        <v>0</v>
      </c>
      <c r="K3924" s="14" t="n">
        <v>75205.73208034738</v>
      </c>
      <c r="L3924" s="14" t="n">
        <v>555040.7997529572</v>
      </c>
      <c r="M3924" s="14" t="n">
        <v>0</v>
      </c>
      <c r="N3924" s="14" t="n">
        <v>233496.4810725193</v>
      </c>
      <c r="O3924" s="14" t="n">
        <v>417232.894320559</v>
      </c>
      <c r="P3924" s="14" t="n">
        <v>33248.23161094516</v>
      </c>
      <c r="Q3924" s="14" t="n">
        <v>3322678.552870867</v>
      </c>
      <c r="R3924" s="15">
        <f>IF(D3924=1,"Section 1","Control")</f>
        <v/>
      </c>
      <c r="S3924" s="16">
        <f>N3924/10000</f>
        <v/>
      </c>
      <c r="T3924" s="16">
        <f>P3924/10000</f>
        <v/>
      </c>
      <c r="U3924" s="15">
        <f>IF(N3924&gt;=Summary!$D$3,1,0)</f>
        <v/>
      </c>
      <c r="V3924" s="17">
        <f>IF(N3924&gt;0,P3924/N3924,"")</f>
        <v/>
      </c>
      <c r="W3924" s="17">
        <f>IF(O3924&gt;0,H3924/O3924,"")</f>
        <v/>
      </c>
    </row>
    <row r="3925">
      <c r="A3925" s="13" t="inlineStr">
        <is>
          <t>CW50_B1</t>
        </is>
      </c>
      <c r="B3925" s="13" t="inlineStr">
        <is>
          <t>CW50</t>
        </is>
      </c>
      <c r="C3925" s="13" t="inlineStr">
        <is>
          <t>B1</t>
        </is>
      </c>
      <c r="D3925" s="13" t="n">
        <v>0</v>
      </c>
      <c r="E3925" s="13" t="inlineStr">
        <is>
          <t>W</t>
        </is>
      </c>
      <c r="F3925" s="13" t="n">
        <v>2023</v>
      </c>
      <c r="G3925" s="14" t="n">
        <v>975506.8923276716</v>
      </c>
      <c r="H3925" s="14" t="n">
        <v>201127.8851004807</v>
      </c>
      <c r="I3925" s="14" t="n">
        <v>131795.4057807474</v>
      </c>
      <c r="J3925" s="14" t="n">
        <v>0</v>
      </c>
      <c r="K3925" s="14" t="n">
        <v>75939.05674558153</v>
      </c>
      <c r="L3925" s="14" t="n">
        <v>566644.5447008619</v>
      </c>
      <c r="M3925" s="14" t="n">
        <v>0</v>
      </c>
      <c r="N3925" s="14" t="n">
        <v>233496.4810725193</v>
      </c>
      <c r="O3925" s="14" t="n">
        <v>417232.8943205589</v>
      </c>
      <c r="P3925" s="14" t="n">
        <v>33797.62247954724</v>
      </c>
      <c r="Q3925" s="14" t="n">
        <v>3322678.552870867</v>
      </c>
      <c r="R3925" s="15">
        <f>IF(D3925=1,"Section 1","Control")</f>
        <v/>
      </c>
      <c r="S3925" s="16">
        <f>N3925/10000</f>
        <v/>
      </c>
      <c r="T3925" s="16">
        <f>P3925/10000</f>
        <v/>
      </c>
      <c r="U3925" s="15">
        <f>IF(N3925&gt;=Summary!$D$3,1,0)</f>
        <v/>
      </c>
      <c r="V3925" s="17">
        <f>IF(N3925&gt;0,P3925/N3925,"")</f>
        <v/>
      </c>
      <c r="W3925" s="17">
        <f>IF(O3925&gt;0,H3925/O3925,"")</f>
        <v/>
      </c>
    </row>
    <row r="3926">
      <c r="A3926" s="13" t="inlineStr">
        <is>
          <t>CW50_B1</t>
        </is>
      </c>
      <c r="B3926" s="13" t="inlineStr">
        <is>
          <t>CW50</t>
        </is>
      </c>
      <c r="C3926" s="13" t="inlineStr">
        <is>
          <t>B1</t>
        </is>
      </c>
      <c r="D3926" s="13" t="n">
        <v>0</v>
      </c>
      <c r="E3926" s="13" t="inlineStr">
        <is>
          <t>W</t>
        </is>
      </c>
      <c r="F3926" s="13" t="n">
        <v>2024</v>
      </c>
      <c r="G3926" s="14" t="n">
        <v>975506.8923276716</v>
      </c>
      <c r="H3926" s="14" t="n">
        <v>202804.6987749886</v>
      </c>
      <c r="I3926" s="14" t="n">
        <v>136846.7809264539</v>
      </c>
      <c r="J3926" s="14" t="n">
        <v>0</v>
      </c>
      <c r="K3926" s="14" t="n">
        <v>81935.05269814286</v>
      </c>
      <c r="L3926" s="14" t="n">
        <v>553920.3599280863</v>
      </c>
      <c r="M3926" s="14" t="n">
        <v>0</v>
      </c>
      <c r="N3926" s="14" t="n">
        <v>233496.4810725193</v>
      </c>
      <c r="O3926" s="14" t="n">
        <v>417232.8943205589</v>
      </c>
      <c r="P3926" s="14" t="n">
        <v>33374.06183486639</v>
      </c>
      <c r="Q3926" s="14" t="n">
        <v>3322678.552870867</v>
      </c>
      <c r="R3926" s="15">
        <f>IF(D3926=1,"Section 1","Control")</f>
        <v/>
      </c>
      <c r="S3926" s="16">
        <f>N3926/10000</f>
        <v/>
      </c>
      <c r="T3926" s="16">
        <f>P3926/10000</f>
        <v/>
      </c>
      <c r="U3926" s="15">
        <f>IF(N3926&gt;=Summary!$D$3,1,0)</f>
        <v/>
      </c>
      <c r="V3926" s="17">
        <f>IF(N3926&gt;0,P3926/N3926,"")</f>
        <v/>
      </c>
      <c r="W3926" s="17">
        <f>IF(O3926&gt;0,H3926/O3926,"")</f>
        <v/>
      </c>
    </row>
    <row r="3927">
      <c r="A3927" s="13" t="inlineStr">
        <is>
          <t>CW50_B1</t>
        </is>
      </c>
      <c r="B3927" s="13" t="inlineStr">
        <is>
          <t>CW50</t>
        </is>
      </c>
      <c r="C3927" s="13" t="inlineStr">
        <is>
          <t>B1</t>
        </is>
      </c>
      <c r="D3927" s="13" t="n">
        <v>0</v>
      </c>
      <c r="E3927" s="13" t="inlineStr">
        <is>
          <t>W</t>
        </is>
      </c>
      <c r="F3927" s="13" t="n">
        <v>2025</v>
      </c>
      <c r="G3927" s="14" t="n">
        <v>975506.8923276716</v>
      </c>
      <c r="H3927" s="14" t="n">
        <v>173135.0543717927</v>
      </c>
      <c r="I3927" s="14" t="n">
        <v>178532.5151139203</v>
      </c>
      <c r="J3927" s="14" t="n">
        <v>0</v>
      </c>
      <c r="K3927" s="14" t="n">
        <v>70055.64043926164</v>
      </c>
      <c r="L3927" s="14" t="n">
        <v>553783.6824026968</v>
      </c>
      <c r="M3927" s="14" t="n">
        <v>0</v>
      </c>
      <c r="N3927" s="14" t="n">
        <v>233496.4810725193</v>
      </c>
      <c r="O3927" s="14" t="n">
        <v>417232.8943205589</v>
      </c>
      <c r="P3927" s="14" t="n">
        <v>60925.5240395041</v>
      </c>
      <c r="Q3927" s="14" t="n">
        <v>3322678.552870867</v>
      </c>
      <c r="R3927" s="15">
        <f>IF(D3927=1,"Section 1","Control")</f>
        <v/>
      </c>
      <c r="S3927" s="16">
        <f>N3927/10000</f>
        <v/>
      </c>
      <c r="T3927" s="16">
        <f>P3927/10000</f>
        <v/>
      </c>
      <c r="U3927" s="15">
        <f>IF(N3927&gt;=Summary!$D$3,1,0)</f>
        <v/>
      </c>
      <c r="V3927" s="17">
        <f>IF(N3927&gt;0,P3927/N3927,"")</f>
        <v/>
      </c>
      <c r="W3927" s="17">
        <f>IF(O3927&gt;0,H3927/O3927,"")</f>
        <v/>
      </c>
    </row>
    <row r="3928">
      <c r="A3928" s="13" t="inlineStr">
        <is>
          <t>CW50_B1</t>
        </is>
      </c>
      <c r="B3928" s="13" t="inlineStr">
        <is>
          <t>CW50</t>
        </is>
      </c>
      <c r="C3928" s="13" t="inlineStr">
        <is>
          <t>B1</t>
        </is>
      </c>
      <c r="D3928" s="13" t="n">
        <v>0</v>
      </c>
      <c r="E3928" s="13" t="inlineStr">
        <is>
          <t>W</t>
        </is>
      </c>
      <c r="F3928" s="13" t="n">
        <v>2026</v>
      </c>
      <c r="G3928" s="14" t="n">
        <v>975506.8923276716</v>
      </c>
      <c r="H3928" s="14" t="n">
        <v>207270.6570143457</v>
      </c>
      <c r="I3928" s="14" t="n">
        <v>138468.634480136</v>
      </c>
      <c r="J3928" s="14" t="n">
        <v>0</v>
      </c>
      <c r="K3928" s="14" t="n">
        <v>67073.31938808665</v>
      </c>
      <c r="L3928" s="14" t="n">
        <v>562694.2814451031</v>
      </c>
      <c r="M3928" s="14" t="n">
        <v>0</v>
      </c>
      <c r="N3928" s="14" t="n">
        <v>233496.4810725193</v>
      </c>
      <c r="O3928" s="14" t="n">
        <v>417232.8943205589</v>
      </c>
      <c r="P3928" s="14" t="n">
        <v>34940.92042496626</v>
      </c>
      <c r="Q3928" s="14" t="n">
        <v>3322678.552870867</v>
      </c>
      <c r="R3928" s="15">
        <f>IF(D3928=1,"Section 1","Control")</f>
        <v/>
      </c>
      <c r="S3928" s="16">
        <f>N3928/10000</f>
        <v/>
      </c>
      <c r="T3928" s="16">
        <f>P3928/10000</f>
        <v/>
      </c>
      <c r="U3928" s="15">
        <f>IF(N3928&gt;=Summary!$D$3,1,0)</f>
        <v/>
      </c>
      <c r="V3928" s="17">
        <f>IF(N3928&gt;0,P3928/N3928,"")</f>
        <v/>
      </c>
      <c r="W3928" s="17">
        <f>IF(O3928&gt;0,H3928/O3928,"")</f>
        <v/>
      </c>
    </row>
    <row r="3929">
      <c r="A3929" s="13" t="inlineStr">
        <is>
          <t>CW50_B2</t>
        </is>
      </c>
      <c r="B3929" s="13" t="inlineStr">
        <is>
          <t>CW50</t>
        </is>
      </c>
      <c r="C3929" s="13" t="inlineStr">
        <is>
          <t>B2</t>
        </is>
      </c>
      <c r="D3929" s="13" t="n">
        <v>0</v>
      </c>
      <c r="E3929" s="13" t="inlineStr">
        <is>
          <t>W</t>
        </is>
      </c>
      <c r="F3929" s="13" t="n">
        <v>2020</v>
      </c>
      <c r="G3929" s="14" t="n">
        <v>975720.98898106</v>
      </c>
      <c r="H3929" s="14" t="n">
        <v>182129.0553300147</v>
      </c>
      <c r="I3929" s="14" t="n">
        <v>692.2427225449505</v>
      </c>
      <c r="J3929" s="14" t="n">
        <v>0</v>
      </c>
      <c r="K3929" s="14" t="n">
        <v>24557.55846282361</v>
      </c>
      <c r="L3929" s="14" t="n">
        <v>768342.1324656766</v>
      </c>
      <c r="M3929" s="14" t="n">
        <v>0</v>
      </c>
      <c r="N3929" s="14" t="n">
        <v>182129.0553300147</v>
      </c>
      <c r="O3929" s="14" t="n">
        <v>207378.8565153832</v>
      </c>
      <c r="P3929" s="14" t="n">
        <v>0</v>
      </c>
      <c r="Q3929" s="14" t="n">
        <v>1623239.873585151</v>
      </c>
      <c r="R3929" s="15">
        <f>IF(D3929=1,"Section 1","Control")</f>
        <v/>
      </c>
      <c r="S3929" s="16">
        <f>N3929/10000</f>
        <v/>
      </c>
      <c r="T3929" s="16">
        <f>P3929/10000</f>
        <v/>
      </c>
      <c r="U3929" s="15">
        <f>IF(N3929&gt;=Summary!$D$3,1,0)</f>
        <v/>
      </c>
      <c r="V3929" s="17">
        <f>IF(N3929&gt;0,P3929/N3929,"")</f>
        <v/>
      </c>
      <c r="W3929" s="17">
        <f>IF(O3929&gt;0,H3929/O3929,"")</f>
        <v/>
      </c>
    </row>
    <row r="3930">
      <c r="A3930" s="13" t="inlineStr">
        <is>
          <t>CW50_B2</t>
        </is>
      </c>
      <c r="B3930" s="13" t="inlineStr">
        <is>
          <t>CW50</t>
        </is>
      </c>
      <c r="C3930" s="13" t="inlineStr">
        <is>
          <t>B2</t>
        </is>
      </c>
      <c r="D3930" s="13" t="n">
        <v>0</v>
      </c>
      <c r="E3930" s="13" t="inlineStr">
        <is>
          <t>W</t>
        </is>
      </c>
      <c r="F3930" s="13" t="n">
        <v>2021</v>
      </c>
      <c r="G3930" s="14" t="n">
        <v>975720.98898106</v>
      </c>
      <c r="H3930" s="14" t="n">
        <v>177062.2948502784</v>
      </c>
      <c r="I3930" s="14" t="n">
        <v>3379.129088368135</v>
      </c>
      <c r="J3930" s="14" t="n">
        <v>0</v>
      </c>
      <c r="K3930" s="14" t="n">
        <v>40496.18168044744</v>
      </c>
      <c r="L3930" s="14" t="n">
        <v>754783.3833619659</v>
      </c>
      <c r="M3930" s="14" t="n">
        <v>0</v>
      </c>
      <c r="N3930" s="14" t="n">
        <v>182129.0553300147</v>
      </c>
      <c r="O3930" s="14" t="n">
        <v>207378.8565153832</v>
      </c>
      <c r="P3930" s="14" t="n">
        <v>5264.212788391113</v>
      </c>
      <c r="Q3930" s="14" t="n">
        <v>1623239.873585151</v>
      </c>
      <c r="R3930" s="15">
        <f>IF(D3930=1,"Section 1","Control")</f>
        <v/>
      </c>
      <c r="S3930" s="16">
        <f>N3930/10000</f>
        <v/>
      </c>
      <c r="T3930" s="16">
        <f>P3930/10000</f>
        <v/>
      </c>
      <c r="U3930" s="15">
        <f>IF(N3930&gt;=Summary!$D$3,1,0)</f>
        <v/>
      </c>
      <c r="V3930" s="17">
        <f>IF(N3930&gt;0,P3930/N3930,"")</f>
        <v/>
      </c>
      <c r="W3930" s="17">
        <f>IF(O3930&gt;0,H3930/O3930,"")</f>
        <v/>
      </c>
    </row>
    <row r="3931">
      <c r="A3931" s="13" t="inlineStr">
        <is>
          <t>CW50_B2</t>
        </is>
      </c>
      <c r="B3931" s="13" t="inlineStr">
        <is>
          <t>CW50</t>
        </is>
      </c>
      <c r="C3931" s="13" t="inlineStr">
        <is>
          <t>B2</t>
        </is>
      </c>
      <c r="D3931" s="13" t="n">
        <v>0</v>
      </c>
      <c r="E3931" s="13" t="inlineStr">
        <is>
          <t>W</t>
        </is>
      </c>
      <c r="F3931" s="13" t="n">
        <v>2022</v>
      </c>
      <c r="G3931" s="14" t="n">
        <v>975720.98898106</v>
      </c>
      <c r="H3931" s="14" t="n">
        <v>176085.0978674496</v>
      </c>
      <c r="I3931" s="14" t="n">
        <v>864.1395995196175</v>
      </c>
      <c r="J3931" s="14" t="n">
        <v>0</v>
      </c>
      <c r="K3931" s="14" t="n">
        <v>35763.91428704355</v>
      </c>
      <c r="L3931" s="14" t="n">
        <v>763007.8372270472</v>
      </c>
      <c r="M3931" s="14" t="n">
        <v>0</v>
      </c>
      <c r="N3931" s="14" t="n">
        <v>182129.0553300147</v>
      </c>
      <c r="O3931" s="14" t="n">
        <v>207378.8565153832</v>
      </c>
      <c r="P3931" s="14" t="n">
        <v>6340.13485361735</v>
      </c>
      <c r="Q3931" s="14" t="n">
        <v>1623239.873585151</v>
      </c>
      <c r="R3931" s="15">
        <f>IF(D3931=1,"Section 1","Control")</f>
        <v/>
      </c>
      <c r="S3931" s="16">
        <f>N3931/10000</f>
        <v/>
      </c>
      <c r="T3931" s="16">
        <f>P3931/10000</f>
        <v/>
      </c>
      <c r="U3931" s="15">
        <f>IF(N3931&gt;=Summary!$D$3,1,0)</f>
        <v/>
      </c>
      <c r="V3931" s="17">
        <f>IF(N3931&gt;0,P3931/N3931,"")</f>
        <v/>
      </c>
      <c r="W3931" s="17">
        <f>IF(O3931&gt;0,H3931/O3931,"")</f>
        <v/>
      </c>
    </row>
    <row r="3932">
      <c r="A3932" s="13" t="inlineStr">
        <is>
          <t>CW50_B2</t>
        </is>
      </c>
      <c r="B3932" s="13" t="inlineStr">
        <is>
          <t>CW50</t>
        </is>
      </c>
      <c r="C3932" s="13" t="inlineStr">
        <is>
          <t>B2</t>
        </is>
      </c>
      <c r="D3932" s="13" t="n">
        <v>0</v>
      </c>
      <c r="E3932" s="13" t="inlineStr">
        <is>
          <t>W</t>
        </is>
      </c>
      <c r="F3932" s="13" t="n">
        <v>2023</v>
      </c>
      <c r="G3932" s="14" t="n">
        <v>975720.98898106</v>
      </c>
      <c r="H3932" s="14" t="n">
        <v>176215.5681065279</v>
      </c>
      <c r="I3932" s="14" t="n">
        <v>634.9422562543084</v>
      </c>
      <c r="J3932" s="14" t="n">
        <v>0</v>
      </c>
      <c r="K3932" s="14" t="n">
        <v>24770.11162130319</v>
      </c>
      <c r="L3932" s="14" t="n">
        <v>774100.3669969745</v>
      </c>
      <c r="M3932" s="14" t="n">
        <v>0</v>
      </c>
      <c r="N3932" s="14" t="n">
        <v>182129.0553300147</v>
      </c>
      <c r="O3932" s="14" t="n">
        <v>207378.8565153832</v>
      </c>
      <c r="P3932" s="14" t="n">
        <v>6110.938593726065</v>
      </c>
      <c r="Q3932" s="14" t="n">
        <v>1623239.873585151</v>
      </c>
      <c r="R3932" s="15">
        <f>IF(D3932=1,"Section 1","Control")</f>
        <v/>
      </c>
      <c r="S3932" s="16">
        <f>N3932/10000</f>
        <v/>
      </c>
      <c r="T3932" s="16">
        <f>P3932/10000</f>
        <v/>
      </c>
      <c r="U3932" s="15">
        <f>IF(N3932&gt;=Summary!$D$3,1,0)</f>
        <v/>
      </c>
      <c r="V3932" s="17">
        <f>IF(N3932&gt;0,P3932/N3932,"")</f>
        <v/>
      </c>
      <c r="W3932" s="17">
        <f>IF(O3932&gt;0,H3932/O3932,"")</f>
        <v/>
      </c>
    </row>
    <row r="3933">
      <c r="A3933" s="13" t="inlineStr">
        <is>
          <t>CW50_B2</t>
        </is>
      </c>
      <c r="B3933" s="13" t="inlineStr">
        <is>
          <t>CW50</t>
        </is>
      </c>
      <c r="C3933" s="13" t="inlineStr">
        <is>
          <t>B2</t>
        </is>
      </c>
      <c r="D3933" s="13" t="n">
        <v>0</v>
      </c>
      <c r="E3933" s="13" t="inlineStr">
        <is>
          <t>W</t>
        </is>
      </c>
      <c r="F3933" s="13" t="n">
        <v>2024</v>
      </c>
      <c r="G3933" s="14" t="n">
        <v>975720.98898106</v>
      </c>
      <c r="H3933" s="14" t="n">
        <v>176417.2799632353</v>
      </c>
      <c r="I3933" s="14" t="n">
        <v>729.4090113022748</v>
      </c>
      <c r="J3933" s="14" t="n">
        <v>0</v>
      </c>
      <c r="K3933" s="14" t="n">
        <v>38559.21644547406</v>
      </c>
      <c r="L3933" s="14" t="n">
        <v>760015.0835610484</v>
      </c>
      <c r="M3933" s="14" t="n">
        <v>0</v>
      </c>
      <c r="N3933" s="14" t="n">
        <v>182129.0553300147</v>
      </c>
      <c r="O3933" s="14" t="n">
        <v>207378.8565153832</v>
      </c>
      <c r="P3933" s="14" t="n">
        <v>6106.678725238875</v>
      </c>
      <c r="Q3933" s="14" t="n">
        <v>1623239.873585151</v>
      </c>
      <c r="R3933" s="15">
        <f>IF(D3933=1,"Section 1","Control")</f>
        <v/>
      </c>
      <c r="S3933" s="16">
        <f>N3933/10000</f>
        <v/>
      </c>
      <c r="T3933" s="16">
        <f>P3933/10000</f>
        <v/>
      </c>
      <c r="U3933" s="15">
        <f>IF(N3933&gt;=Summary!$D$3,1,0)</f>
        <v/>
      </c>
      <c r="V3933" s="17">
        <f>IF(N3933&gt;0,P3933/N3933,"")</f>
        <v/>
      </c>
      <c r="W3933" s="17">
        <f>IF(O3933&gt;0,H3933/O3933,"")</f>
        <v/>
      </c>
    </row>
    <row r="3934">
      <c r="A3934" s="13" t="inlineStr">
        <is>
          <t>CW50_B2</t>
        </is>
      </c>
      <c r="B3934" s="13" t="inlineStr">
        <is>
          <t>CW50</t>
        </is>
      </c>
      <c r="C3934" s="13" t="inlineStr">
        <is>
          <t>B2</t>
        </is>
      </c>
      <c r="D3934" s="13" t="n">
        <v>0</v>
      </c>
      <c r="E3934" s="13" t="inlineStr">
        <is>
          <t>W</t>
        </is>
      </c>
      <c r="F3934" s="13" t="n">
        <v>2025</v>
      </c>
      <c r="G3934" s="14" t="n">
        <v>975720.98898106</v>
      </c>
      <c r="H3934" s="14" t="n">
        <v>176850.5127126357</v>
      </c>
      <c r="I3934" s="14" t="n">
        <v>1344.994106965906</v>
      </c>
      <c r="J3934" s="14" t="n">
        <v>0</v>
      </c>
      <c r="K3934" s="14" t="n">
        <v>29509.73384593889</v>
      </c>
      <c r="L3934" s="14" t="n">
        <v>768015.7483155194</v>
      </c>
      <c r="M3934" s="14" t="n">
        <v>0</v>
      </c>
      <c r="N3934" s="14" t="n">
        <v>182129.0553300147</v>
      </c>
      <c r="O3934" s="14" t="n">
        <v>207378.8565153832</v>
      </c>
      <c r="P3934" s="14" t="n">
        <v>5870.898543892655</v>
      </c>
      <c r="Q3934" s="14" t="n">
        <v>1623239.873585151</v>
      </c>
      <c r="R3934" s="15">
        <f>IF(D3934=1,"Section 1","Control")</f>
        <v/>
      </c>
      <c r="S3934" s="16">
        <f>N3934/10000</f>
        <v/>
      </c>
      <c r="T3934" s="16">
        <f>P3934/10000</f>
        <v/>
      </c>
      <c r="U3934" s="15">
        <f>IF(N3934&gt;=Summary!$D$3,1,0)</f>
        <v/>
      </c>
      <c r="V3934" s="17">
        <f>IF(N3934&gt;0,P3934/N3934,"")</f>
        <v/>
      </c>
      <c r="W3934" s="17">
        <f>IF(O3934&gt;0,H3934/O3934,"")</f>
        <v/>
      </c>
    </row>
    <row r="3935">
      <c r="A3935" s="13" t="inlineStr">
        <is>
          <t>CW50_B2</t>
        </is>
      </c>
      <c r="B3935" s="13" t="inlineStr">
        <is>
          <t>CW50</t>
        </is>
      </c>
      <c r="C3935" s="13" t="inlineStr">
        <is>
          <t>B2</t>
        </is>
      </c>
      <c r="D3935" s="13" t="n">
        <v>0</v>
      </c>
      <c r="E3935" s="13" t="inlineStr">
        <is>
          <t>W</t>
        </is>
      </c>
      <c r="F3935" s="13" t="n">
        <v>2026</v>
      </c>
      <c r="G3935" s="14" t="n">
        <v>975720.98898106</v>
      </c>
      <c r="H3935" s="14" t="n">
        <v>174292.1592756084</v>
      </c>
      <c r="I3935" s="14" t="n">
        <v>1516.89070632037</v>
      </c>
      <c r="J3935" s="14" t="n">
        <v>0</v>
      </c>
      <c r="K3935" s="14" t="n">
        <v>29006.41450922349</v>
      </c>
      <c r="L3935" s="14" t="n">
        <v>770905.5244899078</v>
      </c>
      <c r="M3935" s="14" t="n">
        <v>0</v>
      </c>
      <c r="N3935" s="14" t="n">
        <v>182129.0553300147</v>
      </c>
      <c r="O3935" s="14" t="n">
        <v>207378.8565153832</v>
      </c>
      <c r="P3935" s="14" t="n">
        <v>8133.073445458505</v>
      </c>
      <c r="Q3935" s="14" t="n">
        <v>1623239.873585151</v>
      </c>
      <c r="R3935" s="15">
        <f>IF(D3935=1,"Section 1","Control")</f>
        <v/>
      </c>
      <c r="S3935" s="16">
        <f>N3935/10000</f>
        <v/>
      </c>
      <c r="T3935" s="16">
        <f>P3935/10000</f>
        <v/>
      </c>
      <c r="U3935" s="15">
        <f>IF(N3935&gt;=Summary!$D$3,1,0)</f>
        <v/>
      </c>
      <c r="V3935" s="17">
        <f>IF(N3935&gt;0,P3935/N3935,"")</f>
        <v/>
      </c>
      <c r="W3935" s="17">
        <f>IF(O3935&gt;0,H3935/O3935,"")</f>
        <v/>
      </c>
    </row>
    <row r="3936">
      <c r="A3936" s="13" t="inlineStr">
        <is>
          <t>CW50_B3</t>
        </is>
      </c>
      <c r="B3936" s="13" t="inlineStr">
        <is>
          <t>CW50</t>
        </is>
      </c>
      <c r="C3936" s="13" t="inlineStr">
        <is>
          <t>B3</t>
        </is>
      </c>
      <c r="D3936" s="13" t="n">
        <v>0</v>
      </c>
      <c r="E3936" s="13" t="inlineStr">
        <is>
          <t>W</t>
        </is>
      </c>
      <c r="F3936" s="13" t="n">
        <v>2020</v>
      </c>
      <c r="G3936" s="14" t="n">
        <v>7807010.129945913</v>
      </c>
      <c r="H3936" s="14" t="n">
        <v>3452981.394804861</v>
      </c>
      <c r="I3936" s="14" t="n">
        <v>106088.6321117326</v>
      </c>
      <c r="J3936" s="14" t="n">
        <v>0</v>
      </c>
      <c r="K3936" s="14" t="n">
        <v>145663.9267434513</v>
      </c>
      <c r="L3936" s="14" t="n">
        <v>4102276.176285867</v>
      </c>
      <c r="M3936" s="14" t="n">
        <v>0</v>
      </c>
      <c r="N3936" s="14" t="n">
        <v>3452981.394804861</v>
      </c>
      <c r="O3936" s="14" t="n">
        <v>3704733.953660045</v>
      </c>
      <c r="P3936" s="14" t="n">
        <v>0</v>
      </c>
      <c r="Q3936" s="14" t="n">
        <v>21036844.95360317</v>
      </c>
      <c r="R3936" s="15">
        <f>IF(D3936=1,"Section 1","Control")</f>
        <v/>
      </c>
      <c r="S3936" s="16">
        <f>N3936/10000</f>
        <v/>
      </c>
      <c r="T3936" s="16">
        <f>P3936/10000</f>
        <v/>
      </c>
      <c r="U3936" s="15">
        <f>IF(N3936&gt;=Summary!$D$3,1,0)</f>
        <v/>
      </c>
      <c r="V3936" s="17">
        <f>IF(N3936&gt;0,P3936/N3936,"")</f>
        <v/>
      </c>
      <c r="W3936" s="17">
        <f>IF(O3936&gt;0,H3936/O3936,"")</f>
        <v/>
      </c>
    </row>
    <row r="3937">
      <c r="A3937" s="13" t="inlineStr">
        <is>
          <t>CW50_B3</t>
        </is>
      </c>
      <c r="B3937" s="13" t="inlineStr">
        <is>
          <t>CW50</t>
        </is>
      </c>
      <c r="C3937" s="13" t="inlineStr">
        <is>
          <t>B3</t>
        </is>
      </c>
      <c r="D3937" s="13" t="n">
        <v>0</v>
      </c>
      <c r="E3937" s="13" t="inlineStr">
        <is>
          <t>W</t>
        </is>
      </c>
      <c r="F3937" s="13" t="n">
        <v>2021</v>
      </c>
      <c r="G3937" s="14" t="n">
        <v>7807010.129945911</v>
      </c>
      <c r="H3937" s="14" t="n">
        <v>3384726.925860985</v>
      </c>
      <c r="I3937" s="14" t="n">
        <v>148028.6666840497</v>
      </c>
      <c r="J3937" s="14" t="n">
        <v>0</v>
      </c>
      <c r="K3937" s="14" t="n">
        <v>142511.453989575</v>
      </c>
      <c r="L3937" s="14" t="n">
        <v>4131743.083411302</v>
      </c>
      <c r="M3937" s="14" t="n">
        <v>0</v>
      </c>
      <c r="N3937" s="14" t="n">
        <v>3452981.394804861</v>
      </c>
      <c r="O3937" s="14" t="n">
        <v>3704733.953660045</v>
      </c>
      <c r="P3937" s="14" t="n">
        <v>108473.3986840042</v>
      </c>
      <c r="Q3937" s="14" t="n">
        <v>21036844.95360317</v>
      </c>
      <c r="R3937" s="15">
        <f>IF(D3937=1,"Section 1","Control")</f>
        <v/>
      </c>
      <c r="S3937" s="16">
        <f>N3937/10000</f>
        <v/>
      </c>
      <c r="T3937" s="16">
        <f>P3937/10000</f>
        <v/>
      </c>
      <c r="U3937" s="15">
        <f>IF(N3937&gt;=Summary!$D$3,1,0)</f>
        <v/>
      </c>
      <c r="V3937" s="17">
        <f>IF(N3937&gt;0,P3937/N3937,"")</f>
        <v/>
      </c>
      <c r="W3937" s="17">
        <f>IF(O3937&gt;0,H3937/O3937,"")</f>
        <v/>
      </c>
    </row>
    <row r="3938">
      <c r="A3938" s="13" t="inlineStr">
        <is>
          <t>CW50_B3</t>
        </is>
      </c>
      <c r="B3938" s="13" t="inlineStr">
        <is>
          <t>CW50</t>
        </is>
      </c>
      <c r="C3938" s="13" t="inlineStr">
        <is>
          <t>B3</t>
        </is>
      </c>
      <c r="D3938" s="13" t="n">
        <v>0</v>
      </c>
      <c r="E3938" s="13" t="inlineStr">
        <is>
          <t>W</t>
        </is>
      </c>
      <c r="F3938" s="13" t="n">
        <v>2022</v>
      </c>
      <c r="G3938" s="14" t="n">
        <v>7807010.129945911</v>
      </c>
      <c r="H3938" s="14" t="n">
        <v>3312931.732221656</v>
      </c>
      <c r="I3938" s="14" t="n">
        <v>203526.8340768253</v>
      </c>
      <c r="J3938" s="14" t="n">
        <v>0</v>
      </c>
      <c r="K3938" s="14" t="n">
        <v>215896.7293014825</v>
      </c>
      <c r="L3938" s="14" t="n">
        <v>4074654.834345949</v>
      </c>
      <c r="M3938" s="14" t="n">
        <v>0</v>
      </c>
      <c r="N3938" s="14" t="n">
        <v>3452981.394804861</v>
      </c>
      <c r="O3938" s="14" t="n">
        <v>3704733.953660045</v>
      </c>
      <c r="P3938" s="14" t="n">
        <v>178365.6595228906</v>
      </c>
      <c r="Q3938" s="14" t="n">
        <v>21036844.95360317</v>
      </c>
      <c r="R3938" s="15">
        <f>IF(D3938=1,"Section 1","Control")</f>
        <v/>
      </c>
      <c r="S3938" s="16">
        <f>N3938/10000</f>
        <v/>
      </c>
      <c r="T3938" s="16">
        <f>P3938/10000</f>
        <v/>
      </c>
      <c r="U3938" s="15">
        <f>IF(N3938&gt;=Summary!$D$3,1,0)</f>
        <v/>
      </c>
      <c r="V3938" s="17">
        <f>IF(N3938&gt;0,P3938/N3938,"")</f>
        <v/>
      </c>
      <c r="W3938" s="17">
        <f>IF(O3938&gt;0,H3938/O3938,"")</f>
        <v/>
      </c>
    </row>
    <row r="3939">
      <c r="A3939" s="13" t="inlineStr">
        <is>
          <t>CW50_B3</t>
        </is>
      </c>
      <c r="B3939" s="13" t="inlineStr">
        <is>
          <t>CW50</t>
        </is>
      </c>
      <c r="C3939" s="13" t="inlineStr">
        <is>
          <t>B3</t>
        </is>
      </c>
      <c r="D3939" s="13" t="n">
        <v>0</v>
      </c>
      <c r="E3939" s="13" t="inlineStr">
        <is>
          <t>W</t>
        </is>
      </c>
      <c r="F3939" s="13" t="n">
        <v>2023</v>
      </c>
      <c r="G3939" s="14" t="n">
        <v>7807010.129945913</v>
      </c>
      <c r="H3939" s="14" t="n">
        <v>3375420.574567997</v>
      </c>
      <c r="I3939" s="14" t="n">
        <v>127406.1914035274</v>
      </c>
      <c r="J3939" s="14" t="n">
        <v>0</v>
      </c>
      <c r="K3939" s="14" t="n">
        <v>152897.675931953</v>
      </c>
      <c r="L3939" s="14" t="n">
        <v>4151285.688042435</v>
      </c>
      <c r="M3939" s="14" t="n">
        <v>0</v>
      </c>
      <c r="N3939" s="14" t="n">
        <v>3452981.394804861</v>
      </c>
      <c r="O3939" s="14" t="n">
        <v>3704733.953660045</v>
      </c>
      <c r="P3939" s="14" t="n">
        <v>148375.1247714772</v>
      </c>
      <c r="Q3939" s="14" t="n">
        <v>21036844.95360317</v>
      </c>
      <c r="R3939" s="15">
        <f>IF(D3939=1,"Section 1","Control")</f>
        <v/>
      </c>
      <c r="S3939" s="16">
        <f>N3939/10000</f>
        <v/>
      </c>
      <c r="T3939" s="16">
        <f>P3939/10000</f>
        <v/>
      </c>
      <c r="U3939" s="15">
        <f>IF(N3939&gt;=Summary!$D$3,1,0)</f>
        <v/>
      </c>
      <c r="V3939" s="17">
        <f>IF(N3939&gt;0,P3939/N3939,"")</f>
        <v/>
      </c>
      <c r="W3939" s="17">
        <f>IF(O3939&gt;0,H3939/O3939,"")</f>
        <v/>
      </c>
    </row>
    <row r="3940">
      <c r="A3940" s="13" t="inlineStr">
        <is>
          <t>CW50_B3</t>
        </is>
      </c>
      <c r="B3940" s="13" t="inlineStr">
        <is>
          <t>CW50</t>
        </is>
      </c>
      <c r="C3940" s="13" t="inlineStr">
        <is>
          <t>B3</t>
        </is>
      </c>
      <c r="D3940" s="13" t="n">
        <v>0</v>
      </c>
      <c r="E3940" s="13" t="inlineStr">
        <is>
          <t>W</t>
        </is>
      </c>
      <c r="F3940" s="13" t="n">
        <v>2024</v>
      </c>
      <c r="G3940" s="14" t="n">
        <v>7807010.129945911</v>
      </c>
      <c r="H3940" s="14" t="n">
        <v>3340525.80378041</v>
      </c>
      <c r="I3940" s="14" t="n">
        <v>157480.7748515111</v>
      </c>
      <c r="J3940" s="14" t="n">
        <v>0</v>
      </c>
      <c r="K3940" s="14" t="n">
        <v>221180.9703509162</v>
      </c>
      <c r="L3940" s="14" t="n">
        <v>4087822.580963074</v>
      </c>
      <c r="M3940" s="14" t="n">
        <v>0</v>
      </c>
      <c r="N3940" s="14" t="n">
        <v>3452981.394804861</v>
      </c>
      <c r="O3940" s="14" t="n">
        <v>3704733.953660045</v>
      </c>
      <c r="P3940" s="14" t="n">
        <v>177278.3903954001</v>
      </c>
      <c r="Q3940" s="14" t="n">
        <v>21036844.95360317</v>
      </c>
      <c r="R3940" s="15">
        <f>IF(D3940=1,"Section 1","Control")</f>
        <v/>
      </c>
      <c r="S3940" s="16">
        <f>N3940/10000</f>
        <v/>
      </c>
      <c r="T3940" s="16">
        <f>P3940/10000</f>
        <v/>
      </c>
      <c r="U3940" s="15">
        <f>IF(N3940&gt;=Summary!$D$3,1,0)</f>
        <v/>
      </c>
      <c r="V3940" s="17">
        <f>IF(N3940&gt;0,P3940/N3940,"")</f>
        <v/>
      </c>
      <c r="W3940" s="17">
        <f>IF(O3940&gt;0,H3940/O3940,"")</f>
        <v/>
      </c>
    </row>
    <row r="3941">
      <c r="A3941" s="13" t="inlineStr">
        <is>
          <t>CW50_B3</t>
        </is>
      </c>
      <c r="B3941" s="13" t="inlineStr">
        <is>
          <t>CW50</t>
        </is>
      </c>
      <c r="C3941" s="13" t="inlineStr">
        <is>
          <t>B3</t>
        </is>
      </c>
      <c r="D3941" s="13" t="n">
        <v>0</v>
      </c>
      <c r="E3941" s="13" t="inlineStr">
        <is>
          <t>W</t>
        </is>
      </c>
      <c r="F3941" s="13" t="n">
        <v>2025</v>
      </c>
      <c r="G3941" s="14" t="n">
        <v>7807010.129945913</v>
      </c>
      <c r="H3941" s="14" t="n">
        <v>3286637.587538925</v>
      </c>
      <c r="I3941" s="14" t="n">
        <v>200838.7497303084</v>
      </c>
      <c r="J3941" s="14" t="n">
        <v>0</v>
      </c>
      <c r="K3941" s="14" t="n">
        <v>180086.4594379799</v>
      </c>
      <c r="L3941" s="14" t="n">
        <v>4139447.333238699</v>
      </c>
      <c r="M3941" s="14" t="n">
        <v>0</v>
      </c>
      <c r="N3941" s="14" t="n">
        <v>3452981.394804861</v>
      </c>
      <c r="O3941" s="14" t="n">
        <v>3704733.953660045</v>
      </c>
      <c r="P3941" s="14" t="n">
        <v>220967.7634958006</v>
      </c>
      <c r="Q3941" s="14" t="n">
        <v>21036844.95360317</v>
      </c>
      <c r="R3941" s="15">
        <f>IF(D3941=1,"Section 1","Control")</f>
        <v/>
      </c>
      <c r="S3941" s="16">
        <f>N3941/10000</f>
        <v/>
      </c>
      <c r="T3941" s="16">
        <f>P3941/10000</f>
        <v/>
      </c>
      <c r="U3941" s="15">
        <f>IF(N3941&gt;=Summary!$D$3,1,0)</f>
        <v/>
      </c>
      <c r="V3941" s="17">
        <f>IF(N3941&gt;0,P3941/N3941,"")</f>
        <v/>
      </c>
      <c r="W3941" s="17">
        <f>IF(O3941&gt;0,H3941/O3941,"")</f>
        <v/>
      </c>
    </row>
    <row r="3942">
      <c r="A3942" s="13" t="inlineStr">
        <is>
          <t>CW50_B3</t>
        </is>
      </c>
      <c r="B3942" s="13" t="inlineStr">
        <is>
          <t>CW50</t>
        </is>
      </c>
      <c r="C3942" s="13" t="inlineStr">
        <is>
          <t>B3</t>
        </is>
      </c>
      <c r="D3942" s="13" t="n">
        <v>0</v>
      </c>
      <c r="E3942" s="13" t="inlineStr">
        <is>
          <t>W</t>
        </is>
      </c>
      <c r="F3942" s="13" t="n">
        <v>2026</v>
      </c>
      <c r="G3942" s="14" t="n">
        <v>7807010.129945913</v>
      </c>
      <c r="H3942" s="14" t="n">
        <v>3313346.776621262</v>
      </c>
      <c r="I3942" s="14" t="n">
        <v>145941.7810418223</v>
      </c>
      <c r="J3942" s="14" t="n">
        <v>0</v>
      </c>
      <c r="K3942" s="14" t="n">
        <v>192573.2524445777</v>
      </c>
      <c r="L3942" s="14" t="n">
        <v>4155148.319838251</v>
      </c>
      <c r="M3942" s="14" t="n">
        <v>0</v>
      </c>
      <c r="N3942" s="14" t="n">
        <v>3452981.394804861</v>
      </c>
      <c r="O3942" s="14" t="n">
        <v>3704733.953660045</v>
      </c>
      <c r="P3942" s="14" t="n">
        <v>205757.8427359787</v>
      </c>
      <c r="Q3942" s="14" t="n">
        <v>21036844.95360317</v>
      </c>
      <c r="R3942" s="15">
        <f>IF(D3942=1,"Section 1","Control")</f>
        <v/>
      </c>
      <c r="S3942" s="16">
        <f>N3942/10000</f>
        <v/>
      </c>
      <c r="T3942" s="16">
        <f>P3942/10000</f>
        <v/>
      </c>
      <c r="U3942" s="15">
        <f>IF(N3942&gt;=Summary!$D$3,1,0)</f>
        <v/>
      </c>
      <c r="V3942" s="17">
        <f>IF(N3942&gt;0,P3942/N3942,"")</f>
        <v/>
      </c>
      <c r="W3942" s="17">
        <f>IF(O3942&gt;0,H3942/O3942,"")</f>
        <v/>
      </c>
    </row>
    <row r="3943">
      <c r="A3943" s="13" t="inlineStr">
        <is>
          <t>CW50_F</t>
        </is>
      </c>
      <c r="B3943" s="13" t="inlineStr">
        <is>
          <t>CW50</t>
        </is>
      </c>
      <c r="C3943" s="13" t="inlineStr">
        <is>
          <t>F</t>
        </is>
      </c>
      <c r="D3943" s="13" t="n">
        <v>0</v>
      </c>
      <c r="E3943" s="13" t="inlineStr">
        <is>
          <t>W</t>
        </is>
      </c>
      <c r="F3943" s="13" t="n">
        <v>2020</v>
      </c>
      <c r="G3943" s="14" t="n">
        <v>67786.87535397404</v>
      </c>
      <c r="H3943" s="14" t="n">
        <v>47730.15200527416</v>
      </c>
      <c r="I3943" s="14" t="n">
        <v>6876.832904950309</v>
      </c>
      <c r="J3943" s="14" t="n">
        <v>0</v>
      </c>
      <c r="K3943" s="14" t="n">
        <v>13179.89044374952</v>
      </c>
      <c r="L3943" s="14" t="n">
        <v>0</v>
      </c>
      <c r="M3943" s="14" t="n">
        <v>0</v>
      </c>
      <c r="N3943" s="14" t="n">
        <v>47730.15200527416</v>
      </c>
      <c r="O3943" s="14" t="n">
        <v>67786.87535397404</v>
      </c>
      <c r="P3943" s="14" t="n">
        <v>0</v>
      </c>
      <c r="Q3943" s="14" t="n">
        <v>823299.3622180412</v>
      </c>
      <c r="R3943" s="15">
        <f>IF(D3943=1,"Section 1","Control")</f>
        <v/>
      </c>
      <c r="S3943" s="16">
        <f>N3943/10000</f>
        <v/>
      </c>
      <c r="T3943" s="16">
        <f>P3943/10000</f>
        <v/>
      </c>
      <c r="U3943" s="15">
        <f>IF(N3943&gt;=Summary!$D$3,1,0)</f>
        <v/>
      </c>
      <c r="V3943" s="17">
        <f>IF(N3943&gt;0,P3943/N3943,"")</f>
        <v/>
      </c>
      <c r="W3943" s="17">
        <f>IF(O3943&gt;0,H3943/O3943,"")</f>
        <v/>
      </c>
    </row>
    <row r="3944">
      <c r="A3944" s="13" t="inlineStr">
        <is>
          <t>CW50_F</t>
        </is>
      </c>
      <c r="B3944" s="13" t="inlineStr">
        <is>
          <t>CW50</t>
        </is>
      </c>
      <c r="C3944" s="13" t="inlineStr">
        <is>
          <t>F</t>
        </is>
      </c>
      <c r="D3944" s="13" t="n">
        <v>0</v>
      </c>
      <c r="E3944" s="13" t="inlineStr">
        <is>
          <t>W</t>
        </is>
      </c>
      <c r="F3944" s="13" t="n">
        <v>2021</v>
      </c>
      <c r="G3944" s="14" t="n">
        <v>67786.87535397404</v>
      </c>
      <c r="H3944" s="14" t="n">
        <v>35876.69262955608</v>
      </c>
      <c r="I3944" s="14" t="n">
        <v>5543.821943215763</v>
      </c>
      <c r="J3944" s="14" t="n">
        <v>0</v>
      </c>
      <c r="K3944" s="14" t="n">
        <v>26366.36078120213</v>
      </c>
      <c r="L3944" s="14" t="n">
        <v>0</v>
      </c>
      <c r="M3944" s="14" t="n">
        <v>0</v>
      </c>
      <c r="N3944" s="14" t="n">
        <v>47730.15200527416</v>
      </c>
      <c r="O3944" s="14" t="n">
        <v>67786.87535397404</v>
      </c>
      <c r="P3944" s="14" t="n">
        <v>12914.29266656614</v>
      </c>
      <c r="Q3944" s="14" t="n">
        <v>823299.3622180412</v>
      </c>
      <c r="R3944" s="15">
        <f>IF(D3944=1,"Section 1","Control")</f>
        <v/>
      </c>
      <c r="S3944" s="16">
        <f>N3944/10000</f>
        <v/>
      </c>
      <c r="T3944" s="16">
        <f>P3944/10000</f>
        <v/>
      </c>
      <c r="U3944" s="15">
        <f>IF(N3944&gt;=Summary!$D$3,1,0)</f>
        <v/>
      </c>
      <c r="V3944" s="17">
        <f>IF(N3944&gt;0,P3944/N3944,"")</f>
        <v/>
      </c>
      <c r="W3944" s="17">
        <f>IF(O3944&gt;0,H3944/O3944,"")</f>
        <v/>
      </c>
    </row>
    <row r="3945">
      <c r="A3945" s="13" t="inlineStr">
        <is>
          <t>CW50_F</t>
        </is>
      </c>
      <c r="B3945" s="13" t="inlineStr">
        <is>
          <t>CW50</t>
        </is>
      </c>
      <c r="C3945" s="13" t="inlineStr">
        <is>
          <t>F</t>
        </is>
      </c>
      <c r="D3945" s="13" t="n">
        <v>0</v>
      </c>
      <c r="E3945" s="13" t="inlineStr">
        <is>
          <t>W</t>
        </is>
      </c>
      <c r="F3945" s="13" t="n">
        <v>2022</v>
      </c>
      <c r="G3945" s="14" t="n">
        <v>67786.87535397404</v>
      </c>
      <c r="H3945" s="14" t="n">
        <v>35275.03715736537</v>
      </c>
      <c r="I3945" s="14" t="n">
        <v>13293.32806728588</v>
      </c>
      <c r="J3945" s="14" t="n">
        <v>0</v>
      </c>
      <c r="K3945" s="14" t="n">
        <v>19218.51012932272</v>
      </c>
      <c r="L3945" s="14" t="n">
        <v>0</v>
      </c>
      <c r="M3945" s="14" t="n">
        <v>0</v>
      </c>
      <c r="N3945" s="14" t="n">
        <v>47730.15200527416</v>
      </c>
      <c r="O3945" s="14" t="n">
        <v>67786.87535397404</v>
      </c>
      <c r="P3945" s="14" t="n">
        <v>13689.01101651659</v>
      </c>
      <c r="Q3945" s="14" t="n">
        <v>823299.3622180412</v>
      </c>
      <c r="R3945" s="15">
        <f>IF(D3945=1,"Section 1","Control")</f>
        <v/>
      </c>
      <c r="S3945" s="16">
        <f>N3945/10000</f>
        <v/>
      </c>
      <c r="T3945" s="16">
        <f>P3945/10000</f>
        <v/>
      </c>
      <c r="U3945" s="15">
        <f>IF(N3945&gt;=Summary!$D$3,1,0)</f>
        <v/>
      </c>
      <c r="V3945" s="17">
        <f>IF(N3945&gt;0,P3945/N3945,"")</f>
        <v/>
      </c>
      <c r="W3945" s="17">
        <f>IF(O3945&gt;0,H3945/O3945,"")</f>
        <v/>
      </c>
    </row>
    <row r="3946">
      <c r="A3946" s="13" t="inlineStr">
        <is>
          <t>CW50_F</t>
        </is>
      </c>
      <c r="B3946" s="13" t="inlineStr">
        <is>
          <t>CW50</t>
        </is>
      </c>
      <c r="C3946" s="13" t="inlineStr">
        <is>
          <t>F</t>
        </is>
      </c>
      <c r="D3946" s="13" t="n">
        <v>0</v>
      </c>
      <c r="E3946" s="13" t="inlineStr">
        <is>
          <t>W</t>
        </is>
      </c>
      <c r="F3946" s="13" t="n">
        <v>2023</v>
      </c>
      <c r="G3946" s="14" t="n">
        <v>67786.87535397404</v>
      </c>
      <c r="H3946" s="14" t="n">
        <v>36516.2897447474</v>
      </c>
      <c r="I3946" s="14" t="n">
        <v>11060.54383021336</v>
      </c>
      <c r="J3946" s="14" t="n">
        <v>0</v>
      </c>
      <c r="K3946" s="14" t="n">
        <v>20210.04177901324</v>
      </c>
      <c r="L3946" s="14" t="n">
        <v>0</v>
      </c>
      <c r="M3946" s="14" t="n">
        <v>0</v>
      </c>
      <c r="N3946" s="14" t="n">
        <v>47730.15200527416</v>
      </c>
      <c r="O3946" s="14" t="n">
        <v>67786.87535397404</v>
      </c>
      <c r="P3946" s="14" t="n">
        <v>13260.41895943436</v>
      </c>
      <c r="Q3946" s="14" t="n">
        <v>823299.3622180412</v>
      </c>
      <c r="R3946" s="15">
        <f>IF(D3946=1,"Section 1","Control")</f>
        <v/>
      </c>
      <c r="S3946" s="16">
        <f>N3946/10000</f>
        <v/>
      </c>
      <c r="T3946" s="16">
        <f>P3946/10000</f>
        <v/>
      </c>
      <c r="U3946" s="15">
        <f>IF(N3946&gt;=Summary!$D$3,1,0)</f>
        <v/>
      </c>
      <c r="V3946" s="17">
        <f>IF(N3946&gt;0,P3946/N3946,"")</f>
        <v/>
      </c>
      <c r="W3946" s="17">
        <f>IF(O3946&gt;0,H3946/O3946,"")</f>
        <v/>
      </c>
    </row>
    <row r="3947">
      <c r="A3947" s="13" t="inlineStr">
        <is>
          <t>CW50_F</t>
        </is>
      </c>
      <c r="B3947" s="13" t="inlineStr">
        <is>
          <t>CW50</t>
        </is>
      </c>
      <c r="C3947" s="13" t="inlineStr">
        <is>
          <t>F</t>
        </is>
      </c>
      <c r="D3947" s="13" t="n">
        <v>0</v>
      </c>
      <c r="E3947" s="13" t="inlineStr">
        <is>
          <t>W</t>
        </is>
      </c>
      <c r="F3947" s="13" t="n">
        <v>2024</v>
      </c>
      <c r="G3947" s="14" t="n">
        <v>67786.87535397404</v>
      </c>
      <c r="H3947" s="14" t="n">
        <v>37811.74580577776</v>
      </c>
      <c r="I3947" s="14" t="n">
        <v>9553.308536813773</v>
      </c>
      <c r="J3947" s="14" t="n">
        <v>0</v>
      </c>
      <c r="K3947" s="14" t="n">
        <v>20421.82101138245</v>
      </c>
      <c r="L3947" s="14" t="n">
        <v>0</v>
      </c>
      <c r="M3947" s="14" t="n">
        <v>0</v>
      </c>
      <c r="N3947" s="14" t="n">
        <v>47730.15200527416</v>
      </c>
      <c r="O3947" s="14" t="n">
        <v>67786.87535397404</v>
      </c>
      <c r="P3947" s="14" t="n">
        <v>12697.4801923864</v>
      </c>
      <c r="Q3947" s="14" t="n">
        <v>823299.3622180412</v>
      </c>
      <c r="R3947" s="15">
        <f>IF(D3947=1,"Section 1","Control")</f>
        <v/>
      </c>
      <c r="S3947" s="16">
        <f>N3947/10000</f>
        <v/>
      </c>
      <c r="T3947" s="16">
        <f>P3947/10000</f>
        <v/>
      </c>
      <c r="U3947" s="15">
        <f>IF(N3947&gt;=Summary!$D$3,1,0)</f>
        <v/>
      </c>
      <c r="V3947" s="17">
        <f>IF(N3947&gt;0,P3947/N3947,"")</f>
        <v/>
      </c>
      <c r="W3947" s="17">
        <f>IF(O3947&gt;0,H3947/O3947,"")</f>
        <v/>
      </c>
    </row>
    <row r="3948">
      <c r="A3948" s="13" t="inlineStr">
        <is>
          <t>CW50_F</t>
        </is>
      </c>
      <c r="B3948" s="13" t="inlineStr">
        <is>
          <t>CW50</t>
        </is>
      </c>
      <c r="C3948" s="13" t="inlineStr">
        <is>
          <t>F</t>
        </is>
      </c>
      <c r="D3948" s="13" t="n">
        <v>0</v>
      </c>
      <c r="E3948" s="13" t="inlineStr">
        <is>
          <t>W</t>
        </is>
      </c>
      <c r="F3948" s="13" t="n">
        <v>2025</v>
      </c>
      <c r="G3948" s="14" t="n">
        <v>67786.87535397404</v>
      </c>
      <c r="H3948" s="14" t="n">
        <v>20793.88554056205</v>
      </c>
      <c r="I3948" s="14" t="n">
        <v>33491.75238970589</v>
      </c>
      <c r="J3948" s="14" t="n">
        <v>0</v>
      </c>
      <c r="K3948" s="14" t="n">
        <v>13501.23742370605</v>
      </c>
      <c r="L3948" s="14" t="n">
        <v>0</v>
      </c>
      <c r="M3948" s="14" t="n">
        <v>0</v>
      </c>
      <c r="N3948" s="14" t="n">
        <v>47730.15200527416</v>
      </c>
      <c r="O3948" s="14" t="n">
        <v>67786.87535397404</v>
      </c>
      <c r="P3948" s="14" t="n">
        <v>26936.26646471211</v>
      </c>
      <c r="Q3948" s="14" t="n">
        <v>823299.3622180412</v>
      </c>
      <c r="R3948" s="15">
        <f>IF(D3948=1,"Section 1","Control")</f>
        <v/>
      </c>
      <c r="S3948" s="16">
        <f>N3948/10000</f>
        <v/>
      </c>
      <c r="T3948" s="16">
        <f>P3948/10000</f>
        <v/>
      </c>
      <c r="U3948" s="15">
        <f>IF(N3948&gt;=Summary!$D$3,1,0)</f>
        <v/>
      </c>
      <c r="V3948" s="17">
        <f>IF(N3948&gt;0,P3948/N3948,"")</f>
        <v/>
      </c>
      <c r="W3948" s="17">
        <f>IF(O3948&gt;0,H3948/O3948,"")</f>
        <v/>
      </c>
    </row>
    <row r="3949">
      <c r="A3949" s="13" t="inlineStr">
        <is>
          <t>CW50_F</t>
        </is>
      </c>
      <c r="B3949" s="13" t="inlineStr">
        <is>
          <t>CW50</t>
        </is>
      </c>
      <c r="C3949" s="13" t="inlineStr">
        <is>
          <t>F</t>
        </is>
      </c>
      <c r="D3949" s="13" t="n">
        <v>0</v>
      </c>
      <c r="E3949" s="13" t="inlineStr">
        <is>
          <t>W</t>
        </is>
      </c>
      <c r="F3949" s="13" t="n">
        <v>2026</v>
      </c>
      <c r="G3949" s="14" t="n">
        <v>67786.87535397404</v>
      </c>
      <c r="H3949" s="14" t="n">
        <v>44506.22490641277</v>
      </c>
      <c r="I3949" s="14" t="n">
        <v>5789.673104319853</v>
      </c>
      <c r="J3949" s="14" t="n">
        <v>0</v>
      </c>
      <c r="K3949" s="14" t="n">
        <v>17490.97734324137</v>
      </c>
      <c r="L3949" s="14" t="n">
        <v>0</v>
      </c>
      <c r="M3949" s="14" t="n">
        <v>0</v>
      </c>
      <c r="N3949" s="14" t="n">
        <v>47730.15200527416</v>
      </c>
      <c r="O3949" s="14" t="n">
        <v>67786.87535397404</v>
      </c>
      <c r="P3949" s="14" t="n">
        <v>9997.775099212049</v>
      </c>
      <c r="Q3949" s="14" t="n">
        <v>823299.3622180412</v>
      </c>
      <c r="R3949" s="15">
        <f>IF(D3949=1,"Section 1","Control")</f>
        <v/>
      </c>
      <c r="S3949" s="16">
        <f>N3949/10000</f>
        <v/>
      </c>
      <c r="T3949" s="16">
        <f>P3949/10000</f>
        <v/>
      </c>
      <c r="U3949" s="15">
        <f>IF(N3949&gt;=Summary!$D$3,1,0)</f>
        <v/>
      </c>
      <c r="V3949" s="17">
        <f>IF(N3949&gt;0,P3949/N3949,"")</f>
        <v/>
      </c>
      <c r="W3949" s="17">
        <f>IF(O3949&gt;0,H3949/O3949,"")</f>
        <v/>
      </c>
    </row>
    <row r="3950">
      <c r="A3950" s="13" t="inlineStr">
        <is>
          <t>CW51_B1</t>
        </is>
      </c>
      <c r="B3950" s="13" t="inlineStr">
        <is>
          <t>CW51</t>
        </is>
      </c>
      <c r="C3950" s="13" t="inlineStr">
        <is>
          <t>B1</t>
        </is>
      </c>
      <c r="D3950" s="13" t="n">
        <v>0</v>
      </c>
      <c r="E3950" s="13" t="inlineStr">
        <is>
          <t>W</t>
        </is>
      </c>
      <c r="F3950" s="13" t="n">
        <v>2020</v>
      </c>
      <c r="G3950" s="14" t="n">
        <v>1026061.790106709</v>
      </c>
      <c r="H3950" s="14" t="n">
        <v>209417.562757754</v>
      </c>
      <c r="I3950" s="14" t="n">
        <v>140091.5465486115</v>
      </c>
      <c r="J3950" s="14" t="n">
        <v>0</v>
      </c>
      <c r="K3950" s="14" t="n">
        <v>74012.87765449075</v>
      </c>
      <c r="L3950" s="14" t="n">
        <v>602539.8031458537</v>
      </c>
      <c r="M3950" s="14" t="n">
        <v>0</v>
      </c>
      <c r="N3950" s="14" t="n">
        <v>209417.562757754</v>
      </c>
      <c r="O3950" s="14" t="n">
        <v>423521.9869608562</v>
      </c>
      <c r="P3950" s="14" t="n">
        <v>0</v>
      </c>
      <c r="Q3950" s="14" t="n">
        <v>2548580.478615076</v>
      </c>
      <c r="R3950" s="15">
        <f>IF(D3950=1,"Section 1","Control")</f>
        <v/>
      </c>
      <c r="S3950" s="16">
        <f>N3950/10000</f>
        <v/>
      </c>
      <c r="T3950" s="16">
        <f>P3950/10000</f>
        <v/>
      </c>
      <c r="U3950" s="15">
        <f>IF(N3950&gt;=Summary!$D$3,1,0)</f>
        <v/>
      </c>
      <c r="V3950" s="17">
        <f>IF(N3950&gt;0,P3950/N3950,"")</f>
        <v/>
      </c>
      <c r="W3950" s="17">
        <f>IF(O3950&gt;0,H3950/O3950,"")</f>
        <v/>
      </c>
    </row>
    <row r="3951">
      <c r="A3951" s="13" t="inlineStr">
        <is>
          <t>CW51_B1</t>
        </is>
      </c>
      <c r="B3951" s="13" t="inlineStr">
        <is>
          <t>CW51</t>
        </is>
      </c>
      <c r="C3951" s="13" t="inlineStr">
        <is>
          <t>B1</t>
        </is>
      </c>
      <c r="D3951" s="13" t="n">
        <v>0</v>
      </c>
      <c r="E3951" s="13" t="inlineStr">
        <is>
          <t>W</t>
        </is>
      </c>
      <c r="F3951" s="13" t="n">
        <v>2021</v>
      </c>
      <c r="G3951" s="14" t="n">
        <v>1026061.790106709</v>
      </c>
      <c r="H3951" s="14" t="n">
        <v>203017.7217058669</v>
      </c>
      <c r="I3951" s="14" t="n">
        <v>143632.9562292959</v>
      </c>
      <c r="J3951" s="14" t="n">
        <v>0</v>
      </c>
      <c r="K3951" s="14" t="n">
        <v>85927.47268287807</v>
      </c>
      <c r="L3951" s="14" t="n">
        <v>593483.6394886691</v>
      </c>
      <c r="M3951" s="14" t="n">
        <v>0</v>
      </c>
      <c r="N3951" s="14" t="n">
        <v>209417.562757754</v>
      </c>
      <c r="O3951" s="14" t="n">
        <v>423521.9869608562</v>
      </c>
      <c r="P3951" s="14" t="n">
        <v>6992.202051948098</v>
      </c>
      <c r="Q3951" s="14" t="n">
        <v>2548580.478615076</v>
      </c>
      <c r="R3951" s="15">
        <f>IF(D3951=1,"Section 1","Control")</f>
        <v/>
      </c>
      <c r="S3951" s="16">
        <f>N3951/10000</f>
        <v/>
      </c>
      <c r="T3951" s="16">
        <f>P3951/10000</f>
        <v/>
      </c>
      <c r="U3951" s="15">
        <f>IF(N3951&gt;=Summary!$D$3,1,0)</f>
        <v/>
      </c>
      <c r="V3951" s="17">
        <f>IF(N3951&gt;0,P3951/N3951,"")</f>
        <v/>
      </c>
      <c r="W3951" s="17">
        <f>IF(O3951&gt;0,H3951/O3951,"")</f>
        <v/>
      </c>
    </row>
    <row r="3952">
      <c r="A3952" s="13" t="inlineStr">
        <is>
          <t>CW51_B1</t>
        </is>
      </c>
      <c r="B3952" s="13" t="inlineStr">
        <is>
          <t>CW51</t>
        </is>
      </c>
      <c r="C3952" s="13" t="inlineStr">
        <is>
          <t>B1</t>
        </is>
      </c>
      <c r="D3952" s="13" t="n">
        <v>0</v>
      </c>
      <c r="E3952" s="13" t="inlineStr">
        <is>
          <t>W</t>
        </is>
      </c>
      <c r="F3952" s="13" t="n">
        <v>2022</v>
      </c>
      <c r="G3952" s="14" t="n">
        <v>1026061.790106709</v>
      </c>
      <c r="H3952" s="14" t="n">
        <v>202818.3299690397</v>
      </c>
      <c r="I3952" s="14" t="n">
        <v>149115.6221080705</v>
      </c>
      <c r="J3952" s="14" t="n">
        <v>0</v>
      </c>
      <c r="K3952" s="14" t="n">
        <v>84376.85449793198</v>
      </c>
      <c r="L3952" s="14" t="n">
        <v>589750.9835316679</v>
      </c>
      <c r="M3952" s="14" t="n">
        <v>0</v>
      </c>
      <c r="N3952" s="14" t="n">
        <v>209417.562757754</v>
      </c>
      <c r="O3952" s="14" t="n">
        <v>423521.9869608562</v>
      </c>
      <c r="P3952" s="14" t="n">
        <v>7424.279949233111</v>
      </c>
      <c r="Q3952" s="14" t="n">
        <v>2548580.478615076</v>
      </c>
      <c r="R3952" s="15">
        <f>IF(D3952=1,"Section 1","Control")</f>
        <v/>
      </c>
      <c r="S3952" s="16">
        <f>N3952/10000</f>
        <v/>
      </c>
      <c r="T3952" s="16">
        <f>P3952/10000</f>
        <v/>
      </c>
      <c r="U3952" s="15">
        <f>IF(N3952&gt;=Summary!$D$3,1,0)</f>
        <v/>
      </c>
      <c r="V3952" s="17">
        <f>IF(N3952&gt;0,P3952/N3952,"")</f>
        <v/>
      </c>
      <c r="W3952" s="17">
        <f>IF(O3952&gt;0,H3952/O3952,"")</f>
        <v/>
      </c>
    </row>
    <row r="3953">
      <c r="A3953" s="13" t="inlineStr">
        <is>
          <t>CW51_B1</t>
        </is>
      </c>
      <c r="B3953" s="13" t="inlineStr">
        <is>
          <t>CW51</t>
        </is>
      </c>
      <c r="C3953" s="13" t="inlineStr">
        <is>
          <t>B1</t>
        </is>
      </c>
      <c r="D3953" s="13" t="n">
        <v>0</v>
      </c>
      <c r="E3953" s="13" t="inlineStr">
        <is>
          <t>W</t>
        </is>
      </c>
      <c r="F3953" s="13" t="n">
        <v>2023</v>
      </c>
      <c r="G3953" s="14" t="n">
        <v>1026061.790106709</v>
      </c>
      <c r="H3953" s="14" t="n">
        <v>203642.9951149137</v>
      </c>
      <c r="I3953" s="14" t="n">
        <v>132305.6159536624</v>
      </c>
      <c r="J3953" s="14" t="n">
        <v>0</v>
      </c>
      <c r="K3953" s="14" t="n">
        <v>74204.52389304966</v>
      </c>
      <c r="L3953" s="14" t="n">
        <v>615908.6551450843</v>
      </c>
      <c r="M3953" s="14" t="n">
        <v>0</v>
      </c>
      <c r="N3953" s="14" t="n">
        <v>209417.562757754</v>
      </c>
      <c r="O3953" s="14" t="n">
        <v>423521.9869608562</v>
      </c>
      <c r="P3953" s="14" t="n">
        <v>7846.288893576229</v>
      </c>
      <c r="Q3953" s="14" t="n">
        <v>2548580.478615076</v>
      </c>
      <c r="R3953" s="15">
        <f>IF(D3953=1,"Section 1","Control")</f>
        <v/>
      </c>
      <c r="S3953" s="16">
        <f>N3953/10000</f>
        <v/>
      </c>
      <c r="T3953" s="16">
        <f>P3953/10000</f>
        <v/>
      </c>
      <c r="U3953" s="15">
        <f>IF(N3953&gt;=Summary!$D$3,1,0)</f>
        <v/>
      </c>
      <c r="V3953" s="17">
        <f>IF(N3953&gt;0,P3953/N3953,"")</f>
        <v/>
      </c>
      <c r="W3953" s="17">
        <f>IF(O3953&gt;0,H3953/O3953,"")</f>
        <v/>
      </c>
    </row>
    <row r="3954">
      <c r="A3954" s="13" t="inlineStr">
        <is>
          <t>CW51_B1</t>
        </is>
      </c>
      <c r="B3954" s="13" t="inlineStr">
        <is>
          <t>CW51</t>
        </is>
      </c>
      <c r="C3954" s="13" t="inlineStr">
        <is>
          <t>B1</t>
        </is>
      </c>
      <c r="D3954" s="13" t="n">
        <v>0</v>
      </c>
      <c r="E3954" s="13" t="inlineStr">
        <is>
          <t>W</t>
        </is>
      </c>
      <c r="F3954" s="13" t="n">
        <v>2024</v>
      </c>
      <c r="G3954" s="14" t="n">
        <v>1026061.790106709</v>
      </c>
      <c r="H3954" s="14" t="n">
        <v>204073.5226935593</v>
      </c>
      <c r="I3954" s="14" t="n">
        <v>139809.2916433596</v>
      </c>
      <c r="J3954" s="14" t="n">
        <v>0</v>
      </c>
      <c r="K3954" s="14" t="n">
        <v>76797.72625041287</v>
      </c>
      <c r="L3954" s="14" t="n">
        <v>605381.2495193782</v>
      </c>
      <c r="M3954" s="14" t="n">
        <v>0</v>
      </c>
      <c r="N3954" s="14" t="n">
        <v>209417.562757754</v>
      </c>
      <c r="O3954" s="14" t="n">
        <v>423521.9869608562</v>
      </c>
      <c r="P3954" s="14" t="n">
        <v>7884.619170604032</v>
      </c>
      <c r="Q3954" s="14" t="n">
        <v>2548580.478615076</v>
      </c>
      <c r="R3954" s="15">
        <f>IF(D3954=1,"Section 1","Control")</f>
        <v/>
      </c>
      <c r="S3954" s="16">
        <f>N3954/10000</f>
        <v/>
      </c>
      <c r="T3954" s="16">
        <f>P3954/10000</f>
        <v/>
      </c>
      <c r="U3954" s="15">
        <f>IF(N3954&gt;=Summary!$D$3,1,0)</f>
        <v/>
      </c>
      <c r="V3954" s="17">
        <f>IF(N3954&gt;0,P3954/N3954,"")</f>
        <v/>
      </c>
      <c r="W3954" s="17">
        <f>IF(O3954&gt;0,H3954/O3954,"")</f>
        <v/>
      </c>
    </row>
    <row r="3955">
      <c r="A3955" s="13" t="inlineStr">
        <is>
          <t>CW51_B1</t>
        </is>
      </c>
      <c r="B3955" s="13" t="inlineStr">
        <is>
          <t>CW51</t>
        </is>
      </c>
      <c r="C3955" s="13" t="inlineStr">
        <is>
          <t>B1</t>
        </is>
      </c>
      <c r="D3955" s="13" t="n">
        <v>0</v>
      </c>
      <c r="E3955" s="13" t="inlineStr">
        <is>
          <t>W</t>
        </is>
      </c>
      <c r="F3955" s="13" t="n">
        <v>2025</v>
      </c>
      <c r="G3955" s="14" t="n">
        <v>1026061.790106709</v>
      </c>
      <c r="H3955" s="14" t="n">
        <v>202590.2910553278</v>
      </c>
      <c r="I3955" s="14" t="n">
        <v>154105.7991394043</v>
      </c>
      <c r="J3955" s="14" t="n">
        <v>0</v>
      </c>
      <c r="K3955" s="14" t="n">
        <v>68623.12048462512</v>
      </c>
      <c r="L3955" s="14" t="n">
        <v>600742.5794273526</v>
      </c>
      <c r="M3955" s="14" t="n">
        <v>0</v>
      </c>
      <c r="N3955" s="14" t="n">
        <v>209417.562757754</v>
      </c>
      <c r="O3955" s="14" t="n">
        <v>423521.9869608562</v>
      </c>
      <c r="P3955" s="14" t="n">
        <v>8195.512713772641</v>
      </c>
      <c r="Q3955" s="14" t="n">
        <v>2548580.478615076</v>
      </c>
      <c r="R3955" s="15">
        <f>IF(D3955=1,"Section 1","Control")</f>
        <v/>
      </c>
      <c r="S3955" s="16">
        <f>N3955/10000</f>
        <v/>
      </c>
      <c r="T3955" s="16">
        <f>P3955/10000</f>
        <v/>
      </c>
      <c r="U3955" s="15">
        <f>IF(N3955&gt;=Summary!$D$3,1,0)</f>
        <v/>
      </c>
      <c r="V3955" s="17">
        <f>IF(N3955&gt;0,P3955/N3955,"")</f>
        <v/>
      </c>
      <c r="W3955" s="17">
        <f>IF(O3955&gt;0,H3955/O3955,"")</f>
        <v/>
      </c>
    </row>
    <row r="3956">
      <c r="A3956" s="13" t="inlineStr">
        <is>
          <t>CW51_B1</t>
        </is>
      </c>
      <c r="B3956" s="13" t="inlineStr">
        <is>
          <t>CW51</t>
        </is>
      </c>
      <c r="C3956" s="13" t="inlineStr">
        <is>
          <t>B1</t>
        </is>
      </c>
      <c r="D3956" s="13" t="n">
        <v>0</v>
      </c>
      <c r="E3956" s="13" t="inlineStr">
        <is>
          <t>W</t>
        </is>
      </c>
      <c r="F3956" s="13" t="n">
        <v>2026</v>
      </c>
      <c r="G3956" s="14" t="n">
        <v>1026061.790106709</v>
      </c>
      <c r="H3956" s="14" t="n">
        <v>203666.615870487</v>
      </c>
      <c r="I3956" s="14" t="n">
        <v>147385.3525928273</v>
      </c>
      <c r="J3956" s="14" t="n">
        <v>0</v>
      </c>
      <c r="K3956" s="14" t="n">
        <v>64099.48023894065</v>
      </c>
      <c r="L3956" s="14" t="n">
        <v>610910.3414044549</v>
      </c>
      <c r="M3956" s="14" t="n">
        <v>0</v>
      </c>
      <c r="N3956" s="14" t="n">
        <v>209417.562757754</v>
      </c>
      <c r="O3956" s="14" t="n">
        <v>423521.9869608562</v>
      </c>
      <c r="P3956" s="14" t="n">
        <v>8723.602578286564</v>
      </c>
      <c r="Q3956" s="14" t="n">
        <v>2548580.478615076</v>
      </c>
      <c r="R3956" s="15">
        <f>IF(D3956=1,"Section 1","Control")</f>
        <v/>
      </c>
      <c r="S3956" s="16">
        <f>N3956/10000</f>
        <v/>
      </c>
      <c r="T3956" s="16">
        <f>P3956/10000</f>
        <v/>
      </c>
      <c r="U3956" s="15">
        <f>IF(N3956&gt;=Summary!$D$3,1,0)</f>
        <v/>
      </c>
      <c r="V3956" s="17">
        <f>IF(N3956&gt;0,P3956/N3956,"")</f>
        <v/>
      </c>
      <c r="W3956" s="17">
        <f>IF(O3956&gt;0,H3956/O3956,"")</f>
        <v/>
      </c>
    </row>
    <row r="3957">
      <c r="A3957" s="13" t="inlineStr">
        <is>
          <t>CW51_B2</t>
        </is>
      </c>
      <c r="B3957" s="13" t="inlineStr">
        <is>
          <t>CW51</t>
        </is>
      </c>
      <c r="C3957" s="13" t="inlineStr">
        <is>
          <t>B2</t>
        </is>
      </c>
      <c r="D3957" s="13" t="n">
        <v>0</v>
      </c>
      <c r="E3957" s="13" t="inlineStr">
        <is>
          <t>W</t>
        </is>
      </c>
      <c r="F3957" s="13" t="n">
        <v>2020</v>
      </c>
      <c r="G3957" s="14" t="n">
        <v>1026033.908012001</v>
      </c>
      <c r="H3957" s="14" t="n">
        <v>330188.230497233</v>
      </c>
      <c r="I3957" s="14" t="n">
        <v>4634.319252133837</v>
      </c>
      <c r="J3957" s="14" t="n">
        <v>0</v>
      </c>
      <c r="K3957" s="14" t="n">
        <v>11617.91312178069</v>
      </c>
      <c r="L3957" s="14" t="n">
        <v>679593.4451408535</v>
      </c>
      <c r="M3957" s="14" t="n">
        <v>0</v>
      </c>
      <c r="N3957" s="14" t="n">
        <v>330188.230497233</v>
      </c>
      <c r="O3957" s="14" t="n">
        <v>346440.4628711475</v>
      </c>
      <c r="P3957" s="14" t="n">
        <v>0</v>
      </c>
      <c r="Q3957" s="14" t="n">
        <v>2051662.96238176</v>
      </c>
      <c r="R3957" s="15">
        <f>IF(D3957=1,"Section 1","Control")</f>
        <v/>
      </c>
      <c r="S3957" s="16">
        <f>N3957/10000</f>
        <v/>
      </c>
      <c r="T3957" s="16">
        <f>P3957/10000</f>
        <v/>
      </c>
      <c r="U3957" s="15">
        <f>IF(N3957&gt;=Summary!$D$3,1,0)</f>
        <v/>
      </c>
      <c r="V3957" s="17">
        <f>IF(N3957&gt;0,P3957/N3957,"")</f>
        <v/>
      </c>
      <c r="W3957" s="17">
        <f>IF(O3957&gt;0,H3957/O3957,"")</f>
        <v/>
      </c>
    </row>
    <row r="3958">
      <c r="A3958" s="13" t="inlineStr">
        <is>
          <t>CW51_B2</t>
        </is>
      </c>
      <c r="B3958" s="13" t="inlineStr">
        <is>
          <t>CW51</t>
        </is>
      </c>
      <c r="C3958" s="13" t="inlineStr">
        <is>
          <t>B2</t>
        </is>
      </c>
      <c r="D3958" s="13" t="n">
        <v>0</v>
      </c>
      <c r="E3958" s="13" t="inlineStr">
        <is>
          <t>W</t>
        </is>
      </c>
      <c r="F3958" s="13" t="n">
        <v>2021</v>
      </c>
      <c r="G3958" s="14" t="n">
        <v>1026033.908012001</v>
      </c>
      <c r="H3958" s="14" t="n">
        <v>325975.5366645962</v>
      </c>
      <c r="I3958" s="14" t="n">
        <v>5666.874055510876</v>
      </c>
      <c r="J3958" s="14" t="n">
        <v>0</v>
      </c>
      <c r="K3958" s="14" t="n">
        <v>19705.29992469339</v>
      </c>
      <c r="L3958" s="14" t="n">
        <v>674686.1973672006</v>
      </c>
      <c r="M3958" s="14" t="n">
        <v>0</v>
      </c>
      <c r="N3958" s="14" t="n">
        <v>330188.230497233</v>
      </c>
      <c r="O3958" s="14" t="n">
        <v>346440.4628711475</v>
      </c>
      <c r="P3958" s="14" t="n">
        <v>5199.954155207615</v>
      </c>
      <c r="Q3958" s="14" t="n">
        <v>2051662.96238176</v>
      </c>
      <c r="R3958" s="15">
        <f>IF(D3958=1,"Section 1","Control")</f>
        <v/>
      </c>
      <c r="S3958" s="16">
        <f>N3958/10000</f>
        <v/>
      </c>
      <c r="T3958" s="16">
        <f>P3958/10000</f>
        <v/>
      </c>
      <c r="U3958" s="15">
        <f>IF(N3958&gt;=Summary!$D$3,1,0)</f>
        <v/>
      </c>
      <c r="V3958" s="17">
        <f>IF(N3958&gt;0,P3958/N3958,"")</f>
        <v/>
      </c>
      <c r="W3958" s="17">
        <f>IF(O3958&gt;0,H3958/O3958,"")</f>
        <v/>
      </c>
    </row>
    <row r="3959">
      <c r="A3959" s="13" t="inlineStr">
        <is>
          <t>CW51_B2</t>
        </is>
      </c>
      <c r="B3959" s="13" t="inlineStr">
        <is>
          <t>CW51</t>
        </is>
      </c>
      <c r="C3959" s="13" t="inlineStr">
        <is>
          <t>B2</t>
        </is>
      </c>
      <c r="D3959" s="13" t="n">
        <v>0</v>
      </c>
      <c r="E3959" s="13" t="inlineStr">
        <is>
          <t>W</t>
        </is>
      </c>
      <c r="F3959" s="13" t="n">
        <v>2022</v>
      </c>
      <c r="G3959" s="14" t="n">
        <v>1026033.908012001</v>
      </c>
      <c r="H3959" s="14" t="n">
        <v>326730.5091638901</v>
      </c>
      <c r="I3959" s="14" t="n">
        <v>3553.749891303567</v>
      </c>
      <c r="J3959" s="14" t="n">
        <v>0</v>
      </c>
      <c r="K3959" s="14" t="n">
        <v>23799.52045374852</v>
      </c>
      <c r="L3959" s="14" t="n">
        <v>671950.128503059</v>
      </c>
      <c r="M3959" s="14" t="n">
        <v>0</v>
      </c>
      <c r="N3959" s="14" t="n">
        <v>330188.230497233</v>
      </c>
      <c r="O3959" s="14" t="n">
        <v>346440.4628711475</v>
      </c>
      <c r="P3959" s="14" t="n">
        <v>5594.077004316741</v>
      </c>
      <c r="Q3959" s="14" t="n">
        <v>2051662.96238176</v>
      </c>
      <c r="R3959" s="15">
        <f>IF(D3959=1,"Section 1","Control")</f>
        <v/>
      </c>
      <c r="S3959" s="16">
        <f>N3959/10000</f>
        <v/>
      </c>
      <c r="T3959" s="16">
        <f>P3959/10000</f>
        <v/>
      </c>
      <c r="U3959" s="15">
        <f>IF(N3959&gt;=Summary!$D$3,1,0)</f>
        <v/>
      </c>
      <c r="V3959" s="17">
        <f>IF(N3959&gt;0,P3959/N3959,"")</f>
        <v/>
      </c>
      <c r="W3959" s="17">
        <f>IF(O3959&gt;0,H3959/O3959,"")</f>
        <v/>
      </c>
    </row>
    <row r="3960">
      <c r="A3960" s="13" t="inlineStr">
        <is>
          <t>CW51_B2</t>
        </is>
      </c>
      <c r="B3960" s="13" t="inlineStr">
        <is>
          <t>CW51</t>
        </is>
      </c>
      <c r="C3960" s="13" t="inlineStr">
        <is>
          <t>B2</t>
        </is>
      </c>
      <c r="D3960" s="13" t="n">
        <v>0</v>
      </c>
      <c r="E3960" s="13" t="inlineStr">
        <is>
          <t>W</t>
        </is>
      </c>
      <c r="F3960" s="13" t="n">
        <v>2023</v>
      </c>
      <c r="G3960" s="14" t="n">
        <v>1026033.908012001</v>
      </c>
      <c r="H3960" s="14" t="n">
        <v>328266.3790599747</v>
      </c>
      <c r="I3960" s="14" t="n">
        <v>1845.209197160309</v>
      </c>
      <c r="J3960" s="14" t="n">
        <v>0</v>
      </c>
      <c r="K3960" s="14" t="n">
        <v>17417.95768387738</v>
      </c>
      <c r="L3960" s="14" t="n">
        <v>678504.3620709886</v>
      </c>
      <c r="M3960" s="14" t="n">
        <v>0</v>
      </c>
      <c r="N3960" s="14" t="n">
        <v>330188.230497233</v>
      </c>
      <c r="O3960" s="14" t="n">
        <v>346440.4628711475</v>
      </c>
      <c r="P3960" s="14" t="n">
        <v>4848.016991349763</v>
      </c>
      <c r="Q3960" s="14" t="n">
        <v>2051662.96238176</v>
      </c>
      <c r="R3960" s="15">
        <f>IF(D3960=1,"Section 1","Control")</f>
        <v/>
      </c>
      <c r="S3960" s="16">
        <f>N3960/10000</f>
        <v/>
      </c>
      <c r="T3960" s="16">
        <f>P3960/10000</f>
        <v/>
      </c>
      <c r="U3960" s="15">
        <f>IF(N3960&gt;=Summary!$D$3,1,0)</f>
        <v/>
      </c>
      <c r="V3960" s="17">
        <f>IF(N3960&gt;0,P3960/N3960,"")</f>
        <v/>
      </c>
      <c r="W3960" s="17">
        <f>IF(O3960&gt;0,H3960/O3960,"")</f>
        <v/>
      </c>
    </row>
    <row r="3961">
      <c r="A3961" s="13" t="inlineStr">
        <is>
          <t>CW51_B2</t>
        </is>
      </c>
      <c r="B3961" s="13" t="inlineStr">
        <is>
          <t>CW51</t>
        </is>
      </c>
      <c r="C3961" s="13" t="inlineStr">
        <is>
          <t>B2</t>
        </is>
      </c>
      <c r="D3961" s="13" t="n">
        <v>0</v>
      </c>
      <c r="E3961" s="13" t="inlineStr">
        <is>
          <t>W</t>
        </is>
      </c>
      <c r="F3961" s="13" t="n">
        <v>2024</v>
      </c>
      <c r="G3961" s="14" t="n">
        <v>1026033.908012001</v>
      </c>
      <c r="H3961" s="14" t="n">
        <v>329631.5091996136</v>
      </c>
      <c r="I3961" s="14" t="n">
        <v>1047.656517567354</v>
      </c>
      <c r="J3961" s="14" t="n">
        <v>0</v>
      </c>
      <c r="K3961" s="14" t="n">
        <v>23009.72627955418</v>
      </c>
      <c r="L3961" s="14" t="n">
        <v>672345.0160152661</v>
      </c>
      <c r="M3961" s="14" t="n">
        <v>0</v>
      </c>
      <c r="N3961" s="14" t="n">
        <v>330188.230497233</v>
      </c>
      <c r="O3961" s="14" t="n">
        <v>346440.4628711475</v>
      </c>
      <c r="P3961" s="14" t="n">
        <v>4173.969989223106</v>
      </c>
      <c r="Q3961" s="14" t="n">
        <v>2051662.96238176</v>
      </c>
      <c r="R3961" s="15">
        <f>IF(D3961=1,"Section 1","Control")</f>
        <v/>
      </c>
      <c r="S3961" s="16">
        <f>N3961/10000</f>
        <v/>
      </c>
      <c r="T3961" s="16">
        <f>P3961/10000</f>
        <v/>
      </c>
      <c r="U3961" s="15">
        <f>IF(N3961&gt;=Summary!$D$3,1,0)</f>
        <v/>
      </c>
      <c r="V3961" s="17">
        <f>IF(N3961&gt;0,P3961/N3961,"")</f>
        <v/>
      </c>
      <c r="W3961" s="17">
        <f>IF(O3961&gt;0,H3961/O3961,"")</f>
        <v/>
      </c>
    </row>
    <row r="3962">
      <c r="A3962" s="13" t="inlineStr">
        <is>
          <t>CW51_B2</t>
        </is>
      </c>
      <c r="B3962" s="13" t="inlineStr">
        <is>
          <t>CW51</t>
        </is>
      </c>
      <c r="C3962" s="13" t="inlineStr">
        <is>
          <t>B2</t>
        </is>
      </c>
      <c r="D3962" s="13" t="n">
        <v>0</v>
      </c>
      <c r="E3962" s="13" t="inlineStr">
        <is>
          <t>W</t>
        </is>
      </c>
      <c r="F3962" s="13" t="n">
        <v>2025</v>
      </c>
      <c r="G3962" s="14" t="n">
        <v>1026033.908012001</v>
      </c>
      <c r="H3962" s="14" t="n">
        <v>327618.6561346614</v>
      </c>
      <c r="I3962" s="14" t="n">
        <v>3652.866348266602</v>
      </c>
      <c r="J3962" s="14" t="n">
        <v>0</v>
      </c>
      <c r="K3962" s="14" t="n">
        <v>17738.92040022308</v>
      </c>
      <c r="L3962" s="14" t="n">
        <v>677023.46512885</v>
      </c>
      <c r="M3962" s="14" t="n">
        <v>0</v>
      </c>
      <c r="N3962" s="14" t="n">
        <v>330188.230497233</v>
      </c>
      <c r="O3962" s="14" t="n">
        <v>346440.4628711476</v>
      </c>
      <c r="P3962" s="14" t="n">
        <v>5199.561411719229</v>
      </c>
      <c r="Q3962" s="14" t="n">
        <v>2051662.96238176</v>
      </c>
      <c r="R3962" s="15">
        <f>IF(D3962=1,"Section 1","Control")</f>
        <v/>
      </c>
      <c r="S3962" s="16">
        <f>N3962/10000</f>
        <v/>
      </c>
      <c r="T3962" s="16">
        <f>P3962/10000</f>
        <v/>
      </c>
      <c r="U3962" s="15">
        <f>IF(N3962&gt;=Summary!$D$3,1,0)</f>
        <v/>
      </c>
      <c r="V3962" s="17">
        <f>IF(N3962&gt;0,P3962/N3962,"")</f>
        <v/>
      </c>
      <c r="W3962" s="17">
        <f>IF(O3962&gt;0,H3962/O3962,"")</f>
        <v/>
      </c>
    </row>
    <row r="3963">
      <c r="A3963" s="13" t="inlineStr">
        <is>
          <t>CW51_B2</t>
        </is>
      </c>
      <c r="B3963" s="13" t="inlineStr">
        <is>
          <t>CW51</t>
        </is>
      </c>
      <c r="C3963" s="13" t="inlineStr">
        <is>
          <t>B2</t>
        </is>
      </c>
      <c r="D3963" s="13" t="n">
        <v>0</v>
      </c>
      <c r="E3963" s="13" t="inlineStr">
        <is>
          <t>W</t>
        </is>
      </c>
      <c r="F3963" s="13" t="n">
        <v>2026</v>
      </c>
      <c r="G3963" s="14" t="n">
        <v>1026033.908012001</v>
      </c>
      <c r="H3963" s="14" t="n">
        <v>322335.8543061798</v>
      </c>
      <c r="I3963" s="14" t="n">
        <v>5986.280337075626</v>
      </c>
      <c r="J3963" s="14" t="n">
        <v>0</v>
      </c>
      <c r="K3963" s="14" t="n">
        <v>18491.17562501197</v>
      </c>
      <c r="L3963" s="14" t="n">
        <v>679220.5977437338</v>
      </c>
      <c r="M3963" s="14" t="n">
        <v>0</v>
      </c>
      <c r="N3963" s="14" t="n">
        <v>330188.230497233</v>
      </c>
      <c r="O3963" s="14" t="n">
        <v>346440.4628711475</v>
      </c>
      <c r="P3963" s="14" t="n">
        <v>9890.00607772528</v>
      </c>
      <c r="Q3963" s="14" t="n">
        <v>2051662.96238176</v>
      </c>
      <c r="R3963" s="15">
        <f>IF(D3963=1,"Section 1","Control")</f>
        <v/>
      </c>
      <c r="S3963" s="16">
        <f>N3963/10000</f>
        <v/>
      </c>
      <c r="T3963" s="16">
        <f>P3963/10000</f>
        <v/>
      </c>
      <c r="U3963" s="15">
        <f>IF(N3963&gt;=Summary!$D$3,1,0)</f>
        <v/>
      </c>
      <c r="V3963" s="17">
        <f>IF(N3963&gt;0,P3963/N3963,"")</f>
        <v/>
      </c>
      <c r="W3963" s="17">
        <f>IF(O3963&gt;0,H3963/O3963,"")</f>
        <v/>
      </c>
    </row>
    <row r="3964">
      <c r="A3964" s="13" t="inlineStr">
        <is>
          <t>CW51_B3</t>
        </is>
      </c>
      <c r="B3964" s="13" t="inlineStr">
        <is>
          <t>CW51</t>
        </is>
      </c>
      <c r="C3964" s="13" t="inlineStr">
        <is>
          <t>B3</t>
        </is>
      </c>
      <c r="D3964" s="13" t="n">
        <v>0</v>
      </c>
      <c r="E3964" s="13" t="inlineStr">
        <is>
          <t>W</t>
        </is>
      </c>
      <c r="F3964" s="13" t="n">
        <v>2020</v>
      </c>
      <c r="G3964" s="14" t="n">
        <v>8208772.781806646</v>
      </c>
      <c r="H3964" s="14" t="n">
        <v>3446150.421710324</v>
      </c>
      <c r="I3964" s="14" t="n">
        <v>130148.9741319245</v>
      </c>
      <c r="J3964" s="14" t="n">
        <v>0</v>
      </c>
      <c r="K3964" s="14" t="n">
        <v>260016.6610370112</v>
      </c>
      <c r="L3964" s="14" t="n">
        <v>4372456.724927386</v>
      </c>
      <c r="M3964" s="14" t="n">
        <v>0</v>
      </c>
      <c r="N3964" s="14" t="n">
        <v>3446150.421710324</v>
      </c>
      <c r="O3964" s="14" t="n">
        <v>3836316.05687926</v>
      </c>
      <c r="P3964" s="14" t="n">
        <v>0</v>
      </c>
      <c r="Q3964" s="14" t="n">
        <v>20017383.35367743</v>
      </c>
      <c r="R3964" s="15">
        <f>IF(D3964=1,"Section 1","Control")</f>
        <v/>
      </c>
      <c r="S3964" s="16">
        <f>N3964/10000</f>
        <v/>
      </c>
      <c r="T3964" s="16">
        <f>P3964/10000</f>
        <v/>
      </c>
      <c r="U3964" s="15">
        <f>IF(N3964&gt;=Summary!$D$3,1,0)</f>
        <v/>
      </c>
      <c r="V3964" s="17">
        <f>IF(N3964&gt;0,P3964/N3964,"")</f>
        <v/>
      </c>
      <c r="W3964" s="17">
        <f>IF(O3964&gt;0,H3964/O3964,"")</f>
        <v/>
      </c>
    </row>
    <row r="3965">
      <c r="A3965" s="13" t="inlineStr">
        <is>
          <t>CW51_B3</t>
        </is>
      </c>
      <c r="B3965" s="13" t="inlineStr">
        <is>
          <t>CW51</t>
        </is>
      </c>
      <c r="C3965" s="13" t="inlineStr">
        <is>
          <t>B3</t>
        </is>
      </c>
      <c r="D3965" s="13" t="n">
        <v>0</v>
      </c>
      <c r="E3965" s="13" t="inlineStr">
        <is>
          <t>W</t>
        </is>
      </c>
      <c r="F3965" s="13" t="n">
        <v>2021</v>
      </c>
      <c r="G3965" s="14" t="n">
        <v>8208772.781806645</v>
      </c>
      <c r="H3965" s="14" t="n">
        <v>3427675.110689919</v>
      </c>
      <c r="I3965" s="14" t="n">
        <v>120589.2866297404</v>
      </c>
      <c r="J3965" s="14" t="n">
        <v>0</v>
      </c>
      <c r="K3965" s="14" t="n">
        <v>255381.3148386039</v>
      </c>
      <c r="L3965" s="14" t="n">
        <v>4405127.069648384</v>
      </c>
      <c r="M3965" s="14" t="n">
        <v>0</v>
      </c>
      <c r="N3965" s="14" t="n">
        <v>3446150.421710324</v>
      </c>
      <c r="O3965" s="14" t="n">
        <v>3836316.05687926</v>
      </c>
      <c r="P3965" s="14" t="n">
        <v>57808.54698429482</v>
      </c>
      <c r="Q3965" s="14" t="n">
        <v>20017383.35367743</v>
      </c>
      <c r="R3965" s="15">
        <f>IF(D3965=1,"Section 1","Control")</f>
        <v/>
      </c>
      <c r="S3965" s="16">
        <f>N3965/10000</f>
        <v/>
      </c>
      <c r="T3965" s="16">
        <f>P3965/10000</f>
        <v/>
      </c>
      <c r="U3965" s="15">
        <f>IF(N3965&gt;=Summary!$D$3,1,0)</f>
        <v/>
      </c>
      <c r="V3965" s="17">
        <f>IF(N3965&gt;0,P3965/N3965,"")</f>
        <v/>
      </c>
      <c r="W3965" s="17">
        <f>IF(O3965&gt;0,H3965/O3965,"")</f>
        <v/>
      </c>
    </row>
    <row r="3966">
      <c r="A3966" s="13" t="inlineStr">
        <is>
          <t>CW51_B3</t>
        </is>
      </c>
      <c r="B3966" s="13" t="inlineStr">
        <is>
          <t>CW51</t>
        </is>
      </c>
      <c r="C3966" s="13" t="inlineStr">
        <is>
          <t>B3</t>
        </is>
      </c>
      <c r="D3966" s="13" t="n">
        <v>0</v>
      </c>
      <c r="E3966" s="13" t="inlineStr">
        <is>
          <t>W</t>
        </is>
      </c>
      <c r="F3966" s="13" t="n">
        <v>2022</v>
      </c>
      <c r="G3966" s="14" t="n">
        <v>8208772.781806645</v>
      </c>
      <c r="H3966" s="14" t="n">
        <v>3405947.417232499</v>
      </c>
      <c r="I3966" s="14" t="n">
        <v>127005.4358821196</v>
      </c>
      <c r="J3966" s="14" t="n">
        <v>0</v>
      </c>
      <c r="K3966" s="14" t="n">
        <v>362282.0135925891</v>
      </c>
      <c r="L3966" s="14" t="n">
        <v>4313537.91509944</v>
      </c>
      <c r="M3966" s="14" t="n">
        <v>0</v>
      </c>
      <c r="N3966" s="14" t="n">
        <v>3446150.421710324</v>
      </c>
      <c r="O3966" s="14" t="n">
        <v>3836316.05687926</v>
      </c>
      <c r="P3966" s="14" t="n">
        <v>81037.4820010017</v>
      </c>
      <c r="Q3966" s="14" t="n">
        <v>20017383.35367743</v>
      </c>
      <c r="R3966" s="15">
        <f>IF(D3966=1,"Section 1","Control")</f>
        <v/>
      </c>
      <c r="S3966" s="16">
        <f>N3966/10000</f>
        <v/>
      </c>
      <c r="T3966" s="16">
        <f>P3966/10000</f>
        <v/>
      </c>
      <c r="U3966" s="15">
        <f>IF(N3966&gt;=Summary!$D$3,1,0)</f>
        <v/>
      </c>
      <c r="V3966" s="17">
        <f>IF(N3966&gt;0,P3966/N3966,"")</f>
        <v/>
      </c>
      <c r="W3966" s="17">
        <f>IF(O3966&gt;0,H3966/O3966,"")</f>
        <v/>
      </c>
    </row>
    <row r="3967">
      <c r="A3967" s="13" t="inlineStr">
        <is>
          <t>CW51_B3</t>
        </is>
      </c>
      <c r="B3967" s="13" t="inlineStr">
        <is>
          <t>CW51</t>
        </is>
      </c>
      <c r="C3967" s="13" t="inlineStr">
        <is>
          <t>B3</t>
        </is>
      </c>
      <c r="D3967" s="13" t="n">
        <v>0</v>
      </c>
      <c r="E3967" s="13" t="inlineStr">
        <is>
          <t>W</t>
        </is>
      </c>
      <c r="F3967" s="13" t="n">
        <v>2023</v>
      </c>
      <c r="G3967" s="14" t="n">
        <v>8208772.781806647</v>
      </c>
      <c r="H3967" s="14" t="n">
        <v>3429635.697042188</v>
      </c>
      <c r="I3967" s="14" t="n">
        <v>104063.9228699927</v>
      </c>
      <c r="J3967" s="14" t="n">
        <v>0</v>
      </c>
      <c r="K3967" s="14" t="n">
        <v>234324.9663407269</v>
      </c>
      <c r="L3967" s="14" t="n">
        <v>4440748.195553739</v>
      </c>
      <c r="M3967" s="14" t="n">
        <v>0</v>
      </c>
      <c r="N3967" s="14" t="n">
        <v>3446150.421710324</v>
      </c>
      <c r="O3967" s="14" t="n">
        <v>3836316.05687926</v>
      </c>
      <c r="P3967" s="14" t="n">
        <v>75377.34462031943</v>
      </c>
      <c r="Q3967" s="14" t="n">
        <v>20017383.35367743</v>
      </c>
      <c r="R3967" s="15">
        <f>IF(D3967=1,"Section 1","Control")</f>
        <v/>
      </c>
      <c r="S3967" s="16">
        <f>N3967/10000</f>
        <v/>
      </c>
      <c r="T3967" s="16">
        <f>P3967/10000</f>
        <v/>
      </c>
      <c r="U3967" s="15">
        <f>IF(N3967&gt;=Summary!$D$3,1,0)</f>
        <v/>
      </c>
      <c r="V3967" s="17">
        <f>IF(N3967&gt;0,P3967/N3967,"")</f>
        <v/>
      </c>
      <c r="W3967" s="17">
        <f>IF(O3967&gt;0,H3967/O3967,"")</f>
        <v/>
      </c>
    </row>
    <row r="3968">
      <c r="A3968" s="13" t="inlineStr">
        <is>
          <t>CW51_B3</t>
        </is>
      </c>
      <c r="B3968" s="13" t="inlineStr">
        <is>
          <t>CW51</t>
        </is>
      </c>
      <c r="C3968" s="13" t="inlineStr">
        <is>
          <t>B3</t>
        </is>
      </c>
      <c r="D3968" s="13" t="n">
        <v>0</v>
      </c>
      <c r="E3968" s="13" t="inlineStr">
        <is>
          <t>W</t>
        </is>
      </c>
      <c r="F3968" s="13" t="n">
        <v>2024</v>
      </c>
      <c r="G3968" s="14" t="n">
        <v>8208772.781806645</v>
      </c>
      <c r="H3968" s="14" t="n">
        <v>3440828.34993687</v>
      </c>
      <c r="I3968" s="14" t="n">
        <v>104339.3534398696</v>
      </c>
      <c r="J3968" s="14" t="n">
        <v>0</v>
      </c>
      <c r="K3968" s="14" t="n">
        <v>294470.1690869799</v>
      </c>
      <c r="L3968" s="14" t="n">
        <v>4369134.909342927</v>
      </c>
      <c r="M3968" s="14" t="n">
        <v>0</v>
      </c>
      <c r="N3968" s="14" t="n">
        <v>3446150.421710324</v>
      </c>
      <c r="O3968" s="14" t="n">
        <v>3836316.05687926</v>
      </c>
      <c r="P3968" s="14" t="n">
        <v>73252.79589023965</v>
      </c>
      <c r="Q3968" s="14" t="n">
        <v>20017383.35367743</v>
      </c>
      <c r="R3968" s="15">
        <f>IF(D3968=1,"Section 1","Control")</f>
        <v/>
      </c>
      <c r="S3968" s="16">
        <f>N3968/10000</f>
        <v/>
      </c>
      <c r="T3968" s="16">
        <f>P3968/10000</f>
        <v/>
      </c>
      <c r="U3968" s="15">
        <f>IF(N3968&gt;=Summary!$D$3,1,0)</f>
        <v/>
      </c>
      <c r="V3968" s="17">
        <f>IF(N3968&gt;0,P3968/N3968,"")</f>
        <v/>
      </c>
      <c r="W3968" s="17">
        <f>IF(O3968&gt;0,H3968/O3968,"")</f>
        <v/>
      </c>
    </row>
    <row r="3969">
      <c r="A3969" s="13" t="inlineStr">
        <is>
          <t>CW51_B3</t>
        </is>
      </c>
      <c r="B3969" s="13" t="inlineStr">
        <is>
          <t>CW51</t>
        </is>
      </c>
      <c r="C3969" s="13" t="inlineStr">
        <is>
          <t>B3</t>
        </is>
      </c>
      <c r="D3969" s="13" t="n">
        <v>0</v>
      </c>
      <c r="E3969" s="13" t="inlineStr">
        <is>
          <t>W</t>
        </is>
      </c>
      <c r="F3969" s="13" t="n">
        <v>2025</v>
      </c>
      <c r="G3969" s="14" t="n">
        <v>8208772.781806646</v>
      </c>
      <c r="H3969" s="14" t="n">
        <v>3384712.314819485</v>
      </c>
      <c r="I3969" s="14" t="n">
        <v>149326.0051078647</v>
      </c>
      <c r="J3969" s="14" t="n">
        <v>0</v>
      </c>
      <c r="K3969" s="14" t="n">
        <v>243258.9361659032</v>
      </c>
      <c r="L3969" s="14" t="n">
        <v>4431475.525713394</v>
      </c>
      <c r="M3969" s="14" t="n">
        <v>0</v>
      </c>
      <c r="N3969" s="14" t="n">
        <v>3446150.421710324</v>
      </c>
      <c r="O3969" s="14" t="n">
        <v>3836316.056879261</v>
      </c>
      <c r="P3969" s="14" t="n">
        <v>98302.71377354042</v>
      </c>
      <c r="Q3969" s="14" t="n">
        <v>20017383.35367743</v>
      </c>
      <c r="R3969" s="15">
        <f>IF(D3969=1,"Section 1","Control")</f>
        <v/>
      </c>
      <c r="S3969" s="16">
        <f>N3969/10000</f>
        <v/>
      </c>
      <c r="T3969" s="16">
        <f>P3969/10000</f>
        <v/>
      </c>
      <c r="U3969" s="15">
        <f>IF(N3969&gt;=Summary!$D$3,1,0)</f>
        <v/>
      </c>
      <c r="V3969" s="17">
        <f>IF(N3969&gt;0,P3969/N3969,"")</f>
        <v/>
      </c>
      <c r="W3969" s="17">
        <f>IF(O3969&gt;0,H3969/O3969,"")</f>
        <v/>
      </c>
    </row>
    <row r="3970">
      <c r="A3970" s="13" t="inlineStr">
        <is>
          <t>CW51_B3</t>
        </is>
      </c>
      <c r="B3970" s="13" t="inlineStr">
        <is>
          <t>CW51</t>
        </is>
      </c>
      <c r="C3970" s="13" t="inlineStr">
        <is>
          <t>B3</t>
        </is>
      </c>
      <c r="D3970" s="13" t="n">
        <v>0</v>
      </c>
      <c r="E3970" s="13" t="inlineStr">
        <is>
          <t>W</t>
        </is>
      </c>
      <c r="F3970" s="13" t="n">
        <v>2026</v>
      </c>
      <c r="G3970" s="14" t="n">
        <v>8208772.781806645</v>
      </c>
      <c r="H3970" s="14" t="n">
        <v>3408996.06426239</v>
      </c>
      <c r="I3970" s="14" t="n">
        <v>88868.68963317871</v>
      </c>
      <c r="J3970" s="14" t="n">
        <v>0</v>
      </c>
      <c r="K3970" s="14" t="n">
        <v>256534.5093310486</v>
      </c>
      <c r="L3970" s="14" t="n">
        <v>4454373.518580029</v>
      </c>
      <c r="M3970" s="14" t="n">
        <v>0</v>
      </c>
      <c r="N3970" s="14" t="n">
        <v>3446150.421710324</v>
      </c>
      <c r="O3970" s="14" t="n">
        <v>3836316.05687926</v>
      </c>
      <c r="P3970" s="14" t="n">
        <v>110714.6808897729</v>
      </c>
      <c r="Q3970" s="14" t="n">
        <v>20017383.35367743</v>
      </c>
      <c r="R3970" s="15">
        <f>IF(D3970=1,"Section 1","Control")</f>
        <v/>
      </c>
      <c r="S3970" s="16">
        <f>N3970/10000</f>
        <v/>
      </c>
      <c r="T3970" s="16">
        <f>P3970/10000</f>
        <v/>
      </c>
      <c r="U3970" s="15">
        <f>IF(N3970&gt;=Summary!$D$3,1,0)</f>
        <v/>
      </c>
      <c r="V3970" s="17">
        <f>IF(N3970&gt;0,P3970/N3970,"")</f>
        <v/>
      </c>
      <c r="W3970" s="17">
        <f>IF(O3970&gt;0,H3970/O3970,"")</f>
        <v/>
      </c>
    </row>
    <row r="3971">
      <c r="A3971" s="13" t="inlineStr">
        <is>
          <t>CW51_F</t>
        </is>
      </c>
      <c r="B3971" s="13" t="inlineStr">
        <is>
          <t>CW51</t>
        </is>
      </c>
      <c r="C3971" s="13" t="inlineStr">
        <is>
          <t>F</t>
        </is>
      </c>
      <c r="D3971" s="13" t="n">
        <v>0</v>
      </c>
      <c r="E3971" s="13" t="inlineStr">
        <is>
          <t>W</t>
        </is>
      </c>
      <c r="F3971" s="13" t="n">
        <v>2020</v>
      </c>
      <c r="G3971" s="14" t="n">
        <v>71059.94462175558</v>
      </c>
      <c r="H3971" s="14" t="n">
        <v>17053.08952340519</v>
      </c>
      <c r="I3971" s="14" t="n">
        <v>1683.782738809025</v>
      </c>
      <c r="J3971" s="14" t="n">
        <v>0</v>
      </c>
      <c r="K3971" s="14" t="n">
        <v>14526.83472266104</v>
      </c>
      <c r="L3971" s="14" t="n">
        <v>37796.23763688032</v>
      </c>
      <c r="M3971" s="14" t="n">
        <v>0</v>
      </c>
      <c r="N3971" s="14" t="n">
        <v>17053.08952340519</v>
      </c>
      <c r="O3971" s="14" t="n">
        <v>33263.70698487525</v>
      </c>
      <c r="P3971" s="14" t="n">
        <v>0</v>
      </c>
      <c r="Q3971" s="14" t="n">
        <v>354551.8013433719</v>
      </c>
      <c r="R3971" s="15">
        <f>IF(D3971=1,"Section 1","Control")</f>
        <v/>
      </c>
      <c r="S3971" s="16">
        <f>N3971/10000</f>
        <v/>
      </c>
      <c r="T3971" s="16">
        <f>P3971/10000</f>
        <v/>
      </c>
      <c r="U3971" s="15">
        <f>IF(N3971&gt;=Summary!$D$3,1,0)</f>
        <v/>
      </c>
      <c r="V3971" s="17">
        <f>IF(N3971&gt;0,P3971/N3971,"")</f>
        <v/>
      </c>
      <c r="W3971" s="17">
        <f>IF(O3971&gt;0,H3971/O3971,"")</f>
        <v/>
      </c>
    </row>
    <row r="3972">
      <c r="A3972" s="13" t="inlineStr">
        <is>
          <t>CW51_F</t>
        </is>
      </c>
      <c r="B3972" s="13" t="inlineStr">
        <is>
          <t>CW51</t>
        </is>
      </c>
      <c r="C3972" s="13" t="inlineStr">
        <is>
          <t>F</t>
        </is>
      </c>
      <c r="D3972" s="13" t="n">
        <v>0</v>
      </c>
      <c r="E3972" s="13" t="inlineStr">
        <is>
          <t>W</t>
        </is>
      </c>
      <c r="F3972" s="13" t="n">
        <v>2021</v>
      </c>
      <c r="G3972" s="14" t="n">
        <v>71059.94462175558</v>
      </c>
      <c r="H3972" s="14" t="n">
        <v>12062.91424620385</v>
      </c>
      <c r="I3972" s="14" t="n">
        <v>567.9717323153627</v>
      </c>
      <c r="J3972" s="14" t="n">
        <v>0</v>
      </c>
      <c r="K3972" s="14" t="n">
        <v>23861.77957859413</v>
      </c>
      <c r="L3972" s="14" t="n">
        <v>34567.27906464222</v>
      </c>
      <c r="M3972" s="14" t="n">
        <v>0</v>
      </c>
      <c r="N3972" s="14" t="n">
        <v>17053.08952340519</v>
      </c>
      <c r="O3972" s="14" t="n">
        <v>33263.70698487525</v>
      </c>
      <c r="P3972" s="14" t="n">
        <v>4990.175277201334</v>
      </c>
      <c r="Q3972" s="14" t="n">
        <v>354551.8013433719</v>
      </c>
      <c r="R3972" s="15">
        <f>IF(D3972=1,"Section 1","Control")</f>
        <v/>
      </c>
      <c r="S3972" s="16">
        <f>N3972/10000</f>
        <v/>
      </c>
      <c r="T3972" s="16">
        <f>P3972/10000</f>
        <v/>
      </c>
      <c r="U3972" s="15">
        <f>IF(N3972&gt;=Summary!$D$3,1,0)</f>
        <v/>
      </c>
      <c r="V3972" s="17">
        <f>IF(N3972&gt;0,P3972/N3972,"")</f>
        <v/>
      </c>
      <c r="W3972" s="17">
        <f>IF(O3972&gt;0,H3972/O3972,"")</f>
        <v/>
      </c>
    </row>
    <row r="3973">
      <c r="A3973" s="13" t="inlineStr">
        <is>
          <t>CW51_F</t>
        </is>
      </c>
      <c r="B3973" s="13" t="inlineStr">
        <is>
          <t>CW51</t>
        </is>
      </c>
      <c r="C3973" s="13" t="inlineStr">
        <is>
          <t>F</t>
        </is>
      </c>
      <c r="D3973" s="13" t="n">
        <v>0</v>
      </c>
      <c r="E3973" s="13" t="inlineStr">
        <is>
          <t>W</t>
        </is>
      </c>
      <c r="F3973" s="13" t="n">
        <v>2022</v>
      </c>
      <c r="G3973" s="14" t="n">
        <v>71059.94462175558</v>
      </c>
      <c r="H3973" s="14" t="n">
        <v>11791.51113107719</v>
      </c>
      <c r="I3973" s="14" t="n">
        <v>1466.195737352558</v>
      </c>
      <c r="J3973" s="14" t="n">
        <v>0</v>
      </c>
      <c r="K3973" s="14" t="n">
        <v>31272.12623626111</v>
      </c>
      <c r="L3973" s="14" t="n">
        <v>26530.11151706472</v>
      </c>
      <c r="M3973" s="14" t="n">
        <v>0</v>
      </c>
      <c r="N3973" s="14" t="n">
        <v>17053.08952340519</v>
      </c>
      <c r="O3973" s="14" t="n">
        <v>33263.70698487525</v>
      </c>
      <c r="P3973" s="14" t="n">
        <v>5459.03273040173</v>
      </c>
      <c r="Q3973" s="14" t="n">
        <v>354551.8013433719</v>
      </c>
      <c r="R3973" s="15">
        <f>IF(D3973=1,"Section 1","Control")</f>
        <v/>
      </c>
      <c r="S3973" s="16">
        <f>N3973/10000</f>
        <v/>
      </c>
      <c r="T3973" s="16">
        <f>P3973/10000</f>
        <v/>
      </c>
      <c r="U3973" s="15">
        <f>IF(N3973&gt;=Summary!$D$3,1,0)</f>
        <v/>
      </c>
      <c r="V3973" s="17">
        <f>IF(N3973&gt;0,P3973/N3973,"")</f>
        <v/>
      </c>
      <c r="W3973" s="17">
        <f>IF(O3973&gt;0,H3973/O3973,"")</f>
        <v/>
      </c>
    </row>
    <row r="3974">
      <c r="A3974" s="13" t="inlineStr">
        <is>
          <t>CW51_F</t>
        </is>
      </c>
      <c r="B3974" s="13" t="inlineStr">
        <is>
          <t>CW51</t>
        </is>
      </c>
      <c r="C3974" s="13" t="inlineStr">
        <is>
          <t>F</t>
        </is>
      </c>
      <c r="D3974" s="13" t="n">
        <v>0</v>
      </c>
      <c r="E3974" s="13" t="inlineStr">
        <is>
          <t>W</t>
        </is>
      </c>
      <c r="F3974" s="13" t="n">
        <v>2023</v>
      </c>
      <c r="G3974" s="14" t="n">
        <v>71059.94462175558</v>
      </c>
      <c r="H3974" s="14" t="n">
        <v>12364.51596542059</v>
      </c>
      <c r="I3974" s="14" t="n">
        <v>1778.251192997951</v>
      </c>
      <c r="J3974" s="14" t="n">
        <v>0</v>
      </c>
      <c r="K3974" s="14" t="n">
        <v>18935.87489202162</v>
      </c>
      <c r="L3974" s="14" t="n">
        <v>37981.3025713154</v>
      </c>
      <c r="M3974" s="14" t="n">
        <v>0</v>
      </c>
      <c r="N3974" s="14" t="n">
        <v>17053.08952340519</v>
      </c>
      <c r="O3974" s="14" t="n">
        <v>33263.70698487525</v>
      </c>
      <c r="P3974" s="14" t="n">
        <v>5332.816880110198</v>
      </c>
      <c r="Q3974" s="14" t="n">
        <v>354551.8013433719</v>
      </c>
      <c r="R3974" s="15">
        <f>IF(D3974=1,"Section 1","Control")</f>
        <v/>
      </c>
      <c r="S3974" s="16">
        <f>N3974/10000</f>
        <v/>
      </c>
      <c r="T3974" s="16">
        <f>P3974/10000</f>
        <v/>
      </c>
      <c r="U3974" s="15">
        <f>IF(N3974&gt;=Summary!$D$3,1,0)</f>
        <v/>
      </c>
      <c r="V3974" s="17">
        <f>IF(N3974&gt;0,P3974/N3974,"")</f>
        <v/>
      </c>
      <c r="W3974" s="17">
        <f>IF(O3974&gt;0,H3974/O3974,"")</f>
        <v/>
      </c>
    </row>
    <row r="3975">
      <c r="A3975" s="13" t="inlineStr">
        <is>
          <t>CW51_F</t>
        </is>
      </c>
      <c r="B3975" s="13" t="inlineStr">
        <is>
          <t>CW51</t>
        </is>
      </c>
      <c r="C3975" s="13" t="inlineStr">
        <is>
          <t>F</t>
        </is>
      </c>
      <c r="D3975" s="13" t="n">
        <v>0</v>
      </c>
      <c r="E3975" s="13" t="inlineStr">
        <is>
          <t>W</t>
        </is>
      </c>
      <c r="F3975" s="13" t="n">
        <v>2024</v>
      </c>
      <c r="G3975" s="14" t="n">
        <v>71059.94462175558</v>
      </c>
      <c r="H3975" s="14" t="n">
        <v>12215.07011994006</v>
      </c>
      <c r="I3975" s="14" t="n">
        <v>749.1652817071654</v>
      </c>
      <c r="J3975" s="14" t="n">
        <v>0</v>
      </c>
      <c r="K3975" s="14" t="n">
        <v>21237.18621120079</v>
      </c>
      <c r="L3975" s="14" t="n">
        <v>36858.52300890756</v>
      </c>
      <c r="M3975" s="14" t="n">
        <v>0</v>
      </c>
      <c r="N3975" s="14" t="n">
        <v>17053.08952340519</v>
      </c>
      <c r="O3975" s="14" t="n">
        <v>33263.70698487525</v>
      </c>
      <c r="P3975" s="14" t="n">
        <v>5491.94191008923</v>
      </c>
      <c r="Q3975" s="14" t="n">
        <v>354551.8013433719</v>
      </c>
      <c r="R3975" s="15">
        <f>IF(D3975=1,"Section 1","Control")</f>
        <v/>
      </c>
      <c r="S3975" s="16">
        <f>N3975/10000</f>
        <v/>
      </c>
      <c r="T3975" s="16">
        <f>P3975/10000</f>
        <v/>
      </c>
      <c r="U3975" s="15">
        <f>IF(N3975&gt;=Summary!$D$3,1,0)</f>
        <v/>
      </c>
      <c r="V3975" s="17">
        <f>IF(N3975&gt;0,P3975/N3975,"")</f>
        <v/>
      </c>
      <c r="W3975" s="17">
        <f>IF(O3975&gt;0,H3975/O3975,"")</f>
        <v/>
      </c>
    </row>
    <row r="3976">
      <c r="A3976" s="13" t="inlineStr">
        <is>
          <t>CW51_F</t>
        </is>
      </c>
      <c r="B3976" s="13" t="inlineStr">
        <is>
          <t>CW51</t>
        </is>
      </c>
      <c r="C3976" s="13" t="inlineStr">
        <is>
          <t>F</t>
        </is>
      </c>
      <c r="D3976" s="13" t="n">
        <v>0</v>
      </c>
      <c r="E3976" s="13" t="inlineStr">
        <is>
          <t>W</t>
        </is>
      </c>
      <c r="F3976" s="13" t="n">
        <v>2025</v>
      </c>
      <c r="G3976" s="14" t="n">
        <v>71059.94462175558</v>
      </c>
      <c r="H3976" s="14" t="n">
        <v>10938.97275540221</v>
      </c>
      <c r="I3976" s="14" t="n">
        <v>3111.64898370481</v>
      </c>
      <c r="J3976" s="14" t="n">
        <v>0</v>
      </c>
      <c r="K3976" s="14" t="n">
        <v>20816.72449394675</v>
      </c>
      <c r="L3976" s="14" t="n">
        <v>36192.5983887018</v>
      </c>
      <c r="M3976" s="14" t="n">
        <v>0</v>
      </c>
      <c r="N3976" s="14" t="n">
        <v>17053.08952340519</v>
      </c>
      <c r="O3976" s="14" t="n">
        <v>33263.70698487525</v>
      </c>
      <c r="P3976" s="14" t="n">
        <v>6429.656702049106</v>
      </c>
      <c r="Q3976" s="14" t="n">
        <v>354551.8013433719</v>
      </c>
      <c r="R3976" s="15">
        <f>IF(D3976=1,"Section 1","Control")</f>
        <v/>
      </c>
      <c r="S3976" s="16">
        <f>N3976/10000</f>
        <v/>
      </c>
      <c r="T3976" s="16">
        <f>P3976/10000</f>
        <v/>
      </c>
      <c r="U3976" s="15">
        <f>IF(N3976&gt;=Summary!$D$3,1,0)</f>
        <v/>
      </c>
      <c r="V3976" s="17">
        <f>IF(N3976&gt;0,P3976/N3976,"")</f>
        <v/>
      </c>
      <c r="W3976" s="17">
        <f>IF(O3976&gt;0,H3976/O3976,"")</f>
        <v/>
      </c>
    </row>
    <row r="3977">
      <c r="A3977" s="13" t="inlineStr">
        <is>
          <t>CW51_F</t>
        </is>
      </c>
      <c r="B3977" s="13" t="inlineStr">
        <is>
          <t>CW51</t>
        </is>
      </c>
      <c r="C3977" s="13" t="inlineStr">
        <is>
          <t>F</t>
        </is>
      </c>
      <c r="D3977" s="13" t="n">
        <v>0</v>
      </c>
      <c r="E3977" s="13" t="inlineStr">
        <is>
          <t>W</t>
        </is>
      </c>
      <c r="F3977" s="13" t="n">
        <v>2026</v>
      </c>
      <c r="G3977" s="14" t="n">
        <v>71059.94462175558</v>
      </c>
      <c r="H3977" s="14" t="n">
        <v>12081.49792019713</v>
      </c>
      <c r="I3977" s="14" t="n">
        <v>1896.723943373736</v>
      </c>
      <c r="J3977" s="14" t="n">
        <v>0</v>
      </c>
      <c r="K3977" s="14" t="n">
        <v>18668.7305926753</v>
      </c>
      <c r="L3977" s="14" t="n">
        <v>38412.9921655094</v>
      </c>
      <c r="M3977" s="14" t="n">
        <v>0</v>
      </c>
      <c r="N3977" s="14" t="n">
        <v>17053.08952340519</v>
      </c>
      <c r="O3977" s="14" t="n">
        <v>33263.70698487525</v>
      </c>
      <c r="P3977" s="14" t="n">
        <v>6133.475061424106</v>
      </c>
      <c r="Q3977" s="14" t="n">
        <v>354551.8013433719</v>
      </c>
      <c r="R3977" s="15">
        <f>IF(D3977=1,"Section 1","Control")</f>
        <v/>
      </c>
      <c r="S3977" s="16">
        <f>N3977/10000</f>
        <v/>
      </c>
      <c r="T3977" s="16">
        <f>P3977/10000</f>
        <v/>
      </c>
      <c r="U3977" s="15">
        <f>IF(N3977&gt;=Summary!$D$3,1,0)</f>
        <v/>
      </c>
      <c r="V3977" s="17">
        <f>IF(N3977&gt;0,P3977/N3977,"")</f>
        <v/>
      </c>
      <c r="W3977" s="17">
        <f>IF(O3977&gt;0,H3977/O3977,"")</f>
        <v/>
      </c>
    </row>
    <row r="3978">
      <c r="A3978" s="13" t="inlineStr">
        <is>
          <t>CW52_B1</t>
        </is>
      </c>
      <c r="B3978" s="13" t="inlineStr">
        <is>
          <t>CW52</t>
        </is>
      </c>
      <c r="C3978" s="13" t="inlineStr">
        <is>
          <t>B1</t>
        </is>
      </c>
      <c r="D3978" s="13" t="n">
        <v>0</v>
      </c>
      <c r="E3978" s="13" t="inlineStr">
        <is>
          <t>W</t>
        </is>
      </c>
      <c r="F3978" s="13" t="n">
        <v>2020</v>
      </c>
      <c r="G3978" s="14" t="n">
        <v>1000599.849042077</v>
      </c>
      <c r="H3978" s="14" t="n">
        <v>286744.4517968569</v>
      </c>
      <c r="I3978" s="14" t="n">
        <v>178015.8207018385</v>
      </c>
      <c r="J3978" s="14" t="n">
        <v>0</v>
      </c>
      <c r="K3978" s="14" t="n">
        <v>75173.8290390613</v>
      </c>
      <c r="L3978" s="14" t="n">
        <v>460665.7475043203</v>
      </c>
      <c r="M3978" s="14" t="n">
        <v>0</v>
      </c>
      <c r="N3978" s="14" t="n">
        <v>286744.4517968569</v>
      </c>
      <c r="O3978" s="14" t="n">
        <v>539934.1015377569</v>
      </c>
      <c r="P3978" s="14" t="n">
        <v>0</v>
      </c>
      <c r="Q3978" s="14" t="n">
        <v>2740197.337971885</v>
      </c>
      <c r="R3978" s="15">
        <f>IF(D3978=1,"Section 1","Control")</f>
        <v/>
      </c>
      <c r="S3978" s="16">
        <f>N3978/10000</f>
        <v/>
      </c>
      <c r="T3978" s="16">
        <f>P3978/10000</f>
        <v/>
      </c>
      <c r="U3978" s="15">
        <f>IF(N3978&gt;=Summary!$D$3,1,0)</f>
        <v/>
      </c>
      <c r="V3978" s="17">
        <f>IF(N3978&gt;0,P3978/N3978,"")</f>
        <v/>
      </c>
      <c r="W3978" s="17">
        <f>IF(O3978&gt;0,H3978/O3978,"")</f>
        <v/>
      </c>
    </row>
    <row r="3979">
      <c r="A3979" s="13" t="inlineStr">
        <is>
          <t>CW52_B1</t>
        </is>
      </c>
      <c r="B3979" s="13" t="inlineStr">
        <is>
          <t>CW52</t>
        </is>
      </c>
      <c r="C3979" s="13" t="inlineStr">
        <is>
          <t>B1</t>
        </is>
      </c>
      <c r="D3979" s="13" t="n">
        <v>0</v>
      </c>
      <c r="E3979" s="13" t="inlineStr">
        <is>
          <t>W</t>
        </is>
      </c>
      <c r="F3979" s="13" t="n">
        <v>2021</v>
      </c>
      <c r="G3979" s="14" t="n">
        <v>1000599.849042077</v>
      </c>
      <c r="H3979" s="14" t="n">
        <v>271289.6764243629</v>
      </c>
      <c r="I3979" s="14" t="n">
        <v>182486.2887881111</v>
      </c>
      <c r="J3979" s="14" t="n">
        <v>0</v>
      </c>
      <c r="K3979" s="14" t="n">
        <v>83150.1990812713</v>
      </c>
      <c r="L3979" s="14" t="n">
        <v>463673.6847483317</v>
      </c>
      <c r="M3979" s="14" t="n">
        <v>0</v>
      </c>
      <c r="N3979" s="14" t="n">
        <v>286744.4517968569</v>
      </c>
      <c r="O3979" s="14" t="n">
        <v>539934.1015377569</v>
      </c>
      <c r="P3979" s="14" t="n">
        <v>23056.73213671516</v>
      </c>
      <c r="Q3979" s="14" t="n">
        <v>2740197.337971885</v>
      </c>
      <c r="R3979" s="15">
        <f>IF(D3979=1,"Section 1","Control")</f>
        <v/>
      </c>
      <c r="S3979" s="16">
        <f>N3979/10000</f>
        <v/>
      </c>
      <c r="T3979" s="16">
        <f>P3979/10000</f>
        <v/>
      </c>
      <c r="U3979" s="15">
        <f>IF(N3979&gt;=Summary!$D$3,1,0)</f>
        <v/>
      </c>
      <c r="V3979" s="17">
        <f>IF(N3979&gt;0,P3979/N3979,"")</f>
        <v/>
      </c>
      <c r="W3979" s="17">
        <f>IF(O3979&gt;0,H3979/O3979,"")</f>
        <v/>
      </c>
    </row>
    <row r="3980">
      <c r="A3980" s="13" t="inlineStr">
        <is>
          <t>CW52_B1</t>
        </is>
      </c>
      <c r="B3980" s="13" t="inlineStr">
        <is>
          <t>CW52</t>
        </is>
      </c>
      <c r="C3980" s="13" t="inlineStr">
        <is>
          <t>B1</t>
        </is>
      </c>
      <c r="D3980" s="13" t="n">
        <v>0</v>
      </c>
      <c r="E3980" s="13" t="inlineStr">
        <is>
          <t>W</t>
        </is>
      </c>
      <c r="F3980" s="13" t="n">
        <v>2022</v>
      </c>
      <c r="G3980" s="14" t="n">
        <v>1000599.849042077</v>
      </c>
      <c r="H3980" s="14" t="n">
        <v>273566.5730174343</v>
      </c>
      <c r="I3980" s="14" t="n">
        <v>200442.6876097137</v>
      </c>
      <c r="J3980" s="14" t="n">
        <v>0</v>
      </c>
      <c r="K3980" s="14" t="n">
        <v>78112.01349433452</v>
      </c>
      <c r="L3980" s="14" t="n">
        <v>448478.5749205944</v>
      </c>
      <c r="M3980" s="14" t="n">
        <v>0</v>
      </c>
      <c r="N3980" s="14" t="n">
        <v>286744.4517968569</v>
      </c>
      <c r="O3980" s="14" t="n">
        <v>539934.1015377569</v>
      </c>
      <c r="P3980" s="14" t="n">
        <v>22088.0601749495</v>
      </c>
      <c r="Q3980" s="14" t="n">
        <v>2740197.337971885</v>
      </c>
      <c r="R3980" s="15">
        <f>IF(D3980=1,"Section 1","Control")</f>
        <v/>
      </c>
      <c r="S3980" s="16">
        <f>N3980/10000</f>
        <v/>
      </c>
      <c r="T3980" s="16">
        <f>P3980/10000</f>
        <v/>
      </c>
      <c r="U3980" s="15">
        <f>IF(N3980&gt;=Summary!$D$3,1,0)</f>
        <v/>
      </c>
      <c r="V3980" s="17">
        <f>IF(N3980&gt;0,P3980/N3980,"")</f>
        <v/>
      </c>
      <c r="W3980" s="17">
        <f>IF(O3980&gt;0,H3980/O3980,"")</f>
        <v/>
      </c>
    </row>
    <row r="3981">
      <c r="A3981" s="13" t="inlineStr">
        <is>
          <t>CW52_B1</t>
        </is>
      </c>
      <c r="B3981" s="13" t="inlineStr">
        <is>
          <t>CW52</t>
        </is>
      </c>
      <c r="C3981" s="13" t="inlineStr">
        <is>
          <t>B1</t>
        </is>
      </c>
      <c r="D3981" s="13" t="n">
        <v>0</v>
      </c>
      <c r="E3981" s="13" t="inlineStr">
        <is>
          <t>W</t>
        </is>
      </c>
      <c r="F3981" s="13" t="n">
        <v>2023</v>
      </c>
      <c r="G3981" s="14" t="n">
        <v>1000599.849042077</v>
      </c>
      <c r="H3981" s="14" t="n">
        <v>274431.474414212</v>
      </c>
      <c r="I3981" s="14" t="n">
        <v>179999.1750512516</v>
      </c>
      <c r="J3981" s="14" t="n">
        <v>0</v>
      </c>
      <c r="K3981" s="14" t="n">
        <v>77041.54280003566</v>
      </c>
      <c r="L3981" s="14" t="n">
        <v>469127.6567765778</v>
      </c>
      <c r="M3981" s="14" t="n">
        <v>0</v>
      </c>
      <c r="N3981" s="14" t="n">
        <v>286744.4517968569</v>
      </c>
      <c r="O3981" s="14" t="n">
        <v>539934.1015377569</v>
      </c>
      <c r="P3981" s="14" t="n">
        <v>23309.19234658036</v>
      </c>
      <c r="Q3981" s="14" t="n">
        <v>2740197.337971885</v>
      </c>
      <c r="R3981" s="15">
        <f>IF(D3981=1,"Section 1","Control")</f>
        <v/>
      </c>
      <c r="S3981" s="16">
        <f>N3981/10000</f>
        <v/>
      </c>
      <c r="T3981" s="16">
        <f>P3981/10000</f>
        <v/>
      </c>
      <c r="U3981" s="15">
        <f>IF(N3981&gt;=Summary!$D$3,1,0)</f>
        <v/>
      </c>
      <c r="V3981" s="17">
        <f>IF(N3981&gt;0,P3981/N3981,"")</f>
        <v/>
      </c>
      <c r="W3981" s="17">
        <f>IF(O3981&gt;0,H3981/O3981,"")</f>
        <v/>
      </c>
    </row>
    <row r="3982">
      <c r="A3982" s="13" t="inlineStr">
        <is>
          <t>CW52_B1</t>
        </is>
      </c>
      <c r="B3982" s="13" t="inlineStr">
        <is>
          <t>CW52</t>
        </is>
      </c>
      <c r="C3982" s="13" t="inlineStr">
        <is>
          <t>B1</t>
        </is>
      </c>
      <c r="D3982" s="13" t="n">
        <v>0</v>
      </c>
      <c r="E3982" s="13" t="inlineStr">
        <is>
          <t>W</t>
        </is>
      </c>
      <c r="F3982" s="13" t="n">
        <v>2024</v>
      </c>
      <c r="G3982" s="14" t="n">
        <v>1000599.849042077</v>
      </c>
      <c r="H3982" s="14" t="n">
        <v>289561.4593203075</v>
      </c>
      <c r="I3982" s="14" t="n">
        <v>165914.1423255771</v>
      </c>
      <c r="J3982" s="14" t="n">
        <v>0</v>
      </c>
      <c r="K3982" s="14" t="n">
        <v>78979.67739904067</v>
      </c>
      <c r="L3982" s="14" t="n">
        <v>466144.5699971517</v>
      </c>
      <c r="M3982" s="14" t="n">
        <v>0</v>
      </c>
      <c r="N3982" s="14" t="n">
        <v>286744.4517968569</v>
      </c>
      <c r="O3982" s="14" t="n">
        <v>539934.1015377569</v>
      </c>
      <c r="P3982" s="14" t="n">
        <v>17114.18393240536</v>
      </c>
      <c r="Q3982" s="14" t="n">
        <v>2740197.337971885</v>
      </c>
      <c r="R3982" s="15">
        <f>IF(D3982=1,"Section 1","Control")</f>
        <v/>
      </c>
      <c r="S3982" s="16">
        <f>N3982/10000</f>
        <v/>
      </c>
      <c r="T3982" s="16">
        <f>P3982/10000</f>
        <v/>
      </c>
      <c r="U3982" s="15">
        <f>IF(N3982&gt;=Summary!$D$3,1,0)</f>
        <v/>
      </c>
      <c r="V3982" s="17">
        <f>IF(N3982&gt;0,P3982/N3982,"")</f>
        <v/>
      </c>
      <c r="W3982" s="17">
        <f>IF(O3982&gt;0,H3982/O3982,"")</f>
        <v/>
      </c>
    </row>
    <row r="3983">
      <c r="A3983" s="13" t="inlineStr">
        <is>
          <t>CW52_B1</t>
        </is>
      </c>
      <c r="B3983" s="13" t="inlineStr">
        <is>
          <t>CW52</t>
        </is>
      </c>
      <c r="C3983" s="13" t="inlineStr">
        <is>
          <t>B1</t>
        </is>
      </c>
      <c r="D3983" s="13" t="n">
        <v>0</v>
      </c>
      <c r="E3983" s="13" t="inlineStr">
        <is>
          <t>W</t>
        </is>
      </c>
      <c r="F3983" s="13" t="n">
        <v>2025</v>
      </c>
      <c r="G3983" s="14" t="n">
        <v>1000599.849042077</v>
      </c>
      <c r="H3983" s="14" t="n">
        <v>261018.2078977097</v>
      </c>
      <c r="I3983" s="14" t="n">
        <v>204062.5807809269</v>
      </c>
      <c r="J3983" s="14" t="n">
        <v>0</v>
      </c>
      <c r="K3983" s="14" t="n">
        <v>64364.20379872042</v>
      </c>
      <c r="L3983" s="14" t="n">
        <v>471154.85656472</v>
      </c>
      <c r="M3983" s="14" t="n">
        <v>0</v>
      </c>
      <c r="N3983" s="14" t="n">
        <v>286744.4517968569</v>
      </c>
      <c r="O3983" s="14" t="n">
        <v>539934.1015377569</v>
      </c>
      <c r="P3983" s="14" t="n">
        <v>36919.53768618714</v>
      </c>
      <c r="Q3983" s="14" t="n">
        <v>2740197.337971885</v>
      </c>
      <c r="R3983" s="15">
        <f>IF(D3983=1,"Section 1","Control")</f>
        <v/>
      </c>
      <c r="S3983" s="16">
        <f>N3983/10000</f>
        <v/>
      </c>
      <c r="T3983" s="16">
        <f>P3983/10000</f>
        <v/>
      </c>
      <c r="U3983" s="15">
        <f>IF(N3983&gt;=Summary!$D$3,1,0)</f>
        <v/>
      </c>
      <c r="V3983" s="17">
        <f>IF(N3983&gt;0,P3983/N3983,"")</f>
        <v/>
      </c>
      <c r="W3983" s="17">
        <f>IF(O3983&gt;0,H3983/O3983,"")</f>
        <v/>
      </c>
    </row>
    <row r="3984">
      <c r="A3984" s="13" t="inlineStr">
        <is>
          <t>CW52_B1</t>
        </is>
      </c>
      <c r="B3984" s="13" t="inlineStr">
        <is>
          <t>CW52</t>
        </is>
      </c>
      <c r="C3984" s="13" t="inlineStr">
        <is>
          <t>B1</t>
        </is>
      </c>
      <c r="D3984" s="13" t="n">
        <v>0</v>
      </c>
      <c r="E3984" s="13" t="inlineStr">
        <is>
          <t>W</t>
        </is>
      </c>
      <c r="F3984" s="13" t="n">
        <v>2026</v>
      </c>
      <c r="G3984" s="14" t="n">
        <v>1000599.849042077</v>
      </c>
      <c r="H3984" s="14" t="n">
        <v>295939.2212231204</v>
      </c>
      <c r="I3984" s="14" t="n">
        <v>168064.8723618152</v>
      </c>
      <c r="J3984" s="14" t="n">
        <v>0</v>
      </c>
      <c r="K3984" s="14" t="n">
        <v>64975.91940684599</v>
      </c>
      <c r="L3984" s="14" t="n">
        <v>471619.8360502953</v>
      </c>
      <c r="M3984" s="14" t="n">
        <v>0</v>
      </c>
      <c r="N3984" s="14" t="n">
        <v>286744.4517968569</v>
      </c>
      <c r="O3984" s="14" t="n">
        <v>539934.1015377569</v>
      </c>
      <c r="P3984" s="14" t="n">
        <v>14621.62604226505</v>
      </c>
      <c r="Q3984" s="14" t="n">
        <v>2740197.337971885</v>
      </c>
      <c r="R3984" s="15">
        <f>IF(D3984=1,"Section 1","Control")</f>
        <v/>
      </c>
      <c r="S3984" s="16">
        <f>N3984/10000</f>
        <v/>
      </c>
      <c r="T3984" s="16">
        <f>P3984/10000</f>
        <v/>
      </c>
      <c r="U3984" s="15">
        <f>IF(N3984&gt;=Summary!$D$3,1,0)</f>
        <v/>
      </c>
      <c r="V3984" s="17">
        <f>IF(N3984&gt;0,P3984/N3984,"")</f>
        <v/>
      </c>
      <c r="W3984" s="17">
        <f>IF(O3984&gt;0,H3984/O3984,"")</f>
        <v/>
      </c>
    </row>
    <row r="3985">
      <c r="A3985" s="13" t="inlineStr">
        <is>
          <t>CW52_B2</t>
        </is>
      </c>
      <c r="B3985" s="13" t="inlineStr">
        <is>
          <t>CW52</t>
        </is>
      </c>
      <c r="C3985" s="13" t="inlineStr">
        <is>
          <t>B2</t>
        </is>
      </c>
      <c r="D3985" s="13" t="n">
        <v>0</v>
      </c>
      <c r="E3985" s="13" t="inlineStr">
        <is>
          <t>W</t>
        </is>
      </c>
      <c r="F3985" s="13" t="n">
        <v>2020</v>
      </c>
      <c r="G3985" s="14" t="n">
        <v>1000477.495313846</v>
      </c>
      <c r="H3985" s="14" t="n">
        <v>93248.39013920203</v>
      </c>
      <c r="I3985" s="14" t="n">
        <v>4621.922290188659</v>
      </c>
      <c r="J3985" s="14" t="n">
        <v>0</v>
      </c>
      <c r="K3985" s="14" t="n">
        <v>13356.22453230316</v>
      </c>
      <c r="L3985" s="14" t="n">
        <v>889250.9583521525</v>
      </c>
      <c r="M3985" s="14" t="n">
        <v>0</v>
      </c>
      <c r="N3985" s="14" t="n">
        <v>93248.39013920203</v>
      </c>
      <c r="O3985" s="14" t="n">
        <v>111226.5369616939</v>
      </c>
      <c r="P3985" s="14" t="n">
        <v>0</v>
      </c>
      <c r="Q3985" s="14" t="n">
        <v>594820.6529151468</v>
      </c>
      <c r="R3985" s="15">
        <f>IF(D3985=1,"Section 1","Control")</f>
        <v/>
      </c>
      <c r="S3985" s="16">
        <f>N3985/10000</f>
        <v/>
      </c>
      <c r="T3985" s="16">
        <f>P3985/10000</f>
        <v/>
      </c>
      <c r="U3985" s="15">
        <f>IF(N3985&gt;=Summary!$D$3,1,0)</f>
        <v/>
      </c>
      <c r="V3985" s="17">
        <f>IF(N3985&gt;0,P3985/N3985,"")</f>
        <v/>
      </c>
      <c r="W3985" s="17">
        <f>IF(O3985&gt;0,H3985/O3985,"")</f>
        <v/>
      </c>
    </row>
    <row r="3986">
      <c r="A3986" s="13" t="inlineStr">
        <is>
          <t>CW52_B2</t>
        </is>
      </c>
      <c r="B3986" s="13" t="inlineStr">
        <is>
          <t>CW52</t>
        </is>
      </c>
      <c r="C3986" s="13" t="inlineStr">
        <is>
          <t>B2</t>
        </is>
      </c>
      <c r="D3986" s="13" t="n">
        <v>0</v>
      </c>
      <c r="E3986" s="13" t="inlineStr">
        <is>
          <t>W</t>
        </is>
      </c>
      <c r="F3986" s="13" t="n">
        <v>2021</v>
      </c>
      <c r="G3986" s="14" t="n">
        <v>1000477.495313846</v>
      </c>
      <c r="H3986" s="14" t="n">
        <v>92942.93031864541</v>
      </c>
      <c r="I3986" s="14" t="n">
        <v>1202.51843142042</v>
      </c>
      <c r="J3986" s="14" t="n">
        <v>0</v>
      </c>
      <c r="K3986" s="14" t="n">
        <v>15994.71601682177</v>
      </c>
      <c r="L3986" s="14" t="n">
        <v>890337.3305469588</v>
      </c>
      <c r="M3986" s="14" t="n">
        <v>0</v>
      </c>
      <c r="N3986" s="14" t="n">
        <v>93248.39013920203</v>
      </c>
      <c r="O3986" s="14" t="n">
        <v>111226.5369616939</v>
      </c>
      <c r="P3986" s="14" t="n">
        <v>4057.045780944824</v>
      </c>
      <c r="Q3986" s="14" t="n">
        <v>594820.6529151468</v>
      </c>
      <c r="R3986" s="15">
        <f>IF(D3986=1,"Section 1","Control")</f>
        <v/>
      </c>
      <c r="S3986" s="16">
        <f>N3986/10000</f>
        <v/>
      </c>
      <c r="T3986" s="16">
        <f>P3986/10000</f>
        <v/>
      </c>
      <c r="U3986" s="15">
        <f>IF(N3986&gt;=Summary!$D$3,1,0)</f>
        <v/>
      </c>
      <c r="V3986" s="17">
        <f>IF(N3986&gt;0,P3986/N3986,"")</f>
        <v/>
      </c>
      <c r="W3986" s="17">
        <f>IF(O3986&gt;0,H3986/O3986,"")</f>
        <v/>
      </c>
    </row>
    <row r="3987">
      <c r="A3987" s="13" t="inlineStr">
        <is>
          <t>CW52_B2</t>
        </is>
      </c>
      <c r="B3987" s="13" t="inlineStr">
        <is>
          <t>CW52</t>
        </is>
      </c>
      <c r="C3987" s="13" t="inlineStr">
        <is>
          <t>B2</t>
        </is>
      </c>
      <c r="D3987" s="13" t="n">
        <v>0</v>
      </c>
      <c r="E3987" s="13" t="inlineStr">
        <is>
          <t>W</t>
        </is>
      </c>
      <c r="F3987" s="13" t="n">
        <v>2022</v>
      </c>
      <c r="G3987" s="14" t="n">
        <v>1000477.495313846</v>
      </c>
      <c r="H3987" s="14" t="n">
        <v>92110.92158867331</v>
      </c>
      <c r="I3987" s="14" t="n">
        <v>1856.823439684101</v>
      </c>
      <c r="J3987" s="14" t="n">
        <v>0</v>
      </c>
      <c r="K3987" s="14" t="n">
        <v>24945.45344037822</v>
      </c>
      <c r="L3987" s="14" t="n">
        <v>881564.2968451108</v>
      </c>
      <c r="M3987" s="14" t="n">
        <v>0</v>
      </c>
      <c r="N3987" s="14" t="n">
        <v>93248.39013920203</v>
      </c>
      <c r="O3987" s="14" t="n">
        <v>111226.5369616939</v>
      </c>
      <c r="P3987" s="14" t="n">
        <v>5185.231741751876</v>
      </c>
      <c r="Q3987" s="14" t="n">
        <v>594820.6529151468</v>
      </c>
      <c r="R3987" s="15">
        <f>IF(D3987=1,"Section 1","Control")</f>
        <v/>
      </c>
      <c r="S3987" s="16">
        <f>N3987/10000</f>
        <v/>
      </c>
      <c r="T3987" s="16">
        <f>P3987/10000</f>
        <v/>
      </c>
      <c r="U3987" s="15">
        <f>IF(N3987&gt;=Summary!$D$3,1,0)</f>
        <v/>
      </c>
      <c r="V3987" s="17">
        <f>IF(N3987&gt;0,P3987/N3987,"")</f>
        <v/>
      </c>
      <c r="W3987" s="17">
        <f>IF(O3987&gt;0,H3987/O3987,"")</f>
        <v/>
      </c>
    </row>
    <row r="3988">
      <c r="A3988" s="13" t="inlineStr">
        <is>
          <t>CW52_B2</t>
        </is>
      </c>
      <c r="B3988" s="13" t="inlineStr">
        <is>
          <t>CW52</t>
        </is>
      </c>
      <c r="C3988" s="13" t="inlineStr">
        <is>
          <t>B2</t>
        </is>
      </c>
      <c r="D3988" s="13" t="n">
        <v>0</v>
      </c>
      <c r="E3988" s="13" t="inlineStr">
        <is>
          <t>W</t>
        </is>
      </c>
      <c r="F3988" s="13" t="n">
        <v>2023</v>
      </c>
      <c r="G3988" s="14" t="n">
        <v>1000477.495313846</v>
      </c>
      <c r="H3988" s="14" t="n">
        <v>92333.1532487458</v>
      </c>
      <c r="I3988" s="14" t="n">
        <v>1703.506549251781</v>
      </c>
      <c r="J3988" s="14" t="n">
        <v>0</v>
      </c>
      <c r="K3988" s="14" t="n">
        <v>12691.47071081423</v>
      </c>
      <c r="L3988" s="14" t="n">
        <v>893749.3648050346</v>
      </c>
      <c r="M3988" s="14" t="n">
        <v>0</v>
      </c>
      <c r="N3988" s="14" t="n">
        <v>93248.39013920203</v>
      </c>
      <c r="O3988" s="14" t="n">
        <v>111226.5369616939</v>
      </c>
      <c r="P3988" s="14" t="n">
        <v>4851.886057475969</v>
      </c>
      <c r="Q3988" s="14" t="n">
        <v>594820.6529151468</v>
      </c>
      <c r="R3988" s="15">
        <f>IF(D3988=1,"Section 1","Control")</f>
        <v/>
      </c>
      <c r="S3988" s="16">
        <f>N3988/10000</f>
        <v/>
      </c>
      <c r="T3988" s="16">
        <f>P3988/10000</f>
        <v/>
      </c>
      <c r="U3988" s="15">
        <f>IF(N3988&gt;=Summary!$D$3,1,0)</f>
        <v/>
      </c>
      <c r="V3988" s="17">
        <f>IF(N3988&gt;0,P3988/N3988,"")</f>
        <v/>
      </c>
      <c r="W3988" s="17">
        <f>IF(O3988&gt;0,H3988/O3988,"")</f>
        <v/>
      </c>
    </row>
    <row r="3989">
      <c r="A3989" s="13" t="inlineStr">
        <is>
          <t>CW52_B2</t>
        </is>
      </c>
      <c r="B3989" s="13" t="inlineStr">
        <is>
          <t>CW52</t>
        </is>
      </c>
      <c r="C3989" s="13" t="inlineStr">
        <is>
          <t>B2</t>
        </is>
      </c>
      <c r="D3989" s="13" t="n">
        <v>0</v>
      </c>
      <c r="E3989" s="13" t="inlineStr">
        <is>
          <t>W</t>
        </is>
      </c>
      <c r="F3989" s="13" t="n">
        <v>2024</v>
      </c>
      <c r="G3989" s="14" t="n">
        <v>1000477.495313846</v>
      </c>
      <c r="H3989" s="14" t="n">
        <v>92641.33365382777</v>
      </c>
      <c r="I3989" s="14" t="n">
        <v>1257.884956449621</v>
      </c>
      <c r="J3989" s="14" t="n">
        <v>0</v>
      </c>
      <c r="K3989" s="14" t="n">
        <v>18007.55709536683</v>
      </c>
      <c r="L3989" s="14" t="n">
        <v>888570.7196082021</v>
      </c>
      <c r="M3989" s="14" t="n">
        <v>0</v>
      </c>
      <c r="N3989" s="14" t="n">
        <v>93248.39013920203</v>
      </c>
      <c r="O3989" s="14" t="n">
        <v>111226.5369616939</v>
      </c>
      <c r="P3989" s="14" t="n">
        <v>4741.157388844209</v>
      </c>
      <c r="Q3989" s="14" t="n">
        <v>594820.6529151468</v>
      </c>
      <c r="R3989" s="15">
        <f>IF(D3989=1,"Section 1","Control")</f>
        <v/>
      </c>
      <c r="S3989" s="16">
        <f>N3989/10000</f>
        <v/>
      </c>
      <c r="T3989" s="16">
        <f>P3989/10000</f>
        <v/>
      </c>
      <c r="U3989" s="15">
        <f>IF(N3989&gt;=Summary!$D$3,1,0)</f>
        <v/>
      </c>
      <c r="V3989" s="17">
        <f>IF(N3989&gt;0,P3989/N3989,"")</f>
        <v/>
      </c>
      <c r="W3989" s="17">
        <f>IF(O3989&gt;0,H3989/O3989,"")</f>
        <v/>
      </c>
    </row>
    <row r="3990">
      <c r="A3990" s="13" t="inlineStr">
        <is>
          <t>CW52_B2</t>
        </is>
      </c>
      <c r="B3990" s="13" t="inlineStr">
        <is>
          <t>CW52</t>
        </is>
      </c>
      <c r="C3990" s="13" t="inlineStr">
        <is>
          <t>B2</t>
        </is>
      </c>
      <c r="D3990" s="13" t="n">
        <v>0</v>
      </c>
      <c r="E3990" s="13" t="inlineStr">
        <is>
          <t>W</t>
        </is>
      </c>
      <c r="F3990" s="13" t="n">
        <v>2025</v>
      </c>
      <c r="G3990" s="14" t="n">
        <v>1000477.495313846</v>
      </c>
      <c r="H3990" s="14" t="n">
        <v>89811.57460602405</v>
      </c>
      <c r="I3990" s="14" t="n">
        <v>4320.327066877777</v>
      </c>
      <c r="J3990" s="14" t="n">
        <v>0</v>
      </c>
      <c r="K3990" s="14" t="n">
        <v>15605.61897630878</v>
      </c>
      <c r="L3990" s="14" t="n">
        <v>890739.9746646357</v>
      </c>
      <c r="M3990" s="14" t="n">
        <v>0</v>
      </c>
      <c r="N3990" s="14" t="n">
        <v>93248.39013920203</v>
      </c>
      <c r="O3990" s="14" t="n">
        <v>111226.5369616939</v>
      </c>
      <c r="P3990" s="14" t="n">
        <v>6223.982983159083</v>
      </c>
      <c r="Q3990" s="14" t="n">
        <v>594820.6529151468</v>
      </c>
      <c r="R3990" s="15">
        <f>IF(D3990=1,"Section 1","Control")</f>
        <v/>
      </c>
      <c r="S3990" s="16">
        <f>N3990/10000</f>
        <v/>
      </c>
      <c r="T3990" s="16">
        <f>P3990/10000</f>
        <v/>
      </c>
      <c r="U3990" s="15">
        <f>IF(N3990&gt;=Summary!$D$3,1,0)</f>
        <v/>
      </c>
      <c r="V3990" s="17">
        <f>IF(N3990&gt;0,P3990/N3990,"")</f>
        <v/>
      </c>
      <c r="W3990" s="17">
        <f>IF(O3990&gt;0,H3990/O3990,"")</f>
        <v/>
      </c>
    </row>
    <row r="3991">
      <c r="A3991" s="13" t="inlineStr">
        <is>
          <t>CW52_B2</t>
        </is>
      </c>
      <c r="B3991" s="13" t="inlineStr">
        <is>
          <t>CW52</t>
        </is>
      </c>
      <c r="C3991" s="13" t="inlineStr">
        <is>
          <t>B2</t>
        </is>
      </c>
      <c r="D3991" s="13" t="n">
        <v>0</v>
      </c>
      <c r="E3991" s="13" t="inlineStr">
        <is>
          <t>W</t>
        </is>
      </c>
      <c r="F3991" s="13" t="n">
        <v>2026</v>
      </c>
      <c r="G3991" s="14" t="n">
        <v>1000477.495313846</v>
      </c>
      <c r="H3991" s="14" t="n">
        <v>87766.98207370534</v>
      </c>
      <c r="I3991" s="14" t="n">
        <v>5139.55878942153</v>
      </c>
      <c r="J3991" s="14" t="n">
        <v>0</v>
      </c>
      <c r="K3991" s="14" t="n">
        <v>14179.71034375359</v>
      </c>
      <c r="L3991" s="14" t="n">
        <v>893391.2441069658</v>
      </c>
      <c r="M3991" s="14" t="n">
        <v>0</v>
      </c>
      <c r="N3991" s="14" t="n">
        <v>93248.39013920203</v>
      </c>
      <c r="O3991" s="14" t="n">
        <v>111226.5369616939</v>
      </c>
      <c r="P3991" s="14" t="n">
        <v>7542.263767855774</v>
      </c>
      <c r="Q3991" s="14" t="n">
        <v>594820.6529151468</v>
      </c>
      <c r="R3991" s="15">
        <f>IF(D3991=1,"Section 1","Control")</f>
        <v/>
      </c>
      <c r="S3991" s="16">
        <f>N3991/10000</f>
        <v/>
      </c>
      <c r="T3991" s="16">
        <f>P3991/10000</f>
        <v/>
      </c>
      <c r="U3991" s="15">
        <f>IF(N3991&gt;=Summary!$D$3,1,0)</f>
        <v/>
      </c>
      <c r="V3991" s="17">
        <f>IF(N3991&gt;0,P3991/N3991,"")</f>
        <v/>
      </c>
      <c r="W3991" s="17">
        <f>IF(O3991&gt;0,H3991/O3991,"")</f>
        <v/>
      </c>
    </row>
    <row r="3992">
      <c r="A3992" s="13" t="inlineStr">
        <is>
          <t>CW52_B3</t>
        </is>
      </c>
      <c r="B3992" s="13" t="inlineStr">
        <is>
          <t>CW52</t>
        </is>
      </c>
      <c r="C3992" s="13" t="inlineStr">
        <is>
          <t>B3</t>
        </is>
      </c>
      <c r="D3992" s="13" t="n">
        <v>0</v>
      </c>
      <c r="E3992" s="13" t="inlineStr">
        <is>
          <t>W</t>
        </is>
      </c>
      <c r="F3992" s="13" t="n">
        <v>2020</v>
      </c>
      <c r="G3992" s="14" t="n">
        <v>8003374.893766365</v>
      </c>
      <c r="H3992" s="14" t="n">
        <v>2891791.754051837</v>
      </c>
      <c r="I3992" s="14" t="n">
        <v>376603.8264143102</v>
      </c>
      <c r="J3992" s="14" t="n">
        <v>0</v>
      </c>
      <c r="K3992" s="14" t="n">
        <v>453356.1604985856</v>
      </c>
      <c r="L3992" s="14" t="n">
        <v>4281623.152801633</v>
      </c>
      <c r="M3992" s="14" t="n">
        <v>0</v>
      </c>
      <c r="N3992" s="14" t="n">
        <v>2891791.754051837</v>
      </c>
      <c r="O3992" s="14" t="n">
        <v>3721751.740964732</v>
      </c>
      <c r="P3992" s="14" t="n">
        <v>0</v>
      </c>
      <c r="Q3992" s="14" t="n">
        <v>15994975.58724189</v>
      </c>
      <c r="R3992" s="15">
        <f>IF(D3992=1,"Section 1","Control")</f>
        <v/>
      </c>
      <c r="S3992" s="16">
        <f>N3992/10000</f>
        <v/>
      </c>
      <c r="T3992" s="16">
        <f>P3992/10000</f>
        <v/>
      </c>
      <c r="U3992" s="15">
        <f>IF(N3992&gt;=Summary!$D$3,1,0)</f>
        <v/>
      </c>
      <c r="V3992" s="17">
        <f>IF(N3992&gt;0,P3992/N3992,"")</f>
        <v/>
      </c>
      <c r="W3992" s="17">
        <f>IF(O3992&gt;0,H3992/O3992,"")</f>
        <v/>
      </c>
    </row>
    <row r="3993">
      <c r="A3993" s="13" t="inlineStr">
        <is>
          <t>CW52_B3</t>
        </is>
      </c>
      <c r="B3993" s="13" t="inlineStr">
        <is>
          <t>CW52</t>
        </is>
      </c>
      <c r="C3993" s="13" t="inlineStr">
        <is>
          <t>B3</t>
        </is>
      </c>
      <c r="D3993" s="13" t="n">
        <v>0</v>
      </c>
      <c r="E3993" s="13" t="inlineStr">
        <is>
          <t>W</t>
        </is>
      </c>
      <c r="F3993" s="13" t="n">
        <v>2021</v>
      </c>
      <c r="G3993" s="14" t="n">
        <v>8003374.893766365</v>
      </c>
      <c r="H3993" s="14" t="n">
        <v>2705028.4398401</v>
      </c>
      <c r="I3993" s="14" t="n">
        <v>464725.5108870263</v>
      </c>
      <c r="J3993" s="14" t="n">
        <v>0</v>
      </c>
      <c r="K3993" s="14" t="n">
        <v>577685.994400174</v>
      </c>
      <c r="L3993" s="14" t="n">
        <v>4255934.948639065</v>
      </c>
      <c r="M3993" s="14" t="n">
        <v>0</v>
      </c>
      <c r="N3993" s="14" t="n">
        <v>2891791.754051837</v>
      </c>
      <c r="O3993" s="14" t="n">
        <v>3721751.740964732</v>
      </c>
      <c r="P3993" s="14" t="n">
        <v>242676.4971847534</v>
      </c>
      <c r="Q3993" s="14" t="n">
        <v>15994975.58724189</v>
      </c>
      <c r="R3993" s="15">
        <f>IF(D3993=1,"Section 1","Control")</f>
        <v/>
      </c>
      <c r="S3993" s="16">
        <f>N3993/10000</f>
        <v/>
      </c>
      <c r="T3993" s="16">
        <f>P3993/10000</f>
        <v/>
      </c>
      <c r="U3993" s="15">
        <f>IF(N3993&gt;=Summary!$D$3,1,0)</f>
        <v/>
      </c>
      <c r="V3993" s="17">
        <f>IF(N3993&gt;0,P3993/N3993,"")</f>
        <v/>
      </c>
      <c r="W3993" s="17">
        <f>IF(O3993&gt;0,H3993/O3993,"")</f>
        <v/>
      </c>
    </row>
    <row r="3994">
      <c r="A3994" s="13" t="inlineStr">
        <is>
          <t>CW52_B3</t>
        </is>
      </c>
      <c r="B3994" s="13" t="inlineStr">
        <is>
          <t>CW52</t>
        </is>
      </c>
      <c r="C3994" s="13" t="inlineStr">
        <is>
          <t>B3</t>
        </is>
      </c>
      <c r="D3994" s="13" t="n">
        <v>0</v>
      </c>
      <c r="E3994" s="13" t="inlineStr">
        <is>
          <t>W</t>
        </is>
      </c>
      <c r="F3994" s="13" t="n">
        <v>2022</v>
      </c>
      <c r="G3994" s="14" t="n">
        <v>8003374.893766365</v>
      </c>
      <c r="H3994" s="14" t="n">
        <v>2723107.533776736</v>
      </c>
      <c r="I3994" s="14" t="n">
        <v>401612.3973301009</v>
      </c>
      <c r="J3994" s="14" t="n">
        <v>0</v>
      </c>
      <c r="K3994" s="14" t="n">
        <v>781071.4123564177</v>
      </c>
      <c r="L3994" s="14" t="n">
        <v>4097583.550303111</v>
      </c>
      <c r="M3994" s="14" t="n">
        <v>0</v>
      </c>
      <c r="N3994" s="14" t="n">
        <v>2891791.754051837</v>
      </c>
      <c r="O3994" s="14" t="n">
        <v>3721751.740964732</v>
      </c>
      <c r="P3994" s="14" t="n">
        <v>257700.3216520122</v>
      </c>
      <c r="Q3994" s="14" t="n">
        <v>15994975.58724189</v>
      </c>
      <c r="R3994" s="15">
        <f>IF(D3994=1,"Section 1","Control")</f>
        <v/>
      </c>
      <c r="S3994" s="16">
        <f>N3994/10000</f>
        <v/>
      </c>
      <c r="T3994" s="16">
        <f>P3994/10000</f>
        <v/>
      </c>
      <c r="U3994" s="15">
        <f>IF(N3994&gt;=Summary!$D$3,1,0)</f>
        <v/>
      </c>
      <c r="V3994" s="17">
        <f>IF(N3994&gt;0,P3994/N3994,"")</f>
        <v/>
      </c>
      <c r="W3994" s="17">
        <f>IF(O3994&gt;0,H3994/O3994,"")</f>
        <v/>
      </c>
    </row>
    <row r="3995">
      <c r="A3995" s="13" t="inlineStr">
        <is>
          <t>CW52_B3</t>
        </is>
      </c>
      <c r="B3995" s="13" t="inlineStr">
        <is>
          <t>CW52</t>
        </is>
      </c>
      <c r="C3995" s="13" t="inlineStr">
        <is>
          <t>B3</t>
        </is>
      </c>
      <c r="D3995" s="13" t="n">
        <v>0</v>
      </c>
      <c r="E3995" s="13" t="inlineStr">
        <is>
          <t>W</t>
        </is>
      </c>
      <c r="F3995" s="13" t="n">
        <v>2023</v>
      </c>
      <c r="G3995" s="14" t="n">
        <v>8003374.893766365</v>
      </c>
      <c r="H3995" s="14" t="n">
        <v>2735998.642286892</v>
      </c>
      <c r="I3995" s="14" t="n">
        <v>365713.1665567735</v>
      </c>
      <c r="J3995" s="14" t="n">
        <v>0</v>
      </c>
      <c r="K3995" s="14" t="n">
        <v>585893.6321449131</v>
      </c>
      <c r="L3995" s="14" t="n">
        <v>4315769.452777788</v>
      </c>
      <c r="M3995" s="14" t="n">
        <v>0</v>
      </c>
      <c r="N3995" s="14" t="n">
        <v>2891791.754051837</v>
      </c>
      <c r="O3995" s="14" t="n">
        <v>3721751.740964732</v>
      </c>
      <c r="P3995" s="14" t="n">
        <v>249532.8546501608</v>
      </c>
      <c r="Q3995" s="14" t="n">
        <v>15994975.58724189</v>
      </c>
      <c r="R3995" s="15">
        <f>IF(D3995=1,"Section 1","Control")</f>
        <v/>
      </c>
      <c r="S3995" s="16">
        <f>N3995/10000</f>
        <v/>
      </c>
      <c r="T3995" s="16">
        <f>P3995/10000</f>
        <v/>
      </c>
      <c r="U3995" s="15">
        <f>IF(N3995&gt;=Summary!$D$3,1,0)</f>
        <v/>
      </c>
      <c r="V3995" s="17">
        <f>IF(N3995&gt;0,P3995/N3995,"")</f>
        <v/>
      </c>
      <c r="W3995" s="17">
        <f>IF(O3995&gt;0,H3995/O3995,"")</f>
        <v/>
      </c>
    </row>
    <row r="3996">
      <c r="A3996" s="13" t="inlineStr">
        <is>
          <t>CW52_B3</t>
        </is>
      </c>
      <c r="B3996" s="13" t="inlineStr">
        <is>
          <t>CW52</t>
        </is>
      </c>
      <c r="C3996" s="13" t="inlineStr">
        <is>
          <t>B3</t>
        </is>
      </c>
      <c r="D3996" s="13" t="n">
        <v>0</v>
      </c>
      <c r="E3996" s="13" t="inlineStr">
        <is>
          <t>W</t>
        </is>
      </c>
      <c r="F3996" s="13" t="n">
        <v>2024</v>
      </c>
      <c r="G3996" s="14" t="n">
        <v>8003374.893766365</v>
      </c>
      <c r="H3996" s="14" t="n">
        <v>2606004.016588608</v>
      </c>
      <c r="I3996" s="14" t="n">
        <v>520594.1450819428</v>
      </c>
      <c r="J3996" s="14" t="n">
        <v>0</v>
      </c>
      <c r="K3996" s="14" t="n">
        <v>693248.5737537161</v>
      </c>
      <c r="L3996" s="14" t="n">
        <v>4183528.1583421</v>
      </c>
      <c r="M3996" s="14" t="n">
        <v>0</v>
      </c>
      <c r="N3996" s="14" t="n">
        <v>2891791.754051837</v>
      </c>
      <c r="O3996" s="14" t="n">
        <v>3721751.740964732</v>
      </c>
      <c r="P3996" s="14" t="n">
        <v>341290.7989340987</v>
      </c>
      <c r="Q3996" s="14" t="n">
        <v>15994975.58724189</v>
      </c>
      <c r="R3996" s="15">
        <f>IF(D3996=1,"Section 1","Control")</f>
        <v/>
      </c>
      <c r="S3996" s="16">
        <f>N3996/10000</f>
        <v/>
      </c>
      <c r="T3996" s="16">
        <f>P3996/10000</f>
        <v/>
      </c>
      <c r="U3996" s="15">
        <f>IF(N3996&gt;=Summary!$D$3,1,0)</f>
        <v/>
      </c>
      <c r="V3996" s="17">
        <f>IF(N3996&gt;0,P3996/N3996,"")</f>
        <v/>
      </c>
      <c r="W3996" s="17">
        <f>IF(O3996&gt;0,H3996/O3996,"")</f>
        <v/>
      </c>
    </row>
    <row r="3997">
      <c r="A3997" s="13" t="inlineStr">
        <is>
          <t>CW52_B3</t>
        </is>
      </c>
      <c r="B3997" s="13" t="inlineStr">
        <is>
          <t>CW52</t>
        </is>
      </c>
      <c r="C3997" s="13" t="inlineStr">
        <is>
          <t>B3</t>
        </is>
      </c>
      <c r="D3997" s="13" t="n">
        <v>0</v>
      </c>
      <c r="E3997" s="13" t="inlineStr">
        <is>
          <t>W</t>
        </is>
      </c>
      <c r="F3997" s="13" t="n">
        <v>2025</v>
      </c>
      <c r="G3997" s="14" t="n">
        <v>8003374.893766365</v>
      </c>
      <c r="H3997" s="14" t="n">
        <v>2598059.902927623</v>
      </c>
      <c r="I3997" s="14" t="n">
        <v>521455.4474310184</v>
      </c>
      <c r="J3997" s="14" t="n">
        <v>0</v>
      </c>
      <c r="K3997" s="14" t="n">
        <v>580127.6194396974</v>
      </c>
      <c r="L3997" s="14" t="n">
        <v>4303731.923968027</v>
      </c>
      <c r="M3997" s="14" t="n">
        <v>0</v>
      </c>
      <c r="N3997" s="14" t="n">
        <v>2891791.754051837</v>
      </c>
      <c r="O3997" s="14" t="n">
        <v>3721751.740964732</v>
      </c>
      <c r="P3997" s="14" t="n">
        <v>351307.0018708471</v>
      </c>
      <c r="Q3997" s="14" t="n">
        <v>15994975.58724189</v>
      </c>
      <c r="R3997" s="15">
        <f>IF(D3997=1,"Section 1","Control")</f>
        <v/>
      </c>
      <c r="S3997" s="16">
        <f>N3997/10000</f>
        <v/>
      </c>
      <c r="T3997" s="16">
        <f>P3997/10000</f>
        <v/>
      </c>
      <c r="U3997" s="15">
        <f>IF(N3997&gt;=Summary!$D$3,1,0)</f>
        <v/>
      </c>
      <c r="V3997" s="17">
        <f>IF(N3997&gt;0,P3997/N3997,"")</f>
        <v/>
      </c>
      <c r="W3997" s="17">
        <f>IF(O3997&gt;0,H3997/O3997,"")</f>
        <v/>
      </c>
    </row>
    <row r="3998">
      <c r="A3998" s="13" t="inlineStr">
        <is>
          <t>CW52_B3</t>
        </is>
      </c>
      <c r="B3998" s="13" t="inlineStr">
        <is>
          <t>CW52</t>
        </is>
      </c>
      <c r="C3998" s="13" t="inlineStr">
        <is>
          <t>B3</t>
        </is>
      </c>
      <c r="D3998" s="13" t="n">
        <v>0</v>
      </c>
      <c r="E3998" s="13" t="inlineStr">
        <is>
          <t>W</t>
        </is>
      </c>
      <c r="F3998" s="13" t="n">
        <v>2026</v>
      </c>
      <c r="G3998" s="14" t="n">
        <v>8003374.893766365</v>
      </c>
      <c r="H3998" s="14" t="n">
        <v>2745104.213393267</v>
      </c>
      <c r="I3998" s="14" t="n">
        <v>195207.6084795784</v>
      </c>
      <c r="J3998" s="14" t="n">
        <v>0</v>
      </c>
      <c r="K3998" s="14" t="n">
        <v>771022.2852255128</v>
      </c>
      <c r="L3998" s="14" t="n">
        <v>4292040.786668006</v>
      </c>
      <c r="M3998" s="14" t="n">
        <v>0</v>
      </c>
      <c r="N3998" s="14" t="n">
        <v>2891791.754051837</v>
      </c>
      <c r="O3998" s="14" t="n">
        <v>3721751.740964732</v>
      </c>
      <c r="P3998" s="14" t="n">
        <v>356525.8862665812</v>
      </c>
      <c r="Q3998" s="14" t="n">
        <v>15994975.58724189</v>
      </c>
      <c r="R3998" s="15">
        <f>IF(D3998=1,"Section 1","Control")</f>
        <v/>
      </c>
      <c r="S3998" s="16">
        <f>N3998/10000</f>
        <v/>
      </c>
      <c r="T3998" s="16">
        <f>P3998/10000</f>
        <v/>
      </c>
      <c r="U3998" s="15">
        <f>IF(N3998&gt;=Summary!$D$3,1,0)</f>
        <v/>
      </c>
      <c r="V3998" s="17">
        <f>IF(N3998&gt;0,P3998/N3998,"")</f>
        <v/>
      </c>
      <c r="W3998" s="17">
        <f>IF(O3998&gt;0,H3998/O3998,"")</f>
        <v/>
      </c>
    </row>
    <row r="3999">
      <c r="A3999" s="13" t="inlineStr">
        <is>
          <t>CW52_F</t>
        </is>
      </c>
      <c r="B3999" s="13" t="inlineStr">
        <is>
          <t>CW52</t>
        </is>
      </c>
      <c r="C3999" s="13" t="inlineStr">
        <is>
          <t>F</t>
        </is>
      </c>
      <c r="D3999" s="13" t="n">
        <v>0</v>
      </c>
      <c r="E3999" s="13" t="inlineStr">
        <is>
          <t>W</t>
        </is>
      </c>
      <c r="F3999" s="13" t="n">
        <v>2020</v>
      </c>
      <c r="G3999" s="14" t="n">
        <v>69284.76421062992</v>
      </c>
      <c r="H3999" s="14" t="n">
        <v>47192.72635258693</v>
      </c>
      <c r="I3999" s="14" t="n">
        <v>5229.828808444155</v>
      </c>
      <c r="J3999" s="14" t="n">
        <v>0</v>
      </c>
      <c r="K3999" s="14" t="n">
        <v>13527.94282914704</v>
      </c>
      <c r="L3999" s="14" t="n">
        <v>3334.266220451804</v>
      </c>
      <c r="M3999" s="14" t="n">
        <v>0</v>
      </c>
      <c r="N3999" s="14" t="n">
        <v>47192.72635258693</v>
      </c>
      <c r="O3999" s="14" t="n">
        <v>65950.49799017812</v>
      </c>
      <c r="P3999" s="14" t="n">
        <v>0</v>
      </c>
      <c r="Q3999" s="14" t="n">
        <v>757262.6561656278</v>
      </c>
      <c r="R3999" s="15">
        <f>IF(D3999=1,"Section 1","Control")</f>
        <v/>
      </c>
      <c r="S3999" s="16">
        <f>N3999/10000</f>
        <v/>
      </c>
      <c r="T3999" s="16">
        <f>P3999/10000</f>
        <v/>
      </c>
      <c r="U3999" s="15">
        <f>IF(N3999&gt;=Summary!$D$3,1,0)</f>
        <v/>
      </c>
      <c r="V3999" s="17">
        <f>IF(N3999&gt;0,P3999/N3999,"")</f>
        <v/>
      </c>
      <c r="W3999" s="17">
        <f>IF(O3999&gt;0,H3999/O3999,"")</f>
        <v/>
      </c>
    </row>
    <row r="4000">
      <c r="A4000" s="13" t="inlineStr">
        <is>
          <t>CW52_F</t>
        </is>
      </c>
      <c r="B4000" s="13" t="inlineStr">
        <is>
          <t>CW52</t>
        </is>
      </c>
      <c r="C4000" s="13" t="inlineStr">
        <is>
          <t>F</t>
        </is>
      </c>
      <c r="D4000" s="13" t="n">
        <v>0</v>
      </c>
      <c r="E4000" s="13" t="inlineStr">
        <is>
          <t>W</t>
        </is>
      </c>
      <c r="F4000" s="13" t="n">
        <v>2021</v>
      </c>
      <c r="G4000" s="14" t="n">
        <v>69284.76421062992</v>
      </c>
      <c r="H4000" s="14" t="n">
        <v>44482.18204237994</v>
      </c>
      <c r="I4000" s="14" t="n">
        <v>2295.115946780934</v>
      </c>
      <c r="J4000" s="14" t="n">
        <v>0</v>
      </c>
      <c r="K4000" s="14" t="n">
        <v>19988.18273803113</v>
      </c>
      <c r="L4000" s="14" t="n">
        <v>2519.283483437931</v>
      </c>
      <c r="M4000" s="14" t="n">
        <v>0</v>
      </c>
      <c r="N4000" s="14" t="n">
        <v>47192.72635258693</v>
      </c>
      <c r="O4000" s="14" t="n">
        <v>65950.49799017812</v>
      </c>
      <c r="P4000" s="14" t="n">
        <v>3006.725668544395</v>
      </c>
      <c r="Q4000" s="14" t="n">
        <v>757262.6561656278</v>
      </c>
      <c r="R4000" s="15">
        <f>IF(D4000=1,"Section 1","Control")</f>
        <v/>
      </c>
      <c r="S4000" s="16">
        <f>N4000/10000</f>
        <v/>
      </c>
      <c r="T4000" s="16">
        <f>P4000/10000</f>
        <v/>
      </c>
      <c r="U4000" s="15">
        <f>IF(N4000&gt;=Summary!$D$3,1,0)</f>
        <v/>
      </c>
      <c r="V4000" s="17">
        <f>IF(N4000&gt;0,P4000/N4000,"")</f>
        <v/>
      </c>
      <c r="W4000" s="17">
        <f>IF(O4000&gt;0,H4000/O4000,"")</f>
        <v/>
      </c>
    </row>
    <row r="4001">
      <c r="A4001" s="13" t="inlineStr">
        <is>
          <t>CW52_F</t>
        </is>
      </c>
      <c r="B4001" s="13" t="inlineStr">
        <is>
          <t>CW52</t>
        </is>
      </c>
      <c r="C4001" s="13" t="inlineStr">
        <is>
          <t>F</t>
        </is>
      </c>
      <c r="D4001" s="13" t="n">
        <v>0</v>
      </c>
      <c r="E4001" s="13" t="inlineStr">
        <is>
          <t>W</t>
        </is>
      </c>
      <c r="F4001" s="13" t="n">
        <v>2022</v>
      </c>
      <c r="G4001" s="14" t="n">
        <v>69284.76421062992</v>
      </c>
      <c r="H4001" s="14" t="n">
        <v>44000.93551626767</v>
      </c>
      <c r="I4001" s="14" t="n">
        <v>4655.275815986185</v>
      </c>
      <c r="J4001" s="14" t="n">
        <v>0</v>
      </c>
      <c r="K4001" s="14" t="n">
        <v>20457.42592423383</v>
      </c>
      <c r="L4001" s="14" t="n">
        <v>171.1269541422526</v>
      </c>
      <c r="M4001" s="14" t="n">
        <v>0</v>
      </c>
      <c r="N4001" s="14" t="n">
        <v>47192.72635258693</v>
      </c>
      <c r="O4001" s="14" t="n">
        <v>65950.49799017812</v>
      </c>
      <c r="P4001" s="14" t="n">
        <v>3463.193600643383</v>
      </c>
      <c r="Q4001" s="14" t="n">
        <v>757262.6561656278</v>
      </c>
      <c r="R4001" s="15">
        <f>IF(D4001=1,"Section 1","Control")</f>
        <v/>
      </c>
      <c r="S4001" s="16">
        <f>N4001/10000</f>
        <v/>
      </c>
      <c r="T4001" s="16">
        <f>P4001/10000</f>
        <v/>
      </c>
      <c r="U4001" s="15">
        <f>IF(N4001&gt;=Summary!$D$3,1,0)</f>
        <v/>
      </c>
      <c r="V4001" s="17">
        <f>IF(N4001&gt;0,P4001/N4001,"")</f>
        <v/>
      </c>
      <c r="W4001" s="17">
        <f>IF(O4001&gt;0,H4001/O4001,"")</f>
        <v/>
      </c>
    </row>
    <row r="4002">
      <c r="A4002" s="13" t="inlineStr">
        <is>
          <t>CW52_F</t>
        </is>
      </c>
      <c r="B4002" s="13" t="inlineStr">
        <is>
          <t>CW52</t>
        </is>
      </c>
      <c r="C4002" s="13" t="inlineStr">
        <is>
          <t>F</t>
        </is>
      </c>
      <c r="D4002" s="13" t="n">
        <v>0</v>
      </c>
      <c r="E4002" s="13" t="inlineStr">
        <is>
          <t>W</t>
        </is>
      </c>
      <c r="F4002" s="13" t="n">
        <v>2023</v>
      </c>
      <c r="G4002" s="14" t="n">
        <v>69284.76421062992</v>
      </c>
      <c r="H4002" s="14" t="n">
        <v>44160.44745094448</v>
      </c>
      <c r="I4002" s="14" t="n">
        <v>2396.940634903253</v>
      </c>
      <c r="J4002" s="14" t="n">
        <v>0</v>
      </c>
      <c r="K4002" s="14" t="n">
        <v>19393.10990433038</v>
      </c>
      <c r="L4002" s="14" t="n">
        <v>3334.266220451804</v>
      </c>
      <c r="M4002" s="14" t="n">
        <v>0</v>
      </c>
      <c r="N4002" s="14" t="n">
        <v>47192.72635258693</v>
      </c>
      <c r="O4002" s="14" t="n">
        <v>65950.49799017812</v>
      </c>
      <c r="P4002" s="14" t="n">
        <v>3993.610006923302</v>
      </c>
      <c r="Q4002" s="14" t="n">
        <v>757262.6561656278</v>
      </c>
      <c r="R4002" s="15">
        <f>IF(D4002=1,"Section 1","Control")</f>
        <v/>
      </c>
      <c r="S4002" s="16">
        <f>N4002/10000</f>
        <v/>
      </c>
      <c r="T4002" s="16">
        <f>P4002/10000</f>
        <v/>
      </c>
      <c r="U4002" s="15">
        <f>IF(N4002&gt;=Summary!$D$3,1,0)</f>
        <v/>
      </c>
      <c r="V4002" s="17">
        <f>IF(N4002&gt;0,P4002/N4002,"")</f>
        <v/>
      </c>
      <c r="W4002" s="17">
        <f>IF(O4002&gt;0,H4002/O4002,"")</f>
        <v/>
      </c>
    </row>
    <row r="4003">
      <c r="A4003" s="13" t="inlineStr">
        <is>
          <t>CW52_F</t>
        </is>
      </c>
      <c r="B4003" s="13" t="inlineStr">
        <is>
          <t>CW52</t>
        </is>
      </c>
      <c r="C4003" s="13" t="inlineStr">
        <is>
          <t>F</t>
        </is>
      </c>
      <c r="D4003" s="13" t="n">
        <v>0</v>
      </c>
      <c r="E4003" s="13" t="inlineStr">
        <is>
          <t>W</t>
        </is>
      </c>
      <c r="F4003" s="13" t="n">
        <v>2024</v>
      </c>
      <c r="G4003" s="14" t="n">
        <v>69284.76421062992</v>
      </c>
      <c r="H4003" s="14" t="n">
        <v>44135.66891234155</v>
      </c>
      <c r="I4003" s="14" t="n">
        <v>3072.931063184551</v>
      </c>
      <c r="J4003" s="14" t="n">
        <v>0</v>
      </c>
      <c r="K4003" s="14" t="n">
        <v>20321.53195630242</v>
      </c>
      <c r="L4003" s="14" t="n">
        <v>1754.632278801413</v>
      </c>
      <c r="M4003" s="14" t="n">
        <v>0</v>
      </c>
      <c r="N4003" s="14" t="n">
        <v>47192.72635258693</v>
      </c>
      <c r="O4003" s="14" t="n">
        <v>65950.49799017812</v>
      </c>
      <c r="P4003" s="14" t="n">
        <v>4067.55855323941</v>
      </c>
      <c r="Q4003" s="14" t="n">
        <v>757262.6561656278</v>
      </c>
      <c r="R4003" s="15">
        <f>IF(D4003=1,"Section 1","Control")</f>
        <v/>
      </c>
      <c r="S4003" s="16">
        <f>N4003/10000</f>
        <v/>
      </c>
      <c r="T4003" s="16">
        <f>P4003/10000</f>
        <v/>
      </c>
      <c r="U4003" s="15">
        <f>IF(N4003&gt;=Summary!$D$3,1,0)</f>
        <v/>
      </c>
      <c r="V4003" s="17">
        <f>IF(N4003&gt;0,P4003/N4003,"")</f>
        <v/>
      </c>
      <c r="W4003" s="17">
        <f>IF(O4003&gt;0,H4003/O4003,"")</f>
        <v/>
      </c>
    </row>
    <row r="4004">
      <c r="A4004" s="13" t="inlineStr">
        <is>
          <t>CW52_F</t>
        </is>
      </c>
      <c r="B4004" s="13" t="inlineStr">
        <is>
          <t>CW52</t>
        </is>
      </c>
      <c r="C4004" s="13" t="inlineStr">
        <is>
          <t>F</t>
        </is>
      </c>
      <c r="D4004" s="13" t="n">
        <v>0</v>
      </c>
      <c r="E4004" s="13" t="inlineStr">
        <is>
          <t>W</t>
        </is>
      </c>
      <c r="F4004" s="13" t="n">
        <v>2025</v>
      </c>
      <c r="G4004" s="14" t="n">
        <v>69284.76421062993</v>
      </c>
      <c r="H4004" s="14" t="n">
        <v>43297.84344422584</v>
      </c>
      <c r="I4004" s="14" t="n">
        <v>6774.61850789388</v>
      </c>
      <c r="J4004" s="14" t="n">
        <v>0</v>
      </c>
      <c r="K4004" s="14" t="n">
        <v>16569.1259046966</v>
      </c>
      <c r="L4004" s="14" t="n">
        <v>2643.176353813621</v>
      </c>
      <c r="M4004" s="14" t="n">
        <v>0</v>
      </c>
      <c r="N4004" s="14" t="n">
        <v>47192.72635258693</v>
      </c>
      <c r="O4004" s="14" t="n">
        <v>65950.4979901781</v>
      </c>
      <c r="P4004" s="14" t="n">
        <v>4067.55855323941</v>
      </c>
      <c r="Q4004" s="14" t="n">
        <v>757262.6561656278</v>
      </c>
      <c r="R4004" s="15">
        <f>IF(D4004=1,"Section 1","Control")</f>
        <v/>
      </c>
      <c r="S4004" s="16">
        <f>N4004/10000</f>
        <v/>
      </c>
      <c r="T4004" s="16">
        <f>P4004/10000</f>
        <v/>
      </c>
      <c r="U4004" s="15">
        <f>IF(N4004&gt;=Summary!$D$3,1,0)</f>
        <v/>
      </c>
      <c r="V4004" s="17">
        <f>IF(N4004&gt;0,P4004/N4004,"")</f>
        <v/>
      </c>
      <c r="W4004" s="17">
        <f>IF(O4004&gt;0,H4004/O4004,"")</f>
        <v/>
      </c>
    </row>
    <row r="4005">
      <c r="A4005" s="13" t="inlineStr">
        <is>
          <t>CW52_F</t>
        </is>
      </c>
      <c r="B4005" s="13" t="inlineStr">
        <is>
          <t>CW52</t>
        </is>
      </c>
      <c r="C4005" s="13" t="inlineStr">
        <is>
          <t>F</t>
        </is>
      </c>
      <c r="D4005" s="13" t="n">
        <v>0</v>
      </c>
      <c r="E4005" s="13" t="inlineStr">
        <is>
          <t>W</t>
        </is>
      </c>
      <c r="F4005" s="13" t="n">
        <v>2026</v>
      </c>
      <c r="G4005" s="14" t="n">
        <v>69284.76421062992</v>
      </c>
      <c r="H4005" s="14" t="n">
        <v>45050.15338475845</v>
      </c>
      <c r="I4005" s="14" t="n">
        <v>4056.718230842141</v>
      </c>
      <c r="J4005" s="14" t="n">
        <v>0</v>
      </c>
      <c r="K4005" s="14" t="n">
        <v>16448.71786627676</v>
      </c>
      <c r="L4005" s="14" t="n">
        <v>3729.174728752585</v>
      </c>
      <c r="M4005" s="14" t="n">
        <v>0</v>
      </c>
      <c r="N4005" s="14" t="n">
        <v>47192.72635258693</v>
      </c>
      <c r="O4005" s="14" t="n">
        <v>65950.49799017812</v>
      </c>
      <c r="P4005" s="14" t="n">
        <v>4005.99924771178</v>
      </c>
      <c r="Q4005" s="14" t="n">
        <v>757262.6561656278</v>
      </c>
      <c r="R4005" s="15">
        <f>IF(D4005=1,"Section 1","Control")</f>
        <v/>
      </c>
      <c r="S4005" s="16">
        <f>N4005/10000</f>
        <v/>
      </c>
      <c r="T4005" s="16">
        <f>P4005/10000</f>
        <v/>
      </c>
      <c r="U4005" s="15">
        <f>IF(N4005&gt;=Summary!$D$3,1,0)</f>
        <v/>
      </c>
      <c r="V4005" s="17">
        <f>IF(N4005&gt;0,P4005/N4005,"")</f>
        <v/>
      </c>
      <c r="W4005" s="17">
        <f>IF(O4005&gt;0,H4005/O4005,"")</f>
        <v/>
      </c>
    </row>
    <row r="4006">
      <c r="A4006" s="13" t="inlineStr">
        <is>
          <t>CW53_B1</t>
        </is>
      </c>
      <c r="B4006" s="13" t="inlineStr">
        <is>
          <t>CW53</t>
        </is>
      </c>
      <c r="C4006" s="13" t="inlineStr">
        <is>
          <t>B1</t>
        </is>
      </c>
      <c r="D4006" s="13" t="n">
        <v>0</v>
      </c>
      <c r="E4006" s="13" t="inlineStr">
        <is>
          <t>W</t>
        </is>
      </c>
      <c r="F4006" s="13" t="n">
        <v>2020</v>
      </c>
      <c r="G4006" s="14" t="n">
        <v>975852.2611454084</v>
      </c>
      <c r="H4006" s="14" t="n">
        <v>272366.8769565957</v>
      </c>
      <c r="I4006" s="14" t="n">
        <v>197519.9066628849</v>
      </c>
      <c r="J4006" s="14" t="n">
        <v>0</v>
      </c>
      <c r="K4006" s="14" t="n">
        <v>107336.5247058644</v>
      </c>
      <c r="L4006" s="14" t="n">
        <v>398628.9528200636</v>
      </c>
      <c r="M4006" s="14" t="n">
        <v>0</v>
      </c>
      <c r="N4006" s="14" t="n">
        <v>272366.8769565957</v>
      </c>
      <c r="O4006" s="14" t="n">
        <v>577223.3083253448</v>
      </c>
      <c r="P4006" s="14" t="n">
        <v>0</v>
      </c>
      <c r="Q4006" s="14" t="n">
        <v>4022513.115055818</v>
      </c>
      <c r="R4006" s="15">
        <f>IF(D4006=1,"Section 1","Control")</f>
        <v/>
      </c>
      <c r="S4006" s="16">
        <f>N4006/10000</f>
        <v/>
      </c>
      <c r="T4006" s="16">
        <f>P4006/10000</f>
        <v/>
      </c>
      <c r="U4006" s="15">
        <f>IF(N4006&gt;=Summary!$D$3,1,0)</f>
        <v/>
      </c>
      <c r="V4006" s="17">
        <f>IF(N4006&gt;0,P4006/N4006,"")</f>
        <v/>
      </c>
      <c r="W4006" s="17">
        <f>IF(O4006&gt;0,H4006/O4006,"")</f>
        <v/>
      </c>
    </row>
    <row r="4007">
      <c r="A4007" s="13" t="inlineStr">
        <is>
          <t>CW53_B1</t>
        </is>
      </c>
      <c r="B4007" s="13" t="inlineStr">
        <is>
          <t>CW53</t>
        </is>
      </c>
      <c r="C4007" s="13" t="inlineStr">
        <is>
          <t>B1</t>
        </is>
      </c>
      <c r="D4007" s="13" t="n">
        <v>0</v>
      </c>
      <c r="E4007" s="13" t="inlineStr">
        <is>
          <t>W</t>
        </is>
      </c>
      <c r="F4007" s="13" t="n">
        <v>2021</v>
      </c>
      <c r="G4007" s="14" t="n">
        <v>975852.2611454084</v>
      </c>
      <c r="H4007" s="14" t="n">
        <v>276031.0013037289</v>
      </c>
      <c r="I4007" s="14" t="n">
        <v>193099.6568672928</v>
      </c>
      <c r="J4007" s="14" t="n">
        <v>0</v>
      </c>
      <c r="K4007" s="14" t="n">
        <v>101097.8146302766</v>
      </c>
      <c r="L4007" s="14" t="n">
        <v>405623.7883441103</v>
      </c>
      <c r="M4007" s="14" t="n">
        <v>0</v>
      </c>
      <c r="N4007" s="14" t="n">
        <v>272366.8769565956</v>
      </c>
      <c r="O4007" s="14" t="n">
        <v>577223.3083253449</v>
      </c>
      <c r="P4007" s="14" t="n">
        <v>10725.21382871142</v>
      </c>
      <c r="Q4007" s="14" t="n">
        <v>4022513.115055817</v>
      </c>
      <c r="R4007" s="15">
        <f>IF(D4007=1,"Section 1","Control")</f>
        <v/>
      </c>
      <c r="S4007" s="16">
        <f>N4007/10000</f>
        <v/>
      </c>
      <c r="T4007" s="16">
        <f>P4007/10000</f>
        <v/>
      </c>
      <c r="U4007" s="15">
        <f>IF(N4007&gt;=Summary!$D$3,1,0)</f>
        <v/>
      </c>
      <c r="V4007" s="17">
        <f>IF(N4007&gt;0,P4007/N4007,"")</f>
        <v/>
      </c>
      <c r="W4007" s="17">
        <f>IF(O4007&gt;0,H4007/O4007,"")</f>
        <v/>
      </c>
    </row>
    <row r="4008">
      <c r="A4008" s="13" t="inlineStr">
        <is>
          <t>CW53_B1</t>
        </is>
      </c>
      <c r="B4008" s="13" t="inlineStr">
        <is>
          <t>CW53</t>
        </is>
      </c>
      <c r="C4008" s="13" t="inlineStr">
        <is>
          <t>B1</t>
        </is>
      </c>
      <c r="D4008" s="13" t="n">
        <v>0</v>
      </c>
      <c r="E4008" s="13" t="inlineStr">
        <is>
          <t>W</t>
        </is>
      </c>
      <c r="F4008" s="13" t="n">
        <v>2022</v>
      </c>
      <c r="G4008" s="14" t="n">
        <v>975852.2611454084</v>
      </c>
      <c r="H4008" s="14" t="n">
        <v>274428.1374827964</v>
      </c>
      <c r="I4008" s="14" t="n">
        <v>210052.4210002525</v>
      </c>
      <c r="J4008" s="14" t="n">
        <v>0</v>
      </c>
      <c r="K4008" s="14" t="n">
        <v>98899.42557956472</v>
      </c>
      <c r="L4008" s="14" t="n">
        <v>392472.2770827949</v>
      </c>
      <c r="M4008" s="14" t="n">
        <v>0</v>
      </c>
      <c r="N4008" s="14" t="n">
        <v>272366.8769565956</v>
      </c>
      <c r="O4008" s="14" t="n">
        <v>577223.3083253449</v>
      </c>
      <c r="P4008" s="14" t="n">
        <v>13315.34061198515</v>
      </c>
      <c r="Q4008" s="14" t="n">
        <v>4022513.115055817</v>
      </c>
      <c r="R4008" s="15">
        <f>IF(D4008=1,"Section 1","Control")</f>
        <v/>
      </c>
      <c r="S4008" s="16">
        <f>N4008/10000</f>
        <v/>
      </c>
      <c r="T4008" s="16">
        <f>P4008/10000</f>
        <v/>
      </c>
      <c r="U4008" s="15">
        <f>IF(N4008&gt;=Summary!$D$3,1,0)</f>
        <v/>
      </c>
      <c r="V4008" s="17">
        <f>IF(N4008&gt;0,P4008/N4008,"")</f>
        <v/>
      </c>
      <c r="W4008" s="17">
        <f>IF(O4008&gt;0,H4008/O4008,"")</f>
        <v/>
      </c>
    </row>
    <row r="4009">
      <c r="A4009" s="13" t="inlineStr">
        <is>
          <t>CW53_B1</t>
        </is>
      </c>
      <c r="B4009" s="13" t="inlineStr">
        <is>
          <t>CW53</t>
        </is>
      </c>
      <c r="C4009" s="13" t="inlineStr">
        <is>
          <t>B1</t>
        </is>
      </c>
      <c r="D4009" s="13" t="n">
        <v>0</v>
      </c>
      <c r="E4009" s="13" t="inlineStr">
        <is>
          <t>W</t>
        </is>
      </c>
      <c r="F4009" s="13" t="n">
        <v>2023</v>
      </c>
      <c r="G4009" s="14" t="n">
        <v>975852.2611454084</v>
      </c>
      <c r="H4009" s="14" t="n">
        <v>277873.8987928503</v>
      </c>
      <c r="I4009" s="14" t="n">
        <v>198625.5907747156</v>
      </c>
      <c r="J4009" s="14" t="n">
        <v>0</v>
      </c>
      <c r="K4009" s="14" t="n">
        <v>88120.41896446078</v>
      </c>
      <c r="L4009" s="14" t="n">
        <v>411232.3526133818</v>
      </c>
      <c r="M4009" s="14" t="n">
        <v>0</v>
      </c>
      <c r="N4009" s="14" t="n">
        <v>272366.8769565956</v>
      </c>
      <c r="O4009" s="14" t="n">
        <v>577223.3083253449</v>
      </c>
      <c r="P4009" s="14" t="n">
        <v>11547.93853197285</v>
      </c>
      <c r="Q4009" s="14" t="n">
        <v>4022513.115055817</v>
      </c>
      <c r="R4009" s="15">
        <f>IF(D4009=1,"Section 1","Control")</f>
        <v/>
      </c>
      <c r="S4009" s="16">
        <f>N4009/10000</f>
        <v/>
      </c>
      <c r="T4009" s="16">
        <f>P4009/10000</f>
        <v/>
      </c>
      <c r="U4009" s="15">
        <f>IF(N4009&gt;=Summary!$D$3,1,0)</f>
        <v/>
      </c>
      <c r="V4009" s="17">
        <f>IF(N4009&gt;0,P4009/N4009,"")</f>
        <v/>
      </c>
      <c r="W4009" s="17">
        <f>IF(O4009&gt;0,H4009/O4009,"")</f>
        <v/>
      </c>
    </row>
    <row r="4010">
      <c r="A4010" s="13" t="inlineStr">
        <is>
          <t>CW53_B1</t>
        </is>
      </c>
      <c r="B4010" s="13" t="inlineStr">
        <is>
          <t>CW53</t>
        </is>
      </c>
      <c r="C4010" s="13" t="inlineStr">
        <is>
          <t>B1</t>
        </is>
      </c>
      <c r="D4010" s="13" t="n">
        <v>0</v>
      </c>
      <c r="E4010" s="13" t="inlineStr">
        <is>
          <t>W</t>
        </is>
      </c>
      <c r="F4010" s="13" t="n">
        <v>2024</v>
      </c>
      <c r="G4010" s="14" t="n">
        <v>975852.2611454084</v>
      </c>
      <c r="H4010" s="14" t="n">
        <v>308453.6582662545</v>
      </c>
      <c r="I4010" s="14" t="n">
        <v>169606.1263160556</v>
      </c>
      <c r="J4010" s="14" t="n">
        <v>0</v>
      </c>
      <c r="K4010" s="14" t="n">
        <v>96758.79881157968</v>
      </c>
      <c r="L4010" s="14" t="n">
        <v>401033.6777515188</v>
      </c>
      <c r="M4010" s="14" t="n">
        <v>0</v>
      </c>
      <c r="N4010" s="14" t="n">
        <v>272366.8769565956</v>
      </c>
      <c r="O4010" s="14" t="n">
        <v>577223.3083253448</v>
      </c>
      <c r="P4010" s="14" t="n">
        <v>8783.587068654977</v>
      </c>
      <c r="Q4010" s="14" t="n">
        <v>4022513.115055817</v>
      </c>
      <c r="R4010" s="15">
        <f>IF(D4010=1,"Section 1","Control")</f>
        <v/>
      </c>
      <c r="S4010" s="16">
        <f>N4010/10000</f>
        <v/>
      </c>
      <c r="T4010" s="16">
        <f>P4010/10000</f>
        <v/>
      </c>
      <c r="U4010" s="15">
        <f>IF(N4010&gt;=Summary!$D$3,1,0)</f>
        <v/>
      </c>
      <c r="V4010" s="17">
        <f>IF(N4010&gt;0,P4010/N4010,"")</f>
        <v/>
      </c>
      <c r="W4010" s="17">
        <f>IF(O4010&gt;0,H4010/O4010,"")</f>
        <v/>
      </c>
    </row>
    <row r="4011">
      <c r="A4011" s="13" t="inlineStr">
        <is>
          <t>CW53_B1</t>
        </is>
      </c>
      <c r="B4011" s="13" t="inlineStr">
        <is>
          <t>CW53</t>
        </is>
      </c>
      <c r="C4011" s="13" t="inlineStr">
        <is>
          <t>B1</t>
        </is>
      </c>
      <c r="D4011" s="13" t="n">
        <v>0</v>
      </c>
      <c r="E4011" s="13" t="inlineStr">
        <is>
          <t>W</t>
        </is>
      </c>
      <c r="F4011" s="13" t="n">
        <v>2025</v>
      </c>
      <c r="G4011" s="14" t="n">
        <v>975852.2611454084</v>
      </c>
      <c r="H4011" s="14" t="n">
        <v>282736.6711680394</v>
      </c>
      <c r="I4011" s="14" t="n">
        <v>203290.956553261</v>
      </c>
      <c r="J4011" s="14" t="n">
        <v>0</v>
      </c>
      <c r="K4011" s="14" t="n">
        <v>81729.50251150693</v>
      </c>
      <c r="L4011" s="14" t="n">
        <v>408095.1309126013</v>
      </c>
      <c r="M4011" s="14" t="n">
        <v>0</v>
      </c>
      <c r="N4011" s="14" t="n">
        <v>272366.8769565956</v>
      </c>
      <c r="O4011" s="14" t="n">
        <v>577223.3083253448</v>
      </c>
      <c r="P4011" s="14" t="n">
        <v>15287.94248738008</v>
      </c>
      <c r="Q4011" s="14" t="n">
        <v>4022513.115055817</v>
      </c>
      <c r="R4011" s="15">
        <f>IF(D4011=1,"Section 1","Control")</f>
        <v/>
      </c>
      <c r="S4011" s="16">
        <f>N4011/10000</f>
        <v/>
      </c>
      <c r="T4011" s="16">
        <f>P4011/10000</f>
        <v/>
      </c>
      <c r="U4011" s="15">
        <f>IF(N4011&gt;=Summary!$D$3,1,0)</f>
        <v/>
      </c>
      <c r="V4011" s="17">
        <f>IF(N4011&gt;0,P4011/N4011,"")</f>
        <v/>
      </c>
      <c r="W4011" s="17">
        <f>IF(O4011&gt;0,H4011/O4011,"")</f>
        <v/>
      </c>
    </row>
    <row r="4012">
      <c r="A4012" s="13" t="inlineStr">
        <is>
          <t>CW53_B1</t>
        </is>
      </c>
      <c r="B4012" s="13" t="inlineStr">
        <is>
          <t>CW53</t>
        </is>
      </c>
      <c r="C4012" s="13" t="inlineStr">
        <is>
          <t>B1</t>
        </is>
      </c>
      <c r="D4012" s="13" t="n">
        <v>0</v>
      </c>
      <c r="E4012" s="13" t="inlineStr">
        <is>
          <t>W</t>
        </is>
      </c>
      <c r="F4012" s="13" t="n">
        <v>2026</v>
      </c>
      <c r="G4012" s="14" t="n">
        <v>975852.2611454084</v>
      </c>
      <c r="H4012" s="14" t="n">
        <v>295901.4114644668</v>
      </c>
      <c r="I4012" s="14" t="n">
        <v>184372.5873266781</v>
      </c>
      <c r="J4012" s="14" t="n">
        <v>0</v>
      </c>
      <c r="K4012" s="14" t="n">
        <v>84172.51874024633</v>
      </c>
      <c r="L4012" s="14" t="n">
        <v>411405.7436140173</v>
      </c>
      <c r="M4012" s="14" t="n">
        <v>0</v>
      </c>
      <c r="N4012" s="14" t="n">
        <v>272366.8769565956</v>
      </c>
      <c r="O4012" s="14" t="n">
        <v>577223.3083253449</v>
      </c>
      <c r="P4012" s="14" t="n">
        <v>13806.26255184996</v>
      </c>
      <c r="Q4012" s="14" t="n">
        <v>4022513.115055817</v>
      </c>
      <c r="R4012" s="15">
        <f>IF(D4012=1,"Section 1","Control")</f>
        <v/>
      </c>
      <c r="S4012" s="16">
        <f>N4012/10000</f>
        <v/>
      </c>
      <c r="T4012" s="16">
        <f>P4012/10000</f>
        <v/>
      </c>
      <c r="U4012" s="15">
        <f>IF(N4012&gt;=Summary!$D$3,1,0)</f>
        <v/>
      </c>
      <c r="V4012" s="17">
        <f>IF(N4012&gt;0,P4012/N4012,"")</f>
        <v/>
      </c>
      <c r="W4012" s="17">
        <f>IF(O4012&gt;0,H4012/O4012,"")</f>
        <v/>
      </c>
    </row>
    <row r="4013">
      <c r="A4013" s="13" t="inlineStr">
        <is>
          <t>CW53_B2</t>
        </is>
      </c>
      <c r="B4013" s="13" t="inlineStr">
        <is>
          <t>CW53</t>
        </is>
      </c>
      <c r="C4013" s="13" t="inlineStr">
        <is>
          <t>B2</t>
        </is>
      </c>
      <c r="D4013" s="13" t="n">
        <v>0</v>
      </c>
      <c r="E4013" s="13" t="inlineStr">
        <is>
          <t>W</t>
        </is>
      </c>
      <c r="F4013" s="13" t="n">
        <v>2020</v>
      </c>
      <c r="G4013" s="14" t="n">
        <v>975590.5329796284</v>
      </c>
      <c r="H4013" s="14" t="n">
        <v>247935.5461437151</v>
      </c>
      <c r="I4013" s="14" t="n">
        <v>691.0807189941406</v>
      </c>
      <c r="J4013" s="14" t="n">
        <v>0</v>
      </c>
      <c r="K4013" s="14" t="n">
        <v>13442.95400223077</v>
      </c>
      <c r="L4013" s="14" t="n">
        <v>713520.9521146885</v>
      </c>
      <c r="M4013" s="14" t="n">
        <v>0</v>
      </c>
      <c r="N4013" s="14" t="n">
        <v>247935.5461437151</v>
      </c>
      <c r="O4013" s="14" t="n">
        <v>262069.58086494</v>
      </c>
      <c r="P4013" s="14" t="n">
        <v>0</v>
      </c>
      <c r="Q4013" s="14" t="n">
        <v>1526060.261903082</v>
      </c>
      <c r="R4013" s="15">
        <f>IF(D4013=1,"Section 1","Control")</f>
        <v/>
      </c>
      <c r="S4013" s="16">
        <f>N4013/10000</f>
        <v/>
      </c>
      <c r="T4013" s="16">
        <f>P4013/10000</f>
        <v/>
      </c>
      <c r="U4013" s="15">
        <f>IF(N4013&gt;=Summary!$D$3,1,0)</f>
        <v/>
      </c>
      <c r="V4013" s="17">
        <f>IF(N4013&gt;0,P4013/N4013,"")</f>
        <v/>
      </c>
      <c r="W4013" s="17">
        <f>IF(O4013&gt;0,H4013/O4013,"")</f>
        <v/>
      </c>
    </row>
    <row r="4014">
      <c r="A4014" s="13" t="inlineStr">
        <is>
          <t>CW53_B2</t>
        </is>
      </c>
      <c r="B4014" s="13" t="inlineStr">
        <is>
          <t>CW53</t>
        </is>
      </c>
      <c r="C4014" s="13" t="inlineStr">
        <is>
          <t>B2</t>
        </is>
      </c>
      <c r="D4014" s="13" t="n">
        <v>0</v>
      </c>
      <c r="E4014" s="13" t="inlineStr">
        <is>
          <t>W</t>
        </is>
      </c>
      <c r="F4014" s="13" t="n">
        <v>2021</v>
      </c>
      <c r="G4014" s="14" t="n">
        <v>975590.5329796288</v>
      </c>
      <c r="H4014" s="14" t="n">
        <v>244250.5615062938</v>
      </c>
      <c r="I4014" s="14" t="n">
        <v>493.6283264160156</v>
      </c>
      <c r="J4014" s="14" t="n">
        <v>0</v>
      </c>
      <c r="K4014" s="14" t="n">
        <v>17906.89858518114</v>
      </c>
      <c r="L4014" s="14" t="n">
        <v>712939.4445617376</v>
      </c>
      <c r="M4014" s="14" t="n">
        <v>0</v>
      </c>
      <c r="N4014" s="14" t="n">
        <v>247935.5461437151</v>
      </c>
      <c r="O4014" s="14" t="n">
        <v>262069.58086494</v>
      </c>
      <c r="P4014" s="14" t="n">
        <v>3981.162562531116</v>
      </c>
      <c r="Q4014" s="14" t="n">
        <v>1526060.261903082</v>
      </c>
      <c r="R4014" s="15">
        <f>IF(D4014=1,"Section 1","Control")</f>
        <v/>
      </c>
      <c r="S4014" s="16">
        <f>N4014/10000</f>
        <v/>
      </c>
      <c r="T4014" s="16">
        <f>P4014/10000</f>
        <v/>
      </c>
      <c r="U4014" s="15">
        <f>IF(N4014&gt;=Summary!$D$3,1,0)</f>
        <v/>
      </c>
      <c r="V4014" s="17">
        <f>IF(N4014&gt;0,P4014/N4014,"")</f>
        <v/>
      </c>
      <c r="W4014" s="17">
        <f>IF(O4014&gt;0,H4014/O4014,"")</f>
        <v/>
      </c>
    </row>
    <row r="4015">
      <c r="A4015" s="13" t="inlineStr">
        <is>
          <t>CW53_B2</t>
        </is>
      </c>
      <c r="B4015" s="13" t="inlineStr">
        <is>
          <t>CW53</t>
        </is>
      </c>
      <c r="C4015" s="13" t="inlineStr">
        <is>
          <t>B2</t>
        </is>
      </c>
      <c r="D4015" s="13" t="n">
        <v>0</v>
      </c>
      <c r="E4015" s="13" t="inlineStr">
        <is>
          <t>W</t>
        </is>
      </c>
      <c r="F4015" s="13" t="n">
        <v>2022</v>
      </c>
      <c r="G4015" s="14" t="n">
        <v>975590.5329796284</v>
      </c>
      <c r="H4015" s="14" t="n">
        <v>243497.5312882069</v>
      </c>
      <c r="I4015" s="14" t="n">
        <v>493.6285934448242</v>
      </c>
      <c r="J4015" s="14" t="n">
        <v>0</v>
      </c>
      <c r="K4015" s="14" t="n">
        <v>23333.33980030733</v>
      </c>
      <c r="L4015" s="14" t="n">
        <v>708266.0332976696</v>
      </c>
      <c r="M4015" s="14" t="n">
        <v>0</v>
      </c>
      <c r="N4015" s="14" t="n">
        <v>247935.5461437151</v>
      </c>
      <c r="O4015" s="14" t="n">
        <v>262069.58086494</v>
      </c>
      <c r="P4015" s="14" t="n">
        <v>4734.192338113224</v>
      </c>
      <c r="Q4015" s="14" t="n">
        <v>1526060.261903082</v>
      </c>
      <c r="R4015" s="15">
        <f>IF(D4015=1,"Section 1","Control")</f>
        <v/>
      </c>
      <c r="S4015" s="16">
        <f>N4015/10000</f>
        <v/>
      </c>
      <c r="T4015" s="16">
        <f>P4015/10000</f>
        <v/>
      </c>
      <c r="U4015" s="15">
        <f>IF(N4015&gt;=Summary!$D$3,1,0)</f>
        <v/>
      </c>
      <c r="V4015" s="17">
        <f>IF(N4015&gt;0,P4015/N4015,"")</f>
        <v/>
      </c>
      <c r="W4015" s="17">
        <f>IF(O4015&gt;0,H4015/O4015,"")</f>
        <v/>
      </c>
    </row>
    <row r="4016">
      <c r="A4016" s="13" t="inlineStr">
        <is>
          <t>CW53_B2</t>
        </is>
      </c>
      <c r="B4016" s="13" t="inlineStr">
        <is>
          <t>CW53</t>
        </is>
      </c>
      <c r="C4016" s="13" t="inlineStr">
        <is>
          <t>B2</t>
        </is>
      </c>
      <c r="D4016" s="13" t="n">
        <v>0</v>
      </c>
      <c r="E4016" s="13" t="inlineStr">
        <is>
          <t>W</t>
        </is>
      </c>
      <c r="F4016" s="13" t="n">
        <v>2023</v>
      </c>
      <c r="G4016" s="14" t="n">
        <v>975590.5329796284</v>
      </c>
      <c r="H4016" s="14" t="n">
        <v>241609.3533211503</v>
      </c>
      <c r="I4016" s="14" t="n">
        <v>1147.929033586091</v>
      </c>
      <c r="J4016" s="14" t="n">
        <v>0</v>
      </c>
      <c r="K4016" s="14" t="n">
        <v>16988.56181401272</v>
      </c>
      <c r="L4016" s="14" t="n">
        <v>715844.6888108796</v>
      </c>
      <c r="M4016" s="14" t="n">
        <v>0</v>
      </c>
      <c r="N4016" s="14" t="n">
        <v>247935.5461437151</v>
      </c>
      <c r="O4016" s="14" t="n">
        <v>262069.58086494</v>
      </c>
      <c r="P4016" s="14" t="n">
        <v>6523.644101251341</v>
      </c>
      <c r="Q4016" s="14" t="n">
        <v>1526060.261903082</v>
      </c>
      <c r="R4016" s="15">
        <f>IF(D4016=1,"Section 1","Control")</f>
        <v/>
      </c>
      <c r="S4016" s="16">
        <f>N4016/10000</f>
        <v/>
      </c>
      <c r="T4016" s="16">
        <f>P4016/10000</f>
        <v/>
      </c>
      <c r="U4016" s="15">
        <f>IF(N4016&gt;=Summary!$D$3,1,0)</f>
        <v/>
      </c>
      <c r="V4016" s="17">
        <f>IF(N4016&gt;0,P4016/N4016,"")</f>
        <v/>
      </c>
      <c r="W4016" s="17">
        <f>IF(O4016&gt;0,H4016/O4016,"")</f>
        <v/>
      </c>
    </row>
    <row r="4017">
      <c r="A4017" s="13" t="inlineStr">
        <is>
          <t>CW53_B2</t>
        </is>
      </c>
      <c r="B4017" s="13" t="inlineStr">
        <is>
          <t>CW53</t>
        </is>
      </c>
      <c r="C4017" s="13" t="inlineStr">
        <is>
          <t>B2</t>
        </is>
      </c>
      <c r="D4017" s="13" t="n">
        <v>0</v>
      </c>
      <c r="E4017" s="13" t="inlineStr">
        <is>
          <t>W</t>
        </is>
      </c>
      <c r="F4017" s="13" t="n">
        <v>2024</v>
      </c>
      <c r="G4017" s="14" t="n">
        <v>975590.5329796288</v>
      </c>
      <c r="H4017" s="14" t="n">
        <v>242794.064049186</v>
      </c>
      <c r="I4017" s="14" t="n">
        <v>888.5314865112305</v>
      </c>
      <c r="J4017" s="14" t="n">
        <v>0</v>
      </c>
      <c r="K4017" s="14" t="n">
        <v>26400.41544213388</v>
      </c>
      <c r="L4017" s="14" t="n">
        <v>705507.5220017974</v>
      </c>
      <c r="M4017" s="14" t="n">
        <v>0</v>
      </c>
      <c r="N4017" s="14" t="n">
        <v>247935.5461437151</v>
      </c>
      <c r="O4017" s="14" t="n">
        <v>262069.58086494</v>
      </c>
      <c r="P4017" s="14" t="n">
        <v>5869.342501442105</v>
      </c>
      <c r="Q4017" s="14" t="n">
        <v>1526060.261903082</v>
      </c>
      <c r="R4017" s="15">
        <f>IF(D4017=1,"Section 1","Control")</f>
        <v/>
      </c>
      <c r="S4017" s="16">
        <f>N4017/10000</f>
        <v/>
      </c>
      <c r="T4017" s="16">
        <f>P4017/10000</f>
        <v/>
      </c>
      <c r="U4017" s="15">
        <f>IF(N4017&gt;=Summary!$D$3,1,0)</f>
        <v/>
      </c>
      <c r="V4017" s="17">
        <f>IF(N4017&gt;0,P4017/N4017,"")</f>
        <v/>
      </c>
      <c r="W4017" s="17">
        <f>IF(O4017&gt;0,H4017/O4017,"")</f>
        <v/>
      </c>
    </row>
    <row r="4018">
      <c r="A4018" s="13" t="inlineStr">
        <is>
          <t>CW53_B2</t>
        </is>
      </c>
      <c r="B4018" s="13" t="inlineStr">
        <is>
          <t>CW53</t>
        </is>
      </c>
      <c r="C4018" s="13" t="inlineStr">
        <is>
          <t>B2</t>
        </is>
      </c>
      <c r="D4018" s="13" t="n">
        <v>0</v>
      </c>
      <c r="E4018" s="13" t="inlineStr">
        <is>
          <t>W</t>
        </is>
      </c>
      <c r="F4018" s="13" t="n">
        <v>2025</v>
      </c>
      <c r="G4018" s="14" t="n">
        <v>975590.5329796284</v>
      </c>
      <c r="H4018" s="14" t="n">
        <v>242147.5064236211</v>
      </c>
      <c r="I4018" s="14" t="n">
        <v>1041.459496292413</v>
      </c>
      <c r="J4018" s="14" t="n">
        <v>0</v>
      </c>
      <c r="K4018" s="14" t="n">
        <v>16817.440916024</v>
      </c>
      <c r="L4018" s="14" t="n">
        <v>715584.1261436911</v>
      </c>
      <c r="M4018" s="14" t="n">
        <v>0</v>
      </c>
      <c r="N4018" s="14" t="n">
        <v>247935.5461437151</v>
      </c>
      <c r="O4018" s="14" t="n">
        <v>262069.58086494</v>
      </c>
      <c r="P4018" s="14" t="n">
        <v>6318.448558403464</v>
      </c>
      <c r="Q4018" s="14" t="n">
        <v>1526060.261903082</v>
      </c>
      <c r="R4018" s="15">
        <f>IF(D4018=1,"Section 1","Control")</f>
        <v/>
      </c>
      <c r="S4018" s="16">
        <f>N4018/10000</f>
        <v/>
      </c>
      <c r="T4018" s="16">
        <f>P4018/10000</f>
        <v/>
      </c>
      <c r="U4018" s="15">
        <f>IF(N4018&gt;=Summary!$D$3,1,0)</f>
        <v/>
      </c>
      <c r="V4018" s="17">
        <f>IF(N4018&gt;0,P4018/N4018,"")</f>
        <v/>
      </c>
      <c r="W4018" s="17">
        <f>IF(O4018&gt;0,H4018/O4018,"")</f>
        <v/>
      </c>
    </row>
    <row r="4019">
      <c r="A4019" s="13" t="inlineStr">
        <is>
          <t>CW53_B2</t>
        </is>
      </c>
      <c r="B4019" s="13" t="inlineStr">
        <is>
          <t>CW53</t>
        </is>
      </c>
      <c r="C4019" s="13" t="inlineStr">
        <is>
          <t>B2</t>
        </is>
      </c>
      <c r="D4019" s="13" t="n">
        <v>0</v>
      </c>
      <c r="E4019" s="13" t="inlineStr">
        <is>
          <t>W</t>
        </is>
      </c>
      <c r="F4019" s="13" t="n">
        <v>2026</v>
      </c>
      <c r="G4019" s="14" t="n">
        <v>975590.5329796284</v>
      </c>
      <c r="H4019" s="14" t="n">
        <v>241276.3949722291</v>
      </c>
      <c r="I4019" s="14" t="n">
        <v>0</v>
      </c>
      <c r="J4019" s="14" t="n">
        <v>0</v>
      </c>
      <c r="K4019" s="14" t="n">
        <v>17103.92860954135</v>
      </c>
      <c r="L4019" s="14" t="n">
        <v>717210.2093978582</v>
      </c>
      <c r="M4019" s="14" t="n">
        <v>0</v>
      </c>
      <c r="N4019" s="14" t="n">
        <v>247935.5461437151</v>
      </c>
      <c r="O4019" s="14" t="n">
        <v>262069.58086494</v>
      </c>
      <c r="P4019" s="14" t="n">
        <v>7152.779612342984</v>
      </c>
      <c r="Q4019" s="14" t="n">
        <v>1526060.261903082</v>
      </c>
      <c r="R4019" s="15">
        <f>IF(D4019=1,"Section 1","Control")</f>
        <v/>
      </c>
      <c r="S4019" s="16">
        <f>N4019/10000</f>
        <v/>
      </c>
      <c r="T4019" s="16">
        <f>P4019/10000</f>
        <v/>
      </c>
      <c r="U4019" s="15">
        <f>IF(N4019&gt;=Summary!$D$3,1,0)</f>
        <v/>
      </c>
      <c r="V4019" s="17">
        <f>IF(N4019&gt;0,P4019/N4019,"")</f>
        <v/>
      </c>
      <c r="W4019" s="17">
        <f>IF(O4019&gt;0,H4019/O4019,"")</f>
        <v/>
      </c>
    </row>
    <row r="4020">
      <c r="A4020" s="13" t="inlineStr">
        <is>
          <t>CW53_B3</t>
        </is>
      </c>
      <c r="B4020" s="13" t="inlineStr">
        <is>
          <t>CW53</t>
        </is>
      </c>
      <c r="C4020" s="13" t="inlineStr">
        <is>
          <t>B3</t>
        </is>
      </c>
      <c r="D4020" s="13" t="n">
        <v>0</v>
      </c>
      <c r="E4020" s="13" t="inlineStr">
        <is>
          <t>W</t>
        </is>
      </c>
      <c r="F4020" s="13" t="n">
        <v>2020</v>
      </c>
      <c r="G4020" s="14" t="n">
        <v>7806139.566981656</v>
      </c>
      <c r="H4020" s="14" t="n">
        <v>3018613.760119838</v>
      </c>
      <c r="I4020" s="14" t="n">
        <v>172301.1160218781</v>
      </c>
      <c r="J4020" s="14" t="n">
        <v>0</v>
      </c>
      <c r="K4020" s="14" t="n">
        <v>296368.3436515659</v>
      </c>
      <c r="L4020" s="14" t="n">
        <v>4318856.347188373</v>
      </c>
      <c r="M4020" s="14" t="n">
        <v>0</v>
      </c>
      <c r="N4020" s="14" t="n">
        <v>3018613.760119838</v>
      </c>
      <c r="O4020" s="14" t="n">
        <v>3487283.219793283</v>
      </c>
      <c r="P4020" s="14" t="n">
        <v>0</v>
      </c>
      <c r="Q4020" s="14" t="n">
        <v>15731086.1587116</v>
      </c>
      <c r="R4020" s="15">
        <f>IF(D4020=1,"Section 1","Control")</f>
        <v/>
      </c>
      <c r="S4020" s="16">
        <f>N4020/10000</f>
        <v/>
      </c>
      <c r="T4020" s="16">
        <f>P4020/10000</f>
        <v/>
      </c>
      <c r="U4020" s="15">
        <f>IF(N4020&gt;=Summary!$D$3,1,0)</f>
        <v/>
      </c>
      <c r="V4020" s="17">
        <f>IF(N4020&gt;0,P4020/N4020,"")</f>
        <v/>
      </c>
      <c r="W4020" s="17">
        <f>IF(O4020&gt;0,H4020/O4020,"")</f>
        <v/>
      </c>
    </row>
    <row r="4021">
      <c r="A4021" s="13" t="inlineStr">
        <is>
          <t>CW53_B3</t>
        </is>
      </c>
      <c r="B4021" s="13" t="inlineStr">
        <is>
          <t>CW53</t>
        </is>
      </c>
      <c r="C4021" s="13" t="inlineStr">
        <is>
          <t>B3</t>
        </is>
      </c>
      <c r="D4021" s="13" t="n">
        <v>0</v>
      </c>
      <c r="E4021" s="13" t="inlineStr">
        <is>
          <t>W</t>
        </is>
      </c>
      <c r="F4021" s="13" t="n">
        <v>2021</v>
      </c>
      <c r="G4021" s="14" t="n">
        <v>7806139.566981656</v>
      </c>
      <c r="H4021" s="14" t="n">
        <v>2909409.057627569</v>
      </c>
      <c r="I4021" s="14" t="n">
        <v>249864.2781255385</v>
      </c>
      <c r="J4021" s="14" t="n">
        <v>0</v>
      </c>
      <c r="K4021" s="14" t="n">
        <v>327570.0210418104</v>
      </c>
      <c r="L4021" s="14" t="n">
        <v>4319296.210186738</v>
      </c>
      <c r="M4021" s="14" t="n">
        <v>0</v>
      </c>
      <c r="N4021" s="14" t="n">
        <v>3018613.760119838</v>
      </c>
      <c r="O4021" s="14" t="n">
        <v>3487283.219793282</v>
      </c>
      <c r="P4021" s="14" t="n">
        <v>167250.249570869</v>
      </c>
      <c r="Q4021" s="14" t="n">
        <v>15731086.1587116</v>
      </c>
      <c r="R4021" s="15">
        <f>IF(D4021=1,"Section 1","Control")</f>
        <v/>
      </c>
      <c r="S4021" s="16">
        <f>N4021/10000</f>
        <v/>
      </c>
      <c r="T4021" s="16">
        <f>P4021/10000</f>
        <v/>
      </c>
      <c r="U4021" s="15">
        <f>IF(N4021&gt;=Summary!$D$3,1,0)</f>
        <v/>
      </c>
      <c r="V4021" s="17">
        <f>IF(N4021&gt;0,P4021/N4021,"")</f>
        <v/>
      </c>
      <c r="W4021" s="17">
        <f>IF(O4021&gt;0,H4021/O4021,"")</f>
        <v/>
      </c>
    </row>
    <row r="4022">
      <c r="A4022" s="13" t="inlineStr">
        <is>
          <t>CW53_B3</t>
        </is>
      </c>
      <c r="B4022" s="13" t="inlineStr">
        <is>
          <t>CW53</t>
        </is>
      </c>
      <c r="C4022" s="13" t="inlineStr">
        <is>
          <t>B3</t>
        </is>
      </c>
      <c r="D4022" s="13" t="n">
        <v>0</v>
      </c>
      <c r="E4022" s="13" t="inlineStr">
        <is>
          <t>W</t>
        </is>
      </c>
      <c r="F4022" s="13" t="n">
        <v>2022</v>
      </c>
      <c r="G4022" s="14" t="n">
        <v>7806139.566981656</v>
      </c>
      <c r="H4022" s="14" t="n">
        <v>2934170.108708729</v>
      </c>
      <c r="I4022" s="14" t="n">
        <v>204361.5242659326</v>
      </c>
      <c r="J4022" s="14" t="n">
        <v>0</v>
      </c>
      <c r="K4022" s="14" t="n">
        <v>477662.5579205682</v>
      </c>
      <c r="L4022" s="14" t="n">
        <v>4189945.376086426</v>
      </c>
      <c r="M4022" s="14" t="n">
        <v>0</v>
      </c>
      <c r="N4022" s="14" t="n">
        <v>3018613.760119838</v>
      </c>
      <c r="O4022" s="14" t="n">
        <v>3487283.219793283</v>
      </c>
      <c r="P4022" s="14" t="n">
        <v>168024.8870622523</v>
      </c>
      <c r="Q4022" s="14" t="n">
        <v>15731086.1587116</v>
      </c>
      <c r="R4022" s="15">
        <f>IF(D4022=1,"Section 1","Control")</f>
        <v/>
      </c>
      <c r="S4022" s="16">
        <f>N4022/10000</f>
        <v/>
      </c>
      <c r="T4022" s="16">
        <f>P4022/10000</f>
        <v/>
      </c>
      <c r="U4022" s="15">
        <f>IF(N4022&gt;=Summary!$D$3,1,0)</f>
        <v/>
      </c>
      <c r="V4022" s="17">
        <f>IF(N4022&gt;0,P4022/N4022,"")</f>
        <v/>
      </c>
      <c r="W4022" s="17">
        <f>IF(O4022&gt;0,H4022/O4022,"")</f>
        <v/>
      </c>
    </row>
    <row r="4023">
      <c r="A4023" s="13" t="inlineStr">
        <is>
          <t>CW53_B3</t>
        </is>
      </c>
      <c r="B4023" s="13" t="inlineStr">
        <is>
          <t>CW53</t>
        </is>
      </c>
      <c r="C4023" s="13" t="inlineStr">
        <is>
          <t>B3</t>
        </is>
      </c>
      <c r="D4023" s="13" t="n">
        <v>0</v>
      </c>
      <c r="E4023" s="13" t="inlineStr">
        <is>
          <t>W</t>
        </is>
      </c>
      <c r="F4023" s="13" t="n">
        <v>2023</v>
      </c>
      <c r="G4023" s="14" t="n">
        <v>7806139.566981656</v>
      </c>
      <c r="H4023" s="14" t="n">
        <v>2938733.027225659</v>
      </c>
      <c r="I4023" s="14" t="n">
        <v>167385.6909201229</v>
      </c>
      <c r="J4023" s="14" t="n">
        <v>0</v>
      </c>
      <c r="K4023" s="14" t="n">
        <v>375695.9886650234</v>
      </c>
      <c r="L4023" s="14" t="n">
        <v>4324324.860170851</v>
      </c>
      <c r="M4023" s="14" t="n">
        <v>0</v>
      </c>
      <c r="N4023" s="14" t="n">
        <v>3018613.760119838</v>
      </c>
      <c r="O4023" s="14" t="n">
        <v>3487283.219793282</v>
      </c>
      <c r="P4023" s="14" t="n">
        <v>173319.8584399354</v>
      </c>
      <c r="Q4023" s="14" t="n">
        <v>15731086.1587116</v>
      </c>
      <c r="R4023" s="15">
        <f>IF(D4023=1,"Section 1","Control")</f>
        <v/>
      </c>
      <c r="S4023" s="16">
        <f>N4023/10000</f>
        <v/>
      </c>
      <c r="T4023" s="16">
        <f>P4023/10000</f>
        <v/>
      </c>
      <c r="U4023" s="15">
        <f>IF(N4023&gt;=Summary!$D$3,1,0)</f>
        <v/>
      </c>
      <c r="V4023" s="17">
        <f>IF(N4023&gt;0,P4023/N4023,"")</f>
        <v/>
      </c>
      <c r="W4023" s="17">
        <f>IF(O4023&gt;0,H4023/O4023,"")</f>
        <v/>
      </c>
    </row>
    <row r="4024">
      <c r="A4024" s="13" t="inlineStr">
        <is>
          <t>CW53_B3</t>
        </is>
      </c>
      <c r="B4024" s="13" t="inlineStr">
        <is>
          <t>CW53</t>
        </is>
      </c>
      <c r="C4024" s="13" t="inlineStr">
        <is>
          <t>B3</t>
        </is>
      </c>
      <c r="D4024" s="13" t="n">
        <v>0</v>
      </c>
      <c r="E4024" s="13" t="inlineStr">
        <is>
          <t>W</t>
        </is>
      </c>
      <c r="F4024" s="13" t="n">
        <v>2024</v>
      </c>
      <c r="G4024" s="14" t="n">
        <v>7806139.566981656</v>
      </c>
      <c r="H4024" s="14" t="n">
        <v>2924812.952739252</v>
      </c>
      <c r="I4024" s="14" t="n">
        <v>195780.8178103877</v>
      </c>
      <c r="J4024" s="14" t="n">
        <v>0</v>
      </c>
      <c r="K4024" s="14" t="n">
        <v>440403.4375269571</v>
      </c>
      <c r="L4024" s="14" t="n">
        <v>4245142.358905059</v>
      </c>
      <c r="M4024" s="14" t="n">
        <v>0</v>
      </c>
      <c r="N4024" s="14" t="n">
        <v>3018613.760119838</v>
      </c>
      <c r="O4024" s="14" t="n">
        <v>3487283.219793283</v>
      </c>
      <c r="P4024" s="14" t="n">
        <v>200254.098732234</v>
      </c>
      <c r="Q4024" s="14" t="n">
        <v>15731086.1587116</v>
      </c>
      <c r="R4024" s="15">
        <f>IF(D4024=1,"Section 1","Control")</f>
        <v/>
      </c>
      <c r="S4024" s="16">
        <f>N4024/10000</f>
        <v/>
      </c>
      <c r="T4024" s="16">
        <f>P4024/10000</f>
        <v/>
      </c>
      <c r="U4024" s="15">
        <f>IF(N4024&gt;=Summary!$D$3,1,0)</f>
        <v/>
      </c>
      <c r="V4024" s="17">
        <f>IF(N4024&gt;0,P4024/N4024,"")</f>
        <v/>
      </c>
      <c r="W4024" s="17">
        <f>IF(O4024&gt;0,H4024/O4024,"")</f>
        <v/>
      </c>
    </row>
    <row r="4025">
      <c r="A4025" s="13" t="inlineStr">
        <is>
          <t>CW53_B3</t>
        </is>
      </c>
      <c r="B4025" s="13" t="inlineStr">
        <is>
          <t>CW53</t>
        </is>
      </c>
      <c r="C4025" s="13" t="inlineStr">
        <is>
          <t>B3</t>
        </is>
      </c>
      <c r="D4025" s="13" t="n">
        <v>0</v>
      </c>
      <c r="E4025" s="13" t="inlineStr">
        <is>
          <t>W</t>
        </is>
      </c>
      <c r="F4025" s="13" t="n">
        <v>2025</v>
      </c>
      <c r="G4025" s="14" t="n">
        <v>7806139.566981656</v>
      </c>
      <c r="H4025" s="14" t="n">
        <v>2842417.991948565</v>
      </c>
      <c r="I4025" s="14" t="n">
        <v>253329.7768085255</v>
      </c>
      <c r="J4025" s="14" t="n">
        <v>0</v>
      </c>
      <c r="K4025" s="14" t="n">
        <v>283380.2436281093</v>
      </c>
      <c r="L4025" s="14" t="n">
        <v>4427011.554596457</v>
      </c>
      <c r="M4025" s="14" t="n">
        <v>0</v>
      </c>
      <c r="N4025" s="14" t="n">
        <v>3018613.760119838</v>
      </c>
      <c r="O4025" s="14" t="n">
        <v>3487283.219793282</v>
      </c>
      <c r="P4025" s="14" t="n">
        <v>248641.2835369035</v>
      </c>
      <c r="Q4025" s="14" t="n">
        <v>15731086.1587116</v>
      </c>
      <c r="R4025" s="15">
        <f>IF(D4025=1,"Section 1","Control")</f>
        <v/>
      </c>
      <c r="S4025" s="16">
        <f>N4025/10000</f>
        <v/>
      </c>
      <c r="T4025" s="16">
        <f>P4025/10000</f>
        <v/>
      </c>
      <c r="U4025" s="15">
        <f>IF(N4025&gt;=Summary!$D$3,1,0)</f>
        <v/>
      </c>
      <c r="V4025" s="17">
        <f>IF(N4025&gt;0,P4025/N4025,"")</f>
        <v/>
      </c>
      <c r="W4025" s="17">
        <f>IF(O4025&gt;0,H4025/O4025,"")</f>
        <v/>
      </c>
    </row>
    <row r="4026">
      <c r="A4026" s="13" t="inlineStr">
        <is>
          <t>CW53_B3</t>
        </is>
      </c>
      <c r="B4026" s="13" t="inlineStr">
        <is>
          <t>CW53</t>
        </is>
      </c>
      <c r="C4026" s="13" t="inlineStr">
        <is>
          <t>B3</t>
        </is>
      </c>
      <c r="D4026" s="13" t="n">
        <v>0</v>
      </c>
      <c r="E4026" s="13" t="inlineStr">
        <is>
          <t>W</t>
        </is>
      </c>
      <c r="F4026" s="13" t="n">
        <v>2026</v>
      </c>
      <c r="G4026" s="14" t="n">
        <v>7806139.566981656</v>
      </c>
      <c r="H4026" s="14" t="n">
        <v>2899519.306237284</v>
      </c>
      <c r="I4026" s="14" t="n">
        <v>146022.2641372381</v>
      </c>
      <c r="J4026" s="14" t="n">
        <v>0</v>
      </c>
      <c r="K4026" s="14" t="n">
        <v>390044.1781759224</v>
      </c>
      <c r="L4026" s="14" t="n">
        <v>4370553.818431212</v>
      </c>
      <c r="M4026" s="14" t="n">
        <v>0</v>
      </c>
      <c r="N4026" s="14" t="n">
        <v>3018613.760119838</v>
      </c>
      <c r="O4026" s="14" t="n">
        <v>3487283.219793283</v>
      </c>
      <c r="P4026" s="14" t="n">
        <v>240435.299974868</v>
      </c>
      <c r="Q4026" s="14" t="n">
        <v>15731086.1587116</v>
      </c>
      <c r="R4026" s="15">
        <f>IF(D4026=1,"Section 1","Control")</f>
        <v/>
      </c>
      <c r="S4026" s="16">
        <f>N4026/10000</f>
        <v/>
      </c>
      <c r="T4026" s="16">
        <f>P4026/10000</f>
        <v/>
      </c>
      <c r="U4026" s="15">
        <f>IF(N4026&gt;=Summary!$D$3,1,0)</f>
        <v/>
      </c>
      <c r="V4026" s="17">
        <f>IF(N4026&gt;0,P4026/N4026,"")</f>
        <v/>
      </c>
      <c r="W4026" s="17">
        <f>IF(O4026&gt;0,H4026/O4026,"")</f>
        <v/>
      </c>
    </row>
    <row r="4027">
      <c r="A4027" s="13" t="inlineStr">
        <is>
          <t>CW53_F</t>
        </is>
      </c>
      <c r="B4027" s="13" t="inlineStr">
        <is>
          <t>CW53</t>
        </is>
      </c>
      <c r="C4027" s="13" t="inlineStr">
        <is>
          <t>F</t>
        </is>
      </c>
      <c r="D4027" s="13" t="n">
        <v>0</v>
      </c>
      <c r="E4027" s="13" t="inlineStr">
        <is>
          <t>W</t>
        </is>
      </c>
      <c r="F4027" s="13" t="n">
        <v>2020</v>
      </c>
      <c r="G4027" s="14" t="n">
        <v>67566.88562209184</v>
      </c>
      <c r="H4027" s="14" t="n">
        <v>52985.08796258065</v>
      </c>
      <c r="I4027" s="14" t="n">
        <v>828.1460479137945</v>
      </c>
      <c r="J4027" s="14" t="n">
        <v>0</v>
      </c>
      <c r="K4027" s="14" t="n">
        <v>13753.6516115974</v>
      </c>
      <c r="L4027" s="14" t="n">
        <v>0</v>
      </c>
      <c r="M4027" s="14" t="n">
        <v>0</v>
      </c>
      <c r="N4027" s="14" t="n">
        <v>52985.08796258065</v>
      </c>
      <c r="O4027" s="14" t="n">
        <v>67566.88562209184</v>
      </c>
      <c r="P4027" s="14" t="n">
        <v>0</v>
      </c>
      <c r="Q4027" s="14" t="n">
        <v>861692.7708840764</v>
      </c>
      <c r="R4027" s="15">
        <f>IF(D4027=1,"Section 1","Control")</f>
        <v/>
      </c>
      <c r="S4027" s="16">
        <f>N4027/10000</f>
        <v/>
      </c>
      <c r="T4027" s="16">
        <f>P4027/10000</f>
        <v/>
      </c>
      <c r="U4027" s="15">
        <f>IF(N4027&gt;=Summary!$D$3,1,0)</f>
        <v/>
      </c>
      <c r="V4027" s="17">
        <f>IF(N4027&gt;0,P4027/N4027,"")</f>
        <v/>
      </c>
      <c r="W4027" s="17">
        <f>IF(O4027&gt;0,H4027/O4027,"")</f>
        <v/>
      </c>
    </row>
    <row r="4028">
      <c r="A4028" s="13" t="inlineStr">
        <is>
          <t>CW53_F</t>
        </is>
      </c>
      <c r="B4028" s="13" t="inlineStr">
        <is>
          <t>CW53</t>
        </is>
      </c>
      <c r="C4028" s="13" t="inlineStr">
        <is>
          <t>F</t>
        </is>
      </c>
      <c r="D4028" s="13" t="n">
        <v>0</v>
      </c>
      <c r="E4028" s="13" t="inlineStr">
        <is>
          <t>W</t>
        </is>
      </c>
      <c r="F4028" s="13" t="n">
        <v>2021</v>
      </c>
      <c r="G4028" s="14" t="n">
        <v>67566.88562209184</v>
      </c>
      <c r="H4028" s="14" t="n">
        <v>52454.67212273092</v>
      </c>
      <c r="I4028" s="14" t="n">
        <v>717.4166010837928</v>
      </c>
      <c r="J4028" s="14" t="n">
        <v>0</v>
      </c>
      <c r="K4028" s="14" t="n">
        <v>14394.79689827713</v>
      </c>
      <c r="L4028" s="14" t="n">
        <v>0</v>
      </c>
      <c r="M4028" s="14" t="n">
        <v>0</v>
      </c>
      <c r="N4028" s="14" t="n">
        <v>52985.08796258066</v>
      </c>
      <c r="O4028" s="14" t="n">
        <v>67566.88562209184</v>
      </c>
      <c r="P4028" s="14" t="n">
        <v>653.9215055577895</v>
      </c>
      <c r="Q4028" s="14" t="n">
        <v>861692.7708840765</v>
      </c>
      <c r="R4028" s="15">
        <f>IF(D4028=1,"Section 1","Control")</f>
        <v/>
      </c>
      <c r="S4028" s="16">
        <f>N4028/10000</f>
        <v/>
      </c>
      <c r="T4028" s="16">
        <f>P4028/10000</f>
        <v/>
      </c>
      <c r="U4028" s="15">
        <f>IF(N4028&gt;=Summary!$D$3,1,0)</f>
        <v/>
      </c>
      <c r="V4028" s="17">
        <f>IF(N4028&gt;0,P4028/N4028,"")</f>
        <v/>
      </c>
      <c r="W4028" s="17">
        <f>IF(O4028&gt;0,H4028/O4028,"")</f>
        <v/>
      </c>
    </row>
    <row r="4029">
      <c r="A4029" s="13" t="inlineStr">
        <is>
          <t>CW53_F</t>
        </is>
      </c>
      <c r="B4029" s="13" t="inlineStr">
        <is>
          <t>CW53</t>
        </is>
      </c>
      <c r="C4029" s="13" t="inlineStr">
        <is>
          <t>F</t>
        </is>
      </c>
      <c r="D4029" s="13" t="n">
        <v>0</v>
      </c>
      <c r="E4029" s="13" t="inlineStr">
        <is>
          <t>W</t>
        </is>
      </c>
      <c r="F4029" s="13" t="n">
        <v>2022</v>
      </c>
      <c r="G4029" s="14" t="n">
        <v>67566.88562209184</v>
      </c>
      <c r="H4029" s="14" t="n">
        <v>49542.41661634257</v>
      </c>
      <c r="I4029" s="14" t="n">
        <v>2252.526030147777</v>
      </c>
      <c r="J4029" s="14" t="n">
        <v>0</v>
      </c>
      <c r="K4029" s="14" t="n">
        <v>15771.94297560149</v>
      </c>
      <c r="L4029" s="14" t="n">
        <v>0</v>
      </c>
      <c r="M4029" s="14" t="n">
        <v>0</v>
      </c>
      <c r="N4029" s="14" t="n">
        <v>52985.08796258065</v>
      </c>
      <c r="O4029" s="14" t="n">
        <v>67566.88562209184</v>
      </c>
      <c r="P4029" s="14" t="n">
        <v>3566.177011946136</v>
      </c>
      <c r="Q4029" s="14" t="n">
        <v>861692.7708840765</v>
      </c>
      <c r="R4029" s="15">
        <f>IF(D4029=1,"Section 1","Control")</f>
        <v/>
      </c>
      <c r="S4029" s="16">
        <f>N4029/10000</f>
        <v/>
      </c>
      <c r="T4029" s="16">
        <f>P4029/10000</f>
        <v/>
      </c>
      <c r="U4029" s="15">
        <f>IF(N4029&gt;=Summary!$D$3,1,0)</f>
        <v/>
      </c>
      <c r="V4029" s="17">
        <f>IF(N4029&gt;0,P4029/N4029,"")</f>
        <v/>
      </c>
      <c r="W4029" s="17">
        <f>IF(O4029&gt;0,H4029/O4029,"")</f>
        <v/>
      </c>
    </row>
    <row r="4030">
      <c r="A4030" s="13" t="inlineStr">
        <is>
          <t>CW53_F</t>
        </is>
      </c>
      <c r="B4030" s="13" t="inlineStr">
        <is>
          <t>CW53</t>
        </is>
      </c>
      <c r="C4030" s="13" t="inlineStr">
        <is>
          <t>F</t>
        </is>
      </c>
      <c r="D4030" s="13" t="n">
        <v>0</v>
      </c>
      <c r="E4030" s="13" t="inlineStr">
        <is>
          <t>W</t>
        </is>
      </c>
      <c r="F4030" s="13" t="n">
        <v>2023</v>
      </c>
      <c r="G4030" s="14" t="n">
        <v>67566.88562209184</v>
      </c>
      <c r="H4030" s="14" t="n">
        <v>49355.80301552566</v>
      </c>
      <c r="I4030" s="14" t="n">
        <v>3681.939345356062</v>
      </c>
      <c r="J4030" s="14" t="n">
        <v>0</v>
      </c>
      <c r="K4030" s="14" t="n">
        <v>14529.14326121012</v>
      </c>
      <c r="L4030" s="14" t="n">
        <v>0</v>
      </c>
      <c r="M4030" s="14" t="n">
        <v>0</v>
      </c>
      <c r="N4030" s="14" t="n">
        <v>52985.08796258066</v>
      </c>
      <c r="O4030" s="14" t="n">
        <v>67566.88562209184</v>
      </c>
      <c r="P4030" s="14" t="n">
        <v>3950.244821137074</v>
      </c>
      <c r="Q4030" s="14" t="n">
        <v>861692.7708840765</v>
      </c>
      <c r="R4030" s="15">
        <f>IF(D4030=1,"Section 1","Control")</f>
        <v/>
      </c>
      <c r="S4030" s="16">
        <f>N4030/10000</f>
        <v/>
      </c>
      <c r="T4030" s="16">
        <f>P4030/10000</f>
        <v/>
      </c>
      <c r="U4030" s="15">
        <f>IF(N4030&gt;=Summary!$D$3,1,0)</f>
        <v/>
      </c>
      <c r="V4030" s="17">
        <f>IF(N4030&gt;0,P4030/N4030,"")</f>
        <v/>
      </c>
      <c r="W4030" s="17">
        <f>IF(O4030&gt;0,H4030/O4030,"")</f>
        <v/>
      </c>
    </row>
    <row r="4031">
      <c r="A4031" s="13" t="inlineStr">
        <is>
          <t>CW53_F</t>
        </is>
      </c>
      <c r="B4031" s="13" t="inlineStr">
        <is>
          <t>CW53</t>
        </is>
      </c>
      <c r="C4031" s="13" t="inlineStr">
        <is>
          <t>F</t>
        </is>
      </c>
      <c r="D4031" s="13" t="n">
        <v>0</v>
      </c>
      <c r="E4031" s="13" t="inlineStr">
        <is>
          <t>W</t>
        </is>
      </c>
      <c r="F4031" s="13" t="n">
        <v>2024</v>
      </c>
      <c r="G4031" s="14" t="n">
        <v>67566.88562209184</v>
      </c>
      <c r="H4031" s="14" t="n">
        <v>51638.52781416949</v>
      </c>
      <c r="I4031" s="14" t="n">
        <v>751.8746652341357</v>
      </c>
      <c r="J4031" s="14" t="n">
        <v>0</v>
      </c>
      <c r="K4031" s="14" t="n">
        <v>15176.48314268822</v>
      </c>
      <c r="L4031" s="14" t="n">
        <v>0</v>
      </c>
      <c r="M4031" s="14" t="n">
        <v>0</v>
      </c>
      <c r="N4031" s="14" t="n">
        <v>52985.08796258066</v>
      </c>
      <c r="O4031" s="14" t="n">
        <v>67566.88562209184</v>
      </c>
      <c r="P4031" s="14" t="n">
        <v>3456.609353607776</v>
      </c>
      <c r="Q4031" s="14" t="n">
        <v>861692.7708840764</v>
      </c>
      <c r="R4031" s="15">
        <f>IF(D4031=1,"Section 1","Control")</f>
        <v/>
      </c>
      <c r="S4031" s="16">
        <f>N4031/10000</f>
        <v/>
      </c>
      <c r="T4031" s="16">
        <f>P4031/10000</f>
        <v/>
      </c>
      <c r="U4031" s="15">
        <f>IF(N4031&gt;=Summary!$D$3,1,0)</f>
        <v/>
      </c>
      <c r="V4031" s="17">
        <f>IF(N4031&gt;0,P4031/N4031,"")</f>
        <v/>
      </c>
      <c r="W4031" s="17">
        <f>IF(O4031&gt;0,H4031/O4031,"")</f>
        <v/>
      </c>
    </row>
    <row r="4032">
      <c r="A4032" s="13" t="inlineStr">
        <is>
          <t>CW53_F</t>
        </is>
      </c>
      <c r="B4032" s="13" t="inlineStr">
        <is>
          <t>CW53</t>
        </is>
      </c>
      <c r="C4032" s="13" t="inlineStr">
        <is>
          <t>F</t>
        </is>
      </c>
      <c r="D4032" s="13" t="n">
        <v>0</v>
      </c>
      <c r="E4032" s="13" t="inlineStr">
        <is>
          <t>W</t>
        </is>
      </c>
      <c r="F4032" s="13" t="n">
        <v>2025</v>
      </c>
      <c r="G4032" s="14" t="n">
        <v>67566.88562209184</v>
      </c>
      <c r="H4032" s="14" t="n">
        <v>50094.90087522618</v>
      </c>
      <c r="I4032" s="14" t="n">
        <v>4313.792840695848</v>
      </c>
      <c r="J4032" s="14" t="n">
        <v>0</v>
      </c>
      <c r="K4032" s="14" t="n">
        <v>13158.19190616982</v>
      </c>
      <c r="L4032" s="14" t="n">
        <v>0</v>
      </c>
      <c r="M4032" s="14" t="n">
        <v>0</v>
      </c>
      <c r="N4032" s="14" t="n">
        <v>52985.08796258066</v>
      </c>
      <c r="O4032" s="14" t="n">
        <v>67566.88562209184</v>
      </c>
      <c r="P4032" s="14" t="n">
        <v>4085.752631093942</v>
      </c>
      <c r="Q4032" s="14" t="n">
        <v>861692.7708840764</v>
      </c>
      <c r="R4032" s="15">
        <f>IF(D4032=1,"Section 1","Control")</f>
        <v/>
      </c>
      <c r="S4032" s="16">
        <f>N4032/10000</f>
        <v/>
      </c>
      <c r="T4032" s="16">
        <f>P4032/10000</f>
        <v/>
      </c>
      <c r="U4032" s="15">
        <f>IF(N4032&gt;=Summary!$D$3,1,0)</f>
        <v/>
      </c>
      <c r="V4032" s="17">
        <f>IF(N4032&gt;0,P4032/N4032,"")</f>
        <v/>
      </c>
      <c r="W4032" s="17">
        <f>IF(O4032&gt;0,H4032/O4032,"")</f>
        <v/>
      </c>
    </row>
    <row r="4033">
      <c r="A4033" s="13" t="inlineStr">
        <is>
          <t>CW53_F</t>
        </is>
      </c>
      <c r="B4033" s="13" t="inlineStr">
        <is>
          <t>CW53</t>
        </is>
      </c>
      <c r="C4033" s="13" t="inlineStr">
        <is>
          <t>F</t>
        </is>
      </c>
      <c r="D4033" s="13" t="n">
        <v>0</v>
      </c>
      <c r="E4033" s="13" t="inlineStr">
        <is>
          <t>W</t>
        </is>
      </c>
      <c r="F4033" s="13" t="n">
        <v>2026</v>
      </c>
      <c r="G4033" s="14" t="n">
        <v>67566.88562209184</v>
      </c>
      <c r="H4033" s="14" t="n">
        <v>51099.59391162348</v>
      </c>
      <c r="I4033" s="14" t="n">
        <v>1533.560963918649</v>
      </c>
      <c r="J4033" s="14" t="n">
        <v>0</v>
      </c>
      <c r="K4033" s="14" t="n">
        <v>14933.73074654972</v>
      </c>
      <c r="L4033" s="14" t="n">
        <v>0</v>
      </c>
      <c r="M4033" s="14" t="n">
        <v>0</v>
      </c>
      <c r="N4033" s="14" t="n">
        <v>52985.08796258066</v>
      </c>
      <c r="O4033" s="14" t="n">
        <v>67566.88562209184</v>
      </c>
      <c r="P4033" s="14" t="n">
        <v>3567.338918528837</v>
      </c>
      <c r="Q4033" s="14" t="n">
        <v>861692.7708840765</v>
      </c>
      <c r="R4033" s="15">
        <f>IF(D4033=1,"Section 1","Control")</f>
        <v/>
      </c>
      <c r="S4033" s="16">
        <f>N4033/10000</f>
        <v/>
      </c>
      <c r="T4033" s="16">
        <f>P4033/10000</f>
        <v/>
      </c>
      <c r="U4033" s="15">
        <f>IF(N4033&gt;=Summary!$D$3,1,0)</f>
        <v/>
      </c>
      <c r="V4033" s="17">
        <f>IF(N4033&gt;0,P4033/N4033,"")</f>
        <v/>
      </c>
      <c r="W4033" s="17">
        <f>IF(O4033&gt;0,H4033/O4033,"")</f>
        <v/>
      </c>
    </row>
    <row r="4034">
      <c r="A4034" s="13" t="inlineStr">
        <is>
          <t>CW54_B1</t>
        </is>
      </c>
      <c r="B4034" s="13" t="inlineStr">
        <is>
          <t>CW54</t>
        </is>
      </c>
      <c r="C4034" s="13" t="inlineStr">
        <is>
          <t>B1</t>
        </is>
      </c>
      <c r="D4034" s="13" t="n">
        <v>0</v>
      </c>
      <c r="E4034" s="13" t="inlineStr">
        <is>
          <t>W</t>
        </is>
      </c>
      <c r="F4034" s="13" t="n">
        <v>2020</v>
      </c>
      <c r="G4034" s="14" t="n">
        <v>1025849.181703365</v>
      </c>
      <c r="H4034" s="14" t="n">
        <v>127015.4884275848</v>
      </c>
      <c r="I4034" s="14" t="n">
        <v>191547.3769063014</v>
      </c>
      <c r="J4034" s="14" t="n">
        <v>0</v>
      </c>
      <c r="K4034" s="14" t="n">
        <v>113312.5391021729</v>
      </c>
      <c r="L4034" s="14" t="n">
        <v>593973.7772673066</v>
      </c>
      <c r="M4034" s="14" t="n">
        <v>0</v>
      </c>
      <c r="N4034" s="14" t="n">
        <v>127015.4884275848</v>
      </c>
      <c r="O4034" s="14" t="n">
        <v>431875.4044360589</v>
      </c>
      <c r="P4034" s="14" t="n">
        <v>0</v>
      </c>
      <c r="Q4034" s="14" t="n">
        <v>2707726.788306951</v>
      </c>
      <c r="R4034" s="15">
        <f>IF(D4034=1,"Section 1","Control")</f>
        <v/>
      </c>
      <c r="S4034" s="16">
        <f>N4034/10000</f>
        <v/>
      </c>
      <c r="T4034" s="16">
        <f>P4034/10000</f>
        <v/>
      </c>
      <c r="U4034" s="15">
        <f>IF(N4034&gt;=Summary!$D$3,1,0)</f>
        <v/>
      </c>
      <c r="V4034" s="17">
        <f>IF(N4034&gt;0,P4034/N4034,"")</f>
        <v/>
      </c>
      <c r="W4034" s="17">
        <f>IF(O4034&gt;0,H4034/O4034,"")</f>
        <v/>
      </c>
    </row>
    <row r="4035">
      <c r="A4035" s="13" t="inlineStr">
        <is>
          <t>CW54_B1</t>
        </is>
      </c>
      <c r="B4035" s="13" t="inlineStr">
        <is>
          <t>CW54</t>
        </is>
      </c>
      <c r="C4035" s="13" t="inlineStr">
        <is>
          <t>B1</t>
        </is>
      </c>
      <c r="D4035" s="13" t="n">
        <v>0</v>
      </c>
      <c r="E4035" s="13" t="inlineStr">
        <is>
          <t>W</t>
        </is>
      </c>
      <c r="F4035" s="13" t="n">
        <v>2021</v>
      </c>
      <c r="G4035" s="14" t="n">
        <v>1025849.181703365</v>
      </c>
      <c r="H4035" s="14" t="n">
        <v>122163.5550787832</v>
      </c>
      <c r="I4035" s="14" t="n">
        <v>199600.4112963808</v>
      </c>
      <c r="J4035" s="14" t="n">
        <v>0</v>
      </c>
      <c r="K4035" s="14" t="n">
        <v>108346.7675504797</v>
      </c>
      <c r="L4035" s="14" t="n">
        <v>595738.447777722</v>
      </c>
      <c r="M4035" s="14" t="n">
        <v>0</v>
      </c>
      <c r="N4035" s="14" t="n">
        <v>127015.4884275848</v>
      </c>
      <c r="O4035" s="14" t="n">
        <v>431875.4044360589</v>
      </c>
      <c r="P4035" s="14" t="n">
        <v>10501.04143042471</v>
      </c>
      <c r="Q4035" s="14" t="n">
        <v>2707726.788306951</v>
      </c>
      <c r="R4035" s="15">
        <f>IF(D4035=1,"Section 1","Control")</f>
        <v/>
      </c>
      <c r="S4035" s="16">
        <f>N4035/10000</f>
        <v/>
      </c>
      <c r="T4035" s="16">
        <f>P4035/10000</f>
        <v/>
      </c>
      <c r="U4035" s="15">
        <f>IF(N4035&gt;=Summary!$D$3,1,0)</f>
        <v/>
      </c>
      <c r="V4035" s="17">
        <f>IF(N4035&gt;0,P4035/N4035,"")</f>
        <v/>
      </c>
      <c r="W4035" s="17">
        <f>IF(O4035&gt;0,H4035/O4035,"")</f>
        <v/>
      </c>
    </row>
    <row r="4036">
      <c r="A4036" s="13" t="inlineStr">
        <is>
          <t>CW54_B1</t>
        </is>
      </c>
      <c r="B4036" s="13" t="inlineStr">
        <is>
          <t>CW54</t>
        </is>
      </c>
      <c r="C4036" s="13" t="inlineStr">
        <is>
          <t>B1</t>
        </is>
      </c>
      <c r="D4036" s="13" t="n">
        <v>0</v>
      </c>
      <c r="E4036" s="13" t="inlineStr">
        <is>
          <t>W</t>
        </is>
      </c>
      <c r="F4036" s="13" t="n">
        <v>2022</v>
      </c>
      <c r="G4036" s="14" t="n">
        <v>1025849.181703365</v>
      </c>
      <c r="H4036" s="14" t="n">
        <v>109873.8118307376</v>
      </c>
      <c r="I4036" s="14" t="n">
        <v>240018.1057469088</v>
      </c>
      <c r="J4036" s="14" t="n">
        <v>0</v>
      </c>
      <c r="K4036" s="14" t="n">
        <v>99855.0640082266</v>
      </c>
      <c r="L4036" s="14" t="n">
        <v>576102.2001174927</v>
      </c>
      <c r="M4036" s="14" t="n">
        <v>0</v>
      </c>
      <c r="N4036" s="14" t="n">
        <v>127015.4884275848</v>
      </c>
      <c r="O4036" s="14" t="n">
        <v>431875.4044360589</v>
      </c>
      <c r="P4036" s="14" t="n">
        <v>19313.66541978425</v>
      </c>
      <c r="Q4036" s="14" t="n">
        <v>2707726.788306951</v>
      </c>
      <c r="R4036" s="15">
        <f>IF(D4036=1,"Section 1","Control")</f>
        <v/>
      </c>
      <c r="S4036" s="16">
        <f>N4036/10000</f>
        <v/>
      </c>
      <c r="T4036" s="16">
        <f>P4036/10000</f>
        <v/>
      </c>
      <c r="U4036" s="15">
        <f>IF(N4036&gt;=Summary!$D$3,1,0)</f>
        <v/>
      </c>
      <c r="V4036" s="17">
        <f>IF(N4036&gt;0,P4036/N4036,"")</f>
        <v/>
      </c>
      <c r="W4036" s="17">
        <f>IF(O4036&gt;0,H4036/O4036,"")</f>
        <v/>
      </c>
    </row>
    <row r="4037">
      <c r="A4037" s="13" t="inlineStr">
        <is>
          <t>CW54_B1</t>
        </is>
      </c>
      <c r="B4037" s="13" t="inlineStr">
        <is>
          <t>CW54</t>
        </is>
      </c>
      <c r="C4037" s="13" t="inlineStr">
        <is>
          <t>B1</t>
        </is>
      </c>
      <c r="D4037" s="13" t="n">
        <v>0</v>
      </c>
      <c r="E4037" s="13" t="inlineStr">
        <is>
          <t>W</t>
        </is>
      </c>
      <c r="F4037" s="13" t="n">
        <v>2023</v>
      </c>
      <c r="G4037" s="14" t="n">
        <v>1025849.181703365</v>
      </c>
      <c r="H4037" s="14" t="n">
        <v>118594.2923542397</v>
      </c>
      <c r="I4037" s="14" t="n">
        <v>220822.040029219</v>
      </c>
      <c r="J4037" s="14" t="n">
        <v>0</v>
      </c>
      <c r="K4037" s="14" t="n">
        <v>82153.57994366814</v>
      </c>
      <c r="L4037" s="14" t="n">
        <v>604279.2693762388</v>
      </c>
      <c r="M4037" s="14" t="n">
        <v>0</v>
      </c>
      <c r="N4037" s="14" t="n">
        <v>127015.4884275848</v>
      </c>
      <c r="O4037" s="14" t="n">
        <v>431875.4044360588</v>
      </c>
      <c r="P4037" s="14" t="n">
        <v>15233.34373264687</v>
      </c>
      <c r="Q4037" s="14" t="n">
        <v>2707726.788306951</v>
      </c>
      <c r="R4037" s="15">
        <f>IF(D4037=1,"Section 1","Control")</f>
        <v/>
      </c>
      <c r="S4037" s="16">
        <f>N4037/10000</f>
        <v/>
      </c>
      <c r="T4037" s="16">
        <f>P4037/10000</f>
        <v/>
      </c>
      <c r="U4037" s="15">
        <f>IF(N4037&gt;=Summary!$D$3,1,0)</f>
        <v/>
      </c>
      <c r="V4037" s="17">
        <f>IF(N4037&gt;0,P4037/N4037,"")</f>
        <v/>
      </c>
      <c r="W4037" s="17">
        <f>IF(O4037&gt;0,H4037/O4037,"")</f>
        <v/>
      </c>
    </row>
    <row r="4038">
      <c r="A4038" s="13" t="inlineStr">
        <is>
          <t>CW54_B1</t>
        </is>
      </c>
      <c r="B4038" s="13" t="inlineStr">
        <is>
          <t>CW54</t>
        </is>
      </c>
      <c r="C4038" s="13" t="inlineStr">
        <is>
          <t>B1</t>
        </is>
      </c>
      <c r="D4038" s="13" t="n">
        <v>0</v>
      </c>
      <c r="E4038" s="13" t="inlineStr">
        <is>
          <t>W</t>
        </is>
      </c>
      <c r="F4038" s="13" t="n">
        <v>2024</v>
      </c>
      <c r="G4038" s="14" t="n">
        <v>1025849.181703365</v>
      </c>
      <c r="H4038" s="14" t="n">
        <v>150234.1117200963</v>
      </c>
      <c r="I4038" s="14" t="n">
        <v>186774.8389229569</v>
      </c>
      <c r="J4038" s="14" t="n">
        <v>0</v>
      </c>
      <c r="K4038" s="14" t="n">
        <v>93595.02015371884</v>
      </c>
      <c r="L4038" s="14" t="n">
        <v>595245.2109065936</v>
      </c>
      <c r="M4038" s="14" t="n">
        <v>0</v>
      </c>
      <c r="N4038" s="14" t="n">
        <v>127015.4884275848</v>
      </c>
      <c r="O4038" s="14" t="n">
        <v>431875.4044360589</v>
      </c>
      <c r="P4038" s="14" t="n">
        <v>10796.44641352635</v>
      </c>
      <c r="Q4038" s="14" t="n">
        <v>2707726.788306951</v>
      </c>
      <c r="R4038" s="15">
        <f>IF(D4038=1,"Section 1","Control")</f>
        <v/>
      </c>
      <c r="S4038" s="16">
        <f>N4038/10000</f>
        <v/>
      </c>
      <c r="T4038" s="16">
        <f>P4038/10000</f>
        <v/>
      </c>
      <c r="U4038" s="15">
        <f>IF(N4038&gt;=Summary!$D$3,1,0)</f>
        <v/>
      </c>
      <c r="V4038" s="17">
        <f>IF(N4038&gt;0,P4038/N4038,"")</f>
        <v/>
      </c>
      <c r="W4038" s="17">
        <f>IF(O4038&gt;0,H4038/O4038,"")</f>
        <v/>
      </c>
    </row>
    <row r="4039">
      <c r="A4039" s="13" t="inlineStr">
        <is>
          <t>CW54_B1</t>
        </is>
      </c>
      <c r="B4039" s="13" t="inlineStr">
        <is>
          <t>CW54</t>
        </is>
      </c>
      <c r="C4039" s="13" t="inlineStr">
        <is>
          <t>B1</t>
        </is>
      </c>
      <c r="D4039" s="13" t="n">
        <v>0</v>
      </c>
      <c r="E4039" s="13" t="inlineStr">
        <is>
          <t>W</t>
        </is>
      </c>
      <c r="F4039" s="13" t="n">
        <v>2025</v>
      </c>
      <c r="G4039" s="14" t="n">
        <v>1025849.181703365</v>
      </c>
      <c r="H4039" s="14" t="n">
        <v>126433.2035615809</v>
      </c>
      <c r="I4039" s="14" t="n">
        <v>213019.1172982608</v>
      </c>
      <c r="J4039" s="14" t="n">
        <v>0</v>
      </c>
      <c r="K4039" s="14" t="n">
        <v>80593.67532447366</v>
      </c>
      <c r="L4039" s="14" t="n">
        <v>605803.1855190502</v>
      </c>
      <c r="M4039" s="14" t="n">
        <v>0</v>
      </c>
      <c r="N4039" s="14" t="n">
        <v>127015.4884275848</v>
      </c>
      <c r="O4039" s="14" t="n">
        <v>431875.4044360589</v>
      </c>
      <c r="P4039" s="14" t="n">
        <v>15650.31937127207</v>
      </c>
      <c r="Q4039" s="14" t="n">
        <v>2707726.788306951</v>
      </c>
      <c r="R4039" s="15">
        <f>IF(D4039=1,"Section 1","Control")</f>
        <v/>
      </c>
      <c r="S4039" s="16">
        <f>N4039/10000</f>
        <v/>
      </c>
      <c r="T4039" s="16">
        <f>P4039/10000</f>
        <v/>
      </c>
      <c r="U4039" s="15">
        <f>IF(N4039&gt;=Summary!$D$3,1,0)</f>
        <v/>
      </c>
      <c r="V4039" s="17">
        <f>IF(N4039&gt;0,P4039/N4039,"")</f>
        <v/>
      </c>
      <c r="W4039" s="17">
        <f>IF(O4039&gt;0,H4039/O4039,"")</f>
        <v/>
      </c>
    </row>
    <row r="4040">
      <c r="A4040" s="13" t="inlineStr">
        <is>
          <t>CW54_B1</t>
        </is>
      </c>
      <c r="B4040" s="13" t="inlineStr">
        <is>
          <t>CW54</t>
        </is>
      </c>
      <c r="C4040" s="13" t="inlineStr">
        <is>
          <t>B1</t>
        </is>
      </c>
      <c r="D4040" s="13" t="n">
        <v>0</v>
      </c>
      <c r="E4040" s="13" t="inlineStr">
        <is>
          <t>W</t>
        </is>
      </c>
      <c r="F4040" s="13" t="n">
        <v>2026</v>
      </c>
      <c r="G4040" s="14" t="n">
        <v>1025849.181703365</v>
      </c>
      <c r="H4040" s="14" t="n">
        <v>142589.560396561</v>
      </c>
      <c r="I4040" s="14" t="n">
        <v>184441.7496063233</v>
      </c>
      <c r="J4040" s="14" t="n">
        <v>0</v>
      </c>
      <c r="K4040" s="14" t="n">
        <v>82625.51259535248</v>
      </c>
      <c r="L4040" s="14" t="n">
        <v>616192.359105129</v>
      </c>
      <c r="M4040" s="14" t="n">
        <v>0</v>
      </c>
      <c r="N4040" s="14" t="n">
        <v>127015.4884275848</v>
      </c>
      <c r="O4040" s="14" t="n">
        <v>431875.4044360589</v>
      </c>
      <c r="P4040" s="14" t="n">
        <v>14807.07672932943</v>
      </c>
      <c r="Q4040" s="14" t="n">
        <v>2707726.788306951</v>
      </c>
      <c r="R4040" s="15">
        <f>IF(D4040=1,"Section 1","Control")</f>
        <v/>
      </c>
      <c r="S4040" s="16">
        <f>N4040/10000</f>
        <v/>
      </c>
      <c r="T4040" s="16">
        <f>P4040/10000</f>
        <v/>
      </c>
      <c r="U4040" s="15">
        <f>IF(N4040&gt;=Summary!$D$3,1,0)</f>
        <v/>
      </c>
      <c r="V4040" s="17">
        <f>IF(N4040&gt;0,P4040/N4040,"")</f>
        <v/>
      </c>
      <c r="W4040" s="17">
        <f>IF(O4040&gt;0,H4040/O4040,"")</f>
        <v/>
      </c>
    </row>
    <row r="4041">
      <c r="A4041" s="13" t="inlineStr">
        <is>
          <t>CW54_B2</t>
        </is>
      </c>
      <c r="B4041" s="13" t="inlineStr">
        <is>
          <t>CW54</t>
        </is>
      </c>
      <c r="C4041" s="13" t="inlineStr">
        <is>
          <t>B2</t>
        </is>
      </c>
      <c r="D4041" s="13" t="n">
        <v>0</v>
      </c>
      <c r="E4041" s="13" t="inlineStr">
        <is>
          <t>W</t>
        </is>
      </c>
      <c r="F4041" s="13" t="n">
        <v>2020</v>
      </c>
      <c r="G4041" s="14" t="n">
        <v>1025782.881903764</v>
      </c>
      <c r="H4041" s="14" t="n">
        <v>372055.6366701909</v>
      </c>
      <c r="I4041" s="14" t="n">
        <v>197.451774597168</v>
      </c>
      <c r="J4041" s="14" t="n">
        <v>0</v>
      </c>
      <c r="K4041" s="14" t="n">
        <v>11804.48439717012</v>
      </c>
      <c r="L4041" s="14" t="n">
        <v>641725.3090618058</v>
      </c>
      <c r="M4041" s="14" t="n">
        <v>0</v>
      </c>
      <c r="N4041" s="14" t="n">
        <v>372055.6366701909</v>
      </c>
      <c r="O4041" s="14" t="n">
        <v>384057.5728419581</v>
      </c>
      <c r="P4041" s="14" t="n">
        <v>0</v>
      </c>
      <c r="Q4041" s="14" t="n">
        <v>2324612.612851012</v>
      </c>
      <c r="R4041" s="15">
        <f>IF(D4041=1,"Section 1","Control")</f>
        <v/>
      </c>
      <c r="S4041" s="16">
        <f>N4041/10000</f>
        <v/>
      </c>
      <c r="T4041" s="16">
        <f>P4041/10000</f>
        <v/>
      </c>
      <c r="U4041" s="15">
        <f>IF(N4041&gt;=Summary!$D$3,1,0)</f>
        <v/>
      </c>
      <c r="V4041" s="17">
        <f>IF(N4041&gt;0,P4041/N4041,"")</f>
        <v/>
      </c>
      <c r="W4041" s="17">
        <f>IF(O4041&gt;0,H4041/O4041,"")</f>
        <v/>
      </c>
    </row>
    <row r="4042">
      <c r="A4042" s="13" t="inlineStr">
        <is>
          <t>CW54_B2</t>
        </is>
      </c>
      <c r="B4042" s="13" t="inlineStr">
        <is>
          <t>CW54</t>
        </is>
      </c>
      <c r="C4042" s="13" t="inlineStr">
        <is>
          <t>B2</t>
        </is>
      </c>
      <c r="D4042" s="13" t="n">
        <v>0</v>
      </c>
      <c r="E4042" s="13" t="inlineStr">
        <is>
          <t>W</t>
        </is>
      </c>
      <c r="F4042" s="13" t="n">
        <v>2021</v>
      </c>
      <c r="G4042" s="14" t="n">
        <v>1025782.881903764</v>
      </c>
      <c r="H4042" s="14" t="n">
        <v>370772.2031145878</v>
      </c>
      <c r="I4042" s="14" t="n">
        <v>98.72593688964844</v>
      </c>
      <c r="J4042" s="14" t="n">
        <v>0</v>
      </c>
      <c r="K4042" s="14" t="n">
        <v>13188.19351387772</v>
      </c>
      <c r="L4042" s="14" t="n">
        <v>641723.7593384088</v>
      </c>
      <c r="M4042" s="14" t="n">
        <v>0</v>
      </c>
      <c r="N4042" s="14" t="n">
        <v>372055.6366701909</v>
      </c>
      <c r="O4042" s="14" t="n">
        <v>384057.5728419581</v>
      </c>
      <c r="P4042" s="14" t="n">
        <v>1283.433555603027</v>
      </c>
      <c r="Q4042" s="14" t="n">
        <v>2324612.612851012</v>
      </c>
      <c r="R4042" s="15">
        <f>IF(D4042=1,"Section 1","Control")</f>
        <v/>
      </c>
      <c r="S4042" s="16">
        <f>N4042/10000</f>
        <v/>
      </c>
      <c r="T4042" s="16">
        <f>P4042/10000</f>
        <v/>
      </c>
      <c r="U4042" s="15">
        <f>IF(N4042&gt;=Summary!$D$3,1,0)</f>
        <v/>
      </c>
      <c r="V4042" s="17">
        <f>IF(N4042&gt;0,P4042/N4042,"")</f>
        <v/>
      </c>
      <c r="W4042" s="17">
        <f>IF(O4042&gt;0,H4042/O4042,"")</f>
        <v/>
      </c>
    </row>
    <row r="4043">
      <c r="A4043" s="13" t="inlineStr">
        <is>
          <t>CW54_B2</t>
        </is>
      </c>
      <c r="B4043" s="13" t="inlineStr">
        <is>
          <t>CW54</t>
        </is>
      </c>
      <c r="C4043" s="13" t="inlineStr">
        <is>
          <t>B2</t>
        </is>
      </c>
      <c r="D4043" s="13" t="n">
        <v>0</v>
      </c>
      <c r="E4043" s="13" t="inlineStr">
        <is>
          <t>W</t>
        </is>
      </c>
      <c r="F4043" s="13" t="n">
        <v>2022</v>
      </c>
      <c r="G4043" s="14" t="n">
        <v>1025782.881903764</v>
      </c>
      <c r="H4043" s="14" t="n">
        <v>370217.0145474599</v>
      </c>
      <c r="I4043" s="14" t="n">
        <v>394.9032974243164</v>
      </c>
      <c r="J4043" s="14" t="n">
        <v>0</v>
      </c>
      <c r="K4043" s="14" t="n">
        <v>15452.687884701</v>
      </c>
      <c r="L4043" s="14" t="n">
        <v>639718.2761741787</v>
      </c>
      <c r="M4043" s="14" t="n">
        <v>0</v>
      </c>
      <c r="N4043" s="14" t="n">
        <v>372055.6366701909</v>
      </c>
      <c r="O4043" s="14" t="n">
        <v>384057.5728419581</v>
      </c>
      <c r="P4043" s="14" t="n">
        <v>1937.347449269014</v>
      </c>
      <c r="Q4043" s="14" t="n">
        <v>2324612.612851012</v>
      </c>
      <c r="R4043" s="15">
        <f>IF(D4043=1,"Section 1","Control")</f>
        <v/>
      </c>
      <c r="S4043" s="16">
        <f>N4043/10000</f>
        <v/>
      </c>
      <c r="T4043" s="16">
        <f>P4043/10000</f>
        <v/>
      </c>
      <c r="U4043" s="15">
        <f>IF(N4043&gt;=Summary!$D$3,1,0)</f>
        <v/>
      </c>
      <c r="V4043" s="17">
        <f>IF(N4043&gt;0,P4043/N4043,"")</f>
        <v/>
      </c>
      <c r="W4043" s="17">
        <f>IF(O4043&gt;0,H4043/O4043,"")</f>
        <v/>
      </c>
    </row>
    <row r="4044">
      <c r="A4044" s="13" t="inlineStr">
        <is>
          <t>CW54_B2</t>
        </is>
      </c>
      <c r="B4044" s="13" t="inlineStr">
        <is>
          <t>CW54</t>
        </is>
      </c>
      <c r="C4044" s="13" t="inlineStr">
        <is>
          <t>B2</t>
        </is>
      </c>
      <c r="D4044" s="13" t="n">
        <v>0</v>
      </c>
      <c r="E4044" s="13" t="inlineStr">
        <is>
          <t>W</t>
        </is>
      </c>
      <c r="F4044" s="13" t="n">
        <v>2023</v>
      </c>
      <c r="G4044" s="14" t="n">
        <v>1025782.881903764</v>
      </c>
      <c r="H4044" s="14" t="n">
        <v>369427.2080975698</v>
      </c>
      <c r="I4044" s="14" t="n">
        <v>98.72593688964844</v>
      </c>
      <c r="J4044" s="14" t="n">
        <v>0</v>
      </c>
      <c r="K4044" s="14" t="n">
        <v>11463.39871718463</v>
      </c>
      <c r="L4044" s="14" t="n">
        <v>644793.54915212</v>
      </c>
      <c r="M4044" s="14" t="n">
        <v>0</v>
      </c>
      <c r="N4044" s="14" t="n">
        <v>372055.6366701909</v>
      </c>
      <c r="O4044" s="14" t="n">
        <v>384057.5728419581</v>
      </c>
      <c r="P4044" s="14" t="n">
        <v>2628.428572621065</v>
      </c>
      <c r="Q4044" s="14" t="n">
        <v>2324612.612851012</v>
      </c>
      <c r="R4044" s="15">
        <f>IF(D4044=1,"Section 1","Control")</f>
        <v/>
      </c>
      <c r="S4044" s="16">
        <f>N4044/10000</f>
        <v/>
      </c>
      <c r="T4044" s="16">
        <f>P4044/10000</f>
        <v/>
      </c>
      <c r="U4044" s="15">
        <f>IF(N4044&gt;=Summary!$D$3,1,0)</f>
        <v/>
      </c>
      <c r="V4044" s="17">
        <f>IF(N4044&gt;0,P4044/N4044,"")</f>
        <v/>
      </c>
      <c r="W4044" s="17">
        <f>IF(O4044&gt;0,H4044/O4044,"")</f>
        <v/>
      </c>
    </row>
    <row r="4045">
      <c r="A4045" s="13" t="inlineStr">
        <is>
          <t>CW54_B2</t>
        </is>
      </c>
      <c r="B4045" s="13" t="inlineStr">
        <is>
          <t>CW54</t>
        </is>
      </c>
      <c r="C4045" s="13" t="inlineStr">
        <is>
          <t>B2</t>
        </is>
      </c>
      <c r="D4045" s="13" t="n">
        <v>0</v>
      </c>
      <c r="E4045" s="13" t="inlineStr">
        <is>
          <t>W</t>
        </is>
      </c>
      <c r="F4045" s="13" t="n">
        <v>2024</v>
      </c>
      <c r="G4045" s="14" t="n">
        <v>1025782.881903764</v>
      </c>
      <c r="H4045" s="14" t="n">
        <v>369328.4830075429</v>
      </c>
      <c r="I4045" s="14" t="n">
        <v>493.6286544799805</v>
      </c>
      <c r="J4045" s="14" t="n">
        <v>0</v>
      </c>
      <c r="K4045" s="14" t="n">
        <v>16602.16619292615</v>
      </c>
      <c r="L4045" s="14" t="n">
        <v>639358.6040488149</v>
      </c>
      <c r="M4045" s="14" t="n">
        <v>0</v>
      </c>
      <c r="N4045" s="14" t="n">
        <v>372055.6366701909</v>
      </c>
      <c r="O4045" s="14" t="n">
        <v>384057.5728419581</v>
      </c>
      <c r="P4045" s="14" t="n">
        <v>2825.879019703585</v>
      </c>
      <c r="Q4045" s="14" t="n">
        <v>2324612.612851012</v>
      </c>
      <c r="R4045" s="15">
        <f>IF(D4045=1,"Section 1","Control")</f>
        <v/>
      </c>
      <c r="S4045" s="16">
        <f>N4045/10000</f>
        <v/>
      </c>
      <c r="T4045" s="16">
        <f>P4045/10000</f>
        <v/>
      </c>
      <c r="U4045" s="15">
        <f>IF(N4045&gt;=Summary!$D$3,1,0)</f>
        <v/>
      </c>
      <c r="V4045" s="17">
        <f>IF(N4045&gt;0,P4045/N4045,"")</f>
        <v/>
      </c>
      <c r="W4045" s="17">
        <f>IF(O4045&gt;0,H4045/O4045,"")</f>
        <v/>
      </c>
    </row>
    <row r="4046">
      <c r="A4046" s="13" t="inlineStr">
        <is>
          <t>CW54_B2</t>
        </is>
      </c>
      <c r="B4046" s="13" t="inlineStr">
        <is>
          <t>CW54</t>
        </is>
      </c>
      <c r="C4046" s="13" t="inlineStr">
        <is>
          <t>B2</t>
        </is>
      </c>
      <c r="D4046" s="13" t="n">
        <v>0</v>
      </c>
      <c r="E4046" s="13" t="inlineStr">
        <is>
          <t>W</t>
        </is>
      </c>
      <c r="F4046" s="13" t="n">
        <v>2025</v>
      </c>
      <c r="G4046" s="14" t="n">
        <v>1025782.881903764</v>
      </c>
      <c r="H4046" s="14" t="n">
        <v>369366.422118512</v>
      </c>
      <c r="I4046" s="14" t="n">
        <v>493.6294631958008</v>
      </c>
      <c r="J4046" s="14" t="n">
        <v>0</v>
      </c>
      <c r="K4046" s="14" t="n">
        <v>11651.56054199817</v>
      </c>
      <c r="L4046" s="14" t="n">
        <v>644271.2697800579</v>
      </c>
      <c r="M4046" s="14" t="n">
        <v>0</v>
      </c>
      <c r="N4046" s="14" t="n">
        <v>372055.6366701909</v>
      </c>
      <c r="O4046" s="14" t="n">
        <v>384057.5728419581</v>
      </c>
      <c r="P4046" s="14" t="n">
        <v>2985.390561810662</v>
      </c>
      <c r="Q4046" s="14" t="n">
        <v>2324612.612851012</v>
      </c>
      <c r="R4046" s="15">
        <f>IF(D4046=1,"Section 1","Control")</f>
        <v/>
      </c>
      <c r="S4046" s="16">
        <f>N4046/10000</f>
        <v/>
      </c>
      <c r="T4046" s="16">
        <f>P4046/10000</f>
        <v/>
      </c>
      <c r="U4046" s="15">
        <f>IF(N4046&gt;=Summary!$D$3,1,0)</f>
        <v/>
      </c>
      <c r="V4046" s="17">
        <f>IF(N4046&gt;0,P4046/N4046,"")</f>
        <v/>
      </c>
      <c r="W4046" s="17">
        <f>IF(O4046&gt;0,H4046/O4046,"")</f>
        <v/>
      </c>
    </row>
    <row r="4047">
      <c r="A4047" s="13" t="inlineStr">
        <is>
          <t>CW54_B2</t>
        </is>
      </c>
      <c r="B4047" s="13" t="inlineStr">
        <is>
          <t>CW54</t>
        </is>
      </c>
      <c r="C4047" s="13" t="inlineStr">
        <is>
          <t>B2</t>
        </is>
      </c>
      <c r="D4047" s="13" t="n">
        <v>0</v>
      </c>
      <c r="E4047" s="13" t="inlineStr">
        <is>
          <t>W</t>
        </is>
      </c>
      <c r="F4047" s="13" t="n">
        <v>2026</v>
      </c>
      <c r="G4047" s="14" t="n">
        <v>1025782.881903764</v>
      </c>
      <c r="H4047" s="14" t="n">
        <v>368490.667844974</v>
      </c>
      <c r="I4047" s="14" t="n">
        <v>197.4517211914062</v>
      </c>
      <c r="J4047" s="14" t="n">
        <v>0</v>
      </c>
      <c r="K4047" s="14" t="n">
        <v>11951.99651228961</v>
      </c>
      <c r="L4047" s="14" t="n">
        <v>645142.7658253089</v>
      </c>
      <c r="M4047" s="14" t="n">
        <v>0</v>
      </c>
      <c r="N4047" s="14" t="n">
        <v>372055.6366701909</v>
      </c>
      <c r="O4047" s="14" t="n">
        <v>384057.5728419581</v>
      </c>
      <c r="P4047" s="14" t="n">
        <v>3564.968825216854</v>
      </c>
      <c r="Q4047" s="14" t="n">
        <v>2324612.612851012</v>
      </c>
      <c r="R4047" s="15">
        <f>IF(D4047=1,"Section 1","Control")</f>
        <v/>
      </c>
      <c r="S4047" s="16">
        <f>N4047/10000</f>
        <v/>
      </c>
      <c r="T4047" s="16">
        <f>P4047/10000</f>
        <v/>
      </c>
      <c r="U4047" s="15">
        <f>IF(N4047&gt;=Summary!$D$3,1,0)</f>
        <v/>
      </c>
      <c r="V4047" s="17">
        <f>IF(N4047&gt;0,P4047/N4047,"")</f>
        <v/>
      </c>
      <c r="W4047" s="17">
        <f>IF(O4047&gt;0,H4047/O4047,"")</f>
        <v/>
      </c>
    </row>
    <row r="4048">
      <c r="A4048" s="13" t="inlineStr">
        <is>
          <t>CW54_B3</t>
        </is>
      </c>
      <c r="B4048" s="13" t="inlineStr">
        <is>
          <t>CW54</t>
        </is>
      </c>
      <c r="C4048" s="13" t="inlineStr">
        <is>
          <t>B3</t>
        </is>
      </c>
      <c r="D4048" s="13" t="n">
        <v>0</v>
      </c>
      <c r="E4048" s="13" t="inlineStr">
        <is>
          <t>W</t>
        </is>
      </c>
      <c r="F4048" s="13" t="n">
        <v>2020</v>
      </c>
      <c r="G4048" s="14" t="n">
        <v>8205443.038317932</v>
      </c>
      <c r="H4048" s="14" t="n">
        <v>3608615.688021491</v>
      </c>
      <c r="I4048" s="14" t="n">
        <v>85718.31019592285</v>
      </c>
      <c r="J4048" s="14" t="n">
        <v>0</v>
      </c>
      <c r="K4048" s="14" t="n">
        <v>272704.4631587908</v>
      </c>
      <c r="L4048" s="14" t="n">
        <v>4238404.576941726</v>
      </c>
      <c r="M4048" s="14" t="n">
        <v>0</v>
      </c>
      <c r="N4048" s="14" t="n">
        <v>3608615.688021491</v>
      </c>
      <c r="O4048" s="14" t="n">
        <v>3967038.461376205</v>
      </c>
      <c r="P4048" s="14" t="n">
        <v>0</v>
      </c>
      <c r="Q4048" s="14" t="n">
        <v>15993240.56252124</v>
      </c>
      <c r="R4048" s="15">
        <f>IF(D4048=1,"Section 1","Control")</f>
        <v/>
      </c>
      <c r="S4048" s="16">
        <f>N4048/10000</f>
        <v/>
      </c>
      <c r="T4048" s="16">
        <f>P4048/10000</f>
        <v/>
      </c>
      <c r="U4048" s="15">
        <f>IF(N4048&gt;=Summary!$D$3,1,0)</f>
        <v/>
      </c>
      <c r="V4048" s="17">
        <f>IF(N4048&gt;0,P4048/N4048,"")</f>
        <v/>
      </c>
      <c r="W4048" s="17">
        <f>IF(O4048&gt;0,H4048/O4048,"")</f>
        <v/>
      </c>
    </row>
    <row r="4049">
      <c r="A4049" s="13" t="inlineStr">
        <is>
          <t>CW54_B3</t>
        </is>
      </c>
      <c r="B4049" s="13" t="inlineStr">
        <is>
          <t>CW54</t>
        </is>
      </c>
      <c r="C4049" s="13" t="inlineStr">
        <is>
          <t>B3</t>
        </is>
      </c>
      <c r="D4049" s="13" t="n">
        <v>0</v>
      </c>
      <c r="E4049" s="13" t="inlineStr">
        <is>
          <t>W</t>
        </is>
      </c>
      <c r="F4049" s="13" t="n">
        <v>2021</v>
      </c>
      <c r="G4049" s="14" t="n">
        <v>8205443.038317932</v>
      </c>
      <c r="H4049" s="14" t="n">
        <v>3517977.154234822</v>
      </c>
      <c r="I4049" s="14" t="n">
        <v>138484.0917765599</v>
      </c>
      <c r="J4049" s="14" t="n">
        <v>0</v>
      </c>
      <c r="K4049" s="14" t="n">
        <v>277292.0136213117</v>
      </c>
      <c r="L4049" s="14" t="n">
        <v>4271689.778685236</v>
      </c>
      <c r="M4049" s="14" t="n">
        <v>0</v>
      </c>
      <c r="N4049" s="14" t="n">
        <v>3608615.688021491</v>
      </c>
      <c r="O4049" s="14" t="n">
        <v>3967038.461376205</v>
      </c>
      <c r="P4049" s="14" t="n">
        <v>117572.0138009464</v>
      </c>
      <c r="Q4049" s="14" t="n">
        <v>15993240.56252124</v>
      </c>
      <c r="R4049" s="15">
        <f>IF(D4049=1,"Section 1","Control")</f>
        <v/>
      </c>
      <c r="S4049" s="16">
        <f>N4049/10000</f>
        <v/>
      </c>
      <c r="T4049" s="16">
        <f>P4049/10000</f>
        <v/>
      </c>
      <c r="U4049" s="15">
        <f>IF(N4049&gt;=Summary!$D$3,1,0)</f>
        <v/>
      </c>
      <c r="V4049" s="17">
        <f>IF(N4049&gt;0,P4049/N4049,"")</f>
        <v/>
      </c>
      <c r="W4049" s="17">
        <f>IF(O4049&gt;0,H4049/O4049,"")</f>
        <v/>
      </c>
    </row>
    <row r="4050">
      <c r="A4050" s="13" t="inlineStr">
        <is>
          <t>CW54_B3</t>
        </is>
      </c>
      <c r="B4050" s="13" t="inlineStr">
        <is>
          <t>CW54</t>
        </is>
      </c>
      <c r="C4050" s="13" t="inlineStr">
        <is>
          <t>B3</t>
        </is>
      </c>
      <c r="D4050" s="13" t="n">
        <v>0</v>
      </c>
      <c r="E4050" s="13" t="inlineStr">
        <is>
          <t>W</t>
        </is>
      </c>
      <c r="F4050" s="13" t="n">
        <v>2022</v>
      </c>
      <c r="G4050" s="14" t="n">
        <v>8205443.038317932</v>
      </c>
      <c r="H4050" s="14" t="n">
        <v>3494491.493369308</v>
      </c>
      <c r="I4050" s="14" t="n">
        <v>146975.2903829836</v>
      </c>
      <c r="J4050" s="14" t="n">
        <v>0</v>
      </c>
      <c r="K4050" s="14" t="n">
        <v>407592.9246926701</v>
      </c>
      <c r="L4050" s="14" t="n">
        <v>4156383.329872969</v>
      </c>
      <c r="M4050" s="14" t="n">
        <v>0</v>
      </c>
      <c r="N4050" s="14" t="n">
        <v>3608615.688021491</v>
      </c>
      <c r="O4050" s="14" t="n">
        <v>3967038.461376205</v>
      </c>
      <c r="P4050" s="14" t="n">
        <v>144391.6900800219</v>
      </c>
      <c r="Q4050" s="14" t="n">
        <v>15993240.56252124</v>
      </c>
      <c r="R4050" s="15">
        <f>IF(D4050=1,"Section 1","Control")</f>
        <v/>
      </c>
      <c r="S4050" s="16">
        <f>N4050/10000</f>
        <v/>
      </c>
      <c r="T4050" s="16">
        <f>P4050/10000</f>
        <v/>
      </c>
      <c r="U4050" s="15">
        <f>IF(N4050&gt;=Summary!$D$3,1,0)</f>
        <v/>
      </c>
      <c r="V4050" s="17">
        <f>IF(N4050&gt;0,P4050/N4050,"")</f>
        <v/>
      </c>
      <c r="W4050" s="17">
        <f>IF(O4050&gt;0,H4050/O4050,"")</f>
        <v/>
      </c>
    </row>
    <row r="4051">
      <c r="A4051" s="13" t="inlineStr">
        <is>
          <t>CW54_B3</t>
        </is>
      </c>
      <c r="B4051" s="13" t="inlineStr">
        <is>
          <t>CW54</t>
        </is>
      </c>
      <c r="C4051" s="13" t="inlineStr">
        <is>
          <t>B3</t>
        </is>
      </c>
      <c r="D4051" s="13" t="n">
        <v>0</v>
      </c>
      <c r="E4051" s="13" t="inlineStr">
        <is>
          <t>W</t>
        </is>
      </c>
      <c r="F4051" s="13" t="n">
        <v>2023</v>
      </c>
      <c r="G4051" s="14" t="n">
        <v>8205443.038317932</v>
      </c>
      <c r="H4051" s="14" t="n">
        <v>3503747.441941504</v>
      </c>
      <c r="I4051" s="14" t="n">
        <v>83024.26173595354</v>
      </c>
      <c r="J4051" s="14" t="n">
        <v>0</v>
      </c>
      <c r="K4051" s="14" t="n">
        <v>337497.5149553786</v>
      </c>
      <c r="L4051" s="14" t="n">
        <v>4281173.819685095</v>
      </c>
      <c r="M4051" s="14" t="n">
        <v>0</v>
      </c>
      <c r="N4051" s="14" t="n">
        <v>3608615.688021491</v>
      </c>
      <c r="O4051" s="14" t="n">
        <v>3967038.461376205</v>
      </c>
      <c r="P4051" s="14" t="n">
        <v>147641.5217321957</v>
      </c>
      <c r="Q4051" s="14" t="n">
        <v>15993240.56252124</v>
      </c>
      <c r="R4051" s="15">
        <f>IF(D4051=1,"Section 1","Control")</f>
        <v/>
      </c>
      <c r="S4051" s="16">
        <f>N4051/10000</f>
        <v/>
      </c>
      <c r="T4051" s="16">
        <f>P4051/10000</f>
        <v/>
      </c>
      <c r="U4051" s="15">
        <f>IF(N4051&gt;=Summary!$D$3,1,0)</f>
        <v/>
      </c>
      <c r="V4051" s="17">
        <f>IF(N4051&gt;0,P4051/N4051,"")</f>
        <v/>
      </c>
      <c r="W4051" s="17">
        <f>IF(O4051&gt;0,H4051/O4051,"")</f>
        <v/>
      </c>
    </row>
    <row r="4052">
      <c r="A4052" s="13" t="inlineStr">
        <is>
          <t>CW54_B3</t>
        </is>
      </c>
      <c r="B4052" s="13" t="inlineStr">
        <is>
          <t>CW54</t>
        </is>
      </c>
      <c r="C4052" s="13" t="inlineStr">
        <is>
          <t>B3</t>
        </is>
      </c>
      <c r="D4052" s="13" t="n">
        <v>0</v>
      </c>
      <c r="E4052" s="13" t="inlineStr">
        <is>
          <t>W</t>
        </is>
      </c>
      <c r="F4052" s="13" t="n">
        <v>2024</v>
      </c>
      <c r="G4052" s="14" t="n">
        <v>8205443.038317932</v>
      </c>
      <c r="H4052" s="14" t="n">
        <v>3471600.567277078</v>
      </c>
      <c r="I4052" s="14" t="n">
        <v>140609.169577146</v>
      </c>
      <c r="J4052" s="14" t="n">
        <v>0</v>
      </c>
      <c r="K4052" s="14" t="n">
        <v>376902.211014542</v>
      </c>
      <c r="L4052" s="14" t="n">
        <v>4216331.090449165</v>
      </c>
      <c r="M4052" s="14" t="n">
        <v>0</v>
      </c>
      <c r="N4052" s="14" t="n">
        <v>3608615.688021491</v>
      </c>
      <c r="O4052" s="14" t="n">
        <v>3967038.461376205</v>
      </c>
      <c r="P4052" s="14" t="n">
        <v>180089.4002070109</v>
      </c>
      <c r="Q4052" s="14" t="n">
        <v>15993240.56252124</v>
      </c>
      <c r="R4052" s="15">
        <f>IF(D4052=1,"Section 1","Control")</f>
        <v/>
      </c>
      <c r="S4052" s="16">
        <f>N4052/10000</f>
        <v/>
      </c>
      <c r="T4052" s="16">
        <f>P4052/10000</f>
        <v/>
      </c>
      <c r="U4052" s="15">
        <f>IF(N4052&gt;=Summary!$D$3,1,0)</f>
        <v/>
      </c>
      <c r="V4052" s="17">
        <f>IF(N4052&gt;0,P4052/N4052,"")</f>
        <v/>
      </c>
      <c r="W4052" s="17">
        <f>IF(O4052&gt;0,H4052/O4052,"")</f>
        <v/>
      </c>
    </row>
    <row r="4053">
      <c r="A4053" s="13" t="inlineStr">
        <is>
          <t>CW54_B3</t>
        </is>
      </c>
      <c r="B4053" s="13" t="inlineStr">
        <is>
          <t>CW54</t>
        </is>
      </c>
      <c r="C4053" s="13" t="inlineStr">
        <is>
          <t>B3</t>
        </is>
      </c>
      <c r="D4053" s="13" t="n">
        <v>0</v>
      </c>
      <c r="E4053" s="13" t="inlineStr">
        <is>
          <t>W</t>
        </is>
      </c>
      <c r="F4053" s="13" t="n">
        <v>2025</v>
      </c>
      <c r="G4053" s="14" t="n">
        <v>8205443.038317932</v>
      </c>
      <c r="H4053" s="14" t="n">
        <v>3428698.644174104</v>
      </c>
      <c r="I4053" s="14" t="n">
        <v>178638.191479552</v>
      </c>
      <c r="J4053" s="14" t="n">
        <v>0</v>
      </c>
      <c r="K4053" s="14" t="n">
        <v>273247.5847335218</v>
      </c>
      <c r="L4053" s="14" t="n">
        <v>4324858.617930752</v>
      </c>
      <c r="M4053" s="14" t="n">
        <v>0</v>
      </c>
      <c r="N4053" s="14" t="n">
        <v>3608615.688021491</v>
      </c>
      <c r="O4053" s="14" t="n">
        <v>3967038.461376205</v>
      </c>
      <c r="P4053" s="14" t="n">
        <v>216083.5729741116</v>
      </c>
      <c r="Q4053" s="14" t="n">
        <v>15993240.56252124</v>
      </c>
      <c r="R4053" s="15">
        <f>IF(D4053=1,"Section 1","Control")</f>
        <v/>
      </c>
      <c r="S4053" s="16">
        <f>N4053/10000</f>
        <v/>
      </c>
      <c r="T4053" s="16">
        <f>P4053/10000</f>
        <v/>
      </c>
      <c r="U4053" s="15">
        <f>IF(N4053&gt;=Summary!$D$3,1,0)</f>
        <v/>
      </c>
      <c r="V4053" s="17">
        <f>IF(N4053&gt;0,P4053/N4053,"")</f>
        <v/>
      </c>
      <c r="W4053" s="17">
        <f>IF(O4053&gt;0,H4053/O4053,"")</f>
        <v/>
      </c>
    </row>
    <row r="4054">
      <c r="A4054" s="13" t="inlineStr">
        <is>
          <t>CW54_B3</t>
        </is>
      </c>
      <c r="B4054" s="13" t="inlineStr">
        <is>
          <t>CW54</t>
        </is>
      </c>
      <c r="C4054" s="13" t="inlineStr">
        <is>
          <t>B3</t>
        </is>
      </c>
      <c r="D4054" s="13" t="n">
        <v>0</v>
      </c>
      <c r="E4054" s="13" t="inlineStr">
        <is>
          <t>W</t>
        </is>
      </c>
      <c r="F4054" s="13" t="n">
        <v>2026</v>
      </c>
      <c r="G4054" s="14" t="n">
        <v>8205443.038317932</v>
      </c>
      <c r="H4054" s="14" t="n">
        <v>3429616.239527744</v>
      </c>
      <c r="I4054" s="14" t="n">
        <v>133081.5188029869</v>
      </c>
      <c r="J4054" s="14" t="n">
        <v>0</v>
      </c>
      <c r="K4054" s="14" t="n">
        <v>342424.8678494922</v>
      </c>
      <c r="L4054" s="14" t="n">
        <v>4300320.412137708</v>
      </c>
      <c r="M4054" s="14" t="n">
        <v>0</v>
      </c>
      <c r="N4054" s="14" t="n">
        <v>3608615.688021491</v>
      </c>
      <c r="O4054" s="14" t="n">
        <v>3967038.461376205</v>
      </c>
      <c r="P4054" s="14" t="n">
        <v>228706.4305720012</v>
      </c>
      <c r="Q4054" s="14" t="n">
        <v>15993240.56252124</v>
      </c>
      <c r="R4054" s="15">
        <f>IF(D4054=1,"Section 1","Control")</f>
        <v/>
      </c>
      <c r="S4054" s="16">
        <f>N4054/10000</f>
        <v/>
      </c>
      <c r="T4054" s="16">
        <f>P4054/10000</f>
        <v/>
      </c>
      <c r="U4054" s="15">
        <f>IF(N4054&gt;=Summary!$D$3,1,0)</f>
        <v/>
      </c>
      <c r="V4054" s="17">
        <f>IF(N4054&gt;0,P4054/N4054,"")</f>
        <v/>
      </c>
      <c r="W4054" s="17">
        <f>IF(O4054&gt;0,H4054/O4054,"")</f>
        <v/>
      </c>
    </row>
    <row r="4055">
      <c r="A4055" s="13" t="inlineStr">
        <is>
          <t>CW54_F</t>
        </is>
      </c>
      <c r="B4055" s="13" t="inlineStr">
        <is>
          <t>CW54</t>
        </is>
      </c>
      <c r="C4055" s="13" t="inlineStr">
        <is>
          <t>F</t>
        </is>
      </c>
      <c r="D4055" s="13" t="n">
        <v>0</v>
      </c>
      <c r="E4055" s="13" t="inlineStr">
        <is>
          <t>W</t>
        </is>
      </c>
      <c r="F4055" s="13" t="n">
        <v>2020</v>
      </c>
      <c r="G4055" s="14" t="n">
        <v>71037.79331802666</v>
      </c>
      <c r="H4055" s="14" t="n">
        <v>30263.51918595258</v>
      </c>
      <c r="I4055" s="14" t="n">
        <v>1360.109906783758</v>
      </c>
      <c r="J4055" s="14" t="n">
        <v>0</v>
      </c>
      <c r="K4055" s="14" t="n">
        <v>39414.16422529033</v>
      </c>
      <c r="L4055" s="14" t="n">
        <v>0</v>
      </c>
      <c r="M4055" s="14" t="n">
        <v>0</v>
      </c>
      <c r="N4055" s="14" t="n">
        <v>30263.51918595258</v>
      </c>
      <c r="O4055" s="14" t="n">
        <v>71037.79331802666</v>
      </c>
      <c r="P4055" s="14" t="n">
        <v>0</v>
      </c>
      <c r="Q4055" s="14" t="n">
        <v>926959.548616536</v>
      </c>
      <c r="R4055" s="15">
        <f>IF(D4055=1,"Section 1","Control")</f>
        <v/>
      </c>
      <c r="S4055" s="16">
        <f>N4055/10000</f>
        <v/>
      </c>
      <c r="T4055" s="16">
        <f>P4055/10000</f>
        <v/>
      </c>
      <c r="U4055" s="15">
        <f>IF(N4055&gt;=Summary!$D$3,1,0)</f>
        <v/>
      </c>
      <c r="V4055" s="17">
        <f>IF(N4055&gt;0,P4055/N4055,"")</f>
        <v/>
      </c>
      <c r="W4055" s="17">
        <f>IF(O4055&gt;0,H4055/O4055,"")</f>
        <v/>
      </c>
    </row>
    <row r="4056">
      <c r="A4056" s="13" t="inlineStr">
        <is>
          <t>CW54_F</t>
        </is>
      </c>
      <c r="B4056" s="13" t="inlineStr">
        <is>
          <t>CW54</t>
        </is>
      </c>
      <c r="C4056" s="13" t="inlineStr">
        <is>
          <t>F</t>
        </is>
      </c>
      <c r="D4056" s="13" t="n">
        <v>0</v>
      </c>
      <c r="E4056" s="13" t="inlineStr">
        <is>
          <t>W</t>
        </is>
      </c>
      <c r="F4056" s="13" t="n">
        <v>2021</v>
      </c>
      <c r="G4056" s="14" t="n">
        <v>71037.79331802666</v>
      </c>
      <c r="H4056" s="14" t="n">
        <v>28291.68846262016</v>
      </c>
      <c r="I4056" s="14" t="n">
        <v>574.9397625493068</v>
      </c>
      <c r="J4056" s="14" t="n">
        <v>0</v>
      </c>
      <c r="K4056" s="14" t="n">
        <v>42171.16509285719</v>
      </c>
      <c r="L4056" s="14" t="n">
        <v>0</v>
      </c>
      <c r="M4056" s="14" t="n">
        <v>0</v>
      </c>
      <c r="N4056" s="14" t="n">
        <v>30263.51918595258</v>
      </c>
      <c r="O4056" s="14" t="n">
        <v>71037.79331802666</v>
      </c>
      <c r="P4056" s="14" t="n">
        <v>2640.851445306516</v>
      </c>
      <c r="Q4056" s="14" t="n">
        <v>926959.5486165362</v>
      </c>
      <c r="R4056" s="15">
        <f>IF(D4056=1,"Section 1","Control")</f>
        <v/>
      </c>
      <c r="S4056" s="16">
        <f>N4056/10000</f>
        <v/>
      </c>
      <c r="T4056" s="16">
        <f>P4056/10000</f>
        <v/>
      </c>
      <c r="U4056" s="15">
        <f>IF(N4056&gt;=Summary!$D$3,1,0)</f>
        <v/>
      </c>
      <c r="V4056" s="17">
        <f>IF(N4056&gt;0,P4056/N4056,"")</f>
        <v/>
      </c>
      <c r="W4056" s="17">
        <f>IF(O4056&gt;0,H4056/O4056,"")</f>
        <v/>
      </c>
    </row>
    <row r="4057">
      <c r="A4057" s="13" t="inlineStr">
        <is>
          <t>CW54_F</t>
        </is>
      </c>
      <c r="B4057" s="13" t="inlineStr">
        <is>
          <t>CW54</t>
        </is>
      </c>
      <c r="C4057" s="13" t="inlineStr">
        <is>
          <t>F</t>
        </is>
      </c>
      <c r="D4057" s="13" t="n">
        <v>0</v>
      </c>
      <c r="E4057" s="13" t="inlineStr">
        <is>
          <t>W</t>
        </is>
      </c>
      <c r="F4057" s="13" t="n">
        <v>2022</v>
      </c>
      <c r="G4057" s="14" t="n">
        <v>71037.79331802666</v>
      </c>
      <c r="H4057" s="14" t="n">
        <v>26500.27672184963</v>
      </c>
      <c r="I4057" s="14" t="n">
        <v>3551.075982905369</v>
      </c>
      <c r="J4057" s="14" t="n">
        <v>0</v>
      </c>
      <c r="K4057" s="14" t="n">
        <v>40986.44061327166</v>
      </c>
      <c r="L4057" s="14" t="n">
        <v>0</v>
      </c>
      <c r="M4057" s="14" t="n">
        <v>0</v>
      </c>
      <c r="N4057" s="14" t="n">
        <v>30263.51918595258</v>
      </c>
      <c r="O4057" s="14" t="n">
        <v>71037.79331802666</v>
      </c>
      <c r="P4057" s="14" t="n">
        <v>3763.242464102951</v>
      </c>
      <c r="Q4057" s="14" t="n">
        <v>926959.548616536</v>
      </c>
      <c r="R4057" s="15">
        <f>IF(D4057=1,"Section 1","Control")</f>
        <v/>
      </c>
      <c r="S4057" s="16">
        <f>N4057/10000</f>
        <v/>
      </c>
      <c r="T4057" s="16">
        <f>P4057/10000</f>
        <v/>
      </c>
      <c r="U4057" s="15">
        <f>IF(N4057&gt;=Summary!$D$3,1,0)</f>
        <v/>
      </c>
      <c r="V4057" s="17">
        <f>IF(N4057&gt;0,P4057/N4057,"")</f>
        <v/>
      </c>
      <c r="W4057" s="17">
        <f>IF(O4057&gt;0,H4057/O4057,"")</f>
        <v/>
      </c>
    </row>
    <row r="4058">
      <c r="A4058" s="13" t="inlineStr">
        <is>
          <t>CW54_F</t>
        </is>
      </c>
      <c r="B4058" s="13" t="inlineStr">
        <is>
          <t>CW54</t>
        </is>
      </c>
      <c r="C4058" s="13" t="inlineStr">
        <is>
          <t>F</t>
        </is>
      </c>
      <c r="D4058" s="13" t="n">
        <v>0</v>
      </c>
      <c r="E4058" s="13" t="inlineStr">
        <is>
          <t>W</t>
        </is>
      </c>
      <c r="F4058" s="13" t="n">
        <v>2023</v>
      </c>
      <c r="G4058" s="14" t="n">
        <v>71037.79331802666</v>
      </c>
      <c r="H4058" s="14" t="n">
        <v>27059.72978877648</v>
      </c>
      <c r="I4058" s="14" t="n">
        <v>4947.967094511144</v>
      </c>
      <c r="J4058" s="14" t="n">
        <v>0</v>
      </c>
      <c r="K4058" s="14" t="n">
        <v>39030.09643473904</v>
      </c>
      <c r="L4058" s="14" t="n">
        <v>0</v>
      </c>
      <c r="M4058" s="14" t="n">
        <v>0</v>
      </c>
      <c r="N4058" s="14" t="n">
        <v>30263.51918595259</v>
      </c>
      <c r="O4058" s="14" t="n">
        <v>71037.79331802666</v>
      </c>
      <c r="P4058" s="14" t="n">
        <v>3598.697592671712</v>
      </c>
      <c r="Q4058" s="14" t="n">
        <v>926959.5486165362</v>
      </c>
      <c r="R4058" s="15">
        <f>IF(D4058=1,"Section 1","Control")</f>
        <v/>
      </c>
      <c r="S4058" s="16">
        <f>N4058/10000</f>
        <v/>
      </c>
      <c r="T4058" s="16">
        <f>P4058/10000</f>
        <v/>
      </c>
      <c r="U4058" s="15">
        <f>IF(N4058&gt;=Summary!$D$3,1,0)</f>
        <v/>
      </c>
      <c r="V4058" s="17">
        <f>IF(N4058&gt;0,P4058/N4058,"")</f>
        <v/>
      </c>
      <c r="W4058" s="17">
        <f>IF(O4058&gt;0,H4058/O4058,"")</f>
        <v/>
      </c>
    </row>
    <row r="4059">
      <c r="A4059" s="13" t="inlineStr">
        <is>
          <t>CW54_F</t>
        </is>
      </c>
      <c r="B4059" s="13" t="inlineStr">
        <is>
          <t>CW54</t>
        </is>
      </c>
      <c r="C4059" s="13" t="inlineStr">
        <is>
          <t>F</t>
        </is>
      </c>
      <c r="D4059" s="13" t="n">
        <v>0</v>
      </c>
      <c r="E4059" s="13" t="inlineStr">
        <is>
          <t>W</t>
        </is>
      </c>
      <c r="F4059" s="13" t="n">
        <v>2024</v>
      </c>
      <c r="G4059" s="14" t="n">
        <v>71037.79331802666</v>
      </c>
      <c r="H4059" s="14" t="n">
        <v>29688.96633665796</v>
      </c>
      <c r="I4059" s="14" t="n">
        <v>283.7918334362554</v>
      </c>
      <c r="J4059" s="14" t="n">
        <v>0</v>
      </c>
      <c r="K4059" s="14" t="n">
        <v>41065.03514793245</v>
      </c>
      <c r="L4059" s="14" t="n">
        <v>0</v>
      </c>
      <c r="M4059" s="14" t="n">
        <v>0</v>
      </c>
      <c r="N4059" s="14" t="n">
        <v>30263.51918595258</v>
      </c>
      <c r="O4059" s="14" t="n">
        <v>71037.79331802666</v>
      </c>
      <c r="P4059" s="14" t="n">
        <v>3197.59483163871</v>
      </c>
      <c r="Q4059" s="14" t="n">
        <v>926959.548616536</v>
      </c>
      <c r="R4059" s="15">
        <f>IF(D4059=1,"Section 1","Control")</f>
        <v/>
      </c>
      <c r="S4059" s="16">
        <f>N4059/10000</f>
        <v/>
      </c>
      <c r="T4059" s="16">
        <f>P4059/10000</f>
        <v/>
      </c>
      <c r="U4059" s="15">
        <f>IF(N4059&gt;=Summary!$D$3,1,0)</f>
        <v/>
      </c>
      <c r="V4059" s="17">
        <f>IF(N4059&gt;0,P4059/N4059,"")</f>
        <v/>
      </c>
      <c r="W4059" s="17">
        <f>IF(O4059&gt;0,H4059/O4059,"")</f>
        <v/>
      </c>
    </row>
    <row r="4060">
      <c r="A4060" s="13" t="inlineStr">
        <is>
          <t>CW54_F</t>
        </is>
      </c>
      <c r="B4060" s="13" t="inlineStr">
        <is>
          <t>CW54</t>
        </is>
      </c>
      <c r="C4060" s="13" t="inlineStr">
        <is>
          <t>F</t>
        </is>
      </c>
      <c r="D4060" s="13" t="n">
        <v>0</v>
      </c>
      <c r="E4060" s="13" t="inlineStr">
        <is>
          <t>W</t>
        </is>
      </c>
      <c r="F4060" s="13" t="n">
        <v>2025</v>
      </c>
      <c r="G4060" s="14" t="n">
        <v>71037.79331802666</v>
      </c>
      <c r="H4060" s="14" t="n">
        <v>27774.04878225888</v>
      </c>
      <c r="I4060" s="14" t="n">
        <v>4299.466048446357</v>
      </c>
      <c r="J4060" s="14" t="n">
        <v>0</v>
      </c>
      <c r="K4060" s="14" t="n">
        <v>38964.27848732143</v>
      </c>
      <c r="L4060" s="14" t="n">
        <v>0</v>
      </c>
      <c r="M4060" s="14" t="n">
        <v>0</v>
      </c>
      <c r="N4060" s="14" t="n">
        <v>30263.51918595259</v>
      </c>
      <c r="O4060" s="14" t="n">
        <v>71037.79331802666</v>
      </c>
      <c r="P4060" s="14" t="n">
        <v>3809.702763157265</v>
      </c>
      <c r="Q4060" s="14" t="n">
        <v>926959.5486165362</v>
      </c>
      <c r="R4060" s="15">
        <f>IF(D4060=1,"Section 1","Control")</f>
        <v/>
      </c>
      <c r="S4060" s="16">
        <f>N4060/10000</f>
        <v/>
      </c>
      <c r="T4060" s="16">
        <f>P4060/10000</f>
        <v/>
      </c>
      <c r="U4060" s="15">
        <f>IF(N4060&gt;=Summary!$D$3,1,0)</f>
        <v/>
      </c>
      <c r="V4060" s="17">
        <f>IF(N4060&gt;0,P4060/N4060,"")</f>
        <v/>
      </c>
      <c r="W4060" s="17">
        <f>IF(O4060&gt;0,H4060/O4060,"")</f>
        <v/>
      </c>
    </row>
    <row r="4061">
      <c r="A4061" s="13" t="inlineStr">
        <is>
          <t>CW54_F</t>
        </is>
      </c>
      <c r="B4061" s="13" t="inlineStr">
        <is>
          <t>CW54</t>
        </is>
      </c>
      <c r="C4061" s="13" t="inlineStr">
        <is>
          <t>F</t>
        </is>
      </c>
      <c r="D4061" s="13" t="n">
        <v>0</v>
      </c>
      <c r="E4061" s="13" t="inlineStr">
        <is>
          <t>W</t>
        </is>
      </c>
      <c r="F4061" s="13" t="n">
        <v>2026</v>
      </c>
      <c r="G4061" s="14" t="n">
        <v>71037.79331802666</v>
      </c>
      <c r="H4061" s="14" t="n">
        <v>28755.8984339097</v>
      </c>
      <c r="I4061" s="14" t="n">
        <v>1566.469378871544</v>
      </c>
      <c r="J4061" s="14" t="n">
        <v>0</v>
      </c>
      <c r="K4061" s="14" t="n">
        <v>40715.42550524542</v>
      </c>
      <c r="L4061" s="14" t="n">
        <v>0</v>
      </c>
      <c r="M4061" s="14" t="n">
        <v>0</v>
      </c>
      <c r="N4061" s="14" t="n">
        <v>30263.51918595258</v>
      </c>
      <c r="O4061" s="14" t="n">
        <v>71037.79331802666</v>
      </c>
      <c r="P4061" s="14" t="n">
        <v>3911.527241665709</v>
      </c>
      <c r="Q4061" s="14" t="n">
        <v>926959.548616536</v>
      </c>
      <c r="R4061" s="15">
        <f>IF(D4061=1,"Section 1","Control")</f>
        <v/>
      </c>
      <c r="S4061" s="16">
        <f>N4061/10000</f>
        <v/>
      </c>
      <c r="T4061" s="16">
        <f>P4061/10000</f>
        <v/>
      </c>
      <c r="U4061" s="15">
        <f>IF(N4061&gt;=Summary!$D$3,1,0)</f>
        <v/>
      </c>
      <c r="V4061" s="17">
        <f>IF(N4061&gt;0,P4061/N4061,"")</f>
        <v/>
      </c>
      <c r="W4061" s="17">
        <f>IF(O4061&gt;0,H4061/O4061,"")</f>
        <v/>
      </c>
    </row>
    <row r="4062">
      <c r="A4062" s="13" t="inlineStr">
        <is>
          <t>CW55_B1</t>
        </is>
      </c>
      <c r="B4062" s="13" t="inlineStr">
        <is>
          <t>CW55</t>
        </is>
      </c>
      <c r="C4062" s="13" t="inlineStr">
        <is>
          <t>B1</t>
        </is>
      </c>
      <c r="D4062" s="13" t="n">
        <v>0</v>
      </c>
      <c r="E4062" s="13" t="inlineStr">
        <is>
          <t>W</t>
        </is>
      </c>
      <c r="F4062" s="13" t="n">
        <v>2020</v>
      </c>
      <c r="G4062" s="14" t="n">
        <v>1000850.048806374</v>
      </c>
      <c r="H4062" s="14" t="n">
        <v>257476.1676585777</v>
      </c>
      <c r="I4062" s="14" t="n">
        <v>175868.4516477697</v>
      </c>
      <c r="J4062" s="14" t="n">
        <v>0</v>
      </c>
      <c r="K4062" s="14" t="n">
        <v>83807.80311671237</v>
      </c>
      <c r="L4062" s="14" t="n">
        <v>483697.626383314</v>
      </c>
      <c r="M4062" s="14" t="n">
        <v>0</v>
      </c>
      <c r="N4062" s="14" t="n">
        <v>257476.1676585777</v>
      </c>
      <c r="O4062" s="14" t="n">
        <v>517152.4224230598</v>
      </c>
      <c r="P4062" s="14" t="n">
        <v>0</v>
      </c>
      <c r="Q4062" s="14" t="n">
        <v>3194202.09137618</v>
      </c>
      <c r="R4062" s="15">
        <f>IF(D4062=1,"Section 1","Control")</f>
        <v/>
      </c>
      <c r="S4062" s="16">
        <f>N4062/10000</f>
        <v/>
      </c>
      <c r="T4062" s="16">
        <f>P4062/10000</f>
        <v/>
      </c>
      <c r="U4062" s="15">
        <f>IF(N4062&gt;=Summary!$D$3,1,0)</f>
        <v/>
      </c>
      <c r="V4062" s="17">
        <f>IF(N4062&gt;0,P4062/N4062,"")</f>
        <v/>
      </c>
      <c r="W4062" s="17">
        <f>IF(O4062&gt;0,H4062/O4062,"")</f>
        <v/>
      </c>
    </row>
    <row r="4063">
      <c r="A4063" s="13" t="inlineStr">
        <is>
          <t>CW55_B1</t>
        </is>
      </c>
      <c r="B4063" s="13" t="inlineStr">
        <is>
          <t>CW55</t>
        </is>
      </c>
      <c r="C4063" s="13" t="inlineStr">
        <is>
          <t>B1</t>
        </is>
      </c>
      <c r="D4063" s="13" t="n">
        <v>0</v>
      </c>
      <c r="E4063" s="13" t="inlineStr">
        <is>
          <t>W</t>
        </is>
      </c>
      <c r="F4063" s="13" t="n">
        <v>2021</v>
      </c>
      <c r="G4063" s="14" t="n">
        <v>1000850.048806374</v>
      </c>
      <c r="H4063" s="14" t="n">
        <v>249049.9372077792</v>
      </c>
      <c r="I4063" s="14" t="n">
        <v>188398.6917403277</v>
      </c>
      <c r="J4063" s="14" t="n">
        <v>0</v>
      </c>
      <c r="K4063" s="14" t="n">
        <v>98990.39538529341</v>
      </c>
      <c r="L4063" s="14" t="n">
        <v>464411.0244729734</v>
      </c>
      <c r="M4063" s="14" t="n">
        <v>0</v>
      </c>
      <c r="N4063" s="14" t="n">
        <v>257476.1676585777</v>
      </c>
      <c r="O4063" s="14" t="n">
        <v>517152.4224230598</v>
      </c>
      <c r="P4063" s="14" t="n">
        <v>11289.30817144057</v>
      </c>
      <c r="Q4063" s="14" t="n">
        <v>3194202.09137618</v>
      </c>
      <c r="R4063" s="15">
        <f>IF(D4063=1,"Section 1","Control")</f>
        <v/>
      </c>
      <c r="S4063" s="16">
        <f>N4063/10000</f>
        <v/>
      </c>
      <c r="T4063" s="16">
        <f>P4063/10000</f>
        <v/>
      </c>
      <c r="U4063" s="15">
        <f>IF(N4063&gt;=Summary!$D$3,1,0)</f>
        <v/>
      </c>
      <c r="V4063" s="17">
        <f>IF(N4063&gt;0,P4063/N4063,"")</f>
        <v/>
      </c>
      <c r="W4063" s="17">
        <f>IF(O4063&gt;0,H4063/O4063,"")</f>
        <v/>
      </c>
    </row>
    <row r="4064">
      <c r="A4064" s="13" t="inlineStr">
        <is>
          <t>CW55_B1</t>
        </is>
      </c>
      <c r="B4064" s="13" t="inlineStr">
        <is>
          <t>CW55</t>
        </is>
      </c>
      <c r="C4064" s="13" t="inlineStr">
        <is>
          <t>B1</t>
        </is>
      </c>
      <c r="D4064" s="13" t="n">
        <v>0</v>
      </c>
      <c r="E4064" s="13" t="inlineStr">
        <is>
          <t>W</t>
        </is>
      </c>
      <c r="F4064" s="13" t="n">
        <v>2022</v>
      </c>
      <c r="G4064" s="14" t="n">
        <v>1000850.048806374</v>
      </c>
      <c r="H4064" s="14" t="n">
        <v>245510.0950590245</v>
      </c>
      <c r="I4064" s="14" t="n">
        <v>204728.9640680052</v>
      </c>
      <c r="J4064" s="14" t="n">
        <v>0</v>
      </c>
      <c r="K4064" s="14" t="n">
        <v>98230.76656326592</v>
      </c>
      <c r="L4064" s="14" t="n">
        <v>452380.2231160781</v>
      </c>
      <c r="M4064" s="14" t="n">
        <v>0</v>
      </c>
      <c r="N4064" s="14" t="n">
        <v>257476.1676585777</v>
      </c>
      <c r="O4064" s="14" t="n">
        <v>517152.4224230598</v>
      </c>
      <c r="P4064" s="14" t="n">
        <v>15134.23589289048</v>
      </c>
      <c r="Q4064" s="14" t="n">
        <v>3194202.09137618</v>
      </c>
      <c r="R4064" s="15">
        <f>IF(D4064=1,"Section 1","Control")</f>
        <v/>
      </c>
      <c r="S4064" s="16">
        <f>N4064/10000</f>
        <v/>
      </c>
      <c r="T4064" s="16">
        <f>P4064/10000</f>
        <v/>
      </c>
      <c r="U4064" s="15">
        <f>IF(N4064&gt;=Summary!$D$3,1,0)</f>
        <v/>
      </c>
      <c r="V4064" s="17">
        <f>IF(N4064&gt;0,P4064/N4064,"")</f>
        <v/>
      </c>
      <c r="W4064" s="17">
        <f>IF(O4064&gt;0,H4064/O4064,"")</f>
        <v/>
      </c>
    </row>
    <row r="4065">
      <c r="A4065" s="13" t="inlineStr">
        <is>
          <t>CW55_B1</t>
        </is>
      </c>
      <c r="B4065" s="13" t="inlineStr">
        <is>
          <t>CW55</t>
        </is>
      </c>
      <c r="C4065" s="13" t="inlineStr">
        <is>
          <t>B1</t>
        </is>
      </c>
      <c r="D4065" s="13" t="n">
        <v>0</v>
      </c>
      <c r="E4065" s="13" t="inlineStr">
        <is>
          <t>W</t>
        </is>
      </c>
      <c r="F4065" s="13" t="n">
        <v>2023</v>
      </c>
      <c r="G4065" s="14" t="n">
        <v>1000850.048806374</v>
      </c>
      <c r="H4065" s="14" t="n">
        <v>239530.7558555453</v>
      </c>
      <c r="I4065" s="14" t="n">
        <v>185521.2270156262</v>
      </c>
      <c r="J4065" s="14" t="n">
        <v>0</v>
      </c>
      <c r="K4065" s="14" t="n">
        <v>67985.22471642587</v>
      </c>
      <c r="L4065" s="14" t="n">
        <v>507812.8412187763</v>
      </c>
      <c r="M4065" s="14" t="n">
        <v>0</v>
      </c>
      <c r="N4065" s="14" t="n">
        <v>257476.1676585777</v>
      </c>
      <c r="O4065" s="14" t="n">
        <v>517152.4224230598</v>
      </c>
      <c r="P4065" s="14" t="n">
        <v>21082.21439819336</v>
      </c>
      <c r="Q4065" s="14" t="n">
        <v>3194202.09137618</v>
      </c>
      <c r="R4065" s="15">
        <f>IF(D4065=1,"Section 1","Control")</f>
        <v/>
      </c>
      <c r="S4065" s="16">
        <f>N4065/10000</f>
        <v/>
      </c>
      <c r="T4065" s="16">
        <f>P4065/10000</f>
        <v/>
      </c>
      <c r="U4065" s="15">
        <f>IF(N4065&gt;=Summary!$D$3,1,0)</f>
        <v/>
      </c>
      <c r="V4065" s="17">
        <f>IF(N4065&gt;0,P4065/N4065,"")</f>
        <v/>
      </c>
      <c r="W4065" s="17">
        <f>IF(O4065&gt;0,H4065/O4065,"")</f>
        <v/>
      </c>
    </row>
    <row r="4066">
      <c r="A4066" s="13" t="inlineStr">
        <is>
          <t>CW55_B1</t>
        </is>
      </c>
      <c r="B4066" s="13" t="inlineStr">
        <is>
          <t>CW55</t>
        </is>
      </c>
      <c r="C4066" s="13" t="inlineStr">
        <is>
          <t>B1</t>
        </is>
      </c>
      <c r="D4066" s="13" t="n">
        <v>0</v>
      </c>
      <c r="E4066" s="13" t="inlineStr">
        <is>
          <t>W</t>
        </is>
      </c>
      <c r="F4066" s="13" t="n">
        <v>2024</v>
      </c>
      <c r="G4066" s="14" t="n">
        <v>1000850.048806374</v>
      </c>
      <c r="H4066" s="14" t="n">
        <v>250496.4064361872</v>
      </c>
      <c r="I4066" s="14" t="n">
        <v>182761.9563375136</v>
      </c>
      <c r="J4066" s="14" t="n">
        <v>0</v>
      </c>
      <c r="K4066" s="14" t="n">
        <v>95864.77962769152</v>
      </c>
      <c r="L4066" s="14" t="n">
        <v>471726.9064049815</v>
      </c>
      <c r="M4066" s="14" t="n">
        <v>0</v>
      </c>
      <c r="N4066" s="14" t="n">
        <v>257476.1676585777</v>
      </c>
      <c r="O4066" s="14" t="n">
        <v>517152.4224230598</v>
      </c>
      <c r="P4066" s="14" t="n">
        <v>16967.82055595248</v>
      </c>
      <c r="Q4066" s="14" t="n">
        <v>3194202.09137618</v>
      </c>
      <c r="R4066" s="15">
        <f>IF(D4066=1,"Section 1","Control")</f>
        <v/>
      </c>
      <c r="S4066" s="16">
        <f>N4066/10000</f>
        <v/>
      </c>
      <c r="T4066" s="16">
        <f>P4066/10000</f>
        <v/>
      </c>
      <c r="U4066" s="15">
        <f>IF(N4066&gt;=Summary!$D$3,1,0)</f>
        <v/>
      </c>
      <c r="V4066" s="17">
        <f>IF(N4066&gt;0,P4066/N4066,"")</f>
        <v/>
      </c>
      <c r="W4066" s="17">
        <f>IF(O4066&gt;0,H4066/O4066,"")</f>
        <v/>
      </c>
    </row>
    <row r="4067">
      <c r="A4067" s="13" t="inlineStr">
        <is>
          <t>CW55_B1</t>
        </is>
      </c>
      <c r="B4067" s="13" t="inlineStr">
        <is>
          <t>CW55</t>
        </is>
      </c>
      <c r="C4067" s="13" t="inlineStr">
        <is>
          <t>B1</t>
        </is>
      </c>
      <c r="D4067" s="13" t="n">
        <v>0</v>
      </c>
      <c r="E4067" s="13" t="inlineStr">
        <is>
          <t>W</t>
        </is>
      </c>
      <c r="F4067" s="13" t="n">
        <v>2025</v>
      </c>
      <c r="G4067" s="14" t="n">
        <v>1000850.048806374</v>
      </c>
      <c r="H4067" s="14" t="n">
        <v>228233.6969996433</v>
      </c>
      <c r="I4067" s="14" t="n">
        <v>200739.8974307789</v>
      </c>
      <c r="J4067" s="14" t="n">
        <v>0</v>
      </c>
      <c r="K4067" s="14" t="n">
        <v>71791.79491645962</v>
      </c>
      <c r="L4067" s="14" t="n">
        <v>500084.6594594918</v>
      </c>
      <c r="M4067" s="14" t="n">
        <v>0</v>
      </c>
      <c r="N4067" s="14" t="n">
        <v>257476.1676585777</v>
      </c>
      <c r="O4067" s="14" t="n">
        <v>517152.4224230598</v>
      </c>
      <c r="P4067" s="14" t="n">
        <v>32994.08983770633</v>
      </c>
      <c r="Q4067" s="14" t="n">
        <v>3194202.09137618</v>
      </c>
      <c r="R4067" s="15">
        <f>IF(D4067=1,"Section 1","Control")</f>
        <v/>
      </c>
      <c r="S4067" s="16">
        <f>N4067/10000</f>
        <v/>
      </c>
      <c r="T4067" s="16">
        <f>P4067/10000</f>
        <v/>
      </c>
      <c r="U4067" s="15">
        <f>IF(N4067&gt;=Summary!$D$3,1,0)</f>
        <v/>
      </c>
      <c r="V4067" s="17">
        <f>IF(N4067&gt;0,P4067/N4067,"")</f>
        <v/>
      </c>
      <c r="W4067" s="17">
        <f>IF(O4067&gt;0,H4067/O4067,"")</f>
        <v/>
      </c>
    </row>
    <row r="4068">
      <c r="A4068" s="13" t="inlineStr">
        <is>
          <t>CW55_B1</t>
        </is>
      </c>
      <c r="B4068" s="13" t="inlineStr">
        <is>
          <t>CW55</t>
        </is>
      </c>
      <c r="C4068" s="13" t="inlineStr">
        <is>
          <t>B1</t>
        </is>
      </c>
      <c r="D4068" s="13" t="n">
        <v>0</v>
      </c>
      <c r="E4068" s="13" t="inlineStr">
        <is>
          <t>W</t>
        </is>
      </c>
      <c r="F4068" s="13" t="n">
        <v>2026</v>
      </c>
      <c r="G4068" s="14" t="n">
        <v>1000850.048806374</v>
      </c>
      <c r="H4068" s="14" t="n">
        <v>249899.8019750857</v>
      </c>
      <c r="I4068" s="14" t="n">
        <v>172196.186935335</v>
      </c>
      <c r="J4068" s="14" t="n">
        <v>0</v>
      </c>
      <c r="K4068" s="14" t="n">
        <v>65441.5387939154</v>
      </c>
      <c r="L4068" s="14" t="n">
        <v>513312.5211020376</v>
      </c>
      <c r="M4068" s="14" t="n">
        <v>0</v>
      </c>
      <c r="N4068" s="14" t="n">
        <v>257476.1676585777</v>
      </c>
      <c r="O4068" s="14" t="n">
        <v>517152.4224230598</v>
      </c>
      <c r="P4068" s="14" t="n">
        <v>20994.69860612458</v>
      </c>
      <c r="Q4068" s="14" t="n">
        <v>3194202.09137618</v>
      </c>
      <c r="R4068" s="15">
        <f>IF(D4068=1,"Section 1","Control")</f>
        <v/>
      </c>
      <c r="S4068" s="16">
        <f>N4068/10000</f>
        <v/>
      </c>
      <c r="T4068" s="16">
        <f>P4068/10000</f>
        <v/>
      </c>
      <c r="U4068" s="15">
        <f>IF(N4068&gt;=Summary!$D$3,1,0)</f>
        <v/>
      </c>
      <c r="V4068" s="17">
        <f>IF(N4068&gt;0,P4068/N4068,"")</f>
        <v/>
      </c>
      <c r="W4068" s="17">
        <f>IF(O4068&gt;0,H4068/O4068,"")</f>
        <v/>
      </c>
    </row>
    <row r="4069">
      <c r="A4069" s="13" t="inlineStr">
        <is>
          <t>CW55_B2</t>
        </is>
      </c>
      <c r="B4069" s="13" t="inlineStr">
        <is>
          <t>CW55</t>
        </is>
      </c>
      <c r="C4069" s="13" t="inlineStr">
        <is>
          <t>B2</t>
        </is>
      </c>
      <c r="D4069" s="13" t="n">
        <v>0</v>
      </c>
      <c r="E4069" s="13" t="inlineStr">
        <is>
          <t>W</t>
        </is>
      </c>
      <c r="F4069" s="13" t="n">
        <v>2020</v>
      </c>
      <c r="G4069" s="14" t="n">
        <v>1001121.052897075</v>
      </c>
      <c r="H4069" s="14" t="n">
        <v>305635.4979762359</v>
      </c>
      <c r="I4069" s="14" t="n">
        <v>0</v>
      </c>
      <c r="J4069" s="14" t="n">
        <v>0</v>
      </c>
      <c r="K4069" s="14" t="n">
        <v>14864.99563978607</v>
      </c>
      <c r="L4069" s="14" t="n">
        <v>680620.5592810535</v>
      </c>
      <c r="M4069" s="14" t="n">
        <v>0</v>
      </c>
      <c r="N4069" s="14" t="n">
        <v>305635.4979762359</v>
      </c>
      <c r="O4069" s="14" t="n">
        <v>320500.493616022</v>
      </c>
      <c r="P4069" s="14" t="n">
        <v>0</v>
      </c>
      <c r="Q4069" s="14" t="n">
        <v>1897480.217096396</v>
      </c>
      <c r="R4069" s="15">
        <f>IF(D4069=1,"Section 1","Control")</f>
        <v/>
      </c>
      <c r="S4069" s="16">
        <f>N4069/10000</f>
        <v/>
      </c>
      <c r="T4069" s="16">
        <f>P4069/10000</f>
        <v/>
      </c>
      <c r="U4069" s="15">
        <f>IF(N4069&gt;=Summary!$D$3,1,0)</f>
        <v/>
      </c>
      <c r="V4069" s="17">
        <f>IF(N4069&gt;0,P4069/N4069,"")</f>
        <v/>
      </c>
      <c r="W4069" s="17">
        <f>IF(O4069&gt;0,H4069/O4069,"")</f>
        <v/>
      </c>
    </row>
    <row r="4070">
      <c r="A4070" s="13" t="inlineStr">
        <is>
          <t>CW55_B2</t>
        </is>
      </c>
      <c r="B4070" s="13" t="inlineStr">
        <is>
          <t>CW55</t>
        </is>
      </c>
      <c r="C4070" s="13" t="inlineStr">
        <is>
          <t>B2</t>
        </is>
      </c>
      <c r="D4070" s="13" t="n">
        <v>0</v>
      </c>
      <c r="E4070" s="13" t="inlineStr">
        <is>
          <t>W</t>
        </is>
      </c>
      <c r="F4070" s="13" t="n">
        <v>2021</v>
      </c>
      <c r="G4070" s="14" t="n">
        <v>1001121.052897075</v>
      </c>
      <c r="H4070" s="14" t="n">
        <v>302005.8807860732</v>
      </c>
      <c r="I4070" s="14" t="n">
        <v>0</v>
      </c>
      <c r="J4070" s="14" t="n">
        <v>0</v>
      </c>
      <c r="K4070" s="14" t="n">
        <v>16816.27510717055</v>
      </c>
      <c r="L4070" s="14" t="n">
        <v>682298.8970038318</v>
      </c>
      <c r="M4070" s="14" t="n">
        <v>0</v>
      </c>
      <c r="N4070" s="14" t="n">
        <v>305635.497976236</v>
      </c>
      <c r="O4070" s="14" t="n">
        <v>320500.493616022</v>
      </c>
      <c r="P4070" s="14" t="n">
        <v>3629.617190162808</v>
      </c>
      <c r="Q4070" s="14" t="n">
        <v>1897480.217096396</v>
      </c>
      <c r="R4070" s="15">
        <f>IF(D4070=1,"Section 1","Control")</f>
        <v/>
      </c>
      <c r="S4070" s="16">
        <f>N4070/10000</f>
        <v/>
      </c>
      <c r="T4070" s="16">
        <f>P4070/10000</f>
        <v/>
      </c>
      <c r="U4070" s="15">
        <f>IF(N4070&gt;=Summary!$D$3,1,0)</f>
        <v/>
      </c>
      <c r="V4070" s="17">
        <f>IF(N4070&gt;0,P4070/N4070,"")</f>
        <v/>
      </c>
      <c r="W4070" s="17">
        <f>IF(O4070&gt;0,H4070/O4070,"")</f>
        <v/>
      </c>
    </row>
    <row r="4071">
      <c r="A4071" s="13" t="inlineStr">
        <is>
          <t>CW55_B2</t>
        </is>
      </c>
      <c r="B4071" s="13" t="inlineStr">
        <is>
          <t>CW55</t>
        </is>
      </c>
      <c r="C4071" s="13" t="inlineStr">
        <is>
          <t>B2</t>
        </is>
      </c>
      <c r="D4071" s="13" t="n">
        <v>0</v>
      </c>
      <c r="E4071" s="13" t="inlineStr">
        <is>
          <t>W</t>
        </is>
      </c>
      <c r="F4071" s="13" t="n">
        <v>2022</v>
      </c>
      <c r="G4071" s="14" t="n">
        <v>1001121.052897076</v>
      </c>
      <c r="H4071" s="14" t="n">
        <v>301018.6224776625</v>
      </c>
      <c r="I4071" s="14" t="n">
        <v>0</v>
      </c>
      <c r="J4071" s="14" t="n">
        <v>0</v>
      </c>
      <c r="K4071" s="14" t="n">
        <v>24977.21964228013</v>
      </c>
      <c r="L4071" s="14" t="n">
        <v>675125.2107771329</v>
      </c>
      <c r="M4071" s="14" t="n">
        <v>0</v>
      </c>
      <c r="N4071" s="14" t="n">
        <v>305635.497976236</v>
      </c>
      <c r="O4071" s="14" t="n">
        <v>320500.493616022</v>
      </c>
      <c r="P4071" s="14" t="n">
        <v>4814.326121132046</v>
      </c>
      <c r="Q4071" s="14" t="n">
        <v>1897480.217096396</v>
      </c>
      <c r="R4071" s="15">
        <f>IF(D4071=1,"Section 1","Control")</f>
        <v/>
      </c>
      <c r="S4071" s="16">
        <f>N4071/10000</f>
        <v/>
      </c>
      <c r="T4071" s="16">
        <f>P4071/10000</f>
        <v/>
      </c>
      <c r="U4071" s="15">
        <f>IF(N4071&gt;=Summary!$D$3,1,0)</f>
        <v/>
      </c>
      <c r="V4071" s="17">
        <f>IF(N4071&gt;0,P4071/N4071,"")</f>
        <v/>
      </c>
      <c r="W4071" s="17">
        <f>IF(O4071&gt;0,H4071/O4071,"")</f>
        <v/>
      </c>
    </row>
    <row r="4072">
      <c r="A4072" s="13" t="inlineStr">
        <is>
          <t>CW55_B2</t>
        </is>
      </c>
      <c r="B4072" s="13" t="inlineStr">
        <is>
          <t>CW55</t>
        </is>
      </c>
      <c r="C4072" s="13" t="inlineStr">
        <is>
          <t>B2</t>
        </is>
      </c>
      <c r="D4072" s="13" t="n">
        <v>0</v>
      </c>
      <c r="E4072" s="13" t="inlineStr">
        <is>
          <t>W</t>
        </is>
      </c>
      <c r="F4072" s="13" t="n">
        <v>2023</v>
      </c>
      <c r="G4072" s="14" t="n">
        <v>1001121.052897075</v>
      </c>
      <c r="H4072" s="14" t="n">
        <v>299833.9141646742</v>
      </c>
      <c r="I4072" s="14" t="n">
        <v>98.72550964355467</v>
      </c>
      <c r="J4072" s="14" t="n">
        <v>0</v>
      </c>
      <c r="K4072" s="14" t="n">
        <v>13245.10918345732</v>
      </c>
      <c r="L4072" s="14" t="n">
        <v>687943.3040393005</v>
      </c>
      <c r="M4072" s="14" t="n">
        <v>0</v>
      </c>
      <c r="N4072" s="14" t="n">
        <v>305635.4979762359</v>
      </c>
      <c r="O4072" s="14" t="n">
        <v>320500.493616022</v>
      </c>
      <c r="P4072" s="14" t="n">
        <v>5801.583811561733</v>
      </c>
      <c r="Q4072" s="14" t="n">
        <v>1897480.217096396</v>
      </c>
      <c r="R4072" s="15">
        <f>IF(D4072=1,"Section 1","Control")</f>
        <v/>
      </c>
      <c r="S4072" s="16">
        <f>N4072/10000</f>
        <v/>
      </c>
      <c r="T4072" s="16">
        <f>P4072/10000</f>
        <v/>
      </c>
      <c r="U4072" s="15">
        <f>IF(N4072&gt;=Summary!$D$3,1,0)</f>
        <v/>
      </c>
      <c r="V4072" s="17">
        <f>IF(N4072&gt;0,P4072/N4072,"")</f>
        <v/>
      </c>
      <c r="W4072" s="17">
        <f>IF(O4072&gt;0,H4072/O4072,"")</f>
        <v/>
      </c>
    </row>
    <row r="4073">
      <c r="A4073" s="13" t="inlineStr">
        <is>
          <t>CW55_B2</t>
        </is>
      </c>
      <c r="B4073" s="13" t="inlineStr">
        <is>
          <t>CW55</t>
        </is>
      </c>
      <c r="C4073" s="13" t="inlineStr">
        <is>
          <t>B2</t>
        </is>
      </c>
      <c r="D4073" s="13" t="n">
        <v>0</v>
      </c>
      <c r="E4073" s="13" t="inlineStr">
        <is>
          <t>W</t>
        </is>
      </c>
      <c r="F4073" s="13" t="n">
        <v>2024</v>
      </c>
      <c r="G4073" s="14" t="n">
        <v>1001121.052897076</v>
      </c>
      <c r="H4073" s="14" t="n">
        <v>299932.6381484389</v>
      </c>
      <c r="I4073" s="14" t="n">
        <v>197.4511260986328</v>
      </c>
      <c r="J4073" s="14" t="n">
        <v>0</v>
      </c>
      <c r="K4073" s="14" t="n">
        <v>22028.21664596258</v>
      </c>
      <c r="L4073" s="14" t="n">
        <v>678962.7469765755</v>
      </c>
      <c r="M4073" s="14" t="n">
        <v>0</v>
      </c>
      <c r="N4073" s="14" t="n">
        <v>305635.497976236</v>
      </c>
      <c r="O4073" s="14" t="n">
        <v>320500.493616022</v>
      </c>
      <c r="P4073" s="14" t="n">
        <v>5999.035898964077</v>
      </c>
      <c r="Q4073" s="14" t="n">
        <v>1897480.217096396</v>
      </c>
      <c r="R4073" s="15">
        <f>IF(D4073=1,"Section 1","Control")</f>
        <v/>
      </c>
      <c r="S4073" s="16">
        <f>N4073/10000</f>
        <v/>
      </c>
      <c r="T4073" s="16">
        <f>P4073/10000</f>
        <v/>
      </c>
      <c r="U4073" s="15">
        <f>IF(N4073&gt;=Summary!$D$3,1,0)</f>
        <v/>
      </c>
      <c r="V4073" s="17">
        <f>IF(N4073&gt;0,P4073/N4073,"")</f>
        <v/>
      </c>
      <c r="W4073" s="17">
        <f>IF(O4073&gt;0,H4073/O4073,"")</f>
        <v/>
      </c>
    </row>
    <row r="4074">
      <c r="A4074" s="13" t="inlineStr">
        <is>
          <t>CW55_B2</t>
        </is>
      </c>
      <c r="B4074" s="13" t="inlineStr">
        <is>
          <t>CW55</t>
        </is>
      </c>
      <c r="C4074" s="13" t="inlineStr">
        <is>
          <t>B2</t>
        </is>
      </c>
      <c r="D4074" s="13" t="n">
        <v>0</v>
      </c>
      <c r="E4074" s="13" t="inlineStr">
        <is>
          <t>W</t>
        </is>
      </c>
      <c r="F4074" s="13" t="n">
        <v>2025</v>
      </c>
      <c r="G4074" s="14" t="n">
        <v>1001121.052897075</v>
      </c>
      <c r="H4074" s="14" t="n">
        <v>299537.7354079604</v>
      </c>
      <c r="I4074" s="14" t="n">
        <v>98.72550964355467</v>
      </c>
      <c r="J4074" s="14" t="n">
        <v>0</v>
      </c>
      <c r="K4074" s="14" t="n">
        <v>16482.15361732034</v>
      </c>
      <c r="L4074" s="14" t="n">
        <v>685002.4383621514</v>
      </c>
      <c r="M4074" s="14" t="n">
        <v>0</v>
      </c>
      <c r="N4074" s="14" t="n">
        <v>305635.497976236</v>
      </c>
      <c r="O4074" s="14" t="n">
        <v>320500.493616022</v>
      </c>
      <c r="P4074" s="14" t="n">
        <v>6393.938807289273</v>
      </c>
      <c r="Q4074" s="14" t="n">
        <v>1897480.217096396</v>
      </c>
      <c r="R4074" s="15">
        <f>IF(D4074=1,"Section 1","Control")</f>
        <v/>
      </c>
      <c r="S4074" s="16">
        <f>N4074/10000</f>
        <v/>
      </c>
      <c r="T4074" s="16">
        <f>P4074/10000</f>
        <v/>
      </c>
      <c r="U4074" s="15">
        <f>IF(N4074&gt;=Summary!$D$3,1,0)</f>
        <v/>
      </c>
      <c r="V4074" s="17">
        <f>IF(N4074&gt;0,P4074/N4074,"")</f>
        <v/>
      </c>
      <c r="W4074" s="17">
        <f>IF(O4074&gt;0,H4074/O4074,"")</f>
        <v/>
      </c>
    </row>
    <row r="4075">
      <c r="A4075" s="13" t="inlineStr">
        <is>
          <t>CW55_B2</t>
        </is>
      </c>
      <c r="B4075" s="13" t="inlineStr">
        <is>
          <t>CW55</t>
        </is>
      </c>
      <c r="C4075" s="13" t="inlineStr">
        <is>
          <t>B2</t>
        </is>
      </c>
      <c r="D4075" s="13" t="n">
        <v>0</v>
      </c>
      <c r="E4075" s="13" t="inlineStr">
        <is>
          <t>W</t>
        </is>
      </c>
      <c r="F4075" s="13" t="n">
        <v>2026</v>
      </c>
      <c r="G4075" s="14" t="n">
        <v>1001121.052897076</v>
      </c>
      <c r="H4075" s="14" t="n">
        <v>297296.4711798875</v>
      </c>
      <c r="I4075" s="14" t="n">
        <v>98.72544860839844</v>
      </c>
      <c r="J4075" s="14" t="n">
        <v>0</v>
      </c>
      <c r="K4075" s="14" t="n">
        <v>16893.31343030743</v>
      </c>
      <c r="L4075" s="14" t="n">
        <v>686832.5428382723</v>
      </c>
      <c r="M4075" s="14" t="n">
        <v>0</v>
      </c>
      <c r="N4075" s="14" t="n">
        <v>305635.497976236</v>
      </c>
      <c r="O4075" s="14" t="n">
        <v>320500.493616022</v>
      </c>
      <c r="P4075" s="14" t="n">
        <v>8339.026796348422</v>
      </c>
      <c r="Q4075" s="14" t="n">
        <v>1897480.217096396</v>
      </c>
      <c r="R4075" s="15">
        <f>IF(D4075=1,"Section 1","Control")</f>
        <v/>
      </c>
      <c r="S4075" s="16">
        <f>N4075/10000</f>
        <v/>
      </c>
      <c r="T4075" s="16">
        <f>P4075/10000</f>
        <v/>
      </c>
      <c r="U4075" s="15">
        <f>IF(N4075&gt;=Summary!$D$3,1,0)</f>
        <v/>
      </c>
      <c r="V4075" s="17">
        <f>IF(N4075&gt;0,P4075/N4075,"")</f>
        <v/>
      </c>
      <c r="W4075" s="17">
        <f>IF(O4075&gt;0,H4075/O4075,"")</f>
        <v/>
      </c>
    </row>
    <row r="4076">
      <c r="A4076" s="13" t="inlineStr">
        <is>
          <t>CW55_B3</t>
        </is>
      </c>
      <c r="B4076" s="13" t="inlineStr">
        <is>
          <t>CW55</t>
        </is>
      </c>
      <c r="C4076" s="13" t="inlineStr">
        <is>
          <t>B3</t>
        </is>
      </c>
      <c r="D4076" s="13" t="n">
        <v>0</v>
      </c>
      <c r="E4076" s="13" t="inlineStr">
        <is>
          <t>W</t>
        </is>
      </c>
      <c r="F4076" s="13" t="n">
        <v>2020</v>
      </c>
      <c r="G4076" s="14" t="n">
        <v>8008615.907195684</v>
      </c>
      <c r="H4076" s="14" t="n">
        <v>3137349.093376009</v>
      </c>
      <c r="I4076" s="14" t="n">
        <v>27616.81608491785</v>
      </c>
      <c r="J4076" s="14" t="n">
        <v>0</v>
      </c>
      <c r="K4076" s="14" t="n">
        <v>225288.1959962134</v>
      </c>
      <c r="L4076" s="14" t="n">
        <v>4618361.801738545</v>
      </c>
      <c r="M4076" s="14" t="n">
        <v>0</v>
      </c>
      <c r="N4076" s="14" t="n">
        <v>3137349.093376009</v>
      </c>
      <c r="O4076" s="14" t="n">
        <v>3390254.105457141</v>
      </c>
      <c r="P4076" s="14" t="n">
        <v>0</v>
      </c>
      <c r="Q4076" s="14" t="n">
        <v>16030733.89757801</v>
      </c>
      <c r="R4076" s="15">
        <f>IF(D4076=1,"Section 1","Control")</f>
        <v/>
      </c>
      <c r="S4076" s="16">
        <f>N4076/10000</f>
        <v/>
      </c>
      <c r="T4076" s="16">
        <f>P4076/10000</f>
        <v/>
      </c>
      <c r="U4076" s="15">
        <f>IF(N4076&gt;=Summary!$D$3,1,0)</f>
        <v/>
      </c>
      <c r="V4076" s="17">
        <f>IF(N4076&gt;0,P4076/N4076,"")</f>
        <v/>
      </c>
      <c r="W4076" s="17">
        <f>IF(O4076&gt;0,H4076/O4076,"")</f>
        <v/>
      </c>
    </row>
    <row r="4077">
      <c r="A4077" s="13" t="inlineStr">
        <is>
          <t>CW55_B3</t>
        </is>
      </c>
      <c r="B4077" s="13" t="inlineStr">
        <is>
          <t>CW55</t>
        </is>
      </c>
      <c r="C4077" s="13" t="inlineStr">
        <is>
          <t>B3</t>
        </is>
      </c>
      <c r="D4077" s="13" t="n">
        <v>0</v>
      </c>
      <c r="E4077" s="13" t="inlineStr">
        <is>
          <t>W</t>
        </is>
      </c>
      <c r="F4077" s="13" t="n">
        <v>2021</v>
      </c>
      <c r="G4077" s="14" t="n">
        <v>8008615.907195685</v>
      </c>
      <c r="H4077" s="14" t="n">
        <v>3064180.649731385</v>
      </c>
      <c r="I4077" s="14" t="n">
        <v>50534.18935920864</v>
      </c>
      <c r="J4077" s="14" t="n">
        <v>0</v>
      </c>
      <c r="K4077" s="14" t="n">
        <v>310174.7665263456</v>
      </c>
      <c r="L4077" s="14" t="n">
        <v>4583726.301578747</v>
      </c>
      <c r="M4077" s="14" t="n">
        <v>0</v>
      </c>
      <c r="N4077" s="14" t="n">
        <v>3137349.093376009</v>
      </c>
      <c r="O4077" s="14" t="n">
        <v>3390254.105457141</v>
      </c>
      <c r="P4077" s="14" t="n">
        <v>79307.14212446027</v>
      </c>
      <c r="Q4077" s="14" t="n">
        <v>16030733.89757801</v>
      </c>
      <c r="R4077" s="15">
        <f>IF(D4077=1,"Section 1","Control")</f>
        <v/>
      </c>
      <c r="S4077" s="16">
        <f>N4077/10000</f>
        <v/>
      </c>
      <c r="T4077" s="16">
        <f>P4077/10000</f>
        <v/>
      </c>
      <c r="U4077" s="15">
        <f>IF(N4077&gt;=Summary!$D$3,1,0)</f>
        <v/>
      </c>
      <c r="V4077" s="17">
        <f>IF(N4077&gt;0,P4077/N4077,"")</f>
        <v/>
      </c>
      <c r="W4077" s="17">
        <f>IF(O4077&gt;0,H4077/O4077,"")</f>
        <v/>
      </c>
    </row>
    <row r="4078">
      <c r="A4078" s="13" t="inlineStr">
        <is>
          <t>CW55_B3</t>
        </is>
      </c>
      <c r="B4078" s="13" t="inlineStr">
        <is>
          <t>CW55</t>
        </is>
      </c>
      <c r="C4078" s="13" t="inlineStr">
        <is>
          <t>B3</t>
        </is>
      </c>
      <c r="D4078" s="13" t="n">
        <v>0</v>
      </c>
      <c r="E4078" s="13" t="inlineStr">
        <is>
          <t>W</t>
        </is>
      </c>
      <c r="F4078" s="13" t="n">
        <v>2022</v>
      </c>
      <c r="G4078" s="14" t="n">
        <v>8008615.907195685</v>
      </c>
      <c r="H4078" s="14" t="n">
        <v>3063117.232498857</v>
      </c>
      <c r="I4078" s="14" t="n">
        <v>53060.15532163732</v>
      </c>
      <c r="J4078" s="14" t="n">
        <v>0</v>
      </c>
      <c r="K4078" s="14" t="n">
        <v>404588.9774274041</v>
      </c>
      <c r="L4078" s="14" t="n">
        <v>4487849.541947788</v>
      </c>
      <c r="M4078" s="14" t="n">
        <v>0</v>
      </c>
      <c r="N4078" s="14" t="n">
        <v>3137349.093376009</v>
      </c>
      <c r="O4078" s="14" t="n">
        <v>3390254.105457141</v>
      </c>
      <c r="P4078" s="14" t="n">
        <v>82479.71265354531</v>
      </c>
      <c r="Q4078" s="14" t="n">
        <v>16030733.89757801</v>
      </c>
      <c r="R4078" s="15">
        <f>IF(D4078=1,"Section 1","Control")</f>
        <v/>
      </c>
      <c r="S4078" s="16">
        <f>N4078/10000</f>
        <v/>
      </c>
      <c r="T4078" s="16">
        <f>P4078/10000</f>
        <v/>
      </c>
      <c r="U4078" s="15">
        <f>IF(N4078&gt;=Summary!$D$3,1,0)</f>
        <v/>
      </c>
      <c r="V4078" s="17">
        <f>IF(N4078&gt;0,P4078/N4078,"")</f>
        <v/>
      </c>
      <c r="W4078" s="17">
        <f>IF(O4078&gt;0,H4078/O4078,"")</f>
        <v/>
      </c>
    </row>
    <row r="4079">
      <c r="A4079" s="13" t="inlineStr">
        <is>
          <t>CW55_B3</t>
        </is>
      </c>
      <c r="B4079" s="13" t="inlineStr">
        <is>
          <t>CW55</t>
        </is>
      </c>
      <c r="C4079" s="13" t="inlineStr">
        <is>
          <t>B3</t>
        </is>
      </c>
      <c r="D4079" s="13" t="n">
        <v>0</v>
      </c>
      <c r="E4079" s="13" t="inlineStr">
        <is>
          <t>W</t>
        </is>
      </c>
      <c r="F4079" s="13" t="n">
        <v>2023</v>
      </c>
      <c r="G4079" s="14" t="n">
        <v>8008615.907195685</v>
      </c>
      <c r="H4079" s="14" t="n">
        <v>3028252.978013251</v>
      </c>
      <c r="I4079" s="14" t="n">
        <v>51729.94539477778</v>
      </c>
      <c r="J4079" s="14" t="n">
        <v>0</v>
      </c>
      <c r="K4079" s="14" t="n">
        <v>279315.6237739115</v>
      </c>
      <c r="L4079" s="14" t="n">
        <v>4649317.360013746</v>
      </c>
      <c r="M4079" s="14" t="n">
        <v>0</v>
      </c>
      <c r="N4079" s="14" t="n">
        <v>3137349.093376009</v>
      </c>
      <c r="O4079" s="14" t="n">
        <v>3390254.105457141</v>
      </c>
      <c r="P4079" s="14" t="n">
        <v>116455.4252690334</v>
      </c>
      <c r="Q4079" s="14" t="n">
        <v>16030733.89757801</v>
      </c>
      <c r="R4079" s="15">
        <f>IF(D4079=1,"Section 1","Control")</f>
        <v/>
      </c>
      <c r="S4079" s="16">
        <f>N4079/10000</f>
        <v/>
      </c>
      <c r="T4079" s="16">
        <f>P4079/10000</f>
        <v/>
      </c>
      <c r="U4079" s="15">
        <f>IF(N4079&gt;=Summary!$D$3,1,0)</f>
        <v/>
      </c>
      <c r="V4079" s="17">
        <f>IF(N4079&gt;0,P4079/N4079,"")</f>
        <v/>
      </c>
      <c r="W4079" s="17">
        <f>IF(O4079&gt;0,H4079/O4079,"")</f>
        <v/>
      </c>
    </row>
    <row r="4080">
      <c r="A4080" s="13" t="inlineStr">
        <is>
          <t>CW55_B3</t>
        </is>
      </c>
      <c r="B4080" s="13" t="inlineStr">
        <is>
          <t>CW55</t>
        </is>
      </c>
      <c r="C4080" s="13" t="inlineStr">
        <is>
          <t>B3</t>
        </is>
      </c>
      <c r="D4080" s="13" t="n">
        <v>0</v>
      </c>
      <c r="E4080" s="13" t="inlineStr">
        <is>
          <t>W</t>
        </is>
      </c>
      <c r="F4080" s="13" t="n">
        <v>2024</v>
      </c>
      <c r="G4080" s="14" t="n">
        <v>8008615.907195685</v>
      </c>
      <c r="H4080" s="14" t="n">
        <v>3044016.005741552</v>
      </c>
      <c r="I4080" s="14" t="n">
        <v>50658.25390966078</v>
      </c>
      <c r="J4080" s="14" t="n">
        <v>0</v>
      </c>
      <c r="K4080" s="14" t="n">
        <v>350426.2268266865</v>
      </c>
      <c r="L4080" s="14" t="n">
        <v>4563515.420717786</v>
      </c>
      <c r="M4080" s="14" t="n">
        <v>0</v>
      </c>
      <c r="N4080" s="14" t="n">
        <v>3137349.093376009</v>
      </c>
      <c r="O4080" s="14" t="n">
        <v>3390254.105457141</v>
      </c>
      <c r="P4080" s="14" t="n">
        <v>107372.0962393368</v>
      </c>
      <c r="Q4080" s="14" t="n">
        <v>16030733.89757801</v>
      </c>
      <c r="R4080" s="15">
        <f>IF(D4080=1,"Section 1","Control")</f>
        <v/>
      </c>
      <c r="S4080" s="16">
        <f>N4080/10000</f>
        <v/>
      </c>
      <c r="T4080" s="16">
        <f>P4080/10000</f>
        <v/>
      </c>
      <c r="U4080" s="15">
        <f>IF(N4080&gt;=Summary!$D$3,1,0)</f>
        <v/>
      </c>
      <c r="V4080" s="17">
        <f>IF(N4080&gt;0,P4080/N4080,"")</f>
        <v/>
      </c>
      <c r="W4080" s="17">
        <f>IF(O4080&gt;0,H4080/O4080,"")</f>
        <v/>
      </c>
    </row>
    <row r="4081">
      <c r="A4081" s="13" t="inlineStr">
        <is>
          <t>CW55_B3</t>
        </is>
      </c>
      <c r="B4081" s="13" t="inlineStr">
        <is>
          <t>CW55</t>
        </is>
      </c>
      <c r="C4081" s="13" t="inlineStr">
        <is>
          <t>B3</t>
        </is>
      </c>
      <c r="D4081" s="13" t="n">
        <v>0</v>
      </c>
      <c r="E4081" s="13" t="inlineStr">
        <is>
          <t>W</t>
        </is>
      </c>
      <c r="F4081" s="13" t="n">
        <v>2025</v>
      </c>
      <c r="G4081" s="14" t="n">
        <v>8008615.907195686</v>
      </c>
      <c r="H4081" s="14" t="n">
        <v>3032515.360390786</v>
      </c>
      <c r="I4081" s="14" t="n">
        <v>46558.47147692512</v>
      </c>
      <c r="J4081" s="14" t="n">
        <v>0</v>
      </c>
      <c r="K4081" s="14" t="n">
        <v>261319.5338074628</v>
      </c>
      <c r="L4081" s="14" t="n">
        <v>4668222.541520512</v>
      </c>
      <c r="M4081" s="14" t="n">
        <v>0</v>
      </c>
      <c r="N4081" s="14" t="n">
        <v>3137349.093376009</v>
      </c>
      <c r="O4081" s="14" t="n">
        <v>3390254.105457141</v>
      </c>
      <c r="P4081" s="14" t="n">
        <v>118983.5805904912</v>
      </c>
      <c r="Q4081" s="14" t="n">
        <v>16030733.89757801</v>
      </c>
      <c r="R4081" s="15">
        <f>IF(D4081=1,"Section 1","Control")</f>
        <v/>
      </c>
      <c r="S4081" s="16">
        <f>N4081/10000</f>
        <v/>
      </c>
      <c r="T4081" s="16">
        <f>P4081/10000</f>
        <v/>
      </c>
      <c r="U4081" s="15">
        <f>IF(N4081&gt;=Summary!$D$3,1,0)</f>
        <v/>
      </c>
      <c r="V4081" s="17">
        <f>IF(N4081&gt;0,P4081/N4081,"")</f>
        <v/>
      </c>
      <c r="W4081" s="17">
        <f>IF(O4081&gt;0,H4081/O4081,"")</f>
        <v/>
      </c>
    </row>
    <row r="4082">
      <c r="A4082" s="13" t="inlineStr">
        <is>
          <t>CW55_B3</t>
        </is>
      </c>
      <c r="B4082" s="13" t="inlineStr">
        <is>
          <t>CW55</t>
        </is>
      </c>
      <c r="C4082" s="13" t="inlineStr">
        <is>
          <t>B3</t>
        </is>
      </c>
      <c r="D4082" s="13" t="n">
        <v>0</v>
      </c>
      <c r="E4082" s="13" t="inlineStr">
        <is>
          <t>W</t>
        </is>
      </c>
      <c r="F4082" s="13" t="n">
        <v>2026</v>
      </c>
      <c r="G4082" s="14" t="n">
        <v>8008615.907195685</v>
      </c>
      <c r="H4082" s="14" t="n">
        <v>3021916.872195584</v>
      </c>
      <c r="I4082" s="14" t="n">
        <v>22159.62323527617</v>
      </c>
      <c r="J4082" s="14" t="n">
        <v>0</v>
      </c>
      <c r="K4082" s="14" t="n">
        <v>288480.679704524</v>
      </c>
      <c r="L4082" s="14" t="n">
        <v>4676058.732060303</v>
      </c>
      <c r="M4082" s="14" t="n">
        <v>0</v>
      </c>
      <c r="N4082" s="14" t="n">
        <v>3137349.093376009</v>
      </c>
      <c r="O4082" s="14" t="n">
        <v>3390254.105457141</v>
      </c>
      <c r="P4082" s="14" t="n">
        <v>132020.3942968032</v>
      </c>
      <c r="Q4082" s="14" t="n">
        <v>16030733.89757801</v>
      </c>
      <c r="R4082" s="15">
        <f>IF(D4082=1,"Section 1","Control")</f>
        <v/>
      </c>
      <c r="S4082" s="16">
        <f>N4082/10000</f>
        <v/>
      </c>
      <c r="T4082" s="16">
        <f>P4082/10000</f>
        <v/>
      </c>
      <c r="U4082" s="15">
        <f>IF(N4082&gt;=Summary!$D$3,1,0)</f>
        <v/>
      </c>
      <c r="V4082" s="17">
        <f>IF(N4082&gt;0,P4082/N4082,"")</f>
        <v/>
      </c>
      <c r="W4082" s="17">
        <f>IF(O4082&gt;0,H4082/O4082,"")</f>
        <v/>
      </c>
    </row>
    <row r="4083">
      <c r="A4083" s="13" t="inlineStr">
        <is>
          <t>CW55_F</t>
        </is>
      </c>
      <c r="B4083" s="13" t="inlineStr">
        <is>
          <t>CW55</t>
        </is>
      </c>
      <c r="C4083" s="13" t="inlineStr">
        <is>
          <t>F</t>
        </is>
      </c>
      <c r="D4083" s="13" t="n">
        <v>0</v>
      </c>
      <c r="E4083" s="13" t="inlineStr">
        <is>
          <t>W</t>
        </is>
      </c>
      <c r="F4083" s="13" t="n">
        <v>2020</v>
      </c>
      <c r="G4083" s="14" t="n">
        <v>69559.18922481165</v>
      </c>
      <c r="H4083" s="14" t="n">
        <v>40480.78775898054</v>
      </c>
      <c r="I4083" s="14" t="n">
        <v>1919.950616993623</v>
      </c>
      <c r="J4083" s="14" t="n">
        <v>0</v>
      </c>
      <c r="K4083" s="14" t="n">
        <v>27158.45084883746</v>
      </c>
      <c r="L4083" s="14" t="n">
        <v>0</v>
      </c>
      <c r="M4083" s="14" t="n">
        <v>0</v>
      </c>
      <c r="N4083" s="14" t="n">
        <v>40480.78775898054</v>
      </c>
      <c r="O4083" s="14" t="n">
        <v>69559.18922481165</v>
      </c>
      <c r="P4083" s="14" t="n">
        <v>0</v>
      </c>
      <c r="Q4083" s="14" t="n">
        <v>956874.30873449</v>
      </c>
      <c r="R4083" s="15">
        <f>IF(D4083=1,"Section 1","Control")</f>
        <v/>
      </c>
      <c r="S4083" s="16">
        <f>N4083/10000</f>
        <v/>
      </c>
      <c r="T4083" s="16">
        <f>P4083/10000</f>
        <v/>
      </c>
      <c r="U4083" s="15">
        <f>IF(N4083&gt;=Summary!$D$3,1,0)</f>
        <v/>
      </c>
      <c r="V4083" s="17">
        <f>IF(N4083&gt;0,P4083/N4083,"")</f>
        <v/>
      </c>
      <c r="W4083" s="17">
        <f>IF(O4083&gt;0,H4083/O4083,"")</f>
        <v/>
      </c>
    </row>
    <row r="4084">
      <c r="A4084" s="13" t="inlineStr">
        <is>
          <t>CW55_F</t>
        </is>
      </c>
      <c r="B4084" s="13" t="inlineStr">
        <is>
          <t>CW55</t>
        </is>
      </c>
      <c r="C4084" s="13" t="inlineStr">
        <is>
          <t>F</t>
        </is>
      </c>
      <c r="D4084" s="13" t="n">
        <v>0</v>
      </c>
      <c r="E4084" s="13" t="inlineStr">
        <is>
          <t>W</t>
        </is>
      </c>
      <c r="F4084" s="13" t="n">
        <v>2021</v>
      </c>
      <c r="G4084" s="14" t="n">
        <v>69559.18922481165</v>
      </c>
      <c r="H4084" s="14" t="n">
        <v>34684.15722321154</v>
      </c>
      <c r="I4084" s="14" t="n">
        <v>615.5919218474743</v>
      </c>
      <c r="J4084" s="14" t="n">
        <v>0</v>
      </c>
      <c r="K4084" s="14" t="n">
        <v>34259.4400797526</v>
      </c>
      <c r="L4084" s="14" t="n">
        <v>0</v>
      </c>
      <c r="M4084" s="14" t="n">
        <v>0</v>
      </c>
      <c r="N4084" s="14" t="n">
        <v>40480.78775898054</v>
      </c>
      <c r="O4084" s="14" t="n">
        <v>69559.18922481165</v>
      </c>
      <c r="P4084" s="14" t="n">
        <v>5796.630535768995</v>
      </c>
      <c r="Q4084" s="14" t="n">
        <v>956874.30873449</v>
      </c>
      <c r="R4084" s="15">
        <f>IF(D4084=1,"Section 1","Control")</f>
        <v/>
      </c>
      <c r="S4084" s="16">
        <f>N4084/10000</f>
        <v/>
      </c>
      <c r="T4084" s="16">
        <f>P4084/10000</f>
        <v/>
      </c>
      <c r="U4084" s="15">
        <f>IF(N4084&gt;=Summary!$D$3,1,0)</f>
        <v/>
      </c>
      <c r="V4084" s="17">
        <f>IF(N4084&gt;0,P4084/N4084,"")</f>
        <v/>
      </c>
      <c r="W4084" s="17">
        <f>IF(O4084&gt;0,H4084/O4084,"")</f>
        <v/>
      </c>
    </row>
    <row r="4085">
      <c r="A4085" s="13" t="inlineStr">
        <is>
          <t>CW55_F</t>
        </is>
      </c>
      <c r="B4085" s="13" t="inlineStr">
        <is>
          <t>CW55</t>
        </is>
      </c>
      <c r="C4085" s="13" t="inlineStr">
        <is>
          <t>F</t>
        </is>
      </c>
      <c r="D4085" s="13" t="n">
        <v>0</v>
      </c>
      <c r="E4085" s="13" t="inlineStr">
        <is>
          <t>W</t>
        </is>
      </c>
      <c r="F4085" s="13" t="n">
        <v>2022</v>
      </c>
      <c r="G4085" s="14" t="n">
        <v>69559.18922481165</v>
      </c>
      <c r="H4085" s="14" t="n">
        <v>30866.32431137983</v>
      </c>
      <c r="I4085" s="14" t="n">
        <v>2029.13070714614</v>
      </c>
      <c r="J4085" s="14" t="n">
        <v>0</v>
      </c>
      <c r="K4085" s="14" t="n">
        <v>36663.73420628566</v>
      </c>
      <c r="L4085" s="14" t="n">
        <v>0</v>
      </c>
      <c r="M4085" s="14" t="n">
        <v>0</v>
      </c>
      <c r="N4085" s="14" t="n">
        <v>40480.78775898054</v>
      </c>
      <c r="O4085" s="14" t="n">
        <v>69559.18922481165</v>
      </c>
      <c r="P4085" s="14" t="n">
        <v>9924.969520538927</v>
      </c>
      <c r="Q4085" s="14" t="n">
        <v>956874.30873449</v>
      </c>
      <c r="R4085" s="15">
        <f>IF(D4085=1,"Section 1","Control")</f>
        <v/>
      </c>
      <c r="S4085" s="16">
        <f>N4085/10000</f>
        <v/>
      </c>
      <c r="T4085" s="16">
        <f>P4085/10000</f>
        <v/>
      </c>
      <c r="U4085" s="15">
        <f>IF(N4085&gt;=Summary!$D$3,1,0)</f>
        <v/>
      </c>
      <c r="V4085" s="17">
        <f>IF(N4085&gt;0,P4085/N4085,"")</f>
        <v/>
      </c>
      <c r="W4085" s="17">
        <f>IF(O4085&gt;0,H4085/O4085,"")</f>
        <v/>
      </c>
    </row>
    <row r="4086">
      <c r="A4086" s="13" t="inlineStr">
        <is>
          <t>CW55_F</t>
        </is>
      </c>
      <c r="B4086" s="13" t="inlineStr">
        <is>
          <t>CW55</t>
        </is>
      </c>
      <c r="C4086" s="13" t="inlineStr">
        <is>
          <t>F</t>
        </is>
      </c>
      <c r="D4086" s="13" t="n">
        <v>0</v>
      </c>
      <c r="E4086" s="13" t="inlineStr">
        <is>
          <t>W</t>
        </is>
      </c>
      <c r="F4086" s="13" t="n">
        <v>2023</v>
      </c>
      <c r="G4086" s="14" t="n">
        <v>69559.18922481165</v>
      </c>
      <c r="H4086" s="14" t="n">
        <v>29693.21489093258</v>
      </c>
      <c r="I4086" s="14" t="n">
        <v>4980.100715128581</v>
      </c>
      <c r="J4086" s="14" t="n">
        <v>0</v>
      </c>
      <c r="K4086" s="14" t="n">
        <v>34885.87361875047</v>
      </c>
      <c r="L4086" s="14" t="n">
        <v>0</v>
      </c>
      <c r="M4086" s="14" t="n">
        <v>0</v>
      </c>
      <c r="N4086" s="14" t="n">
        <v>40480.78775898054</v>
      </c>
      <c r="O4086" s="14" t="n">
        <v>69559.18922481165</v>
      </c>
      <c r="P4086" s="14" t="n">
        <v>11007.4824463489</v>
      </c>
      <c r="Q4086" s="14" t="n">
        <v>956874.30873449</v>
      </c>
      <c r="R4086" s="15">
        <f>IF(D4086=1,"Section 1","Control")</f>
        <v/>
      </c>
      <c r="S4086" s="16">
        <f>N4086/10000</f>
        <v/>
      </c>
      <c r="T4086" s="16">
        <f>P4086/10000</f>
        <v/>
      </c>
      <c r="U4086" s="15">
        <f>IF(N4086&gt;=Summary!$D$3,1,0)</f>
        <v/>
      </c>
      <c r="V4086" s="17">
        <f>IF(N4086&gt;0,P4086/N4086,"")</f>
        <v/>
      </c>
      <c r="W4086" s="17">
        <f>IF(O4086&gt;0,H4086/O4086,"")</f>
        <v/>
      </c>
    </row>
    <row r="4087">
      <c r="A4087" s="13" t="inlineStr">
        <is>
          <t>CW55_F</t>
        </is>
      </c>
      <c r="B4087" s="13" t="inlineStr">
        <is>
          <t>CW55</t>
        </is>
      </c>
      <c r="C4087" s="13" t="inlineStr">
        <is>
          <t>F</t>
        </is>
      </c>
      <c r="D4087" s="13" t="n">
        <v>0</v>
      </c>
      <c r="E4087" s="13" t="inlineStr">
        <is>
          <t>W</t>
        </is>
      </c>
      <c r="F4087" s="13" t="n">
        <v>2024</v>
      </c>
      <c r="G4087" s="14" t="n">
        <v>69559.18922481165</v>
      </c>
      <c r="H4087" s="14" t="n">
        <v>31758.35134094837</v>
      </c>
      <c r="I4087" s="14" t="n">
        <v>1520.783563711129</v>
      </c>
      <c r="J4087" s="14" t="n">
        <v>0</v>
      </c>
      <c r="K4087" s="14" t="n">
        <v>36280.05432015212</v>
      </c>
      <c r="L4087" s="14" t="n">
        <v>0</v>
      </c>
      <c r="M4087" s="14" t="n">
        <v>0</v>
      </c>
      <c r="N4087" s="14" t="n">
        <v>40480.78775898054</v>
      </c>
      <c r="O4087" s="14" t="n">
        <v>69559.18922481165</v>
      </c>
      <c r="P4087" s="14" t="n">
        <v>10482.10016084559</v>
      </c>
      <c r="Q4087" s="14" t="n">
        <v>956874.30873449</v>
      </c>
      <c r="R4087" s="15">
        <f>IF(D4087=1,"Section 1","Control")</f>
        <v/>
      </c>
      <c r="S4087" s="16">
        <f>N4087/10000</f>
        <v/>
      </c>
      <c r="T4087" s="16">
        <f>P4087/10000</f>
        <v/>
      </c>
      <c r="U4087" s="15">
        <f>IF(N4087&gt;=Summary!$D$3,1,0)</f>
        <v/>
      </c>
      <c r="V4087" s="17">
        <f>IF(N4087&gt;0,P4087/N4087,"")</f>
        <v/>
      </c>
      <c r="W4087" s="17">
        <f>IF(O4087&gt;0,H4087/O4087,"")</f>
        <v/>
      </c>
    </row>
    <row r="4088">
      <c r="A4088" s="13" t="inlineStr">
        <is>
          <t>CW55_F</t>
        </is>
      </c>
      <c r="B4088" s="13" t="inlineStr">
        <is>
          <t>CW55</t>
        </is>
      </c>
      <c r="C4088" s="13" t="inlineStr">
        <is>
          <t>F</t>
        </is>
      </c>
      <c r="D4088" s="13" t="n">
        <v>0</v>
      </c>
      <c r="E4088" s="13" t="inlineStr">
        <is>
          <t>W</t>
        </is>
      </c>
      <c r="F4088" s="13" t="n">
        <v>2025</v>
      </c>
      <c r="G4088" s="14" t="n">
        <v>69559.18922481165</v>
      </c>
      <c r="H4088" s="14" t="n">
        <v>26577.31205716601</v>
      </c>
      <c r="I4088" s="14" t="n">
        <v>6390.155463663737</v>
      </c>
      <c r="J4088" s="14" t="n">
        <v>0</v>
      </c>
      <c r="K4088" s="14" t="n">
        <v>36591.72170398187</v>
      </c>
      <c r="L4088" s="14" t="n">
        <v>0</v>
      </c>
      <c r="M4088" s="14" t="n">
        <v>0</v>
      </c>
      <c r="N4088" s="14" t="n">
        <v>40480.78775898054</v>
      </c>
      <c r="O4088" s="14" t="n">
        <v>69559.18922481165</v>
      </c>
      <c r="P4088" s="14" t="n">
        <v>14495.83773184384</v>
      </c>
      <c r="Q4088" s="14" t="n">
        <v>956874.30873449</v>
      </c>
      <c r="R4088" s="15">
        <f>IF(D4088=1,"Section 1","Control")</f>
        <v/>
      </c>
      <c r="S4088" s="16">
        <f>N4088/10000</f>
        <v/>
      </c>
      <c r="T4088" s="16">
        <f>P4088/10000</f>
        <v/>
      </c>
      <c r="U4088" s="15">
        <f>IF(N4088&gt;=Summary!$D$3,1,0)</f>
        <v/>
      </c>
      <c r="V4088" s="17">
        <f>IF(N4088&gt;0,P4088/N4088,"")</f>
        <v/>
      </c>
      <c r="W4088" s="17">
        <f>IF(O4088&gt;0,H4088/O4088,"")</f>
        <v/>
      </c>
    </row>
    <row r="4089">
      <c r="A4089" s="13" t="inlineStr">
        <is>
          <t>CW55_F</t>
        </is>
      </c>
      <c r="B4089" s="13" t="inlineStr">
        <is>
          <t>CW55</t>
        </is>
      </c>
      <c r="C4089" s="13" t="inlineStr">
        <is>
          <t>F</t>
        </is>
      </c>
      <c r="D4089" s="13" t="n">
        <v>0</v>
      </c>
      <c r="E4089" s="13" t="inlineStr">
        <is>
          <t>W</t>
        </is>
      </c>
      <c r="F4089" s="13" t="n">
        <v>2026</v>
      </c>
      <c r="G4089" s="14" t="n">
        <v>69559.18922481165</v>
      </c>
      <c r="H4089" s="14" t="n">
        <v>29588.29184905408</v>
      </c>
      <c r="I4089" s="14" t="n">
        <v>3357.881315792308</v>
      </c>
      <c r="J4089" s="14" t="n">
        <v>0</v>
      </c>
      <c r="K4089" s="14" t="n">
        <v>36613.01605996523</v>
      </c>
      <c r="L4089" s="14" t="n">
        <v>0</v>
      </c>
      <c r="M4089" s="14" t="n">
        <v>0</v>
      </c>
      <c r="N4089" s="14" t="n">
        <v>40480.78775898054</v>
      </c>
      <c r="O4089" s="14" t="n">
        <v>69559.18922481165</v>
      </c>
      <c r="P4089" s="14" t="n">
        <v>12740.43300296559</v>
      </c>
      <c r="Q4089" s="14" t="n">
        <v>956874.30873449</v>
      </c>
      <c r="R4089" s="15">
        <f>IF(D4089=1,"Section 1","Control")</f>
        <v/>
      </c>
      <c r="S4089" s="16">
        <f>N4089/10000</f>
        <v/>
      </c>
      <c r="T4089" s="16">
        <f>P4089/10000</f>
        <v/>
      </c>
      <c r="U4089" s="15">
        <f>IF(N4089&gt;=Summary!$D$3,1,0)</f>
        <v/>
      </c>
      <c r="V4089" s="17">
        <f>IF(N4089&gt;0,P4089/N4089,"")</f>
        <v/>
      </c>
      <c r="W4089" s="17">
        <f>IF(O4089&gt;0,H4089/O4089,"")</f>
        <v/>
      </c>
    </row>
    <row r="4090">
      <c r="A4090" s="13" t="inlineStr">
        <is>
          <t>CW56_B1</t>
        </is>
      </c>
      <c r="B4090" s="13" t="inlineStr">
        <is>
          <t>CW56</t>
        </is>
      </c>
      <c r="C4090" s="13" t="inlineStr">
        <is>
          <t>B1</t>
        </is>
      </c>
      <c r="D4090" s="13" t="n">
        <v>0</v>
      </c>
      <c r="E4090" s="13" t="inlineStr">
        <is>
          <t>W</t>
        </is>
      </c>
      <c r="F4090" s="13" t="n">
        <v>2020</v>
      </c>
      <c r="G4090" s="14" t="n">
        <v>974909.3972868078</v>
      </c>
      <c r="H4090" s="14" t="n">
        <v>167917.5033780865</v>
      </c>
      <c r="I4090" s="14" t="n">
        <v>203896.3218525008</v>
      </c>
      <c r="J4090" s="14" t="n">
        <v>0</v>
      </c>
      <c r="K4090" s="14" t="n">
        <v>70563.34286086139</v>
      </c>
      <c r="L4090" s="14" t="n">
        <v>532532.2291953592</v>
      </c>
      <c r="M4090" s="14" t="n">
        <v>0</v>
      </c>
      <c r="N4090" s="14" t="n">
        <v>167917.5033780865</v>
      </c>
      <c r="O4090" s="14" t="n">
        <v>442377.1680914485</v>
      </c>
      <c r="P4090" s="14" t="n">
        <v>0</v>
      </c>
      <c r="Q4090" s="14" t="n">
        <v>2699454.035966881</v>
      </c>
      <c r="R4090" s="15">
        <f>IF(D4090=1,"Section 1","Control")</f>
        <v/>
      </c>
      <c r="S4090" s="16">
        <f>N4090/10000</f>
        <v/>
      </c>
      <c r="T4090" s="16">
        <f>P4090/10000</f>
        <v/>
      </c>
      <c r="U4090" s="15">
        <f>IF(N4090&gt;=Summary!$D$3,1,0)</f>
        <v/>
      </c>
      <c r="V4090" s="17">
        <f>IF(N4090&gt;0,P4090/N4090,"")</f>
        <v/>
      </c>
      <c r="W4090" s="17">
        <f>IF(O4090&gt;0,H4090/O4090,"")</f>
        <v/>
      </c>
    </row>
    <row r="4091">
      <c r="A4091" s="13" t="inlineStr">
        <is>
          <t>CW56_B1</t>
        </is>
      </c>
      <c r="B4091" s="13" t="inlineStr">
        <is>
          <t>CW56</t>
        </is>
      </c>
      <c r="C4091" s="13" t="inlineStr">
        <is>
          <t>B1</t>
        </is>
      </c>
      <c r="D4091" s="13" t="n">
        <v>0</v>
      </c>
      <c r="E4091" s="13" t="inlineStr">
        <is>
          <t>W</t>
        </is>
      </c>
      <c r="F4091" s="13" t="n">
        <v>2021</v>
      </c>
      <c r="G4091" s="14" t="n">
        <v>974909.3972868078</v>
      </c>
      <c r="H4091" s="14" t="n">
        <v>152546.7003821878</v>
      </c>
      <c r="I4091" s="14" t="n">
        <v>219266.8396520278</v>
      </c>
      <c r="J4091" s="14" t="n">
        <v>0</v>
      </c>
      <c r="K4091" s="14" t="n">
        <v>84269.32684541593</v>
      </c>
      <c r="L4091" s="14" t="n">
        <v>518826.5304071764</v>
      </c>
      <c r="M4091" s="14" t="n">
        <v>0</v>
      </c>
      <c r="N4091" s="14" t="n">
        <v>167917.5033780865</v>
      </c>
      <c r="O4091" s="14" t="n">
        <v>442377.1680914485</v>
      </c>
      <c r="P4091" s="14" t="n">
        <v>23170.20755980249</v>
      </c>
      <c r="Q4091" s="14" t="n">
        <v>2699454.035966881</v>
      </c>
      <c r="R4091" s="15">
        <f>IF(D4091=1,"Section 1","Control")</f>
        <v/>
      </c>
      <c r="S4091" s="16">
        <f>N4091/10000</f>
        <v/>
      </c>
      <c r="T4091" s="16">
        <f>P4091/10000</f>
        <v/>
      </c>
      <c r="U4091" s="15">
        <f>IF(N4091&gt;=Summary!$D$3,1,0)</f>
        <v/>
      </c>
      <c r="V4091" s="17">
        <f>IF(N4091&gt;0,P4091/N4091,"")</f>
        <v/>
      </c>
      <c r="W4091" s="17">
        <f>IF(O4091&gt;0,H4091/O4091,"")</f>
        <v/>
      </c>
    </row>
    <row r="4092">
      <c r="A4092" s="13" t="inlineStr">
        <is>
          <t>CW56_B1</t>
        </is>
      </c>
      <c r="B4092" s="13" t="inlineStr">
        <is>
          <t>CW56</t>
        </is>
      </c>
      <c r="C4092" s="13" t="inlineStr">
        <is>
          <t>B1</t>
        </is>
      </c>
      <c r="D4092" s="13" t="n">
        <v>0</v>
      </c>
      <c r="E4092" s="13" t="inlineStr">
        <is>
          <t>W</t>
        </is>
      </c>
      <c r="F4092" s="13" t="n">
        <v>2022</v>
      </c>
      <c r="G4092" s="14" t="n">
        <v>974909.3972868078</v>
      </c>
      <c r="H4092" s="14" t="n">
        <v>144079.0492073508</v>
      </c>
      <c r="I4092" s="14" t="n">
        <v>235042.64569017</v>
      </c>
      <c r="J4092" s="14" t="n">
        <v>0</v>
      </c>
      <c r="K4092" s="14" t="n">
        <v>92508.90237794764</v>
      </c>
      <c r="L4092" s="14" t="n">
        <v>503278.8000113394</v>
      </c>
      <c r="M4092" s="14" t="n">
        <v>0</v>
      </c>
      <c r="N4092" s="14" t="n">
        <v>167917.5033780865</v>
      </c>
      <c r="O4092" s="14" t="n">
        <v>442377.1680914485</v>
      </c>
      <c r="P4092" s="14" t="n">
        <v>30283.95053531422</v>
      </c>
      <c r="Q4092" s="14" t="n">
        <v>2699454.035966881</v>
      </c>
      <c r="R4092" s="15">
        <f>IF(D4092=1,"Section 1","Control")</f>
        <v/>
      </c>
      <c r="S4092" s="16">
        <f>N4092/10000</f>
        <v/>
      </c>
      <c r="T4092" s="16">
        <f>P4092/10000</f>
        <v/>
      </c>
      <c r="U4092" s="15">
        <f>IF(N4092&gt;=Summary!$D$3,1,0)</f>
        <v/>
      </c>
      <c r="V4092" s="17">
        <f>IF(N4092&gt;0,P4092/N4092,"")</f>
        <v/>
      </c>
      <c r="W4092" s="17">
        <f>IF(O4092&gt;0,H4092/O4092,"")</f>
        <v/>
      </c>
    </row>
    <row r="4093">
      <c r="A4093" s="13" t="inlineStr">
        <is>
          <t>CW56_B1</t>
        </is>
      </c>
      <c r="B4093" s="13" t="inlineStr">
        <is>
          <t>CW56</t>
        </is>
      </c>
      <c r="C4093" s="13" t="inlineStr">
        <is>
          <t>B1</t>
        </is>
      </c>
      <c r="D4093" s="13" t="n">
        <v>0</v>
      </c>
      <c r="E4093" s="13" t="inlineStr">
        <is>
          <t>W</t>
        </is>
      </c>
      <c r="F4093" s="13" t="n">
        <v>2023</v>
      </c>
      <c r="G4093" s="14" t="n">
        <v>974909.3972868078</v>
      </c>
      <c r="H4093" s="14" t="n">
        <v>159176.4924418431</v>
      </c>
      <c r="I4093" s="14" t="n">
        <v>196650.935971548</v>
      </c>
      <c r="J4093" s="14" t="n">
        <v>0</v>
      </c>
      <c r="K4093" s="14" t="n">
        <v>77565.19594146131</v>
      </c>
      <c r="L4093" s="14" t="n">
        <v>541516.7729319554</v>
      </c>
      <c r="M4093" s="14" t="n">
        <v>0</v>
      </c>
      <c r="N4093" s="14" t="n">
        <v>167917.5033780865</v>
      </c>
      <c r="O4093" s="14" t="n">
        <v>442377.1680914485</v>
      </c>
      <c r="P4093" s="14" t="n">
        <v>24685.17472988952</v>
      </c>
      <c r="Q4093" s="14" t="n">
        <v>2699454.035966881</v>
      </c>
      <c r="R4093" s="15">
        <f>IF(D4093=1,"Section 1","Control")</f>
        <v/>
      </c>
      <c r="S4093" s="16">
        <f>N4093/10000</f>
        <v/>
      </c>
      <c r="T4093" s="16">
        <f>P4093/10000</f>
        <v/>
      </c>
      <c r="U4093" s="15">
        <f>IF(N4093&gt;=Summary!$D$3,1,0)</f>
        <v/>
      </c>
      <c r="V4093" s="17">
        <f>IF(N4093&gt;0,P4093/N4093,"")</f>
        <v/>
      </c>
      <c r="W4093" s="17">
        <f>IF(O4093&gt;0,H4093/O4093,"")</f>
        <v/>
      </c>
    </row>
    <row r="4094">
      <c r="A4094" s="13" t="inlineStr">
        <is>
          <t>CW56_B1</t>
        </is>
      </c>
      <c r="B4094" s="13" t="inlineStr">
        <is>
          <t>CW56</t>
        </is>
      </c>
      <c r="C4094" s="13" t="inlineStr">
        <is>
          <t>B1</t>
        </is>
      </c>
      <c r="D4094" s="13" t="n">
        <v>0</v>
      </c>
      <c r="E4094" s="13" t="inlineStr">
        <is>
          <t>W</t>
        </is>
      </c>
      <c r="F4094" s="13" t="n">
        <v>2024</v>
      </c>
      <c r="G4094" s="14" t="n">
        <v>974909.3972868078</v>
      </c>
      <c r="H4094" s="14" t="n">
        <v>173633.9565998152</v>
      </c>
      <c r="I4094" s="14" t="n">
        <v>196091.5575200699</v>
      </c>
      <c r="J4094" s="14" t="n">
        <v>0</v>
      </c>
      <c r="K4094" s="14" t="n">
        <v>78614.77667197434</v>
      </c>
      <c r="L4094" s="14" t="n">
        <v>526569.1064949485</v>
      </c>
      <c r="M4094" s="14" t="n">
        <v>0</v>
      </c>
      <c r="N4094" s="14" t="n">
        <v>167917.5033780865</v>
      </c>
      <c r="O4094" s="14" t="n">
        <v>442377.1680914485</v>
      </c>
      <c r="P4094" s="14" t="n">
        <v>21050.09201235304</v>
      </c>
      <c r="Q4094" s="14" t="n">
        <v>2699454.035966881</v>
      </c>
      <c r="R4094" s="15">
        <f>IF(D4094=1,"Section 1","Control")</f>
        <v/>
      </c>
      <c r="S4094" s="16">
        <f>N4094/10000</f>
        <v/>
      </c>
      <c r="T4094" s="16">
        <f>P4094/10000</f>
        <v/>
      </c>
      <c r="U4094" s="15">
        <f>IF(N4094&gt;=Summary!$D$3,1,0)</f>
        <v/>
      </c>
      <c r="V4094" s="17">
        <f>IF(N4094&gt;0,P4094/N4094,"")</f>
        <v/>
      </c>
      <c r="W4094" s="17">
        <f>IF(O4094&gt;0,H4094/O4094,"")</f>
        <v/>
      </c>
    </row>
    <row r="4095">
      <c r="A4095" s="13" t="inlineStr">
        <is>
          <t>CW56_B1</t>
        </is>
      </c>
      <c r="B4095" s="13" t="inlineStr">
        <is>
          <t>CW56</t>
        </is>
      </c>
      <c r="C4095" s="13" t="inlineStr">
        <is>
          <t>B1</t>
        </is>
      </c>
      <c r="D4095" s="13" t="n">
        <v>0</v>
      </c>
      <c r="E4095" s="13" t="inlineStr">
        <is>
          <t>W</t>
        </is>
      </c>
      <c r="F4095" s="13" t="n">
        <v>2025</v>
      </c>
      <c r="G4095" s="14" t="n">
        <v>974909.3972868078</v>
      </c>
      <c r="H4095" s="14" t="n">
        <v>145120.9098079606</v>
      </c>
      <c r="I4095" s="14" t="n">
        <v>230445.3593797871</v>
      </c>
      <c r="J4095" s="14" t="n">
        <v>0</v>
      </c>
      <c r="K4095" s="14" t="n">
        <v>72971.10138741288</v>
      </c>
      <c r="L4095" s="14" t="n">
        <v>526372.0267116472</v>
      </c>
      <c r="M4095" s="14" t="n">
        <v>0</v>
      </c>
      <c r="N4095" s="14" t="n">
        <v>167917.5033780865</v>
      </c>
      <c r="O4095" s="14" t="n">
        <v>442377.1680914485</v>
      </c>
      <c r="P4095" s="14" t="n">
        <v>33113.34132929784</v>
      </c>
      <c r="Q4095" s="14" t="n">
        <v>2699454.035966881</v>
      </c>
      <c r="R4095" s="15">
        <f>IF(D4095=1,"Section 1","Control")</f>
        <v/>
      </c>
      <c r="S4095" s="16">
        <f>N4095/10000</f>
        <v/>
      </c>
      <c r="T4095" s="16">
        <f>P4095/10000</f>
        <v/>
      </c>
      <c r="U4095" s="15">
        <f>IF(N4095&gt;=Summary!$D$3,1,0)</f>
        <v/>
      </c>
      <c r="V4095" s="17">
        <f>IF(N4095&gt;0,P4095/N4095,"")</f>
        <v/>
      </c>
      <c r="W4095" s="17">
        <f>IF(O4095&gt;0,H4095/O4095,"")</f>
        <v/>
      </c>
    </row>
    <row r="4096">
      <c r="A4096" s="13" t="inlineStr">
        <is>
          <t>CW56_B1</t>
        </is>
      </c>
      <c r="B4096" s="13" t="inlineStr">
        <is>
          <t>CW56</t>
        </is>
      </c>
      <c r="C4096" s="13" t="inlineStr">
        <is>
          <t>B1</t>
        </is>
      </c>
      <c r="D4096" s="13" t="n">
        <v>0</v>
      </c>
      <c r="E4096" s="13" t="inlineStr">
        <is>
          <t>W</t>
        </is>
      </c>
      <c r="F4096" s="13" t="n">
        <v>2026</v>
      </c>
      <c r="G4096" s="14" t="n">
        <v>974909.3972868078</v>
      </c>
      <c r="H4096" s="14" t="n">
        <v>169273.3473495184</v>
      </c>
      <c r="I4096" s="14" t="n">
        <v>191646.0551537906</v>
      </c>
      <c r="J4096" s="14" t="n">
        <v>0</v>
      </c>
      <c r="K4096" s="14" t="n">
        <v>69918.69852656944</v>
      </c>
      <c r="L4096" s="14" t="n">
        <v>544071.2962569293</v>
      </c>
      <c r="M4096" s="14" t="n">
        <v>0</v>
      </c>
      <c r="N4096" s="14" t="n">
        <v>167917.5033780865</v>
      </c>
      <c r="O4096" s="14" t="n">
        <v>442377.1680914485</v>
      </c>
      <c r="P4096" s="14" t="n">
        <v>23300.6685138478</v>
      </c>
      <c r="Q4096" s="14" t="n">
        <v>2699454.035966881</v>
      </c>
      <c r="R4096" s="15">
        <f>IF(D4096=1,"Section 1","Control")</f>
        <v/>
      </c>
      <c r="S4096" s="16">
        <f>N4096/10000</f>
        <v/>
      </c>
      <c r="T4096" s="16">
        <f>P4096/10000</f>
        <v/>
      </c>
      <c r="U4096" s="15">
        <f>IF(N4096&gt;=Summary!$D$3,1,0)</f>
        <v/>
      </c>
      <c r="V4096" s="17">
        <f>IF(N4096&gt;0,P4096/N4096,"")</f>
        <v/>
      </c>
      <c r="W4096" s="17">
        <f>IF(O4096&gt;0,H4096/O4096,"")</f>
        <v/>
      </c>
    </row>
    <row r="4097">
      <c r="A4097" s="13" t="inlineStr">
        <is>
          <t>CW56_B2</t>
        </is>
      </c>
      <c r="B4097" s="13" t="inlineStr">
        <is>
          <t>CW56</t>
        </is>
      </c>
      <c r="C4097" s="13" t="inlineStr">
        <is>
          <t>B2</t>
        </is>
      </c>
      <c r="D4097" s="13" t="n">
        <v>0</v>
      </c>
      <c r="E4097" s="13" t="inlineStr">
        <is>
          <t>W</t>
        </is>
      </c>
      <c r="F4097" s="13" t="n">
        <v>2020</v>
      </c>
      <c r="G4097" s="14" t="n">
        <v>974900.0999015664</v>
      </c>
      <c r="H4097" s="14" t="n">
        <v>139445.0665007049</v>
      </c>
      <c r="I4097" s="14" t="n">
        <v>0</v>
      </c>
      <c r="J4097" s="14" t="n">
        <v>0</v>
      </c>
      <c r="K4097" s="14" t="n">
        <v>4750.823885300581</v>
      </c>
      <c r="L4097" s="14" t="n">
        <v>830704.2095155607</v>
      </c>
      <c r="M4097" s="14" t="n">
        <v>0</v>
      </c>
      <c r="N4097" s="14" t="n">
        <v>139445.0665007049</v>
      </c>
      <c r="O4097" s="14" t="n">
        <v>144195.8903860055</v>
      </c>
      <c r="P4097" s="14" t="n">
        <v>0</v>
      </c>
      <c r="Q4097" s="14" t="n">
        <v>847175.6666510787</v>
      </c>
      <c r="R4097" s="15">
        <f>IF(D4097=1,"Section 1","Control")</f>
        <v/>
      </c>
      <c r="S4097" s="16">
        <f>N4097/10000</f>
        <v/>
      </c>
      <c r="T4097" s="16">
        <f>P4097/10000</f>
        <v/>
      </c>
      <c r="U4097" s="15">
        <f>IF(N4097&gt;=Summary!$D$3,1,0)</f>
        <v/>
      </c>
      <c r="V4097" s="17">
        <f>IF(N4097&gt;0,P4097/N4097,"")</f>
        <v/>
      </c>
      <c r="W4097" s="17">
        <f>IF(O4097&gt;0,H4097/O4097,"")</f>
        <v/>
      </c>
    </row>
    <row r="4098">
      <c r="A4098" s="13" t="inlineStr">
        <is>
          <t>CW56_B2</t>
        </is>
      </c>
      <c r="B4098" s="13" t="inlineStr">
        <is>
          <t>CW56</t>
        </is>
      </c>
      <c r="C4098" s="13" t="inlineStr">
        <is>
          <t>B2</t>
        </is>
      </c>
      <c r="D4098" s="13" t="n">
        <v>0</v>
      </c>
      <c r="E4098" s="13" t="inlineStr">
        <is>
          <t>W</t>
        </is>
      </c>
      <c r="F4098" s="13" t="n">
        <v>2021</v>
      </c>
      <c r="G4098" s="14" t="n">
        <v>974900.0999015664</v>
      </c>
      <c r="H4098" s="14" t="n">
        <v>132091.7682162715</v>
      </c>
      <c r="I4098" s="14" t="n">
        <v>0</v>
      </c>
      <c r="J4098" s="14" t="n">
        <v>0</v>
      </c>
      <c r="K4098" s="14" t="n">
        <v>8994.46323628145</v>
      </c>
      <c r="L4098" s="14" t="n">
        <v>833813.8684490132</v>
      </c>
      <c r="M4098" s="14" t="n">
        <v>0</v>
      </c>
      <c r="N4098" s="14" t="n">
        <v>139445.0665007049</v>
      </c>
      <c r="O4098" s="14" t="n">
        <v>144195.8903860055</v>
      </c>
      <c r="P4098" s="14" t="n">
        <v>7353.298284433401</v>
      </c>
      <c r="Q4098" s="14" t="n">
        <v>847175.6666510787</v>
      </c>
      <c r="R4098" s="15">
        <f>IF(D4098=1,"Section 1","Control")</f>
        <v/>
      </c>
      <c r="S4098" s="16">
        <f>N4098/10000</f>
        <v/>
      </c>
      <c r="T4098" s="16">
        <f>P4098/10000</f>
        <v/>
      </c>
      <c r="U4098" s="15">
        <f>IF(N4098&gt;=Summary!$D$3,1,0)</f>
        <v/>
      </c>
      <c r="V4098" s="17">
        <f>IF(N4098&gt;0,P4098/N4098,"")</f>
        <v/>
      </c>
      <c r="W4098" s="17">
        <f>IF(O4098&gt;0,H4098/O4098,"")</f>
        <v/>
      </c>
    </row>
    <row r="4099">
      <c r="A4099" s="13" t="inlineStr">
        <is>
          <t>CW56_B2</t>
        </is>
      </c>
      <c r="B4099" s="13" t="inlineStr">
        <is>
          <t>CW56</t>
        </is>
      </c>
      <c r="C4099" s="13" t="inlineStr">
        <is>
          <t>B2</t>
        </is>
      </c>
      <c r="D4099" s="13" t="n">
        <v>0</v>
      </c>
      <c r="E4099" s="13" t="inlineStr">
        <is>
          <t>W</t>
        </is>
      </c>
      <c r="F4099" s="13" t="n">
        <v>2022</v>
      </c>
      <c r="G4099" s="14" t="n">
        <v>974900.0999015662</v>
      </c>
      <c r="H4099" s="14" t="n">
        <v>128463.7029478484</v>
      </c>
      <c r="I4099" s="14" t="n">
        <v>0</v>
      </c>
      <c r="J4099" s="14" t="n">
        <v>0</v>
      </c>
      <c r="K4099" s="14" t="n">
        <v>11447.11699413225</v>
      </c>
      <c r="L4099" s="14" t="n">
        <v>834989.2799595854</v>
      </c>
      <c r="M4099" s="14" t="n">
        <v>0</v>
      </c>
      <c r="N4099" s="14" t="n">
        <v>139445.0665007049</v>
      </c>
      <c r="O4099" s="14" t="n">
        <v>144195.8903860055</v>
      </c>
      <c r="P4099" s="14" t="n">
        <v>10981.36355285644</v>
      </c>
      <c r="Q4099" s="14" t="n">
        <v>847175.6666510787</v>
      </c>
      <c r="R4099" s="15">
        <f>IF(D4099=1,"Section 1","Control")</f>
        <v/>
      </c>
      <c r="S4099" s="16">
        <f>N4099/10000</f>
        <v/>
      </c>
      <c r="T4099" s="16">
        <f>P4099/10000</f>
        <v/>
      </c>
      <c r="U4099" s="15">
        <f>IF(N4099&gt;=Summary!$D$3,1,0)</f>
        <v/>
      </c>
      <c r="V4099" s="17">
        <f>IF(N4099&gt;0,P4099/N4099,"")</f>
        <v/>
      </c>
      <c r="W4099" s="17">
        <f>IF(O4099&gt;0,H4099/O4099,"")</f>
        <v/>
      </c>
    </row>
    <row r="4100">
      <c r="A4100" s="13" t="inlineStr">
        <is>
          <t>CW56_B2</t>
        </is>
      </c>
      <c r="B4100" s="13" t="inlineStr">
        <is>
          <t>CW56</t>
        </is>
      </c>
      <c r="C4100" s="13" t="inlineStr">
        <is>
          <t>B2</t>
        </is>
      </c>
      <c r="D4100" s="13" t="n">
        <v>0</v>
      </c>
      <c r="E4100" s="13" t="inlineStr">
        <is>
          <t>W</t>
        </is>
      </c>
      <c r="F4100" s="13" t="n">
        <v>2023</v>
      </c>
      <c r="G4100" s="14" t="n">
        <v>974900.0999015662</v>
      </c>
      <c r="H4100" s="14" t="n">
        <v>126839.1846549539</v>
      </c>
      <c r="I4100" s="14" t="n">
        <v>0</v>
      </c>
      <c r="J4100" s="14" t="n">
        <v>0</v>
      </c>
      <c r="K4100" s="14" t="n">
        <v>8989.818738690543</v>
      </c>
      <c r="L4100" s="14" t="n">
        <v>839071.0965079215</v>
      </c>
      <c r="M4100" s="14" t="n">
        <v>0</v>
      </c>
      <c r="N4100" s="14" t="n">
        <v>139445.0665007049</v>
      </c>
      <c r="O4100" s="14" t="n">
        <v>144195.8903860055</v>
      </c>
      <c r="P4100" s="14" t="n">
        <v>12605.88184575099</v>
      </c>
      <c r="Q4100" s="14" t="n">
        <v>847175.6666510787</v>
      </c>
      <c r="R4100" s="15">
        <f>IF(D4100=1,"Section 1","Control")</f>
        <v/>
      </c>
      <c r="S4100" s="16">
        <f>N4100/10000</f>
        <v/>
      </c>
      <c r="T4100" s="16">
        <f>P4100/10000</f>
        <v/>
      </c>
      <c r="U4100" s="15">
        <f>IF(N4100&gt;=Summary!$D$3,1,0)</f>
        <v/>
      </c>
      <c r="V4100" s="17">
        <f>IF(N4100&gt;0,P4100/N4100,"")</f>
        <v/>
      </c>
      <c r="W4100" s="17">
        <f>IF(O4100&gt;0,H4100/O4100,"")</f>
        <v/>
      </c>
    </row>
    <row r="4101">
      <c r="A4101" s="13" t="inlineStr">
        <is>
          <t>CW56_B2</t>
        </is>
      </c>
      <c r="B4101" s="13" t="inlineStr">
        <is>
          <t>CW56</t>
        </is>
      </c>
      <c r="C4101" s="13" t="inlineStr">
        <is>
          <t>B2</t>
        </is>
      </c>
      <c r="D4101" s="13" t="n">
        <v>0</v>
      </c>
      <c r="E4101" s="13" t="inlineStr">
        <is>
          <t>W</t>
        </is>
      </c>
      <c r="F4101" s="13" t="n">
        <v>2024</v>
      </c>
      <c r="G4101" s="14" t="n">
        <v>974900.0999015664</v>
      </c>
      <c r="H4101" s="14" t="n">
        <v>126839.1853797464</v>
      </c>
      <c r="I4101" s="14" t="n">
        <v>0</v>
      </c>
      <c r="J4101" s="14" t="n">
        <v>0</v>
      </c>
      <c r="K4101" s="14" t="n">
        <v>12815.33241714776</v>
      </c>
      <c r="L4101" s="14" t="n">
        <v>835245.582104672</v>
      </c>
      <c r="M4101" s="14" t="n">
        <v>0</v>
      </c>
      <c r="N4101" s="14" t="n">
        <v>139445.0665007049</v>
      </c>
      <c r="O4101" s="14" t="n">
        <v>144195.8903860055</v>
      </c>
      <c r="P4101" s="14" t="n">
        <v>12605.88112095851</v>
      </c>
      <c r="Q4101" s="14" t="n">
        <v>847175.6666510787</v>
      </c>
      <c r="R4101" s="15">
        <f>IF(D4101=1,"Section 1","Control")</f>
        <v/>
      </c>
      <c r="S4101" s="16">
        <f>N4101/10000</f>
        <v/>
      </c>
      <c r="T4101" s="16">
        <f>P4101/10000</f>
        <v/>
      </c>
      <c r="U4101" s="15">
        <f>IF(N4101&gt;=Summary!$D$3,1,0)</f>
        <v/>
      </c>
      <c r="V4101" s="17">
        <f>IF(N4101&gt;0,P4101/N4101,"")</f>
        <v/>
      </c>
      <c r="W4101" s="17">
        <f>IF(O4101&gt;0,H4101/O4101,"")</f>
        <v/>
      </c>
    </row>
    <row r="4102">
      <c r="A4102" s="13" t="inlineStr">
        <is>
          <t>CW56_B2</t>
        </is>
      </c>
      <c r="B4102" s="13" t="inlineStr">
        <is>
          <t>CW56</t>
        </is>
      </c>
      <c r="C4102" s="13" t="inlineStr">
        <is>
          <t>B2</t>
        </is>
      </c>
      <c r="D4102" s="13" t="n">
        <v>0</v>
      </c>
      <c r="E4102" s="13" t="inlineStr">
        <is>
          <t>W</t>
        </is>
      </c>
      <c r="F4102" s="13" t="n">
        <v>2025</v>
      </c>
      <c r="G4102" s="14" t="n">
        <v>974900.0999015662</v>
      </c>
      <c r="H4102" s="14" t="n">
        <v>126740.4593436746</v>
      </c>
      <c r="I4102" s="14" t="n">
        <v>12.3890500536152</v>
      </c>
      <c r="J4102" s="14" t="n">
        <v>0</v>
      </c>
      <c r="K4102" s="14" t="n">
        <v>8928.262309444652</v>
      </c>
      <c r="L4102" s="14" t="n">
        <v>839218.9891983933</v>
      </c>
      <c r="M4102" s="14" t="n">
        <v>0</v>
      </c>
      <c r="N4102" s="14" t="n">
        <v>139445.0665007049</v>
      </c>
      <c r="O4102" s="14" t="n">
        <v>144195.8903860055</v>
      </c>
      <c r="P4102" s="14" t="n">
        <v>12704.60715703029</v>
      </c>
      <c r="Q4102" s="14" t="n">
        <v>847175.6666510787</v>
      </c>
      <c r="R4102" s="15">
        <f>IF(D4102=1,"Section 1","Control")</f>
        <v/>
      </c>
      <c r="S4102" s="16">
        <f>N4102/10000</f>
        <v/>
      </c>
      <c r="T4102" s="16">
        <f>P4102/10000</f>
        <v/>
      </c>
      <c r="U4102" s="15">
        <f>IF(N4102&gt;=Summary!$D$3,1,0)</f>
        <v/>
      </c>
      <c r="V4102" s="17">
        <f>IF(N4102&gt;0,P4102/N4102,"")</f>
        <v/>
      </c>
      <c r="W4102" s="17">
        <f>IF(O4102&gt;0,H4102/O4102,"")</f>
        <v/>
      </c>
    </row>
    <row r="4103">
      <c r="A4103" s="13" t="inlineStr">
        <is>
          <t>CW56_B2</t>
        </is>
      </c>
      <c r="B4103" s="13" t="inlineStr">
        <is>
          <t>CW56</t>
        </is>
      </c>
      <c r="C4103" s="13" t="inlineStr">
        <is>
          <t>B2</t>
        </is>
      </c>
      <c r="D4103" s="13" t="n">
        <v>0</v>
      </c>
      <c r="E4103" s="13" t="inlineStr">
        <is>
          <t>W</t>
        </is>
      </c>
      <c r="F4103" s="13" t="n">
        <v>2026</v>
      </c>
      <c r="G4103" s="14" t="n">
        <v>974900.0999015664</v>
      </c>
      <c r="H4103" s="14" t="n">
        <v>124741.1717707316</v>
      </c>
      <c r="I4103" s="14" t="n">
        <v>0</v>
      </c>
      <c r="J4103" s="14" t="n">
        <v>0</v>
      </c>
      <c r="K4103" s="14" t="n">
        <v>10906.64148984422</v>
      </c>
      <c r="L4103" s="14" t="n">
        <v>839252.2866409903</v>
      </c>
      <c r="M4103" s="14" t="n">
        <v>0</v>
      </c>
      <c r="N4103" s="14" t="n">
        <v>139445.0665007049</v>
      </c>
      <c r="O4103" s="14" t="n">
        <v>144195.8903860055</v>
      </c>
      <c r="P4103" s="14" t="n">
        <v>14703.89472997329</v>
      </c>
      <c r="Q4103" s="14" t="n">
        <v>847175.6666510787</v>
      </c>
      <c r="R4103" s="15">
        <f>IF(D4103=1,"Section 1","Control")</f>
        <v/>
      </c>
      <c r="S4103" s="16">
        <f>N4103/10000</f>
        <v/>
      </c>
      <c r="T4103" s="16">
        <f>P4103/10000</f>
        <v/>
      </c>
      <c r="U4103" s="15">
        <f>IF(N4103&gt;=Summary!$D$3,1,0)</f>
        <v/>
      </c>
      <c r="V4103" s="17">
        <f>IF(N4103&gt;0,P4103/N4103,"")</f>
        <v/>
      </c>
      <c r="W4103" s="17">
        <f>IF(O4103&gt;0,H4103/O4103,"")</f>
        <v/>
      </c>
    </row>
    <row r="4104">
      <c r="A4104" s="13" t="inlineStr">
        <is>
          <t>CW56_B3</t>
        </is>
      </c>
      <c r="B4104" s="13" t="inlineStr">
        <is>
          <t>CW56</t>
        </is>
      </c>
      <c r="C4104" s="13" t="inlineStr">
        <is>
          <t>B3</t>
        </is>
      </c>
      <c r="D4104" s="13" t="n">
        <v>0</v>
      </c>
      <c r="E4104" s="13" t="inlineStr">
        <is>
          <t>W</t>
        </is>
      </c>
      <c r="F4104" s="13" t="n">
        <v>2020</v>
      </c>
      <c r="G4104" s="14" t="n">
        <v>7802379.605706846</v>
      </c>
      <c r="H4104" s="14" t="n">
        <v>2864814.296583826</v>
      </c>
      <c r="I4104" s="14" t="n">
        <v>15100.40289130117</v>
      </c>
      <c r="J4104" s="14" t="n">
        <v>0</v>
      </c>
      <c r="K4104" s="14" t="n">
        <v>208502.5148228664</v>
      </c>
      <c r="L4104" s="14" t="n">
        <v>4713962.391408854</v>
      </c>
      <c r="M4104" s="14" t="n">
        <v>0</v>
      </c>
      <c r="N4104" s="14" t="n">
        <v>2864814.296583826</v>
      </c>
      <c r="O4104" s="14" t="n">
        <v>3088417.214297994</v>
      </c>
      <c r="P4104" s="14" t="n">
        <v>0</v>
      </c>
      <c r="Q4104" s="14" t="n">
        <v>12870952.49527543</v>
      </c>
      <c r="R4104" s="15">
        <f>IF(D4104=1,"Section 1","Control")</f>
        <v/>
      </c>
      <c r="S4104" s="16">
        <f>N4104/10000</f>
        <v/>
      </c>
      <c r="T4104" s="16">
        <f>P4104/10000</f>
        <v/>
      </c>
      <c r="U4104" s="15">
        <f>IF(N4104&gt;=Summary!$D$3,1,0)</f>
        <v/>
      </c>
      <c r="V4104" s="17">
        <f>IF(N4104&gt;0,P4104/N4104,"")</f>
        <v/>
      </c>
      <c r="W4104" s="17">
        <f>IF(O4104&gt;0,H4104/O4104,"")</f>
        <v/>
      </c>
    </row>
    <row r="4105">
      <c r="A4105" s="13" t="inlineStr">
        <is>
          <t>CW56_B3</t>
        </is>
      </c>
      <c r="B4105" s="13" t="inlineStr">
        <is>
          <t>CW56</t>
        </is>
      </c>
      <c r="C4105" s="13" t="inlineStr">
        <is>
          <t>B3</t>
        </is>
      </c>
      <c r="D4105" s="13" t="n">
        <v>0</v>
      </c>
      <c r="E4105" s="13" t="inlineStr">
        <is>
          <t>W</t>
        </is>
      </c>
      <c r="F4105" s="13" t="n">
        <v>2021</v>
      </c>
      <c r="G4105" s="14" t="n">
        <v>7802379.605706846</v>
      </c>
      <c r="H4105" s="14" t="n">
        <v>2823518.841716184</v>
      </c>
      <c r="I4105" s="14" t="n">
        <v>49131.24993028827</v>
      </c>
      <c r="J4105" s="14" t="n">
        <v>0</v>
      </c>
      <c r="K4105" s="14" t="n">
        <v>306333.3531121946</v>
      </c>
      <c r="L4105" s="14" t="n">
        <v>4623396.160948182</v>
      </c>
      <c r="M4105" s="14" t="n">
        <v>0</v>
      </c>
      <c r="N4105" s="14" t="n">
        <v>2864814.296583827</v>
      </c>
      <c r="O4105" s="14" t="n">
        <v>3088417.214297994</v>
      </c>
      <c r="P4105" s="14" t="n">
        <v>44923.80973447912</v>
      </c>
      <c r="Q4105" s="14" t="n">
        <v>12870952.49527543</v>
      </c>
      <c r="R4105" s="15">
        <f>IF(D4105=1,"Section 1","Control")</f>
        <v/>
      </c>
      <c r="S4105" s="16">
        <f>N4105/10000</f>
        <v/>
      </c>
      <c r="T4105" s="16">
        <f>P4105/10000</f>
        <v/>
      </c>
      <c r="U4105" s="15">
        <f>IF(N4105&gt;=Summary!$D$3,1,0)</f>
        <v/>
      </c>
      <c r="V4105" s="17">
        <f>IF(N4105&gt;0,P4105/N4105,"")</f>
        <v/>
      </c>
      <c r="W4105" s="17">
        <f>IF(O4105&gt;0,H4105/O4105,"")</f>
        <v/>
      </c>
    </row>
    <row r="4106">
      <c r="A4106" s="13" t="inlineStr">
        <is>
          <t>CW56_B3</t>
        </is>
      </c>
      <c r="B4106" s="13" t="inlineStr">
        <is>
          <t>CW56</t>
        </is>
      </c>
      <c r="C4106" s="13" t="inlineStr">
        <is>
          <t>B3</t>
        </is>
      </c>
      <c r="D4106" s="13" t="n">
        <v>0</v>
      </c>
      <c r="E4106" s="13" t="inlineStr">
        <is>
          <t>W</t>
        </is>
      </c>
      <c r="F4106" s="13" t="n">
        <v>2022</v>
      </c>
      <c r="G4106" s="14" t="n">
        <v>7802379.605706846</v>
      </c>
      <c r="H4106" s="14" t="n">
        <v>2818430.026422837</v>
      </c>
      <c r="I4106" s="14" t="n">
        <v>37882.9146180396</v>
      </c>
      <c r="J4106" s="14" t="n">
        <v>0</v>
      </c>
      <c r="K4106" s="14" t="n">
        <v>444875.8390181298</v>
      </c>
      <c r="L4106" s="14" t="n">
        <v>4501190.825647841</v>
      </c>
      <c r="M4106" s="14" t="n">
        <v>0</v>
      </c>
      <c r="N4106" s="14" t="n">
        <v>2864814.296583826</v>
      </c>
      <c r="O4106" s="14" t="n">
        <v>3088417.214297994</v>
      </c>
      <c r="P4106" s="14" t="n">
        <v>52902.28899380554</v>
      </c>
      <c r="Q4106" s="14" t="n">
        <v>12870952.49527543</v>
      </c>
      <c r="R4106" s="15">
        <f>IF(D4106=1,"Section 1","Control")</f>
        <v/>
      </c>
      <c r="S4106" s="16">
        <f>N4106/10000</f>
        <v/>
      </c>
      <c r="T4106" s="16">
        <f>P4106/10000</f>
        <v/>
      </c>
      <c r="U4106" s="15">
        <f>IF(N4106&gt;=Summary!$D$3,1,0)</f>
        <v/>
      </c>
      <c r="V4106" s="17">
        <f>IF(N4106&gt;0,P4106/N4106,"")</f>
        <v/>
      </c>
      <c r="W4106" s="17">
        <f>IF(O4106&gt;0,H4106/O4106,"")</f>
        <v/>
      </c>
    </row>
    <row r="4107">
      <c r="A4107" s="13" t="inlineStr">
        <is>
          <t>CW56_B3</t>
        </is>
      </c>
      <c r="B4107" s="13" t="inlineStr">
        <is>
          <t>CW56</t>
        </is>
      </c>
      <c r="C4107" s="13" t="inlineStr">
        <is>
          <t>B3</t>
        </is>
      </c>
      <c r="D4107" s="13" t="n">
        <v>0</v>
      </c>
      <c r="E4107" s="13" t="inlineStr">
        <is>
          <t>W</t>
        </is>
      </c>
      <c r="F4107" s="13" t="n">
        <v>2023</v>
      </c>
      <c r="G4107" s="14" t="n">
        <v>7802379.605706846</v>
      </c>
      <c r="H4107" s="14" t="n">
        <v>2807056.979196137</v>
      </c>
      <c r="I4107" s="14" t="n">
        <v>41079.08567540786</v>
      </c>
      <c r="J4107" s="14" t="n">
        <v>0</v>
      </c>
      <c r="K4107" s="14" t="n">
        <v>216785.985704968</v>
      </c>
      <c r="L4107" s="14" t="n">
        <v>4737457.555130335</v>
      </c>
      <c r="M4107" s="14" t="n">
        <v>0</v>
      </c>
      <c r="N4107" s="14" t="n">
        <v>2864814.296583826</v>
      </c>
      <c r="O4107" s="14" t="n">
        <v>3088417.214297994</v>
      </c>
      <c r="P4107" s="14" t="n">
        <v>64137.87627841724</v>
      </c>
      <c r="Q4107" s="14" t="n">
        <v>12870952.49527543</v>
      </c>
      <c r="R4107" s="15">
        <f>IF(D4107=1,"Section 1","Control")</f>
        <v/>
      </c>
      <c r="S4107" s="16">
        <f>N4107/10000</f>
        <v/>
      </c>
      <c r="T4107" s="16">
        <f>P4107/10000</f>
        <v/>
      </c>
      <c r="U4107" s="15">
        <f>IF(N4107&gt;=Summary!$D$3,1,0)</f>
        <v/>
      </c>
      <c r="V4107" s="17">
        <f>IF(N4107&gt;0,P4107/N4107,"")</f>
        <v/>
      </c>
      <c r="W4107" s="17">
        <f>IF(O4107&gt;0,H4107/O4107,"")</f>
        <v/>
      </c>
    </row>
    <row r="4108">
      <c r="A4108" s="13" t="inlineStr">
        <is>
          <t>CW56_B3</t>
        </is>
      </c>
      <c r="B4108" s="13" t="inlineStr">
        <is>
          <t>CW56</t>
        </is>
      </c>
      <c r="C4108" s="13" t="inlineStr">
        <is>
          <t>B3</t>
        </is>
      </c>
      <c r="D4108" s="13" t="n">
        <v>0</v>
      </c>
      <c r="E4108" s="13" t="inlineStr">
        <is>
          <t>W</t>
        </is>
      </c>
      <c r="F4108" s="13" t="n">
        <v>2024</v>
      </c>
      <c r="G4108" s="14" t="n">
        <v>7802379.605706847</v>
      </c>
      <c r="H4108" s="14" t="n">
        <v>2812063.540216783</v>
      </c>
      <c r="I4108" s="14" t="n">
        <v>70566.83624378279</v>
      </c>
      <c r="J4108" s="14" t="n">
        <v>0</v>
      </c>
      <c r="K4108" s="14" t="n">
        <v>233974.9759320128</v>
      </c>
      <c r="L4108" s="14" t="n">
        <v>4685774.253314269</v>
      </c>
      <c r="M4108" s="14" t="n">
        <v>0</v>
      </c>
      <c r="N4108" s="14" t="n">
        <v>2864814.296583826</v>
      </c>
      <c r="O4108" s="14" t="n">
        <v>3088417.214297994</v>
      </c>
      <c r="P4108" s="14" t="n">
        <v>61375.18549478568</v>
      </c>
      <c r="Q4108" s="14" t="n">
        <v>12870952.49527543</v>
      </c>
      <c r="R4108" s="15">
        <f>IF(D4108=1,"Section 1","Control")</f>
        <v/>
      </c>
      <c r="S4108" s="16">
        <f>N4108/10000</f>
        <v/>
      </c>
      <c r="T4108" s="16">
        <f>P4108/10000</f>
        <v/>
      </c>
      <c r="U4108" s="15">
        <f>IF(N4108&gt;=Summary!$D$3,1,0)</f>
        <v/>
      </c>
      <c r="V4108" s="17">
        <f>IF(N4108&gt;0,P4108/N4108,"")</f>
        <v/>
      </c>
      <c r="W4108" s="17">
        <f>IF(O4108&gt;0,H4108/O4108,"")</f>
        <v/>
      </c>
    </row>
    <row r="4109">
      <c r="A4109" s="13" t="inlineStr">
        <is>
          <t>CW56_B3</t>
        </is>
      </c>
      <c r="B4109" s="13" t="inlineStr">
        <is>
          <t>CW56</t>
        </is>
      </c>
      <c r="C4109" s="13" t="inlineStr">
        <is>
          <t>B3</t>
        </is>
      </c>
      <c r="D4109" s="13" t="n">
        <v>0</v>
      </c>
      <c r="E4109" s="13" t="inlineStr">
        <is>
          <t>W</t>
        </is>
      </c>
      <c r="F4109" s="13" t="n">
        <v>2025</v>
      </c>
      <c r="G4109" s="14" t="n">
        <v>7802379.605706846</v>
      </c>
      <c r="H4109" s="14" t="n">
        <v>2803586.896933881</v>
      </c>
      <c r="I4109" s="14" t="n">
        <v>67994.64342259425</v>
      </c>
      <c r="J4109" s="14" t="n">
        <v>0</v>
      </c>
      <c r="K4109" s="14" t="n">
        <v>197872.3906845392</v>
      </c>
      <c r="L4109" s="14" t="n">
        <v>4732925.674665834</v>
      </c>
      <c r="M4109" s="14" t="n">
        <v>0</v>
      </c>
      <c r="N4109" s="14" t="n">
        <v>2864814.296583826</v>
      </c>
      <c r="O4109" s="14" t="n">
        <v>3088417.214297994</v>
      </c>
      <c r="P4109" s="14" t="n">
        <v>68398.83849164177</v>
      </c>
      <c r="Q4109" s="14" t="n">
        <v>12870952.49527543</v>
      </c>
      <c r="R4109" s="15">
        <f>IF(D4109=1,"Section 1","Control")</f>
        <v/>
      </c>
      <c r="S4109" s="16">
        <f>N4109/10000</f>
        <v/>
      </c>
      <c r="T4109" s="16">
        <f>P4109/10000</f>
        <v/>
      </c>
      <c r="U4109" s="15">
        <f>IF(N4109&gt;=Summary!$D$3,1,0)</f>
        <v/>
      </c>
      <c r="V4109" s="17">
        <f>IF(N4109&gt;0,P4109/N4109,"")</f>
        <v/>
      </c>
      <c r="W4109" s="17">
        <f>IF(O4109&gt;0,H4109/O4109,"")</f>
        <v/>
      </c>
    </row>
    <row r="4110">
      <c r="A4110" s="13" t="inlineStr">
        <is>
          <t>CW56_B3</t>
        </is>
      </c>
      <c r="B4110" s="13" t="inlineStr">
        <is>
          <t>CW56</t>
        </is>
      </c>
      <c r="C4110" s="13" t="inlineStr">
        <is>
          <t>B3</t>
        </is>
      </c>
      <c r="D4110" s="13" t="n">
        <v>0</v>
      </c>
      <c r="E4110" s="13" t="inlineStr">
        <is>
          <t>W</t>
        </is>
      </c>
      <c r="F4110" s="13" t="n">
        <v>2026</v>
      </c>
      <c r="G4110" s="14" t="n">
        <v>7802379.605706847</v>
      </c>
      <c r="H4110" s="14" t="n">
        <v>2786993.388234277</v>
      </c>
      <c r="I4110" s="14" t="n">
        <v>57393.28778596767</v>
      </c>
      <c r="J4110" s="14" t="n">
        <v>0</v>
      </c>
      <c r="K4110" s="14" t="n">
        <v>213690.6717141544</v>
      </c>
      <c r="L4110" s="14" t="n">
        <v>4744302.257972449</v>
      </c>
      <c r="M4110" s="14" t="n">
        <v>0</v>
      </c>
      <c r="N4110" s="14" t="n">
        <v>2864814.296583827</v>
      </c>
      <c r="O4110" s="14" t="n">
        <v>3088417.214297994</v>
      </c>
      <c r="P4110" s="14" t="n">
        <v>86460.06720670813</v>
      </c>
      <c r="Q4110" s="14" t="n">
        <v>12870952.49527543</v>
      </c>
      <c r="R4110" s="15">
        <f>IF(D4110=1,"Section 1","Control")</f>
        <v/>
      </c>
      <c r="S4110" s="16">
        <f>N4110/10000</f>
        <v/>
      </c>
      <c r="T4110" s="16">
        <f>P4110/10000</f>
        <v/>
      </c>
      <c r="U4110" s="15">
        <f>IF(N4110&gt;=Summary!$D$3,1,0)</f>
        <v/>
      </c>
      <c r="V4110" s="17">
        <f>IF(N4110&gt;0,P4110/N4110,"")</f>
        <v/>
      </c>
      <c r="W4110" s="17">
        <f>IF(O4110&gt;0,H4110/O4110,"")</f>
        <v/>
      </c>
    </row>
    <row r="4111">
      <c r="A4111" s="13" t="inlineStr">
        <is>
          <t>CW56_F</t>
        </is>
      </c>
      <c r="B4111" s="13" t="inlineStr">
        <is>
          <t>CW56</t>
        </is>
      </c>
      <c r="C4111" s="13" t="inlineStr">
        <is>
          <t>F</t>
        </is>
      </c>
      <c r="D4111" s="13" t="n">
        <v>0</v>
      </c>
      <c r="E4111" s="13" t="inlineStr">
        <is>
          <t>W</t>
        </is>
      </c>
      <c r="F4111" s="13" t="n">
        <v>2020</v>
      </c>
      <c r="G4111" s="14" t="n">
        <v>67760.79349514835</v>
      </c>
      <c r="H4111" s="14" t="n">
        <v>48081.98142398012</v>
      </c>
      <c r="I4111" s="14" t="n">
        <v>668.2465116313859</v>
      </c>
      <c r="J4111" s="14" t="n">
        <v>0</v>
      </c>
      <c r="K4111" s="14" t="n">
        <v>19010.5655595368</v>
      </c>
      <c r="L4111" s="14" t="n">
        <v>0</v>
      </c>
      <c r="M4111" s="14" t="n">
        <v>0</v>
      </c>
      <c r="N4111" s="14" t="n">
        <v>48081.98142398012</v>
      </c>
      <c r="O4111" s="14" t="n">
        <v>67760.79349514835</v>
      </c>
      <c r="P4111" s="14" t="n">
        <v>0</v>
      </c>
      <c r="Q4111" s="14" t="n">
        <v>804818.6379332298</v>
      </c>
      <c r="R4111" s="15">
        <f>IF(D4111=1,"Section 1","Control")</f>
        <v/>
      </c>
      <c r="S4111" s="16">
        <f>N4111/10000</f>
        <v/>
      </c>
      <c r="T4111" s="16">
        <f>P4111/10000</f>
        <v/>
      </c>
      <c r="U4111" s="15">
        <f>IF(N4111&gt;=Summary!$D$3,1,0)</f>
        <v/>
      </c>
      <c r="V4111" s="17">
        <f>IF(N4111&gt;0,P4111/N4111,"")</f>
        <v/>
      </c>
      <c r="W4111" s="17">
        <f>IF(O4111&gt;0,H4111/O4111,"")</f>
        <v/>
      </c>
    </row>
    <row r="4112">
      <c r="A4112" s="13" t="inlineStr">
        <is>
          <t>CW56_F</t>
        </is>
      </c>
      <c r="B4112" s="13" t="inlineStr">
        <is>
          <t>CW56</t>
        </is>
      </c>
      <c r="C4112" s="13" t="inlineStr">
        <is>
          <t>F</t>
        </is>
      </c>
      <c r="D4112" s="13" t="n">
        <v>0</v>
      </c>
      <c r="E4112" s="13" t="inlineStr">
        <is>
          <t>W</t>
        </is>
      </c>
      <c r="F4112" s="13" t="n">
        <v>2021</v>
      </c>
      <c r="G4112" s="14" t="n">
        <v>67760.79349514835</v>
      </c>
      <c r="H4112" s="14" t="n">
        <v>33971.37801555559</v>
      </c>
      <c r="I4112" s="14" t="n">
        <v>2606.779663085937</v>
      </c>
      <c r="J4112" s="14" t="n">
        <v>0</v>
      </c>
      <c r="K4112" s="14" t="n">
        <v>31182.63581650678</v>
      </c>
      <c r="L4112" s="14" t="n">
        <v>0</v>
      </c>
      <c r="M4112" s="14" t="n">
        <v>0</v>
      </c>
      <c r="N4112" s="14" t="n">
        <v>48081.98142398012</v>
      </c>
      <c r="O4112" s="14" t="n">
        <v>67760.79349514835</v>
      </c>
      <c r="P4112" s="14" t="n">
        <v>14110.60340842453</v>
      </c>
      <c r="Q4112" s="14" t="n">
        <v>804818.6379332298</v>
      </c>
      <c r="R4112" s="15">
        <f>IF(D4112=1,"Section 1","Control")</f>
        <v/>
      </c>
      <c r="S4112" s="16">
        <f>N4112/10000</f>
        <v/>
      </c>
      <c r="T4112" s="16">
        <f>P4112/10000</f>
        <v/>
      </c>
      <c r="U4112" s="15">
        <f>IF(N4112&gt;=Summary!$D$3,1,0)</f>
        <v/>
      </c>
      <c r="V4112" s="17">
        <f>IF(N4112&gt;0,P4112/N4112,"")</f>
        <v/>
      </c>
      <c r="W4112" s="17">
        <f>IF(O4112&gt;0,H4112/O4112,"")</f>
        <v/>
      </c>
    </row>
    <row r="4113">
      <c r="A4113" s="13" t="inlineStr">
        <is>
          <t>CW56_F</t>
        </is>
      </c>
      <c r="B4113" s="13" t="inlineStr">
        <is>
          <t>CW56</t>
        </is>
      </c>
      <c r="C4113" s="13" t="inlineStr">
        <is>
          <t>F</t>
        </is>
      </c>
      <c r="D4113" s="13" t="n">
        <v>0</v>
      </c>
      <c r="E4113" s="13" t="inlineStr">
        <is>
          <t>W</t>
        </is>
      </c>
      <c r="F4113" s="13" t="n">
        <v>2022</v>
      </c>
      <c r="G4113" s="14" t="n">
        <v>67760.79349514835</v>
      </c>
      <c r="H4113" s="14" t="n">
        <v>31608.51148391425</v>
      </c>
      <c r="I4113" s="14" t="n">
        <v>4182.152522128236</v>
      </c>
      <c r="J4113" s="14" t="n">
        <v>0</v>
      </c>
      <c r="K4113" s="14" t="n">
        <v>31970.12948910583</v>
      </c>
      <c r="L4113" s="14" t="n">
        <v>0</v>
      </c>
      <c r="M4113" s="14" t="n">
        <v>0</v>
      </c>
      <c r="N4113" s="14" t="n">
        <v>48081.98142398012</v>
      </c>
      <c r="O4113" s="14" t="n">
        <v>67760.79349514835</v>
      </c>
      <c r="P4113" s="14" t="n">
        <v>16520.70406577914</v>
      </c>
      <c r="Q4113" s="14" t="n">
        <v>804818.6379332298</v>
      </c>
      <c r="R4113" s="15">
        <f>IF(D4113=1,"Section 1","Control")</f>
        <v/>
      </c>
      <c r="S4113" s="16">
        <f>N4113/10000</f>
        <v/>
      </c>
      <c r="T4113" s="16">
        <f>P4113/10000</f>
        <v/>
      </c>
      <c r="U4113" s="15">
        <f>IF(N4113&gt;=Summary!$D$3,1,0)</f>
        <v/>
      </c>
      <c r="V4113" s="17">
        <f>IF(N4113&gt;0,P4113/N4113,"")</f>
        <v/>
      </c>
      <c r="W4113" s="17">
        <f>IF(O4113&gt;0,H4113/O4113,"")</f>
        <v/>
      </c>
    </row>
    <row r="4114">
      <c r="A4114" s="13" t="inlineStr">
        <is>
          <t>CW56_F</t>
        </is>
      </c>
      <c r="B4114" s="13" t="inlineStr">
        <is>
          <t>CW56</t>
        </is>
      </c>
      <c r="C4114" s="13" t="inlineStr">
        <is>
          <t>F</t>
        </is>
      </c>
      <c r="D4114" s="13" t="n">
        <v>0</v>
      </c>
      <c r="E4114" s="13" t="inlineStr">
        <is>
          <t>W</t>
        </is>
      </c>
      <c r="F4114" s="13" t="n">
        <v>2023</v>
      </c>
      <c r="G4114" s="14" t="n">
        <v>67760.79349514836</v>
      </c>
      <c r="H4114" s="14" t="n">
        <v>31365.37167379342</v>
      </c>
      <c r="I4114" s="14" t="n">
        <v>4527.503536269244</v>
      </c>
      <c r="J4114" s="14" t="n">
        <v>0</v>
      </c>
      <c r="K4114" s="14" t="n">
        <v>31867.91828508564</v>
      </c>
      <c r="L4114" s="14" t="n">
        <v>0</v>
      </c>
      <c r="M4114" s="14" t="n">
        <v>0</v>
      </c>
      <c r="N4114" s="14" t="n">
        <v>48081.98142398012</v>
      </c>
      <c r="O4114" s="14" t="n">
        <v>67760.79349514836</v>
      </c>
      <c r="P4114" s="14" t="n">
        <v>17160.68761396221</v>
      </c>
      <c r="Q4114" s="14" t="n">
        <v>804818.6379332298</v>
      </c>
      <c r="R4114" s="15">
        <f>IF(D4114=1,"Section 1","Control")</f>
        <v/>
      </c>
      <c r="S4114" s="16">
        <f>N4114/10000</f>
        <v/>
      </c>
      <c r="T4114" s="16">
        <f>P4114/10000</f>
        <v/>
      </c>
      <c r="U4114" s="15">
        <f>IF(N4114&gt;=Summary!$D$3,1,0)</f>
        <v/>
      </c>
      <c r="V4114" s="17">
        <f>IF(N4114&gt;0,P4114/N4114,"")</f>
        <v/>
      </c>
      <c r="W4114" s="17">
        <f>IF(O4114&gt;0,H4114/O4114,"")</f>
        <v/>
      </c>
    </row>
    <row r="4115">
      <c r="A4115" s="13" t="inlineStr">
        <is>
          <t>CW56_F</t>
        </is>
      </c>
      <c r="B4115" s="13" t="inlineStr">
        <is>
          <t>CW56</t>
        </is>
      </c>
      <c r="C4115" s="13" t="inlineStr">
        <is>
          <t>F</t>
        </is>
      </c>
      <c r="D4115" s="13" t="n">
        <v>0</v>
      </c>
      <c r="E4115" s="13" t="inlineStr">
        <is>
          <t>W</t>
        </is>
      </c>
      <c r="F4115" s="13" t="n">
        <v>2024</v>
      </c>
      <c r="G4115" s="14" t="n">
        <v>67760.79349514835</v>
      </c>
      <c r="H4115" s="14" t="n">
        <v>32900.09175289379</v>
      </c>
      <c r="I4115" s="14" t="n">
        <v>2573.871789101993</v>
      </c>
      <c r="J4115" s="14" t="n">
        <v>0</v>
      </c>
      <c r="K4115" s="14" t="n">
        <v>32286.82995315253</v>
      </c>
      <c r="L4115" s="14" t="n">
        <v>0</v>
      </c>
      <c r="M4115" s="14" t="n">
        <v>0</v>
      </c>
      <c r="N4115" s="14" t="n">
        <v>48081.98142398012</v>
      </c>
      <c r="O4115" s="14" t="n">
        <v>67760.79349514835</v>
      </c>
      <c r="P4115" s="14" t="n">
        <v>16353.44977037018</v>
      </c>
      <c r="Q4115" s="14" t="n">
        <v>804818.6379332298</v>
      </c>
      <c r="R4115" s="15">
        <f>IF(D4115=1,"Section 1","Control")</f>
        <v/>
      </c>
      <c r="S4115" s="16">
        <f>N4115/10000</f>
        <v/>
      </c>
      <c r="T4115" s="16">
        <f>P4115/10000</f>
        <v/>
      </c>
      <c r="U4115" s="15">
        <f>IF(N4115&gt;=Summary!$D$3,1,0)</f>
        <v/>
      </c>
      <c r="V4115" s="17">
        <f>IF(N4115&gt;0,P4115/N4115,"")</f>
        <v/>
      </c>
      <c r="W4115" s="17">
        <f>IF(O4115&gt;0,H4115/O4115,"")</f>
        <v/>
      </c>
    </row>
    <row r="4116">
      <c r="A4116" s="13" t="inlineStr">
        <is>
          <t>CW56_F</t>
        </is>
      </c>
      <c r="B4116" s="13" t="inlineStr">
        <is>
          <t>CW56</t>
        </is>
      </c>
      <c r="C4116" s="13" t="inlineStr">
        <is>
          <t>F</t>
        </is>
      </c>
      <c r="D4116" s="13" t="n">
        <v>0</v>
      </c>
      <c r="E4116" s="13" t="inlineStr">
        <is>
          <t>W</t>
        </is>
      </c>
      <c r="F4116" s="13" t="n">
        <v>2025</v>
      </c>
      <c r="G4116" s="14" t="n">
        <v>67760.79349514835</v>
      </c>
      <c r="H4116" s="14" t="n">
        <v>29426.8378270168</v>
      </c>
      <c r="I4116" s="14" t="n">
        <v>7148.996181532913</v>
      </c>
      <c r="J4116" s="14" t="n">
        <v>0</v>
      </c>
      <c r="K4116" s="14" t="n">
        <v>31184.9594865986</v>
      </c>
      <c r="L4116" s="14" t="n">
        <v>0</v>
      </c>
      <c r="M4116" s="14" t="n">
        <v>0</v>
      </c>
      <c r="N4116" s="14" t="n">
        <v>48081.98142398012</v>
      </c>
      <c r="O4116" s="14" t="n">
        <v>67760.79349514835</v>
      </c>
      <c r="P4116" s="14" t="n">
        <v>19000.4943834791</v>
      </c>
      <c r="Q4116" s="14" t="n">
        <v>804818.6379332298</v>
      </c>
      <c r="R4116" s="15">
        <f>IF(D4116=1,"Section 1","Control")</f>
        <v/>
      </c>
      <c r="S4116" s="16">
        <f>N4116/10000</f>
        <v/>
      </c>
      <c r="T4116" s="16">
        <f>P4116/10000</f>
        <v/>
      </c>
      <c r="U4116" s="15">
        <f>IF(N4116&gt;=Summary!$D$3,1,0)</f>
        <v/>
      </c>
      <c r="V4116" s="17">
        <f>IF(N4116&gt;0,P4116/N4116,"")</f>
        <v/>
      </c>
      <c r="W4116" s="17">
        <f>IF(O4116&gt;0,H4116/O4116,"")</f>
        <v/>
      </c>
    </row>
    <row r="4117">
      <c r="A4117" s="13" t="inlineStr">
        <is>
          <t>CW56_F</t>
        </is>
      </c>
      <c r="B4117" s="13" t="inlineStr">
        <is>
          <t>CW56</t>
        </is>
      </c>
      <c r="C4117" s="13" t="inlineStr">
        <is>
          <t>F</t>
        </is>
      </c>
      <c r="D4117" s="13" t="n">
        <v>0</v>
      </c>
      <c r="E4117" s="13" t="inlineStr">
        <is>
          <t>W</t>
        </is>
      </c>
      <c r="F4117" s="13" t="n">
        <v>2026</v>
      </c>
      <c r="G4117" s="14" t="n">
        <v>67760.79349514835</v>
      </c>
      <c r="H4117" s="14" t="n">
        <v>31773.44202695361</v>
      </c>
      <c r="I4117" s="14" t="n">
        <v>4489.176247720158</v>
      </c>
      <c r="J4117" s="14" t="n">
        <v>0</v>
      </c>
      <c r="K4117" s="14" t="n">
        <v>31498.17522047454</v>
      </c>
      <c r="L4117" s="14" t="n">
        <v>0</v>
      </c>
      <c r="M4117" s="14" t="n">
        <v>0</v>
      </c>
      <c r="N4117" s="14" t="n">
        <v>48081.98142398012</v>
      </c>
      <c r="O4117" s="14" t="n">
        <v>67760.79349514835</v>
      </c>
      <c r="P4117" s="14" t="n">
        <v>17603.99218232398</v>
      </c>
      <c r="Q4117" s="14" t="n">
        <v>804818.6379332298</v>
      </c>
      <c r="R4117" s="15">
        <f>IF(D4117=1,"Section 1","Control")</f>
        <v/>
      </c>
      <c r="S4117" s="16">
        <f>N4117/10000</f>
        <v/>
      </c>
      <c r="T4117" s="16">
        <f>P4117/10000</f>
        <v/>
      </c>
      <c r="U4117" s="15">
        <f>IF(N4117&gt;=Summary!$D$3,1,0)</f>
        <v/>
      </c>
      <c r="V4117" s="17">
        <f>IF(N4117&gt;0,P4117/N4117,"")</f>
        <v/>
      </c>
      <c r="W4117" s="17">
        <f>IF(O4117&gt;0,H4117/O4117,"")</f>
        <v/>
      </c>
    </row>
    <row r="4118">
      <c r="A4118" s="13" t="inlineStr">
        <is>
          <t>CW57_B1</t>
        </is>
      </c>
      <c r="B4118" s="13" t="inlineStr">
        <is>
          <t>CW57</t>
        </is>
      </c>
      <c r="C4118" s="13" t="inlineStr">
        <is>
          <t>B1</t>
        </is>
      </c>
      <c r="D4118" s="13" t="n">
        <v>0</v>
      </c>
      <c r="E4118" s="13" t="inlineStr">
        <is>
          <t>W</t>
        </is>
      </c>
      <c r="F4118" s="13" t="n">
        <v>2020</v>
      </c>
      <c r="G4118" s="14" t="n">
        <v>1001357.165568931</v>
      </c>
      <c r="H4118" s="14" t="n">
        <v>102886.2294637643</v>
      </c>
      <c r="I4118" s="14" t="n">
        <v>214776.1148023118</v>
      </c>
      <c r="J4118" s="14" t="n">
        <v>0</v>
      </c>
      <c r="K4118" s="14" t="n">
        <v>97090.23190190933</v>
      </c>
      <c r="L4118" s="14" t="n">
        <v>586604.5894009459</v>
      </c>
      <c r="M4118" s="14" t="n">
        <v>0</v>
      </c>
      <c r="N4118" s="14" t="n">
        <v>102886.2294637643</v>
      </c>
      <c r="O4118" s="14" t="n">
        <v>414752.5761679854</v>
      </c>
      <c r="P4118" s="14" t="n">
        <v>0</v>
      </c>
      <c r="Q4118" s="14" t="n">
        <v>2357421.412215109</v>
      </c>
      <c r="R4118" s="15">
        <f>IF(D4118=1,"Section 1","Control")</f>
        <v/>
      </c>
      <c r="S4118" s="16">
        <f>N4118/10000</f>
        <v/>
      </c>
      <c r="T4118" s="16">
        <f>P4118/10000</f>
        <v/>
      </c>
      <c r="U4118" s="15">
        <f>IF(N4118&gt;=Summary!$D$3,1,0)</f>
        <v/>
      </c>
      <c r="V4118" s="17">
        <f>IF(N4118&gt;0,P4118/N4118,"")</f>
        <v/>
      </c>
      <c r="W4118" s="17">
        <f>IF(O4118&gt;0,H4118/O4118,"")</f>
        <v/>
      </c>
    </row>
    <row r="4119">
      <c r="A4119" s="13" t="inlineStr">
        <is>
          <t>CW57_B1</t>
        </is>
      </c>
      <c r="B4119" s="13" t="inlineStr">
        <is>
          <t>CW57</t>
        </is>
      </c>
      <c r="C4119" s="13" t="inlineStr">
        <is>
          <t>B1</t>
        </is>
      </c>
      <c r="D4119" s="13" t="n">
        <v>0</v>
      </c>
      <c r="E4119" s="13" t="inlineStr">
        <is>
          <t>W</t>
        </is>
      </c>
      <c r="F4119" s="13" t="n">
        <v>2021</v>
      </c>
      <c r="G4119" s="14" t="n">
        <v>1001357.165568931</v>
      </c>
      <c r="H4119" s="14" t="n">
        <v>83865.25412373262</v>
      </c>
      <c r="I4119" s="14" t="n">
        <v>219876.6358485801</v>
      </c>
      <c r="J4119" s="14" t="n">
        <v>0</v>
      </c>
      <c r="K4119" s="14" t="n">
        <v>113431.2472698735</v>
      </c>
      <c r="L4119" s="14" t="n">
        <v>584184.0283267451</v>
      </c>
      <c r="M4119" s="14" t="n">
        <v>0</v>
      </c>
      <c r="N4119" s="14" t="n">
        <v>102886.2294637643</v>
      </c>
      <c r="O4119" s="14" t="n">
        <v>414752.5761679854</v>
      </c>
      <c r="P4119" s="14" t="n">
        <v>20106.9684354296</v>
      </c>
      <c r="Q4119" s="14" t="n">
        <v>2357421.412215109</v>
      </c>
      <c r="R4119" s="15">
        <f>IF(D4119=1,"Section 1","Control")</f>
        <v/>
      </c>
      <c r="S4119" s="16">
        <f>N4119/10000</f>
        <v/>
      </c>
      <c r="T4119" s="16">
        <f>P4119/10000</f>
        <v/>
      </c>
      <c r="U4119" s="15">
        <f>IF(N4119&gt;=Summary!$D$3,1,0)</f>
        <v/>
      </c>
      <c r="V4119" s="17">
        <f>IF(N4119&gt;0,P4119/N4119,"")</f>
        <v/>
      </c>
      <c r="W4119" s="17">
        <f>IF(O4119&gt;0,H4119/O4119,"")</f>
        <v/>
      </c>
    </row>
    <row r="4120">
      <c r="A4120" s="13" t="inlineStr">
        <is>
          <t>CW57_B1</t>
        </is>
      </c>
      <c r="B4120" s="13" t="inlineStr">
        <is>
          <t>CW57</t>
        </is>
      </c>
      <c r="C4120" s="13" t="inlineStr">
        <is>
          <t>B1</t>
        </is>
      </c>
      <c r="D4120" s="13" t="n">
        <v>0</v>
      </c>
      <c r="E4120" s="13" t="inlineStr">
        <is>
          <t>W</t>
        </is>
      </c>
      <c r="F4120" s="13" t="n">
        <v>2022</v>
      </c>
      <c r="G4120" s="14" t="n">
        <v>1001357.165568931</v>
      </c>
      <c r="H4120" s="14" t="n">
        <v>76423.97465362548</v>
      </c>
      <c r="I4120" s="14" t="n">
        <v>246282.8294671451</v>
      </c>
      <c r="J4120" s="14" t="n">
        <v>0</v>
      </c>
      <c r="K4120" s="14" t="n">
        <v>123401.0616254021</v>
      </c>
      <c r="L4120" s="14" t="n">
        <v>555249.2998227587</v>
      </c>
      <c r="M4120" s="14" t="n">
        <v>0</v>
      </c>
      <c r="N4120" s="14" t="n">
        <v>102886.2294637643</v>
      </c>
      <c r="O4120" s="14" t="n">
        <v>414752.5761679854</v>
      </c>
      <c r="P4120" s="14" t="n">
        <v>27313.62800825531</v>
      </c>
      <c r="Q4120" s="14" t="n">
        <v>2357421.412215109</v>
      </c>
      <c r="R4120" s="15">
        <f>IF(D4120=1,"Section 1","Control")</f>
        <v/>
      </c>
      <c r="S4120" s="16">
        <f>N4120/10000</f>
        <v/>
      </c>
      <c r="T4120" s="16">
        <f>P4120/10000</f>
        <v/>
      </c>
      <c r="U4120" s="15">
        <f>IF(N4120&gt;=Summary!$D$3,1,0)</f>
        <v/>
      </c>
      <c r="V4120" s="17">
        <f>IF(N4120&gt;0,P4120/N4120,"")</f>
        <v/>
      </c>
      <c r="W4120" s="17">
        <f>IF(O4120&gt;0,H4120/O4120,"")</f>
        <v/>
      </c>
    </row>
    <row r="4121">
      <c r="A4121" s="13" t="inlineStr">
        <is>
          <t>CW57_B1</t>
        </is>
      </c>
      <c r="B4121" s="13" t="inlineStr">
        <is>
          <t>CW57</t>
        </is>
      </c>
      <c r="C4121" s="13" t="inlineStr">
        <is>
          <t>B1</t>
        </is>
      </c>
      <c r="D4121" s="13" t="n">
        <v>0</v>
      </c>
      <c r="E4121" s="13" t="inlineStr">
        <is>
          <t>W</t>
        </is>
      </c>
      <c r="F4121" s="13" t="n">
        <v>2023</v>
      </c>
      <c r="G4121" s="14" t="n">
        <v>1001357.165568931</v>
      </c>
      <c r="H4121" s="14" t="n">
        <v>88469.01315199907</v>
      </c>
      <c r="I4121" s="14" t="n">
        <v>212308.305030733</v>
      </c>
      <c r="J4121" s="14" t="n">
        <v>0</v>
      </c>
      <c r="K4121" s="14" t="n">
        <v>105924.1451780431</v>
      </c>
      <c r="L4121" s="14" t="n">
        <v>594655.7022081562</v>
      </c>
      <c r="M4121" s="14" t="n">
        <v>0</v>
      </c>
      <c r="N4121" s="14" t="n">
        <v>102886.2294637643</v>
      </c>
      <c r="O4121" s="14" t="n">
        <v>414752.5761679854</v>
      </c>
      <c r="P4121" s="14" t="n">
        <v>23006.43575604009</v>
      </c>
      <c r="Q4121" s="14" t="n">
        <v>2357421.412215109</v>
      </c>
      <c r="R4121" s="15">
        <f>IF(D4121=1,"Section 1","Control")</f>
        <v/>
      </c>
      <c r="S4121" s="16">
        <f>N4121/10000</f>
        <v/>
      </c>
      <c r="T4121" s="16">
        <f>P4121/10000</f>
        <v/>
      </c>
      <c r="U4121" s="15">
        <f>IF(N4121&gt;=Summary!$D$3,1,0)</f>
        <v/>
      </c>
      <c r="V4121" s="17">
        <f>IF(N4121&gt;0,P4121/N4121,"")</f>
        <v/>
      </c>
      <c r="W4121" s="17">
        <f>IF(O4121&gt;0,H4121/O4121,"")</f>
        <v/>
      </c>
    </row>
    <row r="4122">
      <c r="A4122" s="13" t="inlineStr">
        <is>
          <t>CW57_B1</t>
        </is>
      </c>
      <c r="B4122" s="13" t="inlineStr">
        <is>
          <t>CW57</t>
        </is>
      </c>
      <c r="C4122" s="13" t="inlineStr">
        <is>
          <t>B1</t>
        </is>
      </c>
      <c r="D4122" s="13" t="n">
        <v>0</v>
      </c>
      <c r="E4122" s="13" t="inlineStr">
        <is>
          <t>W</t>
        </is>
      </c>
      <c r="F4122" s="13" t="n">
        <v>2024</v>
      </c>
      <c r="G4122" s="14" t="n">
        <v>1001357.165568931</v>
      </c>
      <c r="H4122" s="14" t="n">
        <v>93343.40780128029</v>
      </c>
      <c r="I4122" s="14" t="n">
        <v>210837.868140187</v>
      </c>
      <c r="J4122" s="14" t="n">
        <v>0</v>
      </c>
      <c r="K4122" s="14" t="n">
        <v>105342.2288095212</v>
      </c>
      <c r="L4122" s="14" t="n">
        <v>591833.6608179428</v>
      </c>
      <c r="M4122" s="14" t="n">
        <v>0</v>
      </c>
      <c r="N4122" s="14" t="n">
        <v>102886.2294637643</v>
      </c>
      <c r="O4122" s="14" t="n">
        <v>414752.5761679854</v>
      </c>
      <c r="P4122" s="14" t="n">
        <v>22315.34676678228</v>
      </c>
      <c r="Q4122" s="14" t="n">
        <v>2357421.412215109</v>
      </c>
      <c r="R4122" s="15">
        <f>IF(D4122=1,"Section 1","Control")</f>
        <v/>
      </c>
      <c r="S4122" s="16">
        <f>N4122/10000</f>
        <v/>
      </c>
      <c r="T4122" s="16">
        <f>P4122/10000</f>
        <v/>
      </c>
      <c r="U4122" s="15">
        <f>IF(N4122&gt;=Summary!$D$3,1,0)</f>
        <v/>
      </c>
      <c r="V4122" s="17">
        <f>IF(N4122&gt;0,P4122/N4122,"")</f>
        <v/>
      </c>
      <c r="W4122" s="17">
        <f>IF(O4122&gt;0,H4122/O4122,"")</f>
        <v/>
      </c>
    </row>
    <row r="4123">
      <c r="A4123" s="13" t="inlineStr">
        <is>
          <t>CW57_B1</t>
        </is>
      </c>
      <c r="B4123" s="13" t="inlineStr">
        <is>
          <t>CW57</t>
        </is>
      </c>
      <c r="C4123" s="13" t="inlineStr">
        <is>
          <t>B1</t>
        </is>
      </c>
      <c r="D4123" s="13" t="n">
        <v>0</v>
      </c>
      <c r="E4123" s="13" t="inlineStr">
        <is>
          <t>W</t>
        </is>
      </c>
      <c r="F4123" s="13" t="n">
        <v>2025</v>
      </c>
      <c r="G4123" s="14" t="n">
        <v>1001357.165568931</v>
      </c>
      <c r="H4123" s="14" t="n">
        <v>77621.46742275462</v>
      </c>
      <c r="I4123" s="14" t="n">
        <v>237342.732641422</v>
      </c>
      <c r="J4123" s="14" t="n">
        <v>0</v>
      </c>
      <c r="K4123" s="14" t="n">
        <v>98700.83440518846</v>
      </c>
      <c r="L4123" s="14" t="n">
        <v>587692.1310995661</v>
      </c>
      <c r="M4123" s="14" t="n">
        <v>0</v>
      </c>
      <c r="N4123" s="14" t="n">
        <v>102886.2294637643</v>
      </c>
      <c r="O4123" s="14" t="n">
        <v>414752.5761679854</v>
      </c>
      <c r="P4123" s="14" t="n">
        <v>28621.46971312878</v>
      </c>
      <c r="Q4123" s="14" t="n">
        <v>2357421.412215109</v>
      </c>
      <c r="R4123" s="15">
        <f>IF(D4123=1,"Section 1","Control")</f>
        <v/>
      </c>
      <c r="S4123" s="16">
        <f>N4123/10000</f>
        <v/>
      </c>
      <c r="T4123" s="16">
        <f>P4123/10000</f>
        <v/>
      </c>
      <c r="U4123" s="15">
        <f>IF(N4123&gt;=Summary!$D$3,1,0)</f>
        <v/>
      </c>
      <c r="V4123" s="17">
        <f>IF(N4123&gt;0,P4123/N4123,"")</f>
        <v/>
      </c>
      <c r="W4123" s="17">
        <f>IF(O4123&gt;0,H4123/O4123,"")</f>
        <v/>
      </c>
    </row>
    <row r="4124">
      <c r="A4124" s="13" t="inlineStr">
        <is>
          <t>CW57_B1</t>
        </is>
      </c>
      <c r="B4124" s="13" t="inlineStr">
        <is>
          <t>CW57</t>
        </is>
      </c>
      <c r="C4124" s="13" t="inlineStr">
        <is>
          <t>B1</t>
        </is>
      </c>
      <c r="D4124" s="13" t="n">
        <v>0</v>
      </c>
      <c r="E4124" s="13" t="inlineStr">
        <is>
          <t>W</t>
        </is>
      </c>
      <c r="F4124" s="13" t="n">
        <v>2026</v>
      </c>
      <c r="G4124" s="14" t="n">
        <v>1001357.165568931</v>
      </c>
      <c r="H4124" s="14" t="n">
        <v>92339.88061795699</v>
      </c>
      <c r="I4124" s="14" t="n">
        <v>209839.3747128655</v>
      </c>
      <c r="J4124" s="14" t="n">
        <v>0</v>
      </c>
      <c r="K4124" s="14" t="n">
        <v>105780.8888352039</v>
      </c>
      <c r="L4124" s="14" t="n">
        <v>593397.021402905</v>
      </c>
      <c r="M4124" s="14" t="n">
        <v>0</v>
      </c>
      <c r="N4124" s="14" t="n">
        <v>102886.2294637643</v>
      </c>
      <c r="O4124" s="14" t="n">
        <v>414752.5761679854</v>
      </c>
      <c r="P4124" s="14" t="n">
        <v>25379.36048120237</v>
      </c>
      <c r="Q4124" s="14" t="n">
        <v>2357421.412215109</v>
      </c>
      <c r="R4124" s="15">
        <f>IF(D4124=1,"Section 1","Control")</f>
        <v/>
      </c>
      <c r="S4124" s="16">
        <f>N4124/10000</f>
        <v/>
      </c>
      <c r="T4124" s="16">
        <f>P4124/10000</f>
        <v/>
      </c>
      <c r="U4124" s="15">
        <f>IF(N4124&gt;=Summary!$D$3,1,0)</f>
        <v/>
      </c>
      <c r="V4124" s="17">
        <f>IF(N4124&gt;0,P4124/N4124,"")</f>
        <v/>
      </c>
      <c r="W4124" s="17">
        <f>IF(O4124&gt;0,H4124/O4124,"")</f>
        <v/>
      </c>
    </row>
    <row r="4125">
      <c r="A4125" s="13" t="inlineStr">
        <is>
          <t>CW57_B2</t>
        </is>
      </c>
      <c r="B4125" s="13" t="inlineStr">
        <is>
          <t>CW57</t>
        </is>
      </c>
      <c r="C4125" s="13" t="inlineStr">
        <is>
          <t>B2</t>
        </is>
      </c>
      <c r="D4125" s="13" t="n">
        <v>0</v>
      </c>
      <c r="E4125" s="13" t="inlineStr">
        <is>
          <t>W</t>
        </is>
      </c>
      <c r="F4125" s="13" t="n">
        <v>2020</v>
      </c>
      <c r="G4125" s="14" t="n">
        <v>1000855.781513528</v>
      </c>
      <c r="H4125" s="14" t="n">
        <v>325949.9962262622</v>
      </c>
      <c r="I4125" s="14" t="n">
        <v>296.176643371582</v>
      </c>
      <c r="J4125" s="14" t="n">
        <v>0</v>
      </c>
      <c r="K4125" s="14" t="n">
        <v>16524.73015857771</v>
      </c>
      <c r="L4125" s="14" t="n">
        <v>658084.8784853166</v>
      </c>
      <c r="M4125" s="14" t="n">
        <v>0</v>
      </c>
      <c r="N4125" s="14" t="n">
        <v>325949.9962262622</v>
      </c>
      <c r="O4125" s="14" t="n">
        <v>342770.9030282114</v>
      </c>
      <c r="P4125" s="14" t="n">
        <v>0</v>
      </c>
      <c r="Q4125" s="14" t="n">
        <v>2119742.977990005</v>
      </c>
      <c r="R4125" s="15">
        <f>IF(D4125=1,"Section 1","Control")</f>
        <v/>
      </c>
      <c r="S4125" s="16">
        <f>N4125/10000</f>
        <v/>
      </c>
      <c r="T4125" s="16">
        <f>P4125/10000</f>
        <v/>
      </c>
      <c r="U4125" s="15">
        <f>IF(N4125&gt;=Summary!$D$3,1,0)</f>
        <v/>
      </c>
      <c r="V4125" s="17">
        <f>IF(N4125&gt;0,P4125/N4125,"")</f>
        <v/>
      </c>
      <c r="W4125" s="17">
        <f>IF(O4125&gt;0,H4125/O4125,"")</f>
        <v/>
      </c>
    </row>
    <row r="4126">
      <c r="A4126" s="13" t="inlineStr">
        <is>
          <t>CW57_B2</t>
        </is>
      </c>
      <c r="B4126" s="13" t="inlineStr">
        <is>
          <t>CW57</t>
        </is>
      </c>
      <c r="C4126" s="13" t="inlineStr">
        <is>
          <t>B2</t>
        </is>
      </c>
      <c r="D4126" s="13" t="n">
        <v>0</v>
      </c>
      <c r="E4126" s="13" t="inlineStr">
        <is>
          <t>W</t>
        </is>
      </c>
      <c r="F4126" s="13" t="n">
        <v>2021</v>
      </c>
      <c r="G4126" s="14" t="n">
        <v>1000855.781513528</v>
      </c>
      <c r="H4126" s="14" t="n">
        <v>324450.1428692987</v>
      </c>
      <c r="I4126" s="14" t="n">
        <v>98.72554779052734</v>
      </c>
      <c r="J4126" s="14" t="n">
        <v>0</v>
      </c>
      <c r="K4126" s="14" t="n">
        <v>13358.93441595938</v>
      </c>
      <c r="L4126" s="14" t="n">
        <v>662947.9786804796</v>
      </c>
      <c r="M4126" s="14" t="n">
        <v>0</v>
      </c>
      <c r="N4126" s="14" t="n">
        <v>325949.9962262622</v>
      </c>
      <c r="O4126" s="14" t="n">
        <v>342770.9030282114</v>
      </c>
      <c r="P4126" s="14" t="n">
        <v>1697.304803496716</v>
      </c>
      <c r="Q4126" s="14" t="n">
        <v>2119742.977990005</v>
      </c>
      <c r="R4126" s="15">
        <f>IF(D4126=1,"Section 1","Control")</f>
        <v/>
      </c>
      <c r="S4126" s="16">
        <f>N4126/10000</f>
        <v/>
      </c>
      <c r="T4126" s="16">
        <f>P4126/10000</f>
        <v/>
      </c>
      <c r="U4126" s="15">
        <f>IF(N4126&gt;=Summary!$D$3,1,0)</f>
        <v/>
      </c>
      <c r="V4126" s="17">
        <f>IF(N4126&gt;0,P4126/N4126,"")</f>
        <v/>
      </c>
      <c r="W4126" s="17">
        <f>IF(O4126&gt;0,H4126/O4126,"")</f>
        <v/>
      </c>
    </row>
    <row r="4127">
      <c r="A4127" s="13" t="inlineStr">
        <is>
          <t>CW57_B2</t>
        </is>
      </c>
      <c r="B4127" s="13" t="inlineStr">
        <is>
          <t>CW57</t>
        </is>
      </c>
      <c r="C4127" s="13" t="inlineStr">
        <is>
          <t>B2</t>
        </is>
      </c>
      <c r="D4127" s="13" t="n">
        <v>0</v>
      </c>
      <c r="E4127" s="13" t="inlineStr">
        <is>
          <t>W</t>
        </is>
      </c>
      <c r="F4127" s="13" t="n">
        <v>2022</v>
      </c>
      <c r="G4127" s="14" t="n">
        <v>1000855.781513528</v>
      </c>
      <c r="H4127" s="14" t="n">
        <v>323759.0649884393</v>
      </c>
      <c r="I4127" s="14" t="n">
        <v>0</v>
      </c>
      <c r="J4127" s="14" t="n">
        <v>0</v>
      </c>
      <c r="K4127" s="14" t="n">
        <v>25851.40684380625</v>
      </c>
      <c r="L4127" s="14" t="n">
        <v>651245.3096812826</v>
      </c>
      <c r="M4127" s="14" t="n">
        <v>0</v>
      </c>
      <c r="N4127" s="14" t="n">
        <v>325949.9962262622</v>
      </c>
      <c r="O4127" s="14" t="n">
        <v>342770.9030282114</v>
      </c>
      <c r="P4127" s="14" t="n">
        <v>2487.108552581189</v>
      </c>
      <c r="Q4127" s="14" t="n">
        <v>2119742.977990005</v>
      </c>
      <c r="R4127" s="15">
        <f>IF(D4127=1,"Section 1","Control")</f>
        <v/>
      </c>
      <c r="S4127" s="16">
        <f>N4127/10000</f>
        <v/>
      </c>
      <c r="T4127" s="16">
        <f>P4127/10000</f>
        <v/>
      </c>
      <c r="U4127" s="15">
        <f>IF(N4127&gt;=Summary!$D$3,1,0)</f>
        <v/>
      </c>
      <c r="V4127" s="17">
        <f>IF(N4127&gt;0,P4127/N4127,"")</f>
        <v/>
      </c>
      <c r="W4127" s="17">
        <f>IF(O4127&gt;0,H4127/O4127,"")</f>
        <v/>
      </c>
    </row>
    <row r="4128">
      <c r="A4128" s="13" t="inlineStr">
        <is>
          <t>CW57_B2</t>
        </is>
      </c>
      <c r="B4128" s="13" t="inlineStr">
        <is>
          <t>CW57</t>
        </is>
      </c>
      <c r="C4128" s="13" t="inlineStr">
        <is>
          <t>B2</t>
        </is>
      </c>
      <c r="D4128" s="13" t="n">
        <v>0</v>
      </c>
      <c r="E4128" s="13" t="inlineStr">
        <is>
          <t>W</t>
        </is>
      </c>
      <c r="F4128" s="13" t="n">
        <v>2023</v>
      </c>
      <c r="G4128" s="14" t="n">
        <v>1000855.781513528</v>
      </c>
      <c r="H4128" s="14" t="n">
        <v>318644.3082734951</v>
      </c>
      <c r="I4128" s="14" t="n">
        <v>0</v>
      </c>
      <c r="J4128" s="14" t="n">
        <v>0</v>
      </c>
      <c r="K4128" s="14" t="n">
        <v>15018.29021884694</v>
      </c>
      <c r="L4128" s="14" t="n">
        <v>667193.1830211862</v>
      </c>
      <c r="M4128" s="14" t="n">
        <v>0</v>
      </c>
      <c r="N4128" s="14" t="n">
        <v>325949.9962262622</v>
      </c>
      <c r="O4128" s="14" t="n">
        <v>342770.9030282114</v>
      </c>
      <c r="P4128" s="14" t="n">
        <v>7305.687952767166</v>
      </c>
      <c r="Q4128" s="14" t="n">
        <v>2119742.977990005</v>
      </c>
      <c r="R4128" s="15">
        <f>IF(D4128=1,"Section 1","Control")</f>
        <v/>
      </c>
      <c r="S4128" s="16">
        <f>N4128/10000</f>
        <v/>
      </c>
      <c r="T4128" s="16">
        <f>P4128/10000</f>
        <v/>
      </c>
      <c r="U4128" s="15">
        <f>IF(N4128&gt;=Summary!$D$3,1,0)</f>
        <v/>
      </c>
      <c r="V4128" s="17">
        <f>IF(N4128&gt;0,P4128/N4128,"")</f>
        <v/>
      </c>
      <c r="W4128" s="17">
        <f>IF(O4128&gt;0,H4128/O4128,"")</f>
        <v/>
      </c>
    </row>
    <row r="4129">
      <c r="A4129" s="13" t="inlineStr">
        <is>
          <t>CW57_B2</t>
        </is>
      </c>
      <c r="B4129" s="13" t="inlineStr">
        <is>
          <t>CW57</t>
        </is>
      </c>
      <c r="C4129" s="13" t="inlineStr">
        <is>
          <t>B2</t>
        </is>
      </c>
      <c r="D4129" s="13" t="n">
        <v>0</v>
      </c>
      <c r="E4129" s="13" t="inlineStr">
        <is>
          <t>W</t>
        </is>
      </c>
      <c r="F4129" s="13" t="n">
        <v>2024</v>
      </c>
      <c r="G4129" s="14" t="n">
        <v>1000855.781513528</v>
      </c>
      <c r="H4129" s="14" t="n">
        <v>316255.9276822259</v>
      </c>
      <c r="I4129" s="14" t="n">
        <v>493.6272583007813</v>
      </c>
      <c r="J4129" s="14" t="n">
        <v>0</v>
      </c>
      <c r="K4129" s="14" t="n">
        <v>21591.08801113952</v>
      </c>
      <c r="L4129" s="14" t="n">
        <v>662515.1385618619</v>
      </c>
      <c r="M4129" s="14" t="n">
        <v>0</v>
      </c>
      <c r="N4129" s="14" t="n">
        <v>325949.9962262622</v>
      </c>
      <c r="O4129" s="14" t="n">
        <v>342770.9030282114</v>
      </c>
      <c r="P4129" s="14" t="n">
        <v>9792.794412261364</v>
      </c>
      <c r="Q4129" s="14" t="n">
        <v>2119742.977990005</v>
      </c>
      <c r="R4129" s="15">
        <f>IF(D4129=1,"Section 1","Control")</f>
        <v/>
      </c>
      <c r="S4129" s="16">
        <f>N4129/10000</f>
        <v/>
      </c>
      <c r="T4129" s="16">
        <f>P4129/10000</f>
        <v/>
      </c>
      <c r="U4129" s="15">
        <f>IF(N4129&gt;=Summary!$D$3,1,0)</f>
        <v/>
      </c>
      <c r="V4129" s="17">
        <f>IF(N4129&gt;0,P4129/N4129,"")</f>
        <v/>
      </c>
      <c r="W4129" s="17">
        <f>IF(O4129&gt;0,H4129/O4129,"")</f>
        <v/>
      </c>
    </row>
    <row r="4130">
      <c r="A4130" s="13" t="inlineStr">
        <is>
          <t>CW57_B2</t>
        </is>
      </c>
      <c r="B4130" s="13" t="inlineStr">
        <is>
          <t>CW57</t>
        </is>
      </c>
      <c r="C4130" s="13" t="inlineStr">
        <is>
          <t>B2</t>
        </is>
      </c>
      <c r="D4130" s="13" t="n">
        <v>0</v>
      </c>
      <c r="E4130" s="13" t="inlineStr">
        <is>
          <t>W</t>
        </is>
      </c>
      <c r="F4130" s="13" t="n">
        <v>2025</v>
      </c>
      <c r="G4130" s="14" t="n">
        <v>1000855.781513528</v>
      </c>
      <c r="H4130" s="14" t="n">
        <v>315663.5734189203</v>
      </c>
      <c r="I4130" s="14" t="n">
        <v>197.4506530761719</v>
      </c>
      <c r="J4130" s="14" t="n">
        <v>0</v>
      </c>
      <c r="K4130" s="14" t="n">
        <v>13784.03547076057</v>
      </c>
      <c r="L4130" s="14" t="n">
        <v>671210.7219707711</v>
      </c>
      <c r="M4130" s="14" t="n">
        <v>0</v>
      </c>
      <c r="N4130" s="14" t="n">
        <v>325949.9962262622</v>
      </c>
      <c r="O4130" s="14" t="n">
        <v>342770.9030282114</v>
      </c>
      <c r="P4130" s="14" t="n">
        <v>10483.87326205384</v>
      </c>
      <c r="Q4130" s="14" t="n">
        <v>2119742.977990005</v>
      </c>
      <c r="R4130" s="15">
        <f>IF(D4130=1,"Section 1","Control")</f>
        <v/>
      </c>
      <c r="S4130" s="16">
        <f>N4130/10000</f>
        <v/>
      </c>
      <c r="T4130" s="16">
        <f>P4130/10000</f>
        <v/>
      </c>
      <c r="U4130" s="15">
        <f>IF(N4130&gt;=Summary!$D$3,1,0)</f>
        <v/>
      </c>
      <c r="V4130" s="17">
        <f>IF(N4130&gt;0,P4130/N4130,"")</f>
        <v/>
      </c>
      <c r="W4130" s="17">
        <f>IF(O4130&gt;0,H4130/O4130,"")</f>
        <v/>
      </c>
    </row>
    <row r="4131">
      <c r="A4131" s="13" t="inlineStr">
        <is>
          <t>CW57_B2</t>
        </is>
      </c>
      <c r="B4131" s="13" t="inlineStr">
        <is>
          <t>CW57</t>
        </is>
      </c>
      <c r="C4131" s="13" t="inlineStr">
        <is>
          <t>B2</t>
        </is>
      </c>
      <c r="D4131" s="13" t="n">
        <v>0</v>
      </c>
      <c r="E4131" s="13" t="inlineStr">
        <is>
          <t>W</t>
        </is>
      </c>
      <c r="F4131" s="13" t="n">
        <v>2026</v>
      </c>
      <c r="G4131" s="14" t="n">
        <v>1000855.781513528</v>
      </c>
      <c r="H4131" s="14" t="n">
        <v>314164.8820008223</v>
      </c>
      <c r="I4131" s="14" t="n">
        <v>98.72549438476562</v>
      </c>
      <c r="J4131" s="14" t="n">
        <v>0</v>
      </c>
      <c r="K4131" s="14" t="n">
        <v>17288.58950715906</v>
      </c>
      <c r="L4131" s="14" t="n">
        <v>669303.584511162</v>
      </c>
      <c r="M4131" s="14" t="n">
        <v>0</v>
      </c>
      <c r="N4131" s="14" t="n">
        <v>325949.9962262622</v>
      </c>
      <c r="O4131" s="14" t="n">
        <v>342770.9030282114</v>
      </c>
      <c r="P4131" s="14" t="n">
        <v>11785.11422543993</v>
      </c>
      <c r="Q4131" s="14" t="n">
        <v>2119742.977990005</v>
      </c>
      <c r="R4131" s="15">
        <f>IF(D4131=1,"Section 1","Control")</f>
        <v/>
      </c>
      <c r="S4131" s="16">
        <f>N4131/10000</f>
        <v/>
      </c>
      <c r="T4131" s="16">
        <f>P4131/10000</f>
        <v/>
      </c>
      <c r="U4131" s="15">
        <f>IF(N4131&gt;=Summary!$D$3,1,0)</f>
        <v/>
      </c>
      <c r="V4131" s="17">
        <f>IF(N4131&gt;0,P4131/N4131,"")</f>
        <v/>
      </c>
      <c r="W4131" s="17">
        <f>IF(O4131&gt;0,H4131/O4131,"")</f>
        <v/>
      </c>
    </row>
    <row r="4132">
      <c r="A4132" s="13" t="inlineStr">
        <is>
          <t>CW57_B3</t>
        </is>
      </c>
      <c r="B4132" s="13" t="inlineStr">
        <is>
          <t>CW57</t>
        </is>
      </c>
      <c r="C4132" s="13" t="inlineStr">
        <is>
          <t>B3</t>
        </is>
      </c>
      <c r="D4132" s="13" t="n">
        <v>0</v>
      </c>
      <c r="E4132" s="13" t="inlineStr">
        <is>
          <t>W</t>
        </is>
      </c>
      <c r="F4132" s="13" t="n">
        <v>2020</v>
      </c>
      <c r="G4132" s="14" t="n">
        <v>8008675.403136163</v>
      </c>
      <c r="H4132" s="14" t="n">
        <v>2393915.114871844</v>
      </c>
      <c r="I4132" s="14" t="n">
        <v>57432.12890301873</v>
      </c>
      <c r="J4132" s="14" t="n">
        <v>0</v>
      </c>
      <c r="K4132" s="14" t="n">
        <v>1020634.987417722</v>
      </c>
      <c r="L4132" s="14" t="n">
        <v>4536693.171943573</v>
      </c>
      <c r="M4132" s="14" t="n">
        <v>0</v>
      </c>
      <c r="N4132" s="14" t="n">
        <v>2393915.114871844</v>
      </c>
      <c r="O4132" s="14" t="n">
        <v>3471982.231192585</v>
      </c>
      <c r="P4132" s="14" t="n">
        <v>0</v>
      </c>
      <c r="Q4132" s="14" t="n">
        <v>15653075.57254672</v>
      </c>
      <c r="R4132" s="15">
        <f>IF(D4132=1,"Section 1","Control")</f>
        <v/>
      </c>
      <c r="S4132" s="16">
        <f>N4132/10000</f>
        <v/>
      </c>
      <c r="T4132" s="16">
        <f>P4132/10000</f>
        <v/>
      </c>
      <c r="U4132" s="15">
        <f>IF(N4132&gt;=Summary!$D$3,1,0)</f>
        <v/>
      </c>
      <c r="V4132" s="17">
        <f>IF(N4132&gt;0,P4132/N4132,"")</f>
        <v/>
      </c>
      <c r="W4132" s="17">
        <f>IF(O4132&gt;0,H4132/O4132,"")</f>
        <v/>
      </c>
    </row>
    <row r="4133">
      <c r="A4133" s="13" t="inlineStr">
        <is>
          <t>CW57_B3</t>
        </is>
      </c>
      <c r="B4133" s="13" t="inlineStr">
        <is>
          <t>CW57</t>
        </is>
      </c>
      <c r="C4133" s="13" t="inlineStr">
        <is>
          <t>B3</t>
        </is>
      </c>
      <c r="D4133" s="13" t="n">
        <v>0</v>
      </c>
      <c r="E4133" s="13" t="inlineStr">
        <is>
          <t>W</t>
        </is>
      </c>
      <c r="F4133" s="13" t="n">
        <v>2021</v>
      </c>
      <c r="G4133" s="14" t="n">
        <v>8008675.403136163</v>
      </c>
      <c r="H4133" s="14" t="n">
        <v>2353170.406814515</v>
      </c>
      <c r="I4133" s="14" t="n">
        <v>70124.39054664163</v>
      </c>
      <c r="J4133" s="14" t="n">
        <v>0</v>
      </c>
      <c r="K4133" s="14" t="n">
        <v>1057881.668965627</v>
      </c>
      <c r="L4133" s="14" t="n">
        <v>4527498.936809374</v>
      </c>
      <c r="M4133" s="14" t="n">
        <v>0</v>
      </c>
      <c r="N4133" s="14" t="n">
        <v>2393915.114871844</v>
      </c>
      <c r="O4133" s="14" t="n">
        <v>3471982.231192585</v>
      </c>
      <c r="P4133" s="14" t="n">
        <v>52536.24033340754</v>
      </c>
      <c r="Q4133" s="14" t="n">
        <v>15653075.57254672</v>
      </c>
      <c r="R4133" s="15">
        <f>IF(D4133=1,"Section 1","Control")</f>
        <v/>
      </c>
      <c r="S4133" s="16">
        <f>N4133/10000</f>
        <v/>
      </c>
      <c r="T4133" s="16">
        <f>P4133/10000</f>
        <v/>
      </c>
      <c r="U4133" s="15">
        <f>IF(N4133&gt;=Summary!$D$3,1,0)</f>
        <v/>
      </c>
      <c r="V4133" s="17">
        <f>IF(N4133&gt;0,P4133/N4133,"")</f>
        <v/>
      </c>
      <c r="W4133" s="17">
        <f>IF(O4133&gt;0,H4133/O4133,"")</f>
        <v/>
      </c>
    </row>
    <row r="4134">
      <c r="A4134" s="13" t="inlineStr">
        <is>
          <t>CW57_B3</t>
        </is>
      </c>
      <c r="B4134" s="13" t="inlineStr">
        <is>
          <t>CW57</t>
        </is>
      </c>
      <c r="C4134" s="13" t="inlineStr">
        <is>
          <t>B3</t>
        </is>
      </c>
      <c r="D4134" s="13" t="n">
        <v>0</v>
      </c>
      <c r="E4134" s="13" t="inlineStr">
        <is>
          <t>W</t>
        </is>
      </c>
      <c r="F4134" s="13" t="n">
        <v>2022</v>
      </c>
      <c r="G4134" s="14" t="n">
        <v>8008675.403136162</v>
      </c>
      <c r="H4134" s="14" t="n">
        <v>2314561.913943691</v>
      </c>
      <c r="I4134" s="14" t="n">
        <v>105609.6133280436</v>
      </c>
      <c r="J4134" s="14" t="n">
        <v>0</v>
      </c>
      <c r="K4134" s="14" t="n">
        <v>1195392.776165592</v>
      </c>
      <c r="L4134" s="14" t="n">
        <v>4393111.099698832</v>
      </c>
      <c r="M4134" s="14" t="n">
        <v>0</v>
      </c>
      <c r="N4134" s="14" t="n">
        <v>2393915.114871844</v>
      </c>
      <c r="O4134" s="14" t="n">
        <v>3471982.231192585</v>
      </c>
      <c r="P4134" s="14" t="n">
        <v>87454.10930546779</v>
      </c>
      <c r="Q4134" s="14" t="n">
        <v>15653075.57254672</v>
      </c>
      <c r="R4134" s="15">
        <f>IF(D4134=1,"Section 1","Control")</f>
        <v/>
      </c>
      <c r="S4134" s="16">
        <f>N4134/10000</f>
        <v/>
      </c>
      <c r="T4134" s="16">
        <f>P4134/10000</f>
        <v/>
      </c>
      <c r="U4134" s="15">
        <f>IF(N4134&gt;=Summary!$D$3,1,0)</f>
        <v/>
      </c>
      <c r="V4134" s="17">
        <f>IF(N4134&gt;0,P4134/N4134,"")</f>
        <v/>
      </c>
      <c r="W4134" s="17">
        <f>IF(O4134&gt;0,H4134/O4134,"")</f>
        <v/>
      </c>
    </row>
    <row r="4135">
      <c r="A4135" s="13" t="inlineStr">
        <is>
          <t>CW57_B3</t>
        </is>
      </c>
      <c r="B4135" s="13" t="inlineStr">
        <is>
          <t>CW57</t>
        </is>
      </c>
      <c r="C4135" s="13" t="inlineStr">
        <is>
          <t>B3</t>
        </is>
      </c>
      <c r="D4135" s="13" t="n">
        <v>0</v>
      </c>
      <c r="E4135" s="13" t="inlineStr">
        <is>
          <t>W</t>
        </is>
      </c>
      <c r="F4135" s="13" t="n">
        <v>2023</v>
      </c>
      <c r="G4135" s="14" t="n">
        <v>8008675.403136162</v>
      </c>
      <c r="H4135" s="14" t="n">
        <v>2309195.299779914</v>
      </c>
      <c r="I4135" s="14" t="n">
        <v>75992.70492541743</v>
      </c>
      <c r="J4135" s="14" t="n">
        <v>0</v>
      </c>
      <c r="K4135" s="14" t="n">
        <v>1081838.889244439</v>
      </c>
      <c r="L4135" s="14" t="n">
        <v>4541648.509186389</v>
      </c>
      <c r="M4135" s="14" t="n">
        <v>0</v>
      </c>
      <c r="N4135" s="14" t="n">
        <v>2393915.114871844</v>
      </c>
      <c r="O4135" s="14" t="n">
        <v>3471982.231192585</v>
      </c>
      <c r="P4135" s="14" t="n">
        <v>100102.8284165027</v>
      </c>
      <c r="Q4135" s="14" t="n">
        <v>15653075.57254672</v>
      </c>
      <c r="R4135" s="15">
        <f>IF(D4135=1,"Section 1","Control")</f>
        <v/>
      </c>
      <c r="S4135" s="16">
        <f>N4135/10000</f>
        <v/>
      </c>
      <c r="T4135" s="16">
        <f>P4135/10000</f>
        <v/>
      </c>
      <c r="U4135" s="15">
        <f>IF(N4135&gt;=Summary!$D$3,1,0)</f>
        <v/>
      </c>
      <c r="V4135" s="17">
        <f>IF(N4135&gt;0,P4135/N4135,"")</f>
        <v/>
      </c>
      <c r="W4135" s="17">
        <f>IF(O4135&gt;0,H4135/O4135,"")</f>
        <v/>
      </c>
    </row>
    <row r="4136">
      <c r="A4136" s="13" t="inlineStr">
        <is>
          <t>CW57_B3</t>
        </is>
      </c>
      <c r="B4136" s="13" t="inlineStr">
        <is>
          <t>CW57</t>
        </is>
      </c>
      <c r="C4136" s="13" t="inlineStr">
        <is>
          <t>B3</t>
        </is>
      </c>
      <c r="D4136" s="13" t="n">
        <v>0</v>
      </c>
      <c r="E4136" s="13" t="inlineStr">
        <is>
          <t>W</t>
        </is>
      </c>
      <c r="F4136" s="13" t="n">
        <v>2024</v>
      </c>
      <c r="G4136" s="14" t="n">
        <v>8008675.403136162</v>
      </c>
      <c r="H4136" s="14" t="n">
        <v>2304585.49169467</v>
      </c>
      <c r="I4136" s="14" t="n">
        <v>115006.4056356692</v>
      </c>
      <c r="J4136" s="14" t="n">
        <v>0</v>
      </c>
      <c r="K4136" s="14" t="n">
        <v>1082803.358283787</v>
      </c>
      <c r="L4136" s="14" t="n">
        <v>4506280.147522031</v>
      </c>
      <c r="M4136" s="14" t="n">
        <v>0</v>
      </c>
      <c r="N4136" s="14" t="n">
        <v>2393915.114871844</v>
      </c>
      <c r="O4136" s="14" t="n">
        <v>3471982.231192585</v>
      </c>
      <c r="P4136" s="14" t="n">
        <v>108659.4608317955</v>
      </c>
      <c r="Q4136" s="14" t="n">
        <v>15653075.57254672</v>
      </c>
      <c r="R4136" s="15">
        <f>IF(D4136=1,"Section 1","Control")</f>
        <v/>
      </c>
      <c r="S4136" s="16">
        <f>N4136/10000</f>
        <v/>
      </c>
      <c r="T4136" s="16">
        <f>P4136/10000</f>
        <v/>
      </c>
      <c r="U4136" s="15">
        <f>IF(N4136&gt;=Summary!$D$3,1,0)</f>
        <v/>
      </c>
      <c r="V4136" s="17">
        <f>IF(N4136&gt;0,P4136/N4136,"")</f>
        <v/>
      </c>
      <c r="W4136" s="17">
        <f>IF(O4136&gt;0,H4136/O4136,"")</f>
        <v/>
      </c>
    </row>
    <row r="4137">
      <c r="A4137" s="13" t="inlineStr">
        <is>
          <t>CW57_B3</t>
        </is>
      </c>
      <c r="B4137" s="13" t="inlineStr">
        <is>
          <t>CW57</t>
        </is>
      </c>
      <c r="C4137" s="13" t="inlineStr">
        <is>
          <t>B3</t>
        </is>
      </c>
      <c r="D4137" s="13" t="n">
        <v>0</v>
      </c>
      <c r="E4137" s="13" t="inlineStr">
        <is>
          <t>W</t>
        </is>
      </c>
      <c r="F4137" s="13" t="n">
        <v>2025</v>
      </c>
      <c r="G4137" s="14" t="n">
        <v>8008675.403136162</v>
      </c>
      <c r="H4137" s="14" t="n">
        <v>2315391.754699138</v>
      </c>
      <c r="I4137" s="14" t="n">
        <v>102551.4358042399</v>
      </c>
      <c r="J4137" s="14" t="n">
        <v>0</v>
      </c>
      <c r="K4137" s="14" t="n">
        <v>1042027.623226211</v>
      </c>
      <c r="L4137" s="14" t="n">
        <v>4548704.58940657</v>
      </c>
      <c r="M4137" s="14" t="n">
        <v>0</v>
      </c>
      <c r="N4137" s="14" t="n">
        <v>2393915.114871844</v>
      </c>
      <c r="O4137" s="14" t="n">
        <v>3471982.231192585</v>
      </c>
      <c r="P4137" s="14" t="n">
        <v>118225.3566442752</v>
      </c>
      <c r="Q4137" s="14" t="n">
        <v>15653075.57254672</v>
      </c>
      <c r="R4137" s="15">
        <f>IF(D4137=1,"Section 1","Control")</f>
        <v/>
      </c>
      <c r="S4137" s="16">
        <f>N4137/10000</f>
        <v/>
      </c>
      <c r="T4137" s="16">
        <f>P4137/10000</f>
        <v/>
      </c>
      <c r="U4137" s="15">
        <f>IF(N4137&gt;=Summary!$D$3,1,0)</f>
        <v/>
      </c>
      <c r="V4137" s="17">
        <f>IF(N4137&gt;0,P4137/N4137,"")</f>
        <v/>
      </c>
      <c r="W4137" s="17">
        <f>IF(O4137&gt;0,H4137/O4137,"")</f>
        <v/>
      </c>
    </row>
    <row r="4138">
      <c r="A4138" s="13" t="inlineStr">
        <is>
          <t>CW57_B3</t>
        </is>
      </c>
      <c r="B4138" s="13" t="inlineStr">
        <is>
          <t>CW57</t>
        </is>
      </c>
      <c r="C4138" s="13" t="inlineStr">
        <is>
          <t>B3</t>
        </is>
      </c>
      <c r="D4138" s="13" t="n">
        <v>0</v>
      </c>
      <c r="E4138" s="13" t="inlineStr">
        <is>
          <t>W</t>
        </is>
      </c>
      <c r="F4138" s="13" t="n">
        <v>2026</v>
      </c>
      <c r="G4138" s="14" t="n">
        <v>8008675.403136163</v>
      </c>
      <c r="H4138" s="14" t="n">
        <v>2292588.048009506</v>
      </c>
      <c r="I4138" s="14" t="n">
        <v>90978.70910255582</v>
      </c>
      <c r="J4138" s="14" t="n">
        <v>0</v>
      </c>
      <c r="K4138" s="14" t="n">
        <v>1076728.436327437</v>
      </c>
      <c r="L4138" s="14" t="n">
        <v>4548380.209696661</v>
      </c>
      <c r="M4138" s="14" t="n">
        <v>0</v>
      </c>
      <c r="N4138" s="14" t="n">
        <v>2393915.114871844</v>
      </c>
      <c r="O4138" s="14" t="n">
        <v>3471982.231192585</v>
      </c>
      <c r="P4138" s="14" t="n">
        <v>128737.2257366405</v>
      </c>
      <c r="Q4138" s="14" t="n">
        <v>15653075.57254672</v>
      </c>
      <c r="R4138" s="15">
        <f>IF(D4138=1,"Section 1","Control")</f>
        <v/>
      </c>
      <c r="S4138" s="16">
        <f>N4138/10000</f>
        <v/>
      </c>
      <c r="T4138" s="16">
        <f>P4138/10000</f>
        <v/>
      </c>
      <c r="U4138" s="15">
        <f>IF(N4138&gt;=Summary!$D$3,1,0)</f>
        <v/>
      </c>
      <c r="V4138" s="17">
        <f>IF(N4138&gt;0,P4138/N4138,"")</f>
        <v/>
      </c>
      <c r="W4138" s="17">
        <f>IF(O4138&gt;0,H4138/O4138,"")</f>
        <v/>
      </c>
    </row>
    <row r="4139">
      <c r="A4139" s="13" t="inlineStr">
        <is>
          <t>CW57_F</t>
        </is>
      </c>
      <c r="B4139" s="13" t="inlineStr">
        <is>
          <t>CW57</t>
        </is>
      </c>
      <c r="C4139" s="13" t="inlineStr">
        <is>
          <t>F</t>
        </is>
      </c>
      <c r="D4139" s="13" t="n">
        <v>0</v>
      </c>
      <c r="E4139" s="13" t="inlineStr">
        <is>
          <t>W</t>
        </is>
      </c>
      <c r="F4139" s="13" t="n">
        <v>2020</v>
      </c>
      <c r="G4139" s="14" t="n">
        <v>69317.56762617525</v>
      </c>
      <c r="H4139" s="14" t="n">
        <v>20112.04169802198</v>
      </c>
      <c r="I4139" s="14" t="n">
        <v>4580.159320636824</v>
      </c>
      <c r="J4139" s="14" t="n">
        <v>0</v>
      </c>
      <c r="K4139" s="14" t="n">
        <v>44625.36660751641</v>
      </c>
      <c r="L4139" s="14" t="n">
        <v>0</v>
      </c>
      <c r="M4139" s="14" t="n">
        <v>0</v>
      </c>
      <c r="N4139" s="14" t="n">
        <v>20112.04169802198</v>
      </c>
      <c r="O4139" s="14" t="n">
        <v>69317.56762617525</v>
      </c>
      <c r="P4139" s="14" t="n">
        <v>0</v>
      </c>
      <c r="Q4139" s="14" t="n">
        <v>765594.3894356522</v>
      </c>
      <c r="R4139" s="15">
        <f>IF(D4139=1,"Section 1","Control")</f>
        <v/>
      </c>
      <c r="S4139" s="16">
        <f>N4139/10000</f>
        <v/>
      </c>
      <c r="T4139" s="16">
        <f>P4139/10000</f>
        <v/>
      </c>
      <c r="U4139" s="15">
        <f>IF(N4139&gt;=Summary!$D$3,1,0)</f>
        <v/>
      </c>
      <c r="V4139" s="17">
        <f>IF(N4139&gt;0,P4139/N4139,"")</f>
        <v/>
      </c>
      <c r="W4139" s="17">
        <f>IF(O4139&gt;0,H4139/O4139,"")</f>
        <v/>
      </c>
    </row>
    <row r="4140">
      <c r="A4140" s="13" t="inlineStr">
        <is>
          <t>CW57_F</t>
        </is>
      </c>
      <c r="B4140" s="13" t="inlineStr">
        <is>
          <t>CW57</t>
        </is>
      </c>
      <c r="C4140" s="13" t="inlineStr">
        <is>
          <t>F</t>
        </is>
      </c>
      <c r="D4140" s="13" t="n">
        <v>0</v>
      </c>
      <c r="E4140" s="13" t="inlineStr">
        <is>
          <t>W</t>
        </is>
      </c>
      <c r="F4140" s="13" t="n">
        <v>2021</v>
      </c>
      <c r="G4140" s="14" t="n">
        <v>69317.56762617525</v>
      </c>
      <c r="H4140" s="14" t="n">
        <v>6083.517182952282</v>
      </c>
      <c r="I4140" s="14" t="n">
        <v>4916.218252533557</v>
      </c>
      <c r="J4140" s="14" t="n">
        <v>0</v>
      </c>
      <c r="K4140" s="14" t="n">
        <v>58317.83219068941</v>
      </c>
      <c r="L4140" s="14" t="n">
        <v>0</v>
      </c>
      <c r="M4140" s="14" t="n">
        <v>0</v>
      </c>
      <c r="N4140" s="14" t="n">
        <v>20112.04169802198</v>
      </c>
      <c r="O4140" s="14" t="n">
        <v>69317.56762617525</v>
      </c>
      <c r="P4140" s="14" t="n">
        <v>14028.5245150697</v>
      </c>
      <c r="Q4140" s="14" t="n">
        <v>765594.3894356522</v>
      </c>
      <c r="R4140" s="15">
        <f>IF(D4140=1,"Section 1","Control")</f>
        <v/>
      </c>
      <c r="S4140" s="16">
        <f>N4140/10000</f>
        <v/>
      </c>
      <c r="T4140" s="16">
        <f>P4140/10000</f>
        <v/>
      </c>
      <c r="U4140" s="15">
        <f>IF(N4140&gt;=Summary!$D$3,1,0)</f>
        <v/>
      </c>
      <c r="V4140" s="17">
        <f>IF(N4140&gt;0,P4140/N4140,"")</f>
        <v/>
      </c>
      <c r="W4140" s="17">
        <f>IF(O4140&gt;0,H4140/O4140,"")</f>
        <v/>
      </c>
    </row>
    <row r="4141">
      <c r="A4141" s="13" t="inlineStr">
        <is>
          <t>CW57_F</t>
        </is>
      </c>
      <c r="B4141" s="13" t="inlineStr">
        <is>
          <t>CW57</t>
        </is>
      </c>
      <c r="C4141" s="13" t="inlineStr">
        <is>
          <t>F</t>
        </is>
      </c>
      <c r="D4141" s="13" t="n">
        <v>0</v>
      </c>
      <c r="E4141" s="13" t="inlineStr">
        <is>
          <t>W</t>
        </is>
      </c>
      <c r="F4141" s="13" t="n">
        <v>2022</v>
      </c>
      <c r="G4141" s="14" t="n">
        <v>69317.56762617525</v>
      </c>
      <c r="H4141" s="14" t="n">
        <v>3873.581660551183</v>
      </c>
      <c r="I4141" s="14" t="n">
        <v>7564.037723645976</v>
      </c>
      <c r="J4141" s="14" t="n">
        <v>0</v>
      </c>
      <c r="K4141" s="14" t="n">
        <v>57879.94824197806</v>
      </c>
      <c r="L4141" s="14" t="n">
        <v>0</v>
      </c>
      <c r="M4141" s="14" t="n">
        <v>0</v>
      </c>
      <c r="N4141" s="14" t="n">
        <v>20112.04169802198</v>
      </c>
      <c r="O4141" s="14" t="n">
        <v>69317.56762617525</v>
      </c>
      <c r="P4141" s="14" t="n">
        <v>16275.24069776348</v>
      </c>
      <c r="Q4141" s="14" t="n">
        <v>765594.3894356522</v>
      </c>
      <c r="R4141" s="15">
        <f>IF(D4141=1,"Section 1","Control")</f>
        <v/>
      </c>
      <c r="S4141" s="16">
        <f>N4141/10000</f>
        <v/>
      </c>
      <c r="T4141" s="16">
        <f>P4141/10000</f>
        <v/>
      </c>
      <c r="U4141" s="15">
        <f>IF(N4141&gt;=Summary!$D$3,1,0)</f>
        <v/>
      </c>
      <c r="V4141" s="17">
        <f>IF(N4141&gt;0,P4141/N4141,"")</f>
        <v/>
      </c>
      <c r="W4141" s="17">
        <f>IF(O4141&gt;0,H4141/O4141,"")</f>
        <v/>
      </c>
    </row>
    <row r="4142">
      <c r="A4142" s="13" t="inlineStr">
        <is>
          <t>CW57_F</t>
        </is>
      </c>
      <c r="B4142" s="13" t="inlineStr">
        <is>
          <t>CW57</t>
        </is>
      </c>
      <c r="C4142" s="13" t="inlineStr">
        <is>
          <t>F</t>
        </is>
      </c>
      <c r="D4142" s="13" t="n">
        <v>0</v>
      </c>
      <c r="E4142" s="13" t="inlineStr">
        <is>
          <t>W</t>
        </is>
      </c>
      <c r="F4142" s="13" t="n">
        <v>2023</v>
      </c>
      <c r="G4142" s="14" t="n">
        <v>69317.56762617525</v>
      </c>
      <c r="H4142" s="14" t="n">
        <v>3380.333886988022</v>
      </c>
      <c r="I4142" s="14" t="n">
        <v>6044.415663087134</v>
      </c>
      <c r="J4142" s="14" t="n">
        <v>0</v>
      </c>
      <c r="K4142" s="14" t="n">
        <v>59892.81807610008</v>
      </c>
      <c r="L4142" s="14" t="n">
        <v>0</v>
      </c>
      <c r="M4142" s="14" t="n">
        <v>0</v>
      </c>
      <c r="N4142" s="14" t="n">
        <v>20112.04169802198</v>
      </c>
      <c r="O4142" s="14" t="n">
        <v>69317.56762617525</v>
      </c>
      <c r="P4142" s="14" t="n">
        <v>16731.70781103396</v>
      </c>
      <c r="Q4142" s="14" t="n">
        <v>765594.3894356522</v>
      </c>
      <c r="R4142" s="15">
        <f>IF(D4142=1,"Section 1","Control")</f>
        <v/>
      </c>
      <c r="S4142" s="16">
        <f>N4142/10000</f>
        <v/>
      </c>
      <c r="T4142" s="16">
        <f>P4142/10000</f>
        <v/>
      </c>
      <c r="U4142" s="15">
        <f>IF(N4142&gt;=Summary!$D$3,1,0)</f>
        <v/>
      </c>
      <c r="V4142" s="17">
        <f>IF(N4142&gt;0,P4142/N4142,"")</f>
        <v/>
      </c>
      <c r="W4142" s="17">
        <f>IF(O4142&gt;0,H4142/O4142,"")</f>
        <v/>
      </c>
    </row>
    <row r="4143">
      <c r="A4143" s="13" t="inlineStr">
        <is>
          <t>CW57_F</t>
        </is>
      </c>
      <c r="B4143" s="13" t="inlineStr">
        <is>
          <t>CW57</t>
        </is>
      </c>
      <c r="C4143" s="13" t="inlineStr">
        <is>
          <t>F</t>
        </is>
      </c>
      <c r="D4143" s="13" t="n">
        <v>0</v>
      </c>
      <c r="E4143" s="13" t="inlineStr">
        <is>
          <t>W</t>
        </is>
      </c>
      <c r="F4143" s="13" t="n">
        <v>2024</v>
      </c>
      <c r="G4143" s="14" t="n">
        <v>69317.56762617525</v>
      </c>
      <c r="H4143" s="14" t="n">
        <v>3836.801004746381</v>
      </c>
      <c r="I4143" s="14" t="n">
        <v>5757.139563347312</v>
      </c>
      <c r="J4143" s="14" t="n">
        <v>0</v>
      </c>
      <c r="K4143" s="14" t="n">
        <v>59723.62705808155</v>
      </c>
      <c r="L4143" s="14" t="n">
        <v>0</v>
      </c>
      <c r="M4143" s="14" t="n">
        <v>0</v>
      </c>
      <c r="N4143" s="14" t="n">
        <v>20112.04169802198</v>
      </c>
      <c r="O4143" s="14" t="n">
        <v>69317.56762617525</v>
      </c>
      <c r="P4143" s="14" t="n">
        <v>16830.43486181521</v>
      </c>
      <c r="Q4143" s="14" t="n">
        <v>765594.3894356522</v>
      </c>
      <c r="R4143" s="15">
        <f>IF(D4143=1,"Section 1","Control")</f>
        <v/>
      </c>
      <c r="S4143" s="16">
        <f>N4143/10000</f>
        <v/>
      </c>
      <c r="T4143" s="16">
        <f>P4143/10000</f>
        <v/>
      </c>
      <c r="U4143" s="15">
        <f>IF(N4143&gt;=Summary!$D$3,1,0)</f>
        <v/>
      </c>
      <c r="V4143" s="17">
        <f>IF(N4143&gt;0,P4143/N4143,"")</f>
        <v/>
      </c>
      <c r="W4143" s="17">
        <f>IF(O4143&gt;0,H4143/O4143,"")</f>
        <v/>
      </c>
    </row>
    <row r="4144">
      <c r="A4144" s="13" t="inlineStr">
        <is>
          <t>CW57_F</t>
        </is>
      </c>
      <c r="B4144" s="13" t="inlineStr">
        <is>
          <t>CW57</t>
        </is>
      </c>
      <c r="C4144" s="13" t="inlineStr">
        <is>
          <t>F</t>
        </is>
      </c>
      <c r="D4144" s="13" t="n">
        <v>0</v>
      </c>
      <c r="E4144" s="13" t="inlineStr">
        <is>
          <t>W</t>
        </is>
      </c>
      <c r="F4144" s="13" t="n">
        <v>2025</v>
      </c>
      <c r="G4144" s="14" t="n">
        <v>69317.56762617525</v>
      </c>
      <c r="H4144" s="14" t="n">
        <v>2775.582687826717</v>
      </c>
      <c r="I4144" s="14" t="n">
        <v>9657.436720305799</v>
      </c>
      <c r="J4144" s="14" t="n">
        <v>0</v>
      </c>
      <c r="K4144" s="14" t="n">
        <v>56884.5482180427</v>
      </c>
      <c r="L4144" s="14" t="n">
        <v>0</v>
      </c>
      <c r="M4144" s="14" t="n">
        <v>0</v>
      </c>
      <c r="N4144" s="14" t="n">
        <v>20112.04169802198</v>
      </c>
      <c r="O4144" s="14" t="n">
        <v>69317.56762617525</v>
      </c>
      <c r="P4144" s="14" t="n">
        <v>17336.45901019526</v>
      </c>
      <c r="Q4144" s="14" t="n">
        <v>765594.3894356522</v>
      </c>
      <c r="R4144" s="15">
        <f>IF(D4144=1,"Section 1","Control")</f>
        <v/>
      </c>
      <c r="S4144" s="16">
        <f>N4144/10000</f>
        <v/>
      </c>
      <c r="T4144" s="16">
        <f>P4144/10000</f>
        <v/>
      </c>
      <c r="U4144" s="15">
        <f>IF(N4144&gt;=Summary!$D$3,1,0)</f>
        <v/>
      </c>
      <c r="V4144" s="17">
        <f>IF(N4144&gt;0,P4144/N4144,"")</f>
        <v/>
      </c>
      <c r="W4144" s="17">
        <f>IF(O4144&gt;0,H4144/O4144,"")</f>
        <v/>
      </c>
    </row>
    <row r="4145">
      <c r="A4145" s="13" t="inlineStr">
        <is>
          <t>CW57_F</t>
        </is>
      </c>
      <c r="B4145" s="13" t="inlineStr">
        <is>
          <t>CW57</t>
        </is>
      </c>
      <c r="C4145" s="13" t="inlineStr">
        <is>
          <t>F</t>
        </is>
      </c>
      <c r="D4145" s="13" t="n">
        <v>0</v>
      </c>
      <c r="E4145" s="13" t="inlineStr">
        <is>
          <t>W</t>
        </is>
      </c>
      <c r="F4145" s="13" t="n">
        <v>2026</v>
      </c>
      <c r="G4145" s="14" t="n">
        <v>69317.56762617525</v>
      </c>
      <c r="H4145" s="14" t="n">
        <v>3529.005042790432</v>
      </c>
      <c r="I4145" s="14" t="n">
        <v>11637.01019753849</v>
      </c>
      <c r="J4145" s="14" t="n">
        <v>0</v>
      </c>
      <c r="K4145" s="14" t="n">
        <v>54151.55238584629</v>
      </c>
      <c r="L4145" s="14" t="n">
        <v>0</v>
      </c>
      <c r="M4145" s="14" t="n">
        <v>0</v>
      </c>
      <c r="N4145" s="14" t="n">
        <v>20112.04169802198</v>
      </c>
      <c r="O4145" s="14" t="n">
        <v>69317.56762617525</v>
      </c>
      <c r="P4145" s="14" t="n">
        <v>17261.73625859279</v>
      </c>
      <c r="Q4145" s="14" t="n">
        <v>765594.3894356522</v>
      </c>
      <c r="R4145" s="15">
        <f>IF(D4145=1,"Section 1","Control")</f>
        <v/>
      </c>
      <c r="S4145" s="16">
        <f>N4145/10000</f>
        <v/>
      </c>
      <c r="T4145" s="16">
        <f>P4145/10000</f>
        <v/>
      </c>
      <c r="U4145" s="15">
        <f>IF(N4145&gt;=Summary!$D$3,1,0)</f>
        <v/>
      </c>
      <c r="V4145" s="17">
        <f>IF(N4145&gt;0,P4145/N4145,"")</f>
        <v/>
      </c>
      <c r="W4145" s="17">
        <f>IF(O4145&gt;0,H4145/O4145,"")</f>
        <v/>
      </c>
    </row>
    <row r="4146">
      <c r="A4146" s="13" t="inlineStr">
        <is>
          <t>CW58_B1</t>
        </is>
      </c>
      <c r="B4146" s="13" t="inlineStr">
        <is>
          <t>CW58</t>
        </is>
      </c>
      <c r="C4146" s="13" t="inlineStr">
        <is>
          <t>B1</t>
        </is>
      </c>
      <c r="D4146" s="13" t="n">
        <v>0</v>
      </c>
      <c r="E4146" s="13" t="inlineStr">
        <is>
          <t>W</t>
        </is>
      </c>
      <c r="F4146" s="13" t="n">
        <v>2020</v>
      </c>
      <c r="G4146" s="14" t="n">
        <v>1000863.302293695</v>
      </c>
      <c r="H4146" s="14" t="n">
        <v>191941.6377292708</v>
      </c>
      <c r="I4146" s="14" t="n">
        <v>285693.2002700208</v>
      </c>
      <c r="J4146" s="14" t="n">
        <v>0</v>
      </c>
      <c r="K4146" s="14" t="n">
        <v>78402.57748374192</v>
      </c>
      <c r="L4146" s="14" t="n">
        <v>444825.8868106617</v>
      </c>
      <c r="M4146" s="14" t="n">
        <v>0</v>
      </c>
      <c r="N4146" s="14" t="n">
        <v>191941.6377292708</v>
      </c>
      <c r="O4146" s="14" t="n">
        <v>556037.4154830336</v>
      </c>
      <c r="P4146" s="14" t="n">
        <v>0</v>
      </c>
      <c r="Q4146" s="14" t="n">
        <v>2913298.182982292</v>
      </c>
      <c r="R4146" s="15">
        <f>IF(D4146=1,"Section 1","Control")</f>
        <v/>
      </c>
      <c r="S4146" s="16">
        <f>N4146/10000</f>
        <v/>
      </c>
      <c r="T4146" s="16">
        <f>P4146/10000</f>
        <v/>
      </c>
      <c r="U4146" s="15">
        <f>IF(N4146&gt;=Summary!$D$3,1,0)</f>
        <v/>
      </c>
      <c r="V4146" s="17">
        <f>IF(N4146&gt;0,P4146/N4146,"")</f>
        <v/>
      </c>
      <c r="W4146" s="17">
        <f>IF(O4146&gt;0,H4146/O4146,"")</f>
        <v/>
      </c>
    </row>
    <row r="4147">
      <c r="A4147" s="13" t="inlineStr">
        <is>
          <t>CW58_B1</t>
        </is>
      </c>
      <c r="B4147" s="13" t="inlineStr">
        <is>
          <t>CW58</t>
        </is>
      </c>
      <c r="C4147" s="13" t="inlineStr">
        <is>
          <t>B1</t>
        </is>
      </c>
      <c r="D4147" s="13" t="n">
        <v>0</v>
      </c>
      <c r="E4147" s="13" t="inlineStr">
        <is>
          <t>W</t>
        </is>
      </c>
      <c r="F4147" s="13" t="n">
        <v>2021</v>
      </c>
      <c r="G4147" s="14" t="n">
        <v>1000863.302293695</v>
      </c>
      <c r="H4147" s="14" t="n">
        <v>166960.683826252</v>
      </c>
      <c r="I4147" s="14" t="n">
        <v>302976.6254627003</v>
      </c>
      <c r="J4147" s="14" t="n">
        <v>0</v>
      </c>
      <c r="K4147" s="14" t="n">
        <v>88894.31801033767</v>
      </c>
      <c r="L4147" s="14" t="n">
        <v>442031.6749944051</v>
      </c>
      <c r="M4147" s="14" t="n">
        <v>0</v>
      </c>
      <c r="N4147" s="14" t="n">
        <v>191941.6377292708</v>
      </c>
      <c r="O4147" s="14" t="n">
        <v>556037.4154830336</v>
      </c>
      <c r="P4147" s="14" t="n">
        <v>29213.81248037301</v>
      </c>
      <c r="Q4147" s="14" t="n">
        <v>2913298.182982292</v>
      </c>
      <c r="R4147" s="15">
        <f>IF(D4147=1,"Section 1","Control")</f>
        <v/>
      </c>
      <c r="S4147" s="16">
        <f>N4147/10000</f>
        <v/>
      </c>
      <c r="T4147" s="16">
        <f>P4147/10000</f>
        <v/>
      </c>
      <c r="U4147" s="15">
        <f>IF(N4147&gt;=Summary!$D$3,1,0)</f>
        <v/>
      </c>
      <c r="V4147" s="17">
        <f>IF(N4147&gt;0,P4147/N4147,"")</f>
        <v/>
      </c>
      <c r="W4147" s="17">
        <f>IF(O4147&gt;0,H4147/O4147,"")</f>
        <v/>
      </c>
    </row>
    <row r="4148">
      <c r="A4148" s="13" t="inlineStr">
        <is>
          <t>CW58_B1</t>
        </is>
      </c>
      <c r="B4148" s="13" t="inlineStr">
        <is>
          <t>CW58</t>
        </is>
      </c>
      <c r="C4148" s="13" t="inlineStr">
        <is>
          <t>B1</t>
        </is>
      </c>
      <c r="D4148" s="13" t="n">
        <v>0</v>
      </c>
      <c r="E4148" s="13" t="inlineStr">
        <is>
          <t>W</t>
        </is>
      </c>
      <c r="F4148" s="13" t="n">
        <v>2022</v>
      </c>
      <c r="G4148" s="14" t="n">
        <v>1000863.302293695</v>
      </c>
      <c r="H4148" s="14" t="n">
        <v>161943.8095831478</v>
      </c>
      <c r="I4148" s="14" t="n">
        <v>310389.2921184166</v>
      </c>
      <c r="J4148" s="14" t="n">
        <v>0</v>
      </c>
      <c r="K4148" s="14" t="n">
        <v>102511.2208280077</v>
      </c>
      <c r="L4148" s="14" t="n">
        <v>426018.979764123</v>
      </c>
      <c r="M4148" s="14" t="n">
        <v>0</v>
      </c>
      <c r="N4148" s="14" t="n">
        <v>191941.6377292708</v>
      </c>
      <c r="O4148" s="14" t="n">
        <v>556037.4154830336</v>
      </c>
      <c r="P4148" s="14" t="n">
        <v>36254.77154373467</v>
      </c>
      <c r="Q4148" s="14" t="n">
        <v>2913298.182982292</v>
      </c>
      <c r="R4148" s="15">
        <f>IF(D4148=1,"Section 1","Control")</f>
        <v/>
      </c>
      <c r="S4148" s="16">
        <f>N4148/10000</f>
        <v/>
      </c>
      <c r="T4148" s="16">
        <f>P4148/10000</f>
        <v/>
      </c>
      <c r="U4148" s="15">
        <f>IF(N4148&gt;=Summary!$D$3,1,0)</f>
        <v/>
      </c>
      <c r="V4148" s="17">
        <f>IF(N4148&gt;0,P4148/N4148,"")</f>
        <v/>
      </c>
      <c r="W4148" s="17">
        <f>IF(O4148&gt;0,H4148/O4148,"")</f>
        <v/>
      </c>
    </row>
    <row r="4149">
      <c r="A4149" s="13" t="inlineStr">
        <is>
          <t>CW58_B1</t>
        </is>
      </c>
      <c r="B4149" s="13" t="inlineStr">
        <is>
          <t>CW58</t>
        </is>
      </c>
      <c r="C4149" s="13" t="inlineStr">
        <is>
          <t>B1</t>
        </is>
      </c>
      <c r="D4149" s="13" t="n">
        <v>0</v>
      </c>
      <c r="E4149" s="13" t="inlineStr">
        <is>
          <t>W</t>
        </is>
      </c>
      <c r="F4149" s="13" t="n">
        <v>2023</v>
      </c>
      <c r="G4149" s="14" t="n">
        <v>1000863.302293695</v>
      </c>
      <c r="H4149" s="14" t="n">
        <v>156131.3236957924</v>
      </c>
      <c r="I4149" s="14" t="n">
        <v>303616.1347390868</v>
      </c>
      <c r="J4149" s="14" t="n">
        <v>0</v>
      </c>
      <c r="K4149" s="14" t="n">
        <v>86348.33937054801</v>
      </c>
      <c r="L4149" s="14" t="n">
        <v>454767.5044882681</v>
      </c>
      <c r="M4149" s="14" t="n">
        <v>0</v>
      </c>
      <c r="N4149" s="14" t="n">
        <v>191941.6377292708</v>
      </c>
      <c r="O4149" s="14" t="n">
        <v>556037.4154830336</v>
      </c>
      <c r="P4149" s="14" t="n">
        <v>41536.45621747783</v>
      </c>
      <c r="Q4149" s="14" t="n">
        <v>2913298.182982292</v>
      </c>
      <c r="R4149" s="15">
        <f>IF(D4149=1,"Section 1","Control")</f>
        <v/>
      </c>
      <c r="S4149" s="16">
        <f>N4149/10000</f>
        <v/>
      </c>
      <c r="T4149" s="16">
        <f>P4149/10000</f>
        <v/>
      </c>
      <c r="U4149" s="15">
        <f>IF(N4149&gt;=Summary!$D$3,1,0)</f>
        <v/>
      </c>
      <c r="V4149" s="17">
        <f>IF(N4149&gt;0,P4149/N4149,"")</f>
        <v/>
      </c>
      <c r="W4149" s="17">
        <f>IF(O4149&gt;0,H4149/O4149,"")</f>
        <v/>
      </c>
    </row>
    <row r="4150">
      <c r="A4150" s="13" t="inlineStr">
        <is>
          <t>CW58_B1</t>
        </is>
      </c>
      <c r="B4150" s="13" t="inlineStr">
        <is>
          <t>CW58</t>
        </is>
      </c>
      <c r="C4150" s="13" t="inlineStr">
        <is>
          <t>B1</t>
        </is>
      </c>
      <c r="D4150" s="13" t="n">
        <v>0</v>
      </c>
      <c r="E4150" s="13" t="inlineStr">
        <is>
          <t>W</t>
        </is>
      </c>
      <c r="F4150" s="13" t="n">
        <v>2024</v>
      </c>
      <c r="G4150" s="14" t="n">
        <v>1000863.302293695</v>
      </c>
      <c r="H4150" s="14" t="n">
        <v>195791.5796597948</v>
      </c>
      <c r="I4150" s="14" t="n">
        <v>261167.9107212441</v>
      </c>
      <c r="J4150" s="14" t="n">
        <v>0</v>
      </c>
      <c r="K4150" s="14" t="n">
        <v>89902.48917685114</v>
      </c>
      <c r="L4150" s="14" t="n">
        <v>454001.3227358051</v>
      </c>
      <c r="M4150" s="14" t="n">
        <v>0</v>
      </c>
      <c r="N4150" s="14" t="n">
        <v>191941.6377292708</v>
      </c>
      <c r="O4150" s="14" t="n">
        <v>556037.4154830336</v>
      </c>
      <c r="P4150" s="14" t="n">
        <v>28858.39020954207</v>
      </c>
      <c r="Q4150" s="14" t="n">
        <v>2913298.182982292</v>
      </c>
      <c r="R4150" s="15">
        <f>IF(D4150=1,"Section 1","Control")</f>
        <v/>
      </c>
      <c r="S4150" s="16">
        <f>N4150/10000</f>
        <v/>
      </c>
      <c r="T4150" s="16">
        <f>P4150/10000</f>
        <v/>
      </c>
      <c r="U4150" s="15">
        <f>IF(N4150&gt;=Summary!$D$3,1,0)</f>
        <v/>
      </c>
      <c r="V4150" s="17">
        <f>IF(N4150&gt;0,P4150/N4150,"")</f>
        <v/>
      </c>
      <c r="W4150" s="17">
        <f>IF(O4150&gt;0,H4150/O4150,"")</f>
        <v/>
      </c>
    </row>
    <row r="4151">
      <c r="A4151" s="13" t="inlineStr">
        <is>
          <t>CW58_B1</t>
        </is>
      </c>
      <c r="B4151" s="13" t="inlineStr">
        <is>
          <t>CW58</t>
        </is>
      </c>
      <c r="C4151" s="13" t="inlineStr">
        <is>
          <t>B1</t>
        </is>
      </c>
      <c r="D4151" s="13" t="n">
        <v>0</v>
      </c>
      <c r="E4151" s="13" t="inlineStr">
        <is>
          <t>W</t>
        </is>
      </c>
      <c r="F4151" s="13" t="n">
        <v>2025</v>
      </c>
      <c r="G4151" s="14" t="n">
        <v>1000863.302293695</v>
      </c>
      <c r="H4151" s="14" t="n">
        <v>149367.9622981052</v>
      </c>
      <c r="I4151" s="14" t="n">
        <v>319628.0983063941</v>
      </c>
      <c r="J4151" s="14" t="n">
        <v>0</v>
      </c>
      <c r="K4151" s="14" t="n">
        <v>79494.75918516269</v>
      </c>
      <c r="L4151" s="14" t="n">
        <v>452372.4825040331</v>
      </c>
      <c r="M4151" s="14" t="n">
        <v>0</v>
      </c>
      <c r="N4151" s="14" t="n">
        <v>191941.6377292708</v>
      </c>
      <c r="O4151" s="14" t="n">
        <v>556037.4154830336</v>
      </c>
      <c r="P4151" s="14" t="n">
        <v>47707.45700165991</v>
      </c>
      <c r="Q4151" s="14" t="n">
        <v>2913298.182982292</v>
      </c>
      <c r="R4151" s="15">
        <f>IF(D4151=1,"Section 1","Control")</f>
        <v/>
      </c>
      <c r="S4151" s="16">
        <f>N4151/10000</f>
        <v/>
      </c>
      <c r="T4151" s="16">
        <f>P4151/10000</f>
        <v/>
      </c>
      <c r="U4151" s="15">
        <f>IF(N4151&gt;=Summary!$D$3,1,0)</f>
        <v/>
      </c>
      <c r="V4151" s="17">
        <f>IF(N4151&gt;0,P4151/N4151,"")</f>
        <v/>
      </c>
      <c r="W4151" s="17">
        <f>IF(O4151&gt;0,H4151/O4151,"")</f>
        <v/>
      </c>
    </row>
    <row r="4152">
      <c r="A4152" s="13" t="inlineStr">
        <is>
          <t>CW58_B1</t>
        </is>
      </c>
      <c r="B4152" s="13" t="inlineStr">
        <is>
          <t>CW58</t>
        </is>
      </c>
      <c r="C4152" s="13" t="inlineStr">
        <is>
          <t>B1</t>
        </is>
      </c>
      <c r="D4152" s="13" t="n">
        <v>0</v>
      </c>
      <c r="E4152" s="13" t="inlineStr">
        <is>
          <t>W</t>
        </is>
      </c>
      <c r="F4152" s="13" t="n">
        <v>2026</v>
      </c>
      <c r="G4152" s="14" t="n">
        <v>1000863.302293695</v>
      </c>
      <c r="H4152" s="14" t="n">
        <v>190147.8979131063</v>
      </c>
      <c r="I4152" s="14" t="n">
        <v>260502.3609424068</v>
      </c>
      <c r="J4152" s="14" t="n">
        <v>0</v>
      </c>
      <c r="K4152" s="14" t="n">
        <v>83400.85282320506</v>
      </c>
      <c r="L4152" s="14" t="n">
        <v>466812.1906149771</v>
      </c>
      <c r="M4152" s="14" t="n">
        <v>0</v>
      </c>
      <c r="N4152" s="14" t="n">
        <v>191941.6377292708</v>
      </c>
      <c r="O4152" s="14" t="n">
        <v>556037.4154830336</v>
      </c>
      <c r="P4152" s="14" t="n">
        <v>36295.02273619409</v>
      </c>
      <c r="Q4152" s="14" t="n">
        <v>2913298.182982292</v>
      </c>
      <c r="R4152" s="15">
        <f>IF(D4152=1,"Section 1","Control")</f>
        <v/>
      </c>
      <c r="S4152" s="16">
        <f>N4152/10000</f>
        <v/>
      </c>
      <c r="T4152" s="16">
        <f>P4152/10000</f>
        <v/>
      </c>
      <c r="U4152" s="15">
        <f>IF(N4152&gt;=Summary!$D$3,1,0)</f>
        <v/>
      </c>
      <c r="V4152" s="17">
        <f>IF(N4152&gt;0,P4152/N4152,"")</f>
        <v/>
      </c>
      <c r="W4152" s="17">
        <f>IF(O4152&gt;0,H4152/O4152,"")</f>
        <v/>
      </c>
    </row>
    <row r="4153">
      <c r="A4153" s="13" t="inlineStr">
        <is>
          <t>CW58_B2</t>
        </is>
      </c>
      <c r="B4153" s="13" t="inlineStr">
        <is>
          <t>CW58</t>
        </is>
      </c>
      <c r="C4153" s="13" t="inlineStr">
        <is>
          <t>B2</t>
        </is>
      </c>
      <c r="D4153" s="13" t="n">
        <v>0</v>
      </c>
      <c r="E4153" s="13" t="inlineStr">
        <is>
          <t>W</t>
        </is>
      </c>
      <c r="F4153" s="13" t="n">
        <v>2020</v>
      </c>
      <c r="G4153" s="14" t="n">
        <v>1000101.743064611</v>
      </c>
      <c r="H4153" s="14" t="n">
        <v>98397.21663668766</v>
      </c>
      <c r="I4153" s="14" t="n">
        <v>296.1759262084961</v>
      </c>
      <c r="J4153" s="14" t="n">
        <v>0</v>
      </c>
      <c r="K4153" s="14" t="n">
        <v>12648.09407351625</v>
      </c>
      <c r="L4153" s="14" t="n">
        <v>888760.2564281985</v>
      </c>
      <c r="M4153" s="14" t="n">
        <v>0</v>
      </c>
      <c r="N4153" s="14" t="n">
        <v>98397.21663668766</v>
      </c>
      <c r="O4153" s="14" t="n">
        <v>111341.4866364124</v>
      </c>
      <c r="P4153" s="14" t="n">
        <v>0</v>
      </c>
      <c r="Q4153" s="14" t="n">
        <v>754960.0283317417</v>
      </c>
      <c r="R4153" s="15">
        <f>IF(D4153=1,"Section 1","Control")</f>
        <v/>
      </c>
      <c r="S4153" s="16">
        <f>N4153/10000</f>
        <v/>
      </c>
      <c r="T4153" s="16">
        <f>P4153/10000</f>
        <v/>
      </c>
      <c r="U4153" s="15">
        <f>IF(N4153&gt;=Summary!$D$3,1,0)</f>
        <v/>
      </c>
      <c r="V4153" s="17">
        <f>IF(N4153&gt;0,P4153/N4153,"")</f>
        <v/>
      </c>
      <c r="W4153" s="17">
        <f>IF(O4153&gt;0,H4153/O4153,"")</f>
        <v/>
      </c>
    </row>
    <row r="4154">
      <c r="A4154" s="13" t="inlineStr">
        <is>
          <t>CW58_B2</t>
        </is>
      </c>
      <c r="B4154" s="13" t="inlineStr">
        <is>
          <t>CW58</t>
        </is>
      </c>
      <c r="C4154" s="13" t="inlineStr">
        <is>
          <t>B2</t>
        </is>
      </c>
      <c r="D4154" s="13" t="n">
        <v>0</v>
      </c>
      <c r="E4154" s="13" t="inlineStr">
        <is>
          <t>W</t>
        </is>
      </c>
      <c r="F4154" s="13" t="n">
        <v>2021</v>
      </c>
      <c r="G4154" s="14" t="n">
        <v>1000101.743064611</v>
      </c>
      <c r="H4154" s="14" t="n">
        <v>95652.25146765618</v>
      </c>
      <c r="I4154" s="14" t="n">
        <v>0</v>
      </c>
      <c r="J4154" s="14" t="n">
        <v>0</v>
      </c>
      <c r="K4154" s="14" t="n">
        <v>10333.66066122616</v>
      </c>
      <c r="L4154" s="14" t="n">
        <v>894115.8309357286</v>
      </c>
      <c r="M4154" s="14" t="n">
        <v>0</v>
      </c>
      <c r="N4154" s="14" t="n">
        <v>98397.21663668766</v>
      </c>
      <c r="O4154" s="14" t="n">
        <v>111341.4866364124</v>
      </c>
      <c r="P4154" s="14" t="n">
        <v>2942.415669519761</v>
      </c>
      <c r="Q4154" s="14" t="n">
        <v>754960.0283317417</v>
      </c>
      <c r="R4154" s="15">
        <f>IF(D4154=1,"Section 1","Control")</f>
        <v/>
      </c>
      <c r="S4154" s="16">
        <f>N4154/10000</f>
        <v/>
      </c>
      <c r="T4154" s="16">
        <f>P4154/10000</f>
        <v/>
      </c>
      <c r="U4154" s="15">
        <f>IF(N4154&gt;=Summary!$D$3,1,0)</f>
        <v/>
      </c>
      <c r="V4154" s="17">
        <f>IF(N4154&gt;0,P4154/N4154,"")</f>
        <v/>
      </c>
      <c r="W4154" s="17">
        <f>IF(O4154&gt;0,H4154/O4154,"")</f>
        <v/>
      </c>
    </row>
    <row r="4155">
      <c r="A4155" s="13" t="inlineStr">
        <is>
          <t>CW58_B2</t>
        </is>
      </c>
      <c r="B4155" s="13" t="inlineStr">
        <is>
          <t>CW58</t>
        </is>
      </c>
      <c r="C4155" s="13" t="inlineStr">
        <is>
          <t>B2</t>
        </is>
      </c>
      <c r="D4155" s="13" t="n">
        <v>0</v>
      </c>
      <c r="E4155" s="13" t="inlineStr">
        <is>
          <t>W</t>
        </is>
      </c>
      <c r="F4155" s="13" t="n">
        <v>2022</v>
      </c>
      <c r="G4155" s="14" t="n">
        <v>1000101.743064611</v>
      </c>
      <c r="H4155" s="14" t="n">
        <v>93764.85424987198</v>
      </c>
      <c r="I4155" s="14" t="n">
        <v>0</v>
      </c>
      <c r="J4155" s="14" t="n">
        <v>0</v>
      </c>
      <c r="K4155" s="14" t="n">
        <v>24117.30099726658</v>
      </c>
      <c r="L4155" s="14" t="n">
        <v>882219.5878174725</v>
      </c>
      <c r="M4155" s="14" t="n">
        <v>0</v>
      </c>
      <c r="N4155" s="14" t="n">
        <v>98397.21663668766</v>
      </c>
      <c r="O4155" s="14" t="n">
        <v>111341.4866364124</v>
      </c>
      <c r="P4155" s="14" t="n">
        <v>4632.362386815688</v>
      </c>
      <c r="Q4155" s="14" t="n">
        <v>754960.0283317418</v>
      </c>
      <c r="R4155" s="15">
        <f>IF(D4155=1,"Section 1","Control")</f>
        <v/>
      </c>
      <c r="S4155" s="16">
        <f>N4155/10000</f>
        <v/>
      </c>
      <c r="T4155" s="16">
        <f>P4155/10000</f>
        <v/>
      </c>
      <c r="U4155" s="15">
        <f>IF(N4155&gt;=Summary!$D$3,1,0)</f>
        <v/>
      </c>
      <c r="V4155" s="17">
        <f>IF(N4155&gt;0,P4155/N4155,"")</f>
        <v/>
      </c>
      <c r="W4155" s="17">
        <f>IF(O4155&gt;0,H4155/O4155,"")</f>
        <v/>
      </c>
    </row>
    <row r="4156">
      <c r="A4156" s="13" t="inlineStr">
        <is>
          <t>CW58_B2</t>
        </is>
      </c>
      <c r="B4156" s="13" t="inlineStr">
        <is>
          <t>CW58</t>
        </is>
      </c>
      <c r="C4156" s="13" t="inlineStr">
        <is>
          <t>B2</t>
        </is>
      </c>
      <c r="D4156" s="13" t="n">
        <v>0</v>
      </c>
      <c r="E4156" s="13" t="inlineStr">
        <is>
          <t>W</t>
        </is>
      </c>
      <c r="F4156" s="13" t="n">
        <v>2023</v>
      </c>
      <c r="G4156" s="14" t="n">
        <v>1000101.74306461</v>
      </c>
      <c r="H4156" s="14" t="n">
        <v>92166.27540878598</v>
      </c>
      <c r="I4156" s="14" t="n">
        <v>0</v>
      </c>
      <c r="J4156" s="14" t="n">
        <v>0</v>
      </c>
      <c r="K4156" s="14" t="n">
        <v>12203.6359694537</v>
      </c>
      <c r="L4156" s="14" t="n">
        <v>895731.8316863712</v>
      </c>
      <c r="M4156" s="14" t="n">
        <v>0</v>
      </c>
      <c r="N4156" s="14" t="n">
        <v>98397.21663668766</v>
      </c>
      <c r="O4156" s="14" t="n">
        <v>111341.4866364124</v>
      </c>
      <c r="P4156" s="14" t="n">
        <v>6230.941227901683</v>
      </c>
      <c r="Q4156" s="14" t="n">
        <v>754960.0283317418</v>
      </c>
      <c r="R4156" s="15">
        <f>IF(D4156=1,"Section 1","Control")</f>
        <v/>
      </c>
      <c r="S4156" s="16">
        <f>N4156/10000</f>
        <v/>
      </c>
      <c r="T4156" s="16">
        <f>P4156/10000</f>
        <v/>
      </c>
      <c r="U4156" s="15">
        <f>IF(N4156&gt;=Summary!$D$3,1,0)</f>
        <v/>
      </c>
      <c r="V4156" s="17">
        <f>IF(N4156&gt;0,P4156/N4156,"")</f>
        <v/>
      </c>
      <c r="W4156" s="17">
        <f>IF(O4156&gt;0,H4156/O4156,"")</f>
        <v/>
      </c>
    </row>
    <row r="4157">
      <c r="A4157" s="13" t="inlineStr">
        <is>
          <t>CW58_B2</t>
        </is>
      </c>
      <c r="B4157" s="13" t="inlineStr">
        <is>
          <t>CW58</t>
        </is>
      </c>
      <c r="C4157" s="13" t="inlineStr">
        <is>
          <t>B2</t>
        </is>
      </c>
      <c r="D4157" s="13" t="n">
        <v>0</v>
      </c>
      <c r="E4157" s="13" t="inlineStr">
        <is>
          <t>W</t>
        </is>
      </c>
      <c r="F4157" s="13" t="n">
        <v>2024</v>
      </c>
      <c r="G4157" s="14" t="n">
        <v>1000101.74306461</v>
      </c>
      <c r="H4157" s="14" t="n">
        <v>92382.69770995498</v>
      </c>
      <c r="I4157" s="14" t="n">
        <v>0</v>
      </c>
      <c r="J4157" s="14" t="n">
        <v>0</v>
      </c>
      <c r="K4157" s="14" t="n">
        <v>18539.50153425628</v>
      </c>
      <c r="L4157" s="14" t="n">
        <v>889179.5438203998</v>
      </c>
      <c r="M4157" s="14" t="n">
        <v>0</v>
      </c>
      <c r="N4157" s="14" t="n">
        <v>98397.21663668766</v>
      </c>
      <c r="O4157" s="14" t="n">
        <v>111341.4866364124</v>
      </c>
      <c r="P4157" s="14" t="n">
        <v>6113.244405858657</v>
      </c>
      <c r="Q4157" s="14" t="n">
        <v>754960.0283317417</v>
      </c>
      <c r="R4157" s="15">
        <f>IF(D4157=1,"Section 1","Control")</f>
        <v/>
      </c>
      <c r="S4157" s="16">
        <f>N4157/10000</f>
        <v/>
      </c>
      <c r="T4157" s="16">
        <f>P4157/10000</f>
        <v/>
      </c>
      <c r="U4157" s="15">
        <f>IF(N4157&gt;=Summary!$D$3,1,0)</f>
        <v/>
      </c>
      <c r="V4157" s="17">
        <f>IF(N4157&gt;0,P4157/N4157,"")</f>
        <v/>
      </c>
      <c r="W4157" s="17">
        <f>IF(O4157&gt;0,H4157/O4157,"")</f>
        <v/>
      </c>
    </row>
    <row r="4158">
      <c r="A4158" s="13" t="inlineStr">
        <is>
          <t>CW58_B2</t>
        </is>
      </c>
      <c r="B4158" s="13" t="inlineStr">
        <is>
          <t>CW58</t>
        </is>
      </c>
      <c r="C4158" s="13" t="inlineStr">
        <is>
          <t>B2</t>
        </is>
      </c>
      <c r="D4158" s="13" t="n">
        <v>0</v>
      </c>
      <c r="E4158" s="13" t="inlineStr">
        <is>
          <t>W</t>
        </is>
      </c>
      <c r="F4158" s="13" t="n">
        <v>2025</v>
      </c>
      <c r="G4158" s="14" t="n">
        <v>1000101.743064611</v>
      </c>
      <c r="H4158" s="14" t="n">
        <v>91790.34449187636</v>
      </c>
      <c r="I4158" s="14" t="n">
        <v>0</v>
      </c>
      <c r="J4158" s="14" t="n">
        <v>0</v>
      </c>
      <c r="K4158" s="14" t="n">
        <v>11018.93943786621</v>
      </c>
      <c r="L4158" s="14" t="n">
        <v>897292.4591348685</v>
      </c>
      <c r="M4158" s="14" t="n">
        <v>0</v>
      </c>
      <c r="N4158" s="14" t="n">
        <v>98397.21663668766</v>
      </c>
      <c r="O4158" s="14" t="n">
        <v>111341.4866364124</v>
      </c>
      <c r="P4158" s="14" t="n">
        <v>6606.872144811294</v>
      </c>
      <c r="Q4158" s="14" t="n">
        <v>754960.0283317417</v>
      </c>
      <c r="R4158" s="15">
        <f>IF(D4158=1,"Section 1","Control")</f>
        <v/>
      </c>
      <c r="S4158" s="16">
        <f>N4158/10000</f>
        <v/>
      </c>
      <c r="T4158" s="16">
        <f>P4158/10000</f>
        <v/>
      </c>
      <c r="U4158" s="15">
        <f>IF(N4158&gt;=Summary!$D$3,1,0)</f>
        <v/>
      </c>
      <c r="V4158" s="17">
        <f>IF(N4158&gt;0,P4158/N4158,"")</f>
        <v/>
      </c>
      <c r="W4158" s="17">
        <f>IF(O4158&gt;0,H4158/O4158,"")</f>
        <v/>
      </c>
    </row>
    <row r="4159">
      <c r="A4159" s="13" t="inlineStr">
        <is>
          <t>CW58_B2</t>
        </is>
      </c>
      <c r="B4159" s="13" t="inlineStr">
        <is>
          <t>CW58</t>
        </is>
      </c>
      <c r="C4159" s="13" t="inlineStr">
        <is>
          <t>B2</t>
        </is>
      </c>
      <c r="D4159" s="13" t="n">
        <v>0</v>
      </c>
      <c r="E4159" s="13" t="inlineStr">
        <is>
          <t>W</t>
        </is>
      </c>
      <c r="F4159" s="13" t="n">
        <v>2026</v>
      </c>
      <c r="G4159" s="14" t="n">
        <v>1000101.74306461</v>
      </c>
      <c r="H4159" s="14" t="n">
        <v>89019.4478250242</v>
      </c>
      <c r="I4159" s="14" t="n">
        <v>0</v>
      </c>
      <c r="J4159" s="14" t="n">
        <v>0</v>
      </c>
      <c r="K4159" s="14" t="n">
        <v>11734.78197416418</v>
      </c>
      <c r="L4159" s="14" t="n">
        <v>899347.5132654225</v>
      </c>
      <c r="M4159" s="14" t="n">
        <v>0</v>
      </c>
      <c r="N4159" s="14" t="n">
        <v>98397.21663668766</v>
      </c>
      <c r="O4159" s="14" t="n">
        <v>111341.4866364124</v>
      </c>
      <c r="P4159" s="14" t="n">
        <v>9377.76881166346</v>
      </c>
      <c r="Q4159" s="14" t="n">
        <v>754960.0283317418</v>
      </c>
      <c r="R4159" s="15">
        <f>IF(D4159=1,"Section 1","Control")</f>
        <v/>
      </c>
      <c r="S4159" s="16">
        <f>N4159/10000</f>
        <v/>
      </c>
      <c r="T4159" s="16">
        <f>P4159/10000</f>
        <v/>
      </c>
      <c r="U4159" s="15">
        <f>IF(N4159&gt;=Summary!$D$3,1,0)</f>
        <v/>
      </c>
      <c r="V4159" s="17">
        <f>IF(N4159&gt;0,P4159/N4159,"")</f>
        <v/>
      </c>
      <c r="W4159" s="17">
        <f>IF(O4159&gt;0,H4159/O4159,"")</f>
        <v/>
      </c>
    </row>
    <row r="4160">
      <c r="A4160" s="13" t="inlineStr">
        <is>
          <t>CW58_B3</t>
        </is>
      </c>
      <c r="B4160" s="13" t="inlineStr">
        <is>
          <t>CW58</t>
        </is>
      </c>
      <c r="C4160" s="13" t="inlineStr">
        <is>
          <t>B3</t>
        </is>
      </c>
      <c r="D4160" s="13" t="n">
        <v>0</v>
      </c>
      <c r="E4160" s="13" t="inlineStr">
        <is>
          <t>W</t>
        </is>
      </c>
      <c r="F4160" s="13" t="n">
        <v>2020</v>
      </c>
      <c r="G4160" s="14" t="n">
        <v>8002632.634625154</v>
      </c>
      <c r="H4160" s="14" t="n">
        <v>2239472.593705689</v>
      </c>
      <c r="I4160" s="14" t="n">
        <v>125738.5078348197</v>
      </c>
      <c r="J4160" s="14" t="n">
        <v>0</v>
      </c>
      <c r="K4160" s="14" t="n">
        <v>1235274.593985853</v>
      </c>
      <c r="L4160" s="14" t="n">
        <v>4402146.93909879</v>
      </c>
      <c r="M4160" s="14" t="n">
        <v>0</v>
      </c>
      <c r="N4160" s="14" t="n">
        <v>2239472.593705689</v>
      </c>
      <c r="O4160" s="14" t="n">
        <v>3600485.695526362</v>
      </c>
      <c r="P4160" s="14" t="n">
        <v>0</v>
      </c>
      <c r="Q4160" s="14" t="n">
        <v>17073786.49106966</v>
      </c>
      <c r="R4160" s="15">
        <f>IF(D4160=1,"Section 1","Control")</f>
        <v/>
      </c>
      <c r="S4160" s="16">
        <f>N4160/10000</f>
        <v/>
      </c>
      <c r="T4160" s="16">
        <f>P4160/10000</f>
        <v/>
      </c>
      <c r="U4160" s="15">
        <f>IF(N4160&gt;=Summary!$D$3,1,0)</f>
        <v/>
      </c>
      <c r="V4160" s="17">
        <f>IF(N4160&gt;0,P4160/N4160,"")</f>
        <v/>
      </c>
      <c r="W4160" s="17">
        <f>IF(O4160&gt;0,H4160/O4160,"")</f>
        <v/>
      </c>
    </row>
    <row r="4161">
      <c r="A4161" s="13" t="inlineStr">
        <is>
          <t>CW58_B3</t>
        </is>
      </c>
      <c r="B4161" s="13" t="inlineStr">
        <is>
          <t>CW58</t>
        </is>
      </c>
      <c r="C4161" s="13" t="inlineStr">
        <is>
          <t>B3</t>
        </is>
      </c>
      <c r="D4161" s="13" t="n">
        <v>0</v>
      </c>
      <c r="E4161" s="13" t="inlineStr">
        <is>
          <t>W</t>
        </is>
      </c>
      <c r="F4161" s="13" t="n">
        <v>2021</v>
      </c>
      <c r="G4161" s="14" t="n">
        <v>8002632.634625154</v>
      </c>
      <c r="H4161" s="14" t="n">
        <v>2192989.90255094</v>
      </c>
      <c r="I4161" s="14" t="n">
        <v>126129.4882322424</v>
      </c>
      <c r="J4161" s="14" t="n">
        <v>0</v>
      </c>
      <c r="K4161" s="14" t="n">
        <v>1277128.486106304</v>
      </c>
      <c r="L4161" s="14" t="n">
        <v>4406384.757735667</v>
      </c>
      <c r="M4161" s="14" t="n">
        <v>0</v>
      </c>
      <c r="N4161" s="14" t="n">
        <v>2239472.593705689</v>
      </c>
      <c r="O4161" s="14" t="n">
        <v>3600485.695526362</v>
      </c>
      <c r="P4161" s="14" t="n">
        <v>57768.53542220172</v>
      </c>
      <c r="Q4161" s="14" t="n">
        <v>17073786.49106966</v>
      </c>
      <c r="R4161" s="15">
        <f>IF(D4161=1,"Section 1","Control")</f>
        <v/>
      </c>
      <c r="S4161" s="16">
        <f>N4161/10000</f>
        <v/>
      </c>
      <c r="T4161" s="16">
        <f>P4161/10000</f>
        <v/>
      </c>
      <c r="U4161" s="15">
        <f>IF(N4161&gt;=Summary!$D$3,1,0)</f>
        <v/>
      </c>
      <c r="V4161" s="17">
        <f>IF(N4161&gt;0,P4161/N4161,"")</f>
        <v/>
      </c>
      <c r="W4161" s="17">
        <f>IF(O4161&gt;0,H4161/O4161,"")</f>
        <v/>
      </c>
    </row>
    <row r="4162">
      <c r="A4162" s="13" t="inlineStr">
        <is>
          <t>CW58_B3</t>
        </is>
      </c>
      <c r="B4162" s="13" t="inlineStr">
        <is>
          <t>CW58</t>
        </is>
      </c>
      <c r="C4162" s="13" t="inlineStr">
        <is>
          <t>B3</t>
        </is>
      </c>
      <c r="D4162" s="13" t="n">
        <v>0</v>
      </c>
      <c r="E4162" s="13" t="inlineStr">
        <is>
          <t>W</t>
        </is>
      </c>
      <c r="F4162" s="13" t="n">
        <v>2022</v>
      </c>
      <c r="G4162" s="14" t="n">
        <v>8002632.634625154</v>
      </c>
      <c r="H4162" s="14" t="n">
        <v>2156135.747780146</v>
      </c>
      <c r="I4162" s="14" t="n">
        <v>123878.1928830913</v>
      </c>
      <c r="J4162" s="14" t="n">
        <v>0</v>
      </c>
      <c r="K4162" s="14" t="n">
        <v>1447828.453327344</v>
      </c>
      <c r="L4162" s="14" t="n">
        <v>4274790.240634574</v>
      </c>
      <c r="M4162" s="14" t="n">
        <v>0</v>
      </c>
      <c r="N4162" s="14" t="n">
        <v>2239472.593705689</v>
      </c>
      <c r="O4162" s="14" t="n">
        <v>3600485.695526362</v>
      </c>
      <c r="P4162" s="14" t="n">
        <v>90476.68521872128</v>
      </c>
      <c r="Q4162" s="14" t="n">
        <v>17073786.49106966</v>
      </c>
      <c r="R4162" s="15">
        <f>IF(D4162=1,"Section 1","Control")</f>
        <v/>
      </c>
      <c r="S4162" s="16">
        <f>N4162/10000</f>
        <v/>
      </c>
      <c r="T4162" s="16">
        <f>P4162/10000</f>
        <v/>
      </c>
      <c r="U4162" s="15">
        <f>IF(N4162&gt;=Summary!$D$3,1,0)</f>
        <v/>
      </c>
      <c r="V4162" s="17">
        <f>IF(N4162&gt;0,P4162/N4162,"")</f>
        <v/>
      </c>
      <c r="W4162" s="17">
        <f>IF(O4162&gt;0,H4162/O4162,"")</f>
        <v/>
      </c>
    </row>
    <row r="4163">
      <c r="A4163" s="13" t="inlineStr">
        <is>
          <t>CW58_B3</t>
        </is>
      </c>
      <c r="B4163" s="13" t="inlineStr">
        <is>
          <t>CW58</t>
        </is>
      </c>
      <c r="C4163" s="13" t="inlineStr">
        <is>
          <t>B3</t>
        </is>
      </c>
      <c r="D4163" s="13" t="n">
        <v>0</v>
      </c>
      <c r="E4163" s="13" t="inlineStr">
        <is>
          <t>W</t>
        </is>
      </c>
      <c r="F4163" s="13" t="n">
        <v>2023</v>
      </c>
      <c r="G4163" s="14" t="n">
        <v>8002632.634625153</v>
      </c>
      <c r="H4163" s="14" t="n">
        <v>2136111.113843851</v>
      </c>
      <c r="I4163" s="14" t="n">
        <v>92563.66286016724</v>
      </c>
      <c r="J4163" s="14" t="n">
        <v>0</v>
      </c>
      <c r="K4163" s="14" t="n">
        <v>1370398.489861971</v>
      </c>
      <c r="L4163" s="14" t="n">
        <v>4403559.368059165</v>
      </c>
      <c r="M4163" s="14" t="n">
        <v>0</v>
      </c>
      <c r="N4163" s="14" t="n">
        <v>2239472.59370569</v>
      </c>
      <c r="O4163" s="14" t="n">
        <v>3600485.695526362</v>
      </c>
      <c r="P4163" s="14" t="n">
        <v>114400.7306425506</v>
      </c>
      <c r="Q4163" s="14" t="n">
        <v>17073786.49106966</v>
      </c>
      <c r="R4163" s="15">
        <f>IF(D4163=1,"Section 1","Control")</f>
        <v/>
      </c>
      <c r="S4163" s="16">
        <f>N4163/10000</f>
        <v/>
      </c>
      <c r="T4163" s="16">
        <f>P4163/10000</f>
        <v/>
      </c>
      <c r="U4163" s="15">
        <f>IF(N4163&gt;=Summary!$D$3,1,0)</f>
        <v/>
      </c>
      <c r="V4163" s="17">
        <f>IF(N4163&gt;0,P4163/N4163,"")</f>
        <v/>
      </c>
      <c r="W4163" s="17">
        <f>IF(O4163&gt;0,H4163/O4163,"")</f>
        <v/>
      </c>
    </row>
    <row r="4164">
      <c r="A4164" s="13" t="inlineStr">
        <is>
          <t>CW58_B3</t>
        </is>
      </c>
      <c r="B4164" s="13" t="inlineStr">
        <is>
          <t>CW58</t>
        </is>
      </c>
      <c r="C4164" s="13" t="inlineStr">
        <is>
          <t>B3</t>
        </is>
      </c>
      <c r="D4164" s="13" t="n">
        <v>0</v>
      </c>
      <c r="E4164" s="13" t="inlineStr">
        <is>
          <t>W</t>
        </is>
      </c>
      <c r="F4164" s="13" t="n">
        <v>2024</v>
      </c>
      <c r="G4164" s="14" t="n">
        <v>8002632.634625155</v>
      </c>
      <c r="H4164" s="14" t="n">
        <v>2106503.637965303</v>
      </c>
      <c r="I4164" s="14" t="n">
        <v>164011.5200061574</v>
      </c>
      <c r="J4164" s="14" t="n">
        <v>0</v>
      </c>
      <c r="K4164" s="14" t="n">
        <v>1383876.769771202</v>
      </c>
      <c r="L4164" s="14" t="n">
        <v>4348240.706882491</v>
      </c>
      <c r="M4164" s="14" t="n">
        <v>0</v>
      </c>
      <c r="N4164" s="14" t="n">
        <v>2239472.59370569</v>
      </c>
      <c r="O4164" s="14" t="n">
        <v>3600485.695526362</v>
      </c>
      <c r="P4164" s="14" t="n">
        <v>144797.9934473674</v>
      </c>
      <c r="Q4164" s="14" t="n">
        <v>17073786.49106966</v>
      </c>
      <c r="R4164" s="15">
        <f>IF(D4164=1,"Section 1","Control")</f>
        <v/>
      </c>
      <c r="S4164" s="16">
        <f>N4164/10000</f>
        <v/>
      </c>
      <c r="T4164" s="16">
        <f>P4164/10000</f>
        <v/>
      </c>
      <c r="U4164" s="15">
        <f>IF(N4164&gt;=Summary!$D$3,1,0)</f>
        <v/>
      </c>
      <c r="V4164" s="17">
        <f>IF(N4164&gt;0,P4164/N4164,"")</f>
        <v/>
      </c>
      <c r="W4164" s="17">
        <f>IF(O4164&gt;0,H4164/O4164,"")</f>
        <v/>
      </c>
    </row>
    <row r="4165">
      <c r="A4165" s="13" t="inlineStr">
        <is>
          <t>CW58_B3</t>
        </is>
      </c>
      <c r="B4165" s="13" t="inlineStr">
        <is>
          <t>CW58</t>
        </is>
      </c>
      <c r="C4165" s="13" t="inlineStr">
        <is>
          <t>B3</t>
        </is>
      </c>
      <c r="D4165" s="13" t="n">
        <v>0</v>
      </c>
      <c r="E4165" s="13" t="inlineStr">
        <is>
          <t>W</t>
        </is>
      </c>
      <c r="F4165" s="13" t="n">
        <v>2025</v>
      </c>
      <c r="G4165" s="14" t="n">
        <v>8002632.634625154</v>
      </c>
      <c r="H4165" s="14" t="n">
        <v>2025672.2512625</v>
      </c>
      <c r="I4165" s="14" t="n">
        <v>231739.2597027648</v>
      </c>
      <c r="J4165" s="14" t="n">
        <v>0</v>
      </c>
      <c r="K4165" s="14" t="n">
        <v>1311284.803884289</v>
      </c>
      <c r="L4165" s="14" t="n">
        <v>4433936.3197756</v>
      </c>
      <c r="M4165" s="14" t="n">
        <v>0</v>
      </c>
      <c r="N4165" s="14" t="n">
        <v>2239472.59370569</v>
      </c>
      <c r="O4165" s="14" t="n">
        <v>3600485.695526362</v>
      </c>
      <c r="P4165" s="14" t="n">
        <v>232253.1801505294</v>
      </c>
      <c r="Q4165" s="14" t="n">
        <v>17073786.49106966</v>
      </c>
      <c r="R4165" s="15">
        <f>IF(D4165=1,"Section 1","Control")</f>
        <v/>
      </c>
      <c r="S4165" s="16">
        <f>N4165/10000</f>
        <v/>
      </c>
      <c r="T4165" s="16">
        <f>P4165/10000</f>
        <v/>
      </c>
      <c r="U4165" s="15">
        <f>IF(N4165&gt;=Summary!$D$3,1,0)</f>
        <v/>
      </c>
      <c r="V4165" s="17">
        <f>IF(N4165&gt;0,P4165/N4165,"")</f>
        <v/>
      </c>
      <c r="W4165" s="17">
        <f>IF(O4165&gt;0,H4165/O4165,"")</f>
        <v/>
      </c>
    </row>
    <row r="4166">
      <c r="A4166" s="13" t="inlineStr">
        <is>
          <t>CW58_B3</t>
        </is>
      </c>
      <c r="B4166" s="13" t="inlineStr">
        <is>
          <t>CW58</t>
        </is>
      </c>
      <c r="C4166" s="13" t="inlineStr">
        <is>
          <t>B3</t>
        </is>
      </c>
      <c r="D4166" s="13" t="n">
        <v>0</v>
      </c>
      <c r="E4166" s="13" t="inlineStr">
        <is>
          <t>W</t>
        </is>
      </c>
      <c r="F4166" s="13" t="n">
        <v>2026</v>
      </c>
      <c r="G4166" s="14" t="n">
        <v>8002632.634625154</v>
      </c>
      <c r="H4166" s="14" t="n">
        <v>1963299.991145624</v>
      </c>
      <c r="I4166" s="14" t="n">
        <v>138302.2025931265</v>
      </c>
      <c r="J4166" s="14" t="n">
        <v>0</v>
      </c>
      <c r="K4166" s="14" t="n">
        <v>1463669.4240781</v>
      </c>
      <c r="L4166" s="14" t="n">
        <v>4437361.016808303</v>
      </c>
      <c r="M4166" s="14" t="n">
        <v>0</v>
      </c>
      <c r="N4166" s="14" t="n">
        <v>2239472.59370569</v>
      </c>
      <c r="O4166" s="14" t="n">
        <v>3600485.695526362</v>
      </c>
      <c r="P4166" s="14" t="n">
        <v>295159.1966368731</v>
      </c>
      <c r="Q4166" s="14" t="n">
        <v>17073786.49106966</v>
      </c>
      <c r="R4166" s="15">
        <f>IF(D4166=1,"Section 1","Control")</f>
        <v/>
      </c>
      <c r="S4166" s="16">
        <f>N4166/10000</f>
        <v/>
      </c>
      <c r="T4166" s="16">
        <f>P4166/10000</f>
        <v/>
      </c>
      <c r="U4166" s="15">
        <f>IF(N4166&gt;=Summary!$D$3,1,0)</f>
        <v/>
      </c>
      <c r="V4166" s="17">
        <f>IF(N4166&gt;0,P4166/N4166,"")</f>
        <v/>
      </c>
      <c r="W4166" s="17">
        <f>IF(O4166&gt;0,H4166/O4166,"")</f>
        <v/>
      </c>
    </row>
    <row r="4167">
      <c r="A4167" s="13" t="inlineStr">
        <is>
          <t>CW58_F</t>
        </is>
      </c>
      <c r="B4167" s="13" t="inlineStr">
        <is>
          <t>CW58</t>
        </is>
      </c>
      <c r="C4167" s="13" t="inlineStr">
        <is>
          <t>F</t>
        </is>
      </c>
      <c r="D4167" s="13" t="n">
        <v>0</v>
      </c>
      <c r="E4167" s="13" t="inlineStr">
        <is>
          <t>W</t>
        </is>
      </c>
      <c r="F4167" s="13" t="n">
        <v>2020</v>
      </c>
      <c r="G4167" s="14" t="n">
        <v>69278.44822612091</v>
      </c>
      <c r="H4167" s="14" t="n">
        <v>27650.12894708969</v>
      </c>
      <c r="I4167" s="14" t="n">
        <v>5718.422144781374</v>
      </c>
      <c r="J4167" s="14" t="n">
        <v>0</v>
      </c>
      <c r="K4167" s="14" t="n">
        <v>35909.89713424981</v>
      </c>
      <c r="L4167" s="14" t="n">
        <v>0</v>
      </c>
      <c r="M4167" s="14" t="n">
        <v>0</v>
      </c>
      <c r="N4167" s="14" t="n">
        <v>27650.12894708969</v>
      </c>
      <c r="O4167" s="14" t="n">
        <v>69278.44822612091</v>
      </c>
      <c r="P4167" s="14" t="n">
        <v>0</v>
      </c>
      <c r="Q4167" s="14" t="n">
        <v>769516.9849775727</v>
      </c>
      <c r="R4167" s="15">
        <f>IF(D4167=1,"Section 1","Control")</f>
        <v/>
      </c>
      <c r="S4167" s="16">
        <f>N4167/10000</f>
        <v/>
      </c>
      <c r="T4167" s="16">
        <f>P4167/10000</f>
        <v/>
      </c>
      <c r="U4167" s="15">
        <f>IF(N4167&gt;=Summary!$D$3,1,0)</f>
        <v/>
      </c>
      <c r="V4167" s="17">
        <f>IF(N4167&gt;0,P4167/N4167,"")</f>
        <v/>
      </c>
      <c r="W4167" s="17">
        <f>IF(O4167&gt;0,H4167/O4167,"")</f>
        <v/>
      </c>
    </row>
    <row r="4168">
      <c r="A4168" s="13" t="inlineStr">
        <is>
          <t>CW58_F</t>
        </is>
      </c>
      <c r="B4168" s="13" t="inlineStr">
        <is>
          <t>CW58</t>
        </is>
      </c>
      <c r="C4168" s="13" t="inlineStr">
        <is>
          <t>F</t>
        </is>
      </c>
      <c r="D4168" s="13" t="n">
        <v>0</v>
      </c>
      <c r="E4168" s="13" t="inlineStr">
        <is>
          <t>W</t>
        </is>
      </c>
      <c r="F4168" s="13" t="n">
        <v>2021</v>
      </c>
      <c r="G4168" s="14" t="n">
        <v>69278.44822612091</v>
      </c>
      <c r="H4168" s="14" t="n">
        <v>19522.38451463288</v>
      </c>
      <c r="I4168" s="14" t="n">
        <v>6671.234648491355</v>
      </c>
      <c r="J4168" s="14" t="n">
        <v>0</v>
      </c>
      <c r="K4168" s="14" t="n">
        <v>43084.82906299664</v>
      </c>
      <c r="L4168" s="14" t="n">
        <v>0</v>
      </c>
      <c r="M4168" s="14" t="n">
        <v>0</v>
      </c>
      <c r="N4168" s="14" t="n">
        <v>27650.12894708969</v>
      </c>
      <c r="O4168" s="14" t="n">
        <v>69278.44822612091</v>
      </c>
      <c r="P4168" s="14" t="n">
        <v>8140.133688354492</v>
      </c>
      <c r="Q4168" s="14" t="n">
        <v>769516.9849775727</v>
      </c>
      <c r="R4168" s="15">
        <f>IF(D4168=1,"Section 1","Control")</f>
        <v/>
      </c>
      <c r="S4168" s="16">
        <f>N4168/10000</f>
        <v/>
      </c>
      <c r="T4168" s="16">
        <f>P4168/10000</f>
        <v/>
      </c>
      <c r="U4168" s="15">
        <f>IF(N4168&gt;=Summary!$D$3,1,0)</f>
        <v/>
      </c>
      <c r="V4168" s="17">
        <f>IF(N4168&gt;0,P4168/N4168,"")</f>
        <v/>
      </c>
      <c r="W4168" s="17">
        <f>IF(O4168&gt;0,H4168/O4168,"")</f>
        <v/>
      </c>
    </row>
    <row r="4169">
      <c r="A4169" s="13" t="inlineStr">
        <is>
          <t>CW58_F</t>
        </is>
      </c>
      <c r="B4169" s="13" t="inlineStr">
        <is>
          <t>CW58</t>
        </is>
      </c>
      <c r="C4169" s="13" t="inlineStr">
        <is>
          <t>F</t>
        </is>
      </c>
      <c r="D4169" s="13" t="n">
        <v>0</v>
      </c>
      <c r="E4169" s="13" t="inlineStr">
        <is>
          <t>W</t>
        </is>
      </c>
      <c r="F4169" s="13" t="n">
        <v>2022</v>
      </c>
      <c r="G4169" s="14" t="n">
        <v>69278.44822612091</v>
      </c>
      <c r="H4169" s="14" t="n">
        <v>15803.66907501221</v>
      </c>
      <c r="I4169" s="14" t="n">
        <v>5086.182359493479</v>
      </c>
      <c r="J4169" s="14" t="n">
        <v>0</v>
      </c>
      <c r="K4169" s="14" t="n">
        <v>48388.59679161519</v>
      </c>
      <c r="L4169" s="14" t="n">
        <v>0</v>
      </c>
      <c r="M4169" s="14" t="n">
        <v>0</v>
      </c>
      <c r="N4169" s="14" t="n">
        <v>27650.12894708969</v>
      </c>
      <c r="O4169" s="14" t="n">
        <v>69278.44822612091</v>
      </c>
      <c r="P4169" s="14" t="n">
        <v>12315.31626305674</v>
      </c>
      <c r="Q4169" s="14" t="n">
        <v>769516.9849775727</v>
      </c>
      <c r="R4169" s="15">
        <f>IF(D4169=1,"Section 1","Control")</f>
        <v/>
      </c>
      <c r="S4169" s="16">
        <f>N4169/10000</f>
        <v/>
      </c>
      <c r="T4169" s="16">
        <f>P4169/10000</f>
        <v/>
      </c>
      <c r="U4169" s="15">
        <f>IF(N4169&gt;=Summary!$D$3,1,0)</f>
        <v/>
      </c>
      <c r="V4169" s="17">
        <f>IF(N4169&gt;0,P4169/N4169,"")</f>
        <v/>
      </c>
      <c r="W4169" s="17">
        <f>IF(O4169&gt;0,H4169/O4169,"")</f>
        <v/>
      </c>
    </row>
    <row r="4170">
      <c r="A4170" s="13" t="inlineStr">
        <is>
          <t>CW58_F</t>
        </is>
      </c>
      <c r="B4170" s="13" t="inlineStr">
        <is>
          <t>CW58</t>
        </is>
      </c>
      <c r="C4170" s="13" t="inlineStr">
        <is>
          <t>F</t>
        </is>
      </c>
      <c r="D4170" s="13" t="n">
        <v>0</v>
      </c>
      <c r="E4170" s="13" t="inlineStr">
        <is>
          <t>W</t>
        </is>
      </c>
      <c r="F4170" s="13" t="n">
        <v>2023</v>
      </c>
      <c r="G4170" s="14" t="n">
        <v>69278.44822612091</v>
      </c>
      <c r="H4170" s="14" t="n">
        <v>13479.90733451095</v>
      </c>
      <c r="I4170" s="14" t="n">
        <v>7076.207904082655</v>
      </c>
      <c r="J4170" s="14" t="n">
        <v>0</v>
      </c>
      <c r="K4170" s="14" t="n">
        <v>48722.33298752728</v>
      </c>
      <c r="L4170" s="14" t="n">
        <v>0</v>
      </c>
      <c r="M4170" s="14" t="n">
        <v>0</v>
      </c>
      <c r="N4170" s="14" t="n">
        <v>27650.12894708969</v>
      </c>
      <c r="O4170" s="14" t="n">
        <v>69278.44822612091</v>
      </c>
      <c r="P4170" s="14" t="n">
        <v>14240.29837245567</v>
      </c>
      <c r="Q4170" s="14" t="n">
        <v>769516.9849775727</v>
      </c>
      <c r="R4170" s="15">
        <f>IF(D4170=1,"Section 1","Control")</f>
        <v/>
      </c>
      <c r="S4170" s="16">
        <f>N4170/10000</f>
        <v/>
      </c>
      <c r="T4170" s="16">
        <f>P4170/10000</f>
        <v/>
      </c>
      <c r="U4170" s="15">
        <f>IF(N4170&gt;=Summary!$D$3,1,0)</f>
        <v/>
      </c>
      <c r="V4170" s="17">
        <f>IF(N4170&gt;0,P4170/N4170,"")</f>
        <v/>
      </c>
      <c r="W4170" s="17">
        <f>IF(O4170&gt;0,H4170/O4170,"")</f>
        <v/>
      </c>
    </row>
    <row r="4171">
      <c r="A4171" s="13" t="inlineStr">
        <is>
          <t>CW58_F</t>
        </is>
      </c>
      <c r="B4171" s="13" t="inlineStr">
        <is>
          <t>CW58</t>
        </is>
      </c>
      <c r="C4171" s="13" t="inlineStr">
        <is>
          <t>F</t>
        </is>
      </c>
      <c r="D4171" s="13" t="n">
        <v>0</v>
      </c>
      <c r="E4171" s="13" t="inlineStr">
        <is>
          <t>W</t>
        </is>
      </c>
      <c r="F4171" s="13" t="n">
        <v>2024</v>
      </c>
      <c r="G4171" s="14" t="n">
        <v>69278.44822612091</v>
      </c>
      <c r="H4171" s="14" t="n">
        <v>14565.9037658093</v>
      </c>
      <c r="I4171" s="14" t="n">
        <v>3923.139696427888</v>
      </c>
      <c r="J4171" s="14" t="n">
        <v>0</v>
      </c>
      <c r="K4171" s="14" t="n">
        <v>50789.40476388369</v>
      </c>
      <c r="L4171" s="14" t="n">
        <v>0</v>
      </c>
      <c r="M4171" s="14" t="n">
        <v>0</v>
      </c>
      <c r="N4171" s="14" t="n">
        <v>27650.12894708969</v>
      </c>
      <c r="O4171" s="14" t="n">
        <v>69278.44822612091</v>
      </c>
      <c r="P4171" s="14" t="n">
        <v>13697.10665950401</v>
      </c>
      <c r="Q4171" s="14" t="n">
        <v>769516.9849775727</v>
      </c>
      <c r="R4171" s="15">
        <f>IF(D4171=1,"Section 1","Control")</f>
        <v/>
      </c>
      <c r="S4171" s="16">
        <f>N4171/10000</f>
        <v/>
      </c>
      <c r="T4171" s="16">
        <f>P4171/10000</f>
        <v/>
      </c>
      <c r="U4171" s="15">
        <f>IF(N4171&gt;=Summary!$D$3,1,0)</f>
        <v/>
      </c>
      <c r="V4171" s="17">
        <f>IF(N4171&gt;0,P4171/N4171,"")</f>
        <v/>
      </c>
      <c r="W4171" s="17">
        <f>IF(O4171&gt;0,H4171/O4171,"")</f>
        <v/>
      </c>
    </row>
    <row r="4172">
      <c r="A4172" s="13" t="inlineStr">
        <is>
          <t>CW58_F</t>
        </is>
      </c>
      <c r="B4172" s="13" t="inlineStr">
        <is>
          <t>CW58</t>
        </is>
      </c>
      <c r="C4172" s="13" t="inlineStr">
        <is>
          <t>F</t>
        </is>
      </c>
      <c r="D4172" s="13" t="n">
        <v>0</v>
      </c>
      <c r="E4172" s="13" t="inlineStr">
        <is>
          <t>W</t>
        </is>
      </c>
      <c r="F4172" s="13" t="n">
        <v>2025</v>
      </c>
      <c r="G4172" s="14" t="n">
        <v>69278.44822612091</v>
      </c>
      <c r="H4172" s="14" t="n">
        <v>8710.427554470883</v>
      </c>
      <c r="I4172" s="14" t="n">
        <v>12397.01012324913</v>
      </c>
      <c r="J4172" s="14" t="n">
        <v>0</v>
      </c>
      <c r="K4172" s="14" t="n">
        <v>48171.01054840087</v>
      </c>
      <c r="L4172" s="14" t="n">
        <v>0</v>
      </c>
      <c r="M4172" s="14" t="n">
        <v>0</v>
      </c>
      <c r="N4172" s="14" t="n">
        <v>27650.12894708969</v>
      </c>
      <c r="O4172" s="14" t="n">
        <v>69278.44822612091</v>
      </c>
      <c r="P4172" s="14" t="n">
        <v>19137.15534916299</v>
      </c>
      <c r="Q4172" s="14" t="n">
        <v>769516.9849775727</v>
      </c>
      <c r="R4172" s="15">
        <f>IF(D4172=1,"Section 1","Control")</f>
        <v/>
      </c>
      <c r="S4172" s="16">
        <f>N4172/10000</f>
        <v/>
      </c>
      <c r="T4172" s="16">
        <f>P4172/10000</f>
        <v/>
      </c>
      <c r="U4172" s="15">
        <f>IF(N4172&gt;=Summary!$D$3,1,0)</f>
        <v/>
      </c>
      <c r="V4172" s="17">
        <f>IF(N4172&gt;0,P4172/N4172,"")</f>
        <v/>
      </c>
      <c r="W4172" s="17">
        <f>IF(O4172&gt;0,H4172/O4172,"")</f>
        <v/>
      </c>
    </row>
    <row r="4173">
      <c r="A4173" s="13" t="inlineStr">
        <is>
          <t>CW58_F</t>
        </is>
      </c>
      <c r="B4173" s="13" t="inlineStr">
        <is>
          <t>CW58</t>
        </is>
      </c>
      <c r="C4173" s="13" t="inlineStr">
        <is>
          <t>F</t>
        </is>
      </c>
      <c r="D4173" s="13" t="n">
        <v>0</v>
      </c>
      <c r="E4173" s="13" t="inlineStr">
        <is>
          <t>W</t>
        </is>
      </c>
      <c r="F4173" s="13" t="n">
        <v>2026</v>
      </c>
      <c r="G4173" s="14" t="n">
        <v>69278.44822612091</v>
      </c>
      <c r="H4173" s="14" t="n">
        <v>9741.058837172564</v>
      </c>
      <c r="I4173" s="14" t="n">
        <v>7549.32332721785</v>
      </c>
      <c r="J4173" s="14" t="n">
        <v>0</v>
      </c>
      <c r="K4173" s="14" t="n">
        <v>51988.06606173046</v>
      </c>
      <c r="L4173" s="14" t="n">
        <v>0</v>
      </c>
      <c r="M4173" s="14" t="n">
        <v>0</v>
      </c>
      <c r="N4173" s="14" t="n">
        <v>27650.12894708969</v>
      </c>
      <c r="O4173" s="14" t="n">
        <v>69278.44822612091</v>
      </c>
      <c r="P4173" s="14" t="n">
        <v>19336.54561929142</v>
      </c>
      <c r="Q4173" s="14" t="n">
        <v>769516.9849775726</v>
      </c>
      <c r="R4173" s="15">
        <f>IF(D4173=1,"Section 1","Control")</f>
        <v/>
      </c>
      <c r="S4173" s="16">
        <f>N4173/10000</f>
        <v/>
      </c>
      <c r="T4173" s="16">
        <f>P4173/10000</f>
        <v/>
      </c>
      <c r="U4173" s="15">
        <f>IF(N4173&gt;=Summary!$D$3,1,0)</f>
        <v/>
      </c>
      <c r="V4173" s="17">
        <f>IF(N4173&gt;0,P4173/N4173,"")</f>
        <v/>
      </c>
      <c r="W4173" s="17">
        <f>IF(O4173&gt;0,H4173/O4173,"")</f>
        <v/>
      </c>
    </row>
    <row r="4174">
      <c r="A4174" s="13" t="inlineStr">
        <is>
          <t>CW59_B1</t>
        </is>
      </c>
      <c r="B4174" s="13" t="inlineStr">
        <is>
          <t>CW59</t>
        </is>
      </c>
      <c r="C4174" s="13" t="inlineStr">
        <is>
          <t>B1</t>
        </is>
      </c>
      <c r="D4174" s="13" t="n">
        <v>0</v>
      </c>
      <c r="E4174" s="13" t="inlineStr">
        <is>
          <t>W</t>
        </is>
      </c>
      <c r="F4174" s="13" t="n">
        <v>2020</v>
      </c>
      <c r="G4174" s="14" t="n">
        <v>1001246.129149014</v>
      </c>
      <c r="H4174" s="14" t="n">
        <v>396332.9248916927</v>
      </c>
      <c r="I4174" s="14" t="n">
        <v>290590.3523426131</v>
      </c>
      <c r="J4174" s="14" t="n">
        <v>0</v>
      </c>
      <c r="K4174" s="14" t="n">
        <v>32055.62335576076</v>
      </c>
      <c r="L4174" s="14" t="n">
        <v>282267.228558948</v>
      </c>
      <c r="M4174" s="14" t="n">
        <v>0</v>
      </c>
      <c r="N4174" s="14" t="n">
        <v>396332.9248916927</v>
      </c>
      <c r="O4174" s="14" t="n">
        <v>718978.9005900663</v>
      </c>
      <c r="P4174" s="14" t="n">
        <v>0</v>
      </c>
      <c r="Q4174" s="14" t="n">
        <v>4829853.350725389</v>
      </c>
      <c r="R4174" s="15">
        <f>IF(D4174=1,"Section 1","Control")</f>
        <v/>
      </c>
      <c r="S4174" s="16">
        <f>N4174/10000</f>
        <v/>
      </c>
      <c r="T4174" s="16">
        <f>P4174/10000</f>
        <v/>
      </c>
      <c r="U4174" s="15">
        <f>IF(N4174&gt;=Summary!$D$3,1,0)</f>
        <v/>
      </c>
      <c r="V4174" s="17">
        <f>IF(N4174&gt;0,P4174/N4174,"")</f>
        <v/>
      </c>
      <c r="W4174" s="17">
        <f>IF(O4174&gt;0,H4174/O4174,"")</f>
        <v/>
      </c>
    </row>
    <row r="4175">
      <c r="A4175" s="13" t="inlineStr">
        <is>
          <t>CW59_B1</t>
        </is>
      </c>
      <c r="B4175" s="13" t="inlineStr">
        <is>
          <t>CW59</t>
        </is>
      </c>
      <c r="C4175" s="13" t="inlineStr">
        <is>
          <t>B1</t>
        </is>
      </c>
      <c r="D4175" s="13" t="n">
        <v>0</v>
      </c>
      <c r="E4175" s="13" t="inlineStr">
        <is>
          <t>W</t>
        </is>
      </c>
      <c r="F4175" s="13" t="n">
        <v>2021</v>
      </c>
      <c r="G4175" s="14" t="n">
        <v>1001246.129149014</v>
      </c>
      <c r="H4175" s="14" t="n">
        <v>383130.2616628013</v>
      </c>
      <c r="I4175" s="14" t="n">
        <v>284618.3064957563</v>
      </c>
      <c r="J4175" s="14" t="n">
        <v>0</v>
      </c>
      <c r="K4175" s="14" t="n">
        <v>43651.16962396958</v>
      </c>
      <c r="L4175" s="14" t="n">
        <v>289846.3913664874</v>
      </c>
      <c r="M4175" s="14" t="n">
        <v>0</v>
      </c>
      <c r="N4175" s="14" t="n">
        <v>396332.9248916927</v>
      </c>
      <c r="O4175" s="14" t="n">
        <v>718978.9005900663</v>
      </c>
      <c r="P4175" s="14" t="n">
        <v>24235.25833222632</v>
      </c>
      <c r="Q4175" s="14" t="n">
        <v>4829853.350725389</v>
      </c>
      <c r="R4175" s="15">
        <f>IF(D4175=1,"Section 1","Control")</f>
        <v/>
      </c>
      <c r="S4175" s="16">
        <f>N4175/10000</f>
        <v/>
      </c>
      <c r="T4175" s="16">
        <f>P4175/10000</f>
        <v/>
      </c>
      <c r="U4175" s="15">
        <f>IF(N4175&gt;=Summary!$D$3,1,0)</f>
        <v/>
      </c>
      <c r="V4175" s="17">
        <f>IF(N4175&gt;0,P4175/N4175,"")</f>
        <v/>
      </c>
      <c r="W4175" s="17">
        <f>IF(O4175&gt;0,H4175/O4175,"")</f>
        <v/>
      </c>
    </row>
    <row r="4176">
      <c r="A4176" s="13" t="inlineStr">
        <is>
          <t>CW59_B1</t>
        </is>
      </c>
      <c r="B4176" s="13" t="inlineStr">
        <is>
          <t>CW59</t>
        </is>
      </c>
      <c r="C4176" s="13" t="inlineStr">
        <is>
          <t>B1</t>
        </is>
      </c>
      <c r="D4176" s="13" t="n">
        <v>0</v>
      </c>
      <c r="E4176" s="13" t="inlineStr">
        <is>
          <t>W</t>
        </is>
      </c>
      <c r="F4176" s="13" t="n">
        <v>2022</v>
      </c>
      <c r="G4176" s="14" t="n">
        <v>1001246.129149014</v>
      </c>
      <c r="H4176" s="14" t="n">
        <v>383010.17139004</v>
      </c>
      <c r="I4176" s="14" t="n">
        <v>290821.5355276968</v>
      </c>
      <c r="J4176" s="14" t="n">
        <v>0</v>
      </c>
      <c r="K4176" s="14" t="n">
        <v>43674.39909243116</v>
      </c>
      <c r="L4176" s="14" t="n">
        <v>283740.0231388466</v>
      </c>
      <c r="M4176" s="14" t="n">
        <v>0</v>
      </c>
      <c r="N4176" s="14" t="n">
        <v>396332.9248916927</v>
      </c>
      <c r="O4176" s="14" t="n">
        <v>718978.9005900663</v>
      </c>
      <c r="P4176" s="14" t="n">
        <v>33450.17217984668</v>
      </c>
      <c r="Q4176" s="14" t="n">
        <v>4829853.350725389</v>
      </c>
      <c r="R4176" s="15">
        <f>IF(D4176=1,"Section 1","Control")</f>
        <v/>
      </c>
      <c r="S4176" s="16">
        <f>N4176/10000</f>
        <v/>
      </c>
      <c r="T4176" s="16">
        <f>P4176/10000</f>
        <v/>
      </c>
      <c r="U4176" s="15">
        <f>IF(N4176&gt;=Summary!$D$3,1,0)</f>
        <v/>
      </c>
      <c r="V4176" s="17">
        <f>IF(N4176&gt;0,P4176/N4176,"")</f>
        <v/>
      </c>
      <c r="W4176" s="17">
        <f>IF(O4176&gt;0,H4176/O4176,"")</f>
        <v/>
      </c>
    </row>
    <row r="4177">
      <c r="A4177" s="13" t="inlineStr">
        <is>
          <t>CW59_B1</t>
        </is>
      </c>
      <c r="B4177" s="13" t="inlineStr">
        <is>
          <t>CW59</t>
        </is>
      </c>
      <c r="C4177" s="13" t="inlineStr">
        <is>
          <t>B1</t>
        </is>
      </c>
      <c r="D4177" s="13" t="n">
        <v>0</v>
      </c>
      <c r="E4177" s="13" t="inlineStr">
        <is>
          <t>W</t>
        </is>
      </c>
      <c r="F4177" s="13" t="n">
        <v>2023</v>
      </c>
      <c r="G4177" s="14" t="n">
        <v>1001246.129149014</v>
      </c>
      <c r="H4177" s="14" t="n">
        <v>346614.912702852</v>
      </c>
      <c r="I4177" s="14" t="n">
        <v>313222.2855159385</v>
      </c>
      <c r="J4177" s="14" t="n">
        <v>0</v>
      </c>
      <c r="K4177" s="14" t="n">
        <v>44262.91505423155</v>
      </c>
      <c r="L4177" s="14" t="n">
        <v>297146.0158759921</v>
      </c>
      <c r="M4177" s="14" t="n">
        <v>0</v>
      </c>
      <c r="N4177" s="14" t="n">
        <v>396332.9248916927</v>
      </c>
      <c r="O4177" s="14" t="n">
        <v>718978.9005900663</v>
      </c>
      <c r="P4177" s="14" t="n">
        <v>58788.07586367738</v>
      </c>
      <c r="Q4177" s="14" t="n">
        <v>4829853.350725389</v>
      </c>
      <c r="R4177" s="15">
        <f>IF(D4177=1,"Section 1","Control")</f>
        <v/>
      </c>
      <c r="S4177" s="16">
        <f>N4177/10000</f>
        <v/>
      </c>
      <c r="T4177" s="16">
        <f>P4177/10000</f>
        <v/>
      </c>
      <c r="U4177" s="15">
        <f>IF(N4177&gt;=Summary!$D$3,1,0)</f>
        <v/>
      </c>
      <c r="V4177" s="17">
        <f>IF(N4177&gt;0,P4177/N4177,"")</f>
        <v/>
      </c>
      <c r="W4177" s="17">
        <f>IF(O4177&gt;0,H4177/O4177,"")</f>
        <v/>
      </c>
    </row>
    <row r="4178">
      <c r="A4178" s="13" t="inlineStr">
        <is>
          <t>CW59_B1</t>
        </is>
      </c>
      <c r="B4178" s="13" t="inlineStr">
        <is>
          <t>CW59</t>
        </is>
      </c>
      <c r="C4178" s="13" t="inlineStr">
        <is>
          <t>B1</t>
        </is>
      </c>
      <c r="D4178" s="13" t="n">
        <v>0</v>
      </c>
      <c r="E4178" s="13" t="inlineStr">
        <is>
          <t>W</t>
        </is>
      </c>
      <c r="F4178" s="13" t="n">
        <v>2024</v>
      </c>
      <c r="G4178" s="14" t="n">
        <v>1001246.129149014</v>
      </c>
      <c r="H4178" s="14" t="n">
        <v>433753.3206574686</v>
      </c>
      <c r="I4178" s="14" t="n">
        <v>230108.4836370132</v>
      </c>
      <c r="J4178" s="14" t="n">
        <v>0</v>
      </c>
      <c r="K4178" s="14" t="n">
        <v>47345.12448802276</v>
      </c>
      <c r="L4178" s="14" t="n">
        <v>290039.2003665101</v>
      </c>
      <c r="M4178" s="14" t="n">
        <v>0</v>
      </c>
      <c r="N4178" s="14" t="n">
        <v>396332.9248916927</v>
      </c>
      <c r="O4178" s="14" t="n">
        <v>718978.9005900663</v>
      </c>
      <c r="P4178" s="14" t="n">
        <v>21721.05885285022</v>
      </c>
      <c r="Q4178" s="14" t="n">
        <v>4829853.350725389</v>
      </c>
      <c r="R4178" s="15">
        <f>IF(D4178=1,"Section 1","Control")</f>
        <v/>
      </c>
      <c r="S4178" s="16">
        <f>N4178/10000</f>
        <v/>
      </c>
      <c r="T4178" s="16">
        <f>P4178/10000</f>
        <v/>
      </c>
      <c r="U4178" s="15">
        <f>IF(N4178&gt;=Summary!$D$3,1,0)</f>
        <v/>
      </c>
      <c r="V4178" s="17">
        <f>IF(N4178&gt;0,P4178/N4178,"")</f>
        <v/>
      </c>
      <c r="W4178" s="17">
        <f>IF(O4178&gt;0,H4178/O4178,"")</f>
        <v/>
      </c>
    </row>
    <row r="4179">
      <c r="A4179" s="13" t="inlineStr">
        <is>
          <t>CW59_B1</t>
        </is>
      </c>
      <c r="B4179" s="13" t="inlineStr">
        <is>
          <t>CW59</t>
        </is>
      </c>
      <c r="C4179" s="13" t="inlineStr">
        <is>
          <t>B1</t>
        </is>
      </c>
      <c r="D4179" s="13" t="n">
        <v>0</v>
      </c>
      <c r="E4179" s="13" t="inlineStr">
        <is>
          <t>W</t>
        </is>
      </c>
      <c r="F4179" s="13" t="n">
        <v>2025</v>
      </c>
      <c r="G4179" s="14" t="n">
        <v>1001246.129149014</v>
      </c>
      <c r="H4179" s="14" t="n">
        <v>350388.6017284616</v>
      </c>
      <c r="I4179" s="14" t="n">
        <v>310302.2993032717</v>
      </c>
      <c r="J4179" s="14" t="n">
        <v>0</v>
      </c>
      <c r="K4179" s="14" t="n">
        <v>45338.8553666657</v>
      </c>
      <c r="L4179" s="14" t="n">
        <v>295216.3727506152</v>
      </c>
      <c r="M4179" s="14" t="n">
        <v>0</v>
      </c>
      <c r="N4179" s="14" t="n">
        <v>396332.9248916927</v>
      </c>
      <c r="O4179" s="14" t="n">
        <v>718978.9005900663</v>
      </c>
      <c r="P4179" s="14" t="n">
        <v>56902.96819039139</v>
      </c>
      <c r="Q4179" s="14" t="n">
        <v>4829853.350725389</v>
      </c>
      <c r="R4179" s="15">
        <f>IF(D4179=1,"Section 1","Control")</f>
        <v/>
      </c>
      <c r="S4179" s="16">
        <f>N4179/10000</f>
        <v/>
      </c>
      <c r="T4179" s="16">
        <f>P4179/10000</f>
        <v/>
      </c>
      <c r="U4179" s="15">
        <f>IF(N4179&gt;=Summary!$D$3,1,0)</f>
        <v/>
      </c>
      <c r="V4179" s="17">
        <f>IF(N4179&gt;0,P4179/N4179,"")</f>
        <v/>
      </c>
      <c r="W4179" s="17">
        <f>IF(O4179&gt;0,H4179/O4179,"")</f>
        <v/>
      </c>
    </row>
    <row r="4180">
      <c r="A4180" s="13" t="inlineStr">
        <is>
          <t>CW59_B1</t>
        </is>
      </c>
      <c r="B4180" s="13" t="inlineStr">
        <is>
          <t>CW59</t>
        </is>
      </c>
      <c r="C4180" s="13" t="inlineStr">
        <is>
          <t>B1</t>
        </is>
      </c>
      <c r="D4180" s="13" t="n">
        <v>0</v>
      </c>
      <c r="E4180" s="13" t="inlineStr">
        <is>
          <t>W</t>
        </is>
      </c>
      <c r="F4180" s="13" t="n">
        <v>2026</v>
      </c>
      <c r="G4180" s="14" t="n">
        <v>1001246.129149014</v>
      </c>
      <c r="H4180" s="14" t="n">
        <v>422690.1328630936</v>
      </c>
      <c r="I4180" s="14" t="n">
        <v>227056.0024552887</v>
      </c>
      <c r="J4180" s="14" t="n">
        <v>0</v>
      </c>
      <c r="K4180" s="14" t="n">
        <v>49170.99595606186</v>
      </c>
      <c r="L4180" s="14" t="n">
        <v>302328.9978745704</v>
      </c>
      <c r="M4180" s="14" t="n">
        <v>0</v>
      </c>
      <c r="N4180" s="14" t="n">
        <v>396332.9248916927</v>
      </c>
      <c r="O4180" s="14" t="n">
        <v>718978.9005900663</v>
      </c>
      <c r="P4180" s="14" t="n">
        <v>28499.12643965179</v>
      </c>
      <c r="Q4180" s="14" t="n">
        <v>4829853.350725389</v>
      </c>
      <c r="R4180" s="15">
        <f>IF(D4180=1,"Section 1","Control")</f>
        <v/>
      </c>
      <c r="S4180" s="16">
        <f>N4180/10000</f>
        <v/>
      </c>
      <c r="T4180" s="16">
        <f>P4180/10000</f>
        <v/>
      </c>
      <c r="U4180" s="15">
        <f>IF(N4180&gt;=Summary!$D$3,1,0)</f>
        <v/>
      </c>
      <c r="V4180" s="17">
        <f>IF(N4180&gt;0,P4180/N4180,"")</f>
        <v/>
      </c>
      <c r="W4180" s="17">
        <f>IF(O4180&gt;0,H4180/O4180,"")</f>
        <v/>
      </c>
    </row>
    <row r="4181">
      <c r="A4181" s="13" t="inlineStr">
        <is>
          <t>CW59_B2</t>
        </is>
      </c>
      <c r="B4181" s="13" t="inlineStr">
        <is>
          <t>CW59</t>
        </is>
      </c>
      <c r="C4181" s="13" t="inlineStr">
        <is>
          <t>B2</t>
        </is>
      </c>
      <c r="D4181" s="13" t="n">
        <v>0</v>
      </c>
      <c r="E4181" s="13" t="inlineStr">
        <is>
          <t>W</t>
        </is>
      </c>
      <c r="F4181" s="13" t="n">
        <v>2020</v>
      </c>
      <c r="G4181" s="14" t="n">
        <v>1001153.353667464</v>
      </c>
      <c r="H4181" s="14" t="n">
        <v>312348.0275603649</v>
      </c>
      <c r="I4181" s="14" t="n">
        <v>98.7254638671875</v>
      </c>
      <c r="J4181" s="14" t="n">
        <v>0</v>
      </c>
      <c r="K4181" s="14" t="n">
        <v>16418.63002723245</v>
      </c>
      <c r="L4181" s="14" t="n">
        <v>672287.9706160005</v>
      </c>
      <c r="M4181" s="14" t="n">
        <v>0</v>
      </c>
      <c r="N4181" s="14" t="n">
        <v>312348.0275603649</v>
      </c>
      <c r="O4181" s="14" t="n">
        <v>328865.3830514646</v>
      </c>
      <c r="P4181" s="14" t="n">
        <v>0</v>
      </c>
      <c r="Q4181" s="14" t="n">
        <v>1630215.345365457</v>
      </c>
      <c r="R4181" s="15">
        <f>IF(D4181=1,"Section 1","Control")</f>
        <v/>
      </c>
      <c r="S4181" s="16">
        <f>N4181/10000</f>
        <v/>
      </c>
      <c r="T4181" s="16">
        <f>P4181/10000</f>
        <v/>
      </c>
      <c r="U4181" s="15">
        <f>IF(N4181&gt;=Summary!$D$3,1,0)</f>
        <v/>
      </c>
      <c r="V4181" s="17">
        <f>IF(N4181&gt;0,P4181/N4181,"")</f>
        <v/>
      </c>
      <c r="W4181" s="17">
        <f>IF(O4181&gt;0,H4181/O4181,"")</f>
        <v/>
      </c>
    </row>
    <row r="4182">
      <c r="A4182" s="13" t="inlineStr">
        <is>
          <t>CW59_B2</t>
        </is>
      </c>
      <c r="B4182" s="13" t="inlineStr">
        <is>
          <t>CW59</t>
        </is>
      </c>
      <c r="C4182" s="13" t="inlineStr">
        <is>
          <t>B2</t>
        </is>
      </c>
      <c r="D4182" s="13" t="n">
        <v>0</v>
      </c>
      <c r="E4182" s="13" t="inlineStr">
        <is>
          <t>W</t>
        </is>
      </c>
      <c r="F4182" s="13" t="n">
        <v>2021</v>
      </c>
      <c r="G4182" s="14" t="n">
        <v>1001153.353667464</v>
      </c>
      <c r="H4182" s="14" t="n">
        <v>303686.1265437107</v>
      </c>
      <c r="I4182" s="14" t="n">
        <v>0</v>
      </c>
      <c r="J4182" s="14" t="n">
        <v>0</v>
      </c>
      <c r="K4182" s="14" t="n">
        <v>9918.231793422325</v>
      </c>
      <c r="L4182" s="14" t="n">
        <v>687548.9953303318</v>
      </c>
      <c r="M4182" s="14" t="n">
        <v>0</v>
      </c>
      <c r="N4182" s="14" t="n">
        <v>312348.0275603649</v>
      </c>
      <c r="O4182" s="14" t="n">
        <v>328865.3830514646</v>
      </c>
      <c r="P4182" s="14" t="n">
        <v>8661.901016654221</v>
      </c>
      <c r="Q4182" s="14" t="n">
        <v>1630215.345365457</v>
      </c>
      <c r="R4182" s="15">
        <f>IF(D4182=1,"Section 1","Control")</f>
        <v/>
      </c>
      <c r="S4182" s="16">
        <f>N4182/10000</f>
        <v/>
      </c>
      <c r="T4182" s="16">
        <f>P4182/10000</f>
        <v/>
      </c>
      <c r="U4182" s="15">
        <f>IF(N4182&gt;=Summary!$D$3,1,0)</f>
        <v/>
      </c>
      <c r="V4182" s="17">
        <f>IF(N4182&gt;0,P4182/N4182,"")</f>
        <v/>
      </c>
      <c r="W4182" s="17">
        <f>IF(O4182&gt;0,H4182/O4182,"")</f>
        <v/>
      </c>
    </row>
    <row r="4183">
      <c r="A4183" s="13" t="inlineStr">
        <is>
          <t>CW59_B2</t>
        </is>
      </c>
      <c r="B4183" s="13" t="inlineStr">
        <is>
          <t>CW59</t>
        </is>
      </c>
      <c r="C4183" s="13" t="inlineStr">
        <is>
          <t>B2</t>
        </is>
      </c>
      <c r="D4183" s="13" t="n">
        <v>0</v>
      </c>
      <c r="E4183" s="13" t="inlineStr">
        <is>
          <t>W</t>
        </is>
      </c>
      <c r="F4183" s="13" t="n">
        <v>2022</v>
      </c>
      <c r="G4183" s="14" t="n">
        <v>1001153.353667464</v>
      </c>
      <c r="H4183" s="14" t="n">
        <v>301797.9565155029</v>
      </c>
      <c r="I4183" s="14" t="n">
        <v>0</v>
      </c>
      <c r="J4183" s="14" t="n">
        <v>0</v>
      </c>
      <c r="K4183" s="14" t="n">
        <v>25047.23870517506</v>
      </c>
      <c r="L4183" s="14" t="n">
        <v>674308.158446787</v>
      </c>
      <c r="M4183" s="14" t="n">
        <v>0</v>
      </c>
      <c r="N4183" s="14" t="n">
        <v>312348.0275603649</v>
      </c>
      <c r="O4183" s="14" t="n">
        <v>328865.3830514646</v>
      </c>
      <c r="P4183" s="14" t="n">
        <v>10846.24773400999</v>
      </c>
      <c r="Q4183" s="14" t="n">
        <v>1630215.345365457</v>
      </c>
      <c r="R4183" s="15">
        <f>IF(D4183=1,"Section 1","Control")</f>
        <v/>
      </c>
      <c r="S4183" s="16">
        <f>N4183/10000</f>
        <v/>
      </c>
      <c r="T4183" s="16">
        <f>P4183/10000</f>
        <v/>
      </c>
      <c r="U4183" s="15">
        <f>IF(N4183&gt;=Summary!$D$3,1,0)</f>
        <v/>
      </c>
      <c r="V4183" s="17">
        <f>IF(N4183&gt;0,P4183/N4183,"")</f>
        <v/>
      </c>
      <c r="W4183" s="17">
        <f>IF(O4183&gt;0,H4183/O4183,"")</f>
        <v/>
      </c>
    </row>
    <row r="4184">
      <c r="A4184" s="13" t="inlineStr">
        <is>
          <t>CW59_B2</t>
        </is>
      </c>
      <c r="B4184" s="13" t="inlineStr">
        <is>
          <t>CW59</t>
        </is>
      </c>
      <c r="C4184" s="13" t="inlineStr">
        <is>
          <t>B2</t>
        </is>
      </c>
      <c r="D4184" s="13" t="n">
        <v>0</v>
      </c>
      <c r="E4184" s="13" t="inlineStr">
        <is>
          <t>W</t>
        </is>
      </c>
      <c r="F4184" s="13" t="n">
        <v>2023</v>
      </c>
      <c r="G4184" s="14" t="n">
        <v>1001153.353667464</v>
      </c>
      <c r="H4184" s="14" t="n">
        <v>301106.8774215698</v>
      </c>
      <c r="I4184" s="14" t="n">
        <v>98.72527313232422</v>
      </c>
      <c r="J4184" s="14" t="n">
        <v>0</v>
      </c>
      <c r="K4184" s="14" t="n">
        <v>10575.62777326995</v>
      </c>
      <c r="L4184" s="14" t="n">
        <v>689372.123199493</v>
      </c>
      <c r="M4184" s="14" t="n">
        <v>0</v>
      </c>
      <c r="N4184" s="14" t="n">
        <v>312348.0275603649</v>
      </c>
      <c r="O4184" s="14" t="n">
        <v>328865.3830514646</v>
      </c>
      <c r="P4184" s="14" t="n">
        <v>11438.60126489378</v>
      </c>
      <c r="Q4184" s="14" t="n">
        <v>1630215.345365457</v>
      </c>
      <c r="R4184" s="15">
        <f>IF(D4184=1,"Section 1","Control")</f>
        <v/>
      </c>
      <c r="S4184" s="16">
        <f>N4184/10000</f>
        <v/>
      </c>
      <c r="T4184" s="16">
        <f>P4184/10000</f>
        <v/>
      </c>
      <c r="U4184" s="15">
        <f>IF(N4184&gt;=Summary!$D$3,1,0)</f>
        <v/>
      </c>
      <c r="V4184" s="17">
        <f>IF(N4184&gt;0,P4184/N4184,"")</f>
        <v/>
      </c>
      <c r="W4184" s="17">
        <f>IF(O4184&gt;0,H4184/O4184,"")</f>
        <v/>
      </c>
    </row>
    <row r="4185">
      <c r="A4185" s="13" t="inlineStr">
        <is>
          <t>CW59_B2</t>
        </is>
      </c>
      <c r="B4185" s="13" t="inlineStr">
        <is>
          <t>CW59</t>
        </is>
      </c>
      <c r="C4185" s="13" t="inlineStr">
        <is>
          <t>B2</t>
        </is>
      </c>
      <c r="D4185" s="13" t="n">
        <v>0</v>
      </c>
      <c r="E4185" s="13" t="inlineStr">
        <is>
          <t>W</t>
        </is>
      </c>
      <c r="F4185" s="13" t="n">
        <v>2024</v>
      </c>
      <c r="G4185" s="14" t="n">
        <v>1001153.353667464</v>
      </c>
      <c r="H4185" s="14" t="n">
        <v>300218.3477432251</v>
      </c>
      <c r="I4185" s="14" t="n">
        <v>123.5037669462316</v>
      </c>
      <c r="J4185" s="14" t="n">
        <v>0</v>
      </c>
      <c r="K4185" s="14" t="n">
        <v>15806.91625776104</v>
      </c>
      <c r="L4185" s="14" t="n">
        <v>685004.5858995327</v>
      </c>
      <c r="M4185" s="14" t="n">
        <v>0</v>
      </c>
      <c r="N4185" s="14" t="n">
        <v>312348.0275603649</v>
      </c>
      <c r="O4185" s="14" t="n">
        <v>328865.3830514646</v>
      </c>
      <c r="P4185" s="14" t="n">
        <v>12327.1309432385</v>
      </c>
      <c r="Q4185" s="14" t="n">
        <v>1630215.345365457</v>
      </c>
      <c r="R4185" s="15">
        <f>IF(D4185=1,"Section 1","Control")</f>
        <v/>
      </c>
      <c r="S4185" s="16">
        <f>N4185/10000</f>
        <v/>
      </c>
      <c r="T4185" s="16">
        <f>P4185/10000</f>
        <v/>
      </c>
      <c r="U4185" s="15">
        <f>IF(N4185&gt;=Summary!$D$3,1,0)</f>
        <v/>
      </c>
      <c r="V4185" s="17">
        <f>IF(N4185&gt;0,P4185/N4185,"")</f>
        <v/>
      </c>
      <c r="W4185" s="17">
        <f>IF(O4185&gt;0,H4185/O4185,"")</f>
        <v/>
      </c>
    </row>
    <row r="4186">
      <c r="A4186" s="13" t="inlineStr">
        <is>
          <t>CW59_B2</t>
        </is>
      </c>
      <c r="B4186" s="13" t="inlineStr">
        <is>
          <t>CW59</t>
        </is>
      </c>
      <c r="C4186" s="13" t="inlineStr">
        <is>
          <t>B2</t>
        </is>
      </c>
      <c r="D4186" s="13" t="n">
        <v>0</v>
      </c>
      <c r="E4186" s="13" t="inlineStr">
        <is>
          <t>W</t>
        </is>
      </c>
      <c r="F4186" s="13" t="n">
        <v>2025</v>
      </c>
      <c r="G4186" s="14" t="n">
        <v>1001153.353667464</v>
      </c>
      <c r="H4186" s="14" t="n">
        <v>300218.3476745605</v>
      </c>
      <c r="I4186" s="14" t="n">
        <v>0</v>
      </c>
      <c r="J4186" s="14" t="n">
        <v>0</v>
      </c>
      <c r="K4186" s="14" t="n">
        <v>13253.21629291609</v>
      </c>
      <c r="L4186" s="14" t="n">
        <v>687681.7896999886</v>
      </c>
      <c r="M4186" s="14" t="n">
        <v>0</v>
      </c>
      <c r="N4186" s="14" t="n">
        <v>312348.0275603649</v>
      </c>
      <c r="O4186" s="14" t="n">
        <v>328865.3830514646</v>
      </c>
      <c r="P4186" s="14" t="n">
        <v>12327.13101190305</v>
      </c>
      <c r="Q4186" s="14" t="n">
        <v>1630215.345365457</v>
      </c>
      <c r="R4186" s="15">
        <f>IF(D4186=1,"Section 1","Control")</f>
        <v/>
      </c>
      <c r="S4186" s="16">
        <f>N4186/10000</f>
        <v/>
      </c>
      <c r="T4186" s="16">
        <f>P4186/10000</f>
        <v/>
      </c>
      <c r="U4186" s="15">
        <f>IF(N4186&gt;=Summary!$D$3,1,0)</f>
        <v/>
      </c>
      <c r="V4186" s="17">
        <f>IF(N4186&gt;0,P4186/N4186,"")</f>
        <v/>
      </c>
      <c r="W4186" s="17">
        <f>IF(O4186&gt;0,H4186/O4186,"")</f>
        <v/>
      </c>
    </row>
    <row r="4187">
      <c r="A4187" s="13" t="inlineStr">
        <is>
          <t>CW59_B2</t>
        </is>
      </c>
      <c r="B4187" s="13" t="inlineStr">
        <is>
          <t>CW59</t>
        </is>
      </c>
      <c r="C4187" s="13" t="inlineStr">
        <is>
          <t>B2</t>
        </is>
      </c>
      <c r="D4187" s="13" t="n">
        <v>0</v>
      </c>
      <c r="E4187" s="13" t="inlineStr">
        <is>
          <t>W</t>
        </is>
      </c>
      <c r="F4187" s="13" t="n">
        <v>2026</v>
      </c>
      <c r="G4187" s="14" t="n">
        <v>1001153.353667464</v>
      </c>
      <c r="H4187" s="14" t="n">
        <v>298638.738772583</v>
      </c>
      <c r="I4187" s="14" t="n">
        <v>98.7254638671875</v>
      </c>
      <c r="J4187" s="14" t="n">
        <v>0</v>
      </c>
      <c r="K4187" s="14" t="n">
        <v>10119.16432073256</v>
      </c>
      <c r="L4187" s="14" t="n">
        <v>692296.7251102824</v>
      </c>
      <c r="M4187" s="14" t="n">
        <v>0</v>
      </c>
      <c r="N4187" s="14" t="n">
        <v>312348.0275603649</v>
      </c>
      <c r="O4187" s="14" t="n">
        <v>328865.3830514646</v>
      </c>
      <c r="P4187" s="14" t="n">
        <v>13709.28878778195</v>
      </c>
      <c r="Q4187" s="14" t="n">
        <v>1630215.345365457</v>
      </c>
      <c r="R4187" s="15">
        <f>IF(D4187=1,"Section 1","Control")</f>
        <v/>
      </c>
      <c r="S4187" s="16">
        <f>N4187/10000</f>
        <v/>
      </c>
      <c r="T4187" s="16">
        <f>P4187/10000</f>
        <v/>
      </c>
      <c r="U4187" s="15">
        <f>IF(N4187&gt;=Summary!$D$3,1,0)</f>
        <v/>
      </c>
      <c r="V4187" s="17">
        <f>IF(N4187&gt;0,P4187/N4187,"")</f>
        <v/>
      </c>
      <c r="W4187" s="17">
        <f>IF(O4187&gt;0,H4187/O4187,"")</f>
        <v/>
      </c>
    </row>
    <row r="4188">
      <c r="A4188" s="13" t="inlineStr">
        <is>
          <t>CW59_B3</t>
        </is>
      </c>
      <c r="B4188" s="13" t="inlineStr">
        <is>
          <t>CW59</t>
        </is>
      </c>
      <c r="C4188" s="13" t="inlineStr">
        <is>
          <t>B3</t>
        </is>
      </c>
      <c r="D4188" s="13" t="n">
        <v>0</v>
      </c>
      <c r="E4188" s="13" t="inlineStr">
        <is>
          <t>W</t>
        </is>
      </c>
      <c r="F4188" s="13" t="n">
        <v>2020</v>
      </c>
      <c r="G4188" s="14" t="n">
        <v>8009061.640196049</v>
      </c>
      <c r="H4188" s="14" t="n">
        <v>1948675.419981863</v>
      </c>
      <c r="I4188" s="14" t="n">
        <v>50808.12284441181</v>
      </c>
      <c r="J4188" s="14" t="n">
        <v>0</v>
      </c>
      <c r="K4188" s="14" t="n">
        <v>1472470.14486817</v>
      </c>
      <c r="L4188" s="14" t="n">
        <v>4537107.952501604</v>
      </c>
      <c r="M4188" s="14" t="n">
        <v>0</v>
      </c>
      <c r="N4188" s="14" t="n">
        <v>1948675.419981863</v>
      </c>
      <c r="O4188" s="14" t="n">
        <v>3471953.687694446</v>
      </c>
      <c r="P4188" s="14" t="n">
        <v>0</v>
      </c>
      <c r="Q4188" s="14" t="n">
        <v>17376151.85220142</v>
      </c>
      <c r="R4188" s="15">
        <f>IF(D4188=1,"Section 1","Control")</f>
        <v/>
      </c>
      <c r="S4188" s="16">
        <f>N4188/10000</f>
        <v/>
      </c>
      <c r="T4188" s="16">
        <f>P4188/10000</f>
        <v/>
      </c>
      <c r="U4188" s="15">
        <f>IF(N4188&gt;=Summary!$D$3,1,0)</f>
        <v/>
      </c>
      <c r="V4188" s="17">
        <f>IF(N4188&gt;0,P4188/N4188,"")</f>
        <v/>
      </c>
      <c r="W4188" s="17">
        <f>IF(O4188&gt;0,H4188/O4188,"")</f>
        <v/>
      </c>
    </row>
    <row r="4189">
      <c r="A4189" s="13" t="inlineStr">
        <is>
          <t>CW59_B3</t>
        </is>
      </c>
      <c r="B4189" s="13" t="inlineStr">
        <is>
          <t>CW59</t>
        </is>
      </c>
      <c r="C4189" s="13" t="inlineStr">
        <is>
          <t>B3</t>
        </is>
      </c>
      <c r="D4189" s="13" t="n">
        <v>0</v>
      </c>
      <c r="E4189" s="13" t="inlineStr">
        <is>
          <t>W</t>
        </is>
      </c>
      <c r="F4189" s="13" t="n">
        <v>2021</v>
      </c>
      <c r="G4189" s="14" t="n">
        <v>8009061.640196049</v>
      </c>
      <c r="H4189" s="14" t="n">
        <v>1916976.673764218</v>
      </c>
      <c r="I4189" s="14" t="n">
        <v>64834.29283680634</v>
      </c>
      <c r="J4189" s="14" t="n">
        <v>0</v>
      </c>
      <c r="K4189" s="14" t="n">
        <v>1470443.874411639</v>
      </c>
      <c r="L4189" s="14" t="n">
        <v>4556806.799183386</v>
      </c>
      <c r="M4189" s="14" t="n">
        <v>0</v>
      </c>
      <c r="N4189" s="14" t="n">
        <v>1948675.419981863</v>
      </c>
      <c r="O4189" s="14" t="n">
        <v>3471953.687694446</v>
      </c>
      <c r="P4189" s="14" t="n">
        <v>37720.77211181042</v>
      </c>
      <c r="Q4189" s="14" t="n">
        <v>17376151.85220142</v>
      </c>
      <c r="R4189" s="15">
        <f>IF(D4189=1,"Section 1","Control")</f>
        <v/>
      </c>
      <c r="S4189" s="16">
        <f>N4189/10000</f>
        <v/>
      </c>
      <c r="T4189" s="16">
        <f>P4189/10000</f>
        <v/>
      </c>
      <c r="U4189" s="15">
        <f>IF(N4189&gt;=Summary!$D$3,1,0)</f>
        <v/>
      </c>
      <c r="V4189" s="17">
        <f>IF(N4189&gt;0,P4189/N4189,"")</f>
        <v/>
      </c>
      <c r="W4189" s="17">
        <f>IF(O4189&gt;0,H4189/O4189,"")</f>
        <v/>
      </c>
    </row>
    <row r="4190">
      <c r="A4190" s="13" t="inlineStr">
        <is>
          <t>CW59_B3</t>
        </is>
      </c>
      <c r="B4190" s="13" t="inlineStr">
        <is>
          <t>CW59</t>
        </is>
      </c>
      <c r="C4190" s="13" t="inlineStr">
        <is>
          <t>B3</t>
        </is>
      </c>
      <c r="D4190" s="13" t="n">
        <v>0</v>
      </c>
      <c r="E4190" s="13" t="inlineStr">
        <is>
          <t>W</t>
        </is>
      </c>
      <c r="F4190" s="13" t="n">
        <v>2022</v>
      </c>
      <c r="G4190" s="14" t="n">
        <v>8009061.640196049</v>
      </c>
      <c r="H4190" s="14" t="n">
        <v>1677847.414128741</v>
      </c>
      <c r="I4190" s="14" t="n">
        <v>133325.963210521</v>
      </c>
      <c r="J4190" s="14" t="n">
        <v>0</v>
      </c>
      <c r="K4190" s="14" t="n">
        <v>1904736.983773505</v>
      </c>
      <c r="L4190" s="14" t="n">
        <v>4293151.279083282</v>
      </c>
      <c r="M4190" s="14" t="n">
        <v>0</v>
      </c>
      <c r="N4190" s="14" t="n">
        <v>1948675.419981863</v>
      </c>
      <c r="O4190" s="14" t="n">
        <v>3471953.687694445</v>
      </c>
      <c r="P4190" s="14" t="n">
        <v>272605.018907016</v>
      </c>
      <c r="Q4190" s="14" t="n">
        <v>17376151.85220142</v>
      </c>
      <c r="R4190" s="15">
        <f>IF(D4190=1,"Section 1","Control")</f>
        <v/>
      </c>
      <c r="S4190" s="16">
        <f>N4190/10000</f>
        <v/>
      </c>
      <c r="T4190" s="16">
        <f>P4190/10000</f>
        <v/>
      </c>
      <c r="U4190" s="15">
        <f>IF(N4190&gt;=Summary!$D$3,1,0)</f>
        <v/>
      </c>
      <c r="V4190" s="17">
        <f>IF(N4190&gt;0,P4190/N4190,"")</f>
        <v/>
      </c>
      <c r="W4190" s="17">
        <f>IF(O4190&gt;0,H4190/O4190,"")</f>
        <v/>
      </c>
    </row>
    <row r="4191">
      <c r="A4191" s="13" t="inlineStr">
        <is>
          <t>CW59_B3</t>
        </is>
      </c>
      <c r="B4191" s="13" t="inlineStr">
        <is>
          <t>CW59</t>
        </is>
      </c>
      <c r="C4191" s="13" t="inlineStr">
        <is>
          <t>B3</t>
        </is>
      </c>
      <c r="D4191" s="13" t="n">
        <v>0</v>
      </c>
      <c r="E4191" s="13" t="inlineStr">
        <is>
          <t>W</t>
        </is>
      </c>
      <c r="F4191" s="13" t="n">
        <v>2023</v>
      </c>
      <c r="G4191" s="14" t="n">
        <v>8009061.640196049</v>
      </c>
      <c r="H4191" s="14" t="n">
        <v>1598968.127086206</v>
      </c>
      <c r="I4191" s="14" t="n">
        <v>139157.5241383571</v>
      </c>
      <c r="J4191" s="14" t="n">
        <v>0</v>
      </c>
      <c r="K4191" s="14" t="n">
        <v>1710151.256800244</v>
      </c>
      <c r="L4191" s="14" t="n">
        <v>4560784.732171242</v>
      </c>
      <c r="M4191" s="14" t="n">
        <v>0</v>
      </c>
      <c r="N4191" s="14" t="n">
        <v>1948675.419981863</v>
      </c>
      <c r="O4191" s="14" t="n">
        <v>3471953.687694446</v>
      </c>
      <c r="P4191" s="14" t="n">
        <v>352669.007266385</v>
      </c>
      <c r="Q4191" s="14" t="n">
        <v>17376151.85220142</v>
      </c>
      <c r="R4191" s="15">
        <f>IF(D4191=1,"Section 1","Control")</f>
        <v/>
      </c>
      <c r="S4191" s="16">
        <f>N4191/10000</f>
        <v/>
      </c>
      <c r="T4191" s="16">
        <f>P4191/10000</f>
        <v/>
      </c>
      <c r="U4191" s="15">
        <f>IF(N4191&gt;=Summary!$D$3,1,0)</f>
        <v/>
      </c>
      <c r="V4191" s="17">
        <f>IF(N4191&gt;0,P4191/N4191,"")</f>
        <v/>
      </c>
      <c r="W4191" s="17">
        <f>IF(O4191&gt;0,H4191/O4191,"")</f>
        <v/>
      </c>
    </row>
    <row r="4192">
      <c r="A4192" s="13" t="inlineStr">
        <is>
          <t>CW59_B3</t>
        </is>
      </c>
      <c r="B4192" s="13" t="inlineStr">
        <is>
          <t>CW59</t>
        </is>
      </c>
      <c r="C4192" s="13" t="inlineStr">
        <is>
          <t>B3</t>
        </is>
      </c>
      <c r="D4192" s="13" t="n">
        <v>0</v>
      </c>
      <c r="E4192" s="13" t="inlineStr">
        <is>
          <t>W</t>
        </is>
      </c>
      <c r="F4192" s="13" t="n">
        <v>2024</v>
      </c>
      <c r="G4192" s="14" t="n">
        <v>8009061.640196049</v>
      </c>
      <c r="H4192" s="14" t="n">
        <v>1583364.338852557</v>
      </c>
      <c r="I4192" s="14" t="n">
        <v>154802.9623513315</v>
      </c>
      <c r="J4192" s="14" t="n">
        <v>0</v>
      </c>
      <c r="K4192" s="14" t="n">
        <v>1773734.752513811</v>
      </c>
      <c r="L4192" s="14" t="n">
        <v>4497159.58647835</v>
      </c>
      <c r="M4192" s="14" t="n">
        <v>0</v>
      </c>
      <c r="N4192" s="14" t="n">
        <v>1948675.419981863</v>
      </c>
      <c r="O4192" s="14" t="n">
        <v>3471953.687694445</v>
      </c>
      <c r="P4192" s="14" t="n">
        <v>369429.1904704075</v>
      </c>
      <c r="Q4192" s="14" t="n">
        <v>17376151.85220142</v>
      </c>
      <c r="R4192" s="15">
        <f>IF(D4192=1,"Section 1","Control")</f>
        <v/>
      </c>
      <c r="S4192" s="16">
        <f>N4192/10000</f>
        <v/>
      </c>
      <c r="T4192" s="16">
        <f>P4192/10000</f>
        <v/>
      </c>
      <c r="U4192" s="15">
        <f>IF(N4192&gt;=Summary!$D$3,1,0)</f>
        <v/>
      </c>
      <c r="V4192" s="17">
        <f>IF(N4192&gt;0,P4192/N4192,"")</f>
        <v/>
      </c>
      <c r="W4192" s="17">
        <f>IF(O4192&gt;0,H4192/O4192,"")</f>
        <v/>
      </c>
    </row>
    <row r="4193">
      <c r="A4193" s="13" t="inlineStr">
        <is>
          <t>CW59_B3</t>
        </is>
      </c>
      <c r="B4193" s="13" t="inlineStr">
        <is>
          <t>CW59</t>
        </is>
      </c>
      <c r="C4193" s="13" t="inlineStr">
        <is>
          <t>B3</t>
        </is>
      </c>
      <c r="D4193" s="13" t="n">
        <v>0</v>
      </c>
      <c r="E4193" s="13" t="inlineStr">
        <is>
          <t>W</t>
        </is>
      </c>
      <c r="F4193" s="13" t="n">
        <v>2025</v>
      </c>
      <c r="G4193" s="14" t="n">
        <v>8009061.640196049</v>
      </c>
      <c r="H4193" s="14" t="n">
        <v>1566618.632696084</v>
      </c>
      <c r="I4193" s="14" t="n">
        <v>143374.772330789</v>
      </c>
      <c r="J4193" s="14" t="n">
        <v>0</v>
      </c>
      <c r="K4193" s="14" t="n">
        <v>1703356.469517697</v>
      </c>
      <c r="L4193" s="14" t="n">
        <v>4595711.765651478</v>
      </c>
      <c r="M4193" s="14" t="n">
        <v>0</v>
      </c>
      <c r="N4193" s="14" t="n">
        <v>1948675.419981863</v>
      </c>
      <c r="O4193" s="14" t="n">
        <v>3471953.687694446</v>
      </c>
      <c r="P4193" s="14" t="n">
        <v>385424.5893205829</v>
      </c>
      <c r="Q4193" s="14" t="n">
        <v>17376151.85220142</v>
      </c>
      <c r="R4193" s="15">
        <f>IF(D4193=1,"Section 1","Control")</f>
        <v/>
      </c>
      <c r="S4193" s="16">
        <f>N4193/10000</f>
        <v/>
      </c>
      <c r="T4193" s="16">
        <f>P4193/10000</f>
        <v/>
      </c>
      <c r="U4193" s="15">
        <f>IF(N4193&gt;=Summary!$D$3,1,0)</f>
        <v/>
      </c>
      <c r="V4193" s="17">
        <f>IF(N4193&gt;0,P4193/N4193,"")</f>
        <v/>
      </c>
      <c r="W4193" s="17">
        <f>IF(O4193&gt;0,H4193/O4193,"")</f>
        <v/>
      </c>
    </row>
    <row r="4194">
      <c r="A4194" s="13" t="inlineStr">
        <is>
          <t>CW59_B3</t>
        </is>
      </c>
      <c r="B4194" s="13" t="inlineStr">
        <is>
          <t>CW59</t>
        </is>
      </c>
      <c r="C4194" s="13" t="inlineStr">
        <is>
          <t>B3</t>
        </is>
      </c>
      <c r="D4194" s="13" t="n">
        <v>0</v>
      </c>
      <c r="E4194" s="13" t="inlineStr">
        <is>
          <t>W</t>
        </is>
      </c>
      <c r="F4194" s="13" t="n">
        <v>2026</v>
      </c>
      <c r="G4194" s="14" t="n">
        <v>8009061.640196049</v>
      </c>
      <c r="H4194" s="14" t="n">
        <v>1493992.333859133</v>
      </c>
      <c r="I4194" s="14" t="n">
        <v>148372.3730747597</v>
      </c>
      <c r="J4194" s="14" t="n">
        <v>0</v>
      </c>
      <c r="K4194" s="14" t="n">
        <v>1810076.43200546</v>
      </c>
      <c r="L4194" s="14" t="n">
        <v>4556620.501256696</v>
      </c>
      <c r="M4194" s="14" t="n">
        <v>0</v>
      </c>
      <c r="N4194" s="14" t="n">
        <v>1948675.419981863</v>
      </c>
      <c r="O4194" s="14" t="n">
        <v>3471953.687694445</v>
      </c>
      <c r="P4194" s="14" t="n">
        <v>459619.1515142702</v>
      </c>
      <c r="Q4194" s="14" t="n">
        <v>17376151.85220142</v>
      </c>
      <c r="R4194" s="15">
        <f>IF(D4194=1,"Section 1","Control")</f>
        <v/>
      </c>
      <c r="S4194" s="16">
        <f>N4194/10000</f>
        <v/>
      </c>
      <c r="T4194" s="16">
        <f>P4194/10000</f>
        <v/>
      </c>
      <c r="U4194" s="15">
        <f>IF(N4194&gt;=Summary!$D$3,1,0)</f>
        <v/>
      </c>
      <c r="V4194" s="17">
        <f>IF(N4194&gt;0,P4194/N4194,"")</f>
        <v/>
      </c>
      <c r="W4194" s="17">
        <f>IF(O4194&gt;0,H4194/O4194,"")</f>
        <v/>
      </c>
    </row>
    <row r="4195">
      <c r="A4195" s="13" t="inlineStr">
        <is>
          <t>CW59_F</t>
        </is>
      </c>
      <c r="B4195" s="13" t="inlineStr">
        <is>
          <t>CW59</t>
        </is>
      </c>
      <c r="C4195" s="13" t="inlineStr">
        <is>
          <t>F</t>
        </is>
      </c>
      <c r="D4195" s="13" t="n">
        <v>0</v>
      </c>
      <c r="E4195" s="13" t="inlineStr">
        <is>
          <t>W</t>
        </is>
      </c>
      <c r="F4195" s="13" t="n">
        <v>2020</v>
      </c>
      <c r="G4195" s="14" t="n">
        <v>69335.74625016755</v>
      </c>
      <c r="H4195" s="14" t="n">
        <v>41213.27380236455</v>
      </c>
      <c r="I4195" s="14" t="n">
        <v>719.739248268277</v>
      </c>
      <c r="J4195" s="14" t="n">
        <v>0</v>
      </c>
      <c r="K4195" s="14" t="n">
        <v>27402.73319953469</v>
      </c>
      <c r="L4195" s="14" t="n">
        <v>0</v>
      </c>
      <c r="M4195" s="14" t="n">
        <v>0</v>
      </c>
      <c r="N4195" s="14" t="n">
        <v>41213.27380236455</v>
      </c>
      <c r="O4195" s="14" t="n">
        <v>69335.74625016755</v>
      </c>
      <c r="P4195" s="14" t="n">
        <v>0</v>
      </c>
      <c r="Q4195" s="14" t="n">
        <v>738176.3618093452</v>
      </c>
      <c r="R4195" s="15">
        <f>IF(D4195=1,"Section 1","Control")</f>
        <v/>
      </c>
      <c r="S4195" s="16">
        <f>N4195/10000</f>
        <v/>
      </c>
      <c r="T4195" s="16">
        <f>P4195/10000</f>
        <v/>
      </c>
      <c r="U4195" s="15">
        <f>IF(N4195&gt;=Summary!$D$3,1,0)</f>
        <v/>
      </c>
      <c r="V4195" s="17">
        <f>IF(N4195&gt;0,P4195/N4195,"")</f>
        <v/>
      </c>
      <c r="W4195" s="17">
        <f>IF(O4195&gt;0,H4195/O4195,"")</f>
        <v/>
      </c>
    </row>
    <row r="4196">
      <c r="A4196" s="13" t="inlineStr">
        <is>
          <t>CW59_F</t>
        </is>
      </c>
      <c r="B4196" s="13" t="inlineStr">
        <is>
          <t>CW59</t>
        </is>
      </c>
      <c r="C4196" s="13" t="inlineStr">
        <is>
          <t>F</t>
        </is>
      </c>
      <c r="D4196" s="13" t="n">
        <v>0</v>
      </c>
      <c r="E4196" s="13" t="inlineStr">
        <is>
          <t>W</t>
        </is>
      </c>
      <c r="F4196" s="13" t="n">
        <v>2021</v>
      </c>
      <c r="G4196" s="14" t="n">
        <v>69335.74625016755</v>
      </c>
      <c r="H4196" s="14" t="n">
        <v>37439.19414352714</v>
      </c>
      <c r="I4196" s="14" t="n">
        <v>1818.899324125402</v>
      </c>
      <c r="J4196" s="14" t="n">
        <v>0</v>
      </c>
      <c r="K4196" s="14" t="n">
        <v>30077.65278251497</v>
      </c>
      <c r="L4196" s="14" t="n">
        <v>0</v>
      </c>
      <c r="M4196" s="14" t="n">
        <v>0</v>
      </c>
      <c r="N4196" s="14" t="n">
        <v>41213.27380236455</v>
      </c>
      <c r="O4196" s="14" t="n">
        <v>69335.74625016755</v>
      </c>
      <c r="P4196" s="14" t="n">
        <v>3996.312215109432</v>
      </c>
      <c r="Q4196" s="14" t="n">
        <v>738176.3618093452</v>
      </c>
      <c r="R4196" s="15">
        <f>IF(D4196=1,"Section 1","Control")</f>
        <v/>
      </c>
      <c r="S4196" s="16">
        <f>N4196/10000</f>
        <v/>
      </c>
      <c r="T4196" s="16">
        <f>P4196/10000</f>
        <v/>
      </c>
      <c r="U4196" s="15">
        <f>IF(N4196&gt;=Summary!$D$3,1,0)</f>
        <v/>
      </c>
      <c r="V4196" s="17">
        <f>IF(N4196&gt;0,P4196/N4196,"")</f>
        <v/>
      </c>
      <c r="W4196" s="17">
        <f>IF(O4196&gt;0,H4196/O4196,"")</f>
        <v/>
      </c>
    </row>
    <row r="4197">
      <c r="A4197" s="13" t="inlineStr">
        <is>
          <t>CW59_F</t>
        </is>
      </c>
      <c r="B4197" s="13" t="inlineStr">
        <is>
          <t>CW59</t>
        </is>
      </c>
      <c r="C4197" s="13" t="inlineStr">
        <is>
          <t>F</t>
        </is>
      </c>
      <c r="D4197" s="13" t="n">
        <v>0</v>
      </c>
      <c r="E4197" s="13" t="inlineStr">
        <is>
          <t>W</t>
        </is>
      </c>
      <c r="F4197" s="13" t="n">
        <v>2022</v>
      </c>
      <c r="G4197" s="14" t="n">
        <v>69335.74625016755</v>
      </c>
      <c r="H4197" s="14" t="n">
        <v>30999.48645351633</v>
      </c>
      <c r="I4197" s="14" t="n">
        <v>2067.846454605402</v>
      </c>
      <c r="J4197" s="14" t="n">
        <v>0</v>
      </c>
      <c r="K4197" s="14" t="n">
        <v>36268.4133420458</v>
      </c>
      <c r="L4197" s="14" t="n">
        <v>0</v>
      </c>
      <c r="M4197" s="14" t="n">
        <v>0</v>
      </c>
      <c r="N4197" s="14" t="n">
        <v>41213.27380236455</v>
      </c>
      <c r="O4197" s="14" t="n">
        <v>69335.74625016755</v>
      </c>
      <c r="P4197" s="14" t="n">
        <v>10312.51433096493</v>
      </c>
      <c r="Q4197" s="14" t="n">
        <v>738176.3618093452</v>
      </c>
      <c r="R4197" s="15">
        <f>IF(D4197=1,"Section 1","Control")</f>
        <v/>
      </c>
      <c r="S4197" s="16">
        <f>N4197/10000</f>
        <v/>
      </c>
      <c r="T4197" s="16">
        <f>P4197/10000</f>
        <v/>
      </c>
      <c r="U4197" s="15">
        <f>IF(N4197&gt;=Summary!$D$3,1,0)</f>
        <v/>
      </c>
      <c r="V4197" s="17">
        <f>IF(N4197&gt;0,P4197/N4197,"")</f>
        <v/>
      </c>
      <c r="W4197" s="17">
        <f>IF(O4197&gt;0,H4197/O4197,"")</f>
        <v/>
      </c>
    </row>
    <row r="4198">
      <c r="A4198" s="13" t="inlineStr">
        <is>
          <t>CW59_F</t>
        </is>
      </c>
      <c r="B4198" s="13" t="inlineStr">
        <is>
          <t>CW59</t>
        </is>
      </c>
      <c r="C4198" s="13" t="inlineStr">
        <is>
          <t>F</t>
        </is>
      </c>
      <c r="D4198" s="13" t="n">
        <v>0</v>
      </c>
      <c r="E4198" s="13" t="inlineStr">
        <is>
          <t>W</t>
        </is>
      </c>
      <c r="F4198" s="13" t="n">
        <v>2023</v>
      </c>
      <c r="G4198" s="14" t="n">
        <v>69335.74625016755</v>
      </c>
      <c r="H4198" s="14" t="n">
        <v>27157.65213249057</v>
      </c>
      <c r="I4198" s="14" t="n">
        <v>1202.145646278531</v>
      </c>
      <c r="J4198" s="14" t="n">
        <v>0</v>
      </c>
      <c r="K4198" s="14" t="n">
        <v>40975.94847139844</v>
      </c>
      <c r="L4198" s="14" t="n">
        <v>0</v>
      </c>
      <c r="M4198" s="14" t="n">
        <v>0</v>
      </c>
      <c r="N4198" s="14" t="n">
        <v>41213.27380236455</v>
      </c>
      <c r="O4198" s="14" t="n">
        <v>69335.74625016755</v>
      </c>
      <c r="P4198" s="14" t="n">
        <v>14195.00091989555</v>
      </c>
      <c r="Q4198" s="14" t="n">
        <v>738176.3618093452</v>
      </c>
      <c r="R4198" s="15">
        <f>IF(D4198=1,"Section 1","Control")</f>
        <v/>
      </c>
      <c r="S4198" s="16">
        <f>N4198/10000</f>
        <v/>
      </c>
      <c r="T4198" s="16">
        <f>P4198/10000</f>
        <v/>
      </c>
      <c r="U4198" s="15">
        <f>IF(N4198&gt;=Summary!$D$3,1,0)</f>
        <v/>
      </c>
      <c r="V4198" s="17">
        <f>IF(N4198&gt;0,P4198/N4198,"")</f>
        <v/>
      </c>
      <c r="W4198" s="17">
        <f>IF(O4198&gt;0,H4198/O4198,"")</f>
        <v/>
      </c>
    </row>
    <row r="4199">
      <c r="A4199" s="13" t="inlineStr">
        <is>
          <t>CW59_F</t>
        </is>
      </c>
      <c r="B4199" s="13" t="inlineStr">
        <is>
          <t>CW59</t>
        </is>
      </c>
      <c r="C4199" s="13" t="inlineStr">
        <is>
          <t>F</t>
        </is>
      </c>
      <c r="D4199" s="13" t="n">
        <v>0</v>
      </c>
      <c r="E4199" s="13" t="inlineStr">
        <is>
          <t>W</t>
        </is>
      </c>
      <c r="F4199" s="13" t="n">
        <v>2024</v>
      </c>
      <c r="G4199" s="14" t="n">
        <v>69335.74625016755</v>
      </c>
      <c r="H4199" s="14" t="n">
        <v>27120.09708000632</v>
      </c>
      <c r="I4199" s="14" t="n">
        <v>1375.595766523772</v>
      </c>
      <c r="J4199" s="14" t="n">
        <v>0</v>
      </c>
      <c r="K4199" s="14" t="n">
        <v>40840.05340363745</v>
      </c>
      <c r="L4199" s="14" t="n">
        <v>0</v>
      </c>
      <c r="M4199" s="14" t="n">
        <v>0</v>
      </c>
      <c r="N4199" s="14" t="n">
        <v>41213.27380236455</v>
      </c>
      <c r="O4199" s="14" t="n">
        <v>69335.74625016755</v>
      </c>
      <c r="P4199" s="14" t="n">
        <v>14232.5559723798</v>
      </c>
      <c r="Q4199" s="14" t="n">
        <v>738176.3618093452</v>
      </c>
      <c r="R4199" s="15">
        <f>IF(D4199=1,"Section 1","Control")</f>
        <v/>
      </c>
      <c r="S4199" s="16">
        <f>N4199/10000</f>
        <v/>
      </c>
      <c r="T4199" s="16">
        <f>P4199/10000</f>
        <v/>
      </c>
      <c r="U4199" s="15">
        <f>IF(N4199&gt;=Summary!$D$3,1,0)</f>
        <v/>
      </c>
      <c r="V4199" s="17">
        <f>IF(N4199&gt;0,P4199/N4199,"")</f>
        <v/>
      </c>
      <c r="W4199" s="17">
        <f>IF(O4199&gt;0,H4199/O4199,"")</f>
        <v/>
      </c>
    </row>
    <row r="4200">
      <c r="A4200" s="13" t="inlineStr">
        <is>
          <t>CW59_F</t>
        </is>
      </c>
      <c r="B4200" s="13" t="inlineStr">
        <is>
          <t>CW59</t>
        </is>
      </c>
      <c r="C4200" s="13" t="inlineStr">
        <is>
          <t>F</t>
        </is>
      </c>
      <c r="D4200" s="13" t="n">
        <v>0</v>
      </c>
      <c r="E4200" s="13" t="inlineStr">
        <is>
          <t>W</t>
        </is>
      </c>
      <c r="F4200" s="13" t="n">
        <v>2025</v>
      </c>
      <c r="G4200" s="14" t="n">
        <v>69335.74625016755</v>
      </c>
      <c r="H4200" s="14" t="n">
        <v>25512.20262690525</v>
      </c>
      <c r="I4200" s="14" t="n">
        <v>1621.832327479942</v>
      </c>
      <c r="J4200" s="14" t="n">
        <v>0</v>
      </c>
      <c r="K4200" s="14" t="n">
        <v>42201.71129578235</v>
      </c>
      <c r="L4200" s="14" t="n">
        <v>0</v>
      </c>
      <c r="M4200" s="14" t="n">
        <v>0</v>
      </c>
      <c r="N4200" s="14" t="n">
        <v>41213.27380236455</v>
      </c>
      <c r="O4200" s="14" t="n">
        <v>69335.74625016755</v>
      </c>
      <c r="P4200" s="14" t="n">
        <v>15799.79815757602</v>
      </c>
      <c r="Q4200" s="14" t="n">
        <v>738176.3618093452</v>
      </c>
      <c r="R4200" s="15">
        <f>IF(D4200=1,"Section 1","Control")</f>
        <v/>
      </c>
      <c r="S4200" s="16">
        <f>N4200/10000</f>
        <v/>
      </c>
      <c r="T4200" s="16">
        <f>P4200/10000</f>
        <v/>
      </c>
      <c r="U4200" s="15">
        <f>IF(N4200&gt;=Summary!$D$3,1,0)</f>
        <v/>
      </c>
      <c r="V4200" s="17">
        <f>IF(N4200&gt;0,P4200/N4200,"")</f>
        <v/>
      </c>
      <c r="W4200" s="17">
        <f>IF(O4200&gt;0,H4200/O4200,"")</f>
        <v/>
      </c>
    </row>
    <row r="4201">
      <c r="A4201" s="13" t="inlineStr">
        <is>
          <t>CW59_F</t>
        </is>
      </c>
      <c r="B4201" s="13" t="inlineStr">
        <is>
          <t>CW59</t>
        </is>
      </c>
      <c r="C4201" s="13" t="inlineStr">
        <is>
          <t>F</t>
        </is>
      </c>
      <c r="D4201" s="13" t="n">
        <v>0</v>
      </c>
      <c r="E4201" s="13" t="inlineStr">
        <is>
          <t>W</t>
        </is>
      </c>
      <c r="F4201" s="13" t="n">
        <v>2026</v>
      </c>
      <c r="G4201" s="14" t="n">
        <v>69335.74625016755</v>
      </c>
      <c r="H4201" s="14" t="n">
        <v>24166.03113950841</v>
      </c>
      <c r="I4201" s="14" t="n">
        <v>1564.532335947074</v>
      </c>
      <c r="J4201" s="14" t="n">
        <v>0</v>
      </c>
      <c r="K4201" s="14" t="n">
        <v>43605.18277471206</v>
      </c>
      <c r="L4201" s="14" t="n">
        <v>0</v>
      </c>
      <c r="M4201" s="14" t="n">
        <v>0</v>
      </c>
      <c r="N4201" s="14" t="n">
        <v>41213.27380236455</v>
      </c>
      <c r="O4201" s="14" t="n">
        <v>69335.74625016755</v>
      </c>
      <c r="P4201" s="14" t="n">
        <v>17186.62193576588</v>
      </c>
      <c r="Q4201" s="14" t="n">
        <v>738176.3618093452</v>
      </c>
      <c r="R4201" s="15">
        <f>IF(D4201=1,"Section 1","Control")</f>
        <v/>
      </c>
      <c r="S4201" s="16">
        <f>N4201/10000</f>
        <v/>
      </c>
      <c r="T4201" s="16">
        <f>P4201/10000</f>
        <v/>
      </c>
      <c r="U4201" s="15">
        <f>IF(N4201&gt;=Summary!$D$3,1,0)</f>
        <v/>
      </c>
      <c r="V4201" s="17">
        <f>IF(N4201&gt;0,P4201/N4201,"")</f>
        <v/>
      </c>
      <c r="W4201" s="17">
        <f>IF(O4201&gt;0,H4201/O4201,"")</f>
        <v/>
      </c>
    </row>
    <row r="4202">
      <c r="A4202" s="13" t="inlineStr">
        <is>
          <t>CW60_B1</t>
        </is>
      </c>
      <c r="B4202" s="13" t="inlineStr">
        <is>
          <t>CW60</t>
        </is>
      </c>
      <c r="C4202" s="13" t="inlineStr">
        <is>
          <t>B1</t>
        </is>
      </c>
      <c r="D4202" s="13" t="n">
        <v>0</v>
      </c>
      <c r="E4202" s="13" t="inlineStr">
        <is>
          <t>W</t>
        </is>
      </c>
      <c r="F4202" s="13" t="n">
        <v>2020</v>
      </c>
      <c r="G4202" s="14" t="n">
        <v>1026408.614865352</v>
      </c>
      <c r="H4202" s="14" t="n">
        <v>134735.9513803819</v>
      </c>
      <c r="I4202" s="14" t="n">
        <v>205617.6922670252</v>
      </c>
      <c r="J4202" s="14" t="n">
        <v>0</v>
      </c>
      <c r="K4202" s="14" t="n">
        <v>123848.5477394553</v>
      </c>
      <c r="L4202" s="14" t="n">
        <v>562206.4234784892</v>
      </c>
      <c r="M4202" s="14" t="n">
        <v>0</v>
      </c>
      <c r="N4202" s="14" t="n">
        <v>134735.9513803819</v>
      </c>
      <c r="O4202" s="14" t="n">
        <v>464202.1913868624</v>
      </c>
      <c r="P4202" s="14" t="n">
        <v>0</v>
      </c>
      <c r="Q4202" s="14" t="n">
        <v>2775024.581355585</v>
      </c>
      <c r="R4202" s="15">
        <f>IF(D4202=1,"Section 1","Control")</f>
        <v/>
      </c>
      <c r="S4202" s="16">
        <f>N4202/10000</f>
        <v/>
      </c>
      <c r="T4202" s="16">
        <f>P4202/10000</f>
        <v/>
      </c>
      <c r="U4202" s="15">
        <f>IF(N4202&gt;=Summary!$D$3,1,0)</f>
        <v/>
      </c>
      <c r="V4202" s="17">
        <f>IF(N4202&gt;0,P4202/N4202,"")</f>
        <v/>
      </c>
      <c r="W4202" s="17">
        <f>IF(O4202&gt;0,H4202/O4202,"")</f>
        <v/>
      </c>
    </row>
    <row r="4203">
      <c r="A4203" s="13" t="inlineStr">
        <is>
          <t>CW60_B1</t>
        </is>
      </c>
      <c r="B4203" s="13" t="inlineStr">
        <is>
          <t>CW60</t>
        </is>
      </c>
      <c r="C4203" s="13" t="inlineStr">
        <is>
          <t>B1</t>
        </is>
      </c>
      <c r="D4203" s="13" t="n">
        <v>0</v>
      </c>
      <c r="E4203" s="13" t="inlineStr">
        <is>
          <t>W</t>
        </is>
      </c>
      <c r="F4203" s="13" t="n">
        <v>2021</v>
      </c>
      <c r="G4203" s="14" t="n">
        <v>1026408.614865352</v>
      </c>
      <c r="H4203" s="14" t="n">
        <v>123777.2776361802</v>
      </c>
      <c r="I4203" s="14" t="n">
        <v>205931.2768909529</v>
      </c>
      <c r="J4203" s="14" t="n">
        <v>0</v>
      </c>
      <c r="K4203" s="14" t="n">
        <v>116792.5161403282</v>
      </c>
      <c r="L4203" s="14" t="n">
        <v>579907.5441978902</v>
      </c>
      <c r="M4203" s="14" t="n">
        <v>0</v>
      </c>
      <c r="N4203" s="14" t="n">
        <v>134735.9513803819</v>
      </c>
      <c r="O4203" s="14" t="n">
        <v>464202.1913868624</v>
      </c>
      <c r="P4203" s="14" t="n">
        <v>13328.11429595947</v>
      </c>
      <c r="Q4203" s="14" t="n">
        <v>2775024.581355585</v>
      </c>
      <c r="R4203" s="15">
        <f>IF(D4203=1,"Section 1","Control")</f>
        <v/>
      </c>
      <c r="S4203" s="16">
        <f>N4203/10000</f>
        <v/>
      </c>
      <c r="T4203" s="16">
        <f>P4203/10000</f>
        <v/>
      </c>
      <c r="U4203" s="15">
        <f>IF(N4203&gt;=Summary!$D$3,1,0)</f>
        <v/>
      </c>
      <c r="V4203" s="17">
        <f>IF(N4203&gt;0,P4203/N4203,"")</f>
        <v/>
      </c>
      <c r="W4203" s="17">
        <f>IF(O4203&gt;0,H4203/O4203,"")</f>
        <v/>
      </c>
    </row>
    <row r="4204">
      <c r="A4204" s="13" t="inlineStr">
        <is>
          <t>CW60_B1</t>
        </is>
      </c>
      <c r="B4204" s="13" t="inlineStr">
        <is>
          <t>CW60</t>
        </is>
      </c>
      <c r="C4204" s="13" t="inlineStr">
        <is>
          <t>B1</t>
        </is>
      </c>
      <c r="D4204" s="13" t="n">
        <v>0</v>
      </c>
      <c r="E4204" s="13" t="inlineStr">
        <is>
          <t>W</t>
        </is>
      </c>
      <c r="F4204" s="13" t="n">
        <v>2022</v>
      </c>
      <c r="G4204" s="14" t="n">
        <v>1026408.614865352</v>
      </c>
      <c r="H4204" s="14" t="n">
        <v>112562.695831628</v>
      </c>
      <c r="I4204" s="14" t="n">
        <v>218133.2088837269</v>
      </c>
      <c r="J4204" s="14" t="n">
        <v>0</v>
      </c>
      <c r="K4204" s="14" t="n">
        <v>155513.4744415283</v>
      </c>
      <c r="L4204" s="14" t="n">
        <v>540199.2357084684</v>
      </c>
      <c r="M4204" s="14" t="n">
        <v>0</v>
      </c>
      <c r="N4204" s="14" t="n">
        <v>134735.9513803819</v>
      </c>
      <c r="O4204" s="14" t="n">
        <v>464202.1913868624</v>
      </c>
      <c r="P4204" s="14" t="n">
        <v>27208.31248692531</v>
      </c>
      <c r="Q4204" s="14" t="n">
        <v>2775024.581355585</v>
      </c>
      <c r="R4204" s="15">
        <f>IF(D4204=1,"Section 1","Control")</f>
        <v/>
      </c>
      <c r="S4204" s="16">
        <f>N4204/10000</f>
        <v/>
      </c>
      <c r="T4204" s="16">
        <f>P4204/10000</f>
        <v/>
      </c>
      <c r="U4204" s="15">
        <f>IF(N4204&gt;=Summary!$D$3,1,0)</f>
        <v/>
      </c>
      <c r="V4204" s="17">
        <f>IF(N4204&gt;0,P4204/N4204,"")</f>
        <v/>
      </c>
      <c r="W4204" s="17">
        <f>IF(O4204&gt;0,H4204/O4204,"")</f>
        <v/>
      </c>
    </row>
    <row r="4205">
      <c r="A4205" s="13" t="inlineStr">
        <is>
          <t>CW60_B1</t>
        </is>
      </c>
      <c r="B4205" s="13" t="inlineStr">
        <is>
          <t>CW60</t>
        </is>
      </c>
      <c r="C4205" s="13" t="inlineStr">
        <is>
          <t>B1</t>
        </is>
      </c>
      <c r="D4205" s="13" t="n">
        <v>0</v>
      </c>
      <c r="E4205" s="13" t="inlineStr">
        <is>
          <t>W</t>
        </is>
      </c>
      <c r="F4205" s="13" t="n">
        <v>2023</v>
      </c>
      <c r="G4205" s="14" t="n">
        <v>1026408.614865352</v>
      </c>
      <c r="H4205" s="14" t="n">
        <v>108514.8995135738</v>
      </c>
      <c r="I4205" s="14" t="n">
        <v>197405.0878454769</v>
      </c>
      <c r="J4205" s="14" t="n">
        <v>0</v>
      </c>
      <c r="K4205" s="14" t="n">
        <v>134908.287681789</v>
      </c>
      <c r="L4205" s="14" t="n">
        <v>585580.3398245119</v>
      </c>
      <c r="M4205" s="14" t="n">
        <v>0</v>
      </c>
      <c r="N4205" s="14" t="n">
        <v>134735.9513803819</v>
      </c>
      <c r="O4205" s="14" t="n">
        <v>464202.1913868624</v>
      </c>
      <c r="P4205" s="14" t="n">
        <v>33625.548403063</v>
      </c>
      <c r="Q4205" s="14" t="n">
        <v>2775024.581355585</v>
      </c>
      <c r="R4205" s="15">
        <f>IF(D4205=1,"Section 1","Control")</f>
        <v/>
      </c>
      <c r="S4205" s="16">
        <f>N4205/10000</f>
        <v/>
      </c>
      <c r="T4205" s="16">
        <f>P4205/10000</f>
        <v/>
      </c>
      <c r="U4205" s="15">
        <f>IF(N4205&gt;=Summary!$D$3,1,0)</f>
        <v/>
      </c>
      <c r="V4205" s="17">
        <f>IF(N4205&gt;0,P4205/N4205,"")</f>
        <v/>
      </c>
      <c r="W4205" s="17">
        <f>IF(O4205&gt;0,H4205/O4205,"")</f>
        <v/>
      </c>
    </row>
    <row r="4206">
      <c r="A4206" s="13" t="inlineStr">
        <is>
          <t>CW60_B1</t>
        </is>
      </c>
      <c r="B4206" s="13" t="inlineStr">
        <is>
          <t>CW60</t>
        </is>
      </c>
      <c r="C4206" s="13" t="inlineStr">
        <is>
          <t>B1</t>
        </is>
      </c>
      <c r="D4206" s="13" t="n">
        <v>0</v>
      </c>
      <c r="E4206" s="13" t="inlineStr">
        <is>
          <t>W</t>
        </is>
      </c>
      <c r="F4206" s="13" t="n">
        <v>2024</v>
      </c>
      <c r="G4206" s="14" t="n">
        <v>1026408.614865352</v>
      </c>
      <c r="H4206" s="14" t="n">
        <v>121028.0222189212</v>
      </c>
      <c r="I4206" s="14" t="n">
        <v>191209.7283686619</v>
      </c>
      <c r="J4206" s="14" t="n">
        <v>0</v>
      </c>
      <c r="K4206" s="14" t="n">
        <v>137378.4003146602</v>
      </c>
      <c r="L4206" s="14" t="n">
        <v>576792.4639631083</v>
      </c>
      <c r="M4206" s="14" t="n">
        <v>0</v>
      </c>
      <c r="N4206" s="14" t="n">
        <v>134735.9513803819</v>
      </c>
      <c r="O4206" s="14" t="n">
        <v>464202.1913868624</v>
      </c>
      <c r="P4206" s="14" t="n">
        <v>25628.68796757717</v>
      </c>
      <c r="Q4206" s="14" t="n">
        <v>2775024.581355585</v>
      </c>
      <c r="R4206" s="15">
        <f>IF(D4206=1,"Section 1","Control")</f>
        <v/>
      </c>
      <c r="S4206" s="16">
        <f>N4206/10000</f>
        <v/>
      </c>
      <c r="T4206" s="16">
        <f>P4206/10000</f>
        <v/>
      </c>
      <c r="U4206" s="15">
        <f>IF(N4206&gt;=Summary!$D$3,1,0)</f>
        <v/>
      </c>
      <c r="V4206" s="17">
        <f>IF(N4206&gt;0,P4206/N4206,"")</f>
        <v/>
      </c>
      <c r="W4206" s="17">
        <f>IF(O4206&gt;0,H4206/O4206,"")</f>
        <v/>
      </c>
    </row>
    <row r="4207">
      <c r="A4207" s="13" t="inlineStr">
        <is>
          <t>CW60_B1</t>
        </is>
      </c>
      <c r="B4207" s="13" t="inlineStr">
        <is>
          <t>CW60</t>
        </is>
      </c>
      <c r="C4207" s="13" t="inlineStr">
        <is>
          <t>B1</t>
        </is>
      </c>
      <c r="D4207" s="13" t="n">
        <v>0</v>
      </c>
      <c r="E4207" s="13" t="inlineStr">
        <is>
          <t>W</t>
        </is>
      </c>
      <c r="F4207" s="13" t="n">
        <v>2025</v>
      </c>
      <c r="G4207" s="14" t="n">
        <v>1026408.614865352</v>
      </c>
      <c r="H4207" s="14" t="n">
        <v>116217.5147283517</v>
      </c>
      <c r="I4207" s="14" t="n">
        <v>184960.8533902038</v>
      </c>
      <c r="J4207" s="14" t="n">
        <v>0</v>
      </c>
      <c r="K4207" s="14" t="n">
        <v>138117.4968808342</v>
      </c>
      <c r="L4207" s="14" t="n">
        <v>587112.749865962</v>
      </c>
      <c r="M4207" s="14" t="n">
        <v>0</v>
      </c>
      <c r="N4207" s="14" t="n">
        <v>134735.9513803819</v>
      </c>
      <c r="O4207" s="14" t="n">
        <v>464202.1913868624</v>
      </c>
      <c r="P4207" s="14" t="n">
        <v>30241.73985359341</v>
      </c>
      <c r="Q4207" s="14" t="n">
        <v>2775024.581355585</v>
      </c>
      <c r="R4207" s="15">
        <f>IF(D4207=1,"Section 1","Control")</f>
        <v/>
      </c>
      <c r="S4207" s="16">
        <f>N4207/10000</f>
        <v/>
      </c>
      <c r="T4207" s="16">
        <f>P4207/10000</f>
        <v/>
      </c>
      <c r="U4207" s="15">
        <f>IF(N4207&gt;=Summary!$D$3,1,0)</f>
        <v/>
      </c>
      <c r="V4207" s="17">
        <f>IF(N4207&gt;0,P4207/N4207,"")</f>
        <v/>
      </c>
      <c r="W4207" s="17">
        <f>IF(O4207&gt;0,H4207/O4207,"")</f>
        <v/>
      </c>
    </row>
    <row r="4208">
      <c r="A4208" s="13" t="inlineStr">
        <is>
          <t>CW60_B1</t>
        </is>
      </c>
      <c r="B4208" s="13" t="inlineStr">
        <is>
          <t>CW60</t>
        </is>
      </c>
      <c r="C4208" s="13" t="inlineStr">
        <is>
          <t>B1</t>
        </is>
      </c>
      <c r="D4208" s="13" t="n">
        <v>0</v>
      </c>
      <c r="E4208" s="13" t="inlineStr">
        <is>
          <t>W</t>
        </is>
      </c>
      <c r="F4208" s="13" t="n">
        <v>2026</v>
      </c>
      <c r="G4208" s="14" t="n">
        <v>1026408.614865352</v>
      </c>
      <c r="H4208" s="14" t="n">
        <v>116317.4042325787</v>
      </c>
      <c r="I4208" s="14" t="n">
        <v>185590.0179703357</v>
      </c>
      <c r="J4208" s="14" t="n">
        <v>0</v>
      </c>
      <c r="K4208" s="14" t="n">
        <v>134326.0209773643</v>
      </c>
      <c r="L4208" s="14" t="n">
        <v>590175.1716850728</v>
      </c>
      <c r="M4208" s="14" t="n">
        <v>0</v>
      </c>
      <c r="N4208" s="14" t="n">
        <v>134735.9513803819</v>
      </c>
      <c r="O4208" s="14" t="n">
        <v>464202.1913868624</v>
      </c>
      <c r="P4208" s="14" t="n">
        <v>30264.58215999229</v>
      </c>
      <c r="Q4208" s="14" t="n">
        <v>2775024.581355585</v>
      </c>
      <c r="R4208" s="15">
        <f>IF(D4208=1,"Section 1","Control")</f>
        <v/>
      </c>
      <c r="S4208" s="16">
        <f>N4208/10000</f>
        <v/>
      </c>
      <c r="T4208" s="16">
        <f>P4208/10000</f>
        <v/>
      </c>
      <c r="U4208" s="15">
        <f>IF(N4208&gt;=Summary!$D$3,1,0)</f>
        <v/>
      </c>
      <c r="V4208" s="17">
        <f>IF(N4208&gt;0,P4208/N4208,"")</f>
        <v/>
      </c>
      <c r="W4208" s="17">
        <f>IF(O4208&gt;0,H4208/O4208,"")</f>
        <v/>
      </c>
    </row>
    <row r="4209">
      <c r="A4209" s="13" t="inlineStr">
        <is>
          <t>CW60_B2</t>
        </is>
      </c>
      <c r="B4209" s="13" t="inlineStr">
        <is>
          <t>CW60</t>
        </is>
      </c>
      <c r="C4209" s="13" t="inlineStr">
        <is>
          <t>B2</t>
        </is>
      </c>
      <c r="D4209" s="13" t="n">
        <v>0</v>
      </c>
      <c r="E4209" s="13" t="inlineStr">
        <is>
          <t>W</t>
        </is>
      </c>
      <c r="F4209" s="13" t="n">
        <v>2020</v>
      </c>
      <c r="G4209" s="14" t="n">
        <v>1025929.299142905</v>
      </c>
      <c r="H4209" s="14" t="n">
        <v>3341.948768585803</v>
      </c>
      <c r="I4209" s="14" t="n">
        <v>1283.430061340332</v>
      </c>
      <c r="J4209" s="14" t="n">
        <v>0</v>
      </c>
      <c r="K4209" s="14" t="n">
        <v>20809.75291930556</v>
      </c>
      <c r="L4209" s="14" t="n">
        <v>1000494.167393673</v>
      </c>
      <c r="M4209" s="14" t="n">
        <v>0</v>
      </c>
      <c r="N4209" s="14" t="n">
        <v>3341.948768585803</v>
      </c>
      <c r="O4209" s="14" t="n">
        <v>25435.13174923171</v>
      </c>
      <c r="P4209" s="14" t="n">
        <v>0</v>
      </c>
      <c r="Q4209" s="14" t="n">
        <v>123165.4696861716</v>
      </c>
      <c r="R4209" s="15">
        <f>IF(D4209=1,"Section 1","Control")</f>
        <v/>
      </c>
      <c r="S4209" s="16">
        <f>N4209/10000</f>
        <v/>
      </c>
      <c r="T4209" s="16">
        <f>P4209/10000</f>
        <v/>
      </c>
      <c r="U4209" s="15">
        <f>IF(N4209&gt;=Summary!$D$3,1,0)</f>
        <v/>
      </c>
      <c r="V4209" s="17">
        <f>IF(N4209&gt;0,P4209/N4209,"")</f>
        <v/>
      </c>
      <c r="W4209" s="17">
        <f>IF(O4209&gt;0,H4209/O4209,"")</f>
        <v/>
      </c>
    </row>
    <row r="4210">
      <c r="A4210" s="13" t="inlineStr">
        <is>
          <t>CW60_B2</t>
        </is>
      </c>
      <c r="B4210" s="13" t="inlineStr">
        <is>
          <t>CW60</t>
        </is>
      </c>
      <c r="C4210" s="13" t="inlineStr">
        <is>
          <t>B2</t>
        </is>
      </c>
      <c r="D4210" s="13" t="n">
        <v>0</v>
      </c>
      <c r="E4210" s="13" t="inlineStr">
        <is>
          <t>W</t>
        </is>
      </c>
      <c r="F4210" s="13" t="n">
        <v>2021</v>
      </c>
      <c r="G4210" s="14" t="n">
        <v>1025929.299142905</v>
      </c>
      <c r="H4210" s="14" t="n">
        <v>3045.772750824573</v>
      </c>
      <c r="I4210" s="14" t="n">
        <v>1184.70450592041</v>
      </c>
      <c r="J4210" s="14" t="n">
        <v>0</v>
      </c>
      <c r="K4210" s="14" t="n">
        <v>20809.75274382949</v>
      </c>
      <c r="L4210" s="14" t="n">
        <v>1000889.06914233</v>
      </c>
      <c r="M4210" s="14" t="n">
        <v>0</v>
      </c>
      <c r="N4210" s="14" t="n">
        <v>3341.948768585803</v>
      </c>
      <c r="O4210" s="14" t="n">
        <v>25435.13174923171</v>
      </c>
      <c r="P4210" s="14" t="n">
        <v>296.1760177612305</v>
      </c>
      <c r="Q4210" s="14" t="n">
        <v>123165.4696861716</v>
      </c>
      <c r="R4210" s="15">
        <f>IF(D4210=1,"Section 1","Control")</f>
        <v/>
      </c>
      <c r="S4210" s="16">
        <f>N4210/10000</f>
        <v/>
      </c>
      <c r="T4210" s="16">
        <f>P4210/10000</f>
        <v/>
      </c>
      <c r="U4210" s="15">
        <f>IF(N4210&gt;=Summary!$D$3,1,0)</f>
        <v/>
      </c>
      <c r="V4210" s="17">
        <f>IF(N4210&gt;0,P4210/N4210,"")</f>
        <v/>
      </c>
      <c r="W4210" s="17">
        <f>IF(O4210&gt;0,H4210/O4210,"")</f>
        <v/>
      </c>
    </row>
    <row r="4211">
      <c r="A4211" s="13" t="inlineStr">
        <is>
          <t>CW60_B2</t>
        </is>
      </c>
      <c r="B4211" s="13" t="inlineStr">
        <is>
          <t>CW60</t>
        </is>
      </c>
      <c r="C4211" s="13" t="inlineStr">
        <is>
          <t>B2</t>
        </is>
      </c>
      <c r="D4211" s="13" t="n">
        <v>0</v>
      </c>
      <c r="E4211" s="13" t="inlineStr">
        <is>
          <t>W</t>
        </is>
      </c>
      <c r="F4211" s="13" t="n">
        <v>2022</v>
      </c>
      <c r="G4211" s="14" t="n">
        <v>1025929.299142905</v>
      </c>
      <c r="H4211" s="14" t="n">
        <v>1829.321706076229</v>
      </c>
      <c r="I4211" s="14" t="n">
        <v>2945.500556048225</v>
      </c>
      <c r="J4211" s="14" t="n">
        <v>0</v>
      </c>
      <c r="K4211" s="14" t="n">
        <v>22227.52538891963</v>
      </c>
      <c r="L4211" s="14" t="n">
        <v>998926.9514918604</v>
      </c>
      <c r="M4211" s="14" t="n">
        <v>0</v>
      </c>
      <c r="N4211" s="14" t="n">
        <v>3341.948768585803</v>
      </c>
      <c r="O4211" s="14" t="n">
        <v>25435.13174923171</v>
      </c>
      <c r="P4211" s="14" t="n">
        <v>1512.627062509574</v>
      </c>
      <c r="Q4211" s="14" t="n">
        <v>123165.4696861716</v>
      </c>
      <c r="R4211" s="15">
        <f>IF(D4211=1,"Section 1","Control")</f>
        <v/>
      </c>
      <c r="S4211" s="16">
        <f>N4211/10000</f>
        <v/>
      </c>
      <c r="T4211" s="16">
        <f>P4211/10000</f>
        <v/>
      </c>
      <c r="U4211" s="15">
        <f>IF(N4211&gt;=Summary!$D$3,1,0)</f>
        <v/>
      </c>
      <c r="V4211" s="17">
        <f>IF(N4211&gt;0,P4211/N4211,"")</f>
        <v/>
      </c>
      <c r="W4211" s="17">
        <f>IF(O4211&gt;0,H4211/O4211,"")</f>
        <v/>
      </c>
    </row>
    <row r="4212">
      <c r="A4212" s="13" t="inlineStr">
        <is>
          <t>CW60_B2</t>
        </is>
      </c>
      <c r="B4212" s="13" t="inlineStr">
        <is>
          <t>CW60</t>
        </is>
      </c>
      <c r="C4212" s="13" t="inlineStr">
        <is>
          <t>B2</t>
        </is>
      </c>
      <c r="D4212" s="13" t="n">
        <v>0</v>
      </c>
      <c r="E4212" s="13" t="inlineStr">
        <is>
          <t>W</t>
        </is>
      </c>
      <c r="F4212" s="13" t="n">
        <v>2023</v>
      </c>
      <c r="G4212" s="14" t="n">
        <v>1025929.299142905</v>
      </c>
      <c r="H4212" s="14" t="n">
        <v>1471.587628263586</v>
      </c>
      <c r="I4212" s="14" t="n">
        <v>2036.064476372214</v>
      </c>
      <c r="J4212" s="14" t="n">
        <v>0</v>
      </c>
      <c r="K4212" s="14" t="n">
        <v>21236.4016645544</v>
      </c>
      <c r="L4212" s="14" t="n">
        <v>1001185.245373714</v>
      </c>
      <c r="M4212" s="14" t="n">
        <v>0</v>
      </c>
      <c r="N4212" s="14" t="n">
        <v>3341.948768585803</v>
      </c>
      <c r="O4212" s="14" t="n">
        <v>25435.13174923171</v>
      </c>
      <c r="P4212" s="14" t="n">
        <v>1969.086398195753</v>
      </c>
      <c r="Q4212" s="14" t="n">
        <v>123165.4696861716</v>
      </c>
      <c r="R4212" s="15">
        <f>IF(D4212=1,"Section 1","Control")</f>
        <v/>
      </c>
      <c r="S4212" s="16">
        <f>N4212/10000</f>
        <v/>
      </c>
      <c r="T4212" s="16">
        <f>P4212/10000</f>
        <v/>
      </c>
      <c r="U4212" s="15">
        <f>IF(N4212&gt;=Summary!$D$3,1,0)</f>
        <v/>
      </c>
      <c r="V4212" s="17">
        <f>IF(N4212&gt;0,P4212/N4212,"")</f>
        <v/>
      </c>
      <c r="W4212" s="17">
        <f>IF(O4212&gt;0,H4212/O4212,"")</f>
        <v/>
      </c>
    </row>
    <row r="4213">
      <c r="A4213" s="13" t="inlineStr">
        <is>
          <t>CW60_B2</t>
        </is>
      </c>
      <c r="B4213" s="13" t="inlineStr">
        <is>
          <t>CW60</t>
        </is>
      </c>
      <c r="C4213" s="13" t="inlineStr">
        <is>
          <t>B2</t>
        </is>
      </c>
      <c r="D4213" s="13" t="n">
        <v>0</v>
      </c>
      <c r="E4213" s="13" t="inlineStr">
        <is>
          <t>W</t>
        </is>
      </c>
      <c r="F4213" s="13" t="n">
        <v>2024</v>
      </c>
      <c r="G4213" s="14" t="n">
        <v>1025929.299142905</v>
      </c>
      <c r="H4213" s="14" t="n">
        <v>2421.673260946835</v>
      </c>
      <c r="I4213" s="14" t="n">
        <v>2268.747974350873</v>
      </c>
      <c r="J4213" s="14" t="n">
        <v>0</v>
      </c>
      <c r="K4213" s="14" t="n">
        <v>20251.08329378018</v>
      </c>
      <c r="L4213" s="14" t="n">
        <v>1000987.794613827</v>
      </c>
      <c r="M4213" s="14" t="n">
        <v>0</v>
      </c>
      <c r="N4213" s="14" t="n">
        <v>3341.948768585803</v>
      </c>
      <c r="O4213" s="14" t="n">
        <v>25435.13174923171</v>
      </c>
      <c r="P4213" s="14" t="n">
        <v>1710.077799509086</v>
      </c>
      <c r="Q4213" s="14" t="n">
        <v>123165.4696861716</v>
      </c>
      <c r="R4213" s="15">
        <f>IF(D4213=1,"Section 1","Control")</f>
        <v/>
      </c>
      <c r="S4213" s="16">
        <f>N4213/10000</f>
        <v/>
      </c>
      <c r="T4213" s="16">
        <f>P4213/10000</f>
        <v/>
      </c>
      <c r="U4213" s="15">
        <f>IF(N4213&gt;=Summary!$D$3,1,0)</f>
        <v/>
      </c>
      <c r="V4213" s="17">
        <f>IF(N4213&gt;0,P4213/N4213,"")</f>
        <v/>
      </c>
      <c r="W4213" s="17">
        <f>IF(O4213&gt;0,H4213/O4213,"")</f>
        <v/>
      </c>
    </row>
    <row r="4214">
      <c r="A4214" s="13" t="inlineStr">
        <is>
          <t>CW60_B2</t>
        </is>
      </c>
      <c r="B4214" s="13" t="inlineStr">
        <is>
          <t>CW60</t>
        </is>
      </c>
      <c r="C4214" s="13" t="inlineStr">
        <is>
          <t>B2</t>
        </is>
      </c>
      <c r="D4214" s="13" t="n">
        <v>0</v>
      </c>
      <c r="E4214" s="13" t="inlineStr">
        <is>
          <t>W</t>
        </is>
      </c>
      <c r="F4214" s="13" t="n">
        <v>2025</v>
      </c>
      <c r="G4214" s="14" t="n">
        <v>1025929.299142905</v>
      </c>
      <c r="H4214" s="14" t="n">
        <v>1410.029690282485</v>
      </c>
      <c r="I4214" s="14" t="n">
        <v>2689.975220444623</v>
      </c>
      <c r="J4214" s="14" t="n">
        <v>0</v>
      </c>
      <c r="K4214" s="14" t="n">
        <v>20742.77441388301</v>
      </c>
      <c r="L4214" s="14" t="n">
        <v>1001086.519818294</v>
      </c>
      <c r="M4214" s="14" t="n">
        <v>0</v>
      </c>
      <c r="N4214" s="14" t="n">
        <v>3341.948768585803</v>
      </c>
      <c r="O4214" s="14" t="n">
        <v>25435.13174923171</v>
      </c>
      <c r="P4214" s="14" t="n">
        <v>2030.644336176853</v>
      </c>
      <c r="Q4214" s="14" t="n">
        <v>123165.4696861716</v>
      </c>
      <c r="R4214" s="15">
        <f>IF(D4214=1,"Section 1","Control")</f>
        <v/>
      </c>
      <c r="S4214" s="16">
        <f>N4214/10000</f>
        <v/>
      </c>
      <c r="T4214" s="16">
        <f>P4214/10000</f>
        <v/>
      </c>
      <c r="U4214" s="15">
        <f>IF(N4214&gt;=Summary!$D$3,1,0)</f>
        <v/>
      </c>
      <c r="V4214" s="17">
        <f>IF(N4214&gt;0,P4214/N4214,"")</f>
        <v/>
      </c>
      <c r="W4214" s="17">
        <f>IF(O4214&gt;0,H4214/O4214,"")</f>
        <v/>
      </c>
    </row>
    <row r="4215">
      <c r="A4215" s="13" t="inlineStr">
        <is>
          <t>CW60_B2</t>
        </is>
      </c>
      <c r="B4215" s="13" t="inlineStr">
        <is>
          <t>CW60</t>
        </is>
      </c>
      <c r="C4215" s="13" t="inlineStr">
        <is>
          <t>B2</t>
        </is>
      </c>
      <c r="D4215" s="13" t="n">
        <v>0</v>
      </c>
      <c r="E4215" s="13" t="inlineStr">
        <is>
          <t>W</t>
        </is>
      </c>
      <c r="F4215" s="13" t="n">
        <v>2026</v>
      </c>
      <c r="G4215" s="14" t="n">
        <v>1025929.299142905</v>
      </c>
      <c r="H4215" s="14" t="n">
        <v>2520.398625631893</v>
      </c>
      <c r="I4215" s="14" t="n">
        <v>1926.112040052227</v>
      </c>
      <c r="J4215" s="14" t="n">
        <v>0</v>
      </c>
      <c r="K4215" s="14" t="n">
        <v>19631.24354780611</v>
      </c>
      <c r="L4215" s="14" t="n">
        <v>1001851.544929414</v>
      </c>
      <c r="M4215" s="14" t="n">
        <v>0</v>
      </c>
      <c r="N4215" s="14" t="n">
        <v>3341.948768585803</v>
      </c>
      <c r="O4215" s="14" t="n">
        <v>25435.13174923171</v>
      </c>
      <c r="P4215" s="14" t="n">
        <v>1611.352404306449</v>
      </c>
      <c r="Q4215" s="14" t="n">
        <v>123165.4696861716</v>
      </c>
      <c r="R4215" s="15">
        <f>IF(D4215=1,"Section 1","Control")</f>
        <v/>
      </c>
      <c r="S4215" s="16">
        <f>N4215/10000</f>
        <v/>
      </c>
      <c r="T4215" s="16">
        <f>P4215/10000</f>
        <v/>
      </c>
      <c r="U4215" s="15">
        <f>IF(N4215&gt;=Summary!$D$3,1,0)</f>
        <v/>
      </c>
      <c r="V4215" s="17">
        <f>IF(N4215&gt;0,P4215/N4215,"")</f>
        <v/>
      </c>
      <c r="W4215" s="17">
        <f>IF(O4215&gt;0,H4215/O4215,"")</f>
        <v/>
      </c>
    </row>
    <row r="4216">
      <c r="A4216" s="13" t="inlineStr">
        <is>
          <t>CW60_B3</t>
        </is>
      </c>
      <c r="B4216" s="13" t="inlineStr">
        <is>
          <t>CW60</t>
        </is>
      </c>
      <c r="C4216" s="13" t="inlineStr">
        <is>
          <t>B3</t>
        </is>
      </c>
      <c r="D4216" s="13" t="n">
        <v>0</v>
      </c>
      <c r="E4216" s="13" t="inlineStr">
        <is>
          <t>W</t>
        </is>
      </c>
      <c r="F4216" s="13" t="n">
        <v>2020</v>
      </c>
      <c r="G4216" s="14" t="n">
        <v>8209003.706876807</v>
      </c>
      <c r="H4216" s="14" t="n">
        <v>2085375.47732149</v>
      </c>
      <c r="I4216" s="14" t="n">
        <v>251270.1158680037</v>
      </c>
      <c r="J4216" s="14" t="n">
        <v>0</v>
      </c>
      <c r="K4216" s="14" t="n">
        <v>1105497.986862302</v>
      </c>
      <c r="L4216" s="14" t="n">
        <v>4766860.126825012</v>
      </c>
      <c r="M4216" s="14" t="n">
        <v>0</v>
      </c>
      <c r="N4216" s="14" t="n">
        <v>2085375.47732149</v>
      </c>
      <c r="O4216" s="14" t="n">
        <v>3442143.580051796</v>
      </c>
      <c r="P4216" s="14" t="n">
        <v>0</v>
      </c>
      <c r="Q4216" s="14" t="n">
        <v>16681398.60230411</v>
      </c>
      <c r="R4216" s="15">
        <f>IF(D4216=1,"Section 1","Control")</f>
        <v/>
      </c>
      <c r="S4216" s="16">
        <f>N4216/10000</f>
        <v/>
      </c>
      <c r="T4216" s="16">
        <f>P4216/10000</f>
        <v/>
      </c>
      <c r="U4216" s="15">
        <f>IF(N4216&gt;=Summary!$D$3,1,0)</f>
        <v/>
      </c>
      <c r="V4216" s="17">
        <f>IF(N4216&gt;0,P4216/N4216,"")</f>
        <v/>
      </c>
      <c r="W4216" s="17">
        <f>IF(O4216&gt;0,H4216/O4216,"")</f>
        <v/>
      </c>
    </row>
    <row r="4217">
      <c r="A4217" s="13" t="inlineStr">
        <is>
          <t>CW60_B3</t>
        </is>
      </c>
      <c r="B4217" s="13" t="inlineStr">
        <is>
          <t>CW60</t>
        </is>
      </c>
      <c r="C4217" s="13" t="inlineStr">
        <is>
          <t>B3</t>
        </is>
      </c>
      <c r="D4217" s="13" t="n">
        <v>0</v>
      </c>
      <c r="E4217" s="13" t="inlineStr">
        <is>
          <t>W</t>
        </is>
      </c>
      <c r="F4217" s="13" t="n">
        <v>2021</v>
      </c>
      <c r="G4217" s="14" t="n">
        <v>8209003.706876807</v>
      </c>
      <c r="H4217" s="14" t="n">
        <v>1969191.465990552</v>
      </c>
      <c r="I4217" s="14" t="n">
        <v>288024.9561393588</v>
      </c>
      <c r="J4217" s="14" t="n">
        <v>0</v>
      </c>
      <c r="K4217" s="14" t="n">
        <v>1109790.438993028</v>
      </c>
      <c r="L4217" s="14" t="n">
        <v>4841996.845753868</v>
      </c>
      <c r="M4217" s="14" t="n">
        <v>0</v>
      </c>
      <c r="N4217" s="14" t="n">
        <v>2085375.47732149</v>
      </c>
      <c r="O4217" s="14" t="n">
        <v>3442143.580051796</v>
      </c>
      <c r="P4217" s="14" t="n">
        <v>154347.2200903799</v>
      </c>
      <c r="Q4217" s="14" t="n">
        <v>16681398.60230411</v>
      </c>
      <c r="R4217" s="15">
        <f>IF(D4217=1,"Section 1","Control")</f>
        <v/>
      </c>
      <c r="S4217" s="16">
        <f>N4217/10000</f>
        <v/>
      </c>
      <c r="T4217" s="16">
        <f>P4217/10000</f>
        <v/>
      </c>
      <c r="U4217" s="15">
        <f>IF(N4217&gt;=Summary!$D$3,1,0)</f>
        <v/>
      </c>
      <c r="V4217" s="17">
        <f>IF(N4217&gt;0,P4217/N4217,"")</f>
        <v/>
      </c>
      <c r="W4217" s="17">
        <f>IF(O4217&gt;0,H4217/O4217,"")</f>
        <v/>
      </c>
    </row>
    <row r="4218">
      <c r="A4218" s="13" t="inlineStr">
        <is>
          <t>CW60_B3</t>
        </is>
      </c>
      <c r="B4218" s="13" t="inlineStr">
        <is>
          <t>CW60</t>
        </is>
      </c>
      <c r="C4218" s="13" t="inlineStr">
        <is>
          <t>B3</t>
        </is>
      </c>
      <c r="D4218" s="13" t="n">
        <v>0</v>
      </c>
      <c r="E4218" s="13" t="inlineStr">
        <is>
          <t>W</t>
        </is>
      </c>
      <c r="F4218" s="13" t="n">
        <v>2022</v>
      </c>
      <c r="G4218" s="14" t="n">
        <v>8209003.706876807</v>
      </c>
      <c r="H4218" s="14" t="n">
        <v>1156373.006779929</v>
      </c>
      <c r="I4218" s="14" t="n">
        <v>355310.7174135096</v>
      </c>
      <c r="J4218" s="14" t="n">
        <v>0</v>
      </c>
      <c r="K4218" s="14" t="n">
        <v>2045437.533446488</v>
      </c>
      <c r="L4218" s="14" t="n">
        <v>4651882.449236882</v>
      </c>
      <c r="M4218" s="14" t="n">
        <v>0</v>
      </c>
      <c r="N4218" s="14" t="n">
        <v>2085375.47732149</v>
      </c>
      <c r="O4218" s="14" t="n">
        <v>3442143.580051796</v>
      </c>
      <c r="P4218" s="14" t="n">
        <v>948148.6063313204</v>
      </c>
      <c r="Q4218" s="14" t="n">
        <v>16681398.60230411</v>
      </c>
      <c r="R4218" s="15">
        <f>IF(D4218=1,"Section 1","Control")</f>
        <v/>
      </c>
      <c r="S4218" s="16">
        <f>N4218/10000</f>
        <v/>
      </c>
      <c r="T4218" s="16">
        <f>P4218/10000</f>
        <v/>
      </c>
      <c r="U4218" s="15">
        <f>IF(N4218&gt;=Summary!$D$3,1,0)</f>
        <v/>
      </c>
      <c r="V4218" s="17">
        <f>IF(N4218&gt;0,P4218/N4218,"")</f>
        <v/>
      </c>
      <c r="W4218" s="17">
        <f>IF(O4218&gt;0,H4218/O4218,"")</f>
        <v/>
      </c>
    </row>
    <row r="4219">
      <c r="A4219" s="13" t="inlineStr">
        <is>
          <t>CW60_B3</t>
        </is>
      </c>
      <c r="B4219" s="13" t="inlineStr">
        <is>
          <t>CW60</t>
        </is>
      </c>
      <c r="C4219" s="13" t="inlineStr">
        <is>
          <t>B3</t>
        </is>
      </c>
      <c r="D4219" s="13" t="n">
        <v>0</v>
      </c>
      <c r="E4219" s="13" t="inlineStr">
        <is>
          <t>W</t>
        </is>
      </c>
      <c r="F4219" s="13" t="n">
        <v>2023</v>
      </c>
      <c r="G4219" s="14" t="n">
        <v>8209003.706876807</v>
      </c>
      <c r="H4219" s="14" t="n">
        <v>953740.33403811</v>
      </c>
      <c r="I4219" s="14" t="n">
        <v>335090.0961505665</v>
      </c>
      <c r="J4219" s="14" t="n">
        <v>0</v>
      </c>
      <c r="K4219" s="14" t="n">
        <v>2145652.613126269</v>
      </c>
      <c r="L4219" s="14" t="n">
        <v>4774520.663561863</v>
      </c>
      <c r="M4219" s="14" t="n">
        <v>0</v>
      </c>
      <c r="N4219" s="14" t="n">
        <v>2085375.47732149</v>
      </c>
      <c r="O4219" s="14" t="n">
        <v>3442143.580051796</v>
      </c>
      <c r="P4219" s="14" t="n">
        <v>1143575.467930513</v>
      </c>
      <c r="Q4219" s="14" t="n">
        <v>16681398.60230411</v>
      </c>
      <c r="R4219" s="15">
        <f>IF(D4219=1,"Section 1","Control")</f>
        <v/>
      </c>
      <c r="S4219" s="16">
        <f>N4219/10000</f>
        <v/>
      </c>
      <c r="T4219" s="16">
        <f>P4219/10000</f>
        <v/>
      </c>
      <c r="U4219" s="15">
        <f>IF(N4219&gt;=Summary!$D$3,1,0)</f>
        <v/>
      </c>
      <c r="V4219" s="17">
        <f>IF(N4219&gt;0,P4219/N4219,"")</f>
        <v/>
      </c>
      <c r="W4219" s="17">
        <f>IF(O4219&gt;0,H4219/O4219,"")</f>
        <v/>
      </c>
    </row>
    <row r="4220">
      <c r="A4220" s="13" t="inlineStr">
        <is>
          <t>CW60_B3</t>
        </is>
      </c>
      <c r="B4220" s="13" t="inlineStr">
        <is>
          <t>CW60</t>
        </is>
      </c>
      <c r="C4220" s="13" t="inlineStr">
        <is>
          <t>B3</t>
        </is>
      </c>
      <c r="D4220" s="13" t="n">
        <v>0</v>
      </c>
      <c r="E4220" s="13" t="inlineStr">
        <is>
          <t>W</t>
        </is>
      </c>
      <c r="F4220" s="13" t="n">
        <v>2024</v>
      </c>
      <c r="G4220" s="14" t="n">
        <v>8209003.706876807</v>
      </c>
      <c r="H4220" s="14" t="n">
        <v>928881.924697128</v>
      </c>
      <c r="I4220" s="14" t="n">
        <v>476010.2840668921</v>
      </c>
      <c r="J4220" s="14" t="n">
        <v>0</v>
      </c>
      <c r="K4220" s="14" t="n">
        <v>2078826.849905784</v>
      </c>
      <c r="L4220" s="14" t="n">
        <v>4725284.648207003</v>
      </c>
      <c r="M4220" s="14" t="n">
        <v>0</v>
      </c>
      <c r="N4220" s="14" t="n">
        <v>2085375.47732149</v>
      </c>
      <c r="O4220" s="14" t="n">
        <v>3442143.580051796</v>
      </c>
      <c r="P4220" s="14" t="n">
        <v>1187600.674069842</v>
      </c>
      <c r="Q4220" s="14" t="n">
        <v>16681398.60230411</v>
      </c>
      <c r="R4220" s="15">
        <f>IF(D4220=1,"Section 1","Control")</f>
        <v/>
      </c>
      <c r="S4220" s="16">
        <f>N4220/10000</f>
        <v/>
      </c>
      <c r="T4220" s="16">
        <f>P4220/10000</f>
        <v/>
      </c>
      <c r="U4220" s="15">
        <f>IF(N4220&gt;=Summary!$D$3,1,0)</f>
        <v/>
      </c>
      <c r="V4220" s="17">
        <f>IF(N4220&gt;0,P4220/N4220,"")</f>
        <v/>
      </c>
      <c r="W4220" s="17">
        <f>IF(O4220&gt;0,H4220/O4220,"")</f>
        <v/>
      </c>
    </row>
    <row r="4221">
      <c r="A4221" s="13" t="inlineStr">
        <is>
          <t>CW60_B3</t>
        </is>
      </c>
      <c r="B4221" s="13" t="inlineStr">
        <is>
          <t>CW60</t>
        </is>
      </c>
      <c r="C4221" s="13" t="inlineStr">
        <is>
          <t>B3</t>
        </is>
      </c>
      <c r="D4221" s="13" t="n">
        <v>0</v>
      </c>
      <c r="E4221" s="13" t="inlineStr">
        <is>
          <t>W</t>
        </is>
      </c>
      <c r="F4221" s="13" t="n">
        <v>2025</v>
      </c>
      <c r="G4221" s="14" t="n">
        <v>8209003.706876807</v>
      </c>
      <c r="H4221" s="14" t="n">
        <v>905120.3230825984</v>
      </c>
      <c r="I4221" s="14" t="n">
        <v>484271.0337798773</v>
      </c>
      <c r="J4221" s="14" t="n">
        <v>0</v>
      </c>
      <c r="K4221" s="14" t="n">
        <v>1962348.498582488</v>
      </c>
      <c r="L4221" s="14" t="n">
        <v>4857263.851431843</v>
      </c>
      <c r="M4221" s="14" t="n">
        <v>0</v>
      </c>
      <c r="N4221" s="14" t="n">
        <v>2085375.47732149</v>
      </c>
      <c r="O4221" s="14" t="n">
        <v>3442143.580051796</v>
      </c>
      <c r="P4221" s="14" t="n">
        <v>1205412.781465478</v>
      </c>
      <c r="Q4221" s="14" t="n">
        <v>16681398.60230411</v>
      </c>
      <c r="R4221" s="15">
        <f>IF(D4221=1,"Section 1","Control")</f>
        <v/>
      </c>
      <c r="S4221" s="16">
        <f>N4221/10000</f>
        <v/>
      </c>
      <c r="T4221" s="16">
        <f>P4221/10000</f>
        <v/>
      </c>
      <c r="U4221" s="15">
        <f>IF(N4221&gt;=Summary!$D$3,1,0)</f>
        <v/>
      </c>
      <c r="V4221" s="17">
        <f>IF(N4221&gt;0,P4221/N4221,"")</f>
        <v/>
      </c>
      <c r="W4221" s="17">
        <f>IF(O4221&gt;0,H4221/O4221,"")</f>
        <v/>
      </c>
    </row>
    <row r="4222">
      <c r="A4222" s="13" t="inlineStr">
        <is>
          <t>CW60_B3</t>
        </is>
      </c>
      <c r="B4222" s="13" t="inlineStr">
        <is>
          <t>CW60</t>
        </is>
      </c>
      <c r="C4222" s="13" t="inlineStr">
        <is>
          <t>B3</t>
        </is>
      </c>
      <c r="D4222" s="13" t="n">
        <v>0</v>
      </c>
      <c r="E4222" s="13" t="inlineStr">
        <is>
          <t>W</t>
        </is>
      </c>
      <c r="F4222" s="13" t="n">
        <v>2026</v>
      </c>
      <c r="G4222" s="14" t="n">
        <v>8209003.706876807</v>
      </c>
      <c r="H4222" s="14" t="n">
        <v>732965.0826868992</v>
      </c>
      <c r="I4222" s="14" t="n">
        <v>367566.2538184372</v>
      </c>
      <c r="J4222" s="14" t="n">
        <v>0</v>
      </c>
      <c r="K4222" s="14" t="n">
        <v>2240347.429752873</v>
      </c>
      <c r="L4222" s="14" t="n">
        <v>4868124.940618597</v>
      </c>
      <c r="M4222" s="14" t="n">
        <v>0</v>
      </c>
      <c r="N4222" s="14" t="n">
        <v>2085375.47732149</v>
      </c>
      <c r="O4222" s="14" t="n">
        <v>3442143.580051796</v>
      </c>
      <c r="P4222" s="14" t="n">
        <v>1372939.385625413</v>
      </c>
      <c r="Q4222" s="14" t="n">
        <v>16681398.60230411</v>
      </c>
      <c r="R4222" s="15">
        <f>IF(D4222=1,"Section 1","Control")</f>
        <v/>
      </c>
      <c r="S4222" s="16">
        <f>N4222/10000</f>
        <v/>
      </c>
      <c r="T4222" s="16">
        <f>P4222/10000</f>
        <v/>
      </c>
      <c r="U4222" s="15">
        <f>IF(N4222&gt;=Summary!$D$3,1,0)</f>
        <v/>
      </c>
      <c r="V4222" s="17">
        <f>IF(N4222&gt;0,P4222/N4222,"")</f>
        <v/>
      </c>
      <c r="W4222" s="17">
        <f>IF(O4222&gt;0,H4222/O4222,"")</f>
        <v/>
      </c>
    </row>
    <row r="4223">
      <c r="A4223" s="13" t="inlineStr">
        <is>
          <t>CW60_F</t>
        </is>
      </c>
      <c r="B4223" s="13" t="inlineStr">
        <is>
          <t>CW60</t>
        </is>
      </c>
      <c r="C4223" s="13" t="inlineStr">
        <is>
          <t>F</t>
        </is>
      </c>
      <c r="D4223" s="13" t="n">
        <v>0</v>
      </c>
      <c r="E4223" s="13" t="inlineStr">
        <is>
          <t>W</t>
        </is>
      </c>
      <c r="F4223" s="13" t="n">
        <v>2020</v>
      </c>
      <c r="G4223" s="14" t="n">
        <v>71031.15577880264</v>
      </c>
      <c r="H4223" s="14" t="n">
        <v>2356.670562474868</v>
      </c>
      <c r="I4223" s="14" t="n">
        <v>36687.33780430812</v>
      </c>
      <c r="J4223" s="14" t="n">
        <v>0</v>
      </c>
      <c r="K4223" s="14" t="n">
        <v>31987.14741201961</v>
      </c>
      <c r="L4223" s="14" t="n">
        <v>0</v>
      </c>
      <c r="M4223" s="14" t="n">
        <v>0</v>
      </c>
      <c r="N4223" s="14" t="n">
        <v>2356.670562474868</v>
      </c>
      <c r="O4223" s="14" t="n">
        <v>71031.15577880264</v>
      </c>
      <c r="P4223" s="14" t="n">
        <v>0</v>
      </c>
      <c r="Q4223" s="14" t="n">
        <v>529630.6806921271</v>
      </c>
      <c r="R4223" s="15">
        <f>IF(D4223=1,"Section 1","Control")</f>
        <v/>
      </c>
      <c r="S4223" s="16">
        <f>N4223/10000</f>
        <v/>
      </c>
      <c r="T4223" s="16">
        <f>P4223/10000</f>
        <v/>
      </c>
      <c r="U4223" s="15">
        <f>IF(N4223&gt;=Summary!$D$3,1,0)</f>
        <v/>
      </c>
      <c r="V4223" s="17">
        <f>IF(N4223&gt;0,P4223/N4223,"")</f>
        <v/>
      </c>
      <c r="W4223" s="17">
        <f>IF(O4223&gt;0,H4223/O4223,"")</f>
        <v/>
      </c>
    </row>
    <row r="4224">
      <c r="A4224" s="13" t="inlineStr">
        <is>
          <t>CW60_F</t>
        </is>
      </c>
      <c r="B4224" s="13" t="inlineStr">
        <is>
          <t>CW60</t>
        </is>
      </c>
      <c r="C4224" s="13" t="inlineStr">
        <is>
          <t>F</t>
        </is>
      </c>
      <c r="D4224" s="13" t="n">
        <v>0</v>
      </c>
      <c r="E4224" s="13" t="inlineStr">
        <is>
          <t>W</t>
        </is>
      </c>
      <c r="F4224" s="13" t="n">
        <v>2021</v>
      </c>
      <c r="G4224" s="14" t="n">
        <v>71031.15577880264</v>
      </c>
      <c r="H4224" s="14" t="n">
        <v>2455.397529332778</v>
      </c>
      <c r="I4224" s="14" t="n">
        <v>47187.62736547132</v>
      </c>
      <c r="J4224" s="14" t="n">
        <v>0</v>
      </c>
      <c r="K4224" s="14" t="n">
        <v>21388.13088399851</v>
      </c>
      <c r="L4224" s="14" t="n">
        <v>0</v>
      </c>
      <c r="M4224" s="14" t="n">
        <v>0</v>
      </c>
      <c r="N4224" s="14" t="n">
        <v>2356.670562474868</v>
      </c>
      <c r="O4224" s="14" t="n">
        <v>71031.15577880264</v>
      </c>
      <c r="P4224" s="14" t="n">
        <v>0</v>
      </c>
      <c r="Q4224" s="14" t="n">
        <v>529630.6806921271</v>
      </c>
      <c r="R4224" s="15">
        <f>IF(D4224=1,"Section 1","Control")</f>
        <v/>
      </c>
      <c r="S4224" s="16">
        <f>N4224/10000</f>
        <v/>
      </c>
      <c r="T4224" s="16">
        <f>P4224/10000</f>
        <v/>
      </c>
      <c r="U4224" s="15">
        <f>IF(N4224&gt;=Summary!$D$3,1,0)</f>
        <v/>
      </c>
      <c r="V4224" s="17">
        <f>IF(N4224&gt;0,P4224/N4224,"")</f>
        <v/>
      </c>
      <c r="W4224" s="17">
        <f>IF(O4224&gt;0,H4224/O4224,"")</f>
        <v/>
      </c>
    </row>
    <row r="4225">
      <c r="A4225" s="13" t="inlineStr">
        <is>
          <t>CW60_F</t>
        </is>
      </c>
      <c r="B4225" s="13" t="inlineStr">
        <is>
          <t>CW60</t>
        </is>
      </c>
      <c r="C4225" s="13" t="inlineStr">
        <is>
          <t>F</t>
        </is>
      </c>
      <c r="D4225" s="13" t="n">
        <v>0</v>
      </c>
      <c r="E4225" s="13" t="inlineStr">
        <is>
          <t>W</t>
        </is>
      </c>
      <c r="F4225" s="13" t="n">
        <v>2022</v>
      </c>
      <c r="G4225" s="14" t="n">
        <v>71031.15577880264</v>
      </c>
      <c r="H4225" s="14" t="n">
        <v>1443.349466331332</v>
      </c>
      <c r="I4225" s="14" t="n">
        <v>46112.08570520737</v>
      </c>
      <c r="J4225" s="14" t="n">
        <v>0</v>
      </c>
      <c r="K4225" s="14" t="n">
        <v>23475.72060726391</v>
      </c>
      <c r="L4225" s="14" t="n">
        <v>0</v>
      </c>
      <c r="M4225" s="14" t="n">
        <v>0</v>
      </c>
      <c r="N4225" s="14" t="n">
        <v>2356.670562474868</v>
      </c>
      <c r="O4225" s="14" t="n">
        <v>71031.15577880264</v>
      </c>
      <c r="P4225" s="14" t="n">
        <v>913.3210961435356</v>
      </c>
      <c r="Q4225" s="14" t="n">
        <v>529630.6806921271</v>
      </c>
      <c r="R4225" s="15">
        <f>IF(D4225=1,"Section 1","Control")</f>
        <v/>
      </c>
      <c r="S4225" s="16">
        <f>N4225/10000</f>
        <v/>
      </c>
      <c r="T4225" s="16">
        <f>P4225/10000</f>
        <v/>
      </c>
      <c r="U4225" s="15">
        <f>IF(N4225&gt;=Summary!$D$3,1,0)</f>
        <v/>
      </c>
      <c r="V4225" s="17">
        <f>IF(N4225&gt;0,P4225/N4225,"")</f>
        <v/>
      </c>
      <c r="W4225" s="17">
        <f>IF(O4225&gt;0,H4225/O4225,"")</f>
        <v/>
      </c>
    </row>
    <row r="4226">
      <c r="A4226" s="13" t="inlineStr">
        <is>
          <t>CW60_F</t>
        </is>
      </c>
      <c r="B4226" s="13" t="inlineStr">
        <is>
          <t>CW60</t>
        </is>
      </c>
      <c r="C4226" s="13" t="inlineStr">
        <is>
          <t>F</t>
        </is>
      </c>
      <c r="D4226" s="13" t="n">
        <v>0</v>
      </c>
      <c r="E4226" s="13" t="inlineStr">
        <is>
          <t>W</t>
        </is>
      </c>
      <c r="F4226" s="13" t="n">
        <v>2023</v>
      </c>
      <c r="G4226" s="14" t="n">
        <v>71031.15577880264</v>
      </c>
      <c r="H4226" s="14" t="n">
        <v>1245.895532615512</v>
      </c>
      <c r="I4226" s="14" t="n">
        <v>45558.82812045228</v>
      </c>
      <c r="J4226" s="14" t="n">
        <v>0</v>
      </c>
      <c r="K4226" s="14" t="n">
        <v>24226.43212573482</v>
      </c>
      <c r="L4226" s="14" t="n">
        <v>0</v>
      </c>
      <c r="M4226" s="14" t="n">
        <v>0</v>
      </c>
      <c r="N4226" s="14" t="n">
        <v>2356.670562474868</v>
      </c>
      <c r="O4226" s="14" t="n">
        <v>71031.15577880264</v>
      </c>
      <c r="P4226" s="14" t="n">
        <v>1110.775029859356</v>
      </c>
      <c r="Q4226" s="14" t="n">
        <v>529630.6806921271</v>
      </c>
      <c r="R4226" s="15">
        <f>IF(D4226=1,"Section 1","Control")</f>
        <v/>
      </c>
      <c r="S4226" s="16">
        <f>N4226/10000</f>
        <v/>
      </c>
      <c r="T4226" s="16">
        <f>P4226/10000</f>
        <v/>
      </c>
      <c r="U4226" s="15">
        <f>IF(N4226&gt;=Summary!$D$3,1,0)</f>
        <v/>
      </c>
      <c r="V4226" s="17">
        <f>IF(N4226&gt;0,P4226/N4226,"")</f>
        <v/>
      </c>
      <c r="W4226" s="17">
        <f>IF(O4226&gt;0,H4226/O4226,"")</f>
        <v/>
      </c>
    </row>
    <row r="4227">
      <c r="A4227" s="13" t="inlineStr">
        <is>
          <t>CW60_F</t>
        </is>
      </c>
      <c r="B4227" s="13" t="inlineStr">
        <is>
          <t>CW60</t>
        </is>
      </c>
      <c r="C4227" s="13" t="inlineStr">
        <is>
          <t>F</t>
        </is>
      </c>
      <c r="D4227" s="13" t="n">
        <v>0</v>
      </c>
      <c r="E4227" s="13" t="inlineStr">
        <is>
          <t>W</t>
        </is>
      </c>
      <c r="F4227" s="13" t="n">
        <v>2024</v>
      </c>
      <c r="G4227" s="14" t="n">
        <v>71031.15577880264</v>
      </c>
      <c r="H4227" s="14" t="n">
        <v>3244.82657769895</v>
      </c>
      <c r="I4227" s="14" t="n">
        <v>31436.99828108245</v>
      </c>
      <c r="J4227" s="14" t="n">
        <v>0</v>
      </c>
      <c r="K4227" s="14" t="n">
        <v>36349.3309200212</v>
      </c>
      <c r="L4227" s="14" t="n">
        <v>0</v>
      </c>
      <c r="M4227" s="14" t="n">
        <v>0</v>
      </c>
      <c r="N4227" s="14" t="n">
        <v>2356.670562474868</v>
      </c>
      <c r="O4227" s="14" t="n">
        <v>71031.15577880264</v>
      </c>
      <c r="P4227" s="14" t="n">
        <v>1012.048063001446</v>
      </c>
      <c r="Q4227" s="14" t="n">
        <v>529630.6806921271</v>
      </c>
      <c r="R4227" s="15">
        <f>IF(D4227=1,"Section 1","Control")</f>
        <v/>
      </c>
      <c r="S4227" s="16">
        <f>N4227/10000</f>
        <v/>
      </c>
      <c r="T4227" s="16">
        <f>P4227/10000</f>
        <v/>
      </c>
      <c r="U4227" s="15">
        <f>IF(N4227&gt;=Summary!$D$3,1,0)</f>
        <v/>
      </c>
      <c r="V4227" s="17">
        <f>IF(N4227&gt;0,P4227/N4227,"")</f>
        <v/>
      </c>
      <c r="W4227" s="17">
        <f>IF(O4227&gt;0,H4227/O4227,"")</f>
        <v/>
      </c>
    </row>
    <row r="4228">
      <c r="A4228" s="13" t="inlineStr">
        <is>
          <t>CW60_F</t>
        </is>
      </c>
      <c r="B4228" s="13" t="inlineStr">
        <is>
          <t>CW60</t>
        </is>
      </c>
      <c r="C4228" s="13" t="inlineStr">
        <is>
          <t>F</t>
        </is>
      </c>
      <c r="D4228" s="13" t="n">
        <v>0</v>
      </c>
      <c r="E4228" s="13" t="inlineStr">
        <is>
          <t>W</t>
        </is>
      </c>
      <c r="F4228" s="13" t="n">
        <v>2025</v>
      </c>
      <c r="G4228" s="14" t="n">
        <v>71031.15577880264</v>
      </c>
      <c r="H4228" s="14" t="n">
        <v>2455.010621583227</v>
      </c>
      <c r="I4228" s="14" t="n">
        <v>35465.44668617997</v>
      </c>
      <c r="J4228" s="14" t="n">
        <v>0</v>
      </c>
      <c r="K4228" s="14" t="n">
        <v>33110.69847103942</v>
      </c>
      <c r="L4228" s="14" t="n">
        <v>0</v>
      </c>
      <c r="M4228" s="14" t="n">
        <v>0</v>
      </c>
      <c r="N4228" s="14" t="n">
        <v>2356.670562474868</v>
      </c>
      <c r="O4228" s="14" t="n">
        <v>71031.15577880264</v>
      </c>
      <c r="P4228" s="14" t="n">
        <v>1012.048063001446</v>
      </c>
      <c r="Q4228" s="14" t="n">
        <v>529630.6806921271</v>
      </c>
      <c r="R4228" s="15">
        <f>IF(D4228=1,"Section 1","Control")</f>
        <v/>
      </c>
      <c r="S4228" s="16">
        <f>N4228/10000</f>
        <v/>
      </c>
      <c r="T4228" s="16">
        <f>P4228/10000</f>
        <v/>
      </c>
      <c r="U4228" s="15">
        <f>IF(N4228&gt;=Summary!$D$3,1,0)</f>
        <v/>
      </c>
      <c r="V4228" s="17">
        <f>IF(N4228&gt;0,P4228/N4228,"")</f>
        <v/>
      </c>
      <c r="W4228" s="17">
        <f>IF(O4228&gt;0,H4228/O4228,"")</f>
        <v/>
      </c>
    </row>
    <row r="4229">
      <c r="A4229" s="13" t="inlineStr">
        <is>
          <t>CW60_F</t>
        </is>
      </c>
      <c r="B4229" s="13" t="inlineStr">
        <is>
          <t>CW60</t>
        </is>
      </c>
      <c r="C4229" s="13" t="inlineStr">
        <is>
          <t>F</t>
        </is>
      </c>
      <c r="D4229" s="13" t="n">
        <v>0</v>
      </c>
      <c r="E4229" s="13" t="inlineStr">
        <is>
          <t>W</t>
        </is>
      </c>
      <c r="F4229" s="13" t="n">
        <v>2026</v>
      </c>
      <c r="G4229" s="14" t="n">
        <v>71031.15577880264</v>
      </c>
      <c r="H4229" s="14" t="n">
        <v>5588.720814544078</v>
      </c>
      <c r="I4229" s="14" t="n">
        <v>31723.11443771662</v>
      </c>
      <c r="J4229" s="14" t="n">
        <v>0</v>
      </c>
      <c r="K4229" s="14" t="n">
        <v>33719.32052654191</v>
      </c>
      <c r="L4229" s="14" t="n">
        <v>0</v>
      </c>
      <c r="M4229" s="14" t="n">
        <v>0</v>
      </c>
      <c r="N4229" s="14" t="n">
        <v>2356.670562474868</v>
      </c>
      <c r="O4229" s="14" t="n">
        <v>71031.15577880264</v>
      </c>
      <c r="P4229" s="14" t="n">
        <v>1209.501981458477</v>
      </c>
      <c r="Q4229" s="14" t="n">
        <v>529630.6806921271</v>
      </c>
      <c r="R4229" s="15">
        <f>IF(D4229=1,"Section 1","Control")</f>
        <v/>
      </c>
      <c r="S4229" s="16">
        <f>N4229/10000</f>
        <v/>
      </c>
      <c r="T4229" s="16">
        <f>P4229/10000</f>
        <v/>
      </c>
      <c r="U4229" s="15">
        <f>IF(N4229&gt;=Summary!$D$3,1,0)</f>
        <v/>
      </c>
      <c r="V4229" s="17">
        <f>IF(N4229&gt;0,P4229/N4229,"")</f>
        <v/>
      </c>
      <c r="W4229" s="17">
        <f>IF(O4229&gt;0,H4229/O4229,"")</f>
        <v/>
      </c>
    </row>
    <row r="4230">
      <c r="A4230" s="13" t="inlineStr">
        <is>
          <t>CW61_B1</t>
        </is>
      </c>
      <c r="B4230" s="13" t="inlineStr">
        <is>
          <t>CW61</t>
        </is>
      </c>
      <c r="C4230" s="13" t="inlineStr">
        <is>
          <t>B1</t>
        </is>
      </c>
      <c r="D4230" s="13" t="n">
        <v>0</v>
      </c>
      <c r="E4230" s="13" t="inlineStr">
        <is>
          <t>W</t>
        </is>
      </c>
      <c r="F4230" s="13" t="n">
        <v>2020</v>
      </c>
      <c r="G4230" s="14" t="n">
        <v>974742.1004982144</v>
      </c>
      <c r="H4230" s="14" t="n">
        <v>58702.47484322342</v>
      </c>
      <c r="I4230" s="14" t="n">
        <v>206357.488350842</v>
      </c>
      <c r="J4230" s="14" t="n">
        <v>0</v>
      </c>
      <c r="K4230" s="14" t="n">
        <v>142702.3615818697</v>
      </c>
      <c r="L4230" s="14" t="n">
        <v>566979.7757222792</v>
      </c>
      <c r="M4230" s="14" t="n">
        <v>0</v>
      </c>
      <c r="N4230" s="14" t="n">
        <v>58702.47484322342</v>
      </c>
      <c r="O4230" s="14" t="n">
        <v>407762.3247759352</v>
      </c>
      <c r="P4230" s="14" t="n">
        <v>0</v>
      </c>
      <c r="Q4230" s="14" t="n">
        <v>2657212.298193</v>
      </c>
      <c r="R4230" s="15">
        <f>IF(D4230=1,"Section 1","Control")</f>
        <v/>
      </c>
      <c r="S4230" s="16">
        <f>N4230/10000</f>
        <v/>
      </c>
      <c r="T4230" s="16">
        <f>P4230/10000</f>
        <v/>
      </c>
      <c r="U4230" s="15">
        <f>IF(N4230&gt;=Summary!$D$3,1,0)</f>
        <v/>
      </c>
      <c r="V4230" s="17">
        <f>IF(N4230&gt;0,P4230/N4230,"")</f>
        <v/>
      </c>
      <c r="W4230" s="17">
        <f>IF(O4230&gt;0,H4230/O4230,"")</f>
        <v/>
      </c>
    </row>
    <row r="4231">
      <c r="A4231" s="13" t="inlineStr">
        <is>
          <t>CW61_B1</t>
        </is>
      </c>
      <c r="B4231" s="13" t="inlineStr">
        <is>
          <t>CW61</t>
        </is>
      </c>
      <c r="C4231" s="13" t="inlineStr">
        <is>
          <t>B1</t>
        </is>
      </c>
      <c r="D4231" s="13" t="n">
        <v>0</v>
      </c>
      <c r="E4231" s="13" t="inlineStr">
        <is>
          <t>W</t>
        </is>
      </c>
      <c r="F4231" s="13" t="n">
        <v>2021</v>
      </c>
      <c r="G4231" s="14" t="n">
        <v>974742.1004982144</v>
      </c>
      <c r="H4231" s="14" t="n">
        <v>55592.38901474896</v>
      </c>
      <c r="I4231" s="14" t="n">
        <v>203627.2027703379</v>
      </c>
      <c r="J4231" s="14" t="n">
        <v>0</v>
      </c>
      <c r="K4231" s="14" t="n">
        <v>143114.310761994</v>
      </c>
      <c r="L4231" s="14" t="n">
        <v>572408.1979511335</v>
      </c>
      <c r="M4231" s="14" t="n">
        <v>0</v>
      </c>
      <c r="N4231" s="14" t="n">
        <v>58702.47484322342</v>
      </c>
      <c r="O4231" s="14" t="n">
        <v>407762.3247759351</v>
      </c>
      <c r="P4231" s="14" t="n">
        <v>4492.257756880218</v>
      </c>
      <c r="Q4231" s="14" t="n">
        <v>2657212.298193</v>
      </c>
      <c r="R4231" s="15">
        <f>IF(D4231=1,"Section 1","Control")</f>
        <v/>
      </c>
      <c r="S4231" s="16">
        <f>N4231/10000</f>
        <v/>
      </c>
      <c r="T4231" s="16">
        <f>P4231/10000</f>
        <v/>
      </c>
      <c r="U4231" s="15">
        <f>IF(N4231&gt;=Summary!$D$3,1,0)</f>
        <v/>
      </c>
      <c r="V4231" s="17">
        <f>IF(N4231&gt;0,P4231/N4231,"")</f>
        <v/>
      </c>
      <c r="W4231" s="17">
        <f>IF(O4231&gt;0,H4231/O4231,"")</f>
        <v/>
      </c>
    </row>
    <row r="4232">
      <c r="A4232" s="13" t="inlineStr">
        <is>
          <t>CW61_B1</t>
        </is>
      </c>
      <c r="B4232" s="13" t="inlineStr">
        <is>
          <t>CW61</t>
        </is>
      </c>
      <c r="C4232" s="13" t="inlineStr">
        <is>
          <t>B1</t>
        </is>
      </c>
      <c r="D4232" s="13" t="n">
        <v>0</v>
      </c>
      <c r="E4232" s="13" t="inlineStr">
        <is>
          <t>W</t>
        </is>
      </c>
      <c r="F4232" s="13" t="n">
        <v>2022</v>
      </c>
      <c r="G4232" s="14" t="n">
        <v>974742.1004982144</v>
      </c>
      <c r="H4232" s="14" t="n">
        <v>44816.08840287152</v>
      </c>
      <c r="I4232" s="14" t="n">
        <v>234651.5326891731</v>
      </c>
      <c r="J4232" s="14" t="n">
        <v>0</v>
      </c>
      <c r="K4232" s="14" t="n">
        <v>163877.4639012056</v>
      </c>
      <c r="L4232" s="14" t="n">
        <v>531397.0155049642</v>
      </c>
      <c r="M4232" s="14" t="n">
        <v>0</v>
      </c>
      <c r="N4232" s="14" t="n">
        <v>58702.47484322342</v>
      </c>
      <c r="O4232" s="14" t="n">
        <v>407762.3247759352</v>
      </c>
      <c r="P4232" s="14" t="n">
        <v>14478.74588401645</v>
      </c>
      <c r="Q4232" s="14" t="n">
        <v>2657212.298193</v>
      </c>
      <c r="R4232" s="15">
        <f>IF(D4232=1,"Section 1","Control")</f>
        <v/>
      </c>
      <c r="S4232" s="16">
        <f>N4232/10000</f>
        <v/>
      </c>
      <c r="T4232" s="16">
        <f>P4232/10000</f>
        <v/>
      </c>
      <c r="U4232" s="15">
        <f>IF(N4232&gt;=Summary!$D$3,1,0)</f>
        <v/>
      </c>
      <c r="V4232" s="17">
        <f>IF(N4232&gt;0,P4232/N4232,"")</f>
        <v/>
      </c>
      <c r="W4232" s="17">
        <f>IF(O4232&gt;0,H4232/O4232,"")</f>
        <v/>
      </c>
    </row>
    <row r="4233">
      <c r="A4233" s="13" t="inlineStr">
        <is>
          <t>CW61_B1</t>
        </is>
      </c>
      <c r="B4233" s="13" t="inlineStr">
        <is>
          <t>CW61</t>
        </is>
      </c>
      <c r="C4233" s="13" t="inlineStr">
        <is>
          <t>B1</t>
        </is>
      </c>
      <c r="D4233" s="13" t="n">
        <v>0</v>
      </c>
      <c r="E4233" s="13" t="inlineStr">
        <is>
          <t>W</t>
        </is>
      </c>
      <c r="F4233" s="13" t="n">
        <v>2023</v>
      </c>
      <c r="G4233" s="14" t="n">
        <v>974742.1004982144</v>
      </c>
      <c r="H4233" s="14" t="n">
        <v>42150.46643174115</v>
      </c>
      <c r="I4233" s="14" t="n">
        <v>211041.3332761577</v>
      </c>
      <c r="J4233" s="14" t="n">
        <v>0</v>
      </c>
      <c r="K4233" s="14" t="n">
        <v>148567.1109040204</v>
      </c>
      <c r="L4233" s="14" t="n">
        <v>572983.1898862951</v>
      </c>
      <c r="M4233" s="14" t="n">
        <v>0</v>
      </c>
      <c r="N4233" s="14" t="n">
        <v>58702.47484322342</v>
      </c>
      <c r="O4233" s="14" t="n">
        <v>407762.3247759352</v>
      </c>
      <c r="P4233" s="14" t="n">
        <v>19118.89952476352</v>
      </c>
      <c r="Q4233" s="14" t="n">
        <v>2657212.298193</v>
      </c>
      <c r="R4233" s="15">
        <f>IF(D4233=1,"Section 1","Control")</f>
        <v/>
      </c>
      <c r="S4233" s="16">
        <f>N4233/10000</f>
        <v/>
      </c>
      <c r="T4233" s="16">
        <f>P4233/10000</f>
        <v/>
      </c>
      <c r="U4233" s="15">
        <f>IF(N4233&gt;=Summary!$D$3,1,0)</f>
        <v/>
      </c>
      <c r="V4233" s="17">
        <f>IF(N4233&gt;0,P4233/N4233,"")</f>
        <v/>
      </c>
      <c r="W4233" s="17">
        <f>IF(O4233&gt;0,H4233/O4233,"")</f>
        <v/>
      </c>
    </row>
    <row r="4234">
      <c r="A4234" s="13" t="inlineStr">
        <is>
          <t>CW61_B1</t>
        </is>
      </c>
      <c r="B4234" s="13" t="inlineStr">
        <is>
          <t>CW61</t>
        </is>
      </c>
      <c r="C4234" s="13" t="inlineStr">
        <is>
          <t>B1</t>
        </is>
      </c>
      <c r="D4234" s="13" t="n">
        <v>0</v>
      </c>
      <c r="E4234" s="13" t="inlineStr">
        <is>
          <t>W</t>
        </is>
      </c>
      <c r="F4234" s="13" t="n">
        <v>2024</v>
      </c>
      <c r="G4234" s="14" t="n">
        <v>974742.1004982144</v>
      </c>
      <c r="H4234" s="14" t="n">
        <v>51628.22254288617</v>
      </c>
      <c r="I4234" s="14" t="n">
        <v>205448.3978738224</v>
      </c>
      <c r="J4234" s="14" t="n">
        <v>0</v>
      </c>
      <c r="K4234" s="14" t="n">
        <v>149808.3506352743</v>
      </c>
      <c r="L4234" s="14" t="n">
        <v>567857.1294462315</v>
      </c>
      <c r="M4234" s="14" t="n">
        <v>0</v>
      </c>
      <c r="N4234" s="14" t="n">
        <v>58702.47484322342</v>
      </c>
      <c r="O4234" s="14" t="n">
        <v>407762.3247759351</v>
      </c>
      <c r="P4234" s="14" t="n">
        <v>16749.46236808627</v>
      </c>
      <c r="Q4234" s="14" t="n">
        <v>2657212.298193</v>
      </c>
      <c r="R4234" s="15">
        <f>IF(D4234=1,"Section 1","Control")</f>
        <v/>
      </c>
      <c r="S4234" s="16">
        <f>N4234/10000</f>
        <v/>
      </c>
      <c r="T4234" s="16">
        <f>P4234/10000</f>
        <v/>
      </c>
      <c r="U4234" s="15">
        <f>IF(N4234&gt;=Summary!$D$3,1,0)</f>
        <v/>
      </c>
      <c r="V4234" s="17">
        <f>IF(N4234&gt;0,P4234/N4234,"")</f>
        <v/>
      </c>
      <c r="W4234" s="17">
        <f>IF(O4234&gt;0,H4234/O4234,"")</f>
        <v/>
      </c>
    </row>
    <row r="4235">
      <c r="A4235" s="13" t="inlineStr">
        <is>
          <t>CW61_B1</t>
        </is>
      </c>
      <c r="B4235" s="13" t="inlineStr">
        <is>
          <t>CW61</t>
        </is>
      </c>
      <c r="C4235" s="13" t="inlineStr">
        <is>
          <t>B1</t>
        </is>
      </c>
      <c r="D4235" s="13" t="n">
        <v>0</v>
      </c>
      <c r="E4235" s="13" t="inlineStr">
        <is>
          <t>W</t>
        </is>
      </c>
      <c r="F4235" s="13" t="n">
        <v>2025</v>
      </c>
      <c r="G4235" s="14" t="n">
        <v>974742.1004982144</v>
      </c>
      <c r="H4235" s="14" t="n">
        <v>51332.04259598676</v>
      </c>
      <c r="I4235" s="14" t="n">
        <v>202810.2502042284</v>
      </c>
      <c r="J4235" s="14" t="n">
        <v>0</v>
      </c>
      <c r="K4235" s="14" t="n">
        <v>150227.6543455535</v>
      </c>
      <c r="L4235" s="14" t="n">
        <v>570372.1533524457</v>
      </c>
      <c r="M4235" s="14" t="n">
        <v>0</v>
      </c>
      <c r="N4235" s="14" t="n">
        <v>58702.47484322342</v>
      </c>
      <c r="O4235" s="14" t="n">
        <v>407762.3247759352</v>
      </c>
      <c r="P4235" s="14" t="n">
        <v>16848.18881614535</v>
      </c>
      <c r="Q4235" s="14" t="n">
        <v>2657212.298193</v>
      </c>
      <c r="R4235" s="15">
        <f>IF(D4235=1,"Section 1","Control")</f>
        <v/>
      </c>
      <c r="S4235" s="16">
        <f>N4235/10000</f>
        <v/>
      </c>
      <c r="T4235" s="16">
        <f>P4235/10000</f>
        <v/>
      </c>
      <c r="U4235" s="15">
        <f>IF(N4235&gt;=Summary!$D$3,1,0)</f>
        <v/>
      </c>
      <c r="V4235" s="17">
        <f>IF(N4235&gt;0,P4235/N4235,"")</f>
        <v/>
      </c>
      <c r="W4235" s="17">
        <f>IF(O4235&gt;0,H4235/O4235,"")</f>
        <v/>
      </c>
    </row>
    <row r="4236">
      <c r="A4236" s="13" t="inlineStr">
        <is>
          <t>CW61_B1</t>
        </is>
      </c>
      <c r="B4236" s="13" t="inlineStr">
        <is>
          <t>CW61</t>
        </is>
      </c>
      <c r="C4236" s="13" t="inlineStr">
        <is>
          <t>B1</t>
        </is>
      </c>
      <c r="D4236" s="13" t="n">
        <v>0</v>
      </c>
      <c r="E4236" s="13" t="inlineStr">
        <is>
          <t>W</t>
        </is>
      </c>
      <c r="F4236" s="13" t="n">
        <v>2026</v>
      </c>
      <c r="G4236" s="14" t="n">
        <v>974742.1004982144</v>
      </c>
      <c r="H4236" s="14" t="n">
        <v>59328.90210068646</v>
      </c>
      <c r="I4236" s="14" t="n">
        <v>184787.3691068163</v>
      </c>
      <c r="J4236" s="14" t="n">
        <v>0</v>
      </c>
      <c r="K4236" s="14" t="n">
        <v>148287.9769374174</v>
      </c>
      <c r="L4236" s="14" t="n">
        <v>582337.8523532943</v>
      </c>
      <c r="M4236" s="14" t="n">
        <v>0</v>
      </c>
      <c r="N4236" s="14" t="n">
        <v>58702.47484322342</v>
      </c>
      <c r="O4236" s="14" t="n">
        <v>407762.3247759352</v>
      </c>
      <c r="P4236" s="14" t="n">
        <v>15663.46987541049</v>
      </c>
      <c r="Q4236" s="14" t="n">
        <v>2657212.298193</v>
      </c>
      <c r="R4236" s="15">
        <f>IF(D4236=1,"Section 1","Control")</f>
        <v/>
      </c>
      <c r="S4236" s="16">
        <f>N4236/10000</f>
        <v/>
      </c>
      <c r="T4236" s="16">
        <f>P4236/10000</f>
        <v/>
      </c>
      <c r="U4236" s="15">
        <f>IF(N4236&gt;=Summary!$D$3,1,0)</f>
        <v/>
      </c>
      <c r="V4236" s="17">
        <f>IF(N4236&gt;0,P4236/N4236,"")</f>
        <v/>
      </c>
      <c r="W4236" s="17">
        <f>IF(O4236&gt;0,H4236/O4236,"")</f>
        <v/>
      </c>
    </row>
    <row r="4237">
      <c r="A4237" s="13" t="inlineStr">
        <is>
          <t>CW61_B2</t>
        </is>
      </c>
      <c r="B4237" s="13" t="inlineStr">
        <is>
          <t>CW61</t>
        </is>
      </c>
      <c r="C4237" s="13" t="inlineStr">
        <is>
          <t>B2</t>
        </is>
      </c>
      <c r="D4237" s="13" t="n">
        <v>0</v>
      </c>
      <c r="E4237" s="13" t="inlineStr">
        <is>
          <t>W</t>
        </is>
      </c>
      <c r="F4237" s="13" t="n">
        <v>2020</v>
      </c>
      <c r="G4237" s="14" t="n">
        <v>974985.2373690442</v>
      </c>
      <c r="H4237" s="14" t="n">
        <v>66988.43543473788</v>
      </c>
      <c r="I4237" s="14" t="n">
        <v>8779.593888436111</v>
      </c>
      <c r="J4237" s="14" t="n">
        <v>0</v>
      </c>
      <c r="K4237" s="14" t="n">
        <v>213873.9885278737</v>
      </c>
      <c r="L4237" s="14" t="n">
        <v>685343.2195179958</v>
      </c>
      <c r="M4237" s="14" t="n">
        <v>0</v>
      </c>
      <c r="N4237" s="14" t="n">
        <v>66988.43543473788</v>
      </c>
      <c r="O4237" s="14" t="n">
        <v>289642.0178510479</v>
      </c>
      <c r="P4237" s="14" t="n">
        <v>0</v>
      </c>
      <c r="Q4237" s="14" t="n">
        <v>1688322.491671035</v>
      </c>
      <c r="R4237" s="15">
        <f>IF(D4237=1,"Section 1","Control")</f>
        <v/>
      </c>
      <c r="S4237" s="16">
        <f>N4237/10000</f>
        <v/>
      </c>
      <c r="T4237" s="16">
        <f>P4237/10000</f>
        <v/>
      </c>
      <c r="U4237" s="15">
        <f>IF(N4237&gt;=Summary!$D$3,1,0)</f>
        <v/>
      </c>
      <c r="V4237" s="17">
        <f>IF(N4237&gt;0,P4237/N4237,"")</f>
        <v/>
      </c>
      <c r="W4237" s="17">
        <f>IF(O4237&gt;0,H4237/O4237,"")</f>
        <v/>
      </c>
    </row>
    <row r="4238">
      <c r="A4238" s="13" t="inlineStr">
        <is>
          <t>CW61_B2</t>
        </is>
      </c>
      <c r="B4238" s="13" t="inlineStr">
        <is>
          <t>CW61</t>
        </is>
      </c>
      <c r="C4238" s="13" t="inlineStr">
        <is>
          <t>B2</t>
        </is>
      </c>
      <c r="D4238" s="13" t="n">
        <v>0</v>
      </c>
      <c r="E4238" s="13" t="inlineStr">
        <is>
          <t>W</t>
        </is>
      </c>
      <c r="F4238" s="13" t="n">
        <v>2021</v>
      </c>
      <c r="G4238" s="14" t="n">
        <v>974985.2373690442</v>
      </c>
      <c r="H4238" s="14" t="n">
        <v>65322.10531104595</v>
      </c>
      <c r="I4238" s="14" t="n">
        <v>10001.07980777516</v>
      </c>
      <c r="J4238" s="14" t="n">
        <v>0</v>
      </c>
      <c r="K4238" s="14" t="n">
        <v>213726.4791937135</v>
      </c>
      <c r="L4238" s="14" t="n">
        <v>685935.573056509</v>
      </c>
      <c r="M4238" s="14" t="n">
        <v>0</v>
      </c>
      <c r="N4238" s="14" t="n">
        <v>66988.43543473788</v>
      </c>
      <c r="O4238" s="14" t="n">
        <v>289642.0178510479</v>
      </c>
      <c r="P4238" s="14" t="n">
        <v>1962.119166804295</v>
      </c>
      <c r="Q4238" s="14" t="n">
        <v>1688322.491671035</v>
      </c>
      <c r="R4238" s="15">
        <f>IF(D4238=1,"Section 1","Control")</f>
        <v/>
      </c>
      <c r="S4238" s="16">
        <f>N4238/10000</f>
        <v/>
      </c>
      <c r="T4238" s="16">
        <f>P4238/10000</f>
        <v/>
      </c>
      <c r="U4238" s="15">
        <f>IF(N4238&gt;=Summary!$D$3,1,0)</f>
        <v/>
      </c>
      <c r="V4238" s="17">
        <f>IF(N4238&gt;0,P4238/N4238,"")</f>
        <v/>
      </c>
      <c r="W4238" s="17">
        <f>IF(O4238&gt;0,H4238/O4238,"")</f>
        <v/>
      </c>
    </row>
    <row r="4239">
      <c r="A4239" s="13" t="inlineStr">
        <is>
          <t>CW61_B2</t>
        </is>
      </c>
      <c r="B4239" s="13" t="inlineStr">
        <is>
          <t>CW61</t>
        </is>
      </c>
      <c r="C4239" s="13" t="inlineStr">
        <is>
          <t>B2</t>
        </is>
      </c>
      <c r="D4239" s="13" t="n">
        <v>0</v>
      </c>
      <c r="E4239" s="13" t="inlineStr">
        <is>
          <t>W</t>
        </is>
      </c>
      <c r="F4239" s="13" t="n">
        <v>2022</v>
      </c>
      <c r="G4239" s="14" t="n">
        <v>974985.2373690442</v>
      </c>
      <c r="H4239" s="14" t="n">
        <v>62824.93376755063</v>
      </c>
      <c r="I4239" s="14" t="n">
        <v>10080.44438608207</v>
      </c>
      <c r="J4239" s="14" t="n">
        <v>0</v>
      </c>
      <c r="K4239" s="14" t="n">
        <v>225089.6141151576</v>
      </c>
      <c r="L4239" s="14" t="n">
        <v>676990.2451002533</v>
      </c>
      <c r="M4239" s="14" t="n">
        <v>0</v>
      </c>
      <c r="N4239" s="14" t="n">
        <v>66988.43543473788</v>
      </c>
      <c r="O4239" s="14" t="n">
        <v>289642.0178510479</v>
      </c>
      <c r="P4239" s="14" t="n">
        <v>4311.396127708285</v>
      </c>
      <c r="Q4239" s="14" t="n">
        <v>1688322.491671035</v>
      </c>
      <c r="R4239" s="15">
        <f>IF(D4239=1,"Section 1","Control")</f>
        <v/>
      </c>
      <c r="S4239" s="16">
        <f>N4239/10000</f>
        <v/>
      </c>
      <c r="T4239" s="16">
        <f>P4239/10000</f>
        <v/>
      </c>
      <c r="U4239" s="15">
        <f>IF(N4239&gt;=Summary!$D$3,1,0)</f>
        <v/>
      </c>
      <c r="V4239" s="17">
        <f>IF(N4239&gt;0,P4239/N4239,"")</f>
        <v/>
      </c>
      <c r="W4239" s="17">
        <f>IF(O4239&gt;0,H4239/O4239,"")</f>
        <v/>
      </c>
    </row>
    <row r="4240">
      <c r="A4240" s="13" t="inlineStr">
        <is>
          <t>CW61_B2</t>
        </is>
      </c>
      <c r="B4240" s="13" t="inlineStr">
        <is>
          <t>CW61</t>
        </is>
      </c>
      <c r="C4240" s="13" t="inlineStr">
        <is>
          <t>B2</t>
        </is>
      </c>
      <c r="D4240" s="13" t="n">
        <v>0</v>
      </c>
      <c r="E4240" s="13" t="inlineStr">
        <is>
          <t>W</t>
        </is>
      </c>
      <c r="F4240" s="13" t="n">
        <v>2023</v>
      </c>
      <c r="G4240" s="14" t="n">
        <v>974985.2373690442</v>
      </c>
      <c r="H4240" s="14" t="n">
        <v>62245.35850444122</v>
      </c>
      <c r="I4240" s="14" t="n">
        <v>9787.369357329722</v>
      </c>
      <c r="J4240" s="14" t="n">
        <v>0</v>
      </c>
      <c r="K4240" s="14" t="n">
        <v>215832.22820644</v>
      </c>
      <c r="L4240" s="14" t="n">
        <v>687120.2813008328</v>
      </c>
      <c r="M4240" s="14" t="n">
        <v>0</v>
      </c>
      <c r="N4240" s="14" t="n">
        <v>66988.43543473788</v>
      </c>
      <c r="O4240" s="14" t="n">
        <v>289642.0178510479</v>
      </c>
      <c r="P4240" s="14" t="n">
        <v>4989.696755502739</v>
      </c>
      <c r="Q4240" s="14" t="n">
        <v>1688322.491671035</v>
      </c>
      <c r="R4240" s="15">
        <f>IF(D4240=1,"Section 1","Control")</f>
        <v/>
      </c>
      <c r="S4240" s="16">
        <f>N4240/10000</f>
        <v/>
      </c>
      <c r="T4240" s="16">
        <f>P4240/10000</f>
        <v/>
      </c>
      <c r="U4240" s="15">
        <f>IF(N4240&gt;=Summary!$D$3,1,0)</f>
        <v/>
      </c>
      <c r="V4240" s="17">
        <f>IF(N4240&gt;0,P4240/N4240,"")</f>
        <v/>
      </c>
      <c r="W4240" s="17">
        <f>IF(O4240&gt;0,H4240/O4240,"")</f>
        <v/>
      </c>
    </row>
    <row r="4241">
      <c r="A4241" s="13" t="inlineStr">
        <is>
          <t>CW61_B2</t>
        </is>
      </c>
      <c r="B4241" s="13" t="inlineStr">
        <is>
          <t>CW61</t>
        </is>
      </c>
      <c r="C4241" s="13" t="inlineStr">
        <is>
          <t>B2</t>
        </is>
      </c>
      <c r="D4241" s="13" t="n">
        <v>0</v>
      </c>
      <c r="E4241" s="13" t="inlineStr">
        <is>
          <t>W</t>
        </is>
      </c>
      <c r="F4241" s="13" t="n">
        <v>2024</v>
      </c>
      <c r="G4241" s="14" t="n">
        <v>974985.2373690442</v>
      </c>
      <c r="H4241" s="14" t="n">
        <v>62195.41440645108</v>
      </c>
      <c r="I4241" s="14" t="n">
        <v>10037.86389483284</v>
      </c>
      <c r="J4241" s="14" t="n">
        <v>0</v>
      </c>
      <c r="K4241" s="14" t="n">
        <v>217408.7402592976</v>
      </c>
      <c r="L4241" s="14" t="n">
        <v>685343.2188084621</v>
      </c>
      <c r="M4241" s="14" t="n">
        <v>0</v>
      </c>
      <c r="N4241" s="14" t="n">
        <v>66988.43543473788</v>
      </c>
      <c r="O4241" s="14" t="n">
        <v>289642.0178510479</v>
      </c>
      <c r="P4241" s="14" t="n">
        <v>5384.985967090082</v>
      </c>
      <c r="Q4241" s="14" t="n">
        <v>1688322.491671035</v>
      </c>
      <c r="R4241" s="15">
        <f>IF(D4241=1,"Section 1","Control")</f>
        <v/>
      </c>
      <c r="S4241" s="16">
        <f>N4241/10000</f>
        <v/>
      </c>
      <c r="T4241" s="16">
        <f>P4241/10000</f>
        <v/>
      </c>
      <c r="U4241" s="15">
        <f>IF(N4241&gt;=Summary!$D$3,1,0)</f>
        <v/>
      </c>
      <c r="V4241" s="17">
        <f>IF(N4241&gt;0,P4241/N4241,"")</f>
        <v/>
      </c>
      <c r="W4241" s="17">
        <f>IF(O4241&gt;0,H4241/O4241,"")</f>
        <v/>
      </c>
    </row>
    <row r="4242">
      <c r="A4242" s="13" t="inlineStr">
        <is>
          <t>CW61_B2</t>
        </is>
      </c>
      <c r="B4242" s="13" t="inlineStr">
        <is>
          <t>CW61</t>
        </is>
      </c>
      <c r="C4242" s="13" t="inlineStr">
        <is>
          <t>B2</t>
        </is>
      </c>
      <c r="D4242" s="13" t="n">
        <v>0</v>
      </c>
      <c r="E4242" s="13" t="inlineStr">
        <is>
          <t>W</t>
        </is>
      </c>
      <c r="F4242" s="13" t="n">
        <v>2025</v>
      </c>
      <c r="G4242" s="14" t="n">
        <v>974985.2373690442</v>
      </c>
      <c r="H4242" s="14" t="n">
        <v>60073.78702877271</v>
      </c>
      <c r="I4242" s="14" t="n">
        <v>8306.098509695013</v>
      </c>
      <c r="J4242" s="14" t="n">
        <v>0</v>
      </c>
      <c r="K4242" s="14" t="n">
        <v>219188.8924138984</v>
      </c>
      <c r="L4242" s="14" t="n">
        <v>687416.4594166775</v>
      </c>
      <c r="M4242" s="14" t="n">
        <v>0</v>
      </c>
      <c r="N4242" s="14" t="n">
        <v>66988.43543473788</v>
      </c>
      <c r="O4242" s="14" t="n">
        <v>289642.0178510479</v>
      </c>
      <c r="P4242" s="14" t="n">
        <v>7309.549948628744</v>
      </c>
      <c r="Q4242" s="14" t="n">
        <v>1688322.491671035</v>
      </c>
      <c r="R4242" s="15">
        <f>IF(D4242=1,"Section 1","Control")</f>
        <v/>
      </c>
      <c r="S4242" s="16">
        <f>N4242/10000</f>
        <v/>
      </c>
      <c r="T4242" s="16">
        <f>P4242/10000</f>
        <v/>
      </c>
      <c r="U4242" s="15">
        <f>IF(N4242&gt;=Summary!$D$3,1,0)</f>
        <v/>
      </c>
      <c r="V4242" s="17">
        <f>IF(N4242&gt;0,P4242/N4242,"")</f>
        <v/>
      </c>
      <c r="W4242" s="17">
        <f>IF(O4242&gt;0,H4242/O4242,"")</f>
        <v/>
      </c>
    </row>
    <row r="4243">
      <c r="A4243" s="13" t="inlineStr">
        <is>
          <t>CW61_B2</t>
        </is>
      </c>
      <c r="B4243" s="13" t="inlineStr">
        <is>
          <t>CW61</t>
        </is>
      </c>
      <c r="C4243" s="13" t="inlineStr">
        <is>
          <t>B2</t>
        </is>
      </c>
      <c r="D4243" s="13" t="n">
        <v>0</v>
      </c>
      <c r="E4243" s="13" t="inlineStr">
        <is>
          <t>W</t>
        </is>
      </c>
      <c r="F4243" s="13" t="n">
        <v>2026</v>
      </c>
      <c r="G4243" s="14" t="n">
        <v>974985.2373690442</v>
      </c>
      <c r="H4243" s="14" t="n">
        <v>60615.80740419278</v>
      </c>
      <c r="I4243" s="14" t="n">
        <v>9753.299875386558</v>
      </c>
      <c r="J4243" s="14" t="n">
        <v>0</v>
      </c>
      <c r="K4243" s="14" t="n">
        <v>214237.8991273767</v>
      </c>
      <c r="L4243" s="14" t="n">
        <v>690378.2309620875</v>
      </c>
      <c r="M4243" s="14" t="n">
        <v>0</v>
      </c>
      <c r="N4243" s="14" t="n">
        <v>66988.43543473788</v>
      </c>
      <c r="O4243" s="14" t="n">
        <v>289642.0178510479</v>
      </c>
      <c r="P4243" s="14" t="n">
        <v>7260.768666675043</v>
      </c>
      <c r="Q4243" s="14" t="n">
        <v>1688322.491671035</v>
      </c>
      <c r="R4243" s="15">
        <f>IF(D4243=1,"Section 1","Control")</f>
        <v/>
      </c>
      <c r="S4243" s="16">
        <f>N4243/10000</f>
        <v/>
      </c>
      <c r="T4243" s="16">
        <f>P4243/10000</f>
        <v/>
      </c>
      <c r="U4243" s="15">
        <f>IF(N4243&gt;=Summary!$D$3,1,0)</f>
        <v/>
      </c>
      <c r="V4243" s="17">
        <f>IF(N4243&gt;0,P4243/N4243,"")</f>
        <v/>
      </c>
      <c r="W4243" s="17">
        <f>IF(O4243&gt;0,H4243/O4243,"")</f>
        <v/>
      </c>
    </row>
    <row r="4244">
      <c r="A4244" s="13" t="inlineStr">
        <is>
          <t>CW61_B3</t>
        </is>
      </c>
      <c r="B4244" s="13" t="inlineStr">
        <is>
          <t>CW61</t>
        </is>
      </c>
      <c r="C4244" s="13" t="inlineStr">
        <is>
          <t>B3</t>
        </is>
      </c>
      <c r="D4244" s="13" t="n">
        <v>0</v>
      </c>
      <c r="E4244" s="13" t="inlineStr">
        <is>
          <t>W</t>
        </is>
      </c>
      <c r="F4244" s="13" t="n">
        <v>2020</v>
      </c>
      <c r="G4244" s="14" t="n">
        <v>7800752.377814562</v>
      </c>
      <c r="H4244" s="14" t="n">
        <v>863420.5018992705</v>
      </c>
      <c r="I4244" s="14" t="n">
        <v>49191.18865640678</v>
      </c>
      <c r="J4244" s="14" t="n">
        <v>0</v>
      </c>
      <c r="K4244" s="14" t="n">
        <v>2733201.084247305</v>
      </c>
      <c r="L4244" s="14" t="n">
        <v>4154939.603011577</v>
      </c>
      <c r="M4244" s="14" t="n">
        <v>0</v>
      </c>
      <c r="N4244" s="14" t="n">
        <v>863420.5018992705</v>
      </c>
      <c r="O4244" s="14" t="n">
        <v>3645812.774802982</v>
      </c>
      <c r="P4244" s="14" t="n">
        <v>0</v>
      </c>
      <c r="Q4244" s="14" t="n">
        <v>13718147.83929722</v>
      </c>
      <c r="R4244" s="15">
        <f>IF(D4244=1,"Section 1","Control")</f>
        <v/>
      </c>
      <c r="S4244" s="16">
        <f>N4244/10000</f>
        <v/>
      </c>
      <c r="T4244" s="16">
        <f>P4244/10000</f>
        <v/>
      </c>
      <c r="U4244" s="15">
        <f>IF(N4244&gt;=Summary!$D$3,1,0)</f>
        <v/>
      </c>
      <c r="V4244" s="17">
        <f>IF(N4244&gt;0,P4244/N4244,"")</f>
        <v/>
      </c>
      <c r="W4244" s="17">
        <f>IF(O4244&gt;0,H4244/O4244,"")</f>
        <v/>
      </c>
    </row>
    <row r="4245">
      <c r="A4245" s="13" t="inlineStr">
        <is>
          <t>CW61_B3</t>
        </is>
      </c>
      <c r="B4245" s="13" t="inlineStr">
        <is>
          <t>CW61</t>
        </is>
      </c>
      <c r="C4245" s="13" t="inlineStr">
        <is>
          <t>B3</t>
        </is>
      </c>
      <c r="D4245" s="13" t="n">
        <v>0</v>
      </c>
      <c r="E4245" s="13" t="inlineStr">
        <is>
          <t>W</t>
        </is>
      </c>
      <c r="F4245" s="13" t="n">
        <v>2021</v>
      </c>
      <c r="G4245" s="14" t="n">
        <v>7800752.377814561</v>
      </c>
      <c r="H4245" s="14" t="n">
        <v>804995.8880921009</v>
      </c>
      <c r="I4245" s="14" t="n">
        <v>77065.95714904187</v>
      </c>
      <c r="J4245" s="14" t="n">
        <v>0</v>
      </c>
      <c r="K4245" s="14" t="n">
        <v>2733715.944967113</v>
      </c>
      <c r="L4245" s="14" t="n">
        <v>4184974.587606303</v>
      </c>
      <c r="M4245" s="14" t="n">
        <v>0</v>
      </c>
      <c r="N4245" s="14" t="n">
        <v>863420.5018992706</v>
      </c>
      <c r="O4245" s="14" t="n">
        <v>3645812.774802982</v>
      </c>
      <c r="P4245" s="14" t="n">
        <v>65080.13831514845</v>
      </c>
      <c r="Q4245" s="14" t="n">
        <v>13718147.83929722</v>
      </c>
      <c r="R4245" s="15">
        <f>IF(D4245=1,"Section 1","Control")</f>
        <v/>
      </c>
      <c r="S4245" s="16">
        <f>N4245/10000</f>
        <v/>
      </c>
      <c r="T4245" s="16">
        <f>P4245/10000</f>
        <v/>
      </c>
      <c r="U4245" s="15">
        <f>IF(N4245&gt;=Summary!$D$3,1,0)</f>
        <v/>
      </c>
      <c r="V4245" s="17">
        <f>IF(N4245&gt;0,P4245/N4245,"")</f>
        <v/>
      </c>
      <c r="W4245" s="17">
        <f>IF(O4245&gt;0,H4245/O4245,"")</f>
        <v/>
      </c>
    </row>
    <row r="4246">
      <c r="A4246" s="13" t="inlineStr">
        <is>
          <t>CW61_B3</t>
        </is>
      </c>
      <c r="B4246" s="13" t="inlineStr">
        <is>
          <t>CW61</t>
        </is>
      </c>
      <c r="C4246" s="13" t="inlineStr">
        <is>
          <t>B3</t>
        </is>
      </c>
      <c r="D4246" s="13" t="n">
        <v>0</v>
      </c>
      <c r="E4246" s="13" t="inlineStr">
        <is>
          <t>W</t>
        </is>
      </c>
      <c r="F4246" s="13" t="n">
        <v>2022</v>
      </c>
      <c r="G4246" s="14" t="n">
        <v>7800752.377814562</v>
      </c>
      <c r="H4246" s="14" t="n">
        <v>701537.3175580193</v>
      </c>
      <c r="I4246" s="14" t="n">
        <v>100685.1468075322</v>
      </c>
      <c r="J4246" s="14" t="n">
        <v>0</v>
      </c>
      <c r="K4246" s="14" t="n">
        <v>2941568.282622783</v>
      </c>
      <c r="L4246" s="14" t="n">
        <v>4056961.630826225</v>
      </c>
      <c r="M4246" s="14" t="n">
        <v>0</v>
      </c>
      <c r="N4246" s="14" t="n">
        <v>863420.5018992705</v>
      </c>
      <c r="O4246" s="14" t="n">
        <v>3645812.774802982</v>
      </c>
      <c r="P4246" s="14" t="n">
        <v>165294.7844045302</v>
      </c>
      <c r="Q4246" s="14" t="n">
        <v>13718147.83929722</v>
      </c>
      <c r="R4246" s="15">
        <f>IF(D4246=1,"Section 1","Control")</f>
        <v/>
      </c>
      <c r="S4246" s="16">
        <f>N4246/10000</f>
        <v/>
      </c>
      <c r="T4246" s="16">
        <f>P4246/10000</f>
        <v/>
      </c>
      <c r="U4246" s="15">
        <f>IF(N4246&gt;=Summary!$D$3,1,0)</f>
        <v/>
      </c>
      <c r="V4246" s="17">
        <f>IF(N4246&gt;0,P4246/N4246,"")</f>
        <v/>
      </c>
      <c r="W4246" s="17">
        <f>IF(O4246&gt;0,H4246/O4246,"")</f>
        <v/>
      </c>
    </row>
    <row r="4247">
      <c r="A4247" s="13" t="inlineStr">
        <is>
          <t>CW61_B3</t>
        </is>
      </c>
      <c r="B4247" s="13" t="inlineStr">
        <is>
          <t>CW61</t>
        </is>
      </c>
      <c r="C4247" s="13" t="inlineStr">
        <is>
          <t>B3</t>
        </is>
      </c>
      <c r="D4247" s="13" t="n">
        <v>0</v>
      </c>
      <c r="E4247" s="13" t="inlineStr">
        <is>
          <t>W</t>
        </is>
      </c>
      <c r="F4247" s="13" t="n">
        <v>2023</v>
      </c>
      <c r="G4247" s="14" t="n">
        <v>7800752.377814562</v>
      </c>
      <c r="H4247" s="14" t="n">
        <v>664525.9698499494</v>
      </c>
      <c r="I4247" s="14" t="n">
        <v>88032.14854601692</v>
      </c>
      <c r="J4247" s="14" t="n">
        <v>0</v>
      </c>
      <c r="K4247" s="14" t="n">
        <v>2908701.81357392</v>
      </c>
      <c r="L4247" s="14" t="n">
        <v>4139492.445844673</v>
      </c>
      <c r="M4247" s="14" t="n">
        <v>0</v>
      </c>
      <c r="N4247" s="14" t="n">
        <v>863420.5018992705</v>
      </c>
      <c r="O4247" s="14" t="n">
        <v>3645812.774802982</v>
      </c>
      <c r="P4247" s="14" t="n">
        <v>204180.361395892</v>
      </c>
      <c r="Q4247" s="14" t="n">
        <v>13718147.83929722</v>
      </c>
      <c r="R4247" s="15">
        <f>IF(D4247=1,"Section 1","Control")</f>
        <v/>
      </c>
      <c r="S4247" s="16">
        <f>N4247/10000</f>
        <v/>
      </c>
      <c r="T4247" s="16">
        <f>P4247/10000</f>
        <v/>
      </c>
      <c r="U4247" s="15">
        <f>IF(N4247&gt;=Summary!$D$3,1,0)</f>
        <v/>
      </c>
      <c r="V4247" s="17">
        <f>IF(N4247&gt;0,P4247/N4247,"")</f>
        <v/>
      </c>
      <c r="W4247" s="17">
        <f>IF(O4247&gt;0,H4247/O4247,"")</f>
        <v/>
      </c>
    </row>
    <row r="4248">
      <c r="A4248" s="13" t="inlineStr">
        <is>
          <t>CW61_B3</t>
        </is>
      </c>
      <c r="B4248" s="13" t="inlineStr">
        <is>
          <t>CW61</t>
        </is>
      </c>
      <c r="C4248" s="13" t="inlineStr">
        <is>
          <t>B3</t>
        </is>
      </c>
      <c r="D4248" s="13" t="n">
        <v>0</v>
      </c>
      <c r="E4248" s="13" t="inlineStr">
        <is>
          <t>W</t>
        </is>
      </c>
      <c r="F4248" s="13" t="n">
        <v>2024</v>
      </c>
      <c r="G4248" s="14" t="n">
        <v>7800752.37781456</v>
      </c>
      <c r="H4248" s="14" t="n">
        <v>651513.6061199713</v>
      </c>
      <c r="I4248" s="14" t="n">
        <v>129820.5706054388</v>
      </c>
      <c r="J4248" s="14" t="n">
        <v>0</v>
      </c>
      <c r="K4248" s="14" t="n">
        <v>2898041.202726088</v>
      </c>
      <c r="L4248" s="14" t="n">
        <v>4121376.998363061</v>
      </c>
      <c r="M4248" s="14" t="n">
        <v>0</v>
      </c>
      <c r="N4248" s="14" t="n">
        <v>863420.5018992705</v>
      </c>
      <c r="O4248" s="14" t="n">
        <v>3645812.774802982</v>
      </c>
      <c r="P4248" s="14" t="n">
        <v>219808.7162508198</v>
      </c>
      <c r="Q4248" s="14" t="n">
        <v>13718147.83929722</v>
      </c>
      <c r="R4248" s="15">
        <f>IF(D4248=1,"Section 1","Control")</f>
        <v/>
      </c>
      <c r="S4248" s="16">
        <f>N4248/10000</f>
        <v/>
      </c>
      <c r="T4248" s="16">
        <f>P4248/10000</f>
        <v/>
      </c>
      <c r="U4248" s="15">
        <f>IF(N4248&gt;=Summary!$D$3,1,0)</f>
        <v/>
      </c>
      <c r="V4248" s="17">
        <f>IF(N4248&gt;0,P4248/N4248,"")</f>
        <v/>
      </c>
      <c r="W4248" s="17">
        <f>IF(O4248&gt;0,H4248/O4248,"")</f>
        <v/>
      </c>
    </row>
    <row r="4249">
      <c r="A4249" s="13" t="inlineStr">
        <is>
          <t>CW61_B3</t>
        </is>
      </c>
      <c r="B4249" s="13" t="inlineStr">
        <is>
          <t>CW61</t>
        </is>
      </c>
      <c r="C4249" s="13" t="inlineStr">
        <is>
          <t>B3</t>
        </is>
      </c>
      <c r="D4249" s="13" t="n">
        <v>0</v>
      </c>
      <c r="E4249" s="13" t="inlineStr">
        <is>
          <t>W</t>
        </is>
      </c>
      <c r="F4249" s="13" t="n">
        <v>2025</v>
      </c>
      <c r="G4249" s="14" t="n">
        <v>7800752.377814561</v>
      </c>
      <c r="H4249" s="14" t="n">
        <v>625851.7617996515</v>
      </c>
      <c r="I4249" s="14" t="n">
        <v>121242.1350863887</v>
      </c>
      <c r="J4249" s="14" t="n">
        <v>0</v>
      </c>
      <c r="K4249" s="14" t="n">
        <v>2866842.673347114</v>
      </c>
      <c r="L4249" s="14" t="n">
        <v>4186815.807581404</v>
      </c>
      <c r="M4249" s="14" t="n">
        <v>0</v>
      </c>
      <c r="N4249" s="14" t="n">
        <v>863420.5018992703</v>
      </c>
      <c r="O4249" s="14" t="n">
        <v>3645812.774802982</v>
      </c>
      <c r="P4249" s="14" t="n">
        <v>246852.9533670164</v>
      </c>
      <c r="Q4249" s="14" t="n">
        <v>13718147.83929722</v>
      </c>
      <c r="R4249" s="15">
        <f>IF(D4249=1,"Section 1","Control")</f>
        <v/>
      </c>
      <c r="S4249" s="16">
        <f>N4249/10000</f>
        <v/>
      </c>
      <c r="T4249" s="16">
        <f>P4249/10000</f>
        <v/>
      </c>
      <c r="U4249" s="15">
        <f>IF(N4249&gt;=Summary!$D$3,1,0)</f>
        <v/>
      </c>
      <c r="V4249" s="17">
        <f>IF(N4249&gt;0,P4249/N4249,"")</f>
        <v/>
      </c>
      <c r="W4249" s="17">
        <f>IF(O4249&gt;0,H4249/O4249,"")</f>
        <v/>
      </c>
    </row>
    <row r="4250">
      <c r="A4250" s="13" t="inlineStr">
        <is>
          <t>CW61_B3</t>
        </is>
      </c>
      <c r="B4250" s="13" t="inlineStr">
        <is>
          <t>CW61</t>
        </is>
      </c>
      <c r="C4250" s="13" t="inlineStr">
        <is>
          <t>B3</t>
        </is>
      </c>
      <c r="D4250" s="13" t="n">
        <v>0</v>
      </c>
      <c r="E4250" s="13" t="inlineStr">
        <is>
          <t>W</t>
        </is>
      </c>
      <c r="F4250" s="13" t="n">
        <v>2026</v>
      </c>
      <c r="G4250" s="14" t="n">
        <v>7800752.377814561</v>
      </c>
      <c r="H4250" s="14" t="n">
        <v>588490.9158758126</v>
      </c>
      <c r="I4250" s="14" t="n">
        <v>147791.6083158605</v>
      </c>
      <c r="J4250" s="14" t="n">
        <v>0</v>
      </c>
      <c r="K4250" s="14" t="n">
        <v>2868367.47200455</v>
      </c>
      <c r="L4250" s="14" t="n">
        <v>4196102.381618335</v>
      </c>
      <c r="M4250" s="14" t="n">
        <v>0</v>
      </c>
      <c r="N4250" s="14" t="n">
        <v>863420.5018992703</v>
      </c>
      <c r="O4250" s="14" t="n">
        <v>3645812.774802982</v>
      </c>
      <c r="P4250" s="14" t="n">
        <v>285398.1329201492</v>
      </c>
      <c r="Q4250" s="14" t="n">
        <v>13718147.83929722</v>
      </c>
      <c r="R4250" s="15">
        <f>IF(D4250=1,"Section 1","Control")</f>
        <v/>
      </c>
      <c r="S4250" s="16">
        <f>N4250/10000</f>
        <v/>
      </c>
      <c r="T4250" s="16">
        <f>P4250/10000</f>
        <v/>
      </c>
      <c r="U4250" s="15">
        <f>IF(N4250&gt;=Summary!$D$3,1,0)</f>
        <v/>
      </c>
      <c r="V4250" s="17">
        <f>IF(N4250&gt;0,P4250/N4250,"")</f>
        <v/>
      </c>
      <c r="W4250" s="17">
        <f>IF(O4250&gt;0,H4250/O4250,"")</f>
        <v/>
      </c>
    </row>
    <row r="4251">
      <c r="A4251" s="13" t="inlineStr">
        <is>
          <t>CW61_F</t>
        </is>
      </c>
      <c r="B4251" s="13" t="inlineStr">
        <is>
          <t>CW61</t>
        </is>
      </c>
      <c r="C4251" s="13" t="inlineStr">
        <is>
          <t>F</t>
        </is>
      </c>
      <c r="D4251" s="13" t="n">
        <v>0</v>
      </c>
      <c r="E4251" s="13" t="inlineStr">
        <is>
          <t>W</t>
        </is>
      </c>
      <c r="F4251" s="13" t="n">
        <v>2020</v>
      </c>
      <c r="G4251" s="14" t="n">
        <v>67741.81964245965</v>
      </c>
      <c r="H4251" s="14" t="n">
        <v>246.6237738815009</v>
      </c>
      <c r="I4251" s="14" t="n">
        <v>58094.45356681677</v>
      </c>
      <c r="J4251" s="14" t="n">
        <v>0</v>
      </c>
      <c r="K4251" s="14" t="n">
        <v>9400.742301761398</v>
      </c>
      <c r="L4251" s="14" t="n">
        <v>0</v>
      </c>
      <c r="M4251" s="14" t="n">
        <v>0</v>
      </c>
      <c r="N4251" s="14" t="n">
        <v>246.6237738815009</v>
      </c>
      <c r="O4251" s="14" t="n">
        <v>67741.81964245965</v>
      </c>
      <c r="P4251" s="14" t="n">
        <v>0</v>
      </c>
      <c r="Q4251" s="14" t="n">
        <v>243645.7586244472</v>
      </c>
      <c r="R4251" s="15">
        <f>IF(D4251=1,"Section 1","Control")</f>
        <v/>
      </c>
      <c r="S4251" s="16">
        <f>N4251/10000</f>
        <v/>
      </c>
      <c r="T4251" s="16">
        <f>P4251/10000</f>
        <v/>
      </c>
      <c r="U4251" s="15">
        <f>IF(N4251&gt;=Summary!$D$3,1,0)</f>
        <v/>
      </c>
      <c r="V4251" s="17">
        <f>IF(N4251&gt;0,P4251/N4251,"")</f>
        <v/>
      </c>
      <c r="W4251" s="17">
        <f>IF(O4251&gt;0,H4251/O4251,"")</f>
        <v/>
      </c>
    </row>
    <row r="4252">
      <c r="A4252" s="13" t="inlineStr">
        <is>
          <t>CW61_F</t>
        </is>
      </c>
      <c r="B4252" s="13" t="inlineStr">
        <is>
          <t>CW61</t>
        </is>
      </c>
      <c r="C4252" s="13" t="inlineStr">
        <is>
          <t>F</t>
        </is>
      </c>
      <c r="D4252" s="13" t="n">
        <v>0</v>
      </c>
      <c r="E4252" s="13" t="inlineStr">
        <is>
          <t>W</t>
        </is>
      </c>
      <c r="F4252" s="13" t="n">
        <v>2021</v>
      </c>
      <c r="G4252" s="14" t="n">
        <v>67741.81964245965</v>
      </c>
      <c r="H4252" s="14" t="n">
        <v>0</v>
      </c>
      <c r="I4252" s="14" t="n">
        <v>58587.70112415391</v>
      </c>
      <c r="J4252" s="14" t="n">
        <v>0</v>
      </c>
      <c r="K4252" s="14" t="n">
        <v>9154.118518305757</v>
      </c>
      <c r="L4252" s="14" t="n">
        <v>0</v>
      </c>
      <c r="M4252" s="14" t="n">
        <v>0</v>
      </c>
      <c r="N4252" s="14" t="n">
        <v>246.6237738815009</v>
      </c>
      <c r="O4252" s="14" t="n">
        <v>67741.81964245965</v>
      </c>
      <c r="P4252" s="14" t="n">
        <v>246.6237738815009</v>
      </c>
      <c r="Q4252" s="14" t="n">
        <v>243645.7586244472</v>
      </c>
      <c r="R4252" s="15">
        <f>IF(D4252=1,"Section 1","Control")</f>
        <v/>
      </c>
      <c r="S4252" s="16">
        <f>N4252/10000</f>
        <v/>
      </c>
      <c r="T4252" s="16">
        <f>P4252/10000</f>
        <v/>
      </c>
      <c r="U4252" s="15">
        <f>IF(N4252&gt;=Summary!$D$3,1,0)</f>
        <v/>
      </c>
      <c r="V4252" s="17">
        <f>IF(N4252&gt;0,P4252/N4252,"")</f>
        <v/>
      </c>
      <c r="W4252" s="17">
        <f>IF(O4252&gt;0,H4252/O4252,"")</f>
        <v/>
      </c>
    </row>
    <row r="4253">
      <c r="A4253" s="13" t="inlineStr">
        <is>
          <t>CW61_F</t>
        </is>
      </c>
      <c r="B4253" s="13" t="inlineStr">
        <is>
          <t>CW61</t>
        </is>
      </c>
      <c r="C4253" s="13" t="inlineStr">
        <is>
          <t>F</t>
        </is>
      </c>
      <c r="D4253" s="13" t="n">
        <v>0</v>
      </c>
      <c r="E4253" s="13" t="inlineStr">
        <is>
          <t>W</t>
        </is>
      </c>
      <c r="F4253" s="13" t="n">
        <v>2022</v>
      </c>
      <c r="G4253" s="14" t="n">
        <v>67741.81964245965</v>
      </c>
      <c r="H4253" s="14" t="n">
        <v>0</v>
      </c>
      <c r="I4253" s="14" t="n">
        <v>60861.90565822829</v>
      </c>
      <c r="J4253" s="14" t="n">
        <v>0</v>
      </c>
      <c r="K4253" s="14" t="n">
        <v>6879.913984231387</v>
      </c>
      <c r="L4253" s="14" t="n">
        <v>0</v>
      </c>
      <c r="M4253" s="14" t="n">
        <v>0</v>
      </c>
      <c r="N4253" s="14" t="n">
        <v>246.6237738815009</v>
      </c>
      <c r="O4253" s="14" t="n">
        <v>67741.81964245965</v>
      </c>
      <c r="P4253" s="14" t="n">
        <v>246.6237738815009</v>
      </c>
      <c r="Q4253" s="14" t="n">
        <v>243645.7586244472</v>
      </c>
      <c r="R4253" s="15">
        <f>IF(D4253=1,"Section 1","Control")</f>
        <v/>
      </c>
      <c r="S4253" s="16">
        <f>N4253/10000</f>
        <v/>
      </c>
      <c r="T4253" s="16">
        <f>P4253/10000</f>
        <v/>
      </c>
      <c r="U4253" s="15">
        <f>IF(N4253&gt;=Summary!$D$3,1,0)</f>
        <v/>
      </c>
      <c r="V4253" s="17">
        <f>IF(N4253&gt;0,P4253/N4253,"")</f>
        <v/>
      </c>
      <c r="W4253" s="17">
        <f>IF(O4253&gt;0,H4253/O4253,"")</f>
        <v/>
      </c>
    </row>
    <row r="4254">
      <c r="A4254" s="13" t="inlineStr">
        <is>
          <t>CW61_F</t>
        </is>
      </c>
      <c r="B4254" s="13" t="inlineStr">
        <is>
          <t>CW61</t>
        </is>
      </c>
      <c r="C4254" s="13" t="inlineStr">
        <is>
          <t>F</t>
        </is>
      </c>
      <c r="D4254" s="13" t="n">
        <v>0</v>
      </c>
      <c r="E4254" s="13" t="inlineStr">
        <is>
          <t>W</t>
        </is>
      </c>
      <c r="F4254" s="13" t="n">
        <v>2023</v>
      </c>
      <c r="G4254" s="14" t="n">
        <v>67741.81964245965</v>
      </c>
      <c r="H4254" s="14" t="n">
        <v>0</v>
      </c>
      <c r="I4254" s="14" t="n">
        <v>59665.56720996934</v>
      </c>
      <c r="J4254" s="14" t="n">
        <v>0</v>
      </c>
      <c r="K4254" s="14" t="n">
        <v>8076.252432490325</v>
      </c>
      <c r="L4254" s="14" t="n">
        <v>0</v>
      </c>
      <c r="M4254" s="14" t="n">
        <v>0</v>
      </c>
      <c r="N4254" s="14" t="n">
        <v>246.6237738815009</v>
      </c>
      <c r="O4254" s="14" t="n">
        <v>67741.81964245965</v>
      </c>
      <c r="P4254" s="14" t="n">
        <v>246.6237738815009</v>
      </c>
      <c r="Q4254" s="14" t="n">
        <v>243645.7586244472</v>
      </c>
      <c r="R4254" s="15">
        <f>IF(D4254=1,"Section 1","Control")</f>
        <v/>
      </c>
      <c r="S4254" s="16">
        <f>N4254/10000</f>
        <v/>
      </c>
      <c r="T4254" s="16">
        <f>P4254/10000</f>
        <v/>
      </c>
      <c r="U4254" s="15">
        <f>IF(N4254&gt;=Summary!$D$3,1,0)</f>
        <v/>
      </c>
      <c r="V4254" s="17">
        <f>IF(N4254&gt;0,P4254/N4254,"")</f>
        <v/>
      </c>
      <c r="W4254" s="17">
        <f>IF(O4254&gt;0,H4254/O4254,"")</f>
        <v/>
      </c>
    </row>
    <row r="4255">
      <c r="A4255" s="13" t="inlineStr">
        <is>
          <t>CW61_F</t>
        </is>
      </c>
      <c r="B4255" s="13" t="inlineStr">
        <is>
          <t>CW61</t>
        </is>
      </c>
      <c r="C4255" s="13" t="inlineStr">
        <is>
          <t>F</t>
        </is>
      </c>
      <c r="D4255" s="13" t="n">
        <v>0</v>
      </c>
      <c r="E4255" s="13" t="inlineStr">
        <is>
          <t>W</t>
        </is>
      </c>
      <c r="F4255" s="13" t="n">
        <v>2024</v>
      </c>
      <c r="G4255" s="14" t="n">
        <v>67741.81964245965</v>
      </c>
      <c r="H4255" s="14" t="n">
        <v>0</v>
      </c>
      <c r="I4255" s="14" t="n">
        <v>60997.41318927842</v>
      </c>
      <c r="J4255" s="14" t="n">
        <v>0</v>
      </c>
      <c r="K4255" s="14" t="n">
        <v>6744.406453181244</v>
      </c>
      <c r="L4255" s="14" t="n">
        <v>0</v>
      </c>
      <c r="M4255" s="14" t="n">
        <v>0</v>
      </c>
      <c r="N4255" s="14" t="n">
        <v>246.6237738815009</v>
      </c>
      <c r="O4255" s="14" t="n">
        <v>67741.81964245965</v>
      </c>
      <c r="P4255" s="14" t="n">
        <v>246.6237738815009</v>
      </c>
      <c r="Q4255" s="14" t="n">
        <v>243645.7586244472</v>
      </c>
      <c r="R4255" s="15">
        <f>IF(D4255=1,"Section 1","Control")</f>
        <v/>
      </c>
      <c r="S4255" s="16">
        <f>N4255/10000</f>
        <v/>
      </c>
      <c r="T4255" s="16">
        <f>P4255/10000</f>
        <v/>
      </c>
      <c r="U4255" s="15">
        <f>IF(N4255&gt;=Summary!$D$3,1,0)</f>
        <v/>
      </c>
      <c r="V4255" s="17">
        <f>IF(N4255&gt;0,P4255/N4255,"")</f>
        <v/>
      </c>
      <c r="W4255" s="17">
        <f>IF(O4255&gt;0,H4255/O4255,"")</f>
        <v/>
      </c>
    </row>
    <row r="4256">
      <c r="A4256" s="13" t="inlineStr">
        <is>
          <t>CW61_F</t>
        </is>
      </c>
      <c r="B4256" s="13" t="inlineStr">
        <is>
          <t>CW61</t>
        </is>
      </c>
      <c r="C4256" s="13" t="inlineStr">
        <is>
          <t>F</t>
        </is>
      </c>
      <c r="D4256" s="13" t="n">
        <v>0</v>
      </c>
      <c r="E4256" s="13" t="inlineStr">
        <is>
          <t>W</t>
        </is>
      </c>
      <c r="F4256" s="13" t="n">
        <v>2025</v>
      </c>
      <c r="G4256" s="14" t="n">
        <v>67741.81964245965</v>
      </c>
      <c r="H4256" s="14" t="n">
        <v>0</v>
      </c>
      <c r="I4256" s="14" t="n">
        <v>60047.31148780377</v>
      </c>
      <c r="J4256" s="14" t="n">
        <v>0</v>
      </c>
      <c r="K4256" s="14" t="n">
        <v>7694.5081546559</v>
      </c>
      <c r="L4256" s="14" t="n">
        <v>0</v>
      </c>
      <c r="M4256" s="14" t="n">
        <v>0</v>
      </c>
      <c r="N4256" s="14" t="n">
        <v>246.6237738815009</v>
      </c>
      <c r="O4256" s="14" t="n">
        <v>67741.81964245965</v>
      </c>
      <c r="P4256" s="14" t="n">
        <v>246.6237738815009</v>
      </c>
      <c r="Q4256" s="14" t="n">
        <v>243645.7586244472</v>
      </c>
      <c r="R4256" s="15">
        <f>IF(D4256=1,"Section 1","Control")</f>
        <v/>
      </c>
      <c r="S4256" s="16">
        <f>N4256/10000</f>
        <v/>
      </c>
      <c r="T4256" s="16">
        <f>P4256/10000</f>
        <v/>
      </c>
      <c r="U4256" s="15">
        <f>IF(N4256&gt;=Summary!$D$3,1,0)</f>
        <v/>
      </c>
      <c r="V4256" s="17">
        <f>IF(N4256&gt;0,P4256/N4256,"")</f>
        <v/>
      </c>
      <c r="W4256" s="17">
        <f>IF(O4256&gt;0,H4256/O4256,"")</f>
        <v/>
      </c>
    </row>
    <row r="4257">
      <c r="A4257" s="13" t="inlineStr">
        <is>
          <t>CW61_F</t>
        </is>
      </c>
      <c r="B4257" s="13" t="inlineStr">
        <is>
          <t>CW61</t>
        </is>
      </c>
      <c r="C4257" s="13" t="inlineStr">
        <is>
          <t>F</t>
        </is>
      </c>
      <c r="D4257" s="13" t="n">
        <v>0</v>
      </c>
      <c r="E4257" s="13" t="inlineStr">
        <is>
          <t>W</t>
        </is>
      </c>
      <c r="F4257" s="13" t="n">
        <v>2026</v>
      </c>
      <c r="G4257" s="14" t="n">
        <v>67741.81964245965</v>
      </c>
      <c r="H4257" s="14" t="n">
        <v>0</v>
      </c>
      <c r="I4257" s="14" t="n">
        <v>59023.64826881562</v>
      </c>
      <c r="J4257" s="14" t="n">
        <v>0</v>
      </c>
      <c r="K4257" s="14" t="n">
        <v>8718.171373644056</v>
      </c>
      <c r="L4257" s="14" t="n">
        <v>0</v>
      </c>
      <c r="M4257" s="14" t="n">
        <v>0</v>
      </c>
      <c r="N4257" s="14" t="n">
        <v>246.6237738815009</v>
      </c>
      <c r="O4257" s="14" t="n">
        <v>67741.81964245965</v>
      </c>
      <c r="P4257" s="14" t="n">
        <v>246.6237738815009</v>
      </c>
      <c r="Q4257" s="14" t="n">
        <v>243645.7586244472</v>
      </c>
      <c r="R4257" s="15">
        <f>IF(D4257=1,"Section 1","Control")</f>
        <v/>
      </c>
      <c r="S4257" s="16">
        <f>N4257/10000</f>
        <v/>
      </c>
      <c r="T4257" s="16">
        <f>P4257/10000</f>
        <v/>
      </c>
      <c r="U4257" s="15">
        <f>IF(N4257&gt;=Summary!$D$3,1,0)</f>
        <v/>
      </c>
      <c r="V4257" s="17">
        <f>IF(N4257&gt;0,P4257/N4257,"")</f>
        <v/>
      </c>
      <c r="W4257" s="17">
        <f>IF(O4257&gt;0,H4257/O4257,"")</f>
        <v/>
      </c>
    </row>
    <row r="4258">
      <c r="A4258" s="13" t="inlineStr">
        <is>
          <t>CW62_B1</t>
        </is>
      </c>
      <c r="B4258" s="13" t="inlineStr">
        <is>
          <t>CW62</t>
        </is>
      </c>
      <c r="C4258" s="13" t="inlineStr">
        <is>
          <t>B1</t>
        </is>
      </c>
      <c r="D4258" s="13" t="n">
        <v>0</v>
      </c>
      <c r="E4258" s="13" t="inlineStr">
        <is>
          <t>W</t>
        </is>
      </c>
      <c r="F4258" s="13" t="n">
        <v>2020</v>
      </c>
      <c r="G4258" s="14" t="n">
        <v>1000946.786500251</v>
      </c>
      <c r="H4258" s="14" t="n">
        <v>125228.1868863573</v>
      </c>
      <c r="I4258" s="14" t="n">
        <v>214652.9625938565</v>
      </c>
      <c r="J4258" s="14" t="n">
        <v>0</v>
      </c>
      <c r="K4258" s="14" t="n">
        <v>201513.2202909582</v>
      </c>
      <c r="L4258" s="14" t="n">
        <v>459552.4167290781</v>
      </c>
      <c r="M4258" s="14" t="n">
        <v>0</v>
      </c>
      <c r="N4258" s="14" t="n">
        <v>125228.1868863573</v>
      </c>
      <c r="O4258" s="14" t="n">
        <v>541394.3697711719</v>
      </c>
      <c r="P4258" s="14" t="n">
        <v>0</v>
      </c>
      <c r="Q4258" s="14" t="n">
        <v>3829261.020542759</v>
      </c>
      <c r="R4258" s="15">
        <f>IF(D4258=1,"Section 1","Control")</f>
        <v/>
      </c>
      <c r="S4258" s="16">
        <f>N4258/10000</f>
        <v/>
      </c>
      <c r="T4258" s="16">
        <f>P4258/10000</f>
        <v/>
      </c>
      <c r="U4258" s="15">
        <f>IF(N4258&gt;=Summary!$D$3,1,0)</f>
        <v/>
      </c>
      <c r="V4258" s="17">
        <f>IF(N4258&gt;0,P4258/N4258,"")</f>
        <v/>
      </c>
      <c r="W4258" s="17">
        <f>IF(O4258&gt;0,H4258/O4258,"")</f>
        <v/>
      </c>
    </row>
    <row r="4259">
      <c r="A4259" s="13" t="inlineStr">
        <is>
          <t>CW62_B1</t>
        </is>
      </c>
      <c r="B4259" s="13" t="inlineStr">
        <is>
          <t>CW62</t>
        </is>
      </c>
      <c r="C4259" s="13" t="inlineStr">
        <is>
          <t>B1</t>
        </is>
      </c>
      <c r="D4259" s="13" t="n">
        <v>0</v>
      </c>
      <c r="E4259" s="13" t="inlineStr">
        <is>
          <t>W</t>
        </is>
      </c>
      <c r="F4259" s="13" t="n">
        <v>2021</v>
      </c>
      <c r="G4259" s="14" t="n">
        <v>1000946.786500251</v>
      </c>
      <c r="H4259" s="14" t="n">
        <v>116319.5667519663</v>
      </c>
      <c r="I4259" s="14" t="n">
        <v>208848.2180810666</v>
      </c>
      <c r="J4259" s="14" t="n">
        <v>0</v>
      </c>
      <c r="K4259" s="14" t="n">
        <v>217597.5199772255</v>
      </c>
      <c r="L4259" s="14" t="n">
        <v>458181.4816899917</v>
      </c>
      <c r="M4259" s="14" t="n">
        <v>0</v>
      </c>
      <c r="N4259" s="14" t="n">
        <v>125228.1868863573</v>
      </c>
      <c r="O4259" s="14" t="n">
        <v>541394.3697711721</v>
      </c>
      <c r="P4259" s="14" t="n">
        <v>11739.5545269536</v>
      </c>
      <c r="Q4259" s="14" t="n">
        <v>3829261.020542759</v>
      </c>
      <c r="R4259" s="15">
        <f>IF(D4259=1,"Section 1","Control")</f>
        <v/>
      </c>
      <c r="S4259" s="16">
        <f>N4259/10000</f>
        <v/>
      </c>
      <c r="T4259" s="16">
        <f>P4259/10000</f>
        <v/>
      </c>
      <c r="U4259" s="15">
        <f>IF(N4259&gt;=Summary!$D$3,1,0)</f>
        <v/>
      </c>
      <c r="V4259" s="17">
        <f>IF(N4259&gt;0,P4259/N4259,"")</f>
        <v/>
      </c>
      <c r="W4259" s="17">
        <f>IF(O4259&gt;0,H4259/O4259,"")</f>
        <v/>
      </c>
    </row>
    <row r="4260">
      <c r="A4260" s="13" t="inlineStr">
        <is>
          <t>CW62_B1</t>
        </is>
      </c>
      <c r="B4260" s="13" t="inlineStr">
        <is>
          <t>CW62</t>
        </is>
      </c>
      <c r="C4260" s="13" t="inlineStr">
        <is>
          <t>B1</t>
        </is>
      </c>
      <c r="D4260" s="13" t="n">
        <v>0</v>
      </c>
      <c r="E4260" s="13" t="inlineStr">
        <is>
          <t>W</t>
        </is>
      </c>
      <c r="F4260" s="13" t="n">
        <v>2022</v>
      </c>
      <c r="G4260" s="14" t="n">
        <v>1000946.786500251</v>
      </c>
      <c r="H4260" s="14" t="n">
        <v>106526.6621941062</v>
      </c>
      <c r="I4260" s="14" t="n">
        <v>232159.0343028947</v>
      </c>
      <c r="J4260" s="14" t="n">
        <v>0</v>
      </c>
      <c r="K4260" s="14" t="n">
        <v>235225.7821927239</v>
      </c>
      <c r="L4260" s="14" t="n">
        <v>427035.3078105254</v>
      </c>
      <c r="M4260" s="14" t="n">
        <v>0</v>
      </c>
      <c r="N4260" s="14" t="n">
        <v>125228.1868863573</v>
      </c>
      <c r="O4260" s="14" t="n">
        <v>541394.3697711721</v>
      </c>
      <c r="P4260" s="14" t="n">
        <v>20347.74109775319</v>
      </c>
      <c r="Q4260" s="14" t="n">
        <v>3829261.020542759</v>
      </c>
      <c r="R4260" s="15">
        <f>IF(D4260=1,"Section 1","Control")</f>
        <v/>
      </c>
      <c r="S4260" s="16">
        <f>N4260/10000</f>
        <v/>
      </c>
      <c r="T4260" s="16">
        <f>P4260/10000</f>
        <v/>
      </c>
      <c r="U4260" s="15">
        <f>IF(N4260&gt;=Summary!$D$3,1,0)</f>
        <v/>
      </c>
      <c r="V4260" s="17">
        <f>IF(N4260&gt;0,P4260/N4260,"")</f>
        <v/>
      </c>
      <c r="W4260" s="17">
        <f>IF(O4260&gt;0,H4260/O4260,"")</f>
        <v/>
      </c>
    </row>
    <row r="4261">
      <c r="A4261" s="13" t="inlineStr">
        <is>
          <t>CW62_B1</t>
        </is>
      </c>
      <c r="B4261" s="13" t="inlineStr">
        <is>
          <t>CW62</t>
        </is>
      </c>
      <c r="C4261" s="13" t="inlineStr">
        <is>
          <t>B1</t>
        </is>
      </c>
      <c r="D4261" s="13" t="n">
        <v>0</v>
      </c>
      <c r="E4261" s="13" t="inlineStr">
        <is>
          <t>W</t>
        </is>
      </c>
      <c r="F4261" s="13" t="n">
        <v>2023</v>
      </c>
      <c r="G4261" s="14" t="n">
        <v>1000946.786500251</v>
      </c>
      <c r="H4261" s="14" t="n">
        <v>101962.7786138198</v>
      </c>
      <c r="I4261" s="14" t="n">
        <v>221007.8148094027</v>
      </c>
      <c r="J4261" s="14" t="n">
        <v>0</v>
      </c>
      <c r="K4261" s="14" t="n">
        <v>215285.7670631558</v>
      </c>
      <c r="L4261" s="14" t="n">
        <v>462690.4260138717</v>
      </c>
      <c r="M4261" s="14" t="n">
        <v>0</v>
      </c>
      <c r="N4261" s="14" t="n">
        <v>125228.1868863573</v>
      </c>
      <c r="O4261" s="14" t="n">
        <v>541394.3697711719</v>
      </c>
      <c r="P4261" s="14" t="n">
        <v>26005.74608692842</v>
      </c>
      <c r="Q4261" s="14" t="n">
        <v>3829261.020542759</v>
      </c>
      <c r="R4261" s="15">
        <f>IF(D4261=1,"Section 1","Control")</f>
        <v/>
      </c>
      <c r="S4261" s="16">
        <f>N4261/10000</f>
        <v/>
      </c>
      <c r="T4261" s="16">
        <f>P4261/10000</f>
        <v/>
      </c>
      <c r="U4261" s="15">
        <f>IF(N4261&gt;=Summary!$D$3,1,0)</f>
        <v/>
      </c>
      <c r="V4261" s="17">
        <f>IF(N4261&gt;0,P4261/N4261,"")</f>
        <v/>
      </c>
      <c r="W4261" s="17">
        <f>IF(O4261&gt;0,H4261/O4261,"")</f>
        <v/>
      </c>
    </row>
    <row r="4262">
      <c r="A4262" s="13" t="inlineStr">
        <is>
          <t>CW62_B1</t>
        </is>
      </c>
      <c r="B4262" s="13" t="inlineStr">
        <is>
          <t>CW62</t>
        </is>
      </c>
      <c r="C4262" s="13" t="inlineStr">
        <is>
          <t>B1</t>
        </is>
      </c>
      <c r="D4262" s="13" t="n">
        <v>0</v>
      </c>
      <c r="E4262" s="13" t="inlineStr">
        <is>
          <t>W</t>
        </is>
      </c>
      <c r="F4262" s="13" t="n">
        <v>2024</v>
      </c>
      <c r="G4262" s="14" t="n">
        <v>1000946.786500251</v>
      </c>
      <c r="H4262" s="14" t="n">
        <v>108695.9325215957</v>
      </c>
      <c r="I4262" s="14" t="n">
        <v>209215.5477516324</v>
      </c>
      <c r="J4262" s="14" t="n">
        <v>0</v>
      </c>
      <c r="K4262" s="14" t="n">
        <v>216403.5099891513</v>
      </c>
      <c r="L4262" s="14" t="n">
        <v>466631.7962378707</v>
      </c>
      <c r="M4262" s="14" t="n">
        <v>0</v>
      </c>
      <c r="N4262" s="14" t="n">
        <v>125228.1868863573</v>
      </c>
      <c r="O4262" s="14" t="n">
        <v>541394.3697711719</v>
      </c>
      <c r="P4262" s="14" t="n">
        <v>27684.09750446993</v>
      </c>
      <c r="Q4262" s="14" t="n">
        <v>3829261.020542759</v>
      </c>
      <c r="R4262" s="15">
        <f>IF(D4262=1,"Section 1","Control")</f>
        <v/>
      </c>
      <c r="S4262" s="16">
        <f>N4262/10000</f>
        <v/>
      </c>
      <c r="T4262" s="16">
        <f>P4262/10000</f>
        <v/>
      </c>
      <c r="U4262" s="15">
        <f>IF(N4262&gt;=Summary!$D$3,1,0)</f>
        <v/>
      </c>
      <c r="V4262" s="17">
        <f>IF(N4262&gt;0,P4262/N4262,"")</f>
        <v/>
      </c>
      <c r="W4262" s="17">
        <f>IF(O4262&gt;0,H4262/O4262,"")</f>
        <v/>
      </c>
    </row>
    <row r="4263">
      <c r="A4263" s="13" t="inlineStr">
        <is>
          <t>CW62_B1</t>
        </is>
      </c>
      <c r="B4263" s="13" t="inlineStr">
        <is>
          <t>CW62</t>
        </is>
      </c>
      <c r="C4263" s="13" t="inlineStr">
        <is>
          <t>B1</t>
        </is>
      </c>
      <c r="D4263" s="13" t="n">
        <v>0</v>
      </c>
      <c r="E4263" s="13" t="inlineStr">
        <is>
          <t>W</t>
        </is>
      </c>
      <c r="F4263" s="13" t="n">
        <v>2025</v>
      </c>
      <c r="G4263" s="14" t="n">
        <v>1000946.786500251</v>
      </c>
      <c r="H4263" s="14" t="n">
        <v>107215.0397985122</v>
      </c>
      <c r="I4263" s="14" t="n">
        <v>206439.2311584772</v>
      </c>
      <c r="J4263" s="14" t="n">
        <v>0</v>
      </c>
      <c r="K4263" s="14" t="n">
        <v>223326.3780578314</v>
      </c>
      <c r="L4263" s="14" t="n">
        <v>463966.1374854293</v>
      </c>
      <c r="M4263" s="14" t="n">
        <v>0</v>
      </c>
      <c r="N4263" s="14" t="n">
        <v>125228.1868863573</v>
      </c>
      <c r="O4263" s="14" t="n">
        <v>541394.3697711719</v>
      </c>
      <c r="P4263" s="14" t="n">
        <v>29856.0789955588</v>
      </c>
      <c r="Q4263" s="14" t="n">
        <v>3829261.020542759</v>
      </c>
      <c r="R4263" s="15">
        <f>IF(D4263=1,"Section 1","Control")</f>
        <v/>
      </c>
      <c r="S4263" s="16">
        <f>N4263/10000</f>
        <v/>
      </c>
      <c r="T4263" s="16">
        <f>P4263/10000</f>
        <v/>
      </c>
      <c r="U4263" s="15">
        <f>IF(N4263&gt;=Summary!$D$3,1,0)</f>
        <v/>
      </c>
      <c r="V4263" s="17">
        <f>IF(N4263&gt;0,P4263/N4263,"")</f>
        <v/>
      </c>
      <c r="W4263" s="17">
        <f>IF(O4263&gt;0,H4263/O4263,"")</f>
        <v/>
      </c>
    </row>
    <row r="4264">
      <c r="A4264" s="13" t="inlineStr">
        <is>
          <t>CW62_B1</t>
        </is>
      </c>
      <c r="B4264" s="13" t="inlineStr">
        <is>
          <t>CW62</t>
        </is>
      </c>
      <c r="C4264" s="13" t="inlineStr">
        <is>
          <t>B1</t>
        </is>
      </c>
      <c r="D4264" s="13" t="n">
        <v>0</v>
      </c>
      <c r="E4264" s="13" t="inlineStr">
        <is>
          <t>W</t>
        </is>
      </c>
      <c r="F4264" s="13" t="n">
        <v>2026</v>
      </c>
      <c r="G4264" s="14" t="n">
        <v>1000946.786500251</v>
      </c>
      <c r="H4264" s="14" t="n">
        <v>107215.0455739638</v>
      </c>
      <c r="I4264" s="14" t="n">
        <v>195015.1511802822</v>
      </c>
      <c r="J4264" s="14" t="n">
        <v>0</v>
      </c>
      <c r="K4264" s="14" t="n">
        <v>221154.7862147313</v>
      </c>
      <c r="L4264" s="14" t="n">
        <v>477561.8035312728</v>
      </c>
      <c r="M4264" s="14" t="n">
        <v>0</v>
      </c>
      <c r="N4264" s="14" t="n">
        <v>125228.1868863573</v>
      </c>
      <c r="O4264" s="14" t="n">
        <v>541394.3697711719</v>
      </c>
      <c r="P4264" s="14" t="n">
        <v>31336.97322163302</v>
      </c>
      <c r="Q4264" s="14" t="n">
        <v>3829261.020542759</v>
      </c>
      <c r="R4264" s="15">
        <f>IF(D4264=1,"Section 1","Control")</f>
        <v/>
      </c>
      <c r="S4264" s="16">
        <f>N4264/10000</f>
        <v/>
      </c>
      <c r="T4264" s="16">
        <f>P4264/10000</f>
        <v/>
      </c>
      <c r="U4264" s="15">
        <f>IF(N4264&gt;=Summary!$D$3,1,0)</f>
        <v/>
      </c>
      <c r="V4264" s="17">
        <f>IF(N4264&gt;0,P4264/N4264,"")</f>
        <v/>
      </c>
      <c r="W4264" s="17">
        <f>IF(O4264&gt;0,H4264/O4264,"")</f>
        <v/>
      </c>
    </row>
    <row r="4265">
      <c r="A4265" s="13" t="inlineStr">
        <is>
          <t>CW62_B2</t>
        </is>
      </c>
      <c r="B4265" s="13" t="inlineStr">
        <is>
          <t>CW62</t>
        </is>
      </c>
      <c r="C4265" s="13" t="inlineStr">
        <is>
          <t>B2</t>
        </is>
      </c>
      <c r="D4265" s="13" t="n">
        <v>0</v>
      </c>
      <c r="E4265" s="13" t="inlineStr">
        <is>
          <t>W</t>
        </is>
      </c>
      <c r="F4265" s="13" t="n">
        <v>2020</v>
      </c>
      <c r="G4265" s="14" t="n">
        <v>1001431.90568698</v>
      </c>
      <c r="H4265" s="14" t="n">
        <v>48159.38379417871</v>
      </c>
      <c r="I4265" s="14" t="n">
        <v>3868.489863556505</v>
      </c>
      <c r="J4265" s="14" t="n">
        <v>0</v>
      </c>
      <c r="K4265" s="14" t="n">
        <v>71613.88039604636</v>
      </c>
      <c r="L4265" s="14" t="n">
        <v>877790.151633199</v>
      </c>
      <c r="M4265" s="14" t="n">
        <v>0</v>
      </c>
      <c r="N4265" s="14" t="n">
        <v>48159.38379417871</v>
      </c>
      <c r="O4265" s="14" t="n">
        <v>123641.7540537815</v>
      </c>
      <c r="P4265" s="14" t="n">
        <v>0</v>
      </c>
      <c r="Q4265" s="14" t="n">
        <v>884699.0212930118</v>
      </c>
      <c r="R4265" s="15">
        <f>IF(D4265=1,"Section 1","Control")</f>
        <v/>
      </c>
      <c r="S4265" s="16">
        <f>N4265/10000</f>
        <v/>
      </c>
      <c r="T4265" s="16">
        <f>P4265/10000</f>
        <v/>
      </c>
      <c r="U4265" s="15">
        <f>IF(N4265&gt;=Summary!$D$3,1,0)</f>
        <v/>
      </c>
      <c r="V4265" s="17">
        <f>IF(N4265&gt;0,P4265/N4265,"")</f>
        <v/>
      </c>
      <c r="W4265" s="17">
        <f>IF(O4265&gt;0,H4265/O4265,"")</f>
        <v/>
      </c>
    </row>
    <row r="4266">
      <c r="A4266" s="13" t="inlineStr">
        <is>
          <t>CW62_B2</t>
        </is>
      </c>
      <c r="B4266" s="13" t="inlineStr">
        <is>
          <t>CW62</t>
        </is>
      </c>
      <c r="C4266" s="13" t="inlineStr">
        <is>
          <t>B2</t>
        </is>
      </c>
      <c r="D4266" s="13" t="n">
        <v>0</v>
      </c>
      <c r="E4266" s="13" t="inlineStr">
        <is>
          <t>W</t>
        </is>
      </c>
      <c r="F4266" s="13" t="n">
        <v>2021</v>
      </c>
      <c r="G4266" s="14" t="n">
        <v>1001431.90568698</v>
      </c>
      <c r="H4266" s="14" t="n">
        <v>45666.85655661192</v>
      </c>
      <c r="I4266" s="14" t="n">
        <v>5324.593739079493</v>
      </c>
      <c r="J4266" s="14" t="n">
        <v>0</v>
      </c>
      <c r="K4266" s="14" t="n">
        <v>73143.92838424983</v>
      </c>
      <c r="L4266" s="14" t="n">
        <v>877296.5270070393</v>
      </c>
      <c r="M4266" s="14" t="n">
        <v>0</v>
      </c>
      <c r="N4266" s="14" t="n">
        <v>48159.38379417871</v>
      </c>
      <c r="O4266" s="14" t="n">
        <v>123641.7540537815</v>
      </c>
      <c r="P4266" s="14" t="n">
        <v>2887.429100664925</v>
      </c>
      <c r="Q4266" s="14" t="n">
        <v>884699.0212930118</v>
      </c>
      <c r="R4266" s="15">
        <f>IF(D4266=1,"Section 1","Control")</f>
        <v/>
      </c>
      <c r="S4266" s="16">
        <f>N4266/10000</f>
        <v/>
      </c>
      <c r="T4266" s="16">
        <f>P4266/10000</f>
        <v/>
      </c>
      <c r="U4266" s="15">
        <f>IF(N4266&gt;=Summary!$D$3,1,0)</f>
        <v/>
      </c>
      <c r="V4266" s="17">
        <f>IF(N4266&gt;0,P4266/N4266,"")</f>
        <v/>
      </c>
      <c r="W4266" s="17">
        <f>IF(O4266&gt;0,H4266/O4266,"")</f>
        <v/>
      </c>
    </row>
    <row r="4267">
      <c r="A4267" s="13" t="inlineStr">
        <is>
          <t>CW62_B2</t>
        </is>
      </c>
      <c r="B4267" s="13" t="inlineStr">
        <is>
          <t>CW62</t>
        </is>
      </c>
      <c r="C4267" s="13" t="inlineStr">
        <is>
          <t>B2</t>
        </is>
      </c>
      <c r="D4267" s="13" t="n">
        <v>0</v>
      </c>
      <c r="E4267" s="13" t="inlineStr">
        <is>
          <t>W</t>
        </is>
      </c>
      <c r="F4267" s="13" t="n">
        <v>2022</v>
      </c>
      <c r="G4267" s="14" t="n">
        <v>1001431.90568698</v>
      </c>
      <c r="H4267" s="14" t="n">
        <v>44185.9751708087</v>
      </c>
      <c r="I4267" s="14" t="n">
        <v>2298.560350635005</v>
      </c>
      <c r="J4267" s="14" t="n">
        <v>0</v>
      </c>
      <c r="K4267" s="14" t="n">
        <v>80834.45353686762</v>
      </c>
      <c r="L4267" s="14" t="n">
        <v>874112.9166286692</v>
      </c>
      <c r="M4267" s="14" t="n">
        <v>0</v>
      </c>
      <c r="N4267" s="14" t="n">
        <v>48159.38379417871</v>
      </c>
      <c r="O4267" s="14" t="n">
        <v>123641.7540537815</v>
      </c>
      <c r="P4267" s="14" t="n">
        <v>4467.035866411995</v>
      </c>
      <c r="Q4267" s="14" t="n">
        <v>884699.0212930118</v>
      </c>
      <c r="R4267" s="15">
        <f>IF(D4267=1,"Section 1","Control")</f>
        <v/>
      </c>
      <c r="S4267" s="16">
        <f>N4267/10000</f>
        <v/>
      </c>
      <c r="T4267" s="16">
        <f>P4267/10000</f>
        <v/>
      </c>
      <c r="U4267" s="15">
        <f>IF(N4267&gt;=Summary!$D$3,1,0)</f>
        <v/>
      </c>
      <c r="V4267" s="17">
        <f>IF(N4267&gt;0,P4267/N4267,"")</f>
        <v/>
      </c>
      <c r="W4267" s="17">
        <f>IF(O4267&gt;0,H4267/O4267,"")</f>
        <v/>
      </c>
    </row>
    <row r="4268">
      <c r="A4268" s="13" t="inlineStr">
        <is>
          <t>CW62_B2</t>
        </is>
      </c>
      <c r="B4268" s="13" t="inlineStr">
        <is>
          <t>CW62</t>
        </is>
      </c>
      <c r="C4268" s="13" t="inlineStr">
        <is>
          <t>B2</t>
        </is>
      </c>
      <c r="D4268" s="13" t="n">
        <v>0</v>
      </c>
      <c r="E4268" s="13" t="inlineStr">
        <is>
          <t>W</t>
        </is>
      </c>
      <c r="F4268" s="13" t="n">
        <v>2023</v>
      </c>
      <c r="G4268" s="14" t="n">
        <v>1001431.90568698</v>
      </c>
      <c r="H4268" s="14" t="n">
        <v>42606.36877127257</v>
      </c>
      <c r="I4268" s="14" t="n">
        <v>3170.441399218989</v>
      </c>
      <c r="J4268" s="14" t="n">
        <v>0</v>
      </c>
      <c r="K4268" s="14" t="n">
        <v>75345.31136022831</v>
      </c>
      <c r="L4268" s="14" t="n">
        <v>880309.7841562607</v>
      </c>
      <c r="M4268" s="14" t="n">
        <v>0</v>
      </c>
      <c r="N4268" s="14" t="n">
        <v>48159.38379417871</v>
      </c>
      <c r="O4268" s="14" t="n">
        <v>123641.7540537815</v>
      </c>
      <c r="P4268" s="14" t="n">
        <v>5750.466011675666</v>
      </c>
      <c r="Q4268" s="14" t="n">
        <v>884699.0212930118</v>
      </c>
      <c r="R4268" s="15">
        <f>IF(D4268=1,"Section 1","Control")</f>
        <v/>
      </c>
      <c r="S4268" s="16">
        <f>N4268/10000</f>
        <v/>
      </c>
      <c r="T4268" s="16">
        <f>P4268/10000</f>
        <v/>
      </c>
      <c r="U4268" s="15">
        <f>IF(N4268&gt;=Summary!$D$3,1,0)</f>
        <v/>
      </c>
      <c r="V4268" s="17">
        <f>IF(N4268&gt;0,P4268/N4268,"")</f>
        <v/>
      </c>
      <c r="W4268" s="17">
        <f>IF(O4268&gt;0,H4268/O4268,"")</f>
        <v/>
      </c>
    </row>
    <row r="4269">
      <c r="A4269" s="13" t="inlineStr">
        <is>
          <t>CW62_B2</t>
        </is>
      </c>
      <c r="B4269" s="13" t="inlineStr">
        <is>
          <t>CW62</t>
        </is>
      </c>
      <c r="C4269" s="13" t="inlineStr">
        <is>
          <t>B2</t>
        </is>
      </c>
      <c r="D4269" s="13" t="n">
        <v>0</v>
      </c>
      <c r="E4269" s="13" t="inlineStr">
        <is>
          <t>W</t>
        </is>
      </c>
      <c r="F4269" s="13" t="n">
        <v>2024</v>
      </c>
      <c r="G4269" s="14" t="n">
        <v>1001431.90568698</v>
      </c>
      <c r="H4269" s="14" t="n">
        <v>42507.64338369933</v>
      </c>
      <c r="I4269" s="14" t="n">
        <v>4242.871093031939</v>
      </c>
      <c r="J4269" s="14" t="n">
        <v>0</v>
      </c>
      <c r="K4269" s="14" t="n">
        <v>74398.32235110414</v>
      </c>
      <c r="L4269" s="14" t="n">
        <v>880283.0688591452</v>
      </c>
      <c r="M4269" s="14" t="n">
        <v>0</v>
      </c>
      <c r="N4269" s="14" t="n">
        <v>48159.38379417871</v>
      </c>
      <c r="O4269" s="14" t="n">
        <v>123641.7540537815</v>
      </c>
      <c r="P4269" s="14" t="n">
        <v>6046.641831072639</v>
      </c>
      <c r="Q4269" s="14" t="n">
        <v>884699.0212930118</v>
      </c>
      <c r="R4269" s="15">
        <f>IF(D4269=1,"Section 1","Control")</f>
        <v/>
      </c>
      <c r="S4269" s="16">
        <f>N4269/10000</f>
        <v/>
      </c>
      <c r="T4269" s="16">
        <f>P4269/10000</f>
        <v/>
      </c>
      <c r="U4269" s="15">
        <f>IF(N4269&gt;=Summary!$D$3,1,0)</f>
        <v/>
      </c>
      <c r="V4269" s="17">
        <f>IF(N4269&gt;0,P4269/N4269,"")</f>
        <v/>
      </c>
      <c r="W4269" s="17">
        <f>IF(O4269&gt;0,H4269/O4269,"")</f>
        <v/>
      </c>
    </row>
    <row r="4270">
      <c r="A4270" s="13" t="inlineStr">
        <is>
          <t>CW62_B2</t>
        </is>
      </c>
      <c r="B4270" s="13" t="inlineStr">
        <is>
          <t>CW62</t>
        </is>
      </c>
      <c r="C4270" s="13" t="inlineStr">
        <is>
          <t>B2</t>
        </is>
      </c>
      <c r="D4270" s="13" t="n">
        <v>0</v>
      </c>
      <c r="E4270" s="13" t="inlineStr">
        <is>
          <t>W</t>
        </is>
      </c>
      <c r="F4270" s="13" t="n">
        <v>2025</v>
      </c>
      <c r="G4270" s="14" t="n">
        <v>1001431.90568698</v>
      </c>
      <c r="H4270" s="14" t="n">
        <v>41064.31900485171</v>
      </c>
      <c r="I4270" s="14" t="n">
        <v>2391.478856673896</v>
      </c>
      <c r="J4270" s="14" t="n">
        <v>0</v>
      </c>
      <c r="K4270" s="14" t="n">
        <v>76878.45644190173</v>
      </c>
      <c r="L4270" s="14" t="n">
        <v>881097.6513835533</v>
      </c>
      <c r="M4270" s="14" t="n">
        <v>0</v>
      </c>
      <c r="N4270" s="14" t="n">
        <v>48159.38379417871</v>
      </c>
      <c r="O4270" s="14" t="n">
        <v>123641.7540537815</v>
      </c>
      <c r="P4270" s="14" t="n">
        <v>8181.044701131184</v>
      </c>
      <c r="Q4270" s="14" t="n">
        <v>884699.0212930118</v>
      </c>
      <c r="R4270" s="15">
        <f>IF(D4270=1,"Section 1","Control")</f>
        <v/>
      </c>
      <c r="S4270" s="16">
        <f>N4270/10000</f>
        <v/>
      </c>
      <c r="T4270" s="16">
        <f>P4270/10000</f>
        <v/>
      </c>
      <c r="U4270" s="15">
        <f>IF(N4270&gt;=Summary!$D$3,1,0)</f>
        <v/>
      </c>
      <c r="V4270" s="17">
        <f>IF(N4270&gt;0,P4270/N4270,"")</f>
        <v/>
      </c>
      <c r="W4270" s="17">
        <f>IF(O4270&gt;0,H4270/O4270,"")</f>
        <v/>
      </c>
    </row>
    <row r="4271">
      <c r="A4271" s="13" t="inlineStr">
        <is>
          <t>CW62_B2</t>
        </is>
      </c>
      <c r="B4271" s="13" t="inlineStr">
        <is>
          <t>CW62</t>
        </is>
      </c>
      <c r="C4271" s="13" t="inlineStr">
        <is>
          <t>B2</t>
        </is>
      </c>
      <c r="D4271" s="13" t="n">
        <v>0</v>
      </c>
      <c r="E4271" s="13" t="inlineStr">
        <is>
          <t>W</t>
        </is>
      </c>
      <c r="F4271" s="13" t="n">
        <v>2026</v>
      </c>
      <c r="G4271" s="14" t="n">
        <v>1001431.90568698</v>
      </c>
      <c r="H4271" s="14" t="n">
        <v>39089.81110842837</v>
      </c>
      <c r="I4271" s="14" t="n">
        <v>4010.575664834415</v>
      </c>
      <c r="J4271" s="14" t="n">
        <v>0</v>
      </c>
      <c r="K4271" s="14" t="n">
        <v>76345.33763056737</v>
      </c>
      <c r="L4271" s="14" t="n">
        <v>881986.1812831505</v>
      </c>
      <c r="M4271" s="14" t="n">
        <v>0</v>
      </c>
      <c r="N4271" s="14" t="n">
        <v>48159.38379417871</v>
      </c>
      <c r="O4271" s="14" t="n">
        <v>123641.7540537815</v>
      </c>
      <c r="P4271" s="14" t="n">
        <v>9661.924965413413</v>
      </c>
      <c r="Q4271" s="14" t="n">
        <v>884699.0212930118</v>
      </c>
      <c r="R4271" s="15">
        <f>IF(D4271=1,"Section 1","Control")</f>
        <v/>
      </c>
      <c r="S4271" s="16">
        <f>N4271/10000</f>
        <v/>
      </c>
      <c r="T4271" s="16">
        <f>P4271/10000</f>
        <v/>
      </c>
      <c r="U4271" s="15">
        <f>IF(N4271&gt;=Summary!$D$3,1,0)</f>
        <v/>
      </c>
      <c r="V4271" s="17">
        <f>IF(N4271&gt;0,P4271/N4271,"")</f>
        <v/>
      </c>
      <c r="W4271" s="17">
        <f>IF(O4271&gt;0,H4271/O4271,"")</f>
        <v/>
      </c>
    </row>
    <row r="4272">
      <c r="A4272" s="13" t="inlineStr">
        <is>
          <t>CW62_B3</t>
        </is>
      </c>
      <c r="B4272" s="13" t="inlineStr">
        <is>
          <t>CW62</t>
        </is>
      </c>
      <c r="C4272" s="13" t="inlineStr">
        <is>
          <t>B3</t>
        </is>
      </c>
      <c r="D4272" s="13" t="n">
        <v>0</v>
      </c>
      <c r="E4272" s="13" t="inlineStr">
        <is>
          <t>W</t>
        </is>
      </c>
      <c r="F4272" s="13" t="n">
        <v>2020</v>
      </c>
      <c r="G4272" s="14" t="n">
        <v>8008369.656001702</v>
      </c>
      <c r="H4272" s="14" t="n">
        <v>1057386.244547825</v>
      </c>
      <c r="I4272" s="14" t="n">
        <v>45075.10377331902</v>
      </c>
      <c r="J4272" s="14" t="n">
        <v>0</v>
      </c>
      <c r="K4272" s="14" t="n">
        <v>2685132.210947912</v>
      </c>
      <c r="L4272" s="14" t="n">
        <v>4220776.096732645</v>
      </c>
      <c r="M4272" s="14" t="n">
        <v>0</v>
      </c>
      <c r="N4272" s="14" t="n">
        <v>1057386.244547825</v>
      </c>
      <c r="O4272" s="14" t="n">
        <v>3787593.559269056</v>
      </c>
      <c r="P4272" s="14" t="n">
        <v>0</v>
      </c>
      <c r="Q4272" s="14" t="n">
        <v>15214430.11698557</v>
      </c>
      <c r="R4272" s="15">
        <f>IF(D4272=1,"Section 1","Control")</f>
        <v/>
      </c>
      <c r="S4272" s="16">
        <f>N4272/10000</f>
        <v/>
      </c>
      <c r="T4272" s="16">
        <f>P4272/10000</f>
        <v/>
      </c>
      <c r="U4272" s="15">
        <f>IF(N4272&gt;=Summary!$D$3,1,0)</f>
        <v/>
      </c>
      <c r="V4272" s="17">
        <f>IF(N4272&gt;0,P4272/N4272,"")</f>
        <v/>
      </c>
      <c r="W4272" s="17">
        <f>IF(O4272&gt;0,H4272/O4272,"")</f>
        <v/>
      </c>
    </row>
    <row r="4273">
      <c r="A4273" s="13" t="inlineStr">
        <is>
          <t>CW62_B3</t>
        </is>
      </c>
      <c r="B4273" s="13" t="inlineStr">
        <is>
          <t>CW62</t>
        </is>
      </c>
      <c r="C4273" s="13" t="inlineStr">
        <is>
          <t>B3</t>
        </is>
      </c>
      <c r="D4273" s="13" t="n">
        <v>0</v>
      </c>
      <c r="E4273" s="13" t="inlineStr">
        <is>
          <t>W</t>
        </is>
      </c>
      <c r="F4273" s="13" t="n">
        <v>2021</v>
      </c>
      <c r="G4273" s="14" t="n">
        <v>8008369.656001702</v>
      </c>
      <c r="H4273" s="14" t="n">
        <v>998703.8405860752</v>
      </c>
      <c r="I4273" s="14" t="n">
        <v>82677.68144887289</v>
      </c>
      <c r="J4273" s="14" t="n">
        <v>0</v>
      </c>
      <c r="K4273" s="14" t="n">
        <v>2732809.44036937</v>
      </c>
      <c r="L4273" s="14" t="n">
        <v>4194178.693597383</v>
      </c>
      <c r="M4273" s="14" t="n">
        <v>0</v>
      </c>
      <c r="N4273" s="14" t="n">
        <v>1057386.244547825</v>
      </c>
      <c r="O4273" s="14" t="n">
        <v>3787593.559269056</v>
      </c>
      <c r="P4273" s="14" t="n">
        <v>69159.86217717189</v>
      </c>
      <c r="Q4273" s="14" t="n">
        <v>15214430.11698557</v>
      </c>
      <c r="R4273" s="15">
        <f>IF(D4273=1,"Section 1","Control")</f>
        <v/>
      </c>
      <c r="S4273" s="16">
        <f>N4273/10000</f>
        <v/>
      </c>
      <c r="T4273" s="16">
        <f>P4273/10000</f>
        <v/>
      </c>
      <c r="U4273" s="15">
        <f>IF(N4273&gt;=Summary!$D$3,1,0)</f>
        <v/>
      </c>
      <c r="V4273" s="17">
        <f>IF(N4273&gt;0,P4273/N4273,"")</f>
        <v/>
      </c>
      <c r="W4273" s="17">
        <f>IF(O4273&gt;0,H4273/O4273,"")</f>
        <v/>
      </c>
    </row>
    <row r="4274">
      <c r="A4274" s="13" t="inlineStr">
        <is>
          <t>CW62_B3</t>
        </is>
      </c>
      <c r="B4274" s="13" t="inlineStr">
        <is>
          <t>CW62</t>
        </is>
      </c>
      <c r="C4274" s="13" t="inlineStr">
        <is>
          <t>B3</t>
        </is>
      </c>
      <c r="D4274" s="13" t="n">
        <v>0</v>
      </c>
      <c r="E4274" s="13" t="inlineStr">
        <is>
          <t>W</t>
        </is>
      </c>
      <c r="F4274" s="13" t="n">
        <v>2022</v>
      </c>
      <c r="G4274" s="14" t="n">
        <v>8008369.656001702</v>
      </c>
      <c r="H4274" s="14" t="n">
        <v>881090.3691675223</v>
      </c>
      <c r="I4274" s="14" t="n">
        <v>111815.6152759627</v>
      </c>
      <c r="J4274" s="14" t="n">
        <v>0</v>
      </c>
      <c r="K4274" s="14" t="n">
        <v>2927107.298724276</v>
      </c>
      <c r="L4274" s="14" t="n">
        <v>4088356.372833941</v>
      </c>
      <c r="M4274" s="14" t="n">
        <v>0</v>
      </c>
      <c r="N4274" s="14" t="n">
        <v>1057386.244547825</v>
      </c>
      <c r="O4274" s="14" t="n">
        <v>3787593.559269056</v>
      </c>
      <c r="P4274" s="14" t="n">
        <v>183403.95190313</v>
      </c>
      <c r="Q4274" s="14" t="n">
        <v>15214430.11698557</v>
      </c>
      <c r="R4274" s="15">
        <f>IF(D4274=1,"Section 1","Control")</f>
        <v/>
      </c>
      <c r="S4274" s="16">
        <f>N4274/10000</f>
        <v/>
      </c>
      <c r="T4274" s="16">
        <f>P4274/10000</f>
        <v/>
      </c>
      <c r="U4274" s="15">
        <f>IF(N4274&gt;=Summary!$D$3,1,0)</f>
        <v/>
      </c>
      <c r="V4274" s="17">
        <f>IF(N4274&gt;0,P4274/N4274,"")</f>
        <v/>
      </c>
      <c r="W4274" s="17">
        <f>IF(O4274&gt;0,H4274/O4274,"")</f>
        <v/>
      </c>
    </row>
    <row r="4275">
      <c r="A4275" s="13" t="inlineStr">
        <is>
          <t>CW62_B3</t>
        </is>
      </c>
      <c r="B4275" s="13" t="inlineStr">
        <is>
          <t>CW62</t>
        </is>
      </c>
      <c r="C4275" s="13" t="inlineStr">
        <is>
          <t>B3</t>
        </is>
      </c>
      <c r="D4275" s="13" t="n">
        <v>0</v>
      </c>
      <c r="E4275" s="13" t="inlineStr">
        <is>
          <t>W</t>
        </is>
      </c>
      <c r="F4275" s="13" t="n">
        <v>2023</v>
      </c>
      <c r="G4275" s="14" t="n">
        <v>8008369.656001702</v>
      </c>
      <c r="H4275" s="14" t="n">
        <v>856128.0396774889</v>
      </c>
      <c r="I4275" s="14" t="n">
        <v>95256.82503350948</v>
      </c>
      <c r="J4275" s="14" t="n">
        <v>0</v>
      </c>
      <c r="K4275" s="14" t="n">
        <v>2806274.87561846</v>
      </c>
      <c r="L4275" s="14" t="n">
        <v>4250709.915672243</v>
      </c>
      <c r="M4275" s="14" t="n">
        <v>0</v>
      </c>
      <c r="N4275" s="14" t="n">
        <v>1057386.244547825</v>
      </c>
      <c r="O4275" s="14" t="n">
        <v>3787593.559269056</v>
      </c>
      <c r="P4275" s="14" t="n">
        <v>214104.9838560217</v>
      </c>
      <c r="Q4275" s="14" t="n">
        <v>15214430.11698557</v>
      </c>
      <c r="R4275" s="15">
        <f>IF(D4275=1,"Section 1","Control")</f>
        <v/>
      </c>
      <c r="S4275" s="16">
        <f>N4275/10000</f>
        <v/>
      </c>
      <c r="T4275" s="16">
        <f>P4275/10000</f>
        <v/>
      </c>
      <c r="U4275" s="15">
        <f>IF(N4275&gt;=Summary!$D$3,1,0)</f>
        <v/>
      </c>
      <c r="V4275" s="17">
        <f>IF(N4275&gt;0,P4275/N4275,"")</f>
        <v/>
      </c>
      <c r="W4275" s="17">
        <f>IF(O4275&gt;0,H4275/O4275,"")</f>
        <v/>
      </c>
    </row>
    <row r="4276">
      <c r="A4276" s="13" t="inlineStr">
        <is>
          <t>CW62_B3</t>
        </is>
      </c>
      <c r="B4276" s="13" t="inlineStr">
        <is>
          <t>CW62</t>
        </is>
      </c>
      <c r="C4276" s="13" t="inlineStr">
        <is>
          <t>B3</t>
        </is>
      </c>
      <c r="D4276" s="13" t="n">
        <v>0</v>
      </c>
      <c r="E4276" s="13" t="inlineStr">
        <is>
          <t>W</t>
        </is>
      </c>
      <c r="F4276" s="13" t="n">
        <v>2024</v>
      </c>
      <c r="G4276" s="14" t="n">
        <v>8008369.656001702</v>
      </c>
      <c r="H4276" s="14" t="n">
        <v>872981.970568758</v>
      </c>
      <c r="I4276" s="14" t="n">
        <v>85127.48766635072</v>
      </c>
      <c r="J4276" s="14" t="n">
        <v>0</v>
      </c>
      <c r="K4276" s="14" t="n">
        <v>2840803.202108615</v>
      </c>
      <c r="L4276" s="14" t="n">
        <v>4209456.995657978</v>
      </c>
      <c r="M4276" s="14" t="n">
        <v>0</v>
      </c>
      <c r="N4276" s="14" t="n">
        <v>1057386.244547825</v>
      </c>
      <c r="O4276" s="14" t="n">
        <v>3787593.559269056</v>
      </c>
      <c r="P4276" s="14" t="n">
        <v>203518.6152484669</v>
      </c>
      <c r="Q4276" s="14" t="n">
        <v>15214430.11698558</v>
      </c>
      <c r="R4276" s="15">
        <f>IF(D4276=1,"Section 1","Control")</f>
        <v/>
      </c>
      <c r="S4276" s="16">
        <f>N4276/10000</f>
        <v/>
      </c>
      <c r="T4276" s="16">
        <f>P4276/10000</f>
        <v/>
      </c>
      <c r="U4276" s="15">
        <f>IF(N4276&gt;=Summary!$D$3,1,0)</f>
        <v/>
      </c>
      <c r="V4276" s="17">
        <f>IF(N4276&gt;0,P4276/N4276,"")</f>
        <v/>
      </c>
      <c r="W4276" s="17">
        <f>IF(O4276&gt;0,H4276/O4276,"")</f>
        <v/>
      </c>
    </row>
    <row r="4277">
      <c r="A4277" s="13" t="inlineStr">
        <is>
          <t>CW62_B3</t>
        </is>
      </c>
      <c r="B4277" s="13" t="inlineStr">
        <is>
          <t>CW62</t>
        </is>
      </c>
      <c r="C4277" s="13" t="inlineStr">
        <is>
          <t>B3</t>
        </is>
      </c>
      <c r="D4277" s="13" t="n">
        <v>0</v>
      </c>
      <c r="E4277" s="13" t="inlineStr">
        <is>
          <t>W</t>
        </is>
      </c>
      <c r="F4277" s="13" t="n">
        <v>2025</v>
      </c>
      <c r="G4277" s="14" t="n">
        <v>8008369.656001702</v>
      </c>
      <c r="H4277" s="14" t="n">
        <v>836076.786663549</v>
      </c>
      <c r="I4277" s="14" t="n">
        <v>85076.80102667716</v>
      </c>
      <c r="J4277" s="14" t="n">
        <v>0</v>
      </c>
      <c r="K4277" s="14" t="n">
        <v>2844444.529982981</v>
      </c>
      <c r="L4277" s="14" t="n">
        <v>4242771.538328493</v>
      </c>
      <c r="M4277" s="14" t="n">
        <v>0</v>
      </c>
      <c r="N4277" s="14" t="n">
        <v>1057386.244547825</v>
      </c>
      <c r="O4277" s="14" t="n">
        <v>3787593.559269056</v>
      </c>
      <c r="P4277" s="14" t="n">
        <v>240192.6516562069</v>
      </c>
      <c r="Q4277" s="14" t="n">
        <v>15214430.11698558</v>
      </c>
      <c r="R4277" s="15">
        <f>IF(D4277=1,"Section 1","Control")</f>
        <v/>
      </c>
      <c r="S4277" s="16">
        <f>N4277/10000</f>
        <v/>
      </c>
      <c r="T4277" s="16">
        <f>P4277/10000</f>
        <v/>
      </c>
      <c r="U4277" s="15">
        <f>IF(N4277&gt;=Summary!$D$3,1,0)</f>
        <v/>
      </c>
      <c r="V4277" s="17">
        <f>IF(N4277&gt;0,P4277/N4277,"")</f>
        <v/>
      </c>
      <c r="W4277" s="17">
        <f>IF(O4277&gt;0,H4277/O4277,"")</f>
        <v/>
      </c>
    </row>
    <row r="4278">
      <c r="A4278" s="13" t="inlineStr">
        <is>
          <t>CW62_B3</t>
        </is>
      </c>
      <c r="B4278" s="13" t="inlineStr">
        <is>
          <t>CW62</t>
        </is>
      </c>
      <c r="C4278" s="13" t="inlineStr">
        <is>
          <t>B3</t>
        </is>
      </c>
      <c r="D4278" s="13" t="n">
        <v>0</v>
      </c>
      <c r="E4278" s="13" t="inlineStr">
        <is>
          <t>W</t>
        </is>
      </c>
      <c r="F4278" s="13" t="n">
        <v>2026</v>
      </c>
      <c r="G4278" s="14" t="n">
        <v>8008369.656001702</v>
      </c>
      <c r="H4278" s="14" t="n">
        <v>806455.633832954</v>
      </c>
      <c r="I4278" s="14" t="n">
        <v>112380.9340195899</v>
      </c>
      <c r="J4278" s="14" t="n">
        <v>0</v>
      </c>
      <c r="K4278" s="14" t="n">
        <v>2821498.243639777</v>
      </c>
      <c r="L4278" s="14" t="n">
        <v>4268034.84450938</v>
      </c>
      <c r="M4278" s="14" t="n">
        <v>0</v>
      </c>
      <c r="N4278" s="14" t="n">
        <v>1057386.244547825</v>
      </c>
      <c r="O4278" s="14" t="n">
        <v>3787593.559269056</v>
      </c>
      <c r="P4278" s="14" t="n">
        <v>264986.4660057217</v>
      </c>
      <c r="Q4278" s="14" t="n">
        <v>15214430.11698558</v>
      </c>
      <c r="R4278" s="15">
        <f>IF(D4278=1,"Section 1","Control")</f>
        <v/>
      </c>
      <c r="S4278" s="16">
        <f>N4278/10000</f>
        <v/>
      </c>
      <c r="T4278" s="16">
        <f>P4278/10000</f>
        <v/>
      </c>
      <c r="U4278" s="15">
        <f>IF(N4278&gt;=Summary!$D$3,1,0)</f>
        <v/>
      </c>
      <c r="V4278" s="17">
        <f>IF(N4278&gt;0,P4278/N4278,"")</f>
        <v/>
      </c>
      <c r="W4278" s="17">
        <f>IF(O4278&gt;0,H4278/O4278,"")</f>
        <v/>
      </c>
    </row>
    <row r="4279">
      <c r="A4279" s="13" t="inlineStr">
        <is>
          <t>CW62_F</t>
        </is>
      </c>
      <c r="B4279" s="13" t="inlineStr">
        <is>
          <t>CW62</t>
        </is>
      </c>
      <c r="C4279" s="13" t="inlineStr">
        <is>
          <t>F</t>
        </is>
      </c>
      <c r="D4279" s="13" t="n">
        <v>0</v>
      </c>
      <c r="E4279" s="13" t="inlineStr">
        <is>
          <t>W</t>
        </is>
      </c>
      <c r="F4279" s="13" t="n">
        <v>2020</v>
      </c>
      <c r="G4279" s="14" t="n">
        <v>69557.63687714227</v>
      </c>
      <c r="H4279" s="14" t="n">
        <v>691.0888214111328</v>
      </c>
      <c r="I4279" s="14" t="n">
        <v>61594.04790433998</v>
      </c>
      <c r="J4279" s="14" t="n">
        <v>0</v>
      </c>
      <c r="K4279" s="14" t="n">
        <v>7272.500151391129</v>
      </c>
      <c r="L4279" s="14" t="n">
        <v>0</v>
      </c>
      <c r="M4279" s="14" t="n">
        <v>0</v>
      </c>
      <c r="N4279" s="14" t="n">
        <v>691.0888214111328</v>
      </c>
      <c r="O4279" s="14" t="n">
        <v>69557.63687714227</v>
      </c>
      <c r="P4279" s="14" t="n">
        <v>0</v>
      </c>
      <c r="Q4279" s="14" t="n">
        <v>165476.1017094332</v>
      </c>
      <c r="R4279" s="15">
        <f>IF(D4279=1,"Section 1","Control")</f>
        <v/>
      </c>
      <c r="S4279" s="16">
        <f>N4279/10000</f>
        <v/>
      </c>
      <c r="T4279" s="16">
        <f>P4279/10000</f>
        <v/>
      </c>
      <c r="U4279" s="15">
        <f>IF(N4279&gt;=Summary!$D$3,1,0)</f>
        <v/>
      </c>
      <c r="V4279" s="17">
        <f>IF(N4279&gt;0,P4279/N4279,"")</f>
        <v/>
      </c>
      <c r="W4279" s="17">
        <f>IF(O4279&gt;0,H4279/O4279,"")</f>
        <v/>
      </c>
    </row>
    <row r="4280">
      <c r="A4280" s="13" t="inlineStr">
        <is>
          <t>CW62_F</t>
        </is>
      </c>
      <c r="B4280" s="13" t="inlineStr">
        <is>
          <t>CW62</t>
        </is>
      </c>
      <c r="C4280" s="13" t="inlineStr">
        <is>
          <t>F</t>
        </is>
      </c>
      <c r="D4280" s="13" t="n">
        <v>0</v>
      </c>
      <c r="E4280" s="13" t="inlineStr">
        <is>
          <t>W</t>
        </is>
      </c>
      <c r="F4280" s="13" t="n">
        <v>2021</v>
      </c>
      <c r="G4280" s="14" t="n">
        <v>69557.63687714227</v>
      </c>
      <c r="H4280" s="14" t="n">
        <v>197.453971862793</v>
      </c>
      <c r="I4280" s="14" t="n">
        <v>61185.9763612336</v>
      </c>
      <c r="J4280" s="14" t="n">
        <v>0</v>
      </c>
      <c r="K4280" s="14" t="n">
        <v>8174.206544045848</v>
      </c>
      <c r="L4280" s="14" t="n">
        <v>0</v>
      </c>
      <c r="M4280" s="14" t="n">
        <v>0</v>
      </c>
      <c r="N4280" s="14" t="n">
        <v>691.0888214111328</v>
      </c>
      <c r="O4280" s="14" t="n">
        <v>69557.63687714227</v>
      </c>
      <c r="P4280" s="14" t="n">
        <v>493.6348495483398</v>
      </c>
      <c r="Q4280" s="14" t="n">
        <v>165476.1017094332</v>
      </c>
      <c r="R4280" s="15">
        <f>IF(D4280=1,"Section 1","Control")</f>
        <v/>
      </c>
      <c r="S4280" s="16">
        <f>N4280/10000</f>
        <v/>
      </c>
      <c r="T4280" s="16">
        <f>P4280/10000</f>
        <v/>
      </c>
      <c r="U4280" s="15">
        <f>IF(N4280&gt;=Summary!$D$3,1,0)</f>
        <v/>
      </c>
      <c r="V4280" s="17">
        <f>IF(N4280&gt;0,P4280/N4280,"")</f>
        <v/>
      </c>
      <c r="W4280" s="17">
        <f>IF(O4280&gt;0,H4280/O4280,"")</f>
        <v/>
      </c>
    </row>
    <row r="4281">
      <c r="A4281" s="13" t="inlineStr">
        <is>
          <t>CW62_F</t>
        </is>
      </c>
      <c r="B4281" s="13" t="inlineStr">
        <is>
          <t>CW62</t>
        </is>
      </c>
      <c r="C4281" s="13" t="inlineStr">
        <is>
          <t>F</t>
        </is>
      </c>
      <c r="D4281" s="13" t="n">
        <v>0</v>
      </c>
      <c r="E4281" s="13" t="inlineStr">
        <is>
          <t>W</t>
        </is>
      </c>
      <c r="F4281" s="13" t="n">
        <v>2022</v>
      </c>
      <c r="G4281" s="14" t="n">
        <v>69557.63687714227</v>
      </c>
      <c r="H4281" s="14" t="n">
        <v>0</v>
      </c>
      <c r="I4281" s="14" t="n">
        <v>61306.38462252152</v>
      </c>
      <c r="J4281" s="14" t="n">
        <v>0</v>
      </c>
      <c r="K4281" s="14" t="n">
        <v>8251.252254620727</v>
      </c>
      <c r="L4281" s="14" t="n">
        <v>0</v>
      </c>
      <c r="M4281" s="14" t="n">
        <v>0</v>
      </c>
      <c r="N4281" s="14" t="n">
        <v>691.0888214111328</v>
      </c>
      <c r="O4281" s="14" t="n">
        <v>69557.63687714227</v>
      </c>
      <c r="P4281" s="14" t="n">
        <v>691.0888214111328</v>
      </c>
      <c r="Q4281" s="14" t="n">
        <v>165476.1017094332</v>
      </c>
      <c r="R4281" s="15">
        <f>IF(D4281=1,"Section 1","Control")</f>
        <v/>
      </c>
      <c r="S4281" s="16">
        <f>N4281/10000</f>
        <v/>
      </c>
      <c r="T4281" s="16">
        <f>P4281/10000</f>
        <v/>
      </c>
      <c r="U4281" s="15">
        <f>IF(N4281&gt;=Summary!$D$3,1,0)</f>
        <v/>
      </c>
      <c r="V4281" s="17">
        <f>IF(N4281&gt;0,P4281/N4281,"")</f>
        <v/>
      </c>
      <c r="W4281" s="17">
        <f>IF(O4281&gt;0,H4281/O4281,"")</f>
        <v/>
      </c>
    </row>
    <row r="4282">
      <c r="A4282" s="13" t="inlineStr">
        <is>
          <t>CW62_F</t>
        </is>
      </c>
      <c r="B4282" s="13" t="inlineStr">
        <is>
          <t>CW62</t>
        </is>
      </c>
      <c r="C4282" s="13" t="inlineStr">
        <is>
          <t>F</t>
        </is>
      </c>
      <c r="D4282" s="13" t="n">
        <v>0</v>
      </c>
      <c r="E4282" s="13" t="inlineStr">
        <is>
          <t>W</t>
        </is>
      </c>
      <c r="F4282" s="13" t="n">
        <v>2023</v>
      </c>
      <c r="G4282" s="14" t="n">
        <v>69557.63687714227</v>
      </c>
      <c r="H4282" s="14" t="n">
        <v>0</v>
      </c>
      <c r="I4282" s="14" t="n">
        <v>61689.67771289304</v>
      </c>
      <c r="J4282" s="14" t="n">
        <v>0</v>
      </c>
      <c r="K4282" s="14" t="n">
        <v>7867.959164249202</v>
      </c>
      <c r="L4282" s="14" t="n">
        <v>0</v>
      </c>
      <c r="M4282" s="14" t="n">
        <v>0</v>
      </c>
      <c r="N4282" s="14" t="n">
        <v>691.0888214111328</v>
      </c>
      <c r="O4282" s="14" t="n">
        <v>69557.63687714227</v>
      </c>
      <c r="P4282" s="14" t="n">
        <v>691.0888214111328</v>
      </c>
      <c r="Q4282" s="14" t="n">
        <v>165476.1017094332</v>
      </c>
      <c r="R4282" s="15">
        <f>IF(D4282=1,"Section 1","Control")</f>
        <v/>
      </c>
      <c r="S4282" s="16">
        <f>N4282/10000</f>
        <v/>
      </c>
      <c r="T4282" s="16">
        <f>P4282/10000</f>
        <v/>
      </c>
      <c r="U4282" s="15">
        <f>IF(N4282&gt;=Summary!$D$3,1,0)</f>
        <v/>
      </c>
      <c r="V4282" s="17">
        <f>IF(N4282&gt;0,P4282/N4282,"")</f>
        <v/>
      </c>
      <c r="W4282" s="17">
        <f>IF(O4282&gt;0,H4282/O4282,"")</f>
        <v/>
      </c>
    </row>
    <row r="4283">
      <c r="A4283" s="13" t="inlineStr">
        <is>
          <t>CW62_F</t>
        </is>
      </c>
      <c r="B4283" s="13" t="inlineStr">
        <is>
          <t>CW62</t>
        </is>
      </c>
      <c r="C4283" s="13" t="inlineStr">
        <is>
          <t>F</t>
        </is>
      </c>
      <c r="D4283" s="13" t="n">
        <v>0</v>
      </c>
      <c r="E4283" s="13" t="inlineStr">
        <is>
          <t>W</t>
        </is>
      </c>
      <c r="F4283" s="13" t="n">
        <v>2024</v>
      </c>
      <c r="G4283" s="14" t="n">
        <v>69557.63687714227</v>
      </c>
      <c r="H4283" s="14" t="n">
        <v>0</v>
      </c>
      <c r="I4283" s="14" t="n">
        <v>59894.78277216892</v>
      </c>
      <c r="J4283" s="14" t="n">
        <v>0</v>
      </c>
      <c r="K4283" s="14" t="n">
        <v>9662.854104973288</v>
      </c>
      <c r="L4283" s="14" t="n">
        <v>0</v>
      </c>
      <c r="M4283" s="14" t="n">
        <v>0</v>
      </c>
      <c r="N4283" s="14" t="n">
        <v>691.0888214111328</v>
      </c>
      <c r="O4283" s="14" t="n">
        <v>69557.63687714227</v>
      </c>
      <c r="P4283" s="14" t="n">
        <v>691.0888214111328</v>
      </c>
      <c r="Q4283" s="14" t="n">
        <v>165476.1017094332</v>
      </c>
      <c r="R4283" s="15">
        <f>IF(D4283=1,"Section 1","Control")</f>
        <v/>
      </c>
      <c r="S4283" s="16">
        <f>N4283/10000</f>
        <v/>
      </c>
      <c r="T4283" s="16">
        <f>P4283/10000</f>
        <v/>
      </c>
      <c r="U4283" s="15">
        <f>IF(N4283&gt;=Summary!$D$3,1,0)</f>
        <v/>
      </c>
      <c r="V4283" s="17">
        <f>IF(N4283&gt;0,P4283/N4283,"")</f>
        <v/>
      </c>
      <c r="W4283" s="17">
        <f>IF(O4283&gt;0,H4283/O4283,"")</f>
        <v/>
      </c>
    </row>
    <row r="4284">
      <c r="A4284" s="13" t="inlineStr">
        <is>
          <t>CW62_F</t>
        </is>
      </c>
      <c r="B4284" s="13" t="inlineStr">
        <is>
          <t>CW62</t>
        </is>
      </c>
      <c r="C4284" s="13" t="inlineStr">
        <is>
          <t>F</t>
        </is>
      </c>
      <c r="D4284" s="13" t="n">
        <v>0</v>
      </c>
      <c r="E4284" s="13" t="inlineStr">
        <is>
          <t>W</t>
        </is>
      </c>
      <c r="F4284" s="13" t="n">
        <v>2025</v>
      </c>
      <c r="G4284" s="14" t="n">
        <v>69557.63687714227</v>
      </c>
      <c r="H4284" s="14" t="n">
        <v>0</v>
      </c>
      <c r="I4284" s="14" t="n">
        <v>60105.01318263632</v>
      </c>
      <c r="J4284" s="14" t="n">
        <v>0</v>
      </c>
      <c r="K4284" s="14" t="n">
        <v>9452.623694505886</v>
      </c>
      <c r="L4284" s="14" t="n">
        <v>0</v>
      </c>
      <c r="M4284" s="14" t="n">
        <v>0</v>
      </c>
      <c r="N4284" s="14" t="n">
        <v>691.0888214111328</v>
      </c>
      <c r="O4284" s="14" t="n">
        <v>69557.63687714227</v>
      </c>
      <c r="P4284" s="14" t="n">
        <v>691.0888214111328</v>
      </c>
      <c r="Q4284" s="14" t="n">
        <v>165476.1017094332</v>
      </c>
      <c r="R4284" s="15">
        <f>IF(D4284=1,"Section 1","Control")</f>
        <v/>
      </c>
      <c r="S4284" s="16">
        <f>N4284/10000</f>
        <v/>
      </c>
      <c r="T4284" s="16">
        <f>P4284/10000</f>
        <v/>
      </c>
      <c r="U4284" s="15">
        <f>IF(N4284&gt;=Summary!$D$3,1,0)</f>
        <v/>
      </c>
      <c r="V4284" s="17">
        <f>IF(N4284&gt;0,P4284/N4284,"")</f>
        <v/>
      </c>
      <c r="W4284" s="17">
        <f>IF(O4284&gt;0,H4284/O4284,"")</f>
        <v/>
      </c>
    </row>
    <row r="4285">
      <c r="A4285" s="13" t="inlineStr">
        <is>
          <t>CW62_F</t>
        </is>
      </c>
      <c r="B4285" s="13" t="inlineStr">
        <is>
          <t>CW62</t>
        </is>
      </c>
      <c r="C4285" s="13" t="inlineStr">
        <is>
          <t>F</t>
        </is>
      </c>
      <c r="D4285" s="13" t="n">
        <v>0</v>
      </c>
      <c r="E4285" s="13" t="inlineStr">
        <is>
          <t>W</t>
        </is>
      </c>
      <c r="F4285" s="13" t="n">
        <v>2026</v>
      </c>
      <c r="G4285" s="14" t="n">
        <v>69557.63687714227</v>
      </c>
      <c r="H4285" s="14" t="n">
        <v>0</v>
      </c>
      <c r="I4285" s="14" t="n">
        <v>60461.9788072773</v>
      </c>
      <c r="J4285" s="14" t="n">
        <v>0</v>
      </c>
      <c r="K4285" s="14" t="n">
        <v>9095.658069864916</v>
      </c>
      <c r="L4285" s="14" t="n">
        <v>0</v>
      </c>
      <c r="M4285" s="14" t="n">
        <v>0</v>
      </c>
      <c r="N4285" s="14" t="n">
        <v>691.0888214111328</v>
      </c>
      <c r="O4285" s="14" t="n">
        <v>69557.63687714227</v>
      </c>
      <c r="P4285" s="14" t="n">
        <v>691.0888214111328</v>
      </c>
      <c r="Q4285" s="14" t="n">
        <v>165476.1017094332</v>
      </c>
      <c r="R4285" s="15">
        <f>IF(D4285=1,"Section 1","Control")</f>
        <v/>
      </c>
      <c r="S4285" s="16">
        <f>N4285/10000</f>
        <v/>
      </c>
      <c r="T4285" s="16">
        <f>P4285/10000</f>
        <v/>
      </c>
      <c r="U4285" s="15">
        <f>IF(N4285&gt;=Summary!$D$3,1,0)</f>
        <v/>
      </c>
      <c r="V4285" s="17">
        <f>IF(N4285&gt;0,P4285/N4285,"")</f>
        <v/>
      </c>
      <c r="W4285" s="17">
        <f>IF(O4285&gt;0,H4285/O4285,"")</f>
        <v/>
      </c>
    </row>
    <row r="4286">
      <c r="A4286" s="13" t="inlineStr">
        <is>
          <t>CW63_B1</t>
        </is>
      </c>
      <c r="B4286" s="13" t="inlineStr">
        <is>
          <t>CW63</t>
        </is>
      </c>
      <c r="C4286" s="13" t="inlineStr">
        <is>
          <t>B1</t>
        </is>
      </c>
      <c r="D4286" s="13" t="n">
        <v>0</v>
      </c>
      <c r="E4286" s="13" t="inlineStr">
        <is>
          <t>W</t>
        </is>
      </c>
      <c r="F4286" s="13" t="n">
        <v>2020</v>
      </c>
      <c r="G4286" s="14" t="n">
        <v>1025780.931681674</v>
      </c>
      <c r="H4286" s="14" t="n">
        <v>365221.6924609014</v>
      </c>
      <c r="I4286" s="14" t="n">
        <v>249139.3694915173</v>
      </c>
      <c r="J4286" s="14" t="n">
        <v>0</v>
      </c>
      <c r="K4286" s="14" t="n">
        <v>92268.10763077084</v>
      </c>
      <c r="L4286" s="14" t="n">
        <v>319151.7620984844</v>
      </c>
      <c r="M4286" s="14" t="n">
        <v>0</v>
      </c>
      <c r="N4286" s="14" t="n">
        <v>365221.6924609014</v>
      </c>
      <c r="O4286" s="14" t="n">
        <v>706629.1695831895</v>
      </c>
      <c r="P4286" s="14" t="n">
        <v>0</v>
      </c>
      <c r="Q4286" s="14" t="n">
        <v>4301517.958636086</v>
      </c>
      <c r="R4286" s="15">
        <f>IF(D4286=1,"Section 1","Control")</f>
        <v/>
      </c>
      <c r="S4286" s="16">
        <f>N4286/10000</f>
        <v/>
      </c>
      <c r="T4286" s="16">
        <f>P4286/10000</f>
        <v/>
      </c>
      <c r="U4286" s="15">
        <f>IF(N4286&gt;=Summary!$D$3,1,0)</f>
        <v/>
      </c>
      <c r="V4286" s="17">
        <f>IF(N4286&gt;0,P4286/N4286,"")</f>
        <v/>
      </c>
      <c r="W4286" s="17">
        <f>IF(O4286&gt;0,H4286/O4286,"")</f>
        <v/>
      </c>
    </row>
    <row r="4287">
      <c r="A4287" s="13" t="inlineStr">
        <is>
          <t>CW63_B1</t>
        </is>
      </c>
      <c r="B4287" s="13" t="inlineStr">
        <is>
          <t>CW63</t>
        </is>
      </c>
      <c r="C4287" s="13" t="inlineStr">
        <is>
          <t>B1</t>
        </is>
      </c>
      <c r="D4287" s="13" t="n">
        <v>0</v>
      </c>
      <c r="E4287" s="13" t="inlineStr">
        <is>
          <t>W</t>
        </is>
      </c>
      <c r="F4287" s="13" t="n">
        <v>2021</v>
      </c>
      <c r="G4287" s="14" t="n">
        <v>1025780.931681674</v>
      </c>
      <c r="H4287" s="14" t="n">
        <v>359303.8914011636</v>
      </c>
      <c r="I4287" s="14" t="n">
        <v>241864.5349000819</v>
      </c>
      <c r="J4287" s="14" t="n">
        <v>0</v>
      </c>
      <c r="K4287" s="14" t="n">
        <v>100898.7616454181</v>
      </c>
      <c r="L4287" s="14" t="n">
        <v>323713.7437350104</v>
      </c>
      <c r="M4287" s="14" t="n">
        <v>0</v>
      </c>
      <c r="N4287" s="14" t="n">
        <v>365221.6924609014</v>
      </c>
      <c r="O4287" s="14" t="n">
        <v>706629.1695831895</v>
      </c>
      <c r="P4287" s="14" t="n">
        <v>10836.31068504184</v>
      </c>
      <c r="Q4287" s="14" t="n">
        <v>4301517.958636086</v>
      </c>
      <c r="R4287" s="15">
        <f>IF(D4287=1,"Section 1","Control")</f>
        <v/>
      </c>
      <c r="S4287" s="16">
        <f>N4287/10000</f>
        <v/>
      </c>
      <c r="T4287" s="16">
        <f>P4287/10000</f>
        <v/>
      </c>
      <c r="U4287" s="15">
        <f>IF(N4287&gt;=Summary!$D$3,1,0)</f>
        <v/>
      </c>
      <c r="V4287" s="17">
        <f>IF(N4287&gt;0,P4287/N4287,"")</f>
        <v/>
      </c>
      <c r="W4287" s="17">
        <f>IF(O4287&gt;0,H4287/O4287,"")</f>
        <v/>
      </c>
    </row>
    <row r="4288">
      <c r="A4288" s="13" t="inlineStr">
        <is>
          <t>CW63_B1</t>
        </is>
      </c>
      <c r="B4288" s="13" t="inlineStr">
        <is>
          <t>CW63</t>
        </is>
      </c>
      <c r="C4288" s="13" t="inlineStr">
        <is>
          <t>B1</t>
        </is>
      </c>
      <c r="D4288" s="13" t="n">
        <v>0</v>
      </c>
      <c r="E4288" s="13" t="inlineStr">
        <is>
          <t>W</t>
        </is>
      </c>
      <c r="F4288" s="13" t="n">
        <v>2022</v>
      </c>
      <c r="G4288" s="14" t="n">
        <v>1025780.931681674</v>
      </c>
      <c r="H4288" s="14" t="n">
        <v>318182.159210564</v>
      </c>
      <c r="I4288" s="14" t="n">
        <v>297379.2235686358</v>
      </c>
      <c r="J4288" s="14" t="n">
        <v>0</v>
      </c>
      <c r="K4288" s="14" t="n">
        <v>103818.7197142358</v>
      </c>
      <c r="L4288" s="14" t="n">
        <v>306400.8291882384</v>
      </c>
      <c r="M4288" s="14" t="n">
        <v>0</v>
      </c>
      <c r="N4288" s="14" t="n">
        <v>365221.6924609014</v>
      </c>
      <c r="O4288" s="14" t="n">
        <v>706629.1695831895</v>
      </c>
      <c r="P4288" s="14" t="n">
        <v>51958.03804623473</v>
      </c>
      <c r="Q4288" s="14" t="n">
        <v>4301517.958636086</v>
      </c>
      <c r="R4288" s="15">
        <f>IF(D4288=1,"Section 1","Control")</f>
        <v/>
      </c>
      <c r="S4288" s="16">
        <f>N4288/10000</f>
        <v/>
      </c>
      <c r="T4288" s="16">
        <f>P4288/10000</f>
        <v/>
      </c>
      <c r="U4288" s="15">
        <f>IF(N4288&gt;=Summary!$D$3,1,0)</f>
        <v/>
      </c>
      <c r="V4288" s="17">
        <f>IF(N4288&gt;0,P4288/N4288,"")</f>
        <v/>
      </c>
      <c r="W4288" s="17">
        <f>IF(O4288&gt;0,H4288/O4288,"")</f>
        <v/>
      </c>
    </row>
    <row r="4289">
      <c r="A4289" s="13" t="inlineStr">
        <is>
          <t>CW63_B1</t>
        </is>
      </c>
      <c r="B4289" s="13" t="inlineStr">
        <is>
          <t>CW63</t>
        </is>
      </c>
      <c r="C4289" s="13" t="inlineStr">
        <is>
          <t>B1</t>
        </is>
      </c>
      <c r="D4289" s="13" t="n">
        <v>0</v>
      </c>
      <c r="E4289" s="13" t="inlineStr">
        <is>
          <t>W</t>
        </is>
      </c>
      <c r="F4289" s="13" t="n">
        <v>2023</v>
      </c>
      <c r="G4289" s="14" t="n">
        <v>1025780.931681674</v>
      </c>
      <c r="H4289" s="14" t="n">
        <v>285903.6984362133</v>
      </c>
      <c r="I4289" s="14" t="n">
        <v>279987.1558447445</v>
      </c>
      <c r="J4289" s="14" t="n">
        <v>0</v>
      </c>
      <c r="K4289" s="14" t="n">
        <v>123682.8611044491</v>
      </c>
      <c r="L4289" s="14" t="n">
        <v>336207.216296267</v>
      </c>
      <c r="M4289" s="14" t="n">
        <v>0</v>
      </c>
      <c r="N4289" s="14" t="n">
        <v>365221.6924609015</v>
      </c>
      <c r="O4289" s="14" t="n">
        <v>706629.1695831894</v>
      </c>
      <c r="P4289" s="14" t="n">
        <v>84129.25715463675</v>
      </c>
      <c r="Q4289" s="14" t="n">
        <v>4301517.958636086</v>
      </c>
      <c r="R4289" s="15">
        <f>IF(D4289=1,"Section 1","Control")</f>
        <v/>
      </c>
      <c r="S4289" s="16">
        <f>N4289/10000</f>
        <v/>
      </c>
      <c r="T4289" s="16">
        <f>P4289/10000</f>
        <v/>
      </c>
      <c r="U4289" s="15">
        <f>IF(N4289&gt;=Summary!$D$3,1,0)</f>
        <v/>
      </c>
      <c r="V4289" s="17">
        <f>IF(N4289&gt;0,P4289/N4289,"")</f>
        <v/>
      </c>
      <c r="W4289" s="17">
        <f>IF(O4289&gt;0,H4289/O4289,"")</f>
        <v/>
      </c>
    </row>
    <row r="4290">
      <c r="A4290" s="13" t="inlineStr">
        <is>
          <t>CW63_B1</t>
        </is>
      </c>
      <c r="B4290" s="13" t="inlineStr">
        <is>
          <t>CW63</t>
        </is>
      </c>
      <c r="C4290" s="13" t="inlineStr">
        <is>
          <t>B1</t>
        </is>
      </c>
      <c r="D4290" s="13" t="n">
        <v>0</v>
      </c>
      <c r="E4290" s="13" t="inlineStr">
        <is>
          <t>W</t>
        </is>
      </c>
      <c r="F4290" s="13" t="n">
        <v>2024</v>
      </c>
      <c r="G4290" s="14" t="n">
        <v>1025780.931681674</v>
      </c>
      <c r="H4290" s="14" t="n">
        <v>308726.9372969981</v>
      </c>
      <c r="I4290" s="14" t="n">
        <v>268212.7874522789</v>
      </c>
      <c r="J4290" s="14" t="n">
        <v>0</v>
      </c>
      <c r="K4290" s="14" t="n">
        <v>114723.5274568446</v>
      </c>
      <c r="L4290" s="14" t="n">
        <v>334117.6794755523</v>
      </c>
      <c r="M4290" s="14" t="n">
        <v>0</v>
      </c>
      <c r="N4290" s="14" t="n">
        <v>365221.6924609015</v>
      </c>
      <c r="O4290" s="14" t="n">
        <v>706629.1695831894</v>
      </c>
      <c r="P4290" s="14" t="n">
        <v>64445.51879840926</v>
      </c>
      <c r="Q4290" s="14" t="n">
        <v>4301517.958636086</v>
      </c>
      <c r="R4290" s="15">
        <f>IF(D4290=1,"Section 1","Control")</f>
        <v/>
      </c>
      <c r="S4290" s="16">
        <f>N4290/10000</f>
        <v/>
      </c>
      <c r="T4290" s="16">
        <f>P4290/10000</f>
        <v/>
      </c>
      <c r="U4290" s="15">
        <f>IF(N4290&gt;=Summary!$D$3,1,0)</f>
        <v/>
      </c>
      <c r="V4290" s="17">
        <f>IF(N4290&gt;0,P4290/N4290,"")</f>
        <v/>
      </c>
      <c r="W4290" s="17">
        <f>IF(O4290&gt;0,H4290/O4290,"")</f>
        <v/>
      </c>
    </row>
    <row r="4291">
      <c r="A4291" s="13" t="inlineStr">
        <is>
          <t>CW63_B1</t>
        </is>
      </c>
      <c r="B4291" s="13" t="inlineStr">
        <is>
          <t>CW63</t>
        </is>
      </c>
      <c r="C4291" s="13" t="inlineStr">
        <is>
          <t>B1</t>
        </is>
      </c>
      <c r="D4291" s="13" t="n">
        <v>0</v>
      </c>
      <c r="E4291" s="13" t="inlineStr">
        <is>
          <t>W</t>
        </is>
      </c>
      <c r="F4291" s="13" t="n">
        <v>2025</v>
      </c>
      <c r="G4291" s="14" t="n">
        <v>1025780.931681674</v>
      </c>
      <c r="H4291" s="14" t="n">
        <v>279987.0764421648</v>
      </c>
      <c r="I4291" s="14" t="n">
        <v>291183.5154899149</v>
      </c>
      <c r="J4291" s="14" t="n">
        <v>0</v>
      </c>
      <c r="K4291" s="14" t="n">
        <v>120748.1917364083</v>
      </c>
      <c r="L4291" s="14" t="n">
        <v>333862.1480131859</v>
      </c>
      <c r="M4291" s="14" t="n">
        <v>0</v>
      </c>
      <c r="N4291" s="14" t="n">
        <v>365221.6924609014</v>
      </c>
      <c r="O4291" s="14" t="n">
        <v>706629.1695831895</v>
      </c>
      <c r="P4291" s="14" t="n">
        <v>92790.4734261307</v>
      </c>
      <c r="Q4291" s="14" t="n">
        <v>4301517.958636086</v>
      </c>
      <c r="R4291" s="15">
        <f>IF(D4291=1,"Section 1","Control")</f>
        <v/>
      </c>
      <c r="S4291" s="16">
        <f>N4291/10000</f>
        <v/>
      </c>
      <c r="T4291" s="16">
        <f>P4291/10000</f>
        <v/>
      </c>
      <c r="U4291" s="15">
        <f>IF(N4291&gt;=Summary!$D$3,1,0)</f>
        <v/>
      </c>
      <c r="V4291" s="17">
        <f>IF(N4291&gt;0,P4291/N4291,"")</f>
        <v/>
      </c>
      <c r="W4291" s="17">
        <f>IF(O4291&gt;0,H4291/O4291,"")</f>
        <v/>
      </c>
    </row>
    <row r="4292">
      <c r="A4292" s="13" t="inlineStr">
        <is>
          <t>CW63_B1</t>
        </is>
      </c>
      <c r="B4292" s="13" t="inlineStr">
        <is>
          <t>CW63</t>
        </is>
      </c>
      <c r="C4292" s="13" t="inlineStr">
        <is>
          <t>B1</t>
        </is>
      </c>
      <c r="D4292" s="13" t="n">
        <v>0</v>
      </c>
      <c r="E4292" s="13" t="inlineStr">
        <is>
          <t>W</t>
        </is>
      </c>
      <c r="F4292" s="13" t="n">
        <v>2026</v>
      </c>
      <c r="G4292" s="14" t="n">
        <v>1025780.931681674</v>
      </c>
      <c r="H4292" s="14" t="n">
        <v>330367.7615986841</v>
      </c>
      <c r="I4292" s="14" t="n">
        <v>237183.6493579042</v>
      </c>
      <c r="J4292" s="14" t="n">
        <v>0</v>
      </c>
      <c r="K4292" s="14" t="n">
        <v>125492.0961819518</v>
      </c>
      <c r="L4292" s="14" t="n">
        <v>332737.4245431339</v>
      </c>
      <c r="M4292" s="14" t="n">
        <v>0</v>
      </c>
      <c r="N4292" s="14" t="n">
        <v>365221.6924609014</v>
      </c>
      <c r="O4292" s="14" t="n">
        <v>706629.1695831895</v>
      </c>
      <c r="P4292" s="14" t="n">
        <v>47510.27984176337</v>
      </c>
      <c r="Q4292" s="14" t="n">
        <v>4301517.958636086</v>
      </c>
      <c r="R4292" s="15">
        <f>IF(D4292=1,"Section 1","Control")</f>
        <v/>
      </c>
      <c r="S4292" s="16">
        <f>N4292/10000</f>
        <v/>
      </c>
      <c r="T4292" s="16">
        <f>P4292/10000</f>
        <v/>
      </c>
      <c r="U4292" s="15">
        <f>IF(N4292&gt;=Summary!$D$3,1,0)</f>
        <v/>
      </c>
      <c r="V4292" s="17">
        <f>IF(N4292&gt;0,P4292/N4292,"")</f>
        <v/>
      </c>
      <c r="W4292" s="17">
        <f>IF(O4292&gt;0,H4292/O4292,"")</f>
        <v/>
      </c>
    </row>
    <row r="4293">
      <c r="A4293" s="13" t="inlineStr">
        <is>
          <t>CW63_B2</t>
        </is>
      </c>
      <c r="B4293" s="13" t="inlineStr">
        <is>
          <t>CW63</t>
        </is>
      </c>
      <c r="C4293" s="13" t="inlineStr">
        <is>
          <t>B2</t>
        </is>
      </c>
      <c r="D4293" s="13" t="n">
        <v>0</v>
      </c>
      <c r="E4293" s="13" t="inlineStr">
        <is>
          <t>W</t>
        </is>
      </c>
      <c r="F4293" s="13" t="n">
        <v>2020</v>
      </c>
      <c r="G4293" s="14" t="n">
        <v>1026267.978536329</v>
      </c>
      <c r="H4293" s="14" t="n">
        <v>61736.69916405772</v>
      </c>
      <c r="I4293" s="14" t="n">
        <v>543.1871757956112</v>
      </c>
      <c r="J4293" s="14" t="n">
        <v>0</v>
      </c>
      <c r="K4293" s="14" t="n">
        <v>10445.21338527904</v>
      </c>
      <c r="L4293" s="14" t="n">
        <v>953542.8788111964</v>
      </c>
      <c r="M4293" s="14" t="n">
        <v>0</v>
      </c>
      <c r="N4293" s="14" t="n">
        <v>61736.69916405772</v>
      </c>
      <c r="O4293" s="14" t="n">
        <v>72725.09972513237</v>
      </c>
      <c r="P4293" s="14" t="n">
        <v>0</v>
      </c>
      <c r="Q4293" s="14" t="n">
        <v>473117.3342684578</v>
      </c>
      <c r="R4293" s="15">
        <f>IF(D4293=1,"Section 1","Control")</f>
        <v/>
      </c>
      <c r="S4293" s="16">
        <f>N4293/10000</f>
        <v/>
      </c>
      <c r="T4293" s="16">
        <f>P4293/10000</f>
        <v/>
      </c>
      <c r="U4293" s="15">
        <f>IF(N4293&gt;=Summary!$D$3,1,0)</f>
        <v/>
      </c>
      <c r="V4293" s="17">
        <f>IF(N4293&gt;0,P4293/N4293,"")</f>
        <v/>
      </c>
      <c r="W4293" s="17">
        <f>IF(O4293&gt;0,H4293/O4293,"")</f>
        <v/>
      </c>
    </row>
    <row r="4294">
      <c r="A4294" s="13" t="inlineStr">
        <is>
          <t>CW63_B2</t>
        </is>
      </c>
      <c r="B4294" s="13" t="inlineStr">
        <is>
          <t>CW63</t>
        </is>
      </c>
      <c r="C4294" s="13" t="inlineStr">
        <is>
          <t>B2</t>
        </is>
      </c>
      <c r="D4294" s="13" t="n">
        <v>0</v>
      </c>
      <c r="E4294" s="13" t="inlineStr">
        <is>
          <t>W</t>
        </is>
      </c>
      <c r="F4294" s="13" t="n">
        <v>2021</v>
      </c>
      <c r="G4294" s="14" t="n">
        <v>1026267.978536329</v>
      </c>
      <c r="H4294" s="14" t="n">
        <v>60798.99579877667</v>
      </c>
      <c r="I4294" s="14" t="n">
        <v>197.4521484375</v>
      </c>
      <c r="J4294" s="14" t="n">
        <v>0</v>
      </c>
      <c r="K4294" s="14" t="n">
        <v>14249.06819933723</v>
      </c>
      <c r="L4294" s="14" t="n">
        <v>951022.4623897772</v>
      </c>
      <c r="M4294" s="14" t="n">
        <v>0</v>
      </c>
      <c r="N4294" s="14" t="n">
        <v>61736.69916405772</v>
      </c>
      <c r="O4294" s="14" t="n">
        <v>72725.09972513237</v>
      </c>
      <c r="P4294" s="14" t="n">
        <v>1777.068542480469</v>
      </c>
      <c r="Q4294" s="14" t="n">
        <v>473117.3342684578</v>
      </c>
      <c r="R4294" s="15">
        <f>IF(D4294=1,"Section 1","Control")</f>
        <v/>
      </c>
      <c r="S4294" s="16">
        <f>N4294/10000</f>
        <v/>
      </c>
      <c r="T4294" s="16">
        <f>P4294/10000</f>
        <v/>
      </c>
      <c r="U4294" s="15">
        <f>IF(N4294&gt;=Summary!$D$3,1,0)</f>
        <v/>
      </c>
      <c r="V4294" s="17">
        <f>IF(N4294&gt;0,P4294/N4294,"")</f>
        <v/>
      </c>
      <c r="W4294" s="17">
        <f>IF(O4294&gt;0,H4294/O4294,"")</f>
        <v/>
      </c>
    </row>
    <row r="4295">
      <c r="A4295" s="13" t="inlineStr">
        <is>
          <t>CW63_B2</t>
        </is>
      </c>
      <c r="B4295" s="13" t="inlineStr">
        <is>
          <t>CW63</t>
        </is>
      </c>
      <c r="C4295" s="13" t="inlineStr">
        <is>
          <t>B2</t>
        </is>
      </c>
      <c r="D4295" s="13" t="n">
        <v>0</v>
      </c>
      <c r="E4295" s="13" t="inlineStr">
        <is>
          <t>W</t>
        </is>
      </c>
      <c r="F4295" s="13" t="n">
        <v>2022</v>
      </c>
      <c r="G4295" s="14" t="n">
        <v>1026267.978536329</v>
      </c>
      <c r="H4295" s="14" t="n">
        <v>57172.07081861309</v>
      </c>
      <c r="I4295" s="14" t="n">
        <v>394.9042663574219</v>
      </c>
      <c r="J4295" s="14" t="n">
        <v>0</v>
      </c>
      <c r="K4295" s="14" t="n">
        <v>29153.98763293098</v>
      </c>
      <c r="L4295" s="14" t="n">
        <v>939547.0158184275</v>
      </c>
      <c r="M4295" s="14" t="n">
        <v>0</v>
      </c>
      <c r="N4295" s="14" t="n">
        <v>61736.69916405772</v>
      </c>
      <c r="O4295" s="14" t="n">
        <v>72725.09972513237</v>
      </c>
      <c r="P4295" s="14" t="n">
        <v>5502.719650268555</v>
      </c>
      <c r="Q4295" s="14" t="n">
        <v>473117.3342684578</v>
      </c>
      <c r="R4295" s="15">
        <f>IF(D4295=1,"Section 1","Control")</f>
        <v/>
      </c>
      <c r="S4295" s="16">
        <f>N4295/10000</f>
        <v/>
      </c>
      <c r="T4295" s="16">
        <f>P4295/10000</f>
        <v/>
      </c>
      <c r="U4295" s="15">
        <f>IF(N4295&gt;=Summary!$D$3,1,0)</f>
        <v/>
      </c>
      <c r="V4295" s="17">
        <f>IF(N4295&gt;0,P4295/N4295,"")</f>
        <v/>
      </c>
      <c r="W4295" s="17">
        <f>IF(O4295&gt;0,H4295/O4295,"")</f>
        <v/>
      </c>
    </row>
    <row r="4296">
      <c r="A4296" s="13" t="inlineStr">
        <is>
          <t>CW63_B2</t>
        </is>
      </c>
      <c r="B4296" s="13" t="inlineStr">
        <is>
          <t>CW63</t>
        </is>
      </c>
      <c r="C4296" s="13" t="inlineStr">
        <is>
          <t>B2</t>
        </is>
      </c>
      <c r="D4296" s="13" t="n">
        <v>0</v>
      </c>
      <c r="E4296" s="13" t="inlineStr">
        <is>
          <t>W</t>
        </is>
      </c>
      <c r="F4296" s="13" t="n">
        <v>2023</v>
      </c>
      <c r="G4296" s="14" t="n">
        <v>1026267.978536329</v>
      </c>
      <c r="H4296" s="14" t="n">
        <v>47270.42731733136</v>
      </c>
      <c r="I4296" s="14" t="n">
        <v>2621.081283569336</v>
      </c>
      <c r="J4296" s="14" t="n">
        <v>0</v>
      </c>
      <c r="K4296" s="14" t="n">
        <v>23573.06952541576</v>
      </c>
      <c r="L4296" s="14" t="n">
        <v>952803.4004100122</v>
      </c>
      <c r="M4296" s="14" t="n">
        <v>0</v>
      </c>
      <c r="N4296" s="14" t="n">
        <v>61736.69916405772</v>
      </c>
      <c r="O4296" s="14" t="n">
        <v>72725.09972513237</v>
      </c>
      <c r="P4296" s="14" t="n">
        <v>15108.18501281738</v>
      </c>
      <c r="Q4296" s="14" t="n">
        <v>473117.3342684578</v>
      </c>
      <c r="R4296" s="15">
        <f>IF(D4296=1,"Section 1","Control")</f>
        <v/>
      </c>
      <c r="S4296" s="16">
        <f>N4296/10000</f>
        <v/>
      </c>
      <c r="T4296" s="16">
        <f>P4296/10000</f>
        <v/>
      </c>
      <c r="U4296" s="15">
        <f>IF(N4296&gt;=Summary!$D$3,1,0)</f>
        <v/>
      </c>
      <c r="V4296" s="17">
        <f>IF(N4296&gt;0,P4296/N4296,"")</f>
        <v/>
      </c>
      <c r="W4296" s="17">
        <f>IF(O4296&gt;0,H4296/O4296,"")</f>
        <v/>
      </c>
    </row>
    <row r="4297">
      <c r="A4297" s="13" t="inlineStr">
        <is>
          <t>CW63_B2</t>
        </is>
      </c>
      <c r="B4297" s="13" t="inlineStr">
        <is>
          <t>CW63</t>
        </is>
      </c>
      <c r="C4297" s="13" t="inlineStr">
        <is>
          <t>B2</t>
        </is>
      </c>
      <c r="D4297" s="13" t="n">
        <v>0</v>
      </c>
      <c r="E4297" s="13" t="inlineStr">
        <is>
          <t>W</t>
        </is>
      </c>
      <c r="F4297" s="13" t="n">
        <v>2024</v>
      </c>
      <c r="G4297" s="14" t="n">
        <v>1026267.978536329</v>
      </c>
      <c r="H4297" s="14" t="n">
        <v>43593.1721728755</v>
      </c>
      <c r="I4297" s="14" t="n">
        <v>7594.165664672852</v>
      </c>
      <c r="J4297" s="14" t="n">
        <v>0</v>
      </c>
      <c r="K4297" s="14" t="n">
        <v>23955.5818033555</v>
      </c>
      <c r="L4297" s="14" t="n">
        <v>951125.0588954246</v>
      </c>
      <c r="M4297" s="14" t="n">
        <v>0</v>
      </c>
      <c r="N4297" s="14" t="n">
        <v>61736.69916405772</v>
      </c>
      <c r="O4297" s="14" t="n">
        <v>72725.09972513237</v>
      </c>
      <c r="P4297" s="14" t="n">
        <v>18686.71416697783</v>
      </c>
      <c r="Q4297" s="14" t="n">
        <v>473117.3342684578</v>
      </c>
      <c r="R4297" s="15">
        <f>IF(D4297=1,"Section 1","Control")</f>
        <v/>
      </c>
      <c r="S4297" s="16">
        <f>N4297/10000</f>
        <v/>
      </c>
      <c r="T4297" s="16">
        <f>P4297/10000</f>
        <v/>
      </c>
      <c r="U4297" s="15">
        <f>IF(N4297&gt;=Summary!$D$3,1,0)</f>
        <v/>
      </c>
      <c r="V4297" s="17">
        <f>IF(N4297&gt;0,P4297/N4297,"")</f>
        <v/>
      </c>
      <c r="W4297" s="17">
        <f>IF(O4297&gt;0,H4297/O4297,"")</f>
        <v/>
      </c>
    </row>
    <row r="4298">
      <c r="A4298" s="13" t="inlineStr">
        <is>
          <t>CW63_B2</t>
        </is>
      </c>
      <c r="B4298" s="13" t="inlineStr">
        <is>
          <t>CW63</t>
        </is>
      </c>
      <c r="C4298" s="13" t="inlineStr">
        <is>
          <t>B2</t>
        </is>
      </c>
      <c r="D4298" s="13" t="n">
        <v>0</v>
      </c>
      <c r="E4298" s="13" t="inlineStr">
        <is>
          <t>W</t>
        </is>
      </c>
      <c r="F4298" s="13" t="n">
        <v>2025</v>
      </c>
      <c r="G4298" s="14" t="n">
        <v>1026267.978536329</v>
      </c>
      <c r="H4298" s="14" t="n">
        <v>42939.64424929152</v>
      </c>
      <c r="I4298" s="14" t="n">
        <v>6384.287773132324</v>
      </c>
      <c r="J4298" s="14" t="n">
        <v>0</v>
      </c>
      <c r="K4298" s="14" t="n">
        <v>23869.6330042222</v>
      </c>
      <c r="L4298" s="14" t="n">
        <v>953074.4135096826</v>
      </c>
      <c r="M4298" s="14" t="n">
        <v>0</v>
      </c>
      <c r="N4298" s="14" t="n">
        <v>61736.69916405772</v>
      </c>
      <c r="O4298" s="14" t="n">
        <v>72725.09972513237</v>
      </c>
      <c r="P4298" s="14" t="n">
        <v>19340.24209056181</v>
      </c>
      <c r="Q4298" s="14" t="n">
        <v>473117.3342684578</v>
      </c>
      <c r="R4298" s="15">
        <f>IF(D4298=1,"Section 1","Control")</f>
        <v/>
      </c>
      <c r="S4298" s="16">
        <f>N4298/10000</f>
        <v/>
      </c>
      <c r="T4298" s="16">
        <f>P4298/10000</f>
        <v/>
      </c>
      <c r="U4298" s="15">
        <f>IF(N4298&gt;=Summary!$D$3,1,0)</f>
        <v/>
      </c>
      <c r="V4298" s="17">
        <f>IF(N4298&gt;0,P4298/N4298,"")</f>
        <v/>
      </c>
      <c r="W4298" s="17">
        <f>IF(O4298&gt;0,H4298/O4298,"")</f>
        <v/>
      </c>
    </row>
    <row r="4299">
      <c r="A4299" s="13" t="inlineStr">
        <is>
          <t>CW63_B2</t>
        </is>
      </c>
      <c r="B4299" s="13" t="inlineStr">
        <is>
          <t>CW63</t>
        </is>
      </c>
      <c r="C4299" s="13" t="inlineStr">
        <is>
          <t>B2</t>
        </is>
      </c>
      <c r="D4299" s="13" t="n">
        <v>0</v>
      </c>
      <c r="E4299" s="13" t="inlineStr">
        <is>
          <t>W</t>
        </is>
      </c>
      <c r="F4299" s="13" t="n">
        <v>2026</v>
      </c>
      <c r="G4299" s="14" t="n">
        <v>1026267.978536329</v>
      </c>
      <c r="H4299" s="14" t="n">
        <v>41988.39180788527</v>
      </c>
      <c r="I4299" s="14" t="n">
        <v>3442.249877929688</v>
      </c>
      <c r="J4299" s="14" t="n">
        <v>0</v>
      </c>
      <c r="K4299" s="14" t="n">
        <v>19625.1892176011</v>
      </c>
      <c r="L4299" s="14" t="n">
        <v>961212.1476329124</v>
      </c>
      <c r="M4299" s="14" t="n">
        <v>0</v>
      </c>
      <c r="N4299" s="14" t="n">
        <v>61736.69916405772</v>
      </c>
      <c r="O4299" s="14" t="n">
        <v>72725.09972513237</v>
      </c>
      <c r="P4299" s="14" t="n">
        <v>20291.49453196806</v>
      </c>
      <c r="Q4299" s="14" t="n">
        <v>473117.3342684578</v>
      </c>
      <c r="R4299" s="15">
        <f>IF(D4299=1,"Section 1","Control")</f>
        <v/>
      </c>
      <c r="S4299" s="16">
        <f>N4299/10000</f>
        <v/>
      </c>
      <c r="T4299" s="16">
        <f>P4299/10000</f>
        <v/>
      </c>
      <c r="U4299" s="15">
        <f>IF(N4299&gt;=Summary!$D$3,1,0)</f>
        <v/>
      </c>
      <c r="V4299" s="17">
        <f>IF(N4299&gt;0,P4299/N4299,"")</f>
        <v/>
      </c>
      <c r="W4299" s="17">
        <f>IF(O4299&gt;0,H4299/O4299,"")</f>
        <v/>
      </c>
    </row>
    <row r="4300">
      <c r="A4300" s="13" t="inlineStr">
        <is>
          <t>CW63_B3</t>
        </is>
      </c>
      <c r="B4300" s="13" t="inlineStr">
        <is>
          <t>CW63</t>
        </is>
      </c>
      <c r="C4300" s="13" t="inlineStr">
        <is>
          <t>B3</t>
        </is>
      </c>
      <c r="D4300" s="13" t="n">
        <v>0</v>
      </c>
      <c r="E4300" s="13" t="inlineStr">
        <is>
          <t>W</t>
        </is>
      </c>
      <c r="F4300" s="13" t="n">
        <v>2020</v>
      </c>
      <c r="G4300" s="14" t="n">
        <v>8207937.949288999</v>
      </c>
      <c r="H4300" s="14" t="n">
        <v>1086969.931109021</v>
      </c>
      <c r="I4300" s="14" t="n">
        <v>182537.6887931674</v>
      </c>
      <c r="J4300" s="14" t="n">
        <v>0</v>
      </c>
      <c r="K4300" s="14" t="n">
        <v>2424227.290927363</v>
      </c>
      <c r="L4300" s="14" t="n">
        <v>4514203.038459449</v>
      </c>
      <c r="M4300" s="14" t="n">
        <v>0</v>
      </c>
      <c r="N4300" s="14" t="n">
        <v>1086969.931109021</v>
      </c>
      <c r="O4300" s="14" t="n">
        <v>3693734.910829551</v>
      </c>
      <c r="P4300" s="14" t="n">
        <v>0</v>
      </c>
      <c r="Q4300" s="14" t="n">
        <v>14470014.42238626</v>
      </c>
      <c r="R4300" s="15">
        <f>IF(D4300=1,"Section 1","Control")</f>
        <v/>
      </c>
      <c r="S4300" s="16">
        <f>N4300/10000</f>
        <v/>
      </c>
      <c r="T4300" s="16">
        <f>P4300/10000</f>
        <v/>
      </c>
      <c r="U4300" s="15">
        <f>IF(N4300&gt;=Summary!$D$3,1,0)</f>
        <v/>
      </c>
      <c r="V4300" s="17">
        <f>IF(N4300&gt;0,P4300/N4300,"")</f>
        <v/>
      </c>
      <c r="W4300" s="17">
        <f>IF(O4300&gt;0,H4300/O4300,"")</f>
        <v/>
      </c>
    </row>
    <row r="4301">
      <c r="A4301" s="13" t="inlineStr">
        <is>
          <t>CW63_B3</t>
        </is>
      </c>
      <c r="B4301" s="13" t="inlineStr">
        <is>
          <t>CW63</t>
        </is>
      </c>
      <c r="C4301" s="13" t="inlineStr">
        <is>
          <t>B3</t>
        </is>
      </c>
      <c r="D4301" s="13" t="n">
        <v>0</v>
      </c>
      <c r="E4301" s="13" t="inlineStr">
        <is>
          <t>W</t>
        </is>
      </c>
      <c r="F4301" s="13" t="n">
        <v>2021</v>
      </c>
      <c r="G4301" s="14" t="n">
        <v>8207937.949288999</v>
      </c>
      <c r="H4301" s="14" t="n">
        <v>1028544.743929036</v>
      </c>
      <c r="I4301" s="14" t="n">
        <v>183653.4150730806</v>
      </c>
      <c r="J4301" s="14" t="n">
        <v>0</v>
      </c>
      <c r="K4301" s="14" t="n">
        <v>2561769.370134151</v>
      </c>
      <c r="L4301" s="14" t="n">
        <v>4433970.420152731</v>
      </c>
      <c r="M4301" s="14" t="n">
        <v>0</v>
      </c>
      <c r="N4301" s="14" t="n">
        <v>1086969.931109021</v>
      </c>
      <c r="O4301" s="14" t="n">
        <v>3693734.910829551</v>
      </c>
      <c r="P4301" s="14" t="n">
        <v>84573.60096223121</v>
      </c>
      <c r="Q4301" s="14" t="n">
        <v>14470014.42238626</v>
      </c>
      <c r="R4301" s="15">
        <f>IF(D4301=1,"Section 1","Control")</f>
        <v/>
      </c>
      <c r="S4301" s="16">
        <f>N4301/10000</f>
        <v/>
      </c>
      <c r="T4301" s="16">
        <f>P4301/10000</f>
        <v/>
      </c>
      <c r="U4301" s="15">
        <f>IF(N4301&gt;=Summary!$D$3,1,0)</f>
        <v/>
      </c>
      <c r="V4301" s="17">
        <f>IF(N4301&gt;0,P4301/N4301,"")</f>
        <v/>
      </c>
      <c r="W4301" s="17">
        <f>IF(O4301&gt;0,H4301/O4301,"")</f>
        <v/>
      </c>
    </row>
    <row r="4302">
      <c r="A4302" s="13" t="inlineStr">
        <is>
          <t>CW63_B3</t>
        </is>
      </c>
      <c r="B4302" s="13" t="inlineStr">
        <is>
          <t>CW63</t>
        </is>
      </c>
      <c r="C4302" s="13" t="inlineStr">
        <is>
          <t>B3</t>
        </is>
      </c>
      <c r="D4302" s="13" t="n">
        <v>0</v>
      </c>
      <c r="E4302" s="13" t="inlineStr">
        <is>
          <t>W</t>
        </is>
      </c>
      <c r="F4302" s="13" t="n">
        <v>2022</v>
      </c>
      <c r="G4302" s="14" t="n">
        <v>8207937.949288998</v>
      </c>
      <c r="H4302" s="14" t="n">
        <v>890123.728801443</v>
      </c>
      <c r="I4302" s="14" t="n">
        <v>219198.4437646604</v>
      </c>
      <c r="J4302" s="14" t="n">
        <v>0</v>
      </c>
      <c r="K4302" s="14" t="n">
        <v>2646030.227739281</v>
      </c>
      <c r="L4302" s="14" t="n">
        <v>4452585.548983616</v>
      </c>
      <c r="M4302" s="14" t="n">
        <v>0</v>
      </c>
      <c r="N4302" s="14" t="n">
        <v>1086969.931109021</v>
      </c>
      <c r="O4302" s="14" t="n">
        <v>3693734.910829551</v>
      </c>
      <c r="P4302" s="14" t="n">
        <v>211852.0803822237</v>
      </c>
      <c r="Q4302" s="14" t="n">
        <v>14470014.42238626</v>
      </c>
      <c r="R4302" s="15">
        <f>IF(D4302=1,"Section 1","Control")</f>
        <v/>
      </c>
      <c r="S4302" s="16">
        <f>N4302/10000</f>
        <v/>
      </c>
      <c r="T4302" s="16">
        <f>P4302/10000</f>
        <v/>
      </c>
      <c r="U4302" s="15">
        <f>IF(N4302&gt;=Summary!$D$3,1,0)</f>
        <v/>
      </c>
      <c r="V4302" s="17">
        <f>IF(N4302&gt;0,P4302/N4302,"")</f>
        <v/>
      </c>
      <c r="W4302" s="17">
        <f>IF(O4302&gt;0,H4302/O4302,"")</f>
        <v/>
      </c>
    </row>
    <row r="4303">
      <c r="A4303" s="13" t="inlineStr">
        <is>
          <t>CW63_B3</t>
        </is>
      </c>
      <c r="B4303" s="13" t="inlineStr">
        <is>
          <t>CW63</t>
        </is>
      </c>
      <c r="C4303" s="13" t="inlineStr">
        <is>
          <t>B3</t>
        </is>
      </c>
      <c r="D4303" s="13" t="n">
        <v>0</v>
      </c>
      <c r="E4303" s="13" t="inlineStr">
        <is>
          <t>W</t>
        </is>
      </c>
      <c r="F4303" s="13" t="n">
        <v>2023</v>
      </c>
      <c r="G4303" s="14" t="n">
        <v>8207937.949288999</v>
      </c>
      <c r="H4303" s="14" t="n">
        <v>857998.1448144054</v>
      </c>
      <c r="I4303" s="14" t="n">
        <v>216552.4376519596</v>
      </c>
      <c r="J4303" s="14" t="n">
        <v>0</v>
      </c>
      <c r="K4303" s="14" t="n">
        <v>2620418.975628811</v>
      </c>
      <c r="L4303" s="14" t="n">
        <v>4512968.391193824</v>
      </c>
      <c r="M4303" s="14" t="n">
        <v>0</v>
      </c>
      <c r="N4303" s="14" t="n">
        <v>1086969.931109021</v>
      </c>
      <c r="O4303" s="14" t="n">
        <v>3693734.910829551</v>
      </c>
      <c r="P4303" s="14" t="n">
        <v>255897.1107628617</v>
      </c>
      <c r="Q4303" s="14" t="n">
        <v>14470014.42238626</v>
      </c>
      <c r="R4303" s="15">
        <f>IF(D4303=1,"Section 1","Control")</f>
        <v/>
      </c>
      <c r="S4303" s="16">
        <f>N4303/10000</f>
        <v/>
      </c>
      <c r="T4303" s="16">
        <f>P4303/10000</f>
        <v/>
      </c>
      <c r="U4303" s="15">
        <f>IF(N4303&gt;=Summary!$D$3,1,0)</f>
        <v/>
      </c>
      <c r="V4303" s="17">
        <f>IF(N4303&gt;0,P4303/N4303,"")</f>
        <v/>
      </c>
      <c r="W4303" s="17">
        <f>IF(O4303&gt;0,H4303/O4303,"")</f>
        <v/>
      </c>
    </row>
    <row r="4304">
      <c r="A4304" s="13" t="inlineStr">
        <is>
          <t>CW63_B3</t>
        </is>
      </c>
      <c r="B4304" s="13" t="inlineStr">
        <is>
          <t>CW63</t>
        </is>
      </c>
      <c r="C4304" s="13" t="inlineStr">
        <is>
          <t>B3</t>
        </is>
      </c>
      <c r="D4304" s="13" t="n">
        <v>0</v>
      </c>
      <c r="E4304" s="13" t="inlineStr">
        <is>
          <t>W</t>
        </is>
      </c>
      <c r="F4304" s="13" t="n">
        <v>2024</v>
      </c>
      <c r="G4304" s="14" t="n">
        <v>8207937.949288999</v>
      </c>
      <c r="H4304" s="14" t="n">
        <v>898305.7400519578</v>
      </c>
      <c r="I4304" s="14" t="n">
        <v>206889.9313790714</v>
      </c>
      <c r="J4304" s="14" t="n">
        <v>0</v>
      </c>
      <c r="K4304" s="14" t="n">
        <v>2612512.631519123</v>
      </c>
      <c r="L4304" s="14" t="n">
        <v>4490229.646338848</v>
      </c>
      <c r="M4304" s="14" t="n">
        <v>0</v>
      </c>
      <c r="N4304" s="14" t="n">
        <v>1086969.931109021</v>
      </c>
      <c r="O4304" s="14" t="n">
        <v>3693734.910829551</v>
      </c>
      <c r="P4304" s="14" t="n">
        <v>246244.2405188168</v>
      </c>
      <c r="Q4304" s="14" t="n">
        <v>14470014.42238626</v>
      </c>
      <c r="R4304" s="15">
        <f>IF(D4304=1,"Section 1","Control")</f>
        <v/>
      </c>
      <c r="S4304" s="16">
        <f>N4304/10000</f>
        <v/>
      </c>
      <c r="T4304" s="16">
        <f>P4304/10000</f>
        <v/>
      </c>
      <c r="U4304" s="15">
        <f>IF(N4304&gt;=Summary!$D$3,1,0)</f>
        <v/>
      </c>
      <c r="V4304" s="17">
        <f>IF(N4304&gt;0,P4304/N4304,"")</f>
        <v/>
      </c>
      <c r="W4304" s="17">
        <f>IF(O4304&gt;0,H4304/O4304,"")</f>
        <v/>
      </c>
    </row>
    <row r="4305">
      <c r="A4305" s="13" t="inlineStr">
        <is>
          <t>CW63_B3</t>
        </is>
      </c>
      <c r="B4305" s="13" t="inlineStr">
        <is>
          <t>CW63</t>
        </is>
      </c>
      <c r="C4305" s="13" t="inlineStr">
        <is>
          <t>B3</t>
        </is>
      </c>
      <c r="D4305" s="13" t="n">
        <v>0</v>
      </c>
      <c r="E4305" s="13" t="inlineStr">
        <is>
          <t>W</t>
        </is>
      </c>
      <c r="F4305" s="13" t="n">
        <v>2025</v>
      </c>
      <c r="G4305" s="14" t="n">
        <v>8207937.949289</v>
      </c>
      <c r="H4305" s="14" t="n">
        <v>825283.1368276259</v>
      </c>
      <c r="I4305" s="14" t="n">
        <v>212357.7426664763</v>
      </c>
      <c r="J4305" s="14" t="n">
        <v>0</v>
      </c>
      <c r="K4305" s="14" t="n">
        <v>2634567.337593408</v>
      </c>
      <c r="L4305" s="14" t="n">
        <v>4535729.732201491</v>
      </c>
      <c r="M4305" s="14" t="n">
        <v>0</v>
      </c>
      <c r="N4305" s="14" t="n">
        <v>1086969.931109021</v>
      </c>
      <c r="O4305" s="14" t="n">
        <v>3693734.910829551</v>
      </c>
      <c r="P4305" s="14" t="n">
        <v>298612.5705919453</v>
      </c>
      <c r="Q4305" s="14" t="n">
        <v>14470014.42238626</v>
      </c>
      <c r="R4305" s="15">
        <f>IF(D4305=1,"Section 1","Control")</f>
        <v/>
      </c>
      <c r="S4305" s="16">
        <f>N4305/10000</f>
        <v/>
      </c>
      <c r="T4305" s="16">
        <f>P4305/10000</f>
        <v/>
      </c>
      <c r="U4305" s="15">
        <f>IF(N4305&gt;=Summary!$D$3,1,0)</f>
        <v/>
      </c>
      <c r="V4305" s="17">
        <f>IF(N4305&gt;0,P4305/N4305,"")</f>
        <v/>
      </c>
      <c r="W4305" s="17">
        <f>IF(O4305&gt;0,H4305/O4305,"")</f>
        <v/>
      </c>
    </row>
    <row r="4306">
      <c r="A4306" s="13" t="inlineStr">
        <is>
          <t>CW63_B3</t>
        </is>
      </c>
      <c r="B4306" s="13" t="inlineStr">
        <is>
          <t>CW63</t>
        </is>
      </c>
      <c r="C4306" s="13" t="inlineStr">
        <is>
          <t>B3</t>
        </is>
      </c>
      <c r="D4306" s="13" t="n">
        <v>0</v>
      </c>
      <c r="E4306" s="13" t="inlineStr">
        <is>
          <t>W</t>
        </is>
      </c>
      <c r="F4306" s="13" t="n">
        <v>2026</v>
      </c>
      <c r="G4306" s="14" t="n">
        <v>8207937.949288999</v>
      </c>
      <c r="H4306" s="14" t="n">
        <v>820209.1764129041</v>
      </c>
      <c r="I4306" s="14" t="n">
        <v>213757.1098217833</v>
      </c>
      <c r="J4306" s="14" t="n">
        <v>0</v>
      </c>
      <c r="K4306" s="14" t="n">
        <v>2625204.712462242</v>
      </c>
      <c r="L4306" s="14" t="n">
        <v>4548766.95059207</v>
      </c>
      <c r="M4306" s="14" t="n">
        <v>0</v>
      </c>
      <c r="N4306" s="14" t="n">
        <v>1086969.931109021</v>
      </c>
      <c r="O4306" s="14" t="n">
        <v>3693734.910829551</v>
      </c>
      <c r="P4306" s="14" t="n">
        <v>329547.0330010208</v>
      </c>
      <c r="Q4306" s="14" t="n">
        <v>14470014.42238626</v>
      </c>
      <c r="R4306" s="15">
        <f>IF(D4306=1,"Section 1","Control")</f>
        <v/>
      </c>
      <c r="S4306" s="16">
        <f>N4306/10000</f>
        <v/>
      </c>
      <c r="T4306" s="16">
        <f>P4306/10000</f>
        <v/>
      </c>
      <c r="U4306" s="15">
        <f>IF(N4306&gt;=Summary!$D$3,1,0)</f>
        <v/>
      </c>
      <c r="V4306" s="17">
        <f>IF(N4306&gt;0,P4306/N4306,"")</f>
        <v/>
      </c>
      <c r="W4306" s="17">
        <f>IF(O4306&gt;0,H4306/O4306,"")</f>
        <v/>
      </c>
    </row>
    <row r="4307">
      <c r="A4307" s="13" t="inlineStr">
        <is>
          <t>CW63_F</t>
        </is>
      </c>
      <c r="B4307" s="13" t="inlineStr">
        <is>
          <t>CW63</t>
        </is>
      </c>
      <c r="C4307" s="13" t="inlineStr">
        <is>
          <t>F</t>
        </is>
      </c>
      <c r="D4307" s="13" t="n">
        <v>0</v>
      </c>
      <c r="E4307" s="13" t="inlineStr">
        <is>
          <t>W</t>
        </is>
      </c>
      <c r="F4307" s="13" t="n">
        <v>2020</v>
      </c>
      <c r="G4307" s="14" t="n">
        <v>71304.15380643954</v>
      </c>
      <c r="H4307" s="14" t="n">
        <v>0</v>
      </c>
      <c r="I4307" s="14" t="n">
        <v>71205.42675565829</v>
      </c>
      <c r="J4307" s="14" t="n">
        <v>0</v>
      </c>
      <c r="K4307" s="14" t="n">
        <v>98.72705078125</v>
      </c>
      <c r="L4307" s="14" t="n">
        <v>0</v>
      </c>
      <c r="M4307" s="14" t="n">
        <v>0</v>
      </c>
      <c r="N4307" s="14" t="n">
        <v>0</v>
      </c>
      <c r="O4307" s="14" t="n">
        <v>71304.15380643954</v>
      </c>
      <c r="P4307" s="14" t="n">
        <v>0</v>
      </c>
      <c r="Q4307" s="14" t="n">
        <v>13089.65106823491</v>
      </c>
      <c r="R4307" s="15">
        <f>IF(D4307=1,"Section 1","Control")</f>
        <v/>
      </c>
      <c r="S4307" s="16">
        <f>N4307/10000</f>
        <v/>
      </c>
      <c r="T4307" s="16">
        <f>P4307/10000</f>
        <v/>
      </c>
      <c r="U4307" s="15">
        <f>IF(N4307&gt;=Summary!$D$3,1,0)</f>
        <v/>
      </c>
      <c r="V4307" s="17">
        <f>IF(N4307&gt;0,P4307/N4307,"")</f>
        <v/>
      </c>
      <c r="W4307" s="17">
        <f>IF(O4307&gt;0,H4307/O4307,"")</f>
        <v/>
      </c>
    </row>
    <row r="4308">
      <c r="A4308" s="13" t="inlineStr">
        <is>
          <t>CW63_F</t>
        </is>
      </c>
      <c r="B4308" s="13" t="inlineStr">
        <is>
          <t>CW63</t>
        </is>
      </c>
      <c r="C4308" s="13" t="inlineStr">
        <is>
          <t>F</t>
        </is>
      </c>
      <c r="D4308" s="13" t="n">
        <v>0</v>
      </c>
      <c r="E4308" s="13" t="inlineStr">
        <is>
          <t>W</t>
        </is>
      </c>
      <c r="F4308" s="13" t="n">
        <v>2021</v>
      </c>
      <c r="G4308" s="14" t="n">
        <v>71304.15380643954</v>
      </c>
      <c r="H4308" s="14" t="n">
        <v>0</v>
      </c>
      <c r="I4308" s="14" t="n">
        <v>71279.37527358108</v>
      </c>
      <c r="J4308" s="14" t="n">
        <v>0</v>
      </c>
      <c r="K4308" s="14" t="n">
        <v>24.77853285845588</v>
      </c>
      <c r="L4308" s="14" t="n">
        <v>0</v>
      </c>
      <c r="M4308" s="14" t="n">
        <v>0</v>
      </c>
      <c r="N4308" s="14" t="n">
        <v>0</v>
      </c>
      <c r="O4308" s="14" t="n">
        <v>71304.15380643954</v>
      </c>
      <c r="P4308" s="14" t="n">
        <v>0</v>
      </c>
      <c r="Q4308" s="14" t="n">
        <v>13089.65106823491</v>
      </c>
      <c r="R4308" s="15">
        <f>IF(D4308=1,"Section 1","Control")</f>
        <v/>
      </c>
      <c r="S4308" s="16">
        <f>N4308/10000</f>
        <v/>
      </c>
      <c r="T4308" s="16">
        <f>P4308/10000</f>
        <v/>
      </c>
      <c r="U4308" s="15">
        <f>IF(N4308&gt;=Summary!$D$3,1,0)</f>
        <v/>
      </c>
      <c r="V4308" s="17">
        <f>IF(N4308&gt;0,P4308/N4308,"")</f>
        <v/>
      </c>
      <c r="W4308" s="17">
        <f>IF(O4308&gt;0,H4308/O4308,"")</f>
        <v/>
      </c>
    </row>
    <row r="4309">
      <c r="A4309" s="13" t="inlineStr">
        <is>
          <t>CW63_F</t>
        </is>
      </c>
      <c r="B4309" s="13" t="inlineStr">
        <is>
          <t>CW63</t>
        </is>
      </c>
      <c r="C4309" s="13" t="inlineStr">
        <is>
          <t>F</t>
        </is>
      </c>
      <c r="D4309" s="13" t="n">
        <v>0</v>
      </c>
      <c r="E4309" s="13" t="inlineStr">
        <is>
          <t>W</t>
        </is>
      </c>
      <c r="F4309" s="13" t="n">
        <v>2022</v>
      </c>
      <c r="G4309" s="14" t="n">
        <v>71304.15380643954</v>
      </c>
      <c r="H4309" s="14" t="n">
        <v>98.72705078125</v>
      </c>
      <c r="I4309" s="14" t="n">
        <v>71205.42675565829</v>
      </c>
      <c r="J4309" s="14" t="n">
        <v>0</v>
      </c>
      <c r="K4309" s="14" t="n">
        <v>0</v>
      </c>
      <c r="L4309" s="14" t="n">
        <v>0</v>
      </c>
      <c r="M4309" s="14" t="n">
        <v>0</v>
      </c>
      <c r="N4309" s="14" t="n">
        <v>0</v>
      </c>
      <c r="O4309" s="14" t="n">
        <v>71304.15380643954</v>
      </c>
      <c r="P4309" s="14" t="n">
        <v>0</v>
      </c>
      <c r="Q4309" s="14" t="n">
        <v>13089.65106823491</v>
      </c>
      <c r="R4309" s="15">
        <f>IF(D4309=1,"Section 1","Control")</f>
        <v/>
      </c>
      <c r="S4309" s="16">
        <f>N4309/10000</f>
        <v/>
      </c>
      <c r="T4309" s="16">
        <f>P4309/10000</f>
        <v/>
      </c>
      <c r="U4309" s="15">
        <f>IF(N4309&gt;=Summary!$D$3,1,0)</f>
        <v/>
      </c>
      <c r="V4309" s="17">
        <f>IF(N4309&gt;0,P4309/N4309,"")</f>
        <v/>
      </c>
      <c r="W4309" s="17">
        <f>IF(O4309&gt;0,H4309/O4309,"")</f>
        <v/>
      </c>
    </row>
    <row r="4310">
      <c r="A4310" s="13" t="inlineStr">
        <is>
          <t>CW63_F</t>
        </is>
      </c>
      <c r="B4310" s="13" t="inlineStr">
        <is>
          <t>CW63</t>
        </is>
      </c>
      <c r="C4310" s="13" t="inlineStr">
        <is>
          <t>F</t>
        </is>
      </c>
      <c r="D4310" s="13" t="n">
        <v>0</v>
      </c>
      <c r="E4310" s="13" t="inlineStr">
        <is>
          <t>W</t>
        </is>
      </c>
      <c r="F4310" s="13" t="n">
        <v>2023</v>
      </c>
      <c r="G4310" s="14" t="n">
        <v>71304.15380643954</v>
      </c>
      <c r="H4310" s="14" t="n">
        <v>0</v>
      </c>
      <c r="I4310" s="14" t="n">
        <v>71230.20536292579</v>
      </c>
      <c r="J4310" s="14" t="n">
        <v>0</v>
      </c>
      <c r="K4310" s="14" t="n">
        <v>73.94844351375804</v>
      </c>
      <c r="L4310" s="14" t="n">
        <v>0</v>
      </c>
      <c r="M4310" s="14" t="n">
        <v>0</v>
      </c>
      <c r="N4310" s="14" t="n">
        <v>0</v>
      </c>
      <c r="O4310" s="14" t="n">
        <v>71304.15380643954</v>
      </c>
      <c r="P4310" s="14" t="n">
        <v>0</v>
      </c>
      <c r="Q4310" s="14" t="n">
        <v>13089.65106823491</v>
      </c>
      <c r="R4310" s="15">
        <f>IF(D4310=1,"Section 1","Control")</f>
        <v/>
      </c>
      <c r="S4310" s="16">
        <f>N4310/10000</f>
        <v/>
      </c>
      <c r="T4310" s="16">
        <f>P4310/10000</f>
        <v/>
      </c>
      <c r="U4310" s="15">
        <f>IF(N4310&gt;=Summary!$D$3,1,0)</f>
        <v/>
      </c>
      <c r="V4310" s="17">
        <f>IF(N4310&gt;0,P4310/N4310,"")</f>
        <v/>
      </c>
      <c r="W4310" s="17">
        <f>IF(O4310&gt;0,H4310/O4310,"")</f>
        <v/>
      </c>
    </row>
    <row r="4311">
      <c r="A4311" s="13" t="inlineStr">
        <is>
          <t>CW63_F</t>
        </is>
      </c>
      <c r="B4311" s="13" t="inlineStr">
        <is>
          <t>CW63</t>
        </is>
      </c>
      <c r="C4311" s="13" t="inlineStr">
        <is>
          <t>F</t>
        </is>
      </c>
      <c r="D4311" s="13" t="n">
        <v>0</v>
      </c>
      <c r="E4311" s="13" t="inlineStr">
        <is>
          <t>W</t>
        </is>
      </c>
      <c r="F4311" s="13" t="n">
        <v>2024</v>
      </c>
      <c r="G4311" s="14" t="n">
        <v>71304.15380643954</v>
      </c>
      <c r="H4311" s="14" t="n">
        <v>0</v>
      </c>
      <c r="I4311" s="14" t="n">
        <v>71304.15380643954</v>
      </c>
      <c r="J4311" s="14" t="n">
        <v>0</v>
      </c>
      <c r="K4311" s="14" t="n">
        <v>0</v>
      </c>
      <c r="L4311" s="14" t="n">
        <v>0</v>
      </c>
      <c r="M4311" s="14" t="n">
        <v>0</v>
      </c>
      <c r="N4311" s="14" t="n">
        <v>0</v>
      </c>
      <c r="O4311" s="14" t="n">
        <v>71304.15380643954</v>
      </c>
      <c r="P4311" s="14" t="n">
        <v>0</v>
      </c>
      <c r="Q4311" s="14" t="n">
        <v>13089.65106823491</v>
      </c>
      <c r="R4311" s="15">
        <f>IF(D4311=1,"Section 1","Control")</f>
        <v/>
      </c>
      <c r="S4311" s="16">
        <f>N4311/10000</f>
        <v/>
      </c>
      <c r="T4311" s="16">
        <f>P4311/10000</f>
        <v/>
      </c>
      <c r="U4311" s="15">
        <f>IF(N4311&gt;=Summary!$D$3,1,0)</f>
        <v/>
      </c>
      <c r="V4311" s="17">
        <f>IF(N4311&gt;0,P4311/N4311,"")</f>
        <v/>
      </c>
      <c r="W4311" s="17">
        <f>IF(O4311&gt;0,H4311/O4311,"")</f>
        <v/>
      </c>
    </row>
    <row r="4312">
      <c r="A4312" s="13" t="inlineStr">
        <is>
          <t>CW63_F</t>
        </is>
      </c>
      <c r="B4312" s="13" t="inlineStr">
        <is>
          <t>CW63</t>
        </is>
      </c>
      <c r="C4312" s="13" t="inlineStr">
        <is>
          <t>F</t>
        </is>
      </c>
      <c r="D4312" s="13" t="n">
        <v>0</v>
      </c>
      <c r="E4312" s="13" t="inlineStr">
        <is>
          <t>W</t>
        </is>
      </c>
      <c r="F4312" s="13" t="n">
        <v>2025</v>
      </c>
      <c r="G4312" s="14" t="n">
        <v>71304.15380643954</v>
      </c>
      <c r="H4312" s="14" t="n">
        <v>0</v>
      </c>
      <c r="I4312" s="14" t="n">
        <v>71304.15380643954</v>
      </c>
      <c r="J4312" s="14" t="n">
        <v>0</v>
      </c>
      <c r="K4312" s="14" t="n">
        <v>0</v>
      </c>
      <c r="L4312" s="14" t="n">
        <v>0</v>
      </c>
      <c r="M4312" s="14" t="n">
        <v>0</v>
      </c>
      <c r="N4312" s="14" t="n">
        <v>0</v>
      </c>
      <c r="O4312" s="14" t="n">
        <v>71304.15380643954</v>
      </c>
      <c r="P4312" s="14" t="n">
        <v>0</v>
      </c>
      <c r="Q4312" s="14" t="n">
        <v>13089.65106823491</v>
      </c>
      <c r="R4312" s="15">
        <f>IF(D4312=1,"Section 1","Control")</f>
        <v/>
      </c>
      <c r="S4312" s="16">
        <f>N4312/10000</f>
        <v/>
      </c>
      <c r="T4312" s="16">
        <f>P4312/10000</f>
        <v/>
      </c>
      <c r="U4312" s="15">
        <f>IF(N4312&gt;=Summary!$D$3,1,0)</f>
        <v/>
      </c>
      <c r="V4312" s="17">
        <f>IF(N4312&gt;0,P4312/N4312,"")</f>
        <v/>
      </c>
      <c r="W4312" s="17">
        <f>IF(O4312&gt;0,H4312/O4312,"")</f>
        <v/>
      </c>
    </row>
    <row r="4313">
      <c r="A4313" s="13" t="inlineStr">
        <is>
          <t>CW63_F</t>
        </is>
      </c>
      <c r="B4313" s="13" t="inlineStr">
        <is>
          <t>CW63</t>
        </is>
      </c>
      <c r="C4313" s="13" t="inlineStr">
        <is>
          <t>F</t>
        </is>
      </c>
      <c r="D4313" s="13" t="n">
        <v>0</v>
      </c>
      <c r="E4313" s="13" t="inlineStr">
        <is>
          <t>W</t>
        </is>
      </c>
      <c r="F4313" s="13" t="n">
        <v>2026</v>
      </c>
      <c r="G4313" s="14" t="n">
        <v>71304.15380643954</v>
      </c>
      <c r="H4313" s="14" t="n">
        <v>0</v>
      </c>
      <c r="I4313" s="14" t="n">
        <v>71279.37527358108</v>
      </c>
      <c r="J4313" s="14" t="n">
        <v>0</v>
      </c>
      <c r="K4313" s="14" t="n">
        <v>24.77853285845588</v>
      </c>
      <c r="L4313" s="14" t="n">
        <v>0</v>
      </c>
      <c r="M4313" s="14" t="n">
        <v>0</v>
      </c>
      <c r="N4313" s="14" t="n">
        <v>0</v>
      </c>
      <c r="O4313" s="14" t="n">
        <v>71304.15380643954</v>
      </c>
      <c r="P4313" s="14" t="n">
        <v>0</v>
      </c>
      <c r="Q4313" s="14" t="n">
        <v>13089.65106823491</v>
      </c>
      <c r="R4313" s="15">
        <f>IF(D4313=1,"Section 1","Control")</f>
        <v/>
      </c>
      <c r="S4313" s="16">
        <f>N4313/10000</f>
        <v/>
      </c>
      <c r="T4313" s="16">
        <f>P4313/10000</f>
        <v/>
      </c>
      <c r="U4313" s="15">
        <f>IF(N4313&gt;=Summary!$D$3,1,0)</f>
        <v/>
      </c>
      <c r="V4313" s="17">
        <f>IF(N4313&gt;0,P4313/N4313,"")</f>
        <v/>
      </c>
      <c r="W4313" s="17">
        <f>IF(O4313&gt;0,H4313/O4313,"")</f>
        <v/>
      </c>
    </row>
    <row r="4314">
      <c r="A4314" s="13" t="inlineStr">
        <is>
          <t>CW64_B1</t>
        </is>
      </c>
      <c r="B4314" s="13" t="inlineStr">
        <is>
          <t>CW64</t>
        </is>
      </c>
      <c r="C4314" s="13" t="inlineStr">
        <is>
          <t>B1</t>
        </is>
      </c>
      <c r="D4314" s="13" t="n">
        <v>0</v>
      </c>
      <c r="E4314" s="13" t="inlineStr">
        <is>
          <t>W</t>
        </is>
      </c>
      <c r="F4314" s="13" t="n">
        <v>2020</v>
      </c>
      <c r="G4314" s="14" t="n">
        <v>1000305.710632414</v>
      </c>
      <c r="H4314" s="14" t="n">
        <v>242995.4394081864</v>
      </c>
      <c r="I4314" s="14" t="n">
        <v>238529.227260036</v>
      </c>
      <c r="J4314" s="14" t="n">
        <v>0</v>
      </c>
      <c r="K4314" s="14" t="n">
        <v>124204.8953746422</v>
      </c>
      <c r="L4314" s="14" t="n">
        <v>394576.1485895495</v>
      </c>
      <c r="M4314" s="14" t="n">
        <v>0</v>
      </c>
      <c r="N4314" s="14" t="n">
        <v>242995.4394081864</v>
      </c>
      <c r="O4314" s="14" t="n">
        <v>605729.5620428645</v>
      </c>
      <c r="P4314" s="14" t="n">
        <v>0</v>
      </c>
      <c r="Q4314" s="14" t="n">
        <v>4058575.102028043</v>
      </c>
      <c r="R4314" s="15">
        <f>IF(D4314=1,"Section 1","Control")</f>
        <v/>
      </c>
      <c r="S4314" s="16">
        <f>N4314/10000</f>
        <v/>
      </c>
      <c r="T4314" s="16">
        <f>P4314/10000</f>
        <v/>
      </c>
      <c r="U4314" s="15">
        <f>IF(N4314&gt;=Summary!$D$3,1,0)</f>
        <v/>
      </c>
      <c r="V4314" s="17">
        <f>IF(N4314&gt;0,P4314/N4314,"")</f>
        <v/>
      </c>
      <c r="W4314" s="17">
        <f>IF(O4314&gt;0,H4314/O4314,"")</f>
        <v/>
      </c>
    </row>
    <row r="4315">
      <c r="A4315" s="13" t="inlineStr">
        <is>
          <t>CW64_B1</t>
        </is>
      </c>
      <c r="B4315" s="13" t="inlineStr">
        <is>
          <t>CW64</t>
        </is>
      </c>
      <c r="C4315" s="13" t="inlineStr">
        <is>
          <t>B1</t>
        </is>
      </c>
      <c r="D4315" s="13" t="n">
        <v>0</v>
      </c>
      <c r="E4315" s="13" t="inlineStr">
        <is>
          <t>W</t>
        </is>
      </c>
      <c r="F4315" s="13" t="n">
        <v>2021</v>
      </c>
      <c r="G4315" s="14" t="n">
        <v>1000305.710632414</v>
      </c>
      <c r="H4315" s="14" t="n">
        <v>237336.6577894024</v>
      </c>
      <c r="I4315" s="14" t="n">
        <v>227422.2477808334</v>
      </c>
      <c r="J4315" s="14" t="n">
        <v>0</v>
      </c>
      <c r="K4315" s="14" t="n">
        <v>138678.2500049666</v>
      </c>
      <c r="L4315" s="14" t="n">
        <v>396868.5550572116</v>
      </c>
      <c r="M4315" s="14" t="n">
        <v>0</v>
      </c>
      <c r="N4315" s="14" t="n">
        <v>242995.4394081864</v>
      </c>
      <c r="O4315" s="14" t="n">
        <v>605729.5620428645</v>
      </c>
      <c r="P4315" s="14" t="n">
        <v>7830.76719159893</v>
      </c>
      <c r="Q4315" s="14" t="n">
        <v>4058575.102028043</v>
      </c>
      <c r="R4315" s="15">
        <f>IF(D4315=1,"Section 1","Control")</f>
        <v/>
      </c>
      <c r="S4315" s="16">
        <f>N4315/10000</f>
        <v/>
      </c>
      <c r="T4315" s="16">
        <f>P4315/10000</f>
        <v/>
      </c>
      <c r="U4315" s="15">
        <f>IF(N4315&gt;=Summary!$D$3,1,0)</f>
        <v/>
      </c>
      <c r="V4315" s="17">
        <f>IF(N4315&gt;0,P4315/N4315,"")</f>
        <v/>
      </c>
      <c r="W4315" s="17">
        <f>IF(O4315&gt;0,H4315/O4315,"")</f>
        <v/>
      </c>
    </row>
    <row r="4316">
      <c r="A4316" s="13" t="inlineStr">
        <is>
          <t>CW64_B1</t>
        </is>
      </c>
      <c r="B4316" s="13" t="inlineStr">
        <is>
          <t>CW64</t>
        </is>
      </c>
      <c r="C4316" s="13" t="inlineStr">
        <is>
          <t>B1</t>
        </is>
      </c>
      <c r="D4316" s="13" t="n">
        <v>0</v>
      </c>
      <c r="E4316" s="13" t="inlineStr">
        <is>
          <t>W</t>
        </is>
      </c>
      <c r="F4316" s="13" t="n">
        <v>2022</v>
      </c>
      <c r="G4316" s="14" t="n">
        <v>1000305.710632414</v>
      </c>
      <c r="H4316" s="14" t="n">
        <v>224254.78875149</v>
      </c>
      <c r="I4316" s="14" t="n">
        <v>255428.2564457013</v>
      </c>
      <c r="J4316" s="14" t="n">
        <v>0</v>
      </c>
      <c r="K4316" s="14" t="n">
        <v>160508.7790040858</v>
      </c>
      <c r="L4316" s="14" t="n">
        <v>360113.8864311369</v>
      </c>
      <c r="M4316" s="14" t="n">
        <v>0</v>
      </c>
      <c r="N4316" s="14" t="n">
        <v>242995.4394081864</v>
      </c>
      <c r="O4316" s="14" t="n">
        <v>605729.5620428645</v>
      </c>
      <c r="P4316" s="14" t="n">
        <v>20320.27455806359</v>
      </c>
      <c r="Q4316" s="14" t="n">
        <v>4058575.102028043</v>
      </c>
      <c r="R4316" s="15">
        <f>IF(D4316=1,"Section 1","Control")</f>
        <v/>
      </c>
      <c r="S4316" s="16">
        <f>N4316/10000</f>
        <v/>
      </c>
      <c r="T4316" s="16">
        <f>P4316/10000</f>
        <v/>
      </c>
      <c r="U4316" s="15">
        <f>IF(N4316&gt;=Summary!$D$3,1,0)</f>
        <v/>
      </c>
      <c r="V4316" s="17">
        <f>IF(N4316&gt;0,P4316/N4316,"")</f>
        <v/>
      </c>
      <c r="W4316" s="17">
        <f>IF(O4316&gt;0,H4316/O4316,"")</f>
        <v/>
      </c>
    </row>
    <row r="4317">
      <c r="A4317" s="13" t="inlineStr">
        <is>
          <t>CW64_B1</t>
        </is>
      </c>
      <c r="B4317" s="13" t="inlineStr">
        <is>
          <t>CW64</t>
        </is>
      </c>
      <c r="C4317" s="13" t="inlineStr">
        <is>
          <t>B1</t>
        </is>
      </c>
      <c r="D4317" s="13" t="n">
        <v>0</v>
      </c>
      <c r="E4317" s="13" t="inlineStr">
        <is>
          <t>W</t>
        </is>
      </c>
      <c r="F4317" s="13" t="n">
        <v>2023</v>
      </c>
      <c r="G4317" s="14" t="n">
        <v>1000305.710632414</v>
      </c>
      <c r="H4317" s="14" t="n">
        <v>217249.0660958384</v>
      </c>
      <c r="I4317" s="14" t="n">
        <v>238637.5580600213</v>
      </c>
      <c r="J4317" s="14" t="n">
        <v>0</v>
      </c>
      <c r="K4317" s="14" t="n">
        <v>144467.8844788196</v>
      </c>
      <c r="L4317" s="14" t="n">
        <v>399951.2019977346</v>
      </c>
      <c r="M4317" s="14" t="n">
        <v>0</v>
      </c>
      <c r="N4317" s="14" t="n">
        <v>242995.4394081864</v>
      </c>
      <c r="O4317" s="14" t="n">
        <v>605729.5620428645</v>
      </c>
      <c r="P4317" s="14" t="n">
        <v>28214.53705441344</v>
      </c>
      <c r="Q4317" s="14" t="n">
        <v>4058575.102028043</v>
      </c>
      <c r="R4317" s="15">
        <f>IF(D4317=1,"Section 1","Control")</f>
        <v/>
      </c>
      <c r="S4317" s="16">
        <f>N4317/10000</f>
        <v/>
      </c>
      <c r="T4317" s="16">
        <f>P4317/10000</f>
        <v/>
      </c>
      <c r="U4317" s="15">
        <f>IF(N4317&gt;=Summary!$D$3,1,0)</f>
        <v/>
      </c>
      <c r="V4317" s="17">
        <f>IF(N4317&gt;0,P4317/N4317,"")</f>
        <v/>
      </c>
      <c r="W4317" s="17">
        <f>IF(O4317&gt;0,H4317/O4317,"")</f>
        <v/>
      </c>
    </row>
    <row r="4318">
      <c r="A4318" s="13" t="inlineStr">
        <is>
          <t>CW64_B1</t>
        </is>
      </c>
      <c r="B4318" s="13" t="inlineStr">
        <is>
          <t>CW64</t>
        </is>
      </c>
      <c r="C4318" s="13" t="inlineStr">
        <is>
          <t>B1</t>
        </is>
      </c>
      <c r="D4318" s="13" t="n">
        <v>0</v>
      </c>
      <c r="E4318" s="13" t="inlineStr">
        <is>
          <t>W</t>
        </is>
      </c>
      <c r="F4318" s="13" t="n">
        <v>2024</v>
      </c>
      <c r="G4318" s="14" t="n">
        <v>1000305.710632414</v>
      </c>
      <c r="H4318" s="14" t="n">
        <v>219163.2197943594</v>
      </c>
      <c r="I4318" s="14" t="n">
        <v>248760.3716141643</v>
      </c>
      <c r="J4318" s="14" t="n">
        <v>0</v>
      </c>
      <c r="K4318" s="14" t="n">
        <v>140190.483104272</v>
      </c>
      <c r="L4318" s="14" t="n">
        <v>392191.6361196182</v>
      </c>
      <c r="M4318" s="14" t="n">
        <v>0</v>
      </c>
      <c r="N4318" s="14" t="n">
        <v>242995.4394081864</v>
      </c>
      <c r="O4318" s="14" t="n">
        <v>605729.5620428645</v>
      </c>
      <c r="P4318" s="14" t="n">
        <v>29286.96230956433</v>
      </c>
      <c r="Q4318" s="14" t="n">
        <v>4058575.102028043</v>
      </c>
      <c r="R4318" s="15">
        <f>IF(D4318=1,"Section 1","Control")</f>
        <v/>
      </c>
      <c r="S4318" s="16">
        <f>N4318/10000</f>
        <v/>
      </c>
      <c r="T4318" s="16">
        <f>P4318/10000</f>
        <v/>
      </c>
      <c r="U4318" s="15">
        <f>IF(N4318&gt;=Summary!$D$3,1,0)</f>
        <v/>
      </c>
      <c r="V4318" s="17">
        <f>IF(N4318&gt;0,P4318/N4318,"")</f>
        <v/>
      </c>
      <c r="W4318" s="17">
        <f>IF(O4318&gt;0,H4318/O4318,"")</f>
        <v/>
      </c>
    </row>
    <row r="4319">
      <c r="A4319" s="13" t="inlineStr">
        <is>
          <t>CW64_B1</t>
        </is>
      </c>
      <c r="B4319" s="13" t="inlineStr">
        <is>
          <t>CW64</t>
        </is>
      </c>
      <c r="C4319" s="13" t="inlineStr">
        <is>
          <t>B1</t>
        </is>
      </c>
      <c r="D4319" s="13" t="n">
        <v>0</v>
      </c>
      <c r="E4319" s="13" t="inlineStr">
        <is>
          <t>W</t>
        </is>
      </c>
      <c r="F4319" s="13" t="n">
        <v>2025</v>
      </c>
      <c r="G4319" s="14" t="n">
        <v>1000305.710632414</v>
      </c>
      <c r="H4319" s="14" t="n">
        <v>209252.620351395</v>
      </c>
      <c r="I4319" s="14" t="n">
        <v>256411.5030698588</v>
      </c>
      <c r="J4319" s="14" t="n">
        <v>0</v>
      </c>
      <c r="K4319" s="14" t="n">
        <v>140885.4520030302</v>
      </c>
      <c r="L4319" s="14" t="n">
        <v>393756.1352081299</v>
      </c>
      <c r="M4319" s="14" t="n">
        <v>0</v>
      </c>
      <c r="N4319" s="14" t="n">
        <v>242995.4394081864</v>
      </c>
      <c r="O4319" s="14" t="n">
        <v>605729.5620428645</v>
      </c>
      <c r="P4319" s="14" t="n">
        <v>38382.97341470157</v>
      </c>
      <c r="Q4319" s="14" t="n">
        <v>4058575.102028043</v>
      </c>
      <c r="R4319" s="15">
        <f>IF(D4319=1,"Section 1","Control")</f>
        <v/>
      </c>
      <c r="S4319" s="16">
        <f>N4319/10000</f>
        <v/>
      </c>
      <c r="T4319" s="16">
        <f>P4319/10000</f>
        <v/>
      </c>
      <c r="U4319" s="15">
        <f>IF(N4319&gt;=Summary!$D$3,1,0)</f>
        <v/>
      </c>
      <c r="V4319" s="17">
        <f>IF(N4319&gt;0,P4319/N4319,"")</f>
        <v/>
      </c>
      <c r="W4319" s="17">
        <f>IF(O4319&gt;0,H4319/O4319,"")</f>
        <v/>
      </c>
    </row>
    <row r="4320">
      <c r="A4320" s="13" t="inlineStr">
        <is>
          <t>CW64_B1</t>
        </is>
      </c>
      <c r="B4320" s="13" t="inlineStr">
        <is>
          <t>CW64</t>
        </is>
      </c>
      <c r="C4320" s="13" t="inlineStr">
        <is>
          <t>B1</t>
        </is>
      </c>
      <c r="D4320" s="13" t="n">
        <v>0</v>
      </c>
      <c r="E4320" s="13" t="inlineStr">
        <is>
          <t>W</t>
        </is>
      </c>
      <c r="F4320" s="13" t="n">
        <v>2026</v>
      </c>
      <c r="G4320" s="14" t="n">
        <v>1000305.710632414</v>
      </c>
      <c r="H4320" s="14" t="n">
        <v>215816.2132711673</v>
      </c>
      <c r="I4320" s="14" t="n">
        <v>243199.1670896641</v>
      </c>
      <c r="J4320" s="14" t="n">
        <v>0</v>
      </c>
      <c r="K4320" s="14" t="n">
        <v>141192.0813697665</v>
      </c>
      <c r="L4320" s="14" t="n">
        <v>400098.248901816</v>
      </c>
      <c r="M4320" s="14" t="n">
        <v>0</v>
      </c>
      <c r="N4320" s="14" t="n">
        <v>242995.4394081864</v>
      </c>
      <c r="O4320" s="14" t="n">
        <v>605729.5620428645</v>
      </c>
      <c r="P4320" s="14" t="n">
        <v>37428.21674696978</v>
      </c>
      <c r="Q4320" s="14" t="n">
        <v>4058575.102028043</v>
      </c>
      <c r="R4320" s="15">
        <f>IF(D4320=1,"Section 1","Control")</f>
        <v/>
      </c>
      <c r="S4320" s="16">
        <f>N4320/10000</f>
        <v/>
      </c>
      <c r="T4320" s="16">
        <f>P4320/10000</f>
        <v/>
      </c>
      <c r="U4320" s="15">
        <f>IF(N4320&gt;=Summary!$D$3,1,0)</f>
        <v/>
      </c>
      <c r="V4320" s="17">
        <f>IF(N4320&gt;0,P4320/N4320,"")</f>
        <v/>
      </c>
      <c r="W4320" s="17">
        <f>IF(O4320&gt;0,H4320/O4320,"")</f>
        <v/>
      </c>
    </row>
    <row r="4321">
      <c r="A4321" s="13" t="inlineStr">
        <is>
          <t>CW64_B2</t>
        </is>
      </c>
      <c r="B4321" s="13" t="inlineStr">
        <is>
          <t>CW64</t>
        </is>
      </c>
      <c r="C4321" s="13" t="inlineStr">
        <is>
          <t>B2</t>
        </is>
      </c>
      <c r="D4321" s="13" t="n">
        <v>0</v>
      </c>
      <c r="E4321" s="13" t="inlineStr">
        <is>
          <t>W</t>
        </is>
      </c>
      <c r="F4321" s="13" t="n">
        <v>2020</v>
      </c>
      <c r="G4321" s="14" t="n">
        <v>1000826.044608053</v>
      </c>
      <c r="H4321" s="14" t="n">
        <v>18981.65419143976</v>
      </c>
      <c r="I4321" s="14" t="n">
        <v>579.9630912930357</v>
      </c>
      <c r="J4321" s="14" t="n">
        <v>0</v>
      </c>
      <c r="K4321" s="14" t="n">
        <v>18342.02008726832</v>
      </c>
      <c r="L4321" s="14" t="n">
        <v>962922.4072380518</v>
      </c>
      <c r="M4321" s="14" t="n">
        <v>0</v>
      </c>
      <c r="N4321" s="14" t="n">
        <v>18981.65419143976</v>
      </c>
      <c r="O4321" s="14" t="n">
        <v>37903.63737000111</v>
      </c>
      <c r="P4321" s="14" t="n">
        <v>0</v>
      </c>
      <c r="Q4321" s="14" t="n">
        <v>234118.3731362736</v>
      </c>
      <c r="R4321" s="15">
        <f>IF(D4321=1,"Section 1","Control")</f>
        <v/>
      </c>
      <c r="S4321" s="16">
        <f>N4321/10000</f>
        <v/>
      </c>
      <c r="T4321" s="16">
        <f>P4321/10000</f>
        <v/>
      </c>
      <c r="U4321" s="15">
        <f>IF(N4321&gt;=Summary!$D$3,1,0)</f>
        <v/>
      </c>
      <c r="V4321" s="17">
        <f>IF(N4321&gt;0,P4321/N4321,"")</f>
        <v/>
      </c>
      <c r="W4321" s="17">
        <f>IF(O4321&gt;0,H4321/O4321,"")</f>
        <v/>
      </c>
    </row>
    <row r="4322">
      <c r="A4322" s="13" t="inlineStr">
        <is>
          <t>CW64_B2</t>
        </is>
      </c>
      <c r="B4322" s="13" t="inlineStr">
        <is>
          <t>CW64</t>
        </is>
      </c>
      <c r="C4322" s="13" t="inlineStr">
        <is>
          <t>B2</t>
        </is>
      </c>
      <c r="D4322" s="13" t="n">
        <v>0</v>
      </c>
      <c r="E4322" s="13" t="inlineStr">
        <is>
          <t>W</t>
        </is>
      </c>
      <c r="F4322" s="13" t="n">
        <v>2021</v>
      </c>
      <c r="G4322" s="14" t="n">
        <v>1000826.044608053</v>
      </c>
      <c r="H4322" s="14" t="n">
        <v>19376.55565017999</v>
      </c>
      <c r="I4322" s="14" t="n">
        <v>678.6885170132506</v>
      </c>
      <c r="J4322" s="14" t="n">
        <v>0</v>
      </c>
      <c r="K4322" s="14" t="n">
        <v>17524.72972172756</v>
      </c>
      <c r="L4322" s="14" t="n">
        <v>963246.070719132</v>
      </c>
      <c r="M4322" s="14" t="n">
        <v>0</v>
      </c>
      <c r="N4322" s="14" t="n">
        <v>18981.65419143976</v>
      </c>
      <c r="O4322" s="14" t="n">
        <v>37903.63737000111</v>
      </c>
      <c r="P4322" s="14" t="n">
        <v>0</v>
      </c>
      <c r="Q4322" s="14" t="n">
        <v>234118.3731362736</v>
      </c>
      <c r="R4322" s="15">
        <f>IF(D4322=1,"Section 1","Control")</f>
        <v/>
      </c>
      <c r="S4322" s="16">
        <f>N4322/10000</f>
        <v/>
      </c>
      <c r="T4322" s="16">
        <f>P4322/10000</f>
        <v/>
      </c>
      <c r="U4322" s="15">
        <f>IF(N4322&gt;=Summary!$D$3,1,0)</f>
        <v/>
      </c>
      <c r="V4322" s="17">
        <f>IF(N4322&gt;0,P4322/N4322,"")</f>
        <v/>
      </c>
      <c r="W4322" s="17">
        <f>IF(O4322&gt;0,H4322/O4322,"")</f>
        <v/>
      </c>
    </row>
    <row r="4323">
      <c r="A4323" s="13" t="inlineStr">
        <is>
          <t>CW64_B2</t>
        </is>
      </c>
      <c r="B4323" s="13" t="inlineStr">
        <is>
          <t>CW64</t>
        </is>
      </c>
      <c r="C4323" s="13" t="inlineStr">
        <is>
          <t>B2</t>
        </is>
      </c>
      <c r="D4323" s="13" t="n">
        <v>0</v>
      </c>
      <c r="E4323" s="13" t="inlineStr">
        <is>
          <t>W</t>
        </is>
      </c>
      <c r="F4323" s="13" t="n">
        <v>2022</v>
      </c>
      <c r="G4323" s="14" t="n">
        <v>1000826.044608053</v>
      </c>
      <c r="H4323" s="14" t="n">
        <v>17074.51397591385</v>
      </c>
      <c r="I4323" s="14" t="n">
        <v>691.0775985717773</v>
      </c>
      <c r="J4323" s="14" t="n">
        <v>0</v>
      </c>
      <c r="K4323" s="14" t="n">
        <v>24478.10150912417</v>
      </c>
      <c r="L4323" s="14" t="n">
        <v>958582.3515244428</v>
      </c>
      <c r="M4323" s="14" t="n">
        <v>0</v>
      </c>
      <c r="N4323" s="14" t="n">
        <v>18981.65419143976</v>
      </c>
      <c r="O4323" s="14" t="n">
        <v>37903.63737000111</v>
      </c>
      <c r="P4323" s="14" t="n">
        <v>2104.592341075224</v>
      </c>
      <c r="Q4323" s="14" t="n">
        <v>234118.3731362736</v>
      </c>
      <c r="R4323" s="15">
        <f>IF(D4323=1,"Section 1","Control")</f>
        <v/>
      </c>
      <c r="S4323" s="16">
        <f>N4323/10000</f>
        <v/>
      </c>
      <c r="T4323" s="16">
        <f>P4323/10000</f>
        <v/>
      </c>
      <c r="U4323" s="15">
        <f>IF(N4323&gt;=Summary!$D$3,1,0)</f>
        <v/>
      </c>
      <c r="V4323" s="17">
        <f>IF(N4323&gt;0,P4323/N4323,"")</f>
        <v/>
      </c>
      <c r="W4323" s="17">
        <f>IF(O4323&gt;0,H4323/O4323,"")</f>
        <v/>
      </c>
    </row>
    <row r="4324">
      <c r="A4324" s="13" t="inlineStr">
        <is>
          <t>CW64_B2</t>
        </is>
      </c>
      <c r="B4324" s="13" t="inlineStr">
        <is>
          <t>CW64</t>
        </is>
      </c>
      <c r="C4324" s="13" t="inlineStr">
        <is>
          <t>B2</t>
        </is>
      </c>
      <c r="D4324" s="13" t="n">
        <v>0</v>
      </c>
      <c r="E4324" s="13" t="inlineStr">
        <is>
          <t>W</t>
        </is>
      </c>
      <c r="F4324" s="13" t="n">
        <v>2023</v>
      </c>
      <c r="G4324" s="14" t="n">
        <v>1000826.044608053</v>
      </c>
      <c r="H4324" s="14" t="n">
        <v>17012.95532184676</v>
      </c>
      <c r="I4324" s="14" t="n">
        <v>814.193777555578</v>
      </c>
      <c r="J4324" s="14" t="n">
        <v>0</v>
      </c>
      <c r="K4324" s="14" t="n">
        <v>20101.27017211915</v>
      </c>
      <c r="L4324" s="14" t="n">
        <v>962897.6253365312</v>
      </c>
      <c r="M4324" s="14" t="n">
        <v>0</v>
      </c>
      <c r="N4324" s="14" t="n">
        <v>18981.65419143976</v>
      </c>
      <c r="O4324" s="14" t="n">
        <v>37903.63737000111</v>
      </c>
      <c r="P4324" s="14" t="n">
        <v>2067.424974329331</v>
      </c>
      <c r="Q4324" s="14" t="n">
        <v>234118.3731362736</v>
      </c>
      <c r="R4324" s="15">
        <f>IF(D4324=1,"Section 1","Control")</f>
        <v/>
      </c>
      <c r="S4324" s="16">
        <f>N4324/10000</f>
        <v/>
      </c>
      <c r="T4324" s="16">
        <f>P4324/10000</f>
        <v/>
      </c>
      <c r="U4324" s="15">
        <f>IF(N4324&gt;=Summary!$D$3,1,0)</f>
        <v/>
      </c>
      <c r="V4324" s="17">
        <f>IF(N4324&gt;0,P4324/N4324,"")</f>
        <v/>
      </c>
      <c r="W4324" s="17">
        <f>IF(O4324&gt;0,H4324/O4324,"")</f>
        <v/>
      </c>
    </row>
    <row r="4325">
      <c r="A4325" s="13" t="inlineStr">
        <is>
          <t>CW64_B2</t>
        </is>
      </c>
      <c r="B4325" s="13" t="inlineStr">
        <is>
          <t>CW64</t>
        </is>
      </c>
      <c r="C4325" s="13" t="inlineStr">
        <is>
          <t>B2</t>
        </is>
      </c>
      <c r="D4325" s="13" t="n">
        <v>0</v>
      </c>
      <c r="E4325" s="13" t="inlineStr">
        <is>
          <t>W</t>
        </is>
      </c>
      <c r="F4325" s="13" t="n">
        <v>2024</v>
      </c>
      <c r="G4325" s="14" t="n">
        <v>1000826.044608053</v>
      </c>
      <c r="H4325" s="14" t="n">
        <v>14828.58798364378</v>
      </c>
      <c r="I4325" s="14" t="n">
        <v>2096.856886740292</v>
      </c>
      <c r="J4325" s="14" t="n">
        <v>0</v>
      </c>
      <c r="K4325" s="14" t="n">
        <v>20509.34260334689</v>
      </c>
      <c r="L4325" s="14" t="n">
        <v>963391.2571343218</v>
      </c>
      <c r="M4325" s="14" t="n">
        <v>0</v>
      </c>
      <c r="N4325" s="14" t="n">
        <v>18981.65419143976</v>
      </c>
      <c r="O4325" s="14" t="n">
        <v>37903.63737000111</v>
      </c>
      <c r="P4325" s="14" t="n">
        <v>4609.525801804486</v>
      </c>
      <c r="Q4325" s="14" t="n">
        <v>234118.3731362736</v>
      </c>
      <c r="R4325" s="15">
        <f>IF(D4325=1,"Section 1","Control")</f>
        <v/>
      </c>
      <c r="S4325" s="16">
        <f>N4325/10000</f>
        <v/>
      </c>
      <c r="T4325" s="16">
        <f>P4325/10000</f>
        <v/>
      </c>
      <c r="U4325" s="15">
        <f>IF(N4325&gt;=Summary!$D$3,1,0)</f>
        <v/>
      </c>
      <c r="V4325" s="17">
        <f>IF(N4325&gt;0,P4325/N4325,"")</f>
        <v/>
      </c>
      <c r="W4325" s="17">
        <f>IF(O4325&gt;0,H4325/O4325,"")</f>
        <v/>
      </c>
    </row>
    <row r="4326">
      <c r="A4326" s="13" t="inlineStr">
        <is>
          <t>CW64_B2</t>
        </is>
      </c>
      <c r="B4326" s="13" t="inlineStr">
        <is>
          <t>CW64</t>
        </is>
      </c>
      <c r="C4326" s="13" t="inlineStr">
        <is>
          <t>B2</t>
        </is>
      </c>
      <c r="D4326" s="13" t="n">
        <v>0</v>
      </c>
      <c r="E4326" s="13" t="inlineStr">
        <is>
          <t>W</t>
        </is>
      </c>
      <c r="F4326" s="13" t="n">
        <v>2025</v>
      </c>
      <c r="G4326" s="14" t="n">
        <v>1000826.044608053</v>
      </c>
      <c r="H4326" s="14" t="n">
        <v>13526.18870119581</v>
      </c>
      <c r="I4326" s="14" t="n">
        <v>1356.992268850289</v>
      </c>
      <c r="J4326" s="14" t="n">
        <v>0</v>
      </c>
      <c r="K4326" s="14" t="n">
        <v>20305.69047091616</v>
      </c>
      <c r="L4326" s="14" t="n">
        <v>965637.1731670904</v>
      </c>
      <c r="M4326" s="14" t="n">
        <v>0</v>
      </c>
      <c r="N4326" s="14" t="n">
        <v>18981.65419143976</v>
      </c>
      <c r="O4326" s="14" t="n">
        <v>37903.63737000111</v>
      </c>
      <c r="P4326" s="14" t="n">
        <v>5714.474293847177</v>
      </c>
      <c r="Q4326" s="14" t="n">
        <v>234118.3731362736</v>
      </c>
      <c r="R4326" s="15">
        <f>IF(D4326=1,"Section 1","Control")</f>
        <v/>
      </c>
      <c r="S4326" s="16">
        <f>N4326/10000</f>
        <v/>
      </c>
      <c r="T4326" s="16">
        <f>P4326/10000</f>
        <v/>
      </c>
      <c r="U4326" s="15">
        <f>IF(N4326&gt;=Summary!$D$3,1,0)</f>
        <v/>
      </c>
      <c r="V4326" s="17">
        <f>IF(N4326&gt;0,P4326/N4326,"")</f>
        <v/>
      </c>
      <c r="W4326" s="17">
        <f>IF(O4326&gt;0,H4326/O4326,"")</f>
        <v/>
      </c>
    </row>
    <row r="4327">
      <c r="A4327" s="13" t="inlineStr">
        <is>
          <t>CW64_B2</t>
        </is>
      </c>
      <c r="B4327" s="13" t="inlineStr">
        <is>
          <t>CW64</t>
        </is>
      </c>
      <c r="C4327" s="13" t="inlineStr">
        <is>
          <t>B2</t>
        </is>
      </c>
      <c r="D4327" s="13" t="n">
        <v>0</v>
      </c>
      <c r="E4327" s="13" t="inlineStr">
        <is>
          <t>W</t>
        </is>
      </c>
      <c r="F4327" s="13" t="n">
        <v>2026</v>
      </c>
      <c r="G4327" s="14" t="n">
        <v>1000826.044608053</v>
      </c>
      <c r="H4327" s="14" t="n">
        <v>10774.64554440367</v>
      </c>
      <c r="I4327" s="14" t="n">
        <v>2122.023339813831</v>
      </c>
      <c r="J4327" s="14" t="n">
        <v>0</v>
      </c>
      <c r="K4327" s="14" t="n">
        <v>21374.63168954289</v>
      </c>
      <c r="L4327" s="14" t="n">
        <v>966554.7440342924</v>
      </c>
      <c r="M4327" s="14" t="n">
        <v>0</v>
      </c>
      <c r="N4327" s="14" t="n">
        <v>18981.65419143976</v>
      </c>
      <c r="O4327" s="14" t="n">
        <v>37903.63737000111</v>
      </c>
      <c r="P4327" s="14" t="n">
        <v>8466.017450639316</v>
      </c>
      <c r="Q4327" s="14" t="n">
        <v>234118.3731362736</v>
      </c>
      <c r="R4327" s="15">
        <f>IF(D4327=1,"Section 1","Control")</f>
        <v/>
      </c>
      <c r="S4327" s="16">
        <f>N4327/10000</f>
        <v/>
      </c>
      <c r="T4327" s="16">
        <f>P4327/10000</f>
        <v/>
      </c>
      <c r="U4327" s="15">
        <f>IF(N4327&gt;=Summary!$D$3,1,0)</f>
        <v/>
      </c>
      <c r="V4327" s="17">
        <f>IF(N4327&gt;0,P4327/N4327,"")</f>
        <v/>
      </c>
      <c r="W4327" s="17">
        <f>IF(O4327&gt;0,H4327/O4327,"")</f>
        <v/>
      </c>
    </row>
    <row r="4328">
      <c r="A4328" s="13" t="inlineStr">
        <is>
          <t>CW64_B3</t>
        </is>
      </c>
      <c r="B4328" s="13" t="inlineStr">
        <is>
          <t>CW64</t>
        </is>
      </c>
      <c r="C4328" s="13" t="inlineStr">
        <is>
          <t>B3</t>
        </is>
      </c>
      <c r="D4328" s="13" t="n">
        <v>0</v>
      </c>
      <c r="E4328" s="13" t="inlineStr">
        <is>
          <t>W</t>
        </is>
      </c>
      <c r="F4328" s="13" t="n">
        <v>2020</v>
      </c>
      <c r="G4328" s="14" t="n">
        <v>8004237.230886634</v>
      </c>
      <c r="H4328" s="14" t="n">
        <v>1402271.293202389</v>
      </c>
      <c r="I4328" s="14" t="n">
        <v>421526.5648969165</v>
      </c>
      <c r="J4328" s="14" t="n">
        <v>0</v>
      </c>
      <c r="K4328" s="14" t="n">
        <v>1733694.222620736</v>
      </c>
      <c r="L4328" s="14" t="n">
        <v>4446745.15016659</v>
      </c>
      <c r="M4328" s="14" t="n">
        <v>0</v>
      </c>
      <c r="N4328" s="14" t="n">
        <v>1402271.293202389</v>
      </c>
      <c r="O4328" s="14" t="n">
        <v>3557492.080720041</v>
      </c>
      <c r="P4328" s="14" t="n">
        <v>0</v>
      </c>
      <c r="Q4328" s="14" t="n">
        <v>15841394.36295701</v>
      </c>
      <c r="R4328" s="15">
        <f>IF(D4328=1,"Section 1","Control")</f>
        <v/>
      </c>
      <c r="S4328" s="16">
        <f>N4328/10000</f>
        <v/>
      </c>
      <c r="T4328" s="16">
        <f>P4328/10000</f>
        <v/>
      </c>
      <c r="U4328" s="15">
        <f>IF(N4328&gt;=Summary!$D$3,1,0)</f>
        <v/>
      </c>
      <c r="V4328" s="17">
        <f>IF(N4328&gt;0,P4328/N4328,"")</f>
        <v/>
      </c>
      <c r="W4328" s="17">
        <f>IF(O4328&gt;0,H4328/O4328,"")</f>
        <v/>
      </c>
    </row>
    <row r="4329">
      <c r="A4329" s="13" t="inlineStr">
        <is>
          <t>CW64_B3</t>
        </is>
      </c>
      <c r="B4329" s="13" t="inlineStr">
        <is>
          <t>CW64</t>
        </is>
      </c>
      <c r="C4329" s="13" t="inlineStr">
        <is>
          <t>B3</t>
        </is>
      </c>
      <c r="D4329" s="13" t="n">
        <v>0</v>
      </c>
      <c r="E4329" s="13" t="inlineStr">
        <is>
          <t>W</t>
        </is>
      </c>
      <c r="F4329" s="13" t="n">
        <v>2021</v>
      </c>
      <c r="G4329" s="14" t="n">
        <v>8004237.230886634</v>
      </c>
      <c r="H4329" s="14" t="n">
        <v>1324415.369311793</v>
      </c>
      <c r="I4329" s="14" t="n">
        <v>454312.5321575987</v>
      </c>
      <c r="J4329" s="14" t="n">
        <v>0</v>
      </c>
      <c r="K4329" s="14" t="n">
        <v>1799732.005316132</v>
      </c>
      <c r="L4329" s="14" t="n">
        <v>4425777.324101107</v>
      </c>
      <c r="M4329" s="14" t="n">
        <v>0</v>
      </c>
      <c r="N4329" s="14" t="n">
        <v>1402271.293202389</v>
      </c>
      <c r="O4329" s="14" t="n">
        <v>3557492.080720042</v>
      </c>
      <c r="P4329" s="14" t="n">
        <v>110341.8875455071</v>
      </c>
      <c r="Q4329" s="14" t="n">
        <v>15841394.36295701</v>
      </c>
      <c r="R4329" s="15">
        <f>IF(D4329=1,"Section 1","Control")</f>
        <v/>
      </c>
      <c r="S4329" s="16">
        <f>N4329/10000</f>
        <v/>
      </c>
      <c r="T4329" s="16">
        <f>P4329/10000</f>
        <v/>
      </c>
      <c r="U4329" s="15">
        <f>IF(N4329&gt;=Summary!$D$3,1,0)</f>
        <v/>
      </c>
      <c r="V4329" s="17">
        <f>IF(N4329&gt;0,P4329/N4329,"")</f>
        <v/>
      </c>
      <c r="W4329" s="17">
        <f>IF(O4329&gt;0,H4329/O4329,"")</f>
        <v/>
      </c>
    </row>
    <row r="4330">
      <c r="A4330" s="13" t="inlineStr">
        <is>
          <t>CW64_B3</t>
        </is>
      </c>
      <c r="B4330" s="13" t="inlineStr">
        <is>
          <t>CW64</t>
        </is>
      </c>
      <c r="C4330" s="13" t="inlineStr">
        <is>
          <t>B3</t>
        </is>
      </c>
      <c r="D4330" s="13" t="n">
        <v>0</v>
      </c>
      <c r="E4330" s="13" t="inlineStr">
        <is>
          <t>W</t>
        </is>
      </c>
      <c r="F4330" s="13" t="n">
        <v>2022</v>
      </c>
      <c r="G4330" s="14" t="n">
        <v>8004237.230886634</v>
      </c>
      <c r="H4330" s="14" t="n">
        <v>1096159.511814162</v>
      </c>
      <c r="I4330" s="14" t="n">
        <v>470566.3633759441</v>
      </c>
      <c r="J4330" s="14" t="n">
        <v>0</v>
      </c>
      <c r="K4330" s="14" t="n">
        <v>2150666.713937229</v>
      </c>
      <c r="L4330" s="14" t="n">
        <v>4286844.641759296</v>
      </c>
      <c r="M4330" s="14" t="n">
        <v>0</v>
      </c>
      <c r="N4330" s="14" t="n">
        <v>1402271.293202389</v>
      </c>
      <c r="O4330" s="14" t="n">
        <v>3557492.080720042</v>
      </c>
      <c r="P4330" s="14" t="n">
        <v>335580.3166808783</v>
      </c>
      <c r="Q4330" s="14" t="n">
        <v>15841394.36295701</v>
      </c>
      <c r="R4330" s="15">
        <f>IF(D4330=1,"Section 1","Control")</f>
        <v/>
      </c>
      <c r="S4330" s="16">
        <f>N4330/10000</f>
        <v/>
      </c>
      <c r="T4330" s="16">
        <f>P4330/10000</f>
        <v/>
      </c>
      <c r="U4330" s="15">
        <f>IF(N4330&gt;=Summary!$D$3,1,0)</f>
        <v/>
      </c>
      <c r="V4330" s="17">
        <f>IF(N4330&gt;0,P4330/N4330,"")</f>
        <v/>
      </c>
      <c r="W4330" s="17">
        <f>IF(O4330&gt;0,H4330/O4330,"")</f>
        <v/>
      </c>
    </row>
    <row r="4331">
      <c r="A4331" s="13" t="inlineStr">
        <is>
          <t>CW64_B3</t>
        </is>
      </c>
      <c r="B4331" s="13" t="inlineStr">
        <is>
          <t>CW64</t>
        </is>
      </c>
      <c r="C4331" s="13" t="inlineStr">
        <is>
          <t>B3</t>
        </is>
      </c>
      <c r="D4331" s="13" t="n">
        <v>0</v>
      </c>
      <c r="E4331" s="13" t="inlineStr">
        <is>
          <t>W</t>
        </is>
      </c>
      <c r="F4331" s="13" t="n">
        <v>2023</v>
      </c>
      <c r="G4331" s="14" t="n">
        <v>8004237.230886633</v>
      </c>
      <c r="H4331" s="14" t="n">
        <v>1039993.026266808</v>
      </c>
      <c r="I4331" s="14" t="n">
        <v>449442.6127444397</v>
      </c>
      <c r="J4331" s="14" t="n">
        <v>0</v>
      </c>
      <c r="K4331" s="14" t="n">
        <v>2129321.667241564</v>
      </c>
      <c r="L4331" s="14" t="n">
        <v>4385479.92463382</v>
      </c>
      <c r="M4331" s="14" t="n">
        <v>0</v>
      </c>
      <c r="N4331" s="14" t="n">
        <v>1402271.293202389</v>
      </c>
      <c r="O4331" s="14" t="n">
        <v>3557492.080720042</v>
      </c>
      <c r="P4331" s="14" t="n">
        <v>396818.6078131881</v>
      </c>
      <c r="Q4331" s="14" t="n">
        <v>15841394.36295701</v>
      </c>
      <c r="R4331" s="15">
        <f>IF(D4331=1,"Section 1","Control")</f>
        <v/>
      </c>
      <c r="S4331" s="16">
        <f>N4331/10000</f>
        <v/>
      </c>
      <c r="T4331" s="16">
        <f>P4331/10000</f>
        <v/>
      </c>
      <c r="U4331" s="15">
        <f>IF(N4331&gt;=Summary!$D$3,1,0)</f>
        <v/>
      </c>
      <c r="V4331" s="17">
        <f>IF(N4331&gt;0,P4331/N4331,"")</f>
        <v/>
      </c>
      <c r="W4331" s="17">
        <f>IF(O4331&gt;0,H4331/O4331,"")</f>
        <v/>
      </c>
    </row>
    <row r="4332">
      <c r="A4332" s="13" t="inlineStr">
        <is>
          <t>CW64_B3</t>
        </is>
      </c>
      <c r="B4332" s="13" t="inlineStr">
        <is>
          <t>CW64</t>
        </is>
      </c>
      <c r="C4332" s="13" t="inlineStr">
        <is>
          <t>B3</t>
        </is>
      </c>
      <c r="D4332" s="13" t="n">
        <v>0</v>
      </c>
      <c r="E4332" s="13" t="inlineStr">
        <is>
          <t>W</t>
        </is>
      </c>
      <c r="F4332" s="13" t="n">
        <v>2024</v>
      </c>
      <c r="G4332" s="14" t="n">
        <v>8004237.230886633</v>
      </c>
      <c r="H4332" s="14" t="n">
        <v>1077124.305089135</v>
      </c>
      <c r="I4332" s="14" t="n">
        <v>489480.622699184</v>
      </c>
      <c r="J4332" s="14" t="n">
        <v>0</v>
      </c>
      <c r="K4332" s="14" t="n">
        <v>1976904.914487084</v>
      </c>
      <c r="L4332" s="14" t="n">
        <v>4460727.388611229</v>
      </c>
      <c r="M4332" s="14" t="n">
        <v>0</v>
      </c>
      <c r="N4332" s="14" t="n">
        <v>1402271.293202389</v>
      </c>
      <c r="O4332" s="14" t="n">
        <v>3557492.080720041</v>
      </c>
      <c r="P4332" s="14" t="n">
        <v>412684.0730566885</v>
      </c>
      <c r="Q4332" s="14" t="n">
        <v>15841394.36295701</v>
      </c>
      <c r="R4332" s="15">
        <f>IF(D4332=1,"Section 1","Control")</f>
        <v/>
      </c>
      <c r="S4332" s="16">
        <f>N4332/10000</f>
        <v/>
      </c>
      <c r="T4332" s="16">
        <f>P4332/10000</f>
        <v/>
      </c>
      <c r="U4332" s="15">
        <f>IF(N4332&gt;=Summary!$D$3,1,0)</f>
        <v/>
      </c>
      <c r="V4332" s="17">
        <f>IF(N4332&gt;0,P4332/N4332,"")</f>
        <v/>
      </c>
      <c r="W4332" s="17">
        <f>IF(O4332&gt;0,H4332/O4332,"")</f>
        <v/>
      </c>
    </row>
    <row r="4333">
      <c r="A4333" s="13" t="inlineStr">
        <is>
          <t>CW64_B3</t>
        </is>
      </c>
      <c r="B4333" s="13" t="inlineStr">
        <is>
          <t>CW64</t>
        </is>
      </c>
      <c r="C4333" s="13" t="inlineStr">
        <is>
          <t>B3</t>
        </is>
      </c>
      <c r="D4333" s="13" t="n">
        <v>0</v>
      </c>
      <c r="E4333" s="13" t="inlineStr">
        <is>
          <t>W</t>
        </is>
      </c>
      <c r="F4333" s="13" t="n">
        <v>2025</v>
      </c>
      <c r="G4333" s="14" t="n">
        <v>8004237.230886633</v>
      </c>
      <c r="H4333" s="14" t="n">
        <v>1062523.656926413</v>
      </c>
      <c r="I4333" s="14" t="n">
        <v>414260.333890339</v>
      </c>
      <c r="J4333" s="14" t="n">
        <v>0</v>
      </c>
      <c r="K4333" s="14" t="n">
        <v>2014704.024386418</v>
      </c>
      <c r="L4333" s="14" t="n">
        <v>4512749.215683462</v>
      </c>
      <c r="M4333" s="14" t="n">
        <v>0</v>
      </c>
      <c r="N4333" s="14" t="n">
        <v>1402271.293202389</v>
      </c>
      <c r="O4333" s="14" t="n">
        <v>3557492.080720041</v>
      </c>
      <c r="P4333" s="14" t="n">
        <v>433248.0465235692</v>
      </c>
      <c r="Q4333" s="14" t="n">
        <v>15841394.36295701</v>
      </c>
      <c r="R4333" s="15">
        <f>IF(D4333=1,"Section 1","Control")</f>
        <v/>
      </c>
      <c r="S4333" s="16">
        <f>N4333/10000</f>
        <v/>
      </c>
      <c r="T4333" s="16">
        <f>P4333/10000</f>
        <v/>
      </c>
      <c r="U4333" s="15">
        <f>IF(N4333&gt;=Summary!$D$3,1,0)</f>
        <v/>
      </c>
      <c r="V4333" s="17">
        <f>IF(N4333&gt;0,P4333/N4333,"")</f>
        <v/>
      </c>
      <c r="W4333" s="17">
        <f>IF(O4333&gt;0,H4333/O4333,"")</f>
        <v/>
      </c>
    </row>
    <row r="4334">
      <c r="A4334" s="13" t="inlineStr">
        <is>
          <t>CW64_B3</t>
        </is>
      </c>
      <c r="B4334" s="13" t="inlineStr">
        <is>
          <t>CW64</t>
        </is>
      </c>
      <c r="C4334" s="13" t="inlineStr">
        <is>
          <t>B3</t>
        </is>
      </c>
      <c r="D4334" s="13" t="n">
        <v>0</v>
      </c>
      <c r="E4334" s="13" t="inlineStr">
        <is>
          <t>W</t>
        </is>
      </c>
      <c r="F4334" s="13" t="n">
        <v>2026</v>
      </c>
      <c r="G4334" s="14" t="n">
        <v>8004237.230886634</v>
      </c>
      <c r="H4334" s="14" t="n">
        <v>1106192.68882183</v>
      </c>
      <c r="I4334" s="14" t="n">
        <v>404447.3446020388</v>
      </c>
      <c r="J4334" s="14" t="n">
        <v>0</v>
      </c>
      <c r="K4334" s="14" t="n">
        <v>1976021.83370101</v>
      </c>
      <c r="L4334" s="14" t="n">
        <v>4517575.363761753</v>
      </c>
      <c r="M4334" s="14" t="n">
        <v>0</v>
      </c>
      <c r="N4334" s="14" t="n">
        <v>1402271.293202389</v>
      </c>
      <c r="O4334" s="14" t="n">
        <v>3557492.080720041</v>
      </c>
      <c r="P4334" s="14" t="n">
        <v>443384.8560393689</v>
      </c>
      <c r="Q4334" s="14" t="n">
        <v>15841394.36295701</v>
      </c>
      <c r="R4334" s="15">
        <f>IF(D4334=1,"Section 1","Control")</f>
        <v/>
      </c>
      <c r="S4334" s="16">
        <f>N4334/10000</f>
        <v/>
      </c>
      <c r="T4334" s="16">
        <f>P4334/10000</f>
        <v/>
      </c>
      <c r="U4334" s="15">
        <f>IF(N4334&gt;=Summary!$D$3,1,0)</f>
        <v/>
      </c>
      <c r="V4334" s="17">
        <f>IF(N4334&gt;0,P4334/N4334,"")</f>
        <v/>
      </c>
      <c r="W4334" s="17">
        <f>IF(O4334&gt;0,H4334/O4334,"")</f>
        <v/>
      </c>
    </row>
    <row r="4335">
      <c r="A4335" s="13" t="inlineStr">
        <is>
          <t>CW64_F</t>
        </is>
      </c>
      <c r="B4335" s="13" t="inlineStr">
        <is>
          <t>CW64</t>
        </is>
      </c>
      <c r="C4335" s="13" t="inlineStr">
        <is>
          <t>F</t>
        </is>
      </c>
      <c r="D4335" s="13" t="n">
        <v>0</v>
      </c>
      <c r="E4335" s="13" t="inlineStr">
        <is>
          <t>W</t>
        </is>
      </c>
      <c r="F4335" s="13" t="n">
        <v>2020</v>
      </c>
      <c r="G4335" s="14" t="n">
        <v>69523.21121236761</v>
      </c>
      <c r="H4335" s="14" t="n">
        <v>0</v>
      </c>
      <c r="I4335" s="14" t="n">
        <v>63864.02350616454</v>
      </c>
      <c r="J4335" s="14" t="n">
        <v>0</v>
      </c>
      <c r="K4335" s="14" t="n">
        <v>5659.187706203088</v>
      </c>
      <c r="L4335" s="14" t="n">
        <v>0</v>
      </c>
      <c r="M4335" s="14" t="n">
        <v>0</v>
      </c>
      <c r="N4335" s="14" t="n">
        <v>0</v>
      </c>
      <c r="O4335" s="14" t="n">
        <v>69523.21121236761</v>
      </c>
      <c r="P4335" s="14" t="n">
        <v>0</v>
      </c>
      <c r="Q4335" s="14" t="n">
        <v>32940.75311602424</v>
      </c>
      <c r="R4335" s="15">
        <f>IF(D4335=1,"Section 1","Control")</f>
        <v/>
      </c>
      <c r="S4335" s="16">
        <f>N4335/10000</f>
        <v/>
      </c>
      <c r="T4335" s="16">
        <f>P4335/10000</f>
        <v/>
      </c>
      <c r="U4335" s="15">
        <f>IF(N4335&gt;=Summary!$D$3,1,0)</f>
        <v/>
      </c>
      <c r="V4335" s="17">
        <f>IF(N4335&gt;0,P4335/N4335,"")</f>
        <v/>
      </c>
      <c r="W4335" s="17">
        <f>IF(O4335&gt;0,H4335/O4335,"")</f>
        <v/>
      </c>
    </row>
    <row r="4336">
      <c r="A4336" s="13" t="inlineStr">
        <is>
          <t>CW64_F</t>
        </is>
      </c>
      <c r="B4336" s="13" t="inlineStr">
        <is>
          <t>CW64</t>
        </is>
      </c>
      <c r="C4336" s="13" t="inlineStr">
        <is>
          <t>F</t>
        </is>
      </c>
      <c r="D4336" s="13" t="n">
        <v>0</v>
      </c>
      <c r="E4336" s="13" t="inlineStr">
        <is>
          <t>W</t>
        </is>
      </c>
      <c r="F4336" s="13" t="n">
        <v>2021</v>
      </c>
      <c r="G4336" s="14" t="n">
        <v>69523.21121236761</v>
      </c>
      <c r="H4336" s="14" t="n">
        <v>0</v>
      </c>
      <c r="I4336" s="14" t="n">
        <v>63427.68867364024</v>
      </c>
      <c r="J4336" s="14" t="n">
        <v>0</v>
      </c>
      <c r="K4336" s="14" t="n">
        <v>6095.522538727404</v>
      </c>
      <c r="L4336" s="14" t="n">
        <v>0</v>
      </c>
      <c r="M4336" s="14" t="n">
        <v>0</v>
      </c>
      <c r="N4336" s="14" t="n">
        <v>0</v>
      </c>
      <c r="O4336" s="14" t="n">
        <v>69523.21121236761</v>
      </c>
      <c r="P4336" s="14" t="n">
        <v>0</v>
      </c>
      <c r="Q4336" s="14" t="n">
        <v>32940.75311602424</v>
      </c>
      <c r="R4336" s="15">
        <f>IF(D4336=1,"Section 1","Control")</f>
        <v/>
      </c>
      <c r="S4336" s="16">
        <f>N4336/10000</f>
        <v/>
      </c>
      <c r="T4336" s="16">
        <f>P4336/10000</f>
        <v/>
      </c>
      <c r="U4336" s="15">
        <f>IF(N4336&gt;=Summary!$D$3,1,0)</f>
        <v/>
      </c>
      <c r="V4336" s="17">
        <f>IF(N4336&gt;0,P4336/N4336,"")</f>
        <v/>
      </c>
      <c r="W4336" s="17">
        <f>IF(O4336&gt;0,H4336/O4336,"")</f>
        <v/>
      </c>
    </row>
    <row r="4337">
      <c r="A4337" s="13" t="inlineStr">
        <is>
          <t>CW64_F</t>
        </is>
      </c>
      <c r="B4337" s="13" t="inlineStr">
        <is>
          <t>CW64</t>
        </is>
      </c>
      <c r="C4337" s="13" t="inlineStr">
        <is>
          <t>F</t>
        </is>
      </c>
      <c r="D4337" s="13" t="n">
        <v>0</v>
      </c>
      <c r="E4337" s="13" t="inlineStr">
        <is>
          <t>W</t>
        </is>
      </c>
      <c r="F4337" s="13" t="n">
        <v>2022</v>
      </c>
      <c r="G4337" s="14" t="n">
        <v>69523.21121236761</v>
      </c>
      <c r="H4337" s="14" t="n">
        <v>0</v>
      </c>
      <c r="I4337" s="14" t="n">
        <v>64588.40884875129</v>
      </c>
      <c r="J4337" s="14" t="n">
        <v>0</v>
      </c>
      <c r="K4337" s="14" t="n">
        <v>4934.802363616344</v>
      </c>
      <c r="L4337" s="14" t="n">
        <v>0</v>
      </c>
      <c r="M4337" s="14" t="n">
        <v>0</v>
      </c>
      <c r="N4337" s="14" t="n">
        <v>0</v>
      </c>
      <c r="O4337" s="14" t="n">
        <v>69523.21121236761</v>
      </c>
      <c r="P4337" s="14" t="n">
        <v>0</v>
      </c>
      <c r="Q4337" s="14" t="n">
        <v>32940.75311602424</v>
      </c>
      <c r="R4337" s="15">
        <f>IF(D4337=1,"Section 1","Control")</f>
        <v/>
      </c>
      <c r="S4337" s="16">
        <f>N4337/10000</f>
        <v/>
      </c>
      <c r="T4337" s="16">
        <f>P4337/10000</f>
        <v/>
      </c>
      <c r="U4337" s="15">
        <f>IF(N4337&gt;=Summary!$D$3,1,0)</f>
        <v/>
      </c>
      <c r="V4337" s="17">
        <f>IF(N4337&gt;0,P4337/N4337,"")</f>
        <v/>
      </c>
      <c r="W4337" s="17">
        <f>IF(O4337&gt;0,H4337/O4337,"")</f>
        <v/>
      </c>
    </row>
    <row r="4338">
      <c r="A4338" s="13" t="inlineStr">
        <is>
          <t>CW64_F</t>
        </is>
      </c>
      <c r="B4338" s="13" t="inlineStr">
        <is>
          <t>CW64</t>
        </is>
      </c>
      <c r="C4338" s="13" t="inlineStr">
        <is>
          <t>F</t>
        </is>
      </c>
      <c r="D4338" s="13" t="n">
        <v>0</v>
      </c>
      <c r="E4338" s="13" t="inlineStr">
        <is>
          <t>W</t>
        </is>
      </c>
      <c r="F4338" s="13" t="n">
        <v>2023</v>
      </c>
      <c r="G4338" s="14" t="n">
        <v>69523.21121236761</v>
      </c>
      <c r="H4338" s="14" t="n">
        <v>0</v>
      </c>
      <c r="I4338" s="14" t="n">
        <v>64105.61441503787</v>
      </c>
      <c r="J4338" s="14" t="n">
        <v>0</v>
      </c>
      <c r="K4338" s="14" t="n">
        <v>5417.596797329771</v>
      </c>
      <c r="L4338" s="14" t="n">
        <v>0</v>
      </c>
      <c r="M4338" s="14" t="n">
        <v>0</v>
      </c>
      <c r="N4338" s="14" t="n">
        <v>0</v>
      </c>
      <c r="O4338" s="14" t="n">
        <v>69523.21121236761</v>
      </c>
      <c r="P4338" s="14" t="n">
        <v>0</v>
      </c>
      <c r="Q4338" s="14" t="n">
        <v>32940.75311602424</v>
      </c>
      <c r="R4338" s="15">
        <f>IF(D4338=1,"Section 1","Control")</f>
        <v/>
      </c>
      <c r="S4338" s="16">
        <f>N4338/10000</f>
        <v/>
      </c>
      <c r="T4338" s="16">
        <f>P4338/10000</f>
        <v/>
      </c>
      <c r="U4338" s="15">
        <f>IF(N4338&gt;=Summary!$D$3,1,0)</f>
        <v/>
      </c>
      <c r="V4338" s="17">
        <f>IF(N4338&gt;0,P4338/N4338,"")</f>
        <v/>
      </c>
      <c r="W4338" s="17">
        <f>IF(O4338&gt;0,H4338/O4338,"")</f>
        <v/>
      </c>
    </row>
    <row r="4339">
      <c r="A4339" s="13" t="inlineStr">
        <is>
          <t>CW64_F</t>
        </is>
      </c>
      <c r="B4339" s="13" t="inlineStr">
        <is>
          <t>CW64</t>
        </is>
      </c>
      <c r="C4339" s="13" t="inlineStr">
        <is>
          <t>F</t>
        </is>
      </c>
      <c r="D4339" s="13" t="n">
        <v>0</v>
      </c>
      <c r="E4339" s="13" t="inlineStr">
        <is>
          <t>W</t>
        </is>
      </c>
      <c r="F4339" s="13" t="n">
        <v>2024</v>
      </c>
      <c r="G4339" s="14" t="n">
        <v>69523.21121236761</v>
      </c>
      <c r="H4339" s="14" t="n">
        <v>73.94847400141697</v>
      </c>
      <c r="I4339" s="14" t="n">
        <v>64584.92437202604</v>
      </c>
      <c r="J4339" s="14" t="n">
        <v>0</v>
      </c>
      <c r="K4339" s="14" t="n">
        <v>4864.338366340189</v>
      </c>
      <c r="L4339" s="14" t="n">
        <v>0</v>
      </c>
      <c r="M4339" s="14" t="n">
        <v>0</v>
      </c>
      <c r="N4339" s="14" t="n">
        <v>0</v>
      </c>
      <c r="O4339" s="14" t="n">
        <v>69523.21121236761</v>
      </c>
      <c r="P4339" s="14" t="n">
        <v>0</v>
      </c>
      <c r="Q4339" s="14" t="n">
        <v>32940.75311602424</v>
      </c>
      <c r="R4339" s="15">
        <f>IF(D4339=1,"Section 1","Control")</f>
        <v/>
      </c>
      <c r="S4339" s="16">
        <f>N4339/10000</f>
        <v/>
      </c>
      <c r="T4339" s="16">
        <f>P4339/10000</f>
        <v/>
      </c>
      <c r="U4339" s="15">
        <f>IF(N4339&gt;=Summary!$D$3,1,0)</f>
        <v/>
      </c>
      <c r="V4339" s="17">
        <f>IF(N4339&gt;0,P4339/N4339,"")</f>
        <v/>
      </c>
      <c r="W4339" s="17">
        <f>IF(O4339&gt;0,H4339/O4339,"")</f>
        <v/>
      </c>
    </row>
    <row r="4340">
      <c r="A4340" s="13" t="inlineStr">
        <is>
          <t>CW64_F</t>
        </is>
      </c>
      <c r="B4340" s="13" t="inlineStr">
        <is>
          <t>CW64</t>
        </is>
      </c>
      <c r="C4340" s="13" t="inlineStr">
        <is>
          <t>F</t>
        </is>
      </c>
      <c r="D4340" s="13" t="n">
        <v>0</v>
      </c>
      <c r="E4340" s="13" t="inlineStr">
        <is>
          <t>W</t>
        </is>
      </c>
      <c r="F4340" s="13" t="n">
        <v>2025</v>
      </c>
      <c r="G4340" s="14" t="n">
        <v>69523.21121236761</v>
      </c>
      <c r="H4340" s="14" t="n">
        <v>0</v>
      </c>
      <c r="I4340" s="14" t="n">
        <v>63476.8583591536</v>
      </c>
      <c r="J4340" s="14" t="n">
        <v>0</v>
      </c>
      <c r="K4340" s="14" t="n">
        <v>6046.352853214039</v>
      </c>
      <c r="L4340" s="14" t="n">
        <v>0</v>
      </c>
      <c r="M4340" s="14" t="n">
        <v>0</v>
      </c>
      <c r="N4340" s="14" t="n">
        <v>0</v>
      </c>
      <c r="O4340" s="14" t="n">
        <v>69523.21121236761</v>
      </c>
      <c r="P4340" s="14" t="n">
        <v>0</v>
      </c>
      <c r="Q4340" s="14" t="n">
        <v>32940.75311602424</v>
      </c>
      <c r="R4340" s="15">
        <f>IF(D4340=1,"Section 1","Control")</f>
        <v/>
      </c>
      <c r="S4340" s="16">
        <f>N4340/10000</f>
        <v/>
      </c>
      <c r="T4340" s="16">
        <f>P4340/10000</f>
        <v/>
      </c>
      <c r="U4340" s="15">
        <f>IF(N4340&gt;=Summary!$D$3,1,0)</f>
        <v/>
      </c>
      <c r="V4340" s="17">
        <f>IF(N4340&gt;0,P4340/N4340,"")</f>
        <v/>
      </c>
      <c r="W4340" s="17">
        <f>IF(O4340&gt;0,H4340/O4340,"")</f>
        <v/>
      </c>
    </row>
    <row r="4341">
      <c r="A4341" s="13" t="inlineStr">
        <is>
          <t>CW64_F</t>
        </is>
      </c>
      <c r="B4341" s="13" t="inlineStr">
        <is>
          <t>CW64</t>
        </is>
      </c>
      <c r="C4341" s="13" t="inlineStr">
        <is>
          <t>F</t>
        </is>
      </c>
      <c r="D4341" s="13" t="n">
        <v>0</v>
      </c>
      <c r="E4341" s="13" t="inlineStr">
        <is>
          <t>W</t>
        </is>
      </c>
      <c r="F4341" s="13" t="n">
        <v>2026</v>
      </c>
      <c r="G4341" s="14" t="n">
        <v>69523.21121236761</v>
      </c>
      <c r="H4341" s="14" t="n">
        <v>296.1811904907227</v>
      </c>
      <c r="I4341" s="14" t="n">
        <v>63462.14617016362</v>
      </c>
      <c r="J4341" s="14" t="n">
        <v>0</v>
      </c>
      <c r="K4341" s="14" t="n">
        <v>5764.883851713292</v>
      </c>
      <c r="L4341" s="14" t="n">
        <v>0</v>
      </c>
      <c r="M4341" s="14" t="n">
        <v>0</v>
      </c>
      <c r="N4341" s="14" t="n">
        <v>0</v>
      </c>
      <c r="O4341" s="14" t="n">
        <v>69523.21121236761</v>
      </c>
      <c r="P4341" s="14" t="n">
        <v>0</v>
      </c>
      <c r="Q4341" s="14" t="n">
        <v>32940.75311602424</v>
      </c>
      <c r="R4341" s="15">
        <f>IF(D4341=1,"Section 1","Control")</f>
        <v/>
      </c>
      <c r="S4341" s="16">
        <f>N4341/10000</f>
        <v/>
      </c>
      <c r="T4341" s="16">
        <f>P4341/10000</f>
        <v/>
      </c>
      <c r="U4341" s="15">
        <f>IF(N4341&gt;=Summary!$D$3,1,0)</f>
        <v/>
      </c>
      <c r="V4341" s="17">
        <f>IF(N4341&gt;0,P4341/N4341,"")</f>
        <v/>
      </c>
      <c r="W4341" s="17">
        <f>IF(O4341&gt;0,H4341/O4341,"")</f>
        <v/>
      </c>
    </row>
    <row r="4342">
      <c r="A4342" s="13" t="inlineStr">
        <is>
          <t>CW65_B1</t>
        </is>
      </c>
      <c r="B4342" s="13" t="inlineStr">
        <is>
          <t>CW65</t>
        </is>
      </c>
      <c r="C4342" s="13" t="inlineStr">
        <is>
          <t>B1</t>
        </is>
      </c>
      <c r="D4342" s="13" t="n">
        <v>0</v>
      </c>
      <c r="E4342" s="13" t="inlineStr">
        <is>
          <t>W</t>
        </is>
      </c>
      <c r="F4342" s="13" t="n">
        <v>2020</v>
      </c>
      <c r="G4342" s="14" t="n">
        <v>975476.6486968994</v>
      </c>
      <c r="H4342" s="14" t="n">
        <v>97971.7334400551</v>
      </c>
      <c r="I4342" s="14" t="n">
        <v>283835.9523741779</v>
      </c>
      <c r="J4342" s="14" t="n">
        <v>0</v>
      </c>
      <c r="K4342" s="14" t="n">
        <v>200315.6826439353</v>
      </c>
      <c r="L4342" s="14" t="n">
        <v>393353.2802387313</v>
      </c>
      <c r="M4342" s="14" t="n">
        <v>0</v>
      </c>
      <c r="N4342" s="14" t="n">
        <v>97971.7334400551</v>
      </c>
      <c r="O4342" s="14" t="n">
        <v>582123.3684581683</v>
      </c>
      <c r="P4342" s="14" t="n">
        <v>0</v>
      </c>
      <c r="Q4342" s="14" t="n">
        <v>3810119.033516259</v>
      </c>
      <c r="R4342" s="15">
        <f>IF(D4342=1,"Section 1","Control")</f>
        <v/>
      </c>
      <c r="S4342" s="16">
        <f>N4342/10000</f>
        <v/>
      </c>
      <c r="T4342" s="16">
        <f>P4342/10000</f>
        <v/>
      </c>
      <c r="U4342" s="15">
        <f>IF(N4342&gt;=Summary!$D$3,1,0)</f>
        <v/>
      </c>
      <c r="V4342" s="17">
        <f>IF(N4342&gt;0,P4342/N4342,"")</f>
        <v/>
      </c>
      <c r="W4342" s="17">
        <f>IF(O4342&gt;0,H4342/O4342,"")</f>
        <v/>
      </c>
    </row>
    <row r="4343">
      <c r="A4343" s="13" t="inlineStr">
        <is>
          <t>CW65_B1</t>
        </is>
      </c>
      <c r="B4343" s="13" t="inlineStr">
        <is>
          <t>CW65</t>
        </is>
      </c>
      <c r="C4343" s="13" t="inlineStr">
        <is>
          <t>B1</t>
        </is>
      </c>
      <c r="D4343" s="13" t="n">
        <v>0</v>
      </c>
      <c r="E4343" s="13" t="inlineStr">
        <is>
          <t>W</t>
        </is>
      </c>
      <c r="F4343" s="13" t="n">
        <v>2021</v>
      </c>
      <c r="G4343" s="14" t="n">
        <v>975476.6486968994</v>
      </c>
      <c r="H4343" s="14" t="n">
        <v>92344.30286754534</v>
      </c>
      <c r="I4343" s="14" t="n">
        <v>299704.1880851297</v>
      </c>
      <c r="J4343" s="14" t="n">
        <v>0</v>
      </c>
      <c r="K4343" s="14" t="n">
        <v>177392.4916859346</v>
      </c>
      <c r="L4343" s="14" t="n">
        <v>406035.6660582898</v>
      </c>
      <c r="M4343" s="14" t="n">
        <v>0</v>
      </c>
      <c r="N4343" s="14" t="n">
        <v>97971.7334400551</v>
      </c>
      <c r="O4343" s="14" t="n">
        <v>582123.3684581683</v>
      </c>
      <c r="P4343" s="14" t="n">
        <v>10761.22048950195</v>
      </c>
      <c r="Q4343" s="14" t="n">
        <v>3810119.033516259</v>
      </c>
      <c r="R4343" s="15">
        <f>IF(D4343=1,"Section 1","Control")</f>
        <v/>
      </c>
      <c r="S4343" s="16">
        <f>N4343/10000</f>
        <v/>
      </c>
      <c r="T4343" s="16">
        <f>P4343/10000</f>
        <v/>
      </c>
      <c r="U4343" s="15">
        <f>IF(N4343&gt;=Summary!$D$3,1,0)</f>
        <v/>
      </c>
      <c r="V4343" s="17">
        <f>IF(N4343&gt;0,P4343/N4343,"")</f>
        <v/>
      </c>
      <c r="W4343" s="17">
        <f>IF(O4343&gt;0,H4343/O4343,"")</f>
        <v/>
      </c>
    </row>
    <row r="4344">
      <c r="A4344" s="13" t="inlineStr">
        <is>
          <t>CW65_B1</t>
        </is>
      </c>
      <c r="B4344" s="13" t="inlineStr">
        <is>
          <t>CW65</t>
        </is>
      </c>
      <c r="C4344" s="13" t="inlineStr">
        <is>
          <t>B1</t>
        </is>
      </c>
      <c r="D4344" s="13" t="n">
        <v>0</v>
      </c>
      <c r="E4344" s="13" t="inlineStr">
        <is>
          <t>W</t>
        </is>
      </c>
      <c r="F4344" s="13" t="n">
        <v>2022</v>
      </c>
      <c r="G4344" s="14" t="n">
        <v>975476.6486968994</v>
      </c>
      <c r="H4344" s="14" t="n">
        <v>72944.30629897772</v>
      </c>
      <c r="I4344" s="14" t="n">
        <v>327905.7138951022</v>
      </c>
      <c r="J4344" s="14" t="n">
        <v>0</v>
      </c>
      <c r="K4344" s="14" t="n">
        <v>223857.4582684984</v>
      </c>
      <c r="L4344" s="14" t="n">
        <v>350769.1702343212</v>
      </c>
      <c r="M4344" s="14" t="n">
        <v>0</v>
      </c>
      <c r="N4344" s="14" t="n">
        <v>97971.7334400551</v>
      </c>
      <c r="O4344" s="14" t="n">
        <v>582123.3684581683</v>
      </c>
      <c r="P4344" s="14" t="n">
        <v>27446.03761291504</v>
      </c>
      <c r="Q4344" s="14" t="n">
        <v>3810119.033516259</v>
      </c>
      <c r="R4344" s="15">
        <f>IF(D4344=1,"Section 1","Control")</f>
        <v/>
      </c>
      <c r="S4344" s="16">
        <f>N4344/10000</f>
        <v/>
      </c>
      <c r="T4344" s="16">
        <f>P4344/10000</f>
        <v/>
      </c>
      <c r="U4344" s="15">
        <f>IF(N4344&gt;=Summary!$D$3,1,0)</f>
        <v/>
      </c>
      <c r="V4344" s="17">
        <f>IF(N4344&gt;0,P4344/N4344,"")</f>
        <v/>
      </c>
      <c r="W4344" s="17">
        <f>IF(O4344&gt;0,H4344/O4344,"")</f>
        <v/>
      </c>
    </row>
    <row r="4345">
      <c r="A4345" s="13" t="inlineStr">
        <is>
          <t>CW65_B1</t>
        </is>
      </c>
      <c r="B4345" s="13" t="inlineStr">
        <is>
          <t>CW65</t>
        </is>
      </c>
      <c r="C4345" s="13" t="inlineStr">
        <is>
          <t>B1</t>
        </is>
      </c>
      <c r="D4345" s="13" t="n">
        <v>0</v>
      </c>
      <c r="E4345" s="13" t="inlineStr">
        <is>
          <t>W</t>
        </is>
      </c>
      <c r="F4345" s="13" t="n">
        <v>2023</v>
      </c>
      <c r="G4345" s="14" t="n">
        <v>975476.6486968994</v>
      </c>
      <c r="H4345" s="14" t="n">
        <v>72187.79431915283</v>
      </c>
      <c r="I4345" s="14" t="n">
        <v>326653.4592229208</v>
      </c>
      <c r="J4345" s="14" t="n">
        <v>0</v>
      </c>
      <c r="K4345" s="14" t="n">
        <v>179605.9391397813</v>
      </c>
      <c r="L4345" s="14" t="n">
        <v>397029.4560150447</v>
      </c>
      <c r="M4345" s="14" t="n">
        <v>0</v>
      </c>
      <c r="N4345" s="14" t="n">
        <v>97971.7334400551</v>
      </c>
      <c r="O4345" s="14" t="n">
        <v>582123.3684581683</v>
      </c>
      <c r="P4345" s="14" t="n">
        <v>30016.41195621865</v>
      </c>
      <c r="Q4345" s="14" t="n">
        <v>3810119.03351626</v>
      </c>
      <c r="R4345" s="15">
        <f>IF(D4345=1,"Section 1","Control")</f>
        <v/>
      </c>
      <c r="S4345" s="16">
        <f>N4345/10000</f>
        <v/>
      </c>
      <c r="T4345" s="16">
        <f>P4345/10000</f>
        <v/>
      </c>
      <c r="U4345" s="15">
        <f>IF(N4345&gt;=Summary!$D$3,1,0)</f>
        <v/>
      </c>
      <c r="V4345" s="17">
        <f>IF(N4345&gt;0,P4345/N4345,"")</f>
        <v/>
      </c>
      <c r="W4345" s="17">
        <f>IF(O4345&gt;0,H4345/O4345,"")</f>
        <v/>
      </c>
    </row>
    <row r="4346">
      <c r="A4346" s="13" t="inlineStr">
        <is>
          <t>CW65_B1</t>
        </is>
      </c>
      <c r="B4346" s="13" t="inlineStr">
        <is>
          <t>CW65</t>
        </is>
      </c>
      <c r="C4346" s="13" t="inlineStr">
        <is>
          <t>B1</t>
        </is>
      </c>
      <c r="D4346" s="13" t="n">
        <v>0</v>
      </c>
      <c r="E4346" s="13" t="inlineStr">
        <is>
          <t>W</t>
        </is>
      </c>
      <c r="F4346" s="13" t="n">
        <v>2024</v>
      </c>
      <c r="G4346" s="14" t="n">
        <v>975476.6486968994</v>
      </c>
      <c r="H4346" s="14" t="n">
        <v>78170.6353888119</v>
      </c>
      <c r="I4346" s="14" t="n">
        <v>336374.4204037536</v>
      </c>
      <c r="J4346" s="14" t="n">
        <v>0</v>
      </c>
      <c r="K4346" s="14" t="n">
        <v>173557.2925028483</v>
      </c>
      <c r="L4346" s="14" t="n">
        <v>387374.3004014858</v>
      </c>
      <c r="M4346" s="14" t="n">
        <v>0</v>
      </c>
      <c r="N4346" s="14" t="n">
        <v>97971.7334400551</v>
      </c>
      <c r="O4346" s="14" t="n">
        <v>582123.3684581683</v>
      </c>
      <c r="P4346" s="14" t="n">
        <v>29759.72104067335</v>
      </c>
      <c r="Q4346" s="14" t="n">
        <v>3810119.03351626</v>
      </c>
      <c r="R4346" s="15">
        <f>IF(D4346=1,"Section 1","Control")</f>
        <v/>
      </c>
      <c r="S4346" s="16">
        <f>N4346/10000</f>
        <v/>
      </c>
      <c r="T4346" s="16">
        <f>P4346/10000</f>
        <v/>
      </c>
      <c r="U4346" s="15">
        <f>IF(N4346&gt;=Summary!$D$3,1,0)</f>
        <v/>
      </c>
      <c r="V4346" s="17">
        <f>IF(N4346&gt;0,P4346/N4346,"")</f>
        <v/>
      </c>
      <c r="W4346" s="17">
        <f>IF(O4346&gt;0,H4346/O4346,"")</f>
        <v/>
      </c>
    </row>
    <row r="4347">
      <c r="A4347" s="13" t="inlineStr">
        <is>
          <t>CW65_B1</t>
        </is>
      </c>
      <c r="B4347" s="13" t="inlineStr">
        <is>
          <t>CW65</t>
        </is>
      </c>
      <c r="C4347" s="13" t="inlineStr">
        <is>
          <t>B1</t>
        </is>
      </c>
      <c r="D4347" s="13" t="n">
        <v>0</v>
      </c>
      <c r="E4347" s="13" t="inlineStr">
        <is>
          <t>W</t>
        </is>
      </c>
      <c r="F4347" s="13" t="n">
        <v>2025</v>
      </c>
      <c r="G4347" s="14" t="n">
        <v>975476.6486968994</v>
      </c>
      <c r="H4347" s="14" t="n">
        <v>69922.87967586143</v>
      </c>
      <c r="I4347" s="14" t="n">
        <v>340901.9387071498</v>
      </c>
      <c r="J4347" s="14" t="n">
        <v>0</v>
      </c>
      <c r="K4347" s="14" t="n">
        <v>178340.3084207572</v>
      </c>
      <c r="L4347" s="14" t="n">
        <v>386311.5218931311</v>
      </c>
      <c r="M4347" s="14" t="n">
        <v>0</v>
      </c>
      <c r="N4347" s="14" t="n">
        <v>97971.7334400551</v>
      </c>
      <c r="O4347" s="14" t="n">
        <v>582123.3684581683</v>
      </c>
      <c r="P4347" s="14" t="n">
        <v>36230.77933328666</v>
      </c>
      <c r="Q4347" s="14" t="n">
        <v>3810119.033516259</v>
      </c>
      <c r="R4347" s="15">
        <f>IF(D4347=1,"Section 1","Control")</f>
        <v/>
      </c>
      <c r="S4347" s="16">
        <f>N4347/10000</f>
        <v/>
      </c>
      <c r="T4347" s="16">
        <f>P4347/10000</f>
        <v/>
      </c>
      <c r="U4347" s="15">
        <f>IF(N4347&gt;=Summary!$D$3,1,0)</f>
        <v/>
      </c>
      <c r="V4347" s="17">
        <f>IF(N4347&gt;0,P4347/N4347,"")</f>
        <v/>
      </c>
      <c r="W4347" s="17">
        <f>IF(O4347&gt;0,H4347/O4347,"")</f>
        <v/>
      </c>
    </row>
    <row r="4348">
      <c r="A4348" s="13" t="inlineStr">
        <is>
          <t>CW65_B1</t>
        </is>
      </c>
      <c r="B4348" s="13" t="inlineStr">
        <is>
          <t>CW65</t>
        </is>
      </c>
      <c r="C4348" s="13" t="inlineStr">
        <is>
          <t>B1</t>
        </is>
      </c>
      <c r="D4348" s="13" t="n">
        <v>0</v>
      </c>
      <c r="E4348" s="13" t="inlineStr">
        <is>
          <t>W</t>
        </is>
      </c>
      <c r="F4348" s="13" t="n">
        <v>2026</v>
      </c>
      <c r="G4348" s="14" t="n">
        <v>975476.6486968994</v>
      </c>
      <c r="H4348" s="14" t="n">
        <v>100111.180459505</v>
      </c>
      <c r="I4348" s="14" t="n">
        <v>294731.8820691278</v>
      </c>
      <c r="J4348" s="14" t="n">
        <v>0</v>
      </c>
      <c r="K4348" s="14" t="n">
        <v>186194.3194106756</v>
      </c>
      <c r="L4348" s="14" t="n">
        <v>394439.2667575912</v>
      </c>
      <c r="M4348" s="14" t="n">
        <v>0</v>
      </c>
      <c r="N4348" s="14" t="n">
        <v>97971.7334400551</v>
      </c>
      <c r="O4348" s="14" t="n">
        <v>582123.3684581683</v>
      </c>
      <c r="P4348" s="14" t="n">
        <v>27045.32583142449</v>
      </c>
      <c r="Q4348" s="14" t="n">
        <v>3810119.033516259</v>
      </c>
      <c r="R4348" s="15">
        <f>IF(D4348=1,"Section 1","Control")</f>
        <v/>
      </c>
      <c r="S4348" s="16">
        <f>N4348/10000</f>
        <v/>
      </c>
      <c r="T4348" s="16">
        <f>P4348/10000</f>
        <v/>
      </c>
      <c r="U4348" s="15">
        <f>IF(N4348&gt;=Summary!$D$3,1,0)</f>
        <v/>
      </c>
      <c r="V4348" s="17">
        <f>IF(N4348&gt;0,P4348/N4348,"")</f>
        <v/>
      </c>
      <c r="W4348" s="17">
        <f>IF(O4348&gt;0,H4348/O4348,"")</f>
        <v/>
      </c>
    </row>
    <row r="4349">
      <c r="A4349" s="13" t="inlineStr">
        <is>
          <t>CW65_B2</t>
        </is>
      </c>
      <c r="B4349" s="13" t="inlineStr">
        <is>
          <t>CW65</t>
        </is>
      </c>
      <c r="C4349" s="13" t="inlineStr">
        <is>
          <t>B2</t>
        </is>
      </c>
      <c r="D4349" s="13" t="n">
        <v>0</v>
      </c>
      <c r="E4349" s="13" t="inlineStr">
        <is>
          <t>W</t>
        </is>
      </c>
      <c r="F4349" s="13" t="n">
        <v>2020</v>
      </c>
      <c r="G4349" s="14" t="n">
        <v>975728.2948818724</v>
      </c>
      <c r="H4349" s="14" t="n">
        <v>140458.8499215519</v>
      </c>
      <c r="I4349" s="14" t="n">
        <v>1517.27506199257</v>
      </c>
      <c r="J4349" s="14" t="n">
        <v>0</v>
      </c>
      <c r="K4349" s="14" t="n">
        <v>33232.56029468612</v>
      </c>
      <c r="L4349" s="14" t="n">
        <v>800519.6096036425</v>
      </c>
      <c r="M4349" s="14" t="n">
        <v>0</v>
      </c>
      <c r="N4349" s="14" t="n">
        <v>140458.8499215519</v>
      </c>
      <c r="O4349" s="14" t="n">
        <v>175208.6852782305</v>
      </c>
      <c r="P4349" s="14" t="n">
        <v>0</v>
      </c>
      <c r="Q4349" s="14" t="n">
        <v>902153.50854175</v>
      </c>
      <c r="R4349" s="15">
        <f>IF(D4349=1,"Section 1","Control")</f>
        <v/>
      </c>
      <c r="S4349" s="16">
        <f>N4349/10000</f>
        <v/>
      </c>
      <c r="T4349" s="16">
        <f>P4349/10000</f>
        <v/>
      </c>
      <c r="U4349" s="15">
        <f>IF(N4349&gt;=Summary!$D$3,1,0)</f>
        <v/>
      </c>
      <c r="V4349" s="17">
        <f>IF(N4349&gt;0,P4349/N4349,"")</f>
        <v/>
      </c>
      <c r="W4349" s="17">
        <f>IF(O4349&gt;0,H4349/O4349,"")</f>
        <v/>
      </c>
    </row>
    <row r="4350">
      <c r="A4350" s="13" t="inlineStr">
        <is>
          <t>CW65_B2</t>
        </is>
      </c>
      <c r="B4350" s="13" t="inlineStr">
        <is>
          <t>CW65</t>
        </is>
      </c>
      <c r="C4350" s="13" t="inlineStr">
        <is>
          <t>B2</t>
        </is>
      </c>
      <c r="D4350" s="13" t="n">
        <v>0</v>
      </c>
      <c r="E4350" s="13" t="inlineStr">
        <is>
          <t>W</t>
        </is>
      </c>
      <c r="F4350" s="13" t="n">
        <v>2021</v>
      </c>
      <c r="G4350" s="14" t="n">
        <v>975728.2948818724</v>
      </c>
      <c r="H4350" s="14" t="n">
        <v>141186.3215396358</v>
      </c>
      <c r="I4350" s="14" t="n">
        <v>4442.259349179736</v>
      </c>
      <c r="J4350" s="14" t="n">
        <v>0</v>
      </c>
      <c r="K4350" s="14" t="n">
        <v>29185.20177863626</v>
      </c>
      <c r="L4350" s="14" t="n">
        <v>800914.5122144213</v>
      </c>
      <c r="M4350" s="14" t="n">
        <v>0</v>
      </c>
      <c r="N4350" s="14" t="n">
        <v>140458.8499215519</v>
      </c>
      <c r="O4350" s="14" t="n">
        <v>175208.6852782305</v>
      </c>
      <c r="P4350" s="14" t="n">
        <v>0</v>
      </c>
      <c r="Q4350" s="14" t="n">
        <v>902153.50854175</v>
      </c>
      <c r="R4350" s="15">
        <f>IF(D4350=1,"Section 1","Control")</f>
        <v/>
      </c>
      <c r="S4350" s="16">
        <f>N4350/10000</f>
        <v/>
      </c>
      <c r="T4350" s="16">
        <f>P4350/10000</f>
        <v/>
      </c>
      <c r="U4350" s="15">
        <f>IF(N4350&gt;=Summary!$D$3,1,0)</f>
        <v/>
      </c>
      <c r="V4350" s="17">
        <f>IF(N4350&gt;0,P4350/N4350,"")</f>
        <v/>
      </c>
      <c r="W4350" s="17">
        <f>IF(O4350&gt;0,H4350/O4350,"")</f>
        <v/>
      </c>
    </row>
    <row r="4351">
      <c r="A4351" s="13" t="inlineStr">
        <is>
          <t>CW65_B2</t>
        </is>
      </c>
      <c r="B4351" s="13" t="inlineStr">
        <is>
          <t>CW65</t>
        </is>
      </c>
      <c r="C4351" s="13" t="inlineStr">
        <is>
          <t>B2</t>
        </is>
      </c>
      <c r="D4351" s="13" t="n">
        <v>0</v>
      </c>
      <c r="E4351" s="13" t="inlineStr">
        <is>
          <t>W</t>
        </is>
      </c>
      <c r="F4351" s="13" t="n">
        <v>2022</v>
      </c>
      <c r="G4351" s="14" t="n">
        <v>975728.2948818724</v>
      </c>
      <c r="H4351" s="14" t="n">
        <v>140511.8901485967</v>
      </c>
      <c r="I4351" s="14" t="n">
        <v>2060.845049300849</v>
      </c>
      <c r="J4351" s="14" t="n">
        <v>0</v>
      </c>
      <c r="K4351" s="14" t="n">
        <v>35893.89634650736</v>
      </c>
      <c r="L4351" s="14" t="n">
        <v>797261.6633374682</v>
      </c>
      <c r="M4351" s="14" t="n">
        <v>0</v>
      </c>
      <c r="N4351" s="14" t="n">
        <v>140458.8499215519</v>
      </c>
      <c r="O4351" s="14" t="n">
        <v>175208.6852782305</v>
      </c>
      <c r="P4351" s="14" t="n">
        <v>2228.872240492877</v>
      </c>
      <c r="Q4351" s="14" t="n">
        <v>902153.50854175</v>
      </c>
      <c r="R4351" s="15">
        <f>IF(D4351=1,"Section 1","Control")</f>
        <v/>
      </c>
      <c r="S4351" s="16">
        <f>N4351/10000</f>
        <v/>
      </c>
      <c r="T4351" s="16">
        <f>P4351/10000</f>
        <v/>
      </c>
      <c r="U4351" s="15">
        <f>IF(N4351&gt;=Summary!$D$3,1,0)</f>
        <v/>
      </c>
      <c r="V4351" s="17">
        <f>IF(N4351&gt;0,P4351/N4351,"")</f>
        <v/>
      </c>
      <c r="W4351" s="17">
        <f>IF(O4351&gt;0,H4351/O4351,"")</f>
        <v/>
      </c>
    </row>
    <row r="4352">
      <c r="A4352" s="13" t="inlineStr">
        <is>
          <t>CW65_B2</t>
        </is>
      </c>
      <c r="B4352" s="13" t="inlineStr">
        <is>
          <t>CW65</t>
        </is>
      </c>
      <c r="C4352" s="13" t="inlineStr">
        <is>
          <t>B2</t>
        </is>
      </c>
      <c r="D4352" s="13" t="n">
        <v>0</v>
      </c>
      <c r="E4352" s="13" t="inlineStr">
        <is>
          <t>W</t>
        </is>
      </c>
      <c r="F4352" s="13" t="n">
        <v>2023</v>
      </c>
      <c r="G4352" s="14" t="n">
        <v>975728.2948818724</v>
      </c>
      <c r="H4352" s="14" t="n">
        <v>89251.30201763072</v>
      </c>
      <c r="I4352" s="14" t="n">
        <v>4146.471893310547</v>
      </c>
      <c r="J4352" s="14" t="n">
        <v>0</v>
      </c>
      <c r="K4352" s="14" t="n">
        <v>79244.04501902268</v>
      </c>
      <c r="L4352" s="14" t="n">
        <v>803086.4759519091</v>
      </c>
      <c r="M4352" s="14" t="n">
        <v>0</v>
      </c>
      <c r="N4352" s="14" t="n">
        <v>140458.8499215519</v>
      </c>
      <c r="O4352" s="14" t="n">
        <v>175208.6852782305</v>
      </c>
      <c r="P4352" s="14" t="n">
        <v>54069.4235848221</v>
      </c>
      <c r="Q4352" s="14" t="n">
        <v>902153.50854175</v>
      </c>
      <c r="R4352" s="15">
        <f>IF(D4352=1,"Section 1","Control")</f>
        <v/>
      </c>
      <c r="S4352" s="16">
        <f>N4352/10000</f>
        <v/>
      </c>
      <c r="T4352" s="16">
        <f>P4352/10000</f>
        <v/>
      </c>
      <c r="U4352" s="15">
        <f>IF(N4352&gt;=Summary!$D$3,1,0)</f>
        <v/>
      </c>
      <c r="V4352" s="17">
        <f>IF(N4352&gt;0,P4352/N4352,"")</f>
        <v/>
      </c>
      <c r="W4352" s="17">
        <f>IF(O4352&gt;0,H4352/O4352,"")</f>
        <v/>
      </c>
    </row>
    <row r="4353">
      <c r="A4353" s="13" t="inlineStr">
        <is>
          <t>CW65_B2</t>
        </is>
      </c>
      <c r="B4353" s="13" t="inlineStr">
        <is>
          <t>CW65</t>
        </is>
      </c>
      <c r="C4353" s="13" t="inlineStr">
        <is>
          <t>B2</t>
        </is>
      </c>
      <c r="D4353" s="13" t="n">
        <v>0</v>
      </c>
      <c r="E4353" s="13" t="inlineStr">
        <is>
          <t>W</t>
        </is>
      </c>
      <c r="F4353" s="13" t="n">
        <v>2024</v>
      </c>
      <c r="G4353" s="14" t="n">
        <v>975728.2948818724</v>
      </c>
      <c r="H4353" s="14" t="n">
        <v>83327.77516216197</v>
      </c>
      <c r="I4353" s="14" t="n">
        <v>16585.88539123535</v>
      </c>
      <c r="J4353" s="14" t="n">
        <v>0</v>
      </c>
      <c r="K4353" s="14" t="n">
        <v>74011.59161173501</v>
      </c>
      <c r="L4353" s="14" t="n">
        <v>801803.0427167406</v>
      </c>
      <c r="M4353" s="14" t="n">
        <v>0</v>
      </c>
      <c r="N4353" s="14" t="n">
        <v>140458.8499215519</v>
      </c>
      <c r="O4353" s="14" t="n">
        <v>175208.6852782305</v>
      </c>
      <c r="P4353" s="14" t="n">
        <v>60684.02814567415</v>
      </c>
      <c r="Q4353" s="14" t="n">
        <v>902153.50854175</v>
      </c>
      <c r="R4353" s="15">
        <f>IF(D4353=1,"Section 1","Control")</f>
        <v/>
      </c>
      <c r="S4353" s="16">
        <f>N4353/10000</f>
        <v/>
      </c>
      <c r="T4353" s="16">
        <f>P4353/10000</f>
        <v/>
      </c>
      <c r="U4353" s="15">
        <f>IF(N4353&gt;=Summary!$D$3,1,0)</f>
        <v/>
      </c>
      <c r="V4353" s="17">
        <f>IF(N4353&gt;0,P4353/N4353,"")</f>
        <v/>
      </c>
      <c r="W4353" s="17">
        <f>IF(O4353&gt;0,H4353/O4353,"")</f>
        <v/>
      </c>
    </row>
    <row r="4354">
      <c r="A4354" s="13" t="inlineStr">
        <is>
          <t>CW65_B2</t>
        </is>
      </c>
      <c r="B4354" s="13" t="inlineStr">
        <is>
          <t>CW65</t>
        </is>
      </c>
      <c r="C4354" s="13" t="inlineStr">
        <is>
          <t>B2</t>
        </is>
      </c>
      <c r="D4354" s="13" t="n">
        <v>0</v>
      </c>
      <c r="E4354" s="13" t="inlineStr">
        <is>
          <t>W</t>
        </is>
      </c>
      <c r="F4354" s="13" t="n">
        <v>2025</v>
      </c>
      <c r="G4354" s="14" t="n">
        <v>975728.2948818724</v>
      </c>
      <c r="H4354" s="14" t="n">
        <v>88856.40489238658</v>
      </c>
      <c r="I4354" s="14" t="n">
        <v>5133.726577758789</v>
      </c>
      <c r="J4354" s="14" t="n">
        <v>0</v>
      </c>
      <c r="K4354" s="14" t="n">
        <v>76183.54663645425</v>
      </c>
      <c r="L4354" s="14" t="n">
        <v>805554.6167752733</v>
      </c>
      <c r="M4354" s="14" t="n">
        <v>0</v>
      </c>
      <c r="N4354" s="14" t="n">
        <v>140458.8499215519</v>
      </c>
      <c r="O4354" s="14" t="n">
        <v>175208.6852782305</v>
      </c>
      <c r="P4354" s="14" t="n">
        <v>55352.84934318392</v>
      </c>
      <c r="Q4354" s="14" t="n">
        <v>902153.50854175</v>
      </c>
      <c r="R4354" s="15">
        <f>IF(D4354=1,"Section 1","Control")</f>
        <v/>
      </c>
      <c r="S4354" s="16">
        <f>N4354/10000</f>
        <v/>
      </c>
      <c r="T4354" s="16">
        <f>P4354/10000</f>
        <v/>
      </c>
      <c r="U4354" s="15">
        <f>IF(N4354&gt;=Summary!$D$3,1,0)</f>
        <v/>
      </c>
      <c r="V4354" s="17">
        <f>IF(N4354&gt;0,P4354/N4354,"")</f>
        <v/>
      </c>
      <c r="W4354" s="17">
        <f>IF(O4354&gt;0,H4354/O4354,"")</f>
        <v/>
      </c>
    </row>
    <row r="4355">
      <c r="A4355" s="13" t="inlineStr">
        <is>
          <t>CW65_B2</t>
        </is>
      </c>
      <c r="B4355" s="13" t="inlineStr">
        <is>
          <t>CW65</t>
        </is>
      </c>
      <c r="C4355" s="13" t="inlineStr">
        <is>
          <t>B2</t>
        </is>
      </c>
      <c r="D4355" s="13" t="n">
        <v>0</v>
      </c>
      <c r="E4355" s="13" t="inlineStr">
        <is>
          <t>W</t>
        </is>
      </c>
      <c r="F4355" s="13" t="n">
        <v>2026</v>
      </c>
      <c r="G4355" s="14" t="n">
        <v>975728.2948818724</v>
      </c>
      <c r="H4355" s="14" t="n">
        <v>87583.03946814439</v>
      </c>
      <c r="I4355" s="14" t="n">
        <v>11381.69618048574</v>
      </c>
      <c r="J4355" s="14" t="n">
        <v>0</v>
      </c>
      <c r="K4355" s="14" t="n">
        <v>69794.26262682745</v>
      </c>
      <c r="L4355" s="14" t="n">
        <v>806969.2966064153</v>
      </c>
      <c r="M4355" s="14" t="n">
        <v>0</v>
      </c>
      <c r="N4355" s="14" t="n">
        <v>140458.8499215519</v>
      </c>
      <c r="O4355" s="14" t="n">
        <v>175208.6852782305</v>
      </c>
      <c r="P4355" s="14" t="n">
        <v>56626.21449276792</v>
      </c>
      <c r="Q4355" s="14" t="n">
        <v>902153.50854175</v>
      </c>
      <c r="R4355" s="15">
        <f>IF(D4355=1,"Section 1","Control")</f>
        <v/>
      </c>
      <c r="S4355" s="16">
        <f>N4355/10000</f>
        <v/>
      </c>
      <c r="T4355" s="16">
        <f>P4355/10000</f>
        <v/>
      </c>
      <c r="U4355" s="15">
        <f>IF(N4355&gt;=Summary!$D$3,1,0)</f>
        <v/>
      </c>
      <c r="V4355" s="17">
        <f>IF(N4355&gt;0,P4355/N4355,"")</f>
        <v/>
      </c>
      <c r="W4355" s="17">
        <f>IF(O4355&gt;0,H4355/O4355,"")</f>
        <v/>
      </c>
    </row>
    <row r="4356">
      <c r="A4356" s="13" t="inlineStr">
        <is>
          <t>CW65_B3</t>
        </is>
      </c>
      <c r="B4356" s="13" t="inlineStr">
        <is>
          <t>CW65</t>
        </is>
      </c>
      <c r="C4356" s="13" t="inlineStr">
        <is>
          <t>B3</t>
        </is>
      </c>
      <c r="D4356" s="13" t="n">
        <v>0</v>
      </c>
      <c r="E4356" s="13" t="inlineStr">
        <is>
          <t>W</t>
        </is>
      </c>
      <c r="F4356" s="13" t="n">
        <v>2020</v>
      </c>
      <c r="G4356" s="14" t="n">
        <v>7805746.078747858</v>
      </c>
      <c r="H4356" s="14" t="n">
        <v>3042959.57863629</v>
      </c>
      <c r="I4356" s="14" t="n">
        <v>175470.655830144</v>
      </c>
      <c r="J4356" s="14" t="n">
        <v>0</v>
      </c>
      <c r="K4356" s="14" t="n">
        <v>438115.8856282849</v>
      </c>
      <c r="L4356" s="14" t="n">
        <v>4149199.958653138</v>
      </c>
      <c r="M4356" s="14" t="n">
        <v>0</v>
      </c>
      <c r="N4356" s="14" t="n">
        <v>3042959.57863629</v>
      </c>
      <c r="O4356" s="14" t="n">
        <v>3656546.120094718</v>
      </c>
      <c r="P4356" s="14" t="n">
        <v>0</v>
      </c>
      <c r="Q4356" s="14" t="n">
        <v>16827841.02242393</v>
      </c>
      <c r="R4356" s="15">
        <f>IF(D4356=1,"Section 1","Control")</f>
        <v/>
      </c>
      <c r="S4356" s="16">
        <f>N4356/10000</f>
        <v/>
      </c>
      <c r="T4356" s="16">
        <f>P4356/10000</f>
        <v/>
      </c>
      <c r="U4356" s="15">
        <f>IF(N4356&gt;=Summary!$D$3,1,0)</f>
        <v/>
      </c>
      <c r="V4356" s="17">
        <f>IF(N4356&gt;0,P4356/N4356,"")</f>
        <v/>
      </c>
      <c r="W4356" s="17">
        <f>IF(O4356&gt;0,H4356/O4356,"")</f>
        <v/>
      </c>
    </row>
    <row r="4357">
      <c r="A4357" s="13" t="inlineStr">
        <is>
          <t>CW65_B3</t>
        </is>
      </c>
      <c r="B4357" s="13" t="inlineStr">
        <is>
          <t>CW65</t>
        </is>
      </c>
      <c r="C4357" s="13" t="inlineStr">
        <is>
          <t>B3</t>
        </is>
      </c>
      <c r="D4357" s="13" t="n">
        <v>0</v>
      </c>
      <c r="E4357" s="13" t="inlineStr">
        <is>
          <t>W</t>
        </is>
      </c>
      <c r="F4357" s="13" t="n">
        <v>2021</v>
      </c>
      <c r="G4357" s="14" t="n">
        <v>7805746.078747858</v>
      </c>
      <c r="H4357" s="14" t="n">
        <v>3021990.267765718</v>
      </c>
      <c r="I4357" s="14" t="n">
        <v>170933.1324845258</v>
      </c>
      <c r="J4357" s="14" t="n">
        <v>0</v>
      </c>
      <c r="K4357" s="14" t="n">
        <v>520894.2079635318</v>
      </c>
      <c r="L4357" s="14" t="n">
        <v>4091928.470534081</v>
      </c>
      <c r="M4357" s="14" t="n">
        <v>0</v>
      </c>
      <c r="N4357" s="14" t="n">
        <v>3042959.578636289</v>
      </c>
      <c r="O4357" s="14" t="n">
        <v>3656546.120094717</v>
      </c>
      <c r="P4357" s="14" t="n">
        <v>54292.67540085736</v>
      </c>
      <c r="Q4357" s="14" t="n">
        <v>16827841.02242393</v>
      </c>
      <c r="R4357" s="15">
        <f>IF(D4357=1,"Section 1","Control")</f>
        <v/>
      </c>
      <c r="S4357" s="16">
        <f>N4357/10000</f>
        <v/>
      </c>
      <c r="T4357" s="16">
        <f>P4357/10000</f>
        <v/>
      </c>
      <c r="U4357" s="15">
        <f>IF(N4357&gt;=Summary!$D$3,1,0)</f>
        <v/>
      </c>
      <c r="V4357" s="17">
        <f>IF(N4357&gt;0,P4357/N4357,"")</f>
        <v/>
      </c>
      <c r="W4357" s="17">
        <f>IF(O4357&gt;0,H4357/O4357,"")</f>
        <v/>
      </c>
    </row>
    <row r="4358">
      <c r="A4358" s="13" t="inlineStr">
        <is>
          <t>CW65_B3</t>
        </is>
      </c>
      <c r="B4358" s="13" t="inlineStr">
        <is>
          <t>CW65</t>
        </is>
      </c>
      <c r="C4358" s="13" t="inlineStr">
        <is>
          <t>B3</t>
        </is>
      </c>
      <c r="D4358" s="13" t="n">
        <v>0</v>
      </c>
      <c r="E4358" s="13" t="inlineStr">
        <is>
          <t>W</t>
        </is>
      </c>
      <c r="F4358" s="13" t="n">
        <v>2022</v>
      </c>
      <c r="G4358" s="14" t="n">
        <v>7805746.078747858</v>
      </c>
      <c r="H4358" s="14" t="n">
        <v>2905545.583892164</v>
      </c>
      <c r="I4358" s="14" t="n">
        <v>210246.6295122333</v>
      </c>
      <c r="J4358" s="14" t="n">
        <v>0</v>
      </c>
      <c r="K4358" s="14" t="n">
        <v>598113.8753297392</v>
      </c>
      <c r="L4358" s="14" t="n">
        <v>4091839.990013721</v>
      </c>
      <c r="M4358" s="14" t="n">
        <v>0</v>
      </c>
      <c r="N4358" s="14" t="n">
        <v>3042959.57863629</v>
      </c>
      <c r="O4358" s="14" t="n">
        <v>3656546.120094718</v>
      </c>
      <c r="P4358" s="14" t="n">
        <v>176543.7932772767</v>
      </c>
      <c r="Q4358" s="14" t="n">
        <v>16827841.02242393</v>
      </c>
      <c r="R4358" s="15">
        <f>IF(D4358=1,"Section 1","Control")</f>
        <v/>
      </c>
      <c r="S4358" s="16">
        <f>N4358/10000</f>
        <v/>
      </c>
      <c r="T4358" s="16">
        <f>P4358/10000</f>
        <v/>
      </c>
      <c r="U4358" s="15">
        <f>IF(N4358&gt;=Summary!$D$3,1,0)</f>
        <v/>
      </c>
      <c r="V4358" s="17">
        <f>IF(N4358&gt;0,P4358/N4358,"")</f>
        <v/>
      </c>
      <c r="W4358" s="17">
        <f>IF(O4358&gt;0,H4358/O4358,"")</f>
        <v/>
      </c>
    </row>
    <row r="4359">
      <c r="A4359" s="13" t="inlineStr">
        <is>
          <t>CW65_B3</t>
        </is>
      </c>
      <c r="B4359" s="13" t="inlineStr">
        <is>
          <t>CW65</t>
        </is>
      </c>
      <c r="C4359" s="13" t="inlineStr">
        <is>
          <t>B3</t>
        </is>
      </c>
      <c r="D4359" s="13" t="n">
        <v>0</v>
      </c>
      <c r="E4359" s="13" t="inlineStr">
        <is>
          <t>W</t>
        </is>
      </c>
      <c r="F4359" s="13" t="n">
        <v>2023</v>
      </c>
      <c r="G4359" s="14" t="n">
        <v>7805746.078747857</v>
      </c>
      <c r="H4359" s="14" t="n">
        <v>2815600.386769762</v>
      </c>
      <c r="I4359" s="14" t="n">
        <v>180984.0686526728</v>
      </c>
      <c r="J4359" s="14" t="n">
        <v>0</v>
      </c>
      <c r="K4359" s="14" t="n">
        <v>702575.5888897163</v>
      </c>
      <c r="L4359" s="14" t="n">
        <v>4106586.034435705</v>
      </c>
      <c r="M4359" s="14" t="n">
        <v>0</v>
      </c>
      <c r="N4359" s="14" t="n">
        <v>3042959.578636289</v>
      </c>
      <c r="O4359" s="14" t="n">
        <v>3656546.120094717</v>
      </c>
      <c r="P4359" s="14" t="n">
        <v>274078.1965483722</v>
      </c>
      <c r="Q4359" s="14" t="n">
        <v>16827841.02242393</v>
      </c>
      <c r="R4359" s="15">
        <f>IF(D4359=1,"Section 1","Control")</f>
        <v/>
      </c>
      <c r="S4359" s="16">
        <f>N4359/10000</f>
        <v/>
      </c>
      <c r="T4359" s="16">
        <f>P4359/10000</f>
        <v/>
      </c>
      <c r="U4359" s="15">
        <f>IF(N4359&gt;=Summary!$D$3,1,0)</f>
        <v/>
      </c>
      <c r="V4359" s="17">
        <f>IF(N4359&gt;0,P4359/N4359,"")</f>
        <v/>
      </c>
      <c r="W4359" s="17">
        <f>IF(O4359&gt;0,H4359/O4359,"")</f>
        <v/>
      </c>
    </row>
    <row r="4360">
      <c r="A4360" s="13" t="inlineStr">
        <is>
          <t>CW65_B3</t>
        </is>
      </c>
      <c r="B4360" s="13" t="inlineStr">
        <is>
          <t>CW65</t>
        </is>
      </c>
      <c r="C4360" s="13" t="inlineStr">
        <is>
          <t>B3</t>
        </is>
      </c>
      <c r="D4360" s="13" t="n">
        <v>0</v>
      </c>
      <c r="E4360" s="13" t="inlineStr">
        <is>
          <t>W</t>
        </is>
      </c>
      <c r="F4360" s="13" t="n">
        <v>2024</v>
      </c>
      <c r="G4360" s="14" t="n">
        <v>7805746.078747858</v>
      </c>
      <c r="H4360" s="14" t="n">
        <v>2762926.530945213</v>
      </c>
      <c r="I4360" s="14" t="n">
        <v>289140.4482211543</v>
      </c>
      <c r="J4360" s="14" t="n">
        <v>0</v>
      </c>
      <c r="K4360" s="14" t="n">
        <v>645098.4408263559</v>
      </c>
      <c r="L4360" s="14" t="n">
        <v>4108580.658755133</v>
      </c>
      <c r="M4360" s="14" t="n">
        <v>0</v>
      </c>
      <c r="N4360" s="14" t="n">
        <v>3042959.57863629</v>
      </c>
      <c r="O4360" s="14" t="n">
        <v>3656546.120094717</v>
      </c>
      <c r="P4360" s="14" t="n">
        <v>345558.9715189617</v>
      </c>
      <c r="Q4360" s="14" t="n">
        <v>16827841.02242393</v>
      </c>
      <c r="R4360" s="15">
        <f>IF(D4360=1,"Section 1","Control")</f>
        <v/>
      </c>
      <c r="S4360" s="16">
        <f>N4360/10000</f>
        <v/>
      </c>
      <c r="T4360" s="16">
        <f>P4360/10000</f>
        <v/>
      </c>
      <c r="U4360" s="15">
        <f>IF(N4360&gt;=Summary!$D$3,1,0)</f>
        <v/>
      </c>
      <c r="V4360" s="17">
        <f>IF(N4360&gt;0,P4360/N4360,"")</f>
        <v/>
      </c>
      <c r="W4360" s="17">
        <f>IF(O4360&gt;0,H4360/O4360,"")</f>
        <v/>
      </c>
    </row>
    <row r="4361">
      <c r="A4361" s="13" t="inlineStr">
        <is>
          <t>CW65_B3</t>
        </is>
      </c>
      <c r="B4361" s="13" t="inlineStr">
        <is>
          <t>CW65</t>
        </is>
      </c>
      <c r="C4361" s="13" t="inlineStr">
        <is>
          <t>B3</t>
        </is>
      </c>
      <c r="D4361" s="13" t="n">
        <v>0</v>
      </c>
      <c r="E4361" s="13" t="inlineStr">
        <is>
          <t>W</t>
        </is>
      </c>
      <c r="F4361" s="13" t="n">
        <v>2025</v>
      </c>
      <c r="G4361" s="14" t="n">
        <v>7805746.078747858</v>
      </c>
      <c r="H4361" s="14" t="n">
        <v>2763372.917922765</v>
      </c>
      <c r="I4361" s="14" t="n">
        <v>212989.3109301698</v>
      </c>
      <c r="J4361" s="14" t="n">
        <v>0</v>
      </c>
      <c r="K4361" s="14" t="n">
        <v>667713.5264225377</v>
      </c>
      <c r="L4361" s="14" t="n">
        <v>4161670.323472385</v>
      </c>
      <c r="M4361" s="14" t="n">
        <v>0</v>
      </c>
      <c r="N4361" s="14" t="n">
        <v>3042959.578636289</v>
      </c>
      <c r="O4361" s="14" t="n">
        <v>3656546.120094717</v>
      </c>
      <c r="P4361" s="14" t="n">
        <v>347200.2195196713</v>
      </c>
      <c r="Q4361" s="14" t="n">
        <v>16827841.02242393</v>
      </c>
      <c r="R4361" s="15">
        <f>IF(D4361=1,"Section 1","Control")</f>
        <v/>
      </c>
      <c r="S4361" s="16">
        <f>N4361/10000</f>
        <v/>
      </c>
      <c r="T4361" s="16">
        <f>P4361/10000</f>
        <v/>
      </c>
      <c r="U4361" s="15">
        <f>IF(N4361&gt;=Summary!$D$3,1,0)</f>
        <v/>
      </c>
      <c r="V4361" s="17">
        <f>IF(N4361&gt;0,P4361/N4361,"")</f>
        <v/>
      </c>
      <c r="W4361" s="17">
        <f>IF(O4361&gt;0,H4361/O4361,"")</f>
        <v/>
      </c>
    </row>
    <row r="4362">
      <c r="A4362" s="13" t="inlineStr">
        <is>
          <t>CW65_B3</t>
        </is>
      </c>
      <c r="B4362" s="13" t="inlineStr">
        <is>
          <t>CW65</t>
        </is>
      </c>
      <c r="C4362" s="13" t="inlineStr">
        <is>
          <t>B3</t>
        </is>
      </c>
      <c r="D4362" s="13" t="n">
        <v>0</v>
      </c>
      <c r="E4362" s="13" t="inlineStr">
        <is>
          <t>W</t>
        </is>
      </c>
      <c r="F4362" s="13" t="n">
        <v>2026</v>
      </c>
      <c r="G4362" s="14" t="n">
        <v>7805746.078747857</v>
      </c>
      <c r="H4362" s="14" t="n">
        <v>2757983.663511178</v>
      </c>
      <c r="I4362" s="14" t="n">
        <v>230895.0163943122</v>
      </c>
      <c r="J4362" s="14" t="n">
        <v>0</v>
      </c>
      <c r="K4362" s="14" t="n">
        <v>645320.9860592709</v>
      </c>
      <c r="L4362" s="14" t="n">
        <v>4171546.412783095</v>
      </c>
      <c r="M4362" s="14" t="n">
        <v>0</v>
      </c>
      <c r="N4362" s="14" t="n">
        <v>3042959.57863629</v>
      </c>
      <c r="O4362" s="14" t="n">
        <v>3656546.120094717</v>
      </c>
      <c r="P4362" s="14" t="n">
        <v>374024.2615633497</v>
      </c>
      <c r="Q4362" s="14" t="n">
        <v>16827841.02242393</v>
      </c>
      <c r="R4362" s="15">
        <f>IF(D4362=1,"Section 1","Control")</f>
        <v/>
      </c>
      <c r="S4362" s="16">
        <f>N4362/10000</f>
        <v/>
      </c>
      <c r="T4362" s="16">
        <f>P4362/10000</f>
        <v/>
      </c>
      <c r="U4362" s="15">
        <f>IF(N4362&gt;=Summary!$D$3,1,0)</f>
        <v/>
      </c>
      <c r="V4362" s="17">
        <f>IF(N4362&gt;0,P4362/N4362,"")</f>
        <v/>
      </c>
      <c r="W4362" s="17">
        <f>IF(O4362&gt;0,H4362/O4362,"")</f>
        <v/>
      </c>
    </row>
    <row r="4363">
      <c r="A4363" s="13" t="inlineStr">
        <is>
          <t>CW65_F</t>
        </is>
      </c>
      <c r="B4363" s="13" t="inlineStr">
        <is>
          <t>CW65</t>
        </is>
      </c>
      <c r="C4363" s="13" t="inlineStr">
        <is>
          <t>F</t>
        </is>
      </c>
      <c r="D4363" s="13" t="n">
        <v>0</v>
      </c>
      <c r="E4363" s="13" t="inlineStr">
        <is>
          <t>W</t>
        </is>
      </c>
      <c r="F4363" s="13" t="n">
        <v>2020</v>
      </c>
      <c r="G4363" s="14" t="n">
        <v>67790.66251409196</v>
      </c>
      <c r="H4363" s="14" t="n">
        <v>345.3511181999655</v>
      </c>
      <c r="I4363" s="14" t="n">
        <v>50367.85230527392</v>
      </c>
      <c r="J4363" s="14" t="n">
        <v>0</v>
      </c>
      <c r="K4363" s="14" t="n">
        <v>17077.45909061805</v>
      </c>
      <c r="L4363" s="14" t="n">
        <v>0</v>
      </c>
      <c r="M4363" s="14" t="n">
        <v>0</v>
      </c>
      <c r="N4363" s="14" t="n">
        <v>345.3511181999655</v>
      </c>
      <c r="O4363" s="14" t="n">
        <v>67790.66251409196</v>
      </c>
      <c r="P4363" s="14" t="n">
        <v>0</v>
      </c>
      <c r="Q4363" s="14" t="n">
        <v>51290.45436257756</v>
      </c>
      <c r="R4363" s="15">
        <f>IF(D4363=1,"Section 1","Control")</f>
        <v/>
      </c>
      <c r="S4363" s="16">
        <f>N4363/10000</f>
        <v/>
      </c>
      <c r="T4363" s="16">
        <f>P4363/10000</f>
        <v/>
      </c>
      <c r="U4363" s="15">
        <f>IF(N4363&gt;=Summary!$D$3,1,0)</f>
        <v/>
      </c>
      <c r="V4363" s="17">
        <f>IF(N4363&gt;0,P4363/N4363,"")</f>
        <v/>
      </c>
      <c r="W4363" s="17">
        <f>IF(O4363&gt;0,H4363/O4363,"")</f>
        <v/>
      </c>
    </row>
    <row r="4364">
      <c r="A4364" s="13" t="inlineStr">
        <is>
          <t>CW65_F</t>
        </is>
      </c>
      <c r="B4364" s="13" t="inlineStr">
        <is>
          <t>CW65</t>
        </is>
      </c>
      <c r="C4364" s="13" t="inlineStr">
        <is>
          <t>F</t>
        </is>
      </c>
      <c r="D4364" s="13" t="n">
        <v>0</v>
      </c>
      <c r="E4364" s="13" t="inlineStr">
        <is>
          <t>W</t>
        </is>
      </c>
      <c r="F4364" s="13" t="n">
        <v>2021</v>
      </c>
      <c r="G4364" s="14" t="n">
        <v>67790.66251409196</v>
      </c>
      <c r="H4364" s="14" t="n">
        <v>641.5323392082663</v>
      </c>
      <c r="I4364" s="14" t="n">
        <v>49988.04313393387</v>
      </c>
      <c r="J4364" s="14" t="n">
        <v>0</v>
      </c>
      <c r="K4364" s="14" t="n">
        <v>17161.08704094979</v>
      </c>
      <c r="L4364" s="14" t="n">
        <v>0</v>
      </c>
      <c r="M4364" s="14" t="n">
        <v>0</v>
      </c>
      <c r="N4364" s="14" t="n">
        <v>345.3511181999655</v>
      </c>
      <c r="O4364" s="14" t="n">
        <v>67790.66251409196</v>
      </c>
      <c r="P4364" s="14" t="n">
        <v>0</v>
      </c>
      <c r="Q4364" s="14" t="n">
        <v>51290.45436257756</v>
      </c>
      <c r="R4364" s="15">
        <f>IF(D4364=1,"Section 1","Control")</f>
        <v/>
      </c>
      <c r="S4364" s="16">
        <f>N4364/10000</f>
        <v/>
      </c>
      <c r="T4364" s="16">
        <f>P4364/10000</f>
        <v/>
      </c>
      <c r="U4364" s="15">
        <f>IF(N4364&gt;=Summary!$D$3,1,0)</f>
        <v/>
      </c>
      <c r="V4364" s="17">
        <f>IF(N4364&gt;0,P4364/N4364,"")</f>
        <v/>
      </c>
      <c r="W4364" s="17">
        <f>IF(O4364&gt;0,H4364/O4364,"")</f>
        <v/>
      </c>
    </row>
    <row r="4365">
      <c r="A4365" s="13" t="inlineStr">
        <is>
          <t>CW65_F</t>
        </is>
      </c>
      <c r="B4365" s="13" t="inlineStr">
        <is>
          <t>CW65</t>
        </is>
      </c>
      <c r="C4365" s="13" t="inlineStr">
        <is>
          <t>F</t>
        </is>
      </c>
      <c r="D4365" s="13" t="n">
        <v>0</v>
      </c>
      <c r="E4365" s="13" t="inlineStr">
        <is>
          <t>W</t>
        </is>
      </c>
      <c r="F4365" s="13" t="n">
        <v>2022</v>
      </c>
      <c r="G4365" s="14" t="n">
        <v>67790.66251409196</v>
      </c>
      <c r="H4365" s="14" t="n">
        <v>295.7940027573529</v>
      </c>
      <c r="I4365" s="14" t="n">
        <v>49924.9351035623</v>
      </c>
      <c r="J4365" s="14" t="n">
        <v>0</v>
      </c>
      <c r="K4365" s="14" t="n">
        <v>17569.93340777227</v>
      </c>
      <c r="L4365" s="14" t="n">
        <v>0</v>
      </c>
      <c r="M4365" s="14" t="n">
        <v>0</v>
      </c>
      <c r="N4365" s="14" t="n">
        <v>345.3511181999655</v>
      </c>
      <c r="O4365" s="14" t="n">
        <v>67790.66251409196</v>
      </c>
      <c r="P4365" s="14" t="n">
        <v>98.72705078125</v>
      </c>
      <c r="Q4365" s="14" t="n">
        <v>51290.45436257756</v>
      </c>
      <c r="R4365" s="15">
        <f>IF(D4365=1,"Section 1","Control")</f>
        <v/>
      </c>
      <c r="S4365" s="16">
        <f>N4365/10000</f>
        <v/>
      </c>
      <c r="T4365" s="16">
        <f>P4365/10000</f>
        <v/>
      </c>
      <c r="U4365" s="15">
        <f>IF(N4365&gt;=Summary!$D$3,1,0)</f>
        <v/>
      </c>
      <c r="V4365" s="17">
        <f>IF(N4365&gt;0,P4365/N4365,"")</f>
        <v/>
      </c>
      <c r="W4365" s="17">
        <f>IF(O4365&gt;0,H4365/O4365,"")</f>
        <v/>
      </c>
    </row>
    <row r="4366">
      <c r="A4366" s="13" t="inlineStr">
        <is>
          <t>CW65_F</t>
        </is>
      </c>
      <c r="B4366" s="13" t="inlineStr">
        <is>
          <t>CW65</t>
        </is>
      </c>
      <c r="C4366" s="13" t="inlineStr">
        <is>
          <t>F</t>
        </is>
      </c>
      <c r="D4366" s="13" t="n">
        <v>0</v>
      </c>
      <c r="E4366" s="13" t="inlineStr">
        <is>
          <t>W</t>
        </is>
      </c>
      <c r="F4366" s="13" t="n">
        <v>2023</v>
      </c>
      <c r="G4366" s="14" t="n">
        <v>67790.66251409196</v>
      </c>
      <c r="H4366" s="14" t="n">
        <v>801.8185698565314</v>
      </c>
      <c r="I4366" s="14" t="n">
        <v>49470.01655578613</v>
      </c>
      <c r="J4366" s="14" t="n">
        <v>0</v>
      </c>
      <c r="K4366" s="14" t="n">
        <v>17518.82738844927</v>
      </c>
      <c r="L4366" s="14" t="n">
        <v>0</v>
      </c>
      <c r="M4366" s="14" t="n">
        <v>0</v>
      </c>
      <c r="N4366" s="14" t="n">
        <v>345.3511181999655</v>
      </c>
      <c r="O4366" s="14" t="n">
        <v>67790.66251409196</v>
      </c>
      <c r="P4366" s="14" t="n">
        <v>147.8969861198874</v>
      </c>
      <c r="Q4366" s="14" t="n">
        <v>51290.45436257756</v>
      </c>
      <c r="R4366" s="15">
        <f>IF(D4366=1,"Section 1","Control")</f>
        <v/>
      </c>
      <c r="S4366" s="16">
        <f>N4366/10000</f>
        <v/>
      </c>
      <c r="T4366" s="16">
        <f>P4366/10000</f>
        <v/>
      </c>
      <c r="U4366" s="15">
        <f>IF(N4366&gt;=Summary!$D$3,1,0)</f>
        <v/>
      </c>
      <c r="V4366" s="17">
        <f>IF(N4366&gt;0,P4366/N4366,"")</f>
        <v/>
      </c>
      <c r="W4366" s="17">
        <f>IF(O4366&gt;0,H4366/O4366,"")</f>
        <v/>
      </c>
    </row>
    <row r="4367">
      <c r="A4367" s="13" t="inlineStr">
        <is>
          <t>CW65_F</t>
        </is>
      </c>
      <c r="B4367" s="13" t="inlineStr">
        <is>
          <t>CW65</t>
        </is>
      </c>
      <c r="C4367" s="13" t="inlineStr">
        <is>
          <t>F</t>
        </is>
      </c>
      <c r="D4367" s="13" t="n">
        <v>0</v>
      </c>
      <c r="E4367" s="13" t="inlineStr">
        <is>
          <t>W</t>
        </is>
      </c>
      <c r="F4367" s="13" t="n">
        <v>2024</v>
      </c>
      <c r="G4367" s="14" t="n">
        <v>67790.66251409196</v>
      </c>
      <c r="H4367" s="14" t="n">
        <v>2134.440729926614</v>
      </c>
      <c r="I4367" s="14" t="n">
        <v>51586.6473295324</v>
      </c>
      <c r="J4367" s="14" t="n">
        <v>0</v>
      </c>
      <c r="K4367" s="14" t="n">
        <v>14069.57445463292</v>
      </c>
      <c r="L4367" s="14" t="n">
        <v>0</v>
      </c>
      <c r="M4367" s="14" t="n">
        <v>0</v>
      </c>
      <c r="N4367" s="14" t="n">
        <v>345.3511181999655</v>
      </c>
      <c r="O4367" s="14" t="n">
        <v>67790.66251409196</v>
      </c>
      <c r="P4367" s="14" t="n">
        <v>98.72705078125</v>
      </c>
      <c r="Q4367" s="14" t="n">
        <v>51290.45436257756</v>
      </c>
      <c r="R4367" s="15">
        <f>IF(D4367=1,"Section 1","Control")</f>
        <v/>
      </c>
      <c r="S4367" s="16">
        <f>N4367/10000</f>
        <v/>
      </c>
      <c r="T4367" s="16">
        <f>P4367/10000</f>
        <v/>
      </c>
      <c r="U4367" s="15">
        <f>IF(N4367&gt;=Summary!$D$3,1,0)</f>
        <v/>
      </c>
      <c r="V4367" s="17">
        <f>IF(N4367&gt;0,P4367/N4367,"")</f>
        <v/>
      </c>
      <c r="W4367" s="17">
        <f>IF(O4367&gt;0,H4367/O4367,"")</f>
        <v/>
      </c>
    </row>
    <row r="4368">
      <c r="A4368" s="13" t="inlineStr">
        <is>
          <t>CW65_F</t>
        </is>
      </c>
      <c r="B4368" s="13" t="inlineStr">
        <is>
          <t>CW65</t>
        </is>
      </c>
      <c r="C4368" s="13" t="inlineStr">
        <is>
          <t>F</t>
        </is>
      </c>
      <c r="D4368" s="13" t="n">
        <v>0</v>
      </c>
      <c r="E4368" s="13" t="inlineStr">
        <is>
          <t>W</t>
        </is>
      </c>
      <c r="F4368" s="13" t="n">
        <v>2025</v>
      </c>
      <c r="G4368" s="14" t="n">
        <v>67790.66251409196</v>
      </c>
      <c r="H4368" s="14" t="n">
        <v>259.0133481792375</v>
      </c>
      <c r="I4368" s="14" t="n">
        <v>48396.02052758909</v>
      </c>
      <c r="J4368" s="14" t="n">
        <v>0</v>
      </c>
      <c r="K4368" s="14" t="n">
        <v>19135.6286383236</v>
      </c>
      <c r="L4368" s="14" t="n">
        <v>0</v>
      </c>
      <c r="M4368" s="14" t="n">
        <v>0</v>
      </c>
      <c r="N4368" s="14" t="n">
        <v>345.3511181999655</v>
      </c>
      <c r="O4368" s="14" t="n">
        <v>67790.66251409196</v>
      </c>
      <c r="P4368" s="14" t="n">
        <v>296.1811828613281</v>
      </c>
      <c r="Q4368" s="14" t="n">
        <v>51290.45436257756</v>
      </c>
      <c r="R4368" s="15">
        <f>IF(D4368=1,"Section 1","Control")</f>
        <v/>
      </c>
      <c r="S4368" s="16">
        <f>N4368/10000</f>
        <v/>
      </c>
      <c r="T4368" s="16">
        <f>P4368/10000</f>
        <v/>
      </c>
      <c r="U4368" s="15">
        <f>IF(N4368&gt;=Summary!$D$3,1,0)</f>
        <v/>
      </c>
      <c r="V4368" s="17">
        <f>IF(N4368&gt;0,P4368/N4368,"")</f>
        <v/>
      </c>
      <c r="W4368" s="17">
        <f>IF(O4368&gt;0,H4368/O4368,"")</f>
        <v/>
      </c>
    </row>
    <row r="4369">
      <c r="A4369" s="13" t="inlineStr">
        <is>
          <t>CW65_F</t>
        </is>
      </c>
      <c r="B4369" s="13" t="inlineStr">
        <is>
          <t>CW65</t>
        </is>
      </c>
      <c r="C4369" s="13" t="inlineStr">
        <is>
          <t>F</t>
        </is>
      </c>
      <c r="D4369" s="13" t="n">
        <v>0</v>
      </c>
      <c r="E4369" s="13" t="inlineStr">
        <is>
          <t>W</t>
        </is>
      </c>
      <c r="F4369" s="13" t="n">
        <v>2026</v>
      </c>
      <c r="G4369" s="14" t="n">
        <v>67790.66251409196</v>
      </c>
      <c r="H4369" s="14" t="n">
        <v>802.2056183459712</v>
      </c>
      <c r="I4369" s="14" t="n">
        <v>50601.69986413694</v>
      </c>
      <c r="J4369" s="14" t="n">
        <v>0</v>
      </c>
      <c r="K4369" s="14" t="n">
        <v>16386.75703160902</v>
      </c>
      <c r="L4369" s="14" t="n">
        <v>0</v>
      </c>
      <c r="M4369" s="14" t="n">
        <v>0</v>
      </c>
      <c r="N4369" s="14" t="n">
        <v>345.3511181999655</v>
      </c>
      <c r="O4369" s="14" t="n">
        <v>67790.66251409196</v>
      </c>
      <c r="P4369" s="14" t="n">
        <v>345.3511181999655</v>
      </c>
      <c r="Q4369" s="14" t="n">
        <v>51290.45436257756</v>
      </c>
      <c r="R4369" s="15">
        <f>IF(D4369=1,"Section 1","Control")</f>
        <v/>
      </c>
      <c r="S4369" s="16">
        <f>N4369/10000</f>
        <v/>
      </c>
      <c r="T4369" s="16">
        <f>P4369/10000</f>
        <v/>
      </c>
      <c r="U4369" s="15">
        <f>IF(N4369&gt;=Summary!$D$3,1,0)</f>
        <v/>
      </c>
      <c r="V4369" s="17">
        <f>IF(N4369&gt;0,P4369/N4369,"")</f>
        <v/>
      </c>
      <c r="W4369" s="17">
        <f>IF(O4369&gt;0,H4369/O4369,"")</f>
        <v/>
      </c>
    </row>
    <row r="4370">
      <c r="A4370" s="13" t="inlineStr">
        <is>
          <t>CW66_B1</t>
        </is>
      </c>
      <c r="B4370" s="13" t="inlineStr">
        <is>
          <t>CW66</t>
        </is>
      </c>
      <c r="C4370" s="13" t="inlineStr">
        <is>
          <t>B1</t>
        </is>
      </c>
      <c r="D4370" s="13" t="n">
        <v>0</v>
      </c>
      <c r="E4370" s="13" t="inlineStr">
        <is>
          <t>W</t>
        </is>
      </c>
      <c r="F4370" s="13" t="n">
        <v>2020</v>
      </c>
      <c r="G4370" s="14" t="n">
        <v>1730595.736697148</v>
      </c>
      <c r="H4370" s="14" t="n">
        <v>98162.75899382951</v>
      </c>
      <c r="I4370" s="14" t="n">
        <v>936588.9680296354</v>
      </c>
      <c r="J4370" s="14" t="n">
        <v>0</v>
      </c>
      <c r="K4370" s="14" t="n">
        <v>286530.6809169395</v>
      </c>
      <c r="L4370" s="14" t="n">
        <v>409313.3287567438</v>
      </c>
      <c r="M4370" s="14" t="n">
        <v>0</v>
      </c>
      <c r="N4370" s="14" t="n">
        <v>98162.75899382951</v>
      </c>
      <c r="O4370" s="14" t="n">
        <v>1321282.407940404</v>
      </c>
      <c r="P4370" s="14" t="n">
        <v>0</v>
      </c>
      <c r="Q4370" s="14" t="n">
        <v>7388992.15869996</v>
      </c>
      <c r="R4370" s="15">
        <f>IF(D4370=1,"Section 1","Control")</f>
        <v/>
      </c>
      <c r="S4370" s="16">
        <f>N4370/10000</f>
        <v/>
      </c>
      <c r="T4370" s="16">
        <f>P4370/10000</f>
        <v/>
      </c>
      <c r="U4370" s="15">
        <f>IF(N4370&gt;=Summary!$D$3,1,0)</f>
        <v/>
      </c>
      <c r="V4370" s="17">
        <f>IF(N4370&gt;0,P4370/N4370,"")</f>
        <v/>
      </c>
      <c r="W4370" s="17">
        <f>IF(O4370&gt;0,H4370/O4370,"")</f>
        <v/>
      </c>
    </row>
    <row r="4371">
      <c r="A4371" s="13" t="inlineStr">
        <is>
          <t>CW66_B1</t>
        </is>
      </c>
      <c r="B4371" s="13" t="inlineStr">
        <is>
          <t>CW66</t>
        </is>
      </c>
      <c r="C4371" s="13" t="inlineStr">
        <is>
          <t>B1</t>
        </is>
      </c>
      <c r="D4371" s="13" t="n">
        <v>0</v>
      </c>
      <c r="E4371" s="13" t="inlineStr">
        <is>
          <t>W</t>
        </is>
      </c>
      <c r="F4371" s="13" t="n">
        <v>2021</v>
      </c>
      <c r="G4371" s="14" t="n">
        <v>1730595.736697148</v>
      </c>
      <c r="H4371" s="14" t="n">
        <v>71700.9347354066</v>
      </c>
      <c r="I4371" s="14" t="n">
        <v>1033214.033225474</v>
      </c>
      <c r="J4371" s="14" t="n">
        <v>0</v>
      </c>
      <c r="K4371" s="14" t="n">
        <v>205753.2610413196</v>
      </c>
      <c r="L4371" s="14" t="n">
        <v>419927.5076949475</v>
      </c>
      <c r="M4371" s="14" t="n">
        <v>0</v>
      </c>
      <c r="N4371" s="14" t="n">
        <v>98162.75899382951</v>
      </c>
      <c r="O4371" s="14" t="n">
        <v>1321282.407940404</v>
      </c>
      <c r="P4371" s="14" t="n">
        <v>32072.19686503691</v>
      </c>
      <c r="Q4371" s="14" t="n">
        <v>7388992.15869996</v>
      </c>
      <c r="R4371" s="15">
        <f>IF(D4371=1,"Section 1","Control")</f>
        <v/>
      </c>
      <c r="S4371" s="16">
        <f>N4371/10000</f>
        <v/>
      </c>
      <c r="T4371" s="16">
        <f>P4371/10000</f>
        <v/>
      </c>
      <c r="U4371" s="15">
        <f>IF(N4371&gt;=Summary!$D$3,1,0)</f>
        <v/>
      </c>
      <c r="V4371" s="17">
        <f>IF(N4371&gt;0,P4371/N4371,"")</f>
        <v/>
      </c>
      <c r="W4371" s="17">
        <f>IF(O4371&gt;0,H4371/O4371,"")</f>
        <v/>
      </c>
    </row>
    <row r="4372">
      <c r="A4372" s="13" t="inlineStr">
        <is>
          <t>CW66_B1</t>
        </is>
      </c>
      <c r="B4372" s="13" t="inlineStr">
        <is>
          <t>CW66</t>
        </is>
      </c>
      <c r="C4372" s="13" t="inlineStr">
        <is>
          <t>B1</t>
        </is>
      </c>
      <c r="D4372" s="13" t="n">
        <v>0</v>
      </c>
      <c r="E4372" s="13" t="inlineStr">
        <is>
          <t>W</t>
        </is>
      </c>
      <c r="F4372" s="13" t="n">
        <v>2022</v>
      </c>
      <c r="G4372" s="14" t="n">
        <v>1730595.736697148</v>
      </c>
      <c r="H4372" s="14" t="n">
        <v>61829.81511873736</v>
      </c>
      <c r="I4372" s="14" t="n">
        <v>1093332.270860111</v>
      </c>
      <c r="J4372" s="14" t="n">
        <v>0</v>
      </c>
      <c r="K4372" s="14" t="n">
        <v>188434.6517793244</v>
      </c>
      <c r="L4372" s="14" t="n">
        <v>386998.9989389756</v>
      </c>
      <c r="M4372" s="14" t="n">
        <v>0</v>
      </c>
      <c r="N4372" s="14" t="n">
        <v>98162.75899382951</v>
      </c>
      <c r="O4372" s="14" t="n">
        <v>1321282.407940404</v>
      </c>
      <c r="P4372" s="14" t="n">
        <v>42552.70772244323</v>
      </c>
      <c r="Q4372" s="14" t="n">
        <v>7388992.15869996</v>
      </c>
      <c r="R4372" s="15">
        <f>IF(D4372=1,"Section 1","Control")</f>
        <v/>
      </c>
      <c r="S4372" s="16">
        <f>N4372/10000</f>
        <v/>
      </c>
      <c r="T4372" s="16">
        <f>P4372/10000</f>
        <v/>
      </c>
      <c r="U4372" s="15">
        <f>IF(N4372&gt;=Summary!$D$3,1,0)</f>
        <v/>
      </c>
      <c r="V4372" s="17">
        <f>IF(N4372&gt;0,P4372/N4372,"")</f>
        <v/>
      </c>
      <c r="W4372" s="17">
        <f>IF(O4372&gt;0,H4372/O4372,"")</f>
        <v/>
      </c>
    </row>
    <row r="4373">
      <c r="A4373" s="13" t="inlineStr">
        <is>
          <t>CW66_B1</t>
        </is>
      </c>
      <c r="B4373" s="13" t="inlineStr">
        <is>
          <t>CW66</t>
        </is>
      </c>
      <c r="C4373" s="13" t="inlineStr">
        <is>
          <t>B1</t>
        </is>
      </c>
      <c r="D4373" s="13" t="n">
        <v>0</v>
      </c>
      <c r="E4373" s="13" t="inlineStr">
        <is>
          <t>W</t>
        </is>
      </c>
      <c r="F4373" s="13" t="n">
        <v>2023</v>
      </c>
      <c r="G4373" s="14" t="n">
        <v>1730595.736697148</v>
      </c>
      <c r="H4373" s="14" t="n">
        <v>65891.9328528012</v>
      </c>
      <c r="I4373" s="14" t="n">
        <v>1085116.471094318</v>
      </c>
      <c r="J4373" s="14" t="n">
        <v>0</v>
      </c>
      <c r="K4373" s="14" t="n">
        <v>168423.344731918</v>
      </c>
      <c r="L4373" s="14" t="n">
        <v>411163.9880181107</v>
      </c>
      <c r="M4373" s="14" t="n">
        <v>0</v>
      </c>
      <c r="N4373" s="14" t="n">
        <v>98162.7589938295</v>
      </c>
      <c r="O4373" s="14" t="n">
        <v>1321282.407940404</v>
      </c>
      <c r="P4373" s="14" t="n">
        <v>43920.55061307421</v>
      </c>
      <c r="Q4373" s="14" t="n">
        <v>7388992.158699961</v>
      </c>
      <c r="R4373" s="15">
        <f>IF(D4373=1,"Section 1","Control")</f>
        <v/>
      </c>
      <c r="S4373" s="16">
        <f>N4373/10000</f>
        <v/>
      </c>
      <c r="T4373" s="16">
        <f>P4373/10000</f>
        <v/>
      </c>
      <c r="U4373" s="15">
        <f>IF(N4373&gt;=Summary!$D$3,1,0)</f>
        <v/>
      </c>
      <c r="V4373" s="17">
        <f>IF(N4373&gt;0,P4373/N4373,"")</f>
        <v/>
      </c>
      <c r="W4373" s="17">
        <f>IF(O4373&gt;0,H4373/O4373,"")</f>
        <v/>
      </c>
    </row>
    <row r="4374">
      <c r="A4374" s="13" t="inlineStr">
        <is>
          <t>CW66_B1</t>
        </is>
      </c>
      <c r="B4374" s="13" t="inlineStr">
        <is>
          <t>CW66</t>
        </is>
      </c>
      <c r="C4374" s="13" t="inlineStr">
        <is>
          <t>B1</t>
        </is>
      </c>
      <c r="D4374" s="13" t="n">
        <v>0</v>
      </c>
      <c r="E4374" s="13" t="inlineStr">
        <is>
          <t>W</t>
        </is>
      </c>
      <c r="F4374" s="13" t="n">
        <v>2024</v>
      </c>
      <c r="G4374" s="14" t="n">
        <v>1730595.736697148</v>
      </c>
      <c r="H4374" s="14" t="n">
        <v>81268.88231967106</v>
      </c>
      <c r="I4374" s="14" t="n">
        <v>1102077.394848932</v>
      </c>
      <c r="J4374" s="14" t="n">
        <v>0</v>
      </c>
      <c r="K4374" s="14" t="n">
        <v>142249.1709883746</v>
      </c>
      <c r="L4374" s="14" t="n">
        <v>405000.2885401707</v>
      </c>
      <c r="M4374" s="14" t="n">
        <v>0</v>
      </c>
      <c r="N4374" s="14" t="n">
        <v>98162.7589938295</v>
      </c>
      <c r="O4374" s="14" t="n">
        <v>1321282.407940404</v>
      </c>
      <c r="P4374" s="14" t="n">
        <v>43006.85099535175</v>
      </c>
      <c r="Q4374" s="14" t="n">
        <v>7388992.158699961</v>
      </c>
      <c r="R4374" s="15">
        <f>IF(D4374=1,"Section 1","Control")</f>
        <v/>
      </c>
      <c r="S4374" s="16">
        <f>N4374/10000</f>
        <v/>
      </c>
      <c r="T4374" s="16">
        <f>P4374/10000</f>
        <v/>
      </c>
      <c r="U4374" s="15">
        <f>IF(N4374&gt;=Summary!$D$3,1,0)</f>
        <v/>
      </c>
      <c r="V4374" s="17">
        <f>IF(N4374&gt;0,P4374/N4374,"")</f>
        <v/>
      </c>
      <c r="W4374" s="17">
        <f>IF(O4374&gt;0,H4374/O4374,"")</f>
        <v/>
      </c>
    </row>
    <row r="4375">
      <c r="A4375" s="13" t="inlineStr">
        <is>
          <t>CW66_B1</t>
        </is>
      </c>
      <c r="B4375" s="13" t="inlineStr">
        <is>
          <t>CW66</t>
        </is>
      </c>
      <c r="C4375" s="13" t="inlineStr">
        <is>
          <t>B1</t>
        </is>
      </c>
      <c r="D4375" s="13" t="n">
        <v>0</v>
      </c>
      <c r="E4375" s="13" t="inlineStr">
        <is>
          <t>W</t>
        </is>
      </c>
      <c r="F4375" s="13" t="n">
        <v>2025</v>
      </c>
      <c r="G4375" s="14" t="n">
        <v>1730595.736697148</v>
      </c>
      <c r="H4375" s="14" t="n">
        <v>58179.64323401358</v>
      </c>
      <c r="I4375" s="14" t="n">
        <v>1119912.157602736</v>
      </c>
      <c r="J4375" s="14" t="n">
        <v>0</v>
      </c>
      <c r="K4375" s="14" t="n">
        <v>157943.6027623196</v>
      </c>
      <c r="L4375" s="14" t="n">
        <v>394560.3330980787</v>
      </c>
      <c r="M4375" s="14" t="n">
        <v>0</v>
      </c>
      <c r="N4375" s="14" t="n">
        <v>98162.75899382951</v>
      </c>
      <c r="O4375" s="14" t="n">
        <v>1321282.407940404</v>
      </c>
      <c r="P4375" s="14" t="n">
        <v>50127.16403282016</v>
      </c>
      <c r="Q4375" s="14" t="n">
        <v>7388992.15869996</v>
      </c>
      <c r="R4375" s="15">
        <f>IF(D4375=1,"Section 1","Control")</f>
        <v/>
      </c>
      <c r="S4375" s="16">
        <f>N4375/10000</f>
        <v/>
      </c>
      <c r="T4375" s="16">
        <f>P4375/10000</f>
        <v/>
      </c>
      <c r="U4375" s="15">
        <f>IF(N4375&gt;=Summary!$D$3,1,0)</f>
        <v/>
      </c>
      <c r="V4375" s="17">
        <f>IF(N4375&gt;0,P4375/N4375,"")</f>
        <v/>
      </c>
      <c r="W4375" s="17">
        <f>IF(O4375&gt;0,H4375/O4375,"")</f>
        <v/>
      </c>
    </row>
    <row r="4376">
      <c r="A4376" s="13" t="inlineStr">
        <is>
          <t>CW66_B1</t>
        </is>
      </c>
      <c r="B4376" s="13" t="inlineStr">
        <is>
          <t>CW66</t>
        </is>
      </c>
      <c r="C4376" s="13" t="inlineStr">
        <is>
          <t>B1</t>
        </is>
      </c>
      <c r="D4376" s="13" t="n">
        <v>0</v>
      </c>
      <c r="E4376" s="13" t="inlineStr">
        <is>
          <t>W</t>
        </is>
      </c>
      <c r="F4376" s="13" t="n">
        <v>2026</v>
      </c>
      <c r="G4376" s="14" t="n">
        <v>1730595.736697148</v>
      </c>
      <c r="H4376" s="14" t="n">
        <v>92507.44173751536</v>
      </c>
      <c r="I4376" s="14" t="n">
        <v>1064309.591945603</v>
      </c>
      <c r="J4376" s="14" t="n">
        <v>0</v>
      </c>
      <c r="K4376" s="14" t="n">
        <v>161195.7598006604</v>
      </c>
      <c r="L4376" s="14" t="n">
        <v>412582.9432133693</v>
      </c>
      <c r="M4376" s="14" t="n">
        <v>0</v>
      </c>
      <c r="N4376" s="14" t="n">
        <v>98162.75899382951</v>
      </c>
      <c r="O4376" s="14" t="n">
        <v>1321282.407940404</v>
      </c>
      <c r="P4376" s="14" t="n">
        <v>41044.32121196073</v>
      </c>
      <c r="Q4376" s="14" t="n">
        <v>7388992.15869996</v>
      </c>
      <c r="R4376" s="15">
        <f>IF(D4376=1,"Section 1","Control")</f>
        <v/>
      </c>
      <c r="S4376" s="16">
        <f>N4376/10000</f>
        <v/>
      </c>
      <c r="T4376" s="16">
        <f>P4376/10000</f>
        <v/>
      </c>
      <c r="U4376" s="15">
        <f>IF(N4376&gt;=Summary!$D$3,1,0)</f>
        <v/>
      </c>
      <c r="V4376" s="17">
        <f>IF(N4376&gt;0,P4376/N4376,"")</f>
        <v/>
      </c>
      <c r="W4376" s="17">
        <f>IF(O4376&gt;0,H4376/O4376,"")</f>
        <v/>
      </c>
    </row>
    <row r="4377">
      <c r="A4377" s="13" t="inlineStr">
        <is>
          <t>CW66_B2</t>
        </is>
      </c>
      <c r="B4377" s="13" t="inlineStr">
        <is>
          <t>CW66</t>
        </is>
      </c>
      <c r="C4377" s="13" t="inlineStr">
        <is>
          <t>B2</t>
        </is>
      </c>
      <c r="D4377" s="13" t="n">
        <v>0</v>
      </c>
      <c r="E4377" s="13" t="inlineStr">
        <is>
          <t>W</t>
        </is>
      </c>
      <c r="F4377" s="13" t="n">
        <v>2020</v>
      </c>
      <c r="G4377" s="14" t="n">
        <v>2515231.795842549</v>
      </c>
      <c r="H4377" s="14" t="n">
        <v>390598.3865864772</v>
      </c>
      <c r="I4377" s="14" t="n">
        <v>428938.5754825667</v>
      </c>
      <c r="J4377" s="14" t="n">
        <v>0</v>
      </c>
      <c r="K4377" s="14" t="n">
        <v>115825.5032800712</v>
      </c>
      <c r="L4377" s="14" t="n">
        <v>1579869.330493434</v>
      </c>
      <c r="M4377" s="14" t="n">
        <v>0</v>
      </c>
      <c r="N4377" s="14" t="n">
        <v>390598.3865864772</v>
      </c>
      <c r="O4377" s="14" t="n">
        <v>935362.4653491152</v>
      </c>
      <c r="P4377" s="14" t="n">
        <v>0</v>
      </c>
      <c r="Q4377" s="14" t="n">
        <v>4777457.879675234</v>
      </c>
      <c r="R4377" s="15">
        <f>IF(D4377=1,"Section 1","Control")</f>
        <v/>
      </c>
      <c r="S4377" s="16">
        <f>N4377/10000</f>
        <v/>
      </c>
      <c r="T4377" s="16">
        <f>P4377/10000</f>
        <v/>
      </c>
      <c r="U4377" s="15">
        <f>IF(N4377&gt;=Summary!$D$3,1,0)</f>
        <v/>
      </c>
      <c r="V4377" s="17">
        <f>IF(N4377&gt;0,P4377/N4377,"")</f>
        <v/>
      </c>
      <c r="W4377" s="17">
        <f>IF(O4377&gt;0,H4377/O4377,"")</f>
        <v/>
      </c>
    </row>
    <row r="4378">
      <c r="A4378" s="13" t="inlineStr">
        <is>
          <t>CW66_B2</t>
        </is>
      </c>
      <c r="B4378" s="13" t="inlineStr">
        <is>
          <t>CW66</t>
        </is>
      </c>
      <c r="C4378" s="13" t="inlineStr">
        <is>
          <t>B2</t>
        </is>
      </c>
      <c r="D4378" s="13" t="n">
        <v>0</v>
      </c>
      <c r="E4378" s="13" t="inlineStr">
        <is>
          <t>W</t>
        </is>
      </c>
      <c r="F4378" s="13" t="n">
        <v>2021</v>
      </c>
      <c r="G4378" s="14" t="n">
        <v>2515231.795842549</v>
      </c>
      <c r="H4378" s="14" t="n">
        <v>385278.390957851</v>
      </c>
      <c r="I4378" s="14" t="n">
        <v>424964.2939055798</v>
      </c>
      <c r="J4378" s="14" t="n">
        <v>0</v>
      </c>
      <c r="K4378" s="14" t="n">
        <v>117683.5742059745</v>
      </c>
      <c r="L4378" s="14" t="n">
        <v>1587305.536773143</v>
      </c>
      <c r="M4378" s="14" t="n">
        <v>0</v>
      </c>
      <c r="N4378" s="14" t="n">
        <v>390598.3865864772</v>
      </c>
      <c r="O4378" s="14" t="n">
        <v>935362.4653491152</v>
      </c>
      <c r="P4378" s="14" t="n">
        <v>12945.15066375732</v>
      </c>
      <c r="Q4378" s="14" t="n">
        <v>4777457.879675234</v>
      </c>
      <c r="R4378" s="15">
        <f>IF(D4378=1,"Section 1","Control")</f>
        <v/>
      </c>
      <c r="S4378" s="16">
        <f>N4378/10000</f>
        <v/>
      </c>
      <c r="T4378" s="16">
        <f>P4378/10000</f>
        <v/>
      </c>
      <c r="U4378" s="15">
        <f>IF(N4378&gt;=Summary!$D$3,1,0)</f>
        <v/>
      </c>
      <c r="V4378" s="17">
        <f>IF(N4378&gt;0,P4378/N4378,"")</f>
        <v/>
      </c>
      <c r="W4378" s="17">
        <f>IF(O4378&gt;0,H4378/O4378,"")</f>
        <v/>
      </c>
    </row>
    <row r="4379">
      <c r="A4379" s="13" t="inlineStr">
        <is>
          <t>CW66_B2</t>
        </is>
      </c>
      <c r="B4379" s="13" t="inlineStr">
        <is>
          <t>CW66</t>
        </is>
      </c>
      <c r="C4379" s="13" t="inlineStr">
        <is>
          <t>B2</t>
        </is>
      </c>
      <c r="D4379" s="13" t="n">
        <v>0</v>
      </c>
      <c r="E4379" s="13" t="inlineStr">
        <is>
          <t>W</t>
        </is>
      </c>
      <c r="F4379" s="13" t="n">
        <v>2022</v>
      </c>
      <c r="G4379" s="14" t="n">
        <v>2515231.795842549</v>
      </c>
      <c r="H4379" s="14" t="n">
        <v>364559.03830716</v>
      </c>
      <c r="I4379" s="14" t="n">
        <v>453171.0708987367</v>
      </c>
      <c r="J4379" s="14" t="n">
        <v>0</v>
      </c>
      <c r="K4379" s="14" t="n">
        <v>135494.4367316452</v>
      </c>
      <c r="L4379" s="14" t="n">
        <v>1562007.249905006</v>
      </c>
      <c r="M4379" s="14" t="n">
        <v>0</v>
      </c>
      <c r="N4379" s="14" t="n">
        <v>390598.3865864772</v>
      </c>
      <c r="O4379" s="14" t="n">
        <v>935362.4653491152</v>
      </c>
      <c r="P4379" s="14" t="n">
        <v>33269.59487481211</v>
      </c>
      <c r="Q4379" s="14" t="n">
        <v>4777457.879675234</v>
      </c>
      <c r="R4379" s="15">
        <f>IF(D4379=1,"Section 1","Control")</f>
        <v/>
      </c>
      <c r="S4379" s="16">
        <f>N4379/10000</f>
        <v/>
      </c>
      <c r="T4379" s="16">
        <f>P4379/10000</f>
        <v/>
      </c>
      <c r="U4379" s="15">
        <f>IF(N4379&gt;=Summary!$D$3,1,0)</f>
        <v/>
      </c>
      <c r="V4379" s="17">
        <f>IF(N4379&gt;0,P4379/N4379,"")</f>
        <v/>
      </c>
      <c r="W4379" s="17">
        <f>IF(O4379&gt;0,H4379/O4379,"")</f>
        <v/>
      </c>
    </row>
    <row r="4380">
      <c r="A4380" s="13" t="inlineStr">
        <is>
          <t>CW66_B2</t>
        </is>
      </c>
      <c r="B4380" s="13" t="inlineStr">
        <is>
          <t>CW66</t>
        </is>
      </c>
      <c r="C4380" s="13" t="inlineStr">
        <is>
          <t>B2</t>
        </is>
      </c>
      <c r="D4380" s="13" t="n">
        <v>0</v>
      </c>
      <c r="E4380" s="13" t="inlineStr">
        <is>
          <t>W</t>
        </is>
      </c>
      <c r="F4380" s="13" t="n">
        <v>2023</v>
      </c>
      <c r="G4380" s="14" t="n">
        <v>2515231.795842549</v>
      </c>
      <c r="H4380" s="14" t="n">
        <v>362356.4925012925</v>
      </c>
      <c r="I4380" s="14" t="n">
        <v>454035.5449843164</v>
      </c>
      <c r="J4380" s="14" t="n">
        <v>0</v>
      </c>
      <c r="K4380" s="14" t="n">
        <v>116988.5666843788</v>
      </c>
      <c r="L4380" s="14" t="n">
        <v>1581851.191672561</v>
      </c>
      <c r="M4380" s="14" t="n">
        <v>0</v>
      </c>
      <c r="N4380" s="14" t="n">
        <v>390598.3865864772</v>
      </c>
      <c r="O4380" s="14" t="n">
        <v>935362.4653491152</v>
      </c>
      <c r="P4380" s="14" t="n">
        <v>38787.03571768368</v>
      </c>
      <c r="Q4380" s="14" t="n">
        <v>4777457.879675234</v>
      </c>
      <c r="R4380" s="15">
        <f>IF(D4380=1,"Section 1","Control")</f>
        <v/>
      </c>
      <c r="S4380" s="16">
        <f>N4380/10000</f>
        <v/>
      </c>
      <c r="T4380" s="16">
        <f>P4380/10000</f>
        <v/>
      </c>
      <c r="U4380" s="15">
        <f>IF(N4380&gt;=Summary!$D$3,1,0)</f>
        <v/>
      </c>
      <c r="V4380" s="17">
        <f>IF(N4380&gt;0,P4380/N4380,"")</f>
        <v/>
      </c>
      <c r="W4380" s="17">
        <f>IF(O4380&gt;0,H4380/O4380,"")</f>
        <v/>
      </c>
    </row>
    <row r="4381">
      <c r="A4381" s="13" t="inlineStr">
        <is>
          <t>CW66_B2</t>
        </is>
      </c>
      <c r="B4381" s="13" t="inlineStr">
        <is>
          <t>CW66</t>
        </is>
      </c>
      <c r="C4381" s="13" t="inlineStr">
        <is>
          <t>B2</t>
        </is>
      </c>
      <c r="D4381" s="13" t="n">
        <v>0</v>
      </c>
      <c r="E4381" s="13" t="inlineStr">
        <is>
          <t>W</t>
        </is>
      </c>
      <c r="F4381" s="13" t="n">
        <v>2024</v>
      </c>
      <c r="G4381" s="14" t="n">
        <v>2515231.795842549</v>
      </c>
      <c r="H4381" s="14" t="n">
        <v>375983.4864200069</v>
      </c>
      <c r="I4381" s="14" t="n">
        <v>452381.9454153323</v>
      </c>
      <c r="J4381" s="14" t="n">
        <v>0</v>
      </c>
      <c r="K4381" s="14" t="n">
        <v>110346.3856220021</v>
      </c>
      <c r="L4381" s="14" t="n">
        <v>1576519.978385208</v>
      </c>
      <c r="M4381" s="14" t="n">
        <v>0</v>
      </c>
      <c r="N4381" s="14" t="n">
        <v>390598.3865864772</v>
      </c>
      <c r="O4381" s="14" t="n">
        <v>935362.4653491152</v>
      </c>
      <c r="P4381" s="14" t="n">
        <v>38022.39148622401</v>
      </c>
      <c r="Q4381" s="14" t="n">
        <v>4777457.879675234</v>
      </c>
      <c r="R4381" s="15">
        <f>IF(D4381=1,"Section 1","Control")</f>
        <v/>
      </c>
      <c r="S4381" s="16">
        <f>N4381/10000</f>
        <v/>
      </c>
      <c r="T4381" s="16">
        <f>P4381/10000</f>
        <v/>
      </c>
      <c r="U4381" s="15">
        <f>IF(N4381&gt;=Summary!$D$3,1,0)</f>
        <v/>
      </c>
      <c r="V4381" s="17">
        <f>IF(N4381&gt;0,P4381/N4381,"")</f>
        <v/>
      </c>
      <c r="W4381" s="17">
        <f>IF(O4381&gt;0,H4381/O4381,"")</f>
        <v/>
      </c>
    </row>
    <row r="4382">
      <c r="A4382" s="13" t="inlineStr">
        <is>
          <t>CW66_B2</t>
        </is>
      </c>
      <c r="B4382" s="13" t="inlineStr">
        <is>
          <t>CW66</t>
        </is>
      </c>
      <c r="C4382" s="13" t="inlineStr">
        <is>
          <t>B2</t>
        </is>
      </c>
      <c r="D4382" s="13" t="n">
        <v>0</v>
      </c>
      <c r="E4382" s="13" t="inlineStr">
        <is>
          <t>W</t>
        </is>
      </c>
      <c r="F4382" s="13" t="n">
        <v>2025</v>
      </c>
      <c r="G4382" s="14" t="n">
        <v>2515231.795842549</v>
      </c>
      <c r="H4382" s="14" t="n">
        <v>370621.656523252</v>
      </c>
      <c r="I4382" s="14" t="n">
        <v>460693.6135883706</v>
      </c>
      <c r="J4382" s="14" t="n">
        <v>0</v>
      </c>
      <c r="K4382" s="14" t="n">
        <v>113048.4043191648</v>
      </c>
      <c r="L4382" s="14" t="n">
        <v>1570868.121411762</v>
      </c>
      <c r="M4382" s="14" t="n">
        <v>0</v>
      </c>
      <c r="N4382" s="14" t="n">
        <v>390598.3865864772</v>
      </c>
      <c r="O4382" s="14" t="n">
        <v>935362.4653491152</v>
      </c>
      <c r="P4382" s="14" t="n">
        <v>39725.51193345014</v>
      </c>
      <c r="Q4382" s="14" t="n">
        <v>4777457.879675235</v>
      </c>
      <c r="R4382" s="15">
        <f>IF(D4382=1,"Section 1","Control")</f>
        <v/>
      </c>
      <c r="S4382" s="16">
        <f>N4382/10000</f>
        <v/>
      </c>
      <c r="T4382" s="16">
        <f>P4382/10000</f>
        <v/>
      </c>
      <c r="U4382" s="15">
        <f>IF(N4382&gt;=Summary!$D$3,1,0)</f>
        <v/>
      </c>
      <c r="V4382" s="17">
        <f>IF(N4382&gt;0,P4382/N4382,"")</f>
        <v/>
      </c>
      <c r="W4382" s="17">
        <f>IF(O4382&gt;0,H4382/O4382,"")</f>
        <v/>
      </c>
    </row>
    <row r="4383">
      <c r="A4383" s="13" t="inlineStr">
        <is>
          <t>CW66_B2</t>
        </is>
      </c>
      <c r="B4383" s="13" t="inlineStr">
        <is>
          <t>CW66</t>
        </is>
      </c>
      <c r="C4383" s="13" t="inlineStr">
        <is>
          <t>B2</t>
        </is>
      </c>
      <c r="D4383" s="13" t="n">
        <v>0</v>
      </c>
      <c r="E4383" s="13" t="inlineStr">
        <is>
          <t>W</t>
        </is>
      </c>
      <c r="F4383" s="13" t="n">
        <v>2026</v>
      </c>
      <c r="G4383" s="14" t="n">
        <v>2515231.795842549</v>
      </c>
      <c r="H4383" s="14" t="n">
        <v>388692.5744880527</v>
      </c>
      <c r="I4383" s="14" t="n">
        <v>435657.5010446886</v>
      </c>
      <c r="J4383" s="14" t="n">
        <v>0</v>
      </c>
      <c r="K4383" s="14" t="n">
        <v>120993.3726050283</v>
      </c>
      <c r="L4383" s="14" t="n">
        <v>1569888.347704779</v>
      </c>
      <c r="M4383" s="14" t="n">
        <v>0</v>
      </c>
      <c r="N4383" s="14" t="n">
        <v>390598.3865864772</v>
      </c>
      <c r="O4383" s="14" t="n">
        <v>935362.4653491152</v>
      </c>
      <c r="P4383" s="14" t="n">
        <v>48064.94092541864</v>
      </c>
      <c r="Q4383" s="14" t="n">
        <v>4777457.879675235</v>
      </c>
      <c r="R4383" s="15">
        <f>IF(D4383=1,"Section 1","Control")</f>
        <v/>
      </c>
      <c r="S4383" s="16">
        <f>N4383/10000</f>
        <v/>
      </c>
      <c r="T4383" s="16">
        <f>P4383/10000</f>
        <v/>
      </c>
      <c r="U4383" s="15">
        <f>IF(N4383&gt;=Summary!$D$3,1,0)</f>
        <v/>
      </c>
      <c r="V4383" s="17">
        <f>IF(N4383&gt;0,P4383/N4383,"")</f>
        <v/>
      </c>
      <c r="W4383" s="17">
        <f>IF(O4383&gt;0,H4383/O4383,"")</f>
        <v/>
      </c>
    </row>
    <row r="4384">
      <c r="A4384" s="13" t="inlineStr">
        <is>
          <t>CW66_B3</t>
        </is>
      </c>
      <c r="B4384" s="13" t="inlineStr">
        <is>
          <t>CW66</t>
        </is>
      </c>
      <c r="C4384" s="13" t="inlineStr">
        <is>
          <t>B3</t>
        </is>
      </c>
      <c r="D4384" s="13" t="n">
        <v>0</v>
      </c>
      <c r="E4384" s="13" t="inlineStr">
        <is>
          <t>W</t>
        </is>
      </c>
      <c r="F4384" s="13" t="n">
        <v>2020</v>
      </c>
      <c r="G4384" s="14" t="n">
        <v>48376797.30895016</v>
      </c>
      <c r="H4384" s="14" t="n">
        <v>8212885.10617221</v>
      </c>
      <c r="I4384" s="14" t="n">
        <v>3436690.326062999</v>
      </c>
      <c r="J4384" s="14" t="n">
        <v>0</v>
      </c>
      <c r="K4384" s="14" t="n">
        <v>8708783.859294606</v>
      </c>
      <c r="L4384" s="14" t="n">
        <v>28018438.01742036</v>
      </c>
      <c r="M4384" s="14" t="n">
        <v>0</v>
      </c>
      <c r="N4384" s="14" t="n">
        <v>8212885.10617221</v>
      </c>
      <c r="O4384" s="14" t="n">
        <v>20358359.29152982</v>
      </c>
      <c r="P4384" s="14" t="n">
        <v>0</v>
      </c>
      <c r="Q4384" s="14" t="n">
        <v>90690197.03781325</v>
      </c>
      <c r="R4384" s="15">
        <f>IF(D4384=1,"Section 1","Control")</f>
        <v/>
      </c>
      <c r="S4384" s="16">
        <f>N4384/10000</f>
        <v/>
      </c>
      <c r="T4384" s="16">
        <f>P4384/10000</f>
        <v/>
      </c>
      <c r="U4384" s="15">
        <f>IF(N4384&gt;=Summary!$D$3,1,0)</f>
        <v/>
      </c>
      <c r="V4384" s="17">
        <f>IF(N4384&gt;0,P4384/N4384,"")</f>
        <v/>
      </c>
      <c r="W4384" s="17">
        <f>IF(O4384&gt;0,H4384/O4384,"")</f>
        <v/>
      </c>
    </row>
    <row r="4385">
      <c r="A4385" s="13" t="inlineStr">
        <is>
          <t>CW66_B3</t>
        </is>
      </c>
      <c r="B4385" s="13" t="inlineStr">
        <is>
          <t>CW66</t>
        </is>
      </c>
      <c r="C4385" s="13" t="inlineStr">
        <is>
          <t>B3</t>
        </is>
      </c>
      <c r="D4385" s="13" t="n">
        <v>0</v>
      </c>
      <c r="E4385" s="13" t="inlineStr">
        <is>
          <t>W</t>
        </is>
      </c>
      <c r="F4385" s="13" t="n">
        <v>2021</v>
      </c>
      <c r="G4385" s="14" t="n">
        <v>48376797.30895016</v>
      </c>
      <c r="H4385" s="14" t="n">
        <v>8463007.992358128</v>
      </c>
      <c r="I4385" s="14" t="n">
        <v>3139469.061541269</v>
      </c>
      <c r="J4385" s="14" t="n">
        <v>0</v>
      </c>
      <c r="K4385" s="14" t="n">
        <v>8788911.026381277</v>
      </c>
      <c r="L4385" s="14" t="n">
        <v>27985409.2286695</v>
      </c>
      <c r="M4385" s="14" t="n">
        <v>0</v>
      </c>
      <c r="N4385" s="14" t="n">
        <v>8212885.10617221</v>
      </c>
      <c r="O4385" s="14" t="n">
        <v>20358359.29152982</v>
      </c>
      <c r="P4385" s="14" t="n">
        <v>257458.1077318977</v>
      </c>
      <c r="Q4385" s="14" t="n">
        <v>90690197.03781322</v>
      </c>
      <c r="R4385" s="15">
        <f>IF(D4385=1,"Section 1","Control")</f>
        <v/>
      </c>
      <c r="S4385" s="16">
        <f>N4385/10000</f>
        <v/>
      </c>
      <c r="T4385" s="16">
        <f>P4385/10000</f>
        <v/>
      </c>
      <c r="U4385" s="15">
        <f>IF(N4385&gt;=Summary!$D$3,1,0)</f>
        <v/>
      </c>
      <c r="V4385" s="17">
        <f>IF(N4385&gt;0,P4385/N4385,"")</f>
        <v/>
      </c>
      <c r="W4385" s="17">
        <f>IF(O4385&gt;0,H4385/O4385,"")</f>
        <v/>
      </c>
    </row>
    <row r="4386">
      <c r="A4386" s="13" t="inlineStr">
        <is>
          <t>CW66_B3</t>
        </is>
      </c>
      <c r="B4386" s="13" t="inlineStr">
        <is>
          <t>CW66</t>
        </is>
      </c>
      <c r="C4386" s="13" t="inlineStr">
        <is>
          <t>B3</t>
        </is>
      </c>
      <c r="D4386" s="13" t="n">
        <v>0</v>
      </c>
      <c r="E4386" s="13" t="inlineStr">
        <is>
          <t>W</t>
        </is>
      </c>
      <c r="F4386" s="13" t="n">
        <v>2022</v>
      </c>
      <c r="G4386" s="14" t="n">
        <v>48376797.30895016</v>
      </c>
      <c r="H4386" s="14" t="n">
        <v>7603673.990163197</v>
      </c>
      <c r="I4386" s="14" t="n">
        <v>3798121.996497809</v>
      </c>
      <c r="J4386" s="14" t="n">
        <v>0</v>
      </c>
      <c r="K4386" s="14" t="n">
        <v>9716513.894547196</v>
      </c>
      <c r="L4386" s="14" t="n">
        <v>27258487.42774198</v>
      </c>
      <c r="M4386" s="14" t="n">
        <v>0</v>
      </c>
      <c r="N4386" s="14" t="n">
        <v>8212885.10617221</v>
      </c>
      <c r="O4386" s="14" t="n">
        <v>20358359.29152982</v>
      </c>
      <c r="P4386" s="14" t="n">
        <v>770470.7237726548</v>
      </c>
      <c r="Q4386" s="14" t="n">
        <v>90690197.03781322</v>
      </c>
      <c r="R4386" s="15">
        <f>IF(D4386=1,"Section 1","Control")</f>
        <v/>
      </c>
      <c r="S4386" s="16">
        <f>N4386/10000</f>
        <v/>
      </c>
      <c r="T4386" s="16">
        <f>P4386/10000</f>
        <v/>
      </c>
      <c r="U4386" s="15">
        <f>IF(N4386&gt;=Summary!$D$3,1,0)</f>
        <v/>
      </c>
      <c r="V4386" s="17">
        <f>IF(N4386&gt;0,P4386/N4386,"")</f>
        <v/>
      </c>
      <c r="W4386" s="17">
        <f>IF(O4386&gt;0,H4386/O4386,"")</f>
        <v/>
      </c>
    </row>
    <row r="4387">
      <c r="A4387" s="13" t="inlineStr">
        <is>
          <t>CW66_B3</t>
        </is>
      </c>
      <c r="B4387" s="13" t="inlineStr">
        <is>
          <t>CW66</t>
        </is>
      </c>
      <c r="C4387" s="13" t="inlineStr">
        <is>
          <t>B3</t>
        </is>
      </c>
      <c r="D4387" s="13" t="n">
        <v>0</v>
      </c>
      <c r="E4387" s="13" t="inlineStr">
        <is>
          <t>W</t>
        </is>
      </c>
      <c r="F4387" s="13" t="n">
        <v>2023</v>
      </c>
      <c r="G4387" s="14" t="n">
        <v>48376797.30895016</v>
      </c>
      <c r="H4387" s="14" t="n">
        <v>7844433.409667728</v>
      </c>
      <c r="I4387" s="14" t="n">
        <v>3511485.059885601</v>
      </c>
      <c r="J4387" s="14" t="n">
        <v>0</v>
      </c>
      <c r="K4387" s="14" t="n">
        <v>8879131.160110742</v>
      </c>
      <c r="L4387" s="14" t="n">
        <v>28141747.67928611</v>
      </c>
      <c r="M4387" s="14" t="n">
        <v>0</v>
      </c>
      <c r="N4387" s="14" t="n">
        <v>8212885.10617221</v>
      </c>
      <c r="O4387" s="14" t="n">
        <v>20358359.29152982</v>
      </c>
      <c r="P4387" s="14" t="n">
        <v>803117.4112686156</v>
      </c>
      <c r="Q4387" s="14" t="n">
        <v>90690197.03781325</v>
      </c>
      <c r="R4387" s="15">
        <f>IF(D4387=1,"Section 1","Control")</f>
        <v/>
      </c>
      <c r="S4387" s="16">
        <f>N4387/10000</f>
        <v/>
      </c>
      <c r="T4387" s="16">
        <f>P4387/10000</f>
        <v/>
      </c>
      <c r="U4387" s="15">
        <f>IF(N4387&gt;=Summary!$D$3,1,0)</f>
        <v/>
      </c>
      <c r="V4387" s="17">
        <f>IF(N4387&gt;0,P4387/N4387,"")</f>
        <v/>
      </c>
      <c r="W4387" s="17">
        <f>IF(O4387&gt;0,H4387/O4387,"")</f>
        <v/>
      </c>
    </row>
    <row r="4388">
      <c r="A4388" s="13" t="inlineStr">
        <is>
          <t>CW66_B3</t>
        </is>
      </c>
      <c r="B4388" s="13" t="inlineStr">
        <is>
          <t>CW66</t>
        </is>
      </c>
      <c r="C4388" s="13" t="inlineStr">
        <is>
          <t>B3</t>
        </is>
      </c>
      <c r="D4388" s="13" t="n">
        <v>0</v>
      </c>
      <c r="E4388" s="13" t="inlineStr">
        <is>
          <t>W</t>
        </is>
      </c>
      <c r="F4388" s="13" t="n">
        <v>2024</v>
      </c>
      <c r="G4388" s="14" t="n">
        <v>48376797.30895016</v>
      </c>
      <c r="H4388" s="14" t="n">
        <v>7875949.722029771</v>
      </c>
      <c r="I4388" s="14" t="n">
        <v>3565613.480394132</v>
      </c>
      <c r="J4388" s="14" t="n">
        <v>0</v>
      </c>
      <c r="K4388" s="14" t="n">
        <v>9084788.9366885</v>
      </c>
      <c r="L4388" s="14" t="n">
        <v>27850445.16983777</v>
      </c>
      <c r="M4388" s="14" t="n">
        <v>0</v>
      </c>
      <c r="N4388" s="14" t="n">
        <v>8212885.10617221</v>
      </c>
      <c r="O4388" s="14" t="n">
        <v>20358359.29152982</v>
      </c>
      <c r="P4388" s="14" t="n">
        <v>853659.9172529033</v>
      </c>
      <c r="Q4388" s="14" t="n">
        <v>90690197.03781325</v>
      </c>
      <c r="R4388" s="15">
        <f>IF(D4388=1,"Section 1","Control")</f>
        <v/>
      </c>
      <c r="S4388" s="16">
        <f>N4388/10000</f>
        <v/>
      </c>
      <c r="T4388" s="16">
        <f>P4388/10000</f>
        <v/>
      </c>
      <c r="U4388" s="15">
        <f>IF(N4388&gt;=Summary!$D$3,1,0)</f>
        <v/>
      </c>
      <c r="V4388" s="17">
        <f>IF(N4388&gt;0,P4388/N4388,"")</f>
        <v/>
      </c>
      <c r="W4388" s="17">
        <f>IF(O4388&gt;0,H4388/O4388,"")</f>
        <v/>
      </c>
    </row>
    <row r="4389">
      <c r="A4389" s="13" t="inlineStr">
        <is>
          <t>CW66_B3</t>
        </is>
      </c>
      <c r="B4389" s="13" t="inlineStr">
        <is>
          <t>CW66</t>
        </is>
      </c>
      <c r="C4389" s="13" t="inlineStr">
        <is>
          <t>B3</t>
        </is>
      </c>
      <c r="D4389" s="13" t="n">
        <v>0</v>
      </c>
      <c r="E4389" s="13" t="inlineStr">
        <is>
          <t>W</t>
        </is>
      </c>
      <c r="F4389" s="13" t="n">
        <v>2025</v>
      </c>
      <c r="G4389" s="14" t="n">
        <v>48376797.30895016</v>
      </c>
      <c r="H4389" s="14" t="n">
        <v>7415391.93232685</v>
      </c>
      <c r="I4389" s="14" t="n">
        <v>4006653.873225641</v>
      </c>
      <c r="J4389" s="14" t="n">
        <v>0</v>
      </c>
      <c r="K4389" s="14" t="n">
        <v>8685986.051888797</v>
      </c>
      <c r="L4389" s="14" t="n">
        <v>28268765.45150888</v>
      </c>
      <c r="M4389" s="14" t="n">
        <v>0</v>
      </c>
      <c r="N4389" s="14" t="n">
        <v>8212885.10617221</v>
      </c>
      <c r="O4389" s="14" t="n">
        <v>20358359.29152982</v>
      </c>
      <c r="P4389" s="14" t="n">
        <v>1108952.543429057</v>
      </c>
      <c r="Q4389" s="14" t="n">
        <v>90690197.03781322</v>
      </c>
      <c r="R4389" s="15">
        <f>IF(D4389=1,"Section 1","Control")</f>
        <v/>
      </c>
      <c r="S4389" s="16">
        <f>N4389/10000</f>
        <v/>
      </c>
      <c r="T4389" s="16">
        <f>P4389/10000</f>
        <v/>
      </c>
      <c r="U4389" s="15">
        <f>IF(N4389&gt;=Summary!$D$3,1,0)</f>
        <v/>
      </c>
      <c r="V4389" s="17">
        <f>IF(N4389&gt;0,P4389/N4389,"")</f>
        <v/>
      </c>
      <c r="W4389" s="17">
        <f>IF(O4389&gt;0,H4389/O4389,"")</f>
        <v/>
      </c>
    </row>
    <row r="4390">
      <c r="A4390" s="13" t="inlineStr">
        <is>
          <t>CW66_B3</t>
        </is>
      </c>
      <c r="B4390" s="13" t="inlineStr">
        <is>
          <t>CW66</t>
        </is>
      </c>
      <c r="C4390" s="13" t="inlineStr">
        <is>
          <t>B3</t>
        </is>
      </c>
      <c r="D4390" s="13" t="n">
        <v>0</v>
      </c>
      <c r="E4390" s="13" t="inlineStr">
        <is>
          <t>W</t>
        </is>
      </c>
      <c r="F4390" s="13" t="n">
        <v>2026</v>
      </c>
      <c r="G4390" s="14" t="n">
        <v>48376797.30895016</v>
      </c>
      <c r="H4390" s="14" t="n">
        <v>7920264.848543593</v>
      </c>
      <c r="I4390" s="14" t="n">
        <v>3372132.692610797</v>
      </c>
      <c r="J4390" s="14" t="n">
        <v>0</v>
      </c>
      <c r="K4390" s="14" t="n">
        <v>8646315.157306444</v>
      </c>
      <c r="L4390" s="14" t="n">
        <v>28438084.61048933</v>
      </c>
      <c r="M4390" s="14" t="n">
        <v>0</v>
      </c>
      <c r="N4390" s="14" t="n">
        <v>8212885.10617221</v>
      </c>
      <c r="O4390" s="14" t="n">
        <v>20358359.29152982</v>
      </c>
      <c r="P4390" s="14" t="n">
        <v>1041309.885641928</v>
      </c>
      <c r="Q4390" s="14" t="n">
        <v>90690197.03781322</v>
      </c>
      <c r="R4390" s="15">
        <f>IF(D4390=1,"Section 1","Control")</f>
        <v/>
      </c>
      <c r="S4390" s="16">
        <f>N4390/10000</f>
        <v/>
      </c>
      <c r="T4390" s="16">
        <f>P4390/10000</f>
        <v/>
      </c>
      <c r="U4390" s="15">
        <f>IF(N4390&gt;=Summary!$D$3,1,0)</f>
        <v/>
      </c>
      <c r="V4390" s="17">
        <f>IF(N4390&gt;0,P4390/N4390,"")</f>
        <v/>
      </c>
      <c r="W4390" s="17">
        <f>IF(O4390&gt;0,H4390/O4390,"")</f>
        <v/>
      </c>
    </row>
    <row r="4391">
      <c r="A4391" s="13" t="inlineStr">
        <is>
          <t>CW66_F</t>
        </is>
      </c>
      <c r="B4391" s="13" t="inlineStr">
        <is>
          <t>CW66</t>
        </is>
      </c>
      <c r="C4391" s="13" t="inlineStr">
        <is>
          <t>F</t>
        </is>
      </c>
      <c r="D4391" s="13" t="n">
        <v>0</v>
      </c>
      <c r="E4391" s="13" t="inlineStr">
        <is>
          <t>W</t>
        </is>
      </c>
      <c r="F4391" s="13" t="n">
        <v>2020</v>
      </c>
      <c r="G4391" s="14" t="n">
        <v>91108.86217747108</v>
      </c>
      <c r="H4391" s="14" t="n">
        <v>1772.828322017894</v>
      </c>
      <c r="I4391" s="14" t="n">
        <v>64394.08341653857</v>
      </c>
      <c r="J4391" s="14" t="n">
        <v>0</v>
      </c>
      <c r="K4391" s="14" t="n">
        <v>24941.95043891459</v>
      </c>
      <c r="L4391" s="14" t="n">
        <v>0</v>
      </c>
      <c r="M4391" s="14" t="n">
        <v>0</v>
      </c>
      <c r="N4391" s="14" t="n">
        <v>1772.828322017894</v>
      </c>
      <c r="O4391" s="14" t="n">
        <v>91108.86217747108</v>
      </c>
      <c r="P4391" s="14" t="n">
        <v>0</v>
      </c>
      <c r="Q4391" s="14" t="n">
        <v>246190.9124509325</v>
      </c>
      <c r="R4391" s="15">
        <f>IF(D4391=1,"Section 1","Control")</f>
        <v/>
      </c>
      <c r="S4391" s="16">
        <f>N4391/10000</f>
        <v/>
      </c>
      <c r="T4391" s="16">
        <f>P4391/10000</f>
        <v/>
      </c>
      <c r="U4391" s="15">
        <f>IF(N4391&gt;=Summary!$D$3,1,0)</f>
        <v/>
      </c>
      <c r="V4391" s="17">
        <f>IF(N4391&gt;0,P4391/N4391,"")</f>
        <v/>
      </c>
      <c r="W4391" s="17">
        <f>IF(O4391&gt;0,H4391/O4391,"")</f>
        <v/>
      </c>
    </row>
    <row r="4392">
      <c r="A4392" s="13" t="inlineStr">
        <is>
          <t>CW66_F</t>
        </is>
      </c>
      <c r="B4392" s="13" t="inlineStr">
        <is>
          <t>CW66</t>
        </is>
      </c>
      <c r="C4392" s="13" t="inlineStr">
        <is>
          <t>F</t>
        </is>
      </c>
      <c r="D4392" s="13" t="n">
        <v>0</v>
      </c>
      <c r="E4392" s="13" t="inlineStr">
        <is>
          <t>W</t>
        </is>
      </c>
      <c r="F4392" s="13" t="n">
        <v>2021</v>
      </c>
      <c r="G4392" s="14" t="n">
        <v>91108.86217747106</v>
      </c>
      <c r="H4392" s="14" t="n">
        <v>1493.682293162626</v>
      </c>
      <c r="I4392" s="14" t="n">
        <v>67029.90322289558</v>
      </c>
      <c r="J4392" s="14" t="n">
        <v>0</v>
      </c>
      <c r="K4392" s="14" t="n">
        <v>22585.27666141286</v>
      </c>
      <c r="L4392" s="14" t="n">
        <v>0</v>
      </c>
      <c r="M4392" s="14" t="n">
        <v>0</v>
      </c>
      <c r="N4392" s="14" t="n">
        <v>1772.828322017894</v>
      </c>
      <c r="O4392" s="14" t="n">
        <v>91108.86217747106</v>
      </c>
      <c r="P4392" s="14" t="n">
        <v>296.181282043457</v>
      </c>
      <c r="Q4392" s="14" t="n">
        <v>246190.9124509325</v>
      </c>
      <c r="R4392" s="15">
        <f>IF(D4392=1,"Section 1","Control")</f>
        <v/>
      </c>
      <c r="S4392" s="16">
        <f>N4392/10000</f>
        <v/>
      </c>
      <c r="T4392" s="16">
        <f>P4392/10000</f>
        <v/>
      </c>
      <c r="U4392" s="15">
        <f>IF(N4392&gt;=Summary!$D$3,1,0)</f>
        <v/>
      </c>
      <c r="V4392" s="17">
        <f>IF(N4392&gt;0,P4392/N4392,"")</f>
        <v/>
      </c>
      <c r="W4392" s="17">
        <f>IF(O4392&gt;0,H4392/O4392,"")</f>
        <v/>
      </c>
    </row>
    <row r="4393">
      <c r="A4393" s="13" t="inlineStr">
        <is>
          <t>CW66_F</t>
        </is>
      </c>
      <c r="B4393" s="13" t="inlineStr">
        <is>
          <t>CW66</t>
        </is>
      </c>
      <c r="C4393" s="13" t="inlineStr">
        <is>
          <t>F</t>
        </is>
      </c>
      <c r="D4393" s="13" t="n">
        <v>0</v>
      </c>
      <c r="E4393" s="13" t="inlineStr">
        <is>
          <t>W</t>
        </is>
      </c>
      <c r="F4393" s="13" t="n">
        <v>2022</v>
      </c>
      <c r="G4393" s="14" t="n">
        <v>91108.86217747106</v>
      </c>
      <c r="H4393" s="14" t="n">
        <v>924.937074549058</v>
      </c>
      <c r="I4393" s="14" t="n">
        <v>74164.9696424297</v>
      </c>
      <c r="J4393" s="14" t="n">
        <v>0</v>
      </c>
      <c r="K4393" s="14" t="n">
        <v>16018.9554604923</v>
      </c>
      <c r="L4393" s="14" t="n">
        <v>0</v>
      </c>
      <c r="M4393" s="14" t="n">
        <v>0</v>
      </c>
      <c r="N4393" s="14" t="n">
        <v>1772.828322017894</v>
      </c>
      <c r="O4393" s="14" t="n">
        <v>91108.86217747106</v>
      </c>
      <c r="P4393" s="14" t="n">
        <v>847.8912474688361</v>
      </c>
      <c r="Q4393" s="14" t="n">
        <v>246190.9124509325</v>
      </c>
      <c r="R4393" s="15">
        <f>IF(D4393=1,"Section 1","Control")</f>
        <v/>
      </c>
      <c r="S4393" s="16">
        <f>N4393/10000</f>
        <v/>
      </c>
      <c r="T4393" s="16">
        <f>P4393/10000</f>
        <v/>
      </c>
      <c r="U4393" s="15">
        <f>IF(N4393&gt;=Summary!$D$3,1,0)</f>
        <v/>
      </c>
      <c r="V4393" s="17">
        <f>IF(N4393&gt;0,P4393/N4393,"")</f>
        <v/>
      </c>
      <c r="W4393" s="17">
        <f>IF(O4393&gt;0,H4393/O4393,"")</f>
        <v/>
      </c>
    </row>
    <row r="4394">
      <c r="A4394" s="13" t="inlineStr">
        <is>
          <t>CW66_F</t>
        </is>
      </c>
      <c r="B4394" s="13" t="inlineStr">
        <is>
          <t>CW66</t>
        </is>
      </c>
      <c r="C4394" s="13" t="inlineStr">
        <is>
          <t>F</t>
        </is>
      </c>
      <c r="D4394" s="13" t="n">
        <v>0</v>
      </c>
      <c r="E4394" s="13" t="inlineStr">
        <is>
          <t>W</t>
        </is>
      </c>
      <c r="F4394" s="13" t="n">
        <v>2023</v>
      </c>
      <c r="G4394" s="14" t="n">
        <v>91108.86217747108</v>
      </c>
      <c r="H4394" s="14" t="n">
        <v>1221.118280298569</v>
      </c>
      <c r="I4394" s="14" t="n">
        <v>72217.91599162976</v>
      </c>
      <c r="J4394" s="14" t="n">
        <v>0</v>
      </c>
      <c r="K4394" s="14" t="n">
        <v>17669.82790554271</v>
      </c>
      <c r="L4394" s="14" t="n">
        <v>0</v>
      </c>
      <c r="M4394" s="14" t="n">
        <v>0</v>
      </c>
      <c r="N4394" s="14" t="n">
        <v>1772.828322017894</v>
      </c>
      <c r="O4394" s="14" t="n">
        <v>91108.86217747108</v>
      </c>
      <c r="P4394" s="14" t="n">
        <v>847.8912474688361</v>
      </c>
      <c r="Q4394" s="14" t="n">
        <v>246190.9124509325</v>
      </c>
      <c r="R4394" s="15">
        <f>IF(D4394=1,"Section 1","Control")</f>
        <v/>
      </c>
      <c r="S4394" s="16">
        <f>N4394/10000</f>
        <v/>
      </c>
      <c r="T4394" s="16">
        <f>P4394/10000</f>
        <v/>
      </c>
      <c r="U4394" s="15">
        <f>IF(N4394&gt;=Summary!$D$3,1,0)</f>
        <v/>
      </c>
      <c r="V4394" s="17">
        <f>IF(N4394&gt;0,P4394/N4394,"")</f>
        <v/>
      </c>
      <c r="W4394" s="17">
        <f>IF(O4394&gt;0,H4394/O4394,"")</f>
        <v/>
      </c>
    </row>
    <row r="4395">
      <c r="A4395" s="13" t="inlineStr">
        <is>
          <t>CW66_F</t>
        </is>
      </c>
      <c r="B4395" s="13" t="inlineStr">
        <is>
          <t>CW66</t>
        </is>
      </c>
      <c r="C4395" s="13" t="inlineStr">
        <is>
          <t>F</t>
        </is>
      </c>
      <c r="D4395" s="13" t="n">
        <v>0</v>
      </c>
      <c r="E4395" s="13" t="inlineStr">
        <is>
          <t>W</t>
        </is>
      </c>
      <c r="F4395" s="13" t="n">
        <v>2024</v>
      </c>
      <c r="G4395" s="14" t="n">
        <v>91108.86217747108</v>
      </c>
      <c r="H4395" s="14" t="n">
        <v>1714.753747827866</v>
      </c>
      <c r="I4395" s="14" t="n">
        <v>72179.58680743046</v>
      </c>
      <c r="J4395" s="14" t="n">
        <v>0</v>
      </c>
      <c r="K4395" s="14" t="n">
        <v>17214.52162221273</v>
      </c>
      <c r="L4395" s="14" t="n">
        <v>0</v>
      </c>
      <c r="M4395" s="14" t="n">
        <v>0</v>
      </c>
      <c r="N4395" s="14" t="n">
        <v>1772.828322017894</v>
      </c>
      <c r="O4395" s="14" t="n">
        <v>91108.86217747108</v>
      </c>
      <c r="P4395" s="14" t="n">
        <v>847.8912474688361</v>
      </c>
      <c r="Q4395" s="14" t="n">
        <v>246190.9124509325</v>
      </c>
      <c r="R4395" s="15">
        <f>IF(D4395=1,"Section 1","Control")</f>
        <v/>
      </c>
      <c r="S4395" s="16">
        <f>N4395/10000</f>
        <v/>
      </c>
      <c r="T4395" s="16">
        <f>P4395/10000</f>
        <v/>
      </c>
      <c r="U4395" s="15">
        <f>IF(N4395&gt;=Summary!$D$3,1,0)</f>
        <v/>
      </c>
      <c r="V4395" s="17">
        <f>IF(N4395&gt;0,P4395/N4395,"")</f>
        <v/>
      </c>
      <c r="W4395" s="17">
        <f>IF(O4395&gt;0,H4395/O4395,"")</f>
        <v/>
      </c>
    </row>
    <row r="4396">
      <c r="A4396" s="13" t="inlineStr">
        <is>
          <t>CW66_F</t>
        </is>
      </c>
      <c r="B4396" s="13" t="inlineStr">
        <is>
          <t>CW66</t>
        </is>
      </c>
      <c r="C4396" s="13" t="inlineStr">
        <is>
          <t>F</t>
        </is>
      </c>
      <c r="D4396" s="13" t="n">
        <v>0</v>
      </c>
      <c r="E4396" s="13" t="inlineStr">
        <is>
          <t>W</t>
        </is>
      </c>
      <c r="F4396" s="13" t="n">
        <v>2025</v>
      </c>
      <c r="G4396" s="14" t="n">
        <v>91108.86217747106</v>
      </c>
      <c r="H4396" s="14" t="n">
        <v>962.1049530926872</v>
      </c>
      <c r="I4396" s="14" t="n">
        <v>69319.59810964543</v>
      </c>
      <c r="J4396" s="14" t="n">
        <v>0</v>
      </c>
      <c r="K4396" s="14" t="n">
        <v>20827.15911473293</v>
      </c>
      <c r="L4396" s="14" t="n">
        <v>0</v>
      </c>
      <c r="M4396" s="14" t="n">
        <v>0</v>
      </c>
      <c r="N4396" s="14" t="n">
        <v>1772.828322017894</v>
      </c>
      <c r="O4396" s="14" t="n">
        <v>91108.86217747106</v>
      </c>
      <c r="P4396" s="14" t="n">
        <v>909.4504578534294</v>
      </c>
      <c r="Q4396" s="14" t="n">
        <v>246190.9124509325</v>
      </c>
      <c r="R4396" s="15">
        <f>IF(D4396=1,"Section 1","Control")</f>
        <v/>
      </c>
      <c r="S4396" s="16">
        <f>N4396/10000</f>
        <v/>
      </c>
      <c r="T4396" s="16">
        <f>P4396/10000</f>
        <v/>
      </c>
      <c r="U4396" s="15">
        <f>IF(N4396&gt;=Summary!$D$3,1,0)</f>
        <v/>
      </c>
      <c r="V4396" s="17">
        <f>IF(N4396&gt;0,P4396/N4396,"")</f>
        <v/>
      </c>
      <c r="W4396" s="17">
        <f>IF(O4396&gt;0,H4396/O4396,"")</f>
        <v/>
      </c>
    </row>
    <row r="4397">
      <c r="A4397" s="13" t="inlineStr">
        <is>
          <t>CW66_F</t>
        </is>
      </c>
      <c r="B4397" s="13" t="inlineStr">
        <is>
          <t>CW66</t>
        </is>
      </c>
      <c r="C4397" s="13" t="inlineStr">
        <is>
          <t>F</t>
        </is>
      </c>
      <c r="D4397" s="13" t="n">
        <v>0</v>
      </c>
      <c r="E4397" s="13" t="inlineStr">
        <is>
          <t>W</t>
        </is>
      </c>
      <c r="F4397" s="13" t="n">
        <v>2026</v>
      </c>
      <c r="G4397" s="14" t="n">
        <v>91108.86217747106</v>
      </c>
      <c r="H4397" s="14" t="n">
        <v>2578.519478741814</v>
      </c>
      <c r="I4397" s="14" t="n">
        <v>70261.18335520424</v>
      </c>
      <c r="J4397" s="14" t="n">
        <v>0</v>
      </c>
      <c r="K4397" s="14" t="n">
        <v>18269.15934352501</v>
      </c>
      <c r="L4397" s="14" t="n">
        <v>0</v>
      </c>
      <c r="M4397" s="14" t="n">
        <v>0</v>
      </c>
      <c r="N4397" s="14" t="n">
        <v>1772.828322017894</v>
      </c>
      <c r="O4397" s="14" t="n">
        <v>91108.86217747106</v>
      </c>
      <c r="P4397" s="14" t="n">
        <v>872.6697975607478</v>
      </c>
      <c r="Q4397" s="14" t="n">
        <v>246190.9124509325</v>
      </c>
      <c r="R4397" s="15">
        <f>IF(D4397=1,"Section 1","Control")</f>
        <v/>
      </c>
      <c r="S4397" s="16">
        <f>N4397/10000</f>
        <v/>
      </c>
      <c r="T4397" s="16">
        <f>P4397/10000</f>
        <v/>
      </c>
      <c r="U4397" s="15">
        <f>IF(N4397&gt;=Summary!$D$3,1,0)</f>
        <v/>
      </c>
      <c r="V4397" s="17">
        <f>IF(N4397&gt;0,P4397/N4397,"")</f>
        <v/>
      </c>
      <c r="W4397" s="17">
        <f>IF(O4397&gt;0,H4397/O4397,"")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4" customWidth="1" min="3" max="3"/>
    <col width="12" customWidth="1" min="4" max="4"/>
    <col width="12" customWidth="1" min="5" max="5"/>
    <col width="10" customWidth="1" min="6" max="6"/>
    <col width="8" customWidth="1" min="7" max="7"/>
    <col width="13" customWidth="1" min="8" max="8"/>
  </cols>
  <sheetData>
    <row r="1">
      <c r="A1" s="18" t="inlineStr">
        <is>
          <t>Difference-in-differences with unit and year fixed effects (values computed in Python/statsmodels)</t>
        </is>
      </c>
    </row>
    <row r="2">
      <c r="A2" s="10" t="inlineStr">
        <is>
          <t>Outcome: % of 2020 vegetation lost. Units with &lt;1 ha 2020 vegetation excluded. Standard errors clustered by 1 km segment. Reference year for event study: DS2024.</t>
        </is>
      </c>
    </row>
    <row r="4">
      <c r="A4" s="19" t="inlineStr">
        <is>
          <t>Zone</t>
        </is>
      </c>
      <c r="B4" s="19" t="inlineStr">
        <is>
          <t>Term</t>
        </is>
      </c>
      <c r="C4" s="19" t="inlineStr">
        <is>
          <t>Estimate (pp)</t>
        </is>
      </c>
      <c r="D4" s="19" t="inlineStr">
        <is>
          <t>95% CI low</t>
        </is>
      </c>
      <c r="E4" s="19" t="inlineStr">
        <is>
          <t>95% CI high</t>
        </is>
      </c>
      <c r="F4" s="19" t="inlineStr">
        <is>
          <t>p-value</t>
        </is>
      </c>
      <c r="G4" s="19" t="inlineStr">
        <is>
          <t>Units</t>
        </is>
      </c>
      <c r="H4" s="19" t="inlineStr">
        <is>
          <t>Treated units</t>
        </is>
      </c>
    </row>
    <row r="5">
      <c r="A5" s="15" t="inlineStr">
        <is>
          <t>F (Footprint)</t>
        </is>
      </c>
      <c r="B5" s="15" t="inlineStr">
        <is>
          <t>Event study DS2021</t>
        </is>
      </c>
      <c r="C5" s="13" t="n">
        <v>-11.44</v>
      </c>
      <c r="D5" s="13" t="n">
        <v>-16.01</v>
      </c>
      <c r="E5" s="13" t="n">
        <v>-6.87</v>
      </c>
      <c r="F5" s="20" t="n">
        <v>0</v>
      </c>
      <c r="G5" s="13" t="n">
        <v>119</v>
      </c>
      <c r="H5" s="13" t="n">
        <v>34</v>
      </c>
    </row>
    <row r="6">
      <c r="A6" s="15" t="inlineStr">
        <is>
          <t>F (Footprint)</t>
        </is>
      </c>
      <c r="B6" s="15" t="inlineStr">
        <is>
          <t>Event study DS2022</t>
        </is>
      </c>
      <c r="C6" s="13" t="n">
        <v>-6.17</v>
      </c>
      <c r="D6" s="13" t="n">
        <v>-11.03</v>
      </c>
      <c r="E6" s="13" t="n">
        <v>-1.32</v>
      </c>
      <c r="F6" s="20" t="n">
        <v>0.0127</v>
      </c>
      <c r="G6" s="13" t="n">
        <v>119</v>
      </c>
      <c r="H6" s="13" t="n">
        <v>34</v>
      </c>
    </row>
    <row r="7">
      <c r="A7" s="15" t="inlineStr">
        <is>
          <t>F (Footprint)</t>
        </is>
      </c>
      <c r="B7" s="15" t="inlineStr">
        <is>
          <t>Event study DS2023</t>
        </is>
      </c>
      <c r="C7" s="13" t="n">
        <v>-7.61</v>
      </c>
      <c r="D7" s="13" t="n">
        <v>-12.98</v>
      </c>
      <c r="E7" s="13" t="n">
        <v>-2.24</v>
      </c>
      <c r="F7" s="20" t="n">
        <v>0.0055</v>
      </c>
      <c r="G7" s="13" t="n">
        <v>119</v>
      </c>
      <c r="H7" s="13" t="n">
        <v>34</v>
      </c>
    </row>
    <row r="8">
      <c r="A8" s="15" t="inlineStr">
        <is>
          <t>F (Footprint)</t>
        </is>
      </c>
      <c r="B8" s="15" t="inlineStr">
        <is>
          <t>DS2024 (reference)</t>
        </is>
      </c>
      <c r="C8" s="13" t="n">
        <v>0</v>
      </c>
      <c r="D8" s="13" t="n"/>
      <c r="E8" s="13" t="n"/>
      <c r="F8" s="20" t="n"/>
      <c r="G8" s="13" t="n">
        <v>119</v>
      </c>
      <c r="H8" s="13" t="n">
        <v>34</v>
      </c>
    </row>
    <row r="9">
      <c r="A9" s="15" t="inlineStr">
        <is>
          <t>F (Footprint)</t>
        </is>
      </c>
      <c r="B9" s="15" t="inlineStr">
        <is>
          <t>Event study DS2025</t>
        </is>
      </c>
      <c r="C9" s="13" t="n">
        <v>35.39</v>
      </c>
      <c r="D9" s="13" t="n">
        <v>21.96</v>
      </c>
      <c r="E9" s="13" t="n">
        <v>48.82</v>
      </c>
      <c r="F9" s="20" t="n">
        <v>0</v>
      </c>
      <c r="G9" s="13" t="n">
        <v>119</v>
      </c>
      <c r="H9" s="13" t="n">
        <v>34</v>
      </c>
    </row>
    <row r="10">
      <c r="A10" s="15" t="inlineStr">
        <is>
          <t>F (Footprint)</t>
        </is>
      </c>
      <c r="B10" s="15" t="inlineStr">
        <is>
          <t>Event study DS2026</t>
        </is>
      </c>
      <c r="C10" s="13" t="n">
        <v>74.62</v>
      </c>
      <c r="D10" s="13" t="n">
        <v>68.67</v>
      </c>
      <c r="E10" s="13" t="n">
        <v>80.56</v>
      </c>
      <c r="F10" s="20" t="n">
        <v>0</v>
      </c>
      <c r="G10" s="13" t="n">
        <v>119</v>
      </c>
      <c r="H10" s="13" t="n">
        <v>34</v>
      </c>
    </row>
    <row r="11">
      <c r="A11" s="5" t="inlineStr">
        <is>
          <t>F (Footprint)</t>
        </is>
      </c>
      <c r="B11" s="5" t="inlineStr">
        <is>
          <t>Pooled DiD (post = DS2025–26)</t>
        </is>
      </c>
      <c r="C11" s="5" t="n">
        <v>62.5</v>
      </c>
      <c r="D11" s="5" t="n">
        <v>53.75</v>
      </c>
      <c r="E11" s="5" t="n">
        <v>71.25</v>
      </c>
      <c r="F11" s="21" t="n">
        <v>0</v>
      </c>
      <c r="G11" s="5" t="n">
        <v>119</v>
      </c>
      <c r="H11" s="5" t="n">
        <v>34</v>
      </c>
    </row>
    <row r="13">
      <c r="A13" s="15" t="inlineStr">
        <is>
          <t>B1 (0–500 m)</t>
        </is>
      </c>
      <c r="B13" s="15" t="inlineStr">
        <is>
          <t>Event study DS2021</t>
        </is>
      </c>
      <c r="C13" s="13" t="n">
        <v>-12.3</v>
      </c>
      <c r="D13" s="13" t="n">
        <v>-15.72</v>
      </c>
      <c r="E13" s="13" t="n">
        <v>-8.880000000000001</v>
      </c>
      <c r="F13" s="20" t="n">
        <v>0</v>
      </c>
      <c r="G13" s="13" t="n">
        <v>152</v>
      </c>
      <c r="H13" s="13" t="n">
        <v>42</v>
      </c>
    </row>
    <row r="14">
      <c r="A14" s="15" t="inlineStr">
        <is>
          <t>B1 (0–500 m)</t>
        </is>
      </c>
      <c r="B14" s="15" t="inlineStr">
        <is>
          <t>Event study DS2022</t>
        </is>
      </c>
      <c r="C14" s="13" t="n">
        <v>-3.63</v>
      </c>
      <c r="D14" s="13" t="n">
        <v>-7.22</v>
      </c>
      <c r="E14" s="13" t="n">
        <v>-0.04</v>
      </c>
      <c r="F14" s="20" t="n">
        <v>0.0474</v>
      </c>
      <c r="G14" s="13" t="n">
        <v>152</v>
      </c>
      <c r="H14" s="13" t="n">
        <v>42</v>
      </c>
    </row>
    <row r="15">
      <c r="A15" s="15" t="inlineStr">
        <is>
          <t>B1 (0–500 m)</t>
        </is>
      </c>
      <c r="B15" s="15" t="inlineStr">
        <is>
          <t>Event study DS2023</t>
        </is>
      </c>
      <c r="C15" s="13" t="n">
        <v>-1.03</v>
      </c>
      <c r="D15" s="13" t="n">
        <v>-5.49</v>
      </c>
      <c r="E15" s="13" t="n">
        <v>3.42</v>
      </c>
      <c r="F15" s="20" t="n">
        <v>0.6494</v>
      </c>
      <c r="G15" s="13" t="n">
        <v>152</v>
      </c>
      <c r="H15" s="13" t="n">
        <v>42</v>
      </c>
    </row>
    <row r="16">
      <c r="A16" s="15" t="inlineStr">
        <is>
          <t>B1 (0–500 m)</t>
        </is>
      </c>
      <c r="B16" s="15" t="inlineStr">
        <is>
          <t>DS2024 (reference)</t>
        </is>
      </c>
      <c r="C16" s="13" t="n">
        <v>0</v>
      </c>
      <c r="D16" s="13" t="n"/>
      <c r="E16" s="13" t="n"/>
      <c r="F16" s="20" t="n"/>
      <c r="G16" s="13" t="n">
        <v>152</v>
      </c>
      <c r="H16" s="13" t="n">
        <v>42</v>
      </c>
    </row>
    <row r="17">
      <c r="A17" s="15" t="inlineStr">
        <is>
          <t>B1 (0–500 m)</t>
        </is>
      </c>
      <c r="B17" s="15" t="inlineStr">
        <is>
          <t>Event study DS2025</t>
        </is>
      </c>
      <c r="C17" s="13" t="n">
        <v>5.07</v>
      </c>
      <c r="D17" s="13" t="n">
        <v>-0.07000000000000001</v>
      </c>
      <c r="E17" s="13" t="n">
        <v>10.2</v>
      </c>
      <c r="F17" s="20" t="n">
        <v>0.0531</v>
      </c>
      <c r="G17" s="13" t="n">
        <v>152</v>
      </c>
      <c r="H17" s="13" t="n">
        <v>42</v>
      </c>
    </row>
    <row r="18">
      <c r="A18" s="15" t="inlineStr">
        <is>
          <t>B1 (0–500 m)</t>
        </is>
      </c>
      <c r="B18" s="15" t="inlineStr">
        <is>
          <t>Event study DS2026</t>
        </is>
      </c>
      <c r="C18" s="13" t="n">
        <v>12.12</v>
      </c>
      <c r="D18" s="13" t="n">
        <v>6.54</v>
      </c>
      <c r="E18" s="13" t="n">
        <v>17.7</v>
      </c>
      <c r="F18" s="20" t="n">
        <v>0</v>
      </c>
      <c r="G18" s="13" t="n">
        <v>152</v>
      </c>
      <c r="H18" s="13" t="n">
        <v>42</v>
      </c>
    </row>
    <row r="19">
      <c r="A19" s="5" t="inlineStr">
        <is>
          <t>B1 (0–500 m)</t>
        </is>
      </c>
      <c r="B19" s="5" t="inlineStr">
        <is>
          <t>Pooled DiD (post = DS2025–26)</t>
        </is>
      </c>
      <c r="C19" s="5" t="n">
        <v>11.69</v>
      </c>
      <c r="D19" s="5" t="n">
        <v>8.01</v>
      </c>
      <c r="E19" s="5" t="n">
        <v>15.38</v>
      </c>
      <c r="F19" s="21" t="n">
        <v>0</v>
      </c>
      <c r="G19" s="5" t="n">
        <v>152</v>
      </c>
      <c r="H19" s="5" t="n">
        <v>42</v>
      </c>
    </row>
    <row r="21">
      <c r="A21" s="15" t="inlineStr">
        <is>
          <t>B2 (500 m–1 km)</t>
        </is>
      </c>
      <c r="B21" s="15" t="inlineStr">
        <is>
          <t>Event study DS2021</t>
        </is>
      </c>
      <c r="C21" s="13" t="n">
        <v>-7.38</v>
      </c>
      <c r="D21" s="13" t="n">
        <v>-11.16</v>
      </c>
      <c r="E21" s="13" t="n">
        <v>-3.61</v>
      </c>
      <c r="F21" s="20" t="n">
        <v>0.0001</v>
      </c>
      <c r="G21" s="13" t="n">
        <v>151</v>
      </c>
      <c r="H21" s="13" t="n">
        <v>42</v>
      </c>
    </row>
    <row r="22">
      <c r="A22" s="15" t="inlineStr">
        <is>
          <t>B2 (500 m–1 km)</t>
        </is>
      </c>
      <c r="B22" s="15" t="inlineStr">
        <is>
          <t>Event study DS2022</t>
        </is>
      </c>
      <c r="C22" s="13" t="n">
        <v>-3.15</v>
      </c>
      <c r="D22" s="13" t="n">
        <v>-8.449999999999999</v>
      </c>
      <c r="E22" s="13" t="n">
        <v>2.15</v>
      </c>
      <c r="F22" s="20" t="n">
        <v>0.2443</v>
      </c>
      <c r="G22" s="13" t="n">
        <v>151</v>
      </c>
      <c r="H22" s="13" t="n">
        <v>42</v>
      </c>
    </row>
    <row r="23">
      <c r="A23" s="15" t="inlineStr">
        <is>
          <t>B2 (500 m–1 km)</t>
        </is>
      </c>
      <c r="B23" s="15" t="inlineStr">
        <is>
          <t>Event study DS2023</t>
        </is>
      </c>
      <c r="C23" s="13" t="n">
        <v>-1.57</v>
      </c>
      <c r="D23" s="13" t="n">
        <v>-6.96</v>
      </c>
      <c r="E23" s="13" t="n">
        <v>3.83</v>
      </c>
      <c r="F23" s="20" t="n">
        <v>0.5696</v>
      </c>
      <c r="G23" s="13" t="n">
        <v>151</v>
      </c>
      <c r="H23" s="13" t="n">
        <v>42</v>
      </c>
    </row>
    <row r="24">
      <c r="A24" s="15" t="inlineStr">
        <is>
          <t>B2 (500 m–1 km)</t>
        </is>
      </c>
      <c r="B24" s="15" t="inlineStr">
        <is>
          <t>DS2024 (reference)</t>
        </is>
      </c>
      <c r="C24" s="13" t="n">
        <v>0</v>
      </c>
      <c r="D24" s="13" t="n"/>
      <c r="E24" s="13" t="n"/>
      <c r="F24" s="20" t="n"/>
      <c r="G24" s="13" t="n">
        <v>151</v>
      </c>
      <c r="H24" s="13" t="n">
        <v>42</v>
      </c>
    </row>
    <row r="25">
      <c r="A25" s="15" t="inlineStr">
        <is>
          <t>B2 (500 m–1 km)</t>
        </is>
      </c>
      <c r="B25" s="15" t="inlineStr">
        <is>
          <t>Event study DS2025</t>
        </is>
      </c>
      <c r="C25" s="13" t="n">
        <v>3.15</v>
      </c>
      <c r="D25" s="13" t="n">
        <v>-2.87</v>
      </c>
      <c r="E25" s="13" t="n">
        <v>9.16</v>
      </c>
      <c r="F25" s="20" t="n">
        <v>0.3051</v>
      </c>
      <c r="G25" s="13" t="n">
        <v>151</v>
      </c>
      <c r="H25" s="13" t="n">
        <v>42</v>
      </c>
    </row>
    <row r="26">
      <c r="A26" s="15" t="inlineStr">
        <is>
          <t>B2 (500 m–1 km)</t>
        </is>
      </c>
      <c r="B26" s="15" t="inlineStr">
        <is>
          <t>Event study DS2026</t>
        </is>
      </c>
      <c r="C26" s="13" t="n">
        <v>5.76</v>
      </c>
      <c r="D26" s="13" t="n">
        <v>-0.43</v>
      </c>
      <c r="E26" s="13" t="n">
        <v>11.94</v>
      </c>
      <c r="F26" s="20" t="n">
        <v>0.06809999999999999</v>
      </c>
      <c r="G26" s="13" t="n">
        <v>151</v>
      </c>
      <c r="H26" s="13" t="n">
        <v>42</v>
      </c>
    </row>
    <row r="27">
      <c r="A27" s="5" t="inlineStr">
        <is>
          <t>B2 (500 m–1 km)</t>
        </is>
      </c>
      <c r="B27" s="5" t="inlineStr">
        <is>
          <t>Pooled DiD (post = DS2025–26)</t>
        </is>
      </c>
      <c r="C27" s="5" t="n">
        <v>6.23</v>
      </c>
      <c r="D27" s="5" t="n">
        <v>3.16</v>
      </c>
      <c r="E27" s="5" t="n">
        <v>9.289999999999999</v>
      </c>
      <c r="F27" s="21" t="n">
        <v>0.0001</v>
      </c>
      <c r="G27" s="5" t="n">
        <v>151</v>
      </c>
      <c r="H27" s="5" t="n">
        <v>42</v>
      </c>
    </row>
    <row r="29">
      <c r="A29" s="15" t="inlineStr">
        <is>
          <t>B3 (1–5 km)</t>
        </is>
      </c>
      <c r="B29" s="15" t="inlineStr">
        <is>
          <t>Event study DS2021</t>
        </is>
      </c>
      <c r="C29" s="13" t="n">
        <v>-1.41</v>
      </c>
      <c r="D29" s="13" t="n">
        <v>-4.09</v>
      </c>
      <c r="E29" s="13" t="n">
        <v>1.27</v>
      </c>
      <c r="F29" s="20" t="n">
        <v>0.302</v>
      </c>
      <c r="G29" s="13" t="n">
        <v>157</v>
      </c>
      <c r="H29" s="13" t="n">
        <v>47</v>
      </c>
    </row>
    <row r="30">
      <c r="A30" s="15" t="inlineStr">
        <is>
          <t>B3 (1–5 km)</t>
        </is>
      </c>
      <c r="B30" s="15" t="inlineStr">
        <is>
          <t>Event study DS2022</t>
        </is>
      </c>
      <c r="C30" s="13" t="n">
        <v>13.19</v>
      </c>
      <c r="D30" s="13" t="n">
        <v>9.380000000000001</v>
      </c>
      <c r="E30" s="13" t="n">
        <v>17.01</v>
      </c>
      <c r="F30" s="20" t="n">
        <v>0</v>
      </c>
      <c r="G30" s="13" t="n">
        <v>157</v>
      </c>
      <c r="H30" s="13" t="n">
        <v>47</v>
      </c>
    </row>
    <row r="31">
      <c r="A31" s="15" t="inlineStr">
        <is>
          <t>B3 (1–5 km)</t>
        </is>
      </c>
      <c r="B31" s="15" t="inlineStr">
        <is>
          <t>Event study DS2023</t>
        </is>
      </c>
      <c r="C31" s="13" t="n">
        <v>15.16</v>
      </c>
      <c r="D31" s="13" t="n">
        <v>11.42</v>
      </c>
      <c r="E31" s="13" t="n">
        <v>18.89</v>
      </c>
      <c r="F31" s="20" t="n">
        <v>0</v>
      </c>
      <c r="G31" s="13" t="n">
        <v>157</v>
      </c>
      <c r="H31" s="13" t="n">
        <v>47</v>
      </c>
    </row>
    <row r="32">
      <c r="A32" s="15" t="inlineStr">
        <is>
          <t>B3 (1–5 km)</t>
        </is>
      </c>
      <c r="B32" s="15" t="inlineStr">
        <is>
          <t>DS2024 (reference)</t>
        </is>
      </c>
      <c r="C32" s="13" t="n">
        <v>0</v>
      </c>
      <c r="D32" s="13" t="n"/>
      <c r="E32" s="13" t="n"/>
      <c r="F32" s="20" t="n"/>
      <c r="G32" s="13" t="n">
        <v>157</v>
      </c>
      <c r="H32" s="13" t="n">
        <v>47</v>
      </c>
    </row>
    <row r="33">
      <c r="A33" s="15" t="inlineStr">
        <is>
          <t>B3 (1–5 km)</t>
        </is>
      </c>
      <c r="B33" s="15" t="inlineStr">
        <is>
          <t>Event study DS2025</t>
        </is>
      </c>
      <c r="C33" s="13" t="n">
        <v>17.07</v>
      </c>
      <c r="D33" s="13" t="n">
        <v>13.27</v>
      </c>
      <c r="E33" s="13" t="n">
        <v>20.87</v>
      </c>
      <c r="F33" s="20" t="n">
        <v>0</v>
      </c>
      <c r="G33" s="13" t="n">
        <v>157</v>
      </c>
      <c r="H33" s="13" t="n">
        <v>47</v>
      </c>
    </row>
    <row r="34">
      <c r="A34" s="15" t="inlineStr">
        <is>
          <t>B3 (1–5 km)</t>
        </is>
      </c>
      <c r="B34" s="15" t="inlineStr">
        <is>
          <t>Event study DS2026</t>
        </is>
      </c>
      <c r="C34" s="13" t="n">
        <v>19.07</v>
      </c>
      <c r="D34" s="13" t="n">
        <v>15.42</v>
      </c>
      <c r="E34" s="13" t="n">
        <v>22.72</v>
      </c>
      <c r="F34" s="20" t="n">
        <v>0</v>
      </c>
      <c r="G34" s="13" t="n">
        <v>157</v>
      </c>
      <c r="H34" s="13" t="n">
        <v>47</v>
      </c>
    </row>
    <row r="35">
      <c r="A35" s="5" t="inlineStr">
        <is>
          <t>B3 (1–5 km)</t>
        </is>
      </c>
      <c r="B35" s="5" t="inlineStr">
        <is>
          <t>Pooled DiD (post = DS2025–26)</t>
        </is>
      </c>
      <c r="C35" s="5" t="n">
        <v>6.93</v>
      </c>
      <c r="D35" s="5" t="n">
        <v>5.21</v>
      </c>
      <c r="E35" s="5" t="n">
        <v>8.65</v>
      </c>
      <c r="F35" s="21" t="n">
        <v>0</v>
      </c>
      <c r="G35" s="5" t="n">
        <v>157</v>
      </c>
      <c r="H35" s="5" t="n">
        <v>47</v>
      </c>
    </row>
    <row r="37">
      <c r="A37" s="10" t="inlineStr">
        <is>
          <t>How to read: pre-construction coefficients (DS2021–DS2023) should be close to 0 if Section 1 and controls followed the same trend before March 2024. Values far from 0 mean Section 1 was already changing differently (pre-trend).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4" customWidth="1" min="3" max="3"/>
    <col width="14" customWidth="1" min="4" max="4"/>
    <col width="10" customWidth="1" min="5" max="5"/>
    <col width="14" customWidth="1" min="6" max="6"/>
    <col width="16" customWidth="1" min="7" max="7"/>
    <col width="10" customWidth="1" min="8" max="8"/>
  </cols>
  <sheetData>
    <row r="1">
      <c r="A1" s="18" t="inlineStr">
        <is>
          <t>Step 9 — Matching of control segments (covariate balance)</t>
        </is>
      </c>
    </row>
    <row r="2">
      <c r="A2" s="10" t="inlineStr">
        <is>
          <t>Method: 2 nearest control segments per Section 1 segment, Mahalanobis distance on 2020 vegetation and built-up shares, with replacement, caliper 0.5. Section 1 segments with no control within the caliper are dropped (common support).</t>
        </is>
      </c>
    </row>
    <row r="3">
      <c r="A3" s="10" t="inlineStr">
        <is>
          <t>Result: 22 of 47 Section 1 segments matched to 21 distinct control segments. SMD = standardised mean difference; |SMD| &lt; 0.25 = acceptable balance (Stuart, 2010).</t>
        </is>
      </c>
    </row>
    <row r="5" ht="45" customHeight="1">
      <c r="A5" s="22" t="inlineStr">
        <is>
          <t>Covariate (2020 baseline)</t>
        </is>
      </c>
      <c r="B5" s="22" t="inlineStr">
        <is>
          <t>Used in matching</t>
        </is>
      </c>
      <c r="C5" s="22" t="inlineStr">
        <is>
          <t>Section 1 mean (all 47)</t>
        </is>
      </c>
      <c r="D5" s="22" t="inlineStr">
        <is>
          <t>Control mean (all 110)</t>
        </is>
      </c>
      <c r="E5" s="22" t="inlineStr">
        <is>
          <t>SMD before</t>
        </is>
      </c>
      <c r="F5" s="22" t="inlineStr">
        <is>
          <t>Section 1 mean (matched)</t>
        </is>
      </c>
      <c r="G5" s="22" t="inlineStr">
        <is>
          <t>Control mean (matched, weighted)</t>
        </is>
      </c>
      <c r="H5" s="22" t="inlineStr">
        <is>
          <t>SMD after</t>
        </is>
      </c>
    </row>
    <row r="6">
      <c r="A6" s="15" t="inlineStr">
        <is>
          <t>Vegetation share 2020</t>
        </is>
      </c>
      <c r="B6" s="15" t="inlineStr">
        <is>
          <t>Yes</t>
        </is>
      </c>
      <c r="C6" s="25" t="n">
        <v>0.3963234376010294</v>
      </c>
      <c r="D6" s="25" t="n">
        <v>0.6709824891804136</v>
      </c>
      <c r="E6" s="26" t="n">
        <v>-1.358259087672073</v>
      </c>
      <c r="F6" s="25" t="n">
        <v>0.6103543635664832</v>
      </c>
      <c r="G6" s="25" t="n">
        <v>0.6165316694569088</v>
      </c>
      <c r="H6" s="27" t="n">
        <v>-0.0305483537307555</v>
      </c>
    </row>
    <row r="7">
      <c r="A7" s="15" t="inlineStr">
        <is>
          <t>Built-up share 2020</t>
        </is>
      </c>
      <c r="B7" s="15" t="inlineStr">
        <is>
          <t>Yes</t>
        </is>
      </c>
      <c r="C7" s="25" t="n">
        <v>0.4944295908454431</v>
      </c>
      <c r="D7" s="25" t="n">
        <v>0.1281313692897257</v>
      </c>
      <c r="E7" s="26" t="n">
        <v>1.911964577625112</v>
      </c>
      <c r="F7" s="25" t="n">
        <v>0.2958024156467026</v>
      </c>
      <c r="G7" s="25" t="n">
        <v>0.2844812420553444</v>
      </c>
      <c r="H7" s="27" t="n">
        <v>0.0590930602717361</v>
      </c>
    </row>
    <row r="8">
      <c r="A8" s="15" t="inlineStr">
        <is>
          <t>Bare/sand share 2020</t>
        </is>
      </c>
      <c r="B8" s="15" t="inlineStr">
        <is>
          <t>No</t>
        </is>
      </c>
      <c r="C8" s="25" t="n">
        <v>0.1092469715535275</v>
      </c>
      <c r="D8" s="25" t="n">
        <v>0.2008861415298604</v>
      </c>
      <c r="E8" s="26" t="n">
        <v>-1.059190675912394</v>
      </c>
      <c r="F8" s="25" t="n">
        <v>0.0938432207868141</v>
      </c>
      <c r="G8" s="25" t="n">
        <v>0.09898708848774659</v>
      </c>
      <c r="H8" s="27" t="n">
        <v>-0.0594542345632512</v>
      </c>
    </row>
    <row r="9">
      <c r="A9" s="15" t="inlineStr">
        <is>
          <t>Water share of cell</t>
        </is>
      </c>
      <c r="B9" s="15" t="inlineStr">
        <is>
          <t>No</t>
        </is>
      </c>
      <c r="C9" s="25" t="n">
        <v>0.4783634495635842</v>
      </c>
      <c r="D9" s="25" t="n">
        <v>0.5055037806313651</v>
      </c>
      <c r="E9" s="27" t="n">
        <v>-0.2326818701347286</v>
      </c>
      <c r="F9" s="25" t="n">
        <v>0.4755410063345366</v>
      </c>
      <c r="G9" s="25" t="n">
        <v>0.5446202048296936</v>
      </c>
      <c r="H9" s="26" t="n">
        <v>-0.5922358519915983</v>
      </c>
    </row>
    <row r="10">
      <c r="A10" s="15" t="inlineStr">
        <is>
          <t>Mean elevation (m)</t>
        </is>
      </c>
      <c r="B10" s="15" t="inlineStr">
        <is>
          <t>No</t>
        </is>
      </c>
      <c r="C10" s="25" t="n">
        <v>3.880534569370159</v>
      </c>
      <c r="D10" s="25" t="n">
        <v>3.35793908028341</v>
      </c>
      <c r="E10" s="26" t="n">
        <v>0.3892132995875431</v>
      </c>
      <c r="F10" s="25" t="n">
        <v>4.683438865178172</v>
      </c>
      <c r="G10" s="25" t="n">
        <v>2.891983455889115</v>
      </c>
      <c r="H10" s="26" t="n">
        <v>1.334221755591166</v>
      </c>
    </row>
    <row r="11">
      <c r="A11" s="15" t="inlineStr">
        <is>
          <t>Distance to Lagos Island CBD (km)</t>
        </is>
      </c>
      <c r="B11" s="15" t="inlineStr">
        <is>
          <t>No</t>
        </is>
      </c>
      <c r="C11" s="25" t="n">
        <v>27.78686003437699</v>
      </c>
      <c r="D11" s="25" t="n">
        <v>64.0280260718213</v>
      </c>
      <c r="E11" s="26" t="n">
        <v>-1.520806356271956</v>
      </c>
      <c r="F11" s="25" t="n">
        <v>38.97243928347279</v>
      </c>
      <c r="G11" s="25" t="n">
        <v>33.44531550319278</v>
      </c>
      <c r="H11" s="27" t="n">
        <v>0.2319374870076469</v>
      </c>
    </row>
    <row r="13" ht="45" customHeight="1">
      <c r="A13" s="28" t="inlineStr">
        <is>
          <t>Interpretation: matching removes the large urbanisation imbalance (vegetation SMD −1.36 → −0.03; built-up +1.91 → +0.06). Matched Section 1 segments are the less urbanised, eastern part of the corridor. Elevation and water share remain imbalanced; specification C in "DiD results" adjusts for these baseline differences.</t>
        </is>
      </c>
    </row>
  </sheetData>
  <mergeCells count="1">
    <mergeCell ref="A13:H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0" customWidth="1" min="3" max="3"/>
  </cols>
  <sheetData>
    <row r="1">
      <c r="A1" s="22" t="inlineStr">
        <is>
          <t>Section 1 segment</t>
        </is>
      </c>
      <c r="B1" s="22" t="inlineStr">
        <is>
          <t>Matched control segment</t>
        </is>
      </c>
      <c r="C1" s="22" t="inlineStr">
        <is>
          <t>Mahalanobis distance</t>
        </is>
      </c>
    </row>
    <row r="2">
      <c r="A2" s="15" t="inlineStr">
        <is>
          <t>T01</t>
        </is>
      </c>
      <c r="B2" s="15" t="inlineStr">
        <is>
          <t>(no match within caliper)</t>
        </is>
      </c>
      <c r="C2" s="29" t="n">
        <v>1.479</v>
      </c>
    </row>
    <row r="3">
      <c r="A3" s="15" t="inlineStr">
        <is>
          <t>T02</t>
        </is>
      </c>
      <c r="B3" s="15" t="inlineStr">
        <is>
          <t>(no match within caliper)</t>
        </is>
      </c>
      <c r="C3" s="29" t="n">
        <v>0.833</v>
      </c>
    </row>
    <row r="4">
      <c r="A4" s="15" t="inlineStr">
        <is>
          <t>T03</t>
        </is>
      </c>
      <c r="B4" s="15" t="inlineStr">
        <is>
          <t>(no match within caliper)</t>
        </is>
      </c>
      <c r="C4" s="29" t="n">
        <v>1.046</v>
      </c>
    </row>
    <row r="5">
      <c r="A5" s="15" t="inlineStr">
        <is>
          <t>T04</t>
        </is>
      </c>
      <c r="B5" s="15" t="inlineStr">
        <is>
          <t>(no match within caliper)</t>
        </is>
      </c>
      <c r="C5" s="29" t="n">
        <v>0.8129999999999999</v>
      </c>
    </row>
    <row r="6">
      <c r="A6" s="15" t="inlineStr">
        <is>
          <t>T05</t>
        </is>
      </c>
      <c r="B6" s="15" t="inlineStr">
        <is>
          <t>(no match within caliper)</t>
        </is>
      </c>
      <c r="C6" s="29" t="n">
        <v>0.977</v>
      </c>
    </row>
    <row r="7">
      <c r="A7" s="15" t="inlineStr">
        <is>
          <t>T06</t>
        </is>
      </c>
      <c r="B7" s="15" t="inlineStr">
        <is>
          <t>(no match within caliper)</t>
        </is>
      </c>
      <c r="C7" s="29" t="n">
        <v>0.9</v>
      </c>
    </row>
    <row r="8">
      <c r="A8" s="15" t="inlineStr">
        <is>
          <t>T07</t>
        </is>
      </c>
      <c r="B8" s="15" t="inlineStr">
        <is>
          <t>(no match within caliper)</t>
        </is>
      </c>
      <c r="C8" s="29" t="n">
        <v>1.291</v>
      </c>
    </row>
    <row r="9">
      <c r="A9" s="15" t="inlineStr">
        <is>
          <t>T08</t>
        </is>
      </c>
      <c r="B9" s="15" t="inlineStr">
        <is>
          <t>(no match within caliper)</t>
        </is>
      </c>
      <c r="C9" s="29" t="n">
        <v>1.314</v>
      </c>
    </row>
    <row r="10">
      <c r="A10" s="15" t="inlineStr">
        <is>
          <t>T09</t>
        </is>
      </c>
      <c r="B10" s="15" t="inlineStr">
        <is>
          <t>(no match within caliper)</t>
        </is>
      </c>
      <c r="C10" s="29" t="n">
        <v>1.425</v>
      </c>
    </row>
    <row r="11">
      <c r="A11" s="15" t="inlineStr">
        <is>
          <t>T10</t>
        </is>
      </c>
      <c r="B11" s="15" t="inlineStr">
        <is>
          <t>(no match within caliper)</t>
        </is>
      </c>
      <c r="C11" s="29" t="n">
        <v>1.281</v>
      </c>
    </row>
    <row r="12">
      <c r="A12" s="15" t="inlineStr">
        <is>
          <t>T11</t>
        </is>
      </c>
      <c r="B12" s="15" t="inlineStr">
        <is>
          <t>(no match within caliper)</t>
        </is>
      </c>
      <c r="C12" s="29" t="n">
        <v>0.886</v>
      </c>
    </row>
    <row r="13">
      <c r="A13" s="15" t="inlineStr">
        <is>
          <t>T12</t>
        </is>
      </c>
      <c r="B13" s="15" t="inlineStr">
        <is>
          <t>(no match within caliper)</t>
        </is>
      </c>
      <c r="C13" s="29" t="n">
        <v>0.911</v>
      </c>
    </row>
    <row r="14">
      <c r="A14" s="15" t="inlineStr">
        <is>
          <t>T13</t>
        </is>
      </c>
      <c r="B14" s="15" t="inlineStr">
        <is>
          <t>(no match within caliper)</t>
        </is>
      </c>
      <c r="C14" s="29" t="n">
        <v>1.116</v>
      </c>
    </row>
    <row r="15">
      <c r="A15" s="15" t="inlineStr">
        <is>
          <t>T14</t>
        </is>
      </c>
      <c r="B15" s="15" t="inlineStr">
        <is>
          <t>(no match within caliper)</t>
        </is>
      </c>
      <c r="C15" s="29" t="n">
        <v>0.944</v>
      </c>
    </row>
    <row r="16">
      <c r="A16" s="15" t="inlineStr">
        <is>
          <t>T15</t>
        </is>
      </c>
      <c r="B16" s="15" t="inlineStr">
        <is>
          <t>(no match within caliper)</t>
        </is>
      </c>
      <c r="C16" s="29" t="n">
        <v>0.487</v>
      </c>
    </row>
    <row r="17">
      <c r="A17" s="15" t="inlineStr">
        <is>
          <t>T16</t>
        </is>
      </c>
      <c r="B17" s="15" t="inlineStr">
        <is>
          <t>(no match within caliper)</t>
        </is>
      </c>
      <c r="C17" s="29" t="n">
        <v>0.591</v>
      </c>
    </row>
    <row r="18">
      <c r="A18" s="15" t="inlineStr">
        <is>
          <t>T17</t>
        </is>
      </c>
      <c r="B18" s="15" t="inlineStr">
        <is>
          <t>CW61</t>
        </is>
      </c>
      <c r="C18" s="29" t="n">
        <v>0.28</v>
      </c>
    </row>
    <row r="19">
      <c r="A19" s="15" t="inlineStr">
        <is>
          <t>T17</t>
        </is>
      </c>
      <c r="B19" s="15" t="inlineStr">
        <is>
          <t>CW62</t>
        </is>
      </c>
      <c r="C19" s="29" t="n">
        <v>0.343</v>
      </c>
    </row>
    <row r="20">
      <c r="A20" s="15" t="inlineStr">
        <is>
          <t>T18</t>
        </is>
      </c>
      <c r="B20" s="15" t="inlineStr">
        <is>
          <t>(no match within caliper)</t>
        </is>
      </c>
      <c r="C20" s="29" t="n">
        <v>0.175</v>
      </c>
    </row>
    <row r="21">
      <c r="A21" s="15" t="inlineStr">
        <is>
          <t>T19</t>
        </is>
      </c>
      <c r="B21" s="15" t="inlineStr">
        <is>
          <t>(no match within caliper)</t>
        </is>
      </c>
      <c r="C21" s="29" t="n">
        <v>0.5639999999999999</v>
      </c>
    </row>
    <row r="22">
      <c r="A22" s="15" t="inlineStr">
        <is>
          <t>T20</t>
        </is>
      </c>
      <c r="B22" s="15" t="inlineStr">
        <is>
          <t>(no match within caliper)</t>
        </is>
      </c>
      <c r="C22" s="29" t="n">
        <v>0.514</v>
      </c>
    </row>
    <row r="23">
      <c r="A23" s="15" t="inlineStr">
        <is>
          <t>T21</t>
        </is>
      </c>
      <c r="B23" s="15" t="inlineStr">
        <is>
          <t>(no match within caliper)</t>
        </is>
      </c>
      <c r="C23" s="29" t="n">
        <v>0.5620000000000001</v>
      </c>
    </row>
    <row r="24">
      <c r="A24" s="15" t="inlineStr">
        <is>
          <t>T22</t>
        </is>
      </c>
      <c r="B24" s="15" t="inlineStr">
        <is>
          <t>(no match within caliper)</t>
        </is>
      </c>
      <c r="C24" s="29" t="n">
        <v>0.632</v>
      </c>
    </row>
    <row r="25">
      <c r="A25" s="15" t="inlineStr">
        <is>
          <t>T23</t>
        </is>
      </c>
      <c r="B25" s="15" t="inlineStr">
        <is>
          <t>(no match within caliper)</t>
        </is>
      </c>
      <c r="C25" s="29" t="n">
        <v>0.593</v>
      </c>
    </row>
    <row r="26">
      <c r="A26" s="15" t="inlineStr">
        <is>
          <t>T24</t>
        </is>
      </c>
      <c r="B26" s="15" t="inlineStr">
        <is>
          <t>(no match within caliper)</t>
        </is>
      </c>
      <c r="C26" s="29" t="n">
        <v>0.6</v>
      </c>
    </row>
    <row r="27">
      <c r="A27" s="15" t="inlineStr">
        <is>
          <t>T25</t>
        </is>
      </c>
      <c r="B27" s="15" t="inlineStr">
        <is>
          <t>CW57</t>
        </is>
      </c>
      <c r="C27" s="29" t="n">
        <v>0.206</v>
      </c>
    </row>
    <row r="28">
      <c r="A28" s="15" t="inlineStr">
        <is>
          <t>T25</t>
        </is>
      </c>
      <c r="B28" s="15" t="inlineStr">
        <is>
          <t>CW59</t>
        </is>
      </c>
      <c r="C28" s="29" t="n">
        <v>0.415</v>
      </c>
    </row>
    <row r="29">
      <c r="A29" s="15" t="inlineStr">
        <is>
          <t>T26</t>
        </is>
      </c>
      <c r="B29" s="15" t="inlineStr">
        <is>
          <t>CW37</t>
        </is>
      </c>
      <c r="C29" s="29" t="n">
        <v>0.125</v>
      </c>
    </row>
    <row r="30">
      <c r="A30" s="15" t="inlineStr">
        <is>
          <t>T26</t>
        </is>
      </c>
      <c r="B30" s="15" t="inlineStr">
        <is>
          <t>CW34</t>
        </is>
      </c>
      <c r="C30" s="29" t="n">
        <v>0.155</v>
      </c>
    </row>
    <row r="31">
      <c r="A31" s="15" t="inlineStr">
        <is>
          <t>T27</t>
        </is>
      </c>
      <c r="B31" s="15" t="inlineStr">
        <is>
          <t>CW59</t>
        </is>
      </c>
      <c r="C31" s="29" t="n">
        <v>0.315</v>
      </c>
    </row>
    <row r="32">
      <c r="A32" s="15" t="inlineStr">
        <is>
          <t>T27</t>
        </is>
      </c>
      <c r="B32" s="15" t="inlineStr">
        <is>
          <t>CW57</t>
        </is>
      </c>
      <c r="C32" s="29" t="n">
        <v>0.435</v>
      </c>
    </row>
    <row r="33">
      <c r="A33" s="15" t="inlineStr">
        <is>
          <t>T28</t>
        </is>
      </c>
      <c r="B33" s="15" t="inlineStr">
        <is>
          <t>CW57</t>
        </is>
      </c>
      <c r="C33" s="29" t="n">
        <v>0.201</v>
      </c>
    </row>
    <row r="34">
      <c r="A34" s="15" t="inlineStr">
        <is>
          <t>T28</t>
        </is>
      </c>
      <c r="B34" s="15" t="inlineStr">
        <is>
          <t>CW59</t>
        </is>
      </c>
      <c r="C34" s="29" t="n">
        <v>0.342</v>
      </c>
    </row>
    <row r="35">
      <c r="A35" s="15" t="inlineStr">
        <is>
          <t>T29</t>
        </is>
      </c>
      <c r="B35" s="15" t="inlineStr">
        <is>
          <t>CW59</t>
        </is>
      </c>
      <c r="C35" s="29" t="n">
        <v>0.163</v>
      </c>
    </row>
    <row r="36">
      <c r="A36" s="15" t="inlineStr">
        <is>
          <t>T29</t>
        </is>
      </c>
      <c r="B36" s="15" t="inlineStr">
        <is>
          <t>CW28</t>
        </is>
      </c>
      <c r="C36" s="29" t="n">
        <v>0.197</v>
      </c>
    </row>
    <row r="37">
      <c r="A37" s="15" t="inlineStr">
        <is>
          <t>T30</t>
        </is>
      </c>
      <c r="B37" s="15" t="inlineStr">
        <is>
          <t>CW24</t>
        </is>
      </c>
      <c r="C37" s="29" t="n">
        <v>0.218</v>
      </c>
    </row>
    <row r="38">
      <c r="A38" s="15" t="inlineStr">
        <is>
          <t>T30</t>
        </is>
      </c>
      <c r="B38" s="15" t="inlineStr">
        <is>
          <t>CW33</t>
        </is>
      </c>
      <c r="C38" s="29" t="n">
        <v>0.236</v>
      </c>
    </row>
    <row r="39">
      <c r="A39" s="15" t="inlineStr">
        <is>
          <t>T31</t>
        </is>
      </c>
      <c r="B39" s="15" t="inlineStr">
        <is>
          <t>CW60</t>
        </is>
      </c>
      <c r="C39" s="29" t="n">
        <v>0.078</v>
      </c>
    </row>
    <row r="40">
      <c r="A40" s="15" t="inlineStr">
        <is>
          <t>T31</t>
        </is>
      </c>
      <c r="B40" s="15" t="inlineStr">
        <is>
          <t>CW22</t>
        </is>
      </c>
      <c r="C40" s="29" t="n">
        <v>0.205</v>
      </c>
    </row>
    <row r="41">
      <c r="A41" s="15" t="inlineStr">
        <is>
          <t>T32</t>
        </is>
      </c>
      <c r="B41" s="15" t="inlineStr">
        <is>
          <t>(no match within caliper)</t>
        </is>
      </c>
      <c r="C41" s="29" t="n">
        <v>0.386</v>
      </c>
    </row>
    <row r="42">
      <c r="A42" s="15" t="inlineStr">
        <is>
          <t>T33</t>
        </is>
      </c>
      <c r="B42" s="15" t="inlineStr">
        <is>
          <t>(no match within caliper)</t>
        </is>
      </c>
      <c r="C42" s="29" t="n">
        <v>0.545</v>
      </c>
    </row>
    <row r="43">
      <c r="A43" s="15" t="inlineStr">
        <is>
          <t>T34</t>
        </is>
      </c>
      <c r="B43" s="15" t="inlineStr">
        <is>
          <t>CW60</t>
        </is>
      </c>
      <c r="C43" s="29" t="n">
        <v>0.179</v>
      </c>
    </row>
    <row r="44">
      <c r="A44" s="15" t="inlineStr">
        <is>
          <t>T34</t>
        </is>
      </c>
      <c r="B44" s="15" t="inlineStr">
        <is>
          <t>CW58</t>
        </is>
      </c>
      <c r="C44" s="29" t="n">
        <v>0.197</v>
      </c>
    </row>
    <row r="45">
      <c r="A45" s="15" t="inlineStr">
        <is>
          <t>T35</t>
        </is>
      </c>
      <c r="B45" s="15" t="inlineStr">
        <is>
          <t>CW57</t>
        </is>
      </c>
      <c r="C45" s="29" t="n">
        <v>0.147</v>
      </c>
    </row>
    <row r="46">
      <c r="A46" s="15" t="inlineStr">
        <is>
          <t>T35</t>
        </is>
      </c>
      <c r="B46" s="15" t="inlineStr">
        <is>
          <t>CW59</t>
        </is>
      </c>
      <c r="C46" s="29" t="n">
        <v>0.208</v>
      </c>
    </row>
    <row r="47">
      <c r="A47" s="15" t="inlineStr">
        <is>
          <t>T36</t>
        </is>
      </c>
      <c r="B47" s="15" t="inlineStr">
        <is>
          <t>CW25</t>
        </is>
      </c>
      <c r="C47" s="29" t="n">
        <v>0.06</v>
      </c>
    </row>
    <row r="48">
      <c r="A48" s="15" t="inlineStr">
        <is>
          <t>T36</t>
        </is>
      </c>
      <c r="B48" s="15" t="inlineStr">
        <is>
          <t>CW21</t>
        </is>
      </c>
      <c r="C48" s="29" t="n">
        <v>0.105</v>
      </c>
    </row>
    <row r="49">
      <c r="A49" s="15" t="inlineStr">
        <is>
          <t>T37</t>
        </is>
      </c>
      <c r="B49" s="15" t="inlineStr">
        <is>
          <t>CW30</t>
        </is>
      </c>
      <c r="C49" s="29" t="n">
        <v>0.139</v>
      </c>
    </row>
    <row r="50">
      <c r="A50" s="15" t="inlineStr">
        <is>
          <t>T37</t>
        </is>
      </c>
      <c r="B50" s="15" t="inlineStr">
        <is>
          <t>CW27</t>
        </is>
      </c>
      <c r="C50" s="29" t="n">
        <v>0.156</v>
      </c>
    </row>
    <row r="51">
      <c r="A51" s="15" t="inlineStr">
        <is>
          <t>T38</t>
        </is>
      </c>
      <c r="B51" s="15" t="inlineStr">
        <is>
          <t>CW57</t>
        </is>
      </c>
      <c r="C51" s="29" t="n">
        <v>0.297</v>
      </c>
    </row>
    <row r="52">
      <c r="A52" s="15" t="inlineStr">
        <is>
          <t>T38</t>
        </is>
      </c>
      <c r="B52" s="15" t="inlineStr">
        <is>
          <t>CW38</t>
        </is>
      </c>
      <c r="C52" s="29" t="n">
        <v>0.315</v>
      </c>
    </row>
    <row r="53">
      <c r="A53" s="15" t="inlineStr">
        <is>
          <t>T39</t>
        </is>
      </c>
      <c r="B53" s="15" t="inlineStr">
        <is>
          <t>CW57</t>
        </is>
      </c>
      <c r="C53" s="29" t="n">
        <v>0.162</v>
      </c>
    </row>
    <row r="54">
      <c r="A54" s="15" t="inlineStr">
        <is>
          <t>T39</t>
        </is>
      </c>
      <c r="B54" s="15" t="inlineStr">
        <is>
          <t>CW34</t>
        </is>
      </c>
      <c r="C54" s="29" t="n">
        <v>0.185</v>
      </c>
    </row>
    <row r="55">
      <c r="A55" s="15" t="inlineStr">
        <is>
          <t>T40</t>
        </is>
      </c>
      <c r="B55" s="15" t="inlineStr">
        <is>
          <t>CW01</t>
        </is>
      </c>
      <c r="C55" s="29" t="n">
        <v>0.15</v>
      </c>
    </row>
    <row r="56">
      <c r="A56" s="15" t="inlineStr">
        <is>
          <t>T40</t>
        </is>
      </c>
      <c r="B56" s="15" t="inlineStr">
        <is>
          <t>CW30</t>
        </is>
      </c>
      <c r="C56" s="29" t="n">
        <v>0.155</v>
      </c>
    </row>
    <row r="57">
      <c r="A57" s="15" t="inlineStr">
        <is>
          <t>T41</t>
        </is>
      </c>
      <c r="B57" s="15" t="inlineStr">
        <is>
          <t>CW16</t>
        </is>
      </c>
      <c r="C57" s="29" t="n">
        <v>0.283</v>
      </c>
    </row>
    <row r="58">
      <c r="A58" s="15" t="inlineStr">
        <is>
          <t>T41</t>
        </is>
      </c>
      <c r="B58" s="15" t="inlineStr">
        <is>
          <t>CW18</t>
        </is>
      </c>
      <c r="C58" s="29" t="n">
        <v>0.302</v>
      </c>
    </row>
    <row r="59">
      <c r="A59" s="15" t="inlineStr">
        <is>
          <t>T42</t>
        </is>
      </c>
      <c r="B59" s="15" t="inlineStr">
        <is>
          <t>CW59</t>
        </is>
      </c>
      <c r="C59" s="29" t="n">
        <v>0.238</v>
      </c>
    </row>
    <row r="60">
      <c r="A60" s="15" t="inlineStr">
        <is>
          <t>T42</t>
        </is>
      </c>
      <c r="B60" s="15" t="inlineStr">
        <is>
          <t>CW28</t>
        </is>
      </c>
      <c r="C60" s="29" t="n">
        <v>0.351</v>
      </c>
    </row>
    <row r="61">
      <c r="A61" s="15" t="inlineStr">
        <is>
          <t>T43</t>
        </is>
      </c>
      <c r="B61" s="15" t="inlineStr">
        <is>
          <t>CW59</t>
        </is>
      </c>
      <c r="C61" s="29" t="n">
        <v>0.139</v>
      </c>
    </row>
    <row r="62">
      <c r="A62" s="15" t="inlineStr">
        <is>
          <t>T43</t>
        </is>
      </c>
      <c r="B62" s="15" t="inlineStr">
        <is>
          <t>CW57</t>
        </is>
      </c>
      <c r="C62" s="29" t="n">
        <v>0.26</v>
      </c>
    </row>
    <row r="63">
      <c r="A63" s="15" t="inlineStr">
        <is>
          <t>T44</t>
        </is>
      </c>
      <c r="B63" s="15" t="inlineStr">
        <is>
          <t>CW59</t>
        </is>
      </c>
      <c r="C63" s="29" t="n">
        <v>0.199</v>
      </c>
    </row>
    <row r="64">
      <c r="A64" s="15" t="inlineStr">
        <is>
          <t>T44</t>
        </is>
      </c>
      <c r="B64" s="15" t="inlineStr">
        <is>
          <t>CW57</t>
        </is>
      </c>
      <c r="C64" s="29" t="n">
        <v>0.22</v>
      </c>
    </row>
    <row r="65">
      <c r="A65" s="15" t="inlineStr">
        <is>
          <t>T45</t>
        </is>
      </c>
      <c r="B65" s="15" t="inlineStr">
        <is>
          <t>CW34</t>
        </is>
      </c>
      <c r="C65" s="29" t="n">
        <v>0.158</v>
      </c>
    </row>
    <row r="66">
      <c r="A66" s="15" t="inlineStr">
        <is>
          <t>T45</t>
        </is>
      </c>
      <c r="B66" s="15" t="inlineStr">
        <is>
          <t>CW57</t>
        </is>
      </c>
      <c r="C66" s="29" t="n">
        <v>0.227</v>
      </c>
    </row>
    <row r="67">
      <c r="A67" s="15" t="inlineStr">
        <is>
          <t>T46</t>
        </is>
      </c>
      <c r="B67" s="15" t="inlineStr">
        <is>
          <t>CW33</t>
        </is>
      </c>
      <c r="C67" s="29" t="n">
        <v>0.126</v>
      </c>
    </row>
    <row r="68">
      <c r="A68" s="15" t="inlineStr">
        <is>
          <t>T46</t>
        </is>
      </c>
      <c r="B68" s="15" t="inlineStr">
        <is>
          <t>CW23</t>
        </is>
      </c>
      <c r="C68" s="29" t="n">
        <v>0.201</v>
      </c>
    </row>
    <row r="69">
      <c r="A69" s="15" t="inlineStr">
        <is>
          <t>T47</t>
        </is>
      </c>
      <c r="B69" s="15" t="inlineStr">
        <is>
          <t>CW34</t>
        </is>
      </c>
      <c r="C69" s="29" t="n">
        <v>0.021</v>
      </c>
    </row>
    <row r="70">
      <c r="A70" s="15" t="inlineStr">
        <is>
          <t>T47</t>
        </is>
      </c>
      <c r="B70" s="15" t="inlineStr">
        <is>
          <t>CW37</t>
        </is>
      </c>
      <c r="C70" s="29" t="n">
        <v>0.073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40" customWidth="1" min="3" max="3"/>
    <col width="12" customWidth="1" min="4" max="4"/>
    <col width="10" customWidth="1" min="5" max="5"/>
    <col width="10" customWidth="1" min="6" max="6"/>
    <col width="11" customWidth="1" min="7" max="7"/>
    <col width="12" customWidth="1" min="8" max="8"/>
    <col width="10" customWidth="1" min="9" max="9"/>
    <col width="10" customWidth="1" min="10" max="10"/>
  </cols>
  <sheetData>
    <row r="1">
      <c r="A1" s="18" t="inlineStr">
        <is>
          <t>Pooled difference-in-differences: extra % of 2020 vegetation lost in Section 1 after construction (DS2025–26 vs DS2021–24)</t>
        </is>
      </c>
    </row>
    <row r="2">
      <c r="A2" s="10" t="inlineStr">
        <is>
          <t>Unit and year fixed effects; standard errors clustered by 1 km segment; wild cluster bootstrap (Rademacher, 499 draws, null imposed) for the matched specification. Values computed in Python (statsmodels).</t>
        </is>
      </c>
    </row>
    <row r="4" ht="32" customHeight="1">
      <c r="A4" s="22" t="inlineStr">
        <is>
          <t>Zone</t>
        </is>
      </c>
      <c r="B4" s="22" t="inlineStr">
        <is>
          <t>Distance</t>
        </is>
      </c>
      <c r="C4" s="22" t="inlineStr">
        <is>
          <t>Specification</t>
        </is>
      </c>
      <c r="D4" s="22" t="inlineStr">
        <is>
          <t>Estimate (pp)</t>
        </is>
      </c>
      <c r="E4" s="22" t="inlineStr">
        <is>
          <t>95% CI low</t>
        </is>
      </c>
      <c r="F4" s="22" t="inlineStr">
        <is>
          <t>95% CI high</t>
        </is>
      </c>
      <c r="G4" s="22" t="inlineStr">
        <is>
          <t>p (clustered)</t>
        </is>
      </c>
      <c r="H4" s="22" t="inlineStr">
        <is>
          <t>p (wild bootstrap)</t>
        </is>
      </c>
      <c r="I4" s="22" t="inlineStr">
        <is>
          <t>Section 1 units</t>
        </is>
      </c>
      <c r="J4" s="22" t="inlineStr">
        <is>
          <t>Control units</t>
        </is>
      </c>
    </row>
    <row r="5">
      <c r="A5" s="15" t="inlineStr">
        <is>
          <t>F</t>
        </is>
      </c>
      <c r="B5" s="15" t="inlineStr">
        <is>
          <t>Footprint</t>
        </is>
      </c>
      <c r="C5" s="15" t="inlineStr">
        <is>
          <t>A: Unmatched (all segments)</t>
        </is>
      </c>
      <c r="D5" s="24" t="n">
        <v>62.50311983974058</v>
      </c>
      <c r="E5" s="24" t="n">
        <v>53.75331786663162</v>
      </c>
      <c r="F5" s="24" t="n">
        <v>71.25292181284954</v>
      </c>
      <c r="G5" s="29" t="n">
        <v>1.542161200236582e-44</v>
      </c>
      <c r="H5" s="29" t="n"/>
      <c r="I5" s="15" t="n">
        <v>34</v>
      </c>
      <c r="J5" s="15" t="n">
        <v>85</v>
      </c>
    </row>
    <row r="6">
      <c r="A6" s="5" t="inlineStr">
        <is>
          <t>F</t>
        </is>
      </c>
      <c r="B6" s="5" t="inlineStr">
        <is>
          <t>Footprint</t>
        </is>
      </c>
      <c r="C6" s="5" t="inlineStr">
        <is>
          <t>B: Matched (common support)</t>
        </is>
      </c>
      <c r="D6" s="30" t="n">
        <v>64.3978582450145</v>
      </c>
      <c r="E6" s="30" t="n">
        <v>50.52616393815027</v>
      </c>
      <c r="F6" s="30" t="n">
        <v>78.26955255187875</v>
      </c>
      <c r="G6" s="31" t="n">
        <v>9.123172550698053e-20</v>
      </c>
      <c r="H6" s="31" t="n">
        <v>0.002</v>
      </c>
      <c r="I6" s="5" t="n">
        <v>21</v>
      </c>
      <c r="J6" s="5" t="n">
        <v>13</v>
      </c>
    </row>
    <row r="7">
      <c r="A7" s="15" t="inlineStr">
        <is>
          <t>F</t>
        </is>
      </c>
      <c r="B7" s="15" t="inlineStr">
        <is>
          <t>Footprint</t>
        </is>
      </c>
      <c r="C7" s="15" t="inlineStr">
        <is>
          <t>C: All segments + baseline covariate trends</t>
        </is>
      </c>
      <c r="D7" s="24" t="n">
        <v>63.56026824623376</v>
      </c>
      <c r="E7" s="24" t="n">
        <v>43.35244610014293</v>
      </c>
      <c r="F7" s="24" t="n">
        <v>83.76809039232458</v>
      </c>
      <c r="G7" s="29" t="n">
        <v>7.06019779902829e-10</v>
      </c>
      <c r="H7" s="29" t="n"/>
      <c r="I7" s="15" t="n">
        <v>34</v>
      </c>
      <c r="J7" s="15" t="n">
        <v>85</v>
      </c>
    </row>
    <row r="8">
      <c r="A8" s="15" t="inlineStr">
        <is>
          <t>B1</t>
        </is>
      </c>
      <c r="B8" s="15" t="inlineStr">
        <is>
          <t>0–500 m</t>
        </is>
      </c>
      <c r="C8" s="15" t="inlineStr">
        <is>
          <t>A: Unmatched (all segments)</t>
        </is>
      </c>
      <c r="D8" s="24" t="n">
        <v>11.69488622616206</v>
      </c>
      <c r="E8" s="24" t="n">
        <v>8.010280713529898</v>
      </c>
      <c r="F8" s="24" t="n">
        <v>15.37949173879423</v>
      </c>
      <c r="G8" s="29" t="n">
        <v>4.943168198841631e-10</v>
      </c>
      <c r="H8" s="29" t="n"/>
      <c r="I8" s="15" t="n">
        <v>42</v>
      </c>
      <c r="J8" s="15" t="n">
        <v>110</v>
      </c>
    </row>
    <row r="9">
      <c r="A9" s="5" t="inlineStr">
        <is>
          <t>B1</t>
        </is>
      </c>
      <c r="B9" s="5" t="inlineStr">
        <is>
          <t>0–500 m</t>
        </is>
      </c>
      <c r="C9" s="5" t="inlineStr">
        <is>
          <t>B: Matched (common support)</t>
        </is>
      </c>
      <c r="D9" s="30" t="n">
        <v>6.547130040815039</v>
      </c>
      <c r="E9" s="30" t="n">
        <v>2.357515680659491</v>
      </c>
      <c r="F9" s="30" t="n">
        <v>10.73674440097059</v>
      </c>
      <c r="G9" s="31" t="n">
        <v>0.0021924364341317</v>
      </c>
      <c r="H9" s="31" t="n">
        <v>0.004</v>
      </c>
      <c r="I9" s="5" t="n">
        <v>22</v>
      </c>
      <c r="J9" s="5" t="n">
        <v>21</v>
      </c>
    </row>
    <row r="10">
      <c r="A10" s="15" t="inlineStr">
        <is>
          <t>B1</t>
        </is>
      </c>
      <c r="B10" s="15" t="inlineStr">
        <is>
          <t>0–500 m</t>
        </is>
      </c>
      <c r="C10" s="15" t="inlineStr">
        <is>
          <t>C: All segments + baseline covariate trends</t>
        </is>
      </c>
      <c r="D10" s="24" t="n">
        <v>8.955750164254107</v>
      </c>
      <c r="E10" s="24" t="n">
        <v>4.258751129985991</v>
      </c>
      <c r="F10" s="24" t="n">
        <v>13.65274919852222</v>
      </c>
      <c r="G10" s="29" t="n">
        <v>0.0001861875698347</v>
      </c>
      <c r="H10" s="29" t="n"/>
      <c r="I10" s="15" t="n">
        <v>42</v>
      </c>
      <c r="J10" s="15" t="n">
        <v>110</v>
      </c>
    </row>
    <row r="11">
      <c r="A11" s="15" t="inlineStr">
        <is>
          <t>B2</t>
        </is>
      </c>
      <c r="B11" s="15" t="inlineStr">
        <is>
          <t>500 m–1 km</t>
        </is>
      </c>
      <c r="C11" s="15" t="inlineStr">
        <is>
          <t>A: Unmatched (all segments)</t>
        </is>
      </c>
      <c r="D11" s="24" t="n">
        <v>6.225642986728888</v>
      </c>
      <c r="E11" s="24" t="n">
        <v>3.159044632226404</v>
      </c>
      <c r="F11" s="24" t="n">
        <v>9.292241341231373</v>
      </c>
      <c r="G11" s="29" t="n">
        <v>6.920183247529165e-05</v>
      </c>
      <c r="H11" s="29" t="n"/>
      <c r="I11" s="15" t="n">
        <v>42</v>
      </c>
      <c r="J11" s="15" t="n">
        <v>109</v>
      </c>
    </row>
    <row r="12">
      <c r="A12" s="5" t="inlineStr">
        <is>
          <t>B2</t>
        </is>
      </c>
      <c r="B12" s="5" t="inlineStr">
        <is>
          <t>500 m–1 km</t>
        </is>
      </c>
      <c r="C12" s="5" t="inlineStr">
        <is>
          <t>B: Matched (common support)</t>
        </is>
      </c>
      <c r="D12" s="30" t="n">
        <v>3.027476732108682</v>
      </c>
      <c r="E12" s="30" t="n">
        <v>-0.3967796069616485</v>
      </c>
      <c r="F12" s="30" t="n">
        <v>6.451733071179013</v>
      </c>
      <c r="G12" s="31" t="n">
        <v>0.08312115141928091</v>
      </c>
      <c r="H12" s="31" t="n">
        <v>0.068</v>
      </c>
      <c r="I12" s="5" t="n">
        <v>22</v>
      </c>
      <c r="J12" s="5" t="n">
        <v>20</v>
      </c>
    </row>
    <row r="13">
      <c r="A13" s="15" t="inlineStr">
        <is>
          <t>B2</t>
        </is>
      </c>
      <c r="B13" s="15" t="inlineStr">
        <is>
          <t>500 m–1 km</t>
        </is>
      </c>
      <c r="C13" s="15" t="inlineStr">
        <is>
          <t>C: All segments + baseline covariate trends</t>
        </is>
      </c>
      <c r="D13" s="24" t="n">
        <v>0.5805033191332958</v>
      </c>
      <c r="E13" s="24" t="n">
        <v>-3.952711766107521</v>
      </c>
      <c r="F13" s="24" t="n">
        <v>5.113718404374113</v>
      </c>
      <c r="G13" s="29" t="n">
        <v>0.8018262844764273</v>
      </c>
      <c r="H13" s="29" t="n"/>
      <c r="I13" s="15" t="n">
        <v>42</v>
      </c>
      <c r="J13" s="15" t="n">
        <v>109</v>
      </c>
    </row>
    <row r="14">
      <c r="A14" s="15" t="inlineStr">
        <is>
          <t>B3</t>
        </is>
      </c>
      <c r="B14" s="15" t="inlineStr">
        <is>
          <t>1–5 km</t>
        </is>
      </c>
      <c r="C14" s="15" t="inlineStr">
        <is>
          <t>A: Unmatched (all segments)</t>
        </is>
      </c>
      <c r="D14" s="24" t="n">
        <v>6.930192337708893</v>
      </c>
      <c r="E14" s="24" t="n">
        <v>5.207741630556812</v>
      </c>
      <c r="F14" s="24" t="n">
        <v>8.652643044860973</v>
      </c>
      <c r="G14" s="29" t="n">
        <v>3.124896088402192e-15</v>
      </c>
      <c r="H14" s="29" t="n"/>
      <c r="I14" s="15" t="n">
        <v>47</v>
      </c>
      <c r="J14" s="15" t="n">
        <v>110</v>
      </c>
    </row>
    <row r="15">
      <c r="A15" s="5" t="inlineStr">
        <is>
          <t>B3</t>
        </is>
      </c>
      <c r="B15" s="5" t="inlineStr">
        <is>
          <t>1–5 km</t>
        </is>
      </c>
      <c r="C15" s="5" t="inlineStr">
        <is>
          <t>B: Matched (common support)</t>
        </is>
      </c>
      <c r="D15" s="30" t="n">
        <v>1.046178035781187</v>
      </c>
      <c r="E15" s="30" t="n">
        <v>-2.026399239890143</v>
      </c>
      <c r="F15" s="30" t="n">
        <v>4.118755311452517</v>
      </c>
      <c r="G15" s="31" t="n">
        <v>0.5045513335739934</v>
      </c>
      <c r="H15" s="31" t="n">
        <v>0.48</v>
      </c>
      <c r="I15" s="5" t="n">
        <v>22</v>
      </c>
      <c r="J15" s="5" t="n">
        <v>21</v>
      </c>
    </row>
    <row r="16">
      <c r="A16" s="15" t="inlineStr">
        <is>
          <t>B3</t>
        </is>
      </c>
      <c r="B16" s="15" t="inlineStr">
        <is>
          <t>1–5 km</t>
        </is>
      </c>
      <c r="C16" s="15" t="inlineStr">
        <is>
          <t>C: All segments + baseline covariate trends</t>
        </is>
      </c>
      <c r="D16" s="24" t="n">
        <v>1.36759576645187</v>
      </c>
      <c r="E16" s="24" t="n">
        <v>-0.7274673910417846</v>
      </c>
      <c r="F16" s="24" t="n">
        <v>3.462658923945524</v>
      </c>
      <c r="G16" s="29" t="n">
        <v>0.2007537737291147</v>
      </c>
      <c r="H16" s="29" t="n"/>
      <c r="I16" s="15" t="n">
        <v>47</v>
      </c>
      <c r="J16" s="15" t="n">
        <v>110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8" t="inlineStr">
        <is>
          <t>Event study (matched sample): difference Section 1 − controls in % vegetation lost, relative to DS2024</t>
        </is>
      </c>
    </row>
    <row r="2">
      <c r="A2" s="10" t="inlineStr">
        <is>
          <t>Pre-construction values (2021–2023) should be near 0 if trends were parallel. Values in percentage points; 95% CI clustered by segment.</t>
        </is>
      </c>
    </row>
    <row r="4">
      <c r="A4" s="22" t="inlineStr">
        <is>
          <t>Year</t>
        </is>
      </c>
      <c r="B4" s="22" t="inlineStr">
        <is>
          <t>F est</t>
        </is>
      </c>
      <c r="C4" s="22" t="inlineStr">
        <is>
          <t>B1 est</t>
        </is>
      </c>
      <c r="D4" s="22" t="inlineStr">
        <is>
          <t>B2 est</t>
        </is>
      </c>
      <c r="E4" s="22" t="inlineStr">
        <is>
          <t>B3 est</t>
        </is>
      </c>
      <c r="F4" s="22" t="inlineStr">
        <is>
          <t>F low</t>
        </is>
      </c>
      <c r="G4" s="22" t="inlineStr">
        <is>
          <t>B1 low</t>
        </is>
      </c>
      <c r="H4" s="22" t="inlineStr">
        <is>
          <t>B2 low</t>
        </is>
      </c>
      <c r="I4" s="22" t="inlineStr">
        <is>
          <t>B3 low</t>
        </is>
      </c>
      <c r="J4" s="22" t="inlineStr">
        <is>
          <t>F high</t>
        </is>
      </c>
      <c r="K4" s="22" t="inlineStr">
        <is>
          <t>B1 high</t>
        </is>
      </c>
      <c r="L4" s="22" t="inlineStr">
        <is>
          <t>B2 high</t>
        </is>
      </c>
      <c r="M4" s="22" t="inlineStr">
        <is>
          <t>B3 high</t>
        </is>
      </c>
    </row>
    <row r="5">
      <c r="A5" s="15" t="n">
        <v>2021</v>
      </c>
      <c r="B5" s="24" t="n">
        <v>-10.41</v>
      </c>
      <c r="C5" s="24" t="n">
        <v>-8.34</v>
      </c>
      <c r="D5" s="24" t="n">
        <v>-3.14</v>
      </c>
      <c r="E5" s="24" t="n">
        <v>3.83</v>
      </c>
      <c r="F5" s="24" t="n">
        <v>-27.47</v>
      </c>
      <c r="G5" s="24" t="n">
        <v>-11.97</v>
      </c>
      <c r="H5" s="24" t="n">
        <v>-5.66</v>
      </c>
      <c r="I5" s="24" t="n">
        <v>-1.02</v>
      </c>
      <c r="J5" s="24" t="n">
        <v>6.64</v>
      </c>
      <c r="K5" s="24" t="n">
        <v>-4.7</v>
      </c>
      <c r="L5" s="24" t="n">
        <v>-0.62</v>
      </c>
      <c r="M5" s="24" t="n">
        <v>8.68</v>
      </c>
    </row>
    <row r="6">
      <c r="A6" s="15" t="n">
        <v>2022</v>
      </c>
      <c r="B6" s="24" t="n">
        <v>-11.78</v>
      </c>
      <c r="C6" s="24" t="n">
        <v>-8.65</v>
      </c>
      <c r="D6" s="24" t="n">
        <v>-4.33</v>
      </c>
      <c r="E6" s="24" t="n">
        <v>7.65</v>
      </c>
      <c r="F6" s="24" t="n">
        <v>-28.79</v>
      </c>
      <c r="G6" s="24" t="n">
        <v>-13.39</v>
      </c>
      <c r="H6" s="24" t="n">
        <v>-8.51</v>
      </c>
      <c r="I6" s="24" t="n">
        <v>3.79</v>
      </c>
      <c r="J6" s="24" t="n">
        <v>5.23</v>
      </c>
      <c r="K6" s="24" t="n">
        <v>-3.91</v>
      </c>
      <c r="L6" s="24" t="n">
        <v>-0.15</v>
      </c>
      <c r="M6" s="24" t="n">
        <v>11.5</v>
      </c>
    </row>
    <row r="7">
      <c r="A7" s="15" t="n">
        <v>2023</v>
      </c>
      <c r="B7" s="24" t="n">
        <v>-13.63</v>
      </c>
      <c r="C7" s="24" t="n">
        <v>-5.63</v>
      </c>
      <c r="D7" s="24" t="n">
        <v>-3.65</v>
      </c>
      <c r="E7" s="24" t="n">
        <v>7.93</v>
      </c>
      <c r="F7" s="24" t="n">
        <v>-29.59</v>
      </c>
      <c r="G7" s="24" t="n">
        <v>-8.949999999999999</v>
      </c>
      <c r="H7" s="24" t="n">
        <v>-8.08</v>
      </c>
      <c r="I7" s="24" t="n">
        <v>3.41</v>
      </c>
      <c r="J7" s="24" t="n">
        <v>2.33</v>
      </c>
      <c r="K7" s="24" t="n">
        <v>-2.32</v>
      </c>
      <c r="L7" s="24" t="n">
        <v>0.79</v>
      </c>
      <c r="M7" s="24" t="n">
        <v>12.46</v>
      </c>
    </row>
    <row r="8">
      <c r="A8" s="15" t="n">
        <v>2024</v>
      </c>
      <c r="B8" s="24" t="n">
        <v>0</v>
      </c>
      <c r="C8" s="24" t="n">
        <v>0</v>
      </c>
      <c r="D8" s="24" t="n">
        <v>0</v>
      </c>
      <c r="E8" s="24" t="n">
        <v>0</v>
      </c>
      <c r="F8" s="24" t="n">
        <v>0</v>
      </c>
      <c r="G8" s="24" t="n">
        <v>0</v>
      </c>
      <c r="H8" s="24" t="n">
        <v>0</v>
      </c>
      <c r="I8" s="24" t="n">
        <v>0</v>
      </c>
      <c r="J8" s="24" t="n">
        <v>0</v>
      </c>
      <c r="K8" s="24" t="n">
        <v>0</v>
      </c>
      <c r="L8" s="24" t="n">
        <v>0</v>
      </c>
      <c r="M8" s="24" t="n">
        <v>0</v>
      </c>
    </row>
    <row r="9">
      <c r="A9" s="15" t="n">
        <v>2025</v>
      </c>
      <c r="B9" s="24" t="n">
        <v>43.84</v>
      </c>
      <c r="C9" s="24" t="n">
        <v>-2.53</v>
      </c>
      <c r="D9" s="24" t="n">
        <v>-1.11</v>
      </c>
      <c r="E9" s="24" t="n">
        <v>7.52</v>
      </c>
      <c r="F9" s="24" t="n">
        <v>24.89</v>
      </c>
      <c r="G9" s="24" t="n">
        <v>-6.65</v>
      </c>
      <c r="H9" s="24" t="n">
        <v>-6.54</v>
      </c>
      <c r="I9" s="24" t="n">
        <v>2.68</v>
      </c>
      <c r="J9" s="24" t="n">
        <v>62.8</v>
      </c>
      <c r="K9" s="24" t="n">
        <v>1.59</v>
      </c>
      <c r="L9" s="24" t="n">
        <v>4.33</v>
      </c>
      <c r="M9" s="24" t="n">
        <v>12.37</v>
      </c>
    </row>
    <row r="10">
      <c r="A10" s="15" t="n">
        <v>2026</v>
      </c>
      <c r="B10" s="24" t="n">
        <v>60.26</v>
      </c>
      <c r="C10" s="24" t="n">
        <v>3.81</v>
      </c>
      <c r="D10" s="24" t="n">
        <v>0.66</v>
      </c>
      <c r="E10" s="24" t="n">
        <v>8.06</v>
      </c>
      <c r="F10" s="24" t="n">
        <v>45.12</v>
      </c>
      <c r="G10" s="24" t="n">
        <v>-2.03</v>
      </c>
      <c r="H10" s="24" t="n">
        <v>-5</v>
      </c>
      <c r="I10" s="24" t="n">
        <v>2.61</v>
      </c>
      <c r="J10" s="24" t="n">
        <v>75.40000000000001</v>
      </c>
      <c r="K10" s="24" t="n">
        <v>9.66</v>
      </c>
      <c r="L10" s="24" t="n">
        <v>6.33</v>
      </c>
      <c r="M10" s="24" t="n">
        <v>13.51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18" t="inlineStr">
        <is>
          <t>Vegetation fragmentation, matched sample (8-neighbour patches; patches &lt; 0.1 ha removed)</t>
        </is>
      </c>
    </row>
    <row r="2">
      <c r="A2" s="10" t="inlineStr">
        <is>
          <t>Landscape = one segment's corridor (footprint + 0–500 m), 500 m–1 km or 1–5 km band. PLAND % vegetation; PD patches/100 ha; MPA mean patch area (ha); ED edge density (m/ha); LPI largest patch (% of land). Means weighted by matching weights.</t>
        </is>
      </c>
    </row>
    <row r="4">
      <c r="A4" s="22" t="inlineStr">
        <is>
          <t>landscape</t>
        </is>
      </c>
      <c r="B4" s="22" t="inlineStr">
        <is>
          <t>year</t>
        </is>
      </c>
      <c r="C4" s="22" t="inlineStr">
        <is>
          <t>group</t>
        </is>
      </c>
      <c r="D4" s="22" t="inlineStr">
        <is>
          <t>n</t>
        </is>
      </c>
      <c r="E4" s="22" t="inlineStr">
        <is>
          <t>PLAND</t>
        </is>
      </c>
      <c r="F4" s="22" t="inlineStr">
        <is>
          <t>PD</t>
        </is>
      </c>
      <c r="G4" s="22" t="inlineStr">
        <is>
          <t>MPA</t>
        </is>
      </c>
      <c r="H4" s="22" t="inlineStr">
        <is>
          <t>ED</t>
        </is>
      </c>
      <c r="I4" s="22" t="inlineStr">
        <is>
          <t>LPI</t>
        </is>
      </c>
    </row>
    <row r="5">
      <c r="A5" s="15" t="inlineStr">
        <is>
          <t>corridor</t>
        </is>
      </c>
      <c r="B5" s="15" t="n">
        <v>2020</v>
      </c>
      <c r="C5" s="15" t="inlineStr">
        <is>
          <t>Section 1</t>
        </is>
      </c>
      <c r="D5" s="15" t="n">
        <v>22</v>
      </c>
      <c r="E5" s="25" t="n">
        <v>70.96059143946204</v>
      </c>
      <c r="F5" s="25" t="n">
        <v>4.107094060885983</v>
      </c>
      <c r="G5" s="25" t="n">
        <v>29.77175757575758</v>
      </c>
      <c r="H5" s="25" t="n">
        <v>69.26592737036843</v>
      </c>
      <c r="I5" s="25" t="n">
        <v>66.13059338880932</v>
      </c>
    </row>
    <row r="6">
      <c r="A6" s="15" t="inlineStr">
        <is>
          <t>corridor</t>
        </is>
      </c>
      <c r="B6" s="15" t="n">
        <v>2020</v>
      </c>
      <c r="C6" s="15" t="inlineStr">
        <is>
          <t>Matched controls</t>
        </is>
      </c>
      <c r="D6" s="15" t="n">
        <v>21</v>
      </c>
      <c r="E6" s="25" t="n">
        <v>43.52761718165193</v>
      </c>
      <c r="F6" s="25" t="n">
        <v>9.120539771628422</v>
      </c>
      <c r="G6" s="25" t="n">
        <v>13.1539922274695</v>
      </c>
      <c r="H6" s="25" t="n">
        <v>149.1211126847073</v>
      </c>
      <c r="I6" s="25" t="n">
        <v>35.17484157918081</v>
      </c>
    </row>
    <row r="7">
      <c r="A7" s="15" t="inlineStr">
        <is>
          <t>corridor</t>
        </is>
      </c>
      <c r="B7" s="15" t="n">
        <v>2024</v>
      </c>
      <c r="C7" s="15" t="inlineStr">
        <is>
          <t>Section 1</t>
        </is>
      </c>
      <c r="D7" s="15" t="n">
        <v>22</v>
      </c>
      <c r="E7" s="25" t="n">
        <v>61.72093516371028</v>
      </c>
      <c r="F7" s="25" t="n">
        <v>5.428058144155377</v>
      </c>
      <c r="G7" s="25" t="n">
        <v>16.83456027714116</v>
      </c>
      <c r="H7" s="25" t="n">
        <v>97.84598236716076</v>
      </c>
      <c r="I7" s="25" t="n">
        <v>57.93948122239532</v>
      </c>
    </row>
    <row r="8">
      <c r="A8" s="15" t="inlineStr">
        <is>
          <t>corridor</t>
        </is>
      </c>
      <c r="B8" s="15" t="n">
        <v>2024</v>
      </c>
      <c r="C8" s="15" t="inlineStr">
        <is>
          <t>Matched controls</t>
        </is>
      </c>
      <c r="D8" s="15" t="n">
        <v>21</v>
      </c>
      <c r="E8" s="25" t="n">
        <v>41.92132535784393</v>
      </c>
      <c r="F8" s="25" t="n">
        <v>7.898967140917398</v>
      </c>
      <c r="G8" s="25" t="n">
        <v>15.68535434704185</v>
      </c>
      <c r="H8" s="25" t="n">
        <v>154.5306898539152</v>
      </c>
      <c r="I8" s="25" t="n">
        <v>33.97186606107405</v>
      </c>
    </row>
    <row r="9">
      <c r="A9" s="15" t="inlineStr">
        <is>
          <t>corridor</t>
        </is>
      </c>
      <c r="B9" s="15" t="n">
        <v>2026</v>
      </c>
      <c r="C9" s="15" t="inlineStr">
        <is>
          <t>Section 1</t>
        </is>
      </c>
      <c r="D9" s="15" t="n">
        <v>22</v>
      </c>
      <c r="E9" s="25" t="n">
        <v>52.35432597528722</v>
      </c>
      <c r="F9" s="25" t="n">
        <v>7.41728673648629</v>
      </c>
      <c r="G9" s="25" t="n">
        <v>9.365713458110518</v>
      </c>
      <c r="H9" s="25" t="n">
        <v>115.5863177848888</v>
      </c>
      <c r="I9" s="25" t="n">
        <v>42.41982665631653</v>
      </c>
    </row>
    <row r="10">
      <c r="A10" s="15" t="inlineStr">
        <is>
          <t>corridor</t>
        </is>
      </c>
      <c r="B10" s="15" t="n">
        <v>2026</v>
      </c>
      <c r="C10" s="15" t="inlineStr">
        <is>
          <t>Matched controls</t>
        </is>
      </c>
      <c r="D10" s="15" t="n">
        <v>21</v>
      </c>
      <c r="E10" s="25" t="n">
        <v>41.20307270695498</v>
      </c>
      <c r="F10" s="25" t="n">
        <v>8.629451347672967</v>
      </c>
      <c r="G10" s="25" t="n">
        <v>15.35642058982684</v>
      </c>
      <c r="H10" s="25" t="n">
        <v>161.080891506232</v>
      </c>
      <c r="I10" s="25" t="n">
        <v>33.00840002474273</v>
      </c>
    </row>
    <row r="11">
      <c r="A11" s="15" t="inlineStr">
        <is>
          <t>B2</t>
        </is>
      </c>
      <c r="B11" s="15" t="n">
        <v>2020</v>
      </c>
      <c r="C11" s="15" t="inlineStr">
        <is>
          <t>Section 1</t>
        </is>
      </c>
      <c r="D11" s="15" t="n">
        <v>22</v>
      </c>
      <c r="E11" s="25" t="n">
        <v>93.30588454542423</v>
      </c>
      <c r="F11" s="25" t="n">
        <v>2.950258289238036</v>
      </c>
      <c r="G11" s="25" t="n">
        <v>40.00963636363636</v>
      </c>
      <c r="H11" s="25" t="n">
        <v>36.76645318316372</v>
      </c>
      <c r="I11" s="25" t="n">
        <v>92.76921047479318</v>
      </c>
    </row>
    <row r="12">
      <c r="A12" s="15" t="inlineStr">
        <is>
          <t>B2</t>
        </is>
      </c>
      <c r="B12" s="15" t="n">
        <v>2020</v>
      </c>
      <c r="C12" s="15" t="inlineStr">
        <is>
          <t>Matched controls</t>
        </is>
      </c>
      <c r="D12" s="15" t="n">
        <v>20</v>
      </c>
      <c r="E12" s="25" t="n">
        <v>74.35355461510248</v>
      </c>
      <c r="F12" s="25" t="n">
        <v>12.37852350283885</v>
      </c>
      <c r="G12" s="25" t="n">
        <v>16.84749074074074</v>
      </c>
      <c r="H12" s="25" t="n">
        <v>138.3031557138067</v>
      </c>
      <c r="I12" s="25" t="n">
        <v>67.11405992766106</v>
      </c>
    </row>
    <row r="13">
      <c r="A13" s="15" t="inlineStr">
        <is>
          <t>B2</t>
        </is>
      </c>
      <c r="B13" s="15" t="n">
        <v>2024</v>
      </c>
      <c r="C13" s="15" t="inlineStr">
        <is>
          <t>Section 1</t>
        </is>
      </c>
      <c r="D13" s="15" t="n">
        <v>22</v>
      </c>
      <c r="E13" s="25" t="n">
        <v>86.88825488979714</v>
      </c>
      <c r="F13" s="25" t="n">
        <v>3.720683149365915</v>
      </c>
      <c r="G13" s="25" t="n">
        <v>33.09159090909091</v>
      </c>
      <c r="H13" s="25" t="n">
        <v>74.33104944862174</v>
      </c>
      <c r="I13" s="25" t="n">
        <v>83.75632714308229</v>
      </c>
    </row>
    <row r="14">
      <c r="A14" s="15" t="inlineStr">
        <is>
          <t>B2</t>
        </is>
      </c>
      <c r="B14" s="15" t="n">
        <v>2024</v>
      </c>
      <c r="C14" s="15" t="inlineStr">
        <is>
          <t>Matched controls</t>
        </is>
      </c>
      <c r="D14" s="15" t="n">
        <v>20</v>
      </c>
      <c r="E14" s="25" t="n">
        <v>73.90378577856659</v>
      </c>
      <c r="F14" s="25" t="n">
        <v>12.1706438572537</v>
      </c>
      <c r="G14" s="25" t="n">
        <v>17.32603550814265</v>
      </c>
      <c r="H14" s="25" t="n">
        <v>137.0062613839821</v>
      </c>
      <c r="I14" s="25" t="n">
        <v>67.64415887821676</v>
      </c>
    </row>
    <row r="15">
      <c r="A15" s="15" t="inlineStr">
        <is>
          <t>B2</t>
        </is>
      </c>
      <c r="B15" s="15" t="n">
        <v>2026</v>
      </c>
      <c r="C15" s="15" t="inlineStr">
        <is>
          <t>Section 1</t>
        </is>
      </c>
      <c r="D15" s="15" t="n">
        <v>22</v>
      </c>
      <c r="E15" s="25" t="n">
        <v>83.88023581301344</v>
      </c>
      <c r="F15" s="25" t="n">
        <v>5.063692548244389</v>
      </c>
      <c r="G15" s="25" t="n">
        <v>29.79522916666667</v>
      </c>
      <c r="H15" s="25" t="n">
        <v>84.53879162771172</v>
      </c>
      <c r="I15" s="25" t="n">
        <v>79.41397690461207</v>
      </c>
    </row>
    <row r="16">
      <c r="A16" s="15" t="inlineStr">
        <is>
          <t>B2</t>
        </is>
      </c>
      <c r="B16" s="15" t="n">
        <v>2026</v>
      </c>
      <c r="C16" s="15" t="inlineStr">
        <is>
          <t>Matched controls</t>
        </is>
      </c>
      <c r="D16" s="15" t="n">
        <v>20</v>
      </c>
      <c r="E16" s="25" t="n">
        <v>74.69504642018039</v>
      </c>
      <c r="F16" s="25" t="n">
        <v>15.0305991710949</v>
      </c>
      <c r="G16" s="25" t="n">
        <v>15.55382771164021</v>
      </c>
      <c r="H16" s="25" t="n">
        <v>155.0129713274368</v>
      </c>
      <c r="I16" s="25" t="n">
        <v>67.55955216321253</v>
      </c>
    </row>
    <row r="17">
      <c r="A17" s="15" t="inlineStr">
        <is>
          <t>B3</t>
        </is>
      </c>
      <c r="B17" s="15" t="n">
        <v>2020</v>
      </c>
      <c r="C17" s="15" t="inlineStr">
        <is>
          <t>Section 1</t>
        </is>
      </c>
      <c r="D17" s="15" t="n">
        <v>22</v>
      </c>
      <c r="E17" s="25" t="n">
        <v>53.11239552043835</v>
      </c>
      <c r="F17" s="25" t="n">
        <v>10.24079762773122</v>
      </c>
      <c r="G17" s="25" t="n">
        <v>6.895734197612584</v>
      </c>
      <c r="H17" s="25" t="n">
        <v>142.4596132126854</v>
      </c>
      <c r="I17" s="25" t="n">
        <v>34.26513389928986</v>
      </c>
    </row>
    <row r="18">
      <c r="A18" s="15" t="inlineStr">
        <is>
          <t>B3</t>
        </is>
      </c>
      <c r="B18" s="15" t="n">
        <v>2020</v>
      </c>
      <c r="C18" s="15" t="inlineStr">
        <is>
          <t>Matched controls</t>
        </is>
      </c>
      <c r="D18" s="15" t="n">
        <v>21</v>
      </c>
      <c r="E18" s="25" t="n">
        <v>62.8162487066063</v>
      </c>
      <c r="F18" s="25" t="n">
        <v>7.099582670944795</v>
      </c>
      <c r="G18" s="25" t="n">
        <v>13.59040040464395</v>
      </c>
      <c r="H18" s="25" t="n">
        <v>91.85100303012619</v>
      </c>
      <c r="I18" s="25" t="n">
        <v>45.86612044627036</v>
      </c>
    </row>
    <row r="19">
      <c r="A19" s="15" t="inlineStr">
        <is>
          <t>B3</t>
        </is>
      </c>
      <c r="B19" s="15" t="n">
        <v>2024</v>
      </c>
      <c r="C19" s="15" t="inlineStr">
        <is>
          <t>Section 1</t>
        </is>
      </c>
      <c r="D19" s="15" t="n">
        <v>22</v>
      </c>
      <c r="E19" s="25" t="n">
        <v>39.16974621981566</v>
      </c>
      <c r="F19" s="25" t="n">
        <v>11.66183720485816</v>
      </c>
      <c r="G19" s="25" t="n">
        <v>4.261852090300389</v>
      </c>
      <c r="H19" s="25" t="n">
        <v>152.3720198234018</v>
      </c>
      <c r="I19" s="25" t="n">
        <v>23.95886530671182</v>
      </c>
    </row>
    <row r="20">
      <c r="A20" s="15" t="inlineStr">
        <is>
          <t>B3</t>
        </is>
      </c>
      <c r="B20" s="15" t="n">
        <v>2024</v>
      </c>
      <c r="C20" s="15" t="inlineStr">
        <is>
          <t>Matched controls</t>
        </is>
      </c>
      <c r="D20" s="15" t="n">
        <v>21</v>
      </c>
      <c r="E20" s="25" t="n">
        <v>54.34867194809544</v>
      </c>
      <c r="F20" s="25" t="n">
        <v>5.50487997667198</v>
      </c>
      <c r="G20" s="25" t="n">
        <v>12.21651073985596</v>
      </c>
      <c r="H20" s="25" t="n">
        <v>76.62931191681112</v>
      </c>
      <c r="I20" s="25" t="n">
        <v>41.22223548949818</v>
      </c>
    </row>
    <row r="21">
      <c r="A21" s="15" t="inlineStr">
        <is>
          <t>B3</t>
        </is>
      </c>
      <c r="B21" s="15" t="n">
        <v>2026</v>
      </c>
      <c r="C21" s="15" t="inlineStr">
        <is>
          <t>Section 1</t>
        </is>
      </c>
      <c r="D21" s="15" t="n">
        <v>22</v>
      </c>
      <c r="E21" s="25" t="n">
        <v>37.96804104350363</v>
      </c>
      <c r="F21" s="25" t="n">
        <v>11.98235873376328</v>
      </c>
      <c r="G21" s="25" t="n">
        <v>4.006539544534175</v>
      </c>
      <c r="H21" s="25" t="n">
        <v>153.1448187586696</v>
      </c>
      <c r="I21" s="25" t="n">
        <v>22.72200470085988</v>
      </c>
    </row>
    <row r="22">
      <c r="A22" s="15" t="inlineStr">
        <is>
          <t>B3</t>
        </is>
      </c>
      <c r="B22" s="15" t="n">
        <v>2026</v>
      </c>
      <c r="C22" s="15" t="inlineStr">
        <is>
          <t>Matched controls</t>
        </is>
      </c>
      <c r="D22" s="15" t="n">
        <v>21</v>
      </c>
      <c r="E22" s="25" t="n">
        <v>53.57892567505412</v>
      </c>
      <c r="F22" s="25" t="n">
        <v>5.837151354911944</v>
      </c>
      <c r="G22" s="25" t="n">
        <v>11.49291517918179</v>
      </c>
      <c r="H22" s="25" t="n">
        <v>83.10780492257513</v>
      </c>
      <c r="I22" s="25" t="n">
        <v>41.52150172735095</v>
      </c>
    </row>
    <row r="24">
      <c r="A24" s="5" t="inlineStr">
        <is>
          <t>Difference-in-differences on each metric (unit + year fixed effects, matched weights, SE clustered by segment; reference year DS2024)</t>
        </is>
      </c>
    </row>
    <row r="25">
      <c r="A25" s="22" t="inlineStr">
        <is>
          <t>landscape</t>
        </is>
      </c>
      <c r="B25" s="22" t="inlineStr">
        <is>
          <t>metric</t>
        </is>
      </c>
      <c r="C25" s="22" t="inlineStr">
        <is>
          <t>term</t>
        </is>
      </c>
      <c r="D25" s="22" t="inlineStr">
        <is>
          <t>estimate</t>
        </is>
      </c>
      <c r="E25" s="22" t="inlineStr">
        <is>
          <t>ci_low</t>
        </is>
      </c>
      <c r="F25" s="22" t="inlineStr">
        <is>
          <t>ci_high</t>
        </is>
      </c>
      <c r="G25" s="22" t="inlineStr">
        <is>
          <t>p</t>
        </is>
      </c>
      <c r="H25" s="22" t="inlineStr">
        <is>
          <t>n_S1</t>
        </is>
      </c>
      <c r="I25" s="22" t="inlineStr">
        <is>
          <t>n_ctrl</t>
        </is>
      </c>
    </row>
    <row r="26">
      <c r="A26" s="15" t="inlineStr">
        <is>
          <t>corridor</t>
        </is>
      </c>
      <c r="B26" s="15" t="inlineStr">
        <is>
          <t>PLAND</t>
        </is>
      </c>
      <c r="C26" s="15" t="inlineStr">
        <is>
          <t>Before construction (2020→2024)</t>
        </is>
      </c>
      <c r="D26" s="25" t="n">
        <v>-7.633364451943656</v>
      </c>
      <c r="E26" s="25" t="n">
        <v>-13.18265638802234</v>
      </c>
      <c r="F26" s="25" t="n">
        <v>-2.084072515864976</v>
      </c>
      <c r="G26" s="29" t="n">
        <v>0.0070168997933732</v>
      </c>
      <c r="H26" s="15" t="n">
        <v>22</v>
      </c>
      <c r="I26" s="15" t="n">
        <v>21</v>
      </c>
    </row>
    <row r="27">
      <c r="A27" s="5" t="inlineStr">
        <is>
          <t>corridor</t>
        </is>
      </c>
      <c r="B27" s="5" t="inlineStr">
        <is>
          <t>PLAND</t>
        </is>
      </c>
      <c r="C27" s="5" t="inlineStr">
        <is>
          <t>Construction (2024→2026)</t>
        </is>
      </c>
      <c r="D27" s="32" t="n">
        <v>-8.648356537534186</v>
      </c>
      <c r="E27" s="32" t="n">
        <v>-12.62094153861727</v>
      </c>
      <c r="F27" s="32" t="n">
        <v>-4.675771536451105</v>
      </c>
      <c r="G27" s="31" t="n">
        <v>1.982427396946992e-05</v>
      </c>
      <c r="H27" s="5" t="n">
        <v>22</v>
      </c>
      <c r="I27" s="5" t="n">
        <v>21</v>
      </c>
    </row>
    <row r="28">
      <c r="A28" s="15" t="inlineStr">
        <is>
          <t>corridor</t>
        </is>
      </c>
      <c r="B28" s="15" t="inlineStr">
        <is>
          <t>PD</t>
        </is>
      </c>
      <c r="C28" s="15" t="inlineStr">
        <is>
          <t>Before construction (2020→2024)</t>
        </is>
      </c>
      <c r="D28" s="25" t="n">
        <v>2.542536713980433</v>
      </c>
      <c r="E28" s="25" t="n">
        <v>-1.010087102946183</v>
      </c>
      <c r="F28" s="25" t="n">
        <v>6.095160530907049</v>
      </c>
      <c r="G28" s="29" t="n">
        <v>0.1607050610324535</v>
      </c>
      <c r="H28" s="15" t="n">
        <v>22</v>
      </c>
      <c r="I28" s="15" t="n">
        <v>21</v>
      </c>
    </row>
    <row r="29">
      <c r="A29" s="15" t="inlineStr">
        <is>
          <t>corridor</t>
        </is>
      </c>
      <c r="B29" s="15" t="inlineStr">
        <is>
          <t>PD</t>
        </is>
      </c>
      <c r="C29" s="15" t="inlineStr">
        <is>
          <t>Construction (2024→2026)</t>
        </is>
      </c>
      <c r="D29" s="25" t="n">
        <v>1.258744385575326</v>
      </c>
      <c r="E29" s="25" t="n">
        <v>-0.8405370132440177</v>
      </c>
      <c r="F29" s="25" t="n">
        <v>3.358025784394671</v>
      </c>
      <c r="G29" s="29" t="n">
        <v>0.239911249899832</v>
      </c>
      <c r="H29" s="15" t="n">
        <v>22</v>
      </c>
      <c r="I29" s="15" t="n">
        <v>21</v>
      </c>
    </row>
    <row r="30">
      <c r="A30" s="15" t="inlineStr">
        <is>
          <t>corridor</t>
        </is>
      </c>
      <c r="B30" s="15" t="inlineStr">
        <is>
          <t>MPA</t>
        </is>
      </c>
      <c r="C30" s="15" t="inlineStr">
        <is>
          <t>Before construction (2020→2024)</t>
        </is>
      </c>
      <c r="D30" s="25" t="n">
        <v>-15.46855941818872</v>
      </c>
      <c r="E30" s="25" t="n">
        <v>-29.64637401466605</v>
      </c>
      <c r="F30" s="25" t="n">
        <v>-1.290744821711389</v>
      </c>
      <c r="G30" s="29" t="n">
        <v>0.0324844033344681</v>
      </c>
      <c r="H30" s="15" t="n">
        <v>22</v>
      </c>
      <c r="I30" s="15" t="n">
        <v>21</v>
      </c>
    </row>
    <row r="31">
      <c r="A31" s="15" t="inlineStr">
        <is>
          <t>corridor</t>
        </is>
      </c>
      <c r="B31" s="15" t="inlineStr">
        <is>
          <t>MPA</t>
        </is>
      </c>
      <c r="C31" s="15" t="inlineStr">
        <is>
          <t>Construction (2024→2026)</t>
        </is>
      </c>
      <c r="D31" s="25" t="n">
        <v>-7.139913061815661</v>
      </c>
      <c r="E31" s="25" t="n">
        <v>-15.82615620815406</v>
      </c>
      <c r="F31" s="25" t="n">
        <v>1.546330084522738</v>
      </c>
      <c r="G31" s="29" t="n">
        <v>0.1071688141091846</v>
      </c>
      <c r="H31" s="15" t="n">
        <v>22</v>
      </c>
      <c r="I31" s="15" t="n">
        <v>21</v>
      </c>
    </row>
    <row r="32">
      <c r="A32" s="15" t="inlineStr">
        <is>
          <t>corridor</t>
        </is>
      </c>
      <c r="B32" s="15" t="inlineStr">
        <is>
          <t>ED</t>
        </is>
      </c>
      <c r="C32" s="15" t="inlineStr">
        <is>
          <t>Before construction (2020→2024)</t>
        </is>
      </c>
      <c r="D32" s="25" t="n">
        <v>23.1704778275848</v>
      </c>
      <c r="E32" s="25" t="n">
        <v>-0.1095502334858729</v>
      </c>
      <c r="F32" s="25" t="n">
        <v>46.45050588865546</v>
      </c>
      <c r="G32" s="29" t="n">
        <v>0.0510878796976519</v>
      </c>
      <c r="H32" s="15" t="n">
        <v>22</v>
      </c>
      <c r="I32" s="15" t="n">
        <v>21</v>
      </c>
    </row>
    <row r="33">
      <c r="A33" s="15" t="inlineStr">
        <is>
          <t>corridor</t>
        </is>
      </c>
      <c r="B33" s="15" t="inlineStr">
        <is>
          <t>ED</t>
        </is>
      </c>
      <c r="C33" s="15" t="inlineStr">
        <is>
          <t>Construction (2024→2026)</t>
        </is>
      </c>
      <c r="D33" s="25" t="n">
        <v>11.19013376541091</v>
      </c>
      <c r="E33" s="25" t="n">
        <v>-4.429355283198493</v>
      </c>
      <c r="F33" s="25" t="n">
        <v>26.80962281402032</v>
      </c>
      <c r="G33" s="29" t="n">
        <v>0.160271259249581</v>
      </c>
      <c r="H33" s="15" t="n">
        <v>22</v>
      </c>
      <c r="I33" s="15" t="n">
        <v>21</v>
      </c>
    </row>
    <row r="34">
      <c r="A34" s="15" t="inlineStr">
        <is>
          <t>corridor</t>
        </is>
      </c>
      <c r="B34" s="15" t="inlineStr">
        <is>
          <t>LPI</t>
        </is>
      </c>
      <c r="C34" s="15" t="inlineStr">
        <is>
          <t>Before construction (2020→2024)</t>
        </is>
      </c>
      <c r="D34" s="25" t="n">
        <v>-6.988136648307166</v>
      </c>
      <c r="E34" s="25" t="n">
        <v>-12.92471387128596</v>
      </c>
      <c r="F34" s="25" t="n">
        <v>-1.051559425328368</v>
      </c>
      <c r="G34" s="29" t="n">
        <v>0.021047191503497</v>
      </c>
      <c r="H34" s="15" t="n">
        <v>22</v>
      </c>
      <c r="I34" s="15" t="n">
        <v>21</v>
      </c>
    </row>
    <row r="35">
      <c r="A35" s="5" t="inlineStr">
        <is>
          <t>corridor</t>
        </is>
      </c>
      <c r="B35" s="5" t="inlineStr">
        <is>
          <t>LPI</t>
        </is>
      </c>
      <c r="C35" s="5" t="inlineStr">
        <is>
          <t>Construction (2024→2026)</t>
        </is>
      </c>
      <c r="D35" s="32" t="n">
        <v>-14.55618852974753</v>
      </c>
      <c r="E35" s="32" t="n">
        <v>-20.40383539073385</v>
      </c>
      <c r="F35" s="32" t="n">
        <v>-8.708541668761217</v>
      </c>
      <c r="G35" s="31" t="n">
        <v>1.06723439181913e-06</v>
      </c>
      <c r="H35" s="5" t="n">
        <v>22</v>
      </c>
      <c r="I35" s="5" t="n">
        <v>21</v>
      </c>
    </row>
    <row r="36">
      <c r="A36" s="15" t="inlineStr">
        <is>
          <t>B2</t>
        </is>
      </c>
      <c r="B36" s="15" t="inlineStr">
        <is>
          <t>PLAND</t>
        </is>
      </c>
      <c r="C36" s="15" t="inlineStr">
        <is>
          <t>Before construction (2020→2024)</t>
        </is>
      </c>
      <c r="D36" s="25" t="n">
        <v>-5.96786081909123</v>
      </c>
      <c r="E36" s="25" t="n">
        <v>-11.04311371872685</v>
      </c>
      <c r="F36" s="25" t="n">
        <v>-0.8926079194556094</v>
      </c>
      <c r="G36" s="29" t="n">
        <v>0.021184961021044</v>
      </c>
      <c r="H36" s="15" t="n">
        <v>22</v>
      </c>
      <c r="I36" s="15" t="n">
        <v>20</v>
      </c>
    </row>
    <row r="37">
      <c r="A37" s="15" t="inlineStr">
        <is>
          <t>B2</t>
        </is>
      </c>
      <c r="B37" s="15" t="inlineStr">
        <is>
          <t>PLAND</t>
        </is>
      </c>
      <c r="C37" s="15" t="inlineStr">
        <is>
          <t>Construction (2024→2026)</t>
        </is>
      </c>
      <c r="D37" s="25" t="n">
        <v>-3.799279718397708</v>
      </c>
      <c r="E37" s="25" t="n">
        <v>-8.008646721533054</v>
      </c>
      <c r="F37" s="25" t="n">
        <v>0.4100872847376373</v>
      </c>
      <c r="G37" s="29" t="n">
        <v>0.0768906559736348</v>
      </c>
      <c r="H37" s="15" t="n">
        <v>22</v>
      </c>
      <c r="I37" s="15" t="n">
        <v>20</v>
      </c>
    </row>
    <row r="38">
      <c r="A38" s="15" t="inlineStr">
        <is>
          <t>B2</t>
        </is>
      </c>
      <c r="B38" s="15" t="inlineStr">
        <is>
          <t>PD</t>
        </is>
      </c>
      <c r="C38" s="15" t="inlineStr">
        <is>
          <t>Before construction (2020→2024)</t>
        </is>
      </c>
      <c r="D38" s="25" t="n">
        <v>0.978304505713022</v>
      </c>
      <c r="E38" s="25" t="n">
        <v>-1.2641757929459</v>
      </c>
      <c r="F38" s="25" t="n">
        <v>3.220784804371944</v>
      </c>
      <c r="G38" s="29" t="n">
        <v>0.3925212913363931</v>
      </c>
      <c r="H38" s="15" t="n">
        <v>22</v>
      </c>
      <c r="I38" s="15" t="n">
        <v>20</v>
      </c>
    </row>
    <row r="39">
      <c r="A39" s="15" t="inlineStr">
        <is>
          <t>B2</t>
        </is>
      </c>
      <c r="B39" s="15" t="inlineStr">
        <is>
          <t>PD</t>
        </is>
      </c>
      <c r="C39" s="15" t="inlineStr">
        <is>
          <t>Construction (2024→2026)</t>
        </is>
      </c>
      <c r="D39" s="25" t="n">
        <v>-1.516945914962759</v>
      </c>
      <c r="E39" s="25" t="n">
        <v>-5.341051600762689</v>
      </c>
      <c r="F39" s="25" t="n">
        <v>2.30715977083717</v>
      </c>
      <c r="G39" s="29" t="n">
        <v>0.4368766057347428</v>
      </c>
      <c r="H39" s="15" t="n">
        <v>22</v>
      </c>
      <c r="I39" s="15" t="n">
        <v>20</v>
      </c>
    </row>
    <row r="40">
      <c r="A40" s="15" t="inlineStr">
        <is>
          <t>B2</t>
        </is>
      </c>
      <c r="B40" s="15" t="inlineStr">
        <is>
          <t>MPA</t>
        </is>
      </c>
      <c r="C40" s="15" t="inlineStr">
        <is>
          <t>Before construction (2020→2024)</t>
        </is>
      </c>
      <c r="D40" s="25" t="n">
        <v>-7.396590221947381</v>
      </c>
      <c r="E40" s="25" t="n">
        <v>-15.40640823963234</v>
      </c>
      <c r="F40" s="25" t="n">
        <v>0.6132277957375774</v>
      </c>
      <c r="G40" s="29" t="n">
        <v>0.070309731279721</v>
      </c>
      <c r="H40" s="15" t="n">
        <v>22</v>
      </c>
      <c r="I40" s="15" t="n">
        <v>20</v>
      </c>
    </row>
    <row r="41">
      <c r="A41" s="15" t="inlineStr">
        <is>
          <t>B2</t>
        </is>
      </c>
      <c r="B41" s="15" t="inlineStr">
        <is>
          <t>MPA</t>
        </is>
      </c>
      <c r="C41" s="15" t="inlineStr">
        <is>
          <t>Construction (2024→2026)</t>
        </is>
      </c>
      <c r="D41" s="25" t="n">
        <v>-1.524153945921819</v>
      </c>
      <c r="E41" s="25" t="n">
        <v>-9.153101295426886</v>
      </c>
      <c r="F41" s="25" t="n">
        <v>6.104793403583248</v>
      </c>
      <c r="G41" s="29" t="n">
        <v>0.6953740275124889</v>
      </c>
      <c r="H41" s="15" t="n">
        <v>22</v>
      </c>
      <c r="I41" s="15" t="n">
        <v>20</v>
      </c>
    </row>
    <row r="42">
      <c r="A42" s="15" t="inlineStr">
        <is>
          <t>B2</t>
        </is>
      </c>
      <c r="B42" s="15" t="inlineStr">
        <is>
          <t>ED</t>
        </is>
      </c>
      <c r="C42" s="15" t="inlineStr">
        <is>
          <t>Before construction (2020→2024)</t>
        </is>
      </c>
      <c r="D42" s="25" t="n">
        <v>38.86149059528252</v>
      </c>
      <c r="E42" s="25" t="n">
        <v>14.26253174605321</v>
      </c>
      <c r="F42" s="25" t="n">
        <v>63.46044944451182</v>
      </c>
      <c r="G42" s="29" t="n">
        <v>0.0019591531236725</v>
      </c>
      <c r="H42" s="15" t="n">
        <v>22</v>
      </c>
      <c r="I42" s="15" t="n">
        <v>20</v>
      </c>
    </row>
    <row r="43">
      <c r="A43" s="15" t="inlineStr">
        <is>
          <t>B2</t>
        </is>
      </c>
      <c r="B43" s="15" t="inlineStr">
        <is>
          <t>ED</t>
        </is>
      </c>
      <c r="C43" s="15" t="inlineStr">
        <is>
          <t>Construction (2024→2026)</t>
        </is>
      </c>
      <c r="D43" s="25" t="n">
        <v>-7.798967764365203</v>
      </c>
      <c r="E43" s="25" t="n">
        <v>-26.73369231138843</v>
      </c>
      <c r="F43" s="25" t="n">
        <v>11.13575678265803</v>
      </c>
      <c r="G43" s="29" t="n">
        <v>0.4195030088597816</v>
      </c>
      <c r="H43" s="15" t="n">
        <v>22</v>
      </c>
      <c r="I43" s="15" t="n">
        <v>20</v>
      </c>
    </row>
    <row r="44">
      <c r="A44" s="15" t="inlineStr">
        <is>
          <t>B2</t>
        </is>
      </c>
      <c r="B44" s="15" t="inlineStr">
        <is>
          <t>LPI</t>
        </is>
      </c>
      <c r="C44" s="15" t="inlineStr">
        <is>
          <t>Before construction (2020→2024)</t>
        </is>
      </c>
      <c r="D44" s="25" t="n">
        <v>-9.5429822822666</v>
      </c>
      <c r="E44" s="25" t="n">
        <v>-16.89228407199005</v>
      </c>
      <c r="F44" s="25" t="n">
        <v>-2.193680492543152</v>
      </c>
      <c r="G44" s="29" t="n">
        <v>0.0109280781895027</v>
      </c>
      <c r="H44" s="15" t="n">
        <v>22</v>
      </c>
      <c r="I44" s="15" t="n">
        <v>20</v>
      </c>
    </row>
    <row r="45">
      <c r="A45" s="15" t="inlineStr">
        <is>
          <t>B2</t>
        </is>
      </c>
      <c r="B45" s="15" t="inlineStr">
        <is>
          <t>LPI</t>
        </is>
      </c>
      <c r="C45" s="15" t="inlineStr">
        <is>
          <t>Construction (2024→2026)</t>
        </is>
      </c>
      <c r="D45" s="25" t="n">
        <v>-4.257743523466206</v>
      </c>
      <c r="E45" s="25" t="n">
        <v>-8.85196435191548</v>
      </c>
      <c r="F45" s="25" t="n">
        <v>0.3364773049830676</v>
      </c>
      <c r="G45" s="29" t="n">
        <v>0.0693063243840133</v>
      </c>
      <c r="H45" s="15" t="n">
        <v>22</v>
      </c>
      <c r="I45" s="15" t="n">
        <v>20</v>
      </c>
    </row>
    <row r="46">
      <c r="A46" s="15" t="inlineStr">
        <is>
          <t>B3</t>
        </is>
      </c>
      <c r="B46" s="15" t="inlineStr">
        <is>
          <t>PLAND</t>
        </is>
      </c>
      <c r="C46" s="15" t="inlineStr">
        <is>
          <t>Before construction (2020→2024)</t>
        </is>
      </c>
      <c r="D46" s="25" t="n">
        <v>-5.475072542111764</v>
      </c>
      <c r="E46" s="25" t="n">
        <v>-11.13175771777924</v>
      </c>
      <c r="F46" s="25" t="n">
        <v>0.1816126335557166</v>
      </c>
      <c r="G46" s="29" t="n">
        <v>0.0578229635128545</v>
      </c>
      <c r="H46" s="15" t="n">
        <v>22</v>
      </c>
      <c r="I46" s="15" t="n">
        <v>21</v>
      </c>
    </row>
    <row r="47">
      <c r="A47" s="15" t="inlineStr">
        <is>
          <t>B3</t>
        </is>
      </c>
      <c r="B47" s="15" t="inlineStr">
        <is>
          <t>PLAND</t>
        </is>
      </c>
      <c r="C47" s="15" t="inlineStr">
        <is>
          <t>Construction (2024→2026)</t>
        </is>
      </c>
      <c r="D47" s="25" t="n">
        <v>-0.4319589032709465</v>
      </c>
      <c r="E47" s="25" t="n">
        <v>-1.723139568759378</v>
      </c>
      <c r="F47" s="25" t="n">
        <v>0.8592217622174845</v>
      </c>
      <c r="G47" s="29" t="n">
        <v>0.5120187982676159</v>
      </c>
      <c r="H47" s="15" t="n">
        <v>22</v>
      </c>
      <c r="I47" s="15" t="n">
        <v>21</v>
      </c>
    </row>
    <row r="48">
      <c r="A48" s="15" t="inlineStr">
        <is>
          <t>B3</t>
        </is>
      </c>
      <c r="B48" s="15" t="inlineStr">
        <is>
          <t>PD</t>
        </is>
      </c>
      <c r="C48" s="15" t="inlineStr">
        <is>
          <t>Before construction (2020→2024)</t>
        </is>
      </c>
      <c r="D48" s="25" t="n">
        <v>3.015742271399767</v>
      </c>
      <c r="E48" s="25" t="n">
        <v>0.6142926212342021</v>
      </c>
      <c r="F48" s="25" t="n">
        <v>5.417191921565332</v>
      </c>
      <c r="G48" s="29" t="n">
        <v>0.0138425202341975</v>
      </c>
      <c r="H48" s="15" t="n">
        <v>22</v>
      </c>
      <c r="I48" s="15" t="n">
        <v>21</v>
      </c>
    </row>
    <row r="49">
      <c r="A49" s="15" t="inlineStr">
        <is>
          <t>B3</t>
        </is>
      </c>
      <c r="B49" s="15" t="inlineStr">
        <is>
          <t>PD</t>
        </is>
      </c>
      <c r="C49" s="15" t="inlineStr">
        <is>
          <t>Construction (2024→2026)</t>
        </is>
      </c>
      <c r="D49" s="25" t="n">
        <v>-0.0117498493348634</v>
      </c>
      <c r="E49" s="25" t="n">
        <v>-1.150701565898122</v>
      </c>
      <c r="F49" s="25" t="n">
        <v>1.127201867228396</v>
      </c>
      <c r="G49" s="29" t="n">
        <v>0.9838680991146952</v>
      </c>
      <c r="H49" s="15" t="n">
        <v>22</v>
      </c>
      <c r="I49" s="15" t="n">
        <v>21</v>
      </c>
    </row>
    <row r="50">
      <c r="A50" s="15" t="inlineStr">
        <is>
          <t>B3</t>
        </is>
      </c>
      <c r="B50" s="15" t="inlineStr">
        <is>
          <t>MPA</t>
        </is>
      </c>
      <c r="C50" s="15" t="inlineStr">
        <is>
          <t>Before construction (2020→2024)</t>
        </is>
      </c>
      <c r="D50" s="25" t="n">
        <v>-1.259992442524195</v>
      </c>
      <c r="E50" s="25" t="n">
        <v>-7.015112102466127</v>
      </c>
      <c r="F50" s="25" t="n">
        <v>4.495127217417737</v>
      </c>
      <c r="G50" s="29" t="n">
        <v>0.667848181062547</v>
      </c>
      <c r="H50" s="15" t="n">
        <v>22</v>
      </c>
      <c r="I50" s="15" t="n">
        <v>21</v>
      </c>
    </row>
    <row r="51">
      <c r="A51" s="15" t="inlineStr">
        <is>
          <t>B3</t>
        </is>
      </c>
      <c r="B51" s="15" t="inlineStr">
        <is>
          <t>MPA</t>
        </is>
      </c>
      <c r="C51" s="15" t="inlineStr">
        <is>
          <t>Construction (2024→2026)</t>
        </is>
      </c>
      <c r="D51" s="25" t="n">
        <v>0.4682830149078893</v>
      </c>
      <c r="E51" s="25" t="n">
        <v>-1.015500504770945</v>
      </c>
      <c r="F51" s="25" t="n">
        <v>1.952066534586724</v>
      </c>
      <c r="G51" s="29" t="n">
        <v>0.5362023916700085</v>
      </c>
      <c r="H51" s="15" t="n">
        <v>22</v>
      </c>
      <c r="I51" s="15" t="n">
        <v>21</v>
      </c>
    </row>
    <row r="52">
      <c r="A52" s="15" t="inlineStr">
        <is>
          <t>B3</t>
        </is>
      </c>
      <c r="B52" s="15" t="inlineStr">
        <is>
          <t>ED</t>
        </is>
      </c>
      <c r="C52" s="15" t="inlineStr">
        <is>
          <t>Before construction (2020→2024)</t>
        </is>
      </c>
      <c r="D52" s="25" t="n">
        <v>25.13409772403168</v>
      </c>
      <c r="E52" s="25" t="n">
        <v>3.567275016034912</v>
      </c>
      <c r="F52" s="25" t="n">
        <v>46.70092043202845</v>
      </c>
      <c r="G52" s="29" t="n">
        <v>0.0223625310389692</v>
      </c>
      <c r="H52" s="15" t="n">
        <v>22</v>
      </c>
      <c r="I52" s="15" t="n">
        <v>21</v>
      </c>
    </row>
    <row r="53">
      <c r="A53" s="15" t="inlineStr">
        <is>
          <t>B3</t>
        </is>
      </c>
      <c r="B53" s="15" t="inlineStr">
        <is>
          <t>ED</t>
        </is>
      </c>
      <c r="C53" s="15" t="inlineStr">
        <is>
          <t>Construction (2024→2026)</t>
        </is>
      </c>
      <c r="D53" s="25" t="n">
        <v>-5.705694070496379</v>
      </c>
      <c r="E53" s="25" t="n">
        <v>-14.27833700666484</v>
      </c>
      <c r="F53" s="25" t="n">
        <v>2.866948865672076</v>
      </c>
      <c r="G53" s="29" t="n">
        <v>0.1920654578946101</v>
      </c>
      <c r="H53" s="15" t="n">
        <v>22</v>
      </c>
      <c r="I53" s="15" t="n">
        <v>21</v>
      </c>
    </row>
    <row r="54">
      <c r="A54" s="15" t="inlineStr">
        <is>
          <t>B3</t>
        </is>
      </c>
      <c r="B54" s="15" t="inlineStr">
        <is>
          <t>LPI</t>
        </is>
      </c>
      <c r="C54" s="15" t="inlineStr">
        <is>
          <t>Before construction (2020→2024)</t>
        </is>
      </c>
      <c r="D54" s="25" t="n">
        <v>-5.662383635805821</v>
      </c>
      <c r="E54" s="25" t="n">
        <v>-12.15539636459166</v>
      </c>
      <c r="F54" s="25" t="n">
        <v>0.8306290929800193</v>
      </c>
      <c r="G54" s="29" t="n">
        <v>0.0874079019885917</v>
      </c>
      <c r="H54" s="15" t="n">
        <v>22</v>
      </c>
      <c r="I54" s="15" t="n">
        <v>21</v>
      </c>
    </row>
    <row r="55">
      <c r="A55" s="15" t="inlineStr">
        <is>
          <t>B3</t>
        </is>
      </c>
      <c r="B55" s="15" t="inlineStr">
        <is>
          <t>LPI</t>
        </is>
      </c>
      <c r="C55" s="15" t="inlineStr">
        <is>
          <t>Construction (2024→2026)</t>
        </is>
      </c>
      <c r="D55" s="25" t="n">
        <v>-1.536126843704875</v>
      </c>
      <c r="E55" s="25" t="n">
        <v>-3.778665773723678</v>
      </c>
      <c r="F55" s="25" t="n">
        <v>0.7064120863139287</v>
      </c>
      <c r="G55" s="29" t="n">
        <v>0.1794130127995825</v>
      </c>
      <c r="H55" s="15" t="n">
        <v>22</v>
      </c>
      <c r="I55" s="15" t="n">
        <v>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32" customWidth="1" min="3" max="3"/>
    <col width="12" customWidth="1" min="4" max="4"/>
    <col width="10" customWidth="1" min="5" max="5"/>
    <col width="10" customWidth="1" min="6" max="6"/>
    <col width="16" customWidth="1" min="7" max="7"/>
    <col width="16" customWidth="1" min="8" max="8"/>
    <col width="18" customWidth="1" min="9" max="9"/>
    <col width="14" customWidth="1" min="10" max="10"/>
  </cols>
  <sheetData>
    <row r="1">
      <c r="A1" s="18" t="inlineStr">
        <is>
          <t>Hotspots of persistent vegetation loss in Section 1 (Getis-Ord Gi*, 999 permutations, FDR q &lt; 0.05)</t>
        </is>
      </c>
    </row>
    <row r="2">
      <c r="A2" s="10" t="inlineStr">
        <is>
          <t>Persistent loss: vegetated at the start and non-vegetated in the last two years of the period. Sensitivity to hexagon size (ha) and distance band (m). The paper map uses 5 ha / 500 m.</t>
        </is>
      </c>
    </row>
    <row r="4" ht="45" customHeight="1">
      <c r="A4" s="22" t="inlineStr">
        <is>
          <t>Hexagon (ha)</t>
        </is>
      </c>
      <c r="B4" s="22" t="inlineStr">
        <is>
          <t>Distance band (m)</t>
        </is>
      </c>
      <c r="C4" s="22" t="inlineStr">
        <is>
          <t>Period</t>
        </is>
      </c>
      <c r="D4" s="22" t="inlineStr">
        <is>
          <t>Hexagons analysed</t>
        </is>
      </c>
      <c r="E4" s="22" t="inlineStr">
        <is>
          <t>Hot spots</t>
        </is>
      </c>
      <c r="F4" s="22" t="inlineStr">
        <is>
          <t>Cold spots</t>
        </is>
      </c>
      <c r="G4" s="22" t="inlineStr">
        <is>
          <t>Hot spots within 500 m of road (%)</t>
        </is>
      </c>
      <c r="H4" s="22" t="inlineStr">
        <is>
          <t>All hexagons within 500 m (%)</t>
        </is>
      </c>
      <c r="I4" s="22" t="inlineStr">
        <is>
          <t>Median distance of hot spots to road (m)</t>
        </is>
      </c>
      <c r="J4" s="22" t="inlineStr">
        <is>
          <t>Persistent loss (ha)</t>
        </is>
      </c>
    </row>
    <row r="5">
      <c r="A5" s="15" t="n">
        <v>2</v>
      </c>
      <c r="B5" s="15" t="n">
        <v>500</v>
      </c>
      <c r="C5" s="15" t="inlineStr">
        <is>
          <t>Before construction (2020→2024)</t>
        </is>
      </c>
      <c r="D5" s="15" t="n">
        <v>5851</v>
      </c>
      <c r="E5" s="15" t="n">
        <v>1239</v>
      </c>
      <c r="F5" s="15" t="n">
        <v>2680</v>
      </c>
      <c r="G5" s="24" t="n">
        <v>8.151735270379339</v>
      </c>
      <c r="H5" s="24" t="n">
        <v>19.41548453255854</v>
      </c>
      <c r="I5" s="24" t="n">
        <v>2965.349921939858</v>
      </c>
      <c r="J5" s="24" t="n">
        <v>2934.71</v>
      </c>
    </row>
    <row r="6">
      <c r="A6" s="15" t="n">
        <v>2</v>
      </c>
      <c r="B6" s="15" t="n">
        <v>500</v>
      </c>
      <c r="C6" s="15" t="inlineStr">
        <is>
          <t>Construction (2024→2026)</t>
        </is>
      </c>
      <c r="D6" s="15" t="n">
        <v>4576</v>
      </c>
      <c r="E6" s="15" t="n">
        <v>484</v>
      </c>
      <c r="F6" s="15" t="n">
        <v>1475</v>
      </c>
      <c r="G6" s="24" t="n">
        <v>66.11570247933885</v>
      </c>
      <c r="H6" s="24" t="n">
        <v>20.73863636363636</v>
      </c>
      <c r="I6" s="24" t="n">
        <v>209.3696274466446</v>
      </c>
      <c r="J6" s="24" t="n">
        <v>502.02</v>
      </c>
    </row>
    <row r="7">
      <c r="A7" s="15" t="n">
        <v>2</v>
      </c>
      <c r="B7" s="15" t="n">
        <v>1000</v>
      </c>
      <c r="C7" s="15" t="inlineStr">
        <is>
          <t>Before construction (2020→2024)</t>
        </is>
      </c>
      <c r="D7" s="15" t="n">
        <v>5851</v>
      </c>
      <c r="E7" s="15" t="n">
        <v>1647</v>
      </c>
      <c r="F7" s="15" t="n">
        <v>3130</v>
      </c>
      <c r="G7" s="24" t="n">
        <v>5.585913782635094</v>
      </c>
      <c r="H7" s="24" t="n">
        <v>19.41548453255854</v>
      </c>
      <c r="I7" s="24" t="n">
        <v>3040.476384236873</v>
      </c>
      <c r="J7" s="24" t="n">
        <v>2934.71</v>
      </c>
    </row>
    <row r="8">
      <c r="A8" s="15" t="n">
        <v>2</v>
      </c>
      <c r="B8" s="15" t="n">
        <v>1000</v>
      </c>
      <c r="C8" s="15" t="inlineStr">
        <is>
          <t>Construction (2024→2026)</t>
        </is>
      </c>
      <c r="D8" s="15" t="n">
        <v>4576</v>
      </c>
      <c r="E8" s="15" t="n">
        <v>770</v>
      </c>
      <c r="F8" s="15" t="n">
        <v>2159</v>
      </c>
      <c r="G8" s="24" t="n">
        <v>51.16883116883116</v>
      </c>
      <c r="H8" s="24" t="n">
        <v>20.73863636363636</v>
      </c>
      <c r="I8" s="24" t="n">
        <v>472.4182399561005</v>
      </c>
      <c r="J8" s="24" t="n">
        <v>502.02</v>
      </c>
    </row>
    <row r="9">
      <c r="A9" s="5" t="n">
        <v>5</v>
      </c>
      <c r="B9" s="5" t="n">
        <v>500</v>
      </c>
      <c r="C9" s="5" t="inlineStr">
        <is>
          <t>Before construction (2020→2024)</t>
        </is>
      </c>
      <c r="D9" s="5" t="n">
        <v>3240</v>
      </c>
      <c r="E9" s="5" t="n">
        <v>739</v>
      </c>
      <c r="F9" s="5" t="n">
        <v>1202</v>
      </c>
      <c r="G9" s="30" t="n">
        <v>4.330175913396482</v>
      </c>
      <c r="H9" s="30" t="n">
        <v>17.5</v>
      </c>
      <c r="I9" s="30" t="n">
        <v>3283.610246779954</v>
      </c>
      <c r="J9" s="30" t="n">
        <v>2929.88</v>
      </c>
    </row>
    <row r="10">
      <c r="A10" s="5" t="n">
        <v>5</v>
      </c>
      <c r="B10" s="5" t="n">
        <v>500</v>
      </c>
      <c r="C10" s="5" t="inlineStr">
        <is>
          <t>Construction (2024→2026)</t>
        </is>
      </c>
      <c r="D10" s="5" t="n">
        <v>2583</v>
      </c>
      <c r="E10" s="5" t="n">
        <v>185</v>
      </c>
      <c r="F10" s="5" t="n">
        <v>544</v>
      </c>
      <c r="G10" s="30" t="n">
        <v>56.75675675675676</v>
      </c>
      <c r="H10" s="30" t="n">
        <v>18.38946960898181</v>
      </c>
      <c r="I10" s="30" t="n">
        <v>291.4551845145534</v>
      </c>
      <c r="J10" s="30" t="n">
        <v>500.9800000000001</v>
      </c>
    </row>
    <row r="11">
      <c r="A11" s="15" t="n">
        <v>5</v>
      </c>
      <c r="B11" s="15" t="n">
        <v>1000</v>
      </c>
      <c r="C11" s="15" t="inlineStr">
        <is>
          <t>Before construction (2020→2024)</t>
        </is>
      </c>
      <c r="D11" s="15" t="n">
        <v>3240</v>
      </c>
      <c r="E11" s="15" t="n">
        <v>999</v>
      </c>
      <c r="F11" s="15" t="n">
        <v>1553</v>
      </c>
      <c r="G11" s="24" t="n">
        <v>4.904904904904905</v>
      </c>
      <c r="H11" s="24" t="n">
        <v>17.5</v>
      </c>
      <c r="I11" s="24" t="n">
        <v>3206.032326593879</v>
      </c>
      <c r="J11" s="24" t="n">
        <v>2929.88</v>
      </c>
    </row>
    <row r="12">
      <c r="A12" s="15" t="n">
        <v>5</v>
      </c>
      <c r="B12" s="15" t="n">
        <v>1000</v>
      </c>
      <c r="C12" s="15" t="inlineStr">
        <is>
          <t>Construction (2024→2026)</t>
        </is>
      </c>
      <c r="D12" s="15" t="n">
        <v>2583</v>
      </c>
      <c r="E12" s="15" t="n">
        <v>341</v>
      </c>
      <c r="F12" s="15" t="n">
        <v>818</v>
      </c>
      <c r="G12" s="24" t="n">
        <v>47.80058651026393</v>
      </c>
      <c r="H12" s="24" t="n">
        <v>18.38946960898181</v>
      </c>
      <c r="I12" s="24" t="n">
        <v>539.4081416578438</v>
      </c>
      <c r="J12" s="24" t="n">
        <v>500.9800000000001</v>
      </c>
    </row>
    <row r="13">
      <c r="A13" s="15" t="n">
        <v>10</v>
      </c>
      <c r="B13" s="15" t="n">
        <v>500</v>
      </c>
      <c r="C13" s="15" t="inlineStr">
        <is>
          <t>Before construction (2020→2024)</t>
        </is>
      </c>
      <c r="D13" s="15" t="n">
        <v>1951</v>
      </c>
      <c r="E13" s="15" t="n">
        <v>281</v>
      </c>
      <c r="F13" s="15" t="n">
        <v>422</v>
      </c>
      <c r="G13" s="24" t="n">
        <v>4.270462633451958</v>
      </c>
      <c r="H13" s="24" t="n">
        <v>16.76063557150179</v>
      </c>
      <c r="I13" s="24" t="n">
        <v>3521.474892932212</v>
      </c>
      <c r="J13" s="24" t="n">
        <v>2925.2</v>
      </c>
    </row>
    <row r="14">
      <c r="A14" s="15" t="n">
        <v>10</v>
      </c>
      <c r="B14" s="15" t="n">
        <v>500</v>
      </c>
      <c r="C14" s="15" t="inlineStr">
        <is>
          <t>Construction (2024→2026)</t>
        </is>
      </c>
      <c r="D14" s="15" t="n">
        <v>1575</v>
      </c>
      <c r="E14" s="15" t="n">
        <v>53</v>
      </c>
      <c r="F14" s="15" t="n">
        <v>186</v>
      </c>
      <c r="G14" s="24" t="n">
        <v>56.60377358490566</v>
      </c>
      <c r="H14" s="24" t="n">
        <v>18.03174603174603</v>
      </c>
      <c r="I14" s="24" t="n">
        <v>257.7762567962345</v>
      </c>
      <c r="J14" s="24" t="n">
        <v>501.52</v>
      </c>
    </row>
    <row r="15">
      <c r="A15" s="15" t="n">
        <v>10</v>
      </c>
      <c r="B15" s="15" t="n">
        <v>1000</v>
      </c>
      <c r="C15" s="15" t="inlineStr">
        <is>
          <t>Before construction (2020→2024)</t>
        </is>
      </c>
      <c r="D15" s="15" t="n">
        <v>1951</v>
      </c>
      <c r="E15" s="15" t="n">
        <v>576</v>
      </c>
      <c r="F15" s="15" t="n">
        <v>821</v>
      </c>
      <c r="G15" s="24" t="n">
        <v>3.472222222222222</v>
      </c>
      <c r="H15" s="24" t="n">
        <v>16.76063557150179</v>
      </c>
      <c r="I15" s="24" t="n">
        <v>3366.253931213604</v>
      </c>
      <c r="J15" s="24" t="n">
        <v>2925.2</v>
      </c>
    </row>
    <row r="16">
      <c r="A16" s="15" t="n">
        <v>10</v>
      </c>
      <c r="B16" s="15" t="n">
        <v>1000</v>
      </c>
      <c r="C16" s="15" t="inlineStr">
        <is>
          <t>Construction (2024→2026)</t>
        </is>
      </c>
      <c r="D16" s="15" t="n">
        <v>1575</v>
      </c>
      <c r="E16" s="15" t="n">
        <v>163</v>
      </c>
      <c r="F16" s="15" t="n">
        <v>412</v>
      </c>
      <c r="G16" s="24" t="n">
        <v>46.62576687116564</v>
      </c>
      <c r="H16" s="24" t="n">
        <v>18.03174603174603</v>
      </c>
      <c r="I16" s="24" t="n">
        <v>566.5845671928314</v>
      </c>
      <c r="J16" s="24" t="n">
        <v>501.52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2026-09-29T00:58:28Z</dcterms:created>
  <dcterms:modified xmlns:dcterms="http://purl.org/dc/terms/" xmlns:xsi="http://www.w3.org/2001/XMLSchema-instance" xsi:type="dcterms:W3CDTF">2026-09-29T00:58:34Z</dcterms:modified>
</cp:coreProperties>
</file>